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10\lease-backend\"/>
    </mc:Choice>
  </mc:AlternateContent>
  <xr:revisionPtr revIDLastSave="0" documentId="8_{6D54DFDF-3C3A-41AE-BEC1-140D1C43A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คู่มือ" sheetId="1" r:id="rId1"/>
    <sheet name="1_ข้อมูลลูกหนี้" sheetId="2" r:id="rId2"/>
    <sheet name="2_คำนวณ Loss Rate" sheetId="3" r:id="rId3"/>
    <sheet name="3_Provision Matr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J15" i="3" s="1"/>
  <c r="D13" i="4" s="1"/>
  <c r="J14" i="3"/>
  <c r="D12" i="4" s="1"/>
  <c r="I14" i="3"/>
  <c r="I13" i="3"/>
  <c r="J13" i="3" s="1"/>
  <c r="D11" i="4" s="1"/>
  <c r="I12" i="3"/>
  <c r="J12" i="3" s="1"/>
  <c r="D10" i="4" s="1"/>
  <c r="J11" i="3"/>
  <c r="D9" i="4" s="1"/>
  <c r="I11" i="3"/>
  <c r="I10" i="3"/>
  <c r="J10" i="3" s="1"/>
  <c r="D8" i="4" s="1"/>
  <c r="I9" i="3"/>
  <c r="J9" i="3" s="1"/>
  <c r="D7" i="4" s="1"/>
  <c r="G31" i="2"/>
  <c r="H31" i="2" s="1"/>
  <c r="F31" i="2"/>
  <c r="H30" i="2"/>
  <c r="G30" i="2"/>
  <c r="F30" i="2"/>
  <c r="G29" i="2"/>
  <c r="H29" i="2" s="1"/>
  <c r="F29" i="2"/>
  <c r="G28" i="2"/>
  <c r="H28" i="2" s="1"/>
  <c r="F28" i="2"/>
  <c r="G27" i="2"/>
  <c r="H27" i="2" s="1"/>
  <c r="F27" i="2"/>
  <c r="H26" i="2"/>
  <c r="G26" i="2"/>
  <c r="F26" i="2"/>
  <c r="G25" i="2"/>
  <c r="H25" i="2" s="1"/>
  <c r="F25" i="2"/>
  <c r="G24" i="2"/>
  <c r="H24" i="2" s="1"/>
  <c r="F24" i="2"/>
  <c r="G23" i="2"/>
  <c r="H23" i="2" s="1"/>
  <c r="F23" i="2"/>
  <c r="H22" i="2"/>
  <c r="G22" i="2"/>
  <c r="F22" i="2"/>
  <c r="F19" i="2"/>
  <c r="G19" i="2" s="1"/>
  <c r="H19" i="2" s="1"/>
  <c r="H18" i="2"/>
  <c r="G18" i="2"/>
  <c r="F18" i="2"/>
  <c r="F15" i="2"/>
  <c r="G15" i="2" s="1"/>
  <c r="H15" i="2" s="1"/>
  <c r="H14" i="2"/>
  <c r="G14" i="2"/>
  <c r="F14" i="2"/>
  <c r="F11" i="2"/>
  <c r="G11" i="2" s="1"/>
  <c r="H11" i="2" s="1"/>
  <c r="H10" i="2"/>
  <c r="G10" i="2"/>
  <c r="F10" i="2"/>
  <c r="D5" i="2"/>
  <c r="F21" i="2" s="1"/>
  <c r="G21" i="2" s="1"/>
  <c r="H21" i="2" s="1"/>
  <c r="F8" i="2" l="1"/>
  <c r="G8" i="2" s="1"/>
  <c r="F12" i="2"/>
  <c r="G12" i="2" s="1"/>
  <c r="H12" i="2" s="1"/>
  <c r="F16" i="2"/>
  <c r="G16" i="2" s="1"/>
  <c r="H16" i="2" s="1"/>
  <c r="F20" i="2"/>
  <c r="G20" i="2" s="1"/>
  <c r="H20" i="2" s="1"/>
  <c r="F9" i="2"/>
  <c r="G9" i="2" s="1"/>
  <c r="H9" i="2" s="1"/>
  <c r="F13" i="2"/>
  <c r="G13" i="2" s="1"/>
  <c r="H13" i="2" s="1"/>
  <c r="F17" i="2"/>
  <c r="G17" i="2" s="1"/>
  <c r="H17" i="2" s="1"/>
  <c r="C11" i="4" l="1"/>
  <c r="E11" i="4" s="1"/>
  <c r="C10" i="4"/>
  <c r="E10" i="4" s="1"/>
  <c r="C13" i="4"/>
  <c r="E13" i="4" s="1"/>
  <c r="C12" i="4"/>
  <c r="E12" i="4" s="1"/>
  <c r="C8" i="4"/>
  <c r="E8" i="4" s="1"/>
  <c r="C7" i="4"/>
  <c r="H8" i="2"/>
  <c r="C9" i="4"/>
  <c r="E9" i="4" s="1"/>
  <c r="C14" i="4" l="1"/>
  <c r="E7" i="4"/>
  <c r="E14" i="4" s="1"/>
  <c r="E21" i="4" l="1"/>
  <c r="E20" i="4"/>
  <c r="E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9" authorId="0" shapeId="0" xr:uid="{00000000-0006-0000-0200-000001000000}">
      <text>
        <r>
          <rPr>
            <sz val="11"/>
            <color theme="1"/>
            <rFont val="Calibri"/>
            <scheme val="minor"/>
          </rPr>
          <t>อัตราสุดท้ายนี้ถูกดึงไปใช้ในชีต Provision Matrix อัตโนมัติ</t>
        </r>
      </text>
    </comment>
  </commentList>
</comments>
</file>

<file path=xl/sharedStrings.xml><?xml version="1.0" encoding="utf-8"?>
<sst xmlns="http://schemas.openxmlformats.org/spreadsheetml/2006/main" count="123" uniqueCount="98">
  <si>
    <t>แบบจำลองการตั้งสำรองหนี้ (Provision Matrix) ตามข้อมูลจริง</t>
  </si>
  <si>
    <t>Lease Receivables – Expected Credit Loss / Provision Model (TFRS 9 simplified approach)</t>
  </si>
  <si>
    <t>วิธีใช้งาน</t>
  </si>
  <si>
    <t>ชีต 1) ข้อมูลลูกหนี้</t>
  </si>
  <si>
    <t>วางข้อมูลใบแจ้งหนี้ที่ค้างชำระ (เลขที่/ผู้เช่า/ยอดคงค้าง/วันครบกำหนด) ระบบจัดช่วงอายุอัตโนมัติจาก 'วัน ณ' ที่กำหนด</t>
  </si>
  <si>
    <t>ชีต 2) คำนวณ Loss Rate</t>
  </si>
  <si>
    <t>ใส่ข้อมูลย้อนหลัง 3 ปี: ยอดที่เคยเข้าแต่ละช่วงอายุ และยอดที่สูญจริงจากยอดนั้น ระบบคำนวณอัตราสำรองถ่วงน้ำหนัก + ปรับ forward-looking</t>
  </si>
  <si>
    <t>ชีต 3) Provision Matrix</t>
  </si>
  <si>
    <t>ดึงยอดหนี้คงค้างจากชีต 1 และอัตราจากชีต 2 มาคำนวณค่าเผื่อฯ ที่ต้องตั้ง พร้อมรายการบัญชี</t>
  </si>
  <si>
    <t>รหัสสี</t>
  </si>
  <si>
    <t>สีน้ำเงิน = ช่องกรอกข้อมูล (input)</t>
  </si>
  <si>
    <t>แก้ได้ ปรับตามข้อมูลจริงของกิจการ</t>
  </si>
  <si>
    <t>สีเขียว = ลิงก์ข้ามชีต</t>
  </si>
  <si>
    <t>อย่าแก้มือ</t>
  </si>
  <si>
    <t>สีเหลือง = สมมติฐานสำคัญ</t>
  </si>
  <si>
    <t>ทบทวนทุกงวด — โดยเฉพาะ forward-looking factor</t>
  </si>
  <si>
    <t>คำเตือนภาษี</t>
  </si>
  <si>
    <t>ค่าเผื่อฯ ที่คำนวณจากไฟล์นี้ 'บวกกลับ' ทางภาษี หักเป็นรายจ่ายไม่ได้ จะหักได้ต่อเมื่อตัดหนี้สูญจริงตามกฎกระทรวง 186</t>
  </si>
  <si>
    <t>หลักการ TFRS 9</t>
  </si>
  <si>
    <t>อัตราสำรองต้องอิง loss rate จริงในอดีตของกิจการ (ชีต 2) ไม่ใช่ตัวเลขลอย และปรับด้วยมุมมองอนาคต (forward-looking)</t>
  </si>
  <si>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</si>
  <si>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</si>
  <si>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</si>
  <si>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</si>
  <si>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</si>
  <si>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</si>
  <si>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</si>
  <si>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</si>
  <si>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</si>
  <si>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</si>
  <si>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</si>
  <si>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</si>
  <si>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</si>
  <si>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C-004-030</t>
  </si>
  <si>
    <t>บจก. เอเวอร์กรีน ฟู้ดส์</t>
  </si>
  <si>
    <t>2025-12-01</t>
  </si>
  <si>
    <t>ยังไม่ครบกำหนด</t>
  </si>
  <si>
    <t>C-004-031</t>
  </si>
  <si>
    <t>2026-01-01</t>
  </si>
  <si>
    <t>1–30 วัน</t>
  </si>
  <si>
    <t>C-004-032</t>
  </si>
  <si>
    <t>2026-02-01</t>
  </si>
  <si>
    <t>31–60 วัน</t>
  </si>
  <si>
    <t>C-004-033</t>
  </si>
  <si>
    <t>2026-03-01</t>
  </si>
  <si>
    <t>61–90 วัน</t>
  </si>
  <si>
    <t>C-004-034</t>
  </si>
  <si>
    <t>2026-04-01</t>
  </si>
  <si>
    <t>91–180 วัน</t>
  </si>
  <si>
    <t>C-004-035</t>
  </si>
  <si>
    <t>2026-05-01</t>
  </si>
  <si>
    <t>181–365 วัน</t>
  </si>
  <si>
    <t>C-004-036</t>
  </si>
  <si>
    <t>2026-06-01</t>
  </si>
  <si>
    <t>เกิน 365 วัน</t>
  </si>
  <si>
    <t>C-003-034</t>
  </si>
  <si>
    <t>ร้าน มณีจันทร์</t>
  </si>
  <si>
    <t>2026-03-10</t>
  </si>
  <si>
    <t>C-003-035</t>
  </si>
  <si>
    <t>2026-04-10</t>
  </si>
  <si>
    <t>C-003-036</t>
  </si>
  <si>
    <t>2026-05-10</t>
  </si>
  <si>
    <t>C-003-037</t>
  </si>
  <si>
    <t>2026-06-10</t>
  </si>
  <si>
    <t>C-002-025</t>
  </si>
  <si>
    <t>บจก. โฟกัส ลอจิสติกส์</t>
  </si>
  <si>
    <t>2026-05-05</t>
  </si>
  <si>
    <t>C-002-026</t>
  </si>
  <si>
    <t>2026-06-05</t>
  </si>
  <si>
    <t>C-005-011</t>
  </si>
  <si>
    <t>หจก. บ้านสวนค้าไม้</t>
  </si>
  <si>
    <t>2026-07-15</t>
  </si>
  <si>
    <t>การคำนวณอัตราสำรองจากข้อมูลจริง (Historical Loss Rate)</t>
  </si>
  <si>
    <t>ใส่ข้อมูล 3 ปีย้อนหลัง: 'ฐาน' = ยอดหนี้ที่เคยผ่านช่วงอายุนั้น · 'สูญจริง' = ยอดที่สุดท้ายเก็บไม่ได้จากฐานนั้น</t>
  </si>
  <si>
    <t>อัตราสำรอง = สูญจริงรวม 3 ปี ÷ ฐานรวม 3 ปี (ถ่วงน้ำหนัก) แล้วปรับด้วย Forward-looking factor</t>
  </si>
  <si>
    <t>Forward-looking factor:</t>
  </si>
  <si>
    <t>← &gt;1 เมื่อคาดเศรษฐกิจแย่ลง (เช่น 1.10 = +10%), =1 เมื่อคงที่</t>
  </si>
  <si>
    <t>ปี 1: ฐาน</t>
  </si>
  <si>
    <t>ปี 1: สูญจริง</t>
  </si>
  <si>
    <t>ปี 2: ฐาน</t>
  </si>
  <si>
    <t>ปี 2: สูญจริง</t>
  </si>
  <si>
    <t>ปี 3: ฐาน</t>
  </si>
  <si>
    <t>ปี 3: สูญจริง</t>
  </si>
  <si>
    <t>Loss rate ถ่วงน้ำหนัก</t>
  </si>
  <si>
    <t>อัตราสุดท้าย (×FL)</t>
  </si>
  <si>
    <t>หมายเหตุ: ค่า &gt;365 วัน ตั้ง 100% เสมอ (ถือว่าสูญทั้งจำนวน) · ตัวเลขตัวอย่างต้องแทนที่ด้วยข้อมูลจริงจากระบบบัญชี</t>
  </si>
  <si>
    <t>ตารางตั้งสำรอง (Provision Matrix) — ผลลัพธ์</t>
  </si>
  <si>
    <t>ยอดหนี้ดึงจากชีต 'ข้อมูลลูกหนี้' · อัตราดึงจากชีต 'คำนวณ Loss Rate' อัตโนมัติ</t>
  </si>
  <si>
    <t>ช่วงอายุหนี้</t>
  </si>
  <si>
    <t>ยอดหนี้คงค้าง</t>
  </si>
  <si>
    <t>อัตราสำรอง</t>
  </si>
  <si>
    <t>ค่าเผื่อที่ต้องตั้ง</t>
  </si>
  <si>
    <t>รวม</t>
  </si>
  <si>
    <t>อัตราส่วนค่าเผื่อ / ลูกหนี้รวม (Coverage):</t>
  </si>
  <si>
    <t>รายการบัญชีเมื่อตั้งค่าเผื่อ (สิ้นงวด)</t>
  </si>
  <si>
    <t>เดบิต  หนี้สงสัยจะสูญ (5310)</t>
  </si>
  <si>
    <t xml:space="preserve">        เครดิต  ค่าเผื่อผลขาดทุนด้านเครดิต (1139)</t>
  </si>
  <si>
    <t>⚠ ภาษี: จำนวนนี้ต้องบวกกลับในการคำนวณภาษีเงินได้ (หักภาษีไม่ได้) จะหักได้เมื่อตัดหนี้สูญจริงตามกฎกระทรวง 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</si>
</sst>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27" x14ac:knownFonts="1">
    <font>
      <sz val="11"/>
      <color theme="1"/>
      <name val="Calibri"/>
      <scheme val="minor"/>
    </font>
    <font>
      <b/>
      <sz val="16"/>
      <color rgb="FF1F3864"/>
      <name val="Angsana New"/>
    </font>
    <font>
      <sz val="11"/>
      <color rgb="FF595959"/>
      <name val="Angsana New"/>
    </font>
    <font>
      <b/>
      <sz val="12"/>
      <color rgb="FF2E5496"/>
      <name val="Angsana New"/>
    </font>
    <font>
      <sz val="11"/>
      <color rgb="FF404040"/>
      <name val="Angsana New"/>
    </font>
    <font>
      <sz val="11"/>
      <color rgb="FF000000"/>
      <name val="Angsana New"/>
    </font>
    <font>
      <b/>
      <sz val="11"/>
      <color rgb="FF0000FF"/>
      <name val="Angsana New"/>
    </font>
    <font>
      <b/>
      <sz val="11"/>
      <color rgb="FF008000"/>
      <name val="Angsana New"/>
    </font>
    <font>
      <b/>
      <sz val="11"/>
      <color rgb="FFBF8F00"/>
      <name val="Angsana New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  <font>
      <sz val="10"/>
      <color rgb="FF000000"/>
      <name val="Angsana New"/>
    </font>
    <font>
      <b/>
      <sz val="10"/>
      <color rgb="FF1F3864"/>
      <name val="Angsana New"/>
    </font>
    <font>
      <sz val="10"/>
      <color rgb="FF008000"/>
      <name val="Angsana New"/>
    </font>
    <font>
      <b/>
      <sz val="11"/>
      <color rgb="FFC00000"/>
      <name val="Angsana New"/>
    </font>
    <font>
      <b/>
      <sz val="10"/>
      <color rgb="FF000000"/>
      <name val="Angsana New"/>
    </font>
    <font>
      <b/>
      <sz val="10"/>
      <color rgb="FF2E5496"/>
      <name val="Angsana New"/>
    </font>
    <font>
      <b/>
      <sz val="12"/>
      <color rgb="FF1F3864"/>
      <name val="Angsana New"/>
    </font>
    <font>
      <b/>
      <sz val="10"/>
      <color rgb="FF9C2500"/>
      <name val="Angsana New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6" fillId="2" borderId="1" xfId="0" applyNumberFormat="1" applyFont="1" applyFill="1" applyBorder="1"/>
    <xf numFmtId="0" fontId="1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1" xfId="0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10" fontId="18" fillId="0" borderId="1" xfId="0" applyNumberFormat="1" applyFont="1" applyBorder="1" applyAlignment="1">
      <alignment horizontal="center" vertical="center" wrapText="1"/>
    </xf>
    <xf numFmtId="10" fontId="19" fillId="4" borderId="1" xfId="0" applyNumberFormat="1" applyFont="1" applyFill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right" vertical="center"/>
    </xf>
    <xf numFmtId="10" fontId="20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right" vertical="center"/>
    </xf>
    <xf numFmtId="0" fontId="11" fillId="5" borderId="1" xfId="0" applyFont="1" applyFill="1" applyBorder="1"/>
    <xf numFmtId="3" fontId="11" fillId="5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/>
    <xf numFmtId="3" fontId="21" fillId="5" borderId="1" xfId="0" applyNumberFormat="1" applyFont="1" applyFill="1" applyBorder="1" applyAlignment="1">
      <alignment horizontal="right" vertical="center"/>
    </xf>
    <xf numFmtId="0" fontId="22" fillId="0" borderId="0" xfId="0" applyFont="1"/>
    <xf numFmtId="165" fontId="23" fillId="0" borderId="0" xfId="0" applyNumberFormat="1" applyFont="1" applyAlignment="1">
      <alignment horizontal="right" vertical="center"/>
    </xf>
    <xf numFmtId="0" fontId="24" fillId="0" borderId="0" xfId="0" applyFont="1"/>
    <xf numFmtId="3" fontId="5" fillId="0" borderId="0" xfId="0" applyNumberFormat="1" applyFont="1" applyAlignment="1">
      <alignment horizontal="right" vertical="center"/>
    </xf>
    <xf numFmtId="0" fontId="25" fillId="6" borderId="2" xfId="0" applyFont="1" applyFill="1" applyBorder="1" applyAlignment="1">
      <alignment horizontal="left" vertical="center" wrapText="1"/>
    </xf>
    <xf numFmtId="0" fontId="26" fillId="0" borderId="3" xfId="0" applyFont="1" applyBorder="1"/>
    <xf numFmtId="0" fontId="2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00"/>
  <sheetViews>
    <sheetView showGridLines="0" tabSelected="1" workbookViewId="0"/>
  </sheetViews>
  <sheetFormatPr defaultColWidth="14.44140625" defaultRowHeight="15" customHeight="1" x14ac:dyDescent="0.3"/>
  <cols>
    <col min="1" max="1" width="2" customWidth="1"/>
    <col min="2" max="2" width="34" customWidth="1"/>
    <col min="3" max="3" width="82" customWidth="1"/>
    <col min="4" max="26" width="8.6640625" customWidth="1"/>
  </cols>
  <sheetData>
    <row r="2" spans="2:3" ht="23.4" x14ac:dyDescent="0.6">
      <c r="B2" s="1" t="s">
        <v>0</v>
      </c>
    </row>
    <row r="3" spans="2:3" ht="15.6" x14ac:dyDescent="0.4">
      <c r="B3" s="2" t="s">
        <v>1</v>
      </c>
    </row>
    <row r="5" spans="2:3" ht="17.399999999999999" x14ac:dyDescent="0.45">
      <c r="B5" s="3" t="s">
        <v>2</v>
      </c>
      <c r="C5" s="4"/>
    </row>
    <row r="6" spans="2:3" ht="15.6" x14ac:dyDescent="0.4">
      <c r="B6" s="5" t="s">
        <v>3</v>
      </c>
      <c r="C6" s="4" t="s">
        <v>4</v>
      </c>
    </row>
    <row r="7" spans="2:3" ht="15.6" x14ac:dyDescent="0.4">
      <c r="B7" s="5" t="s">
        <v>5</v>
      </c>
      <c r="C7" s="4" t="s">
        <v>6</v>
      </c>
    </row>
    <row r="8" spans="2:3" ht="15.6" x14ac:dyDescent="0.4">
      <c r="B8" s="5" t="s">
        <v>7</v>
      </c>
      <c r="C8" s="4" t="s">
        <v>8</v>
      </c>
    </row>
    <row r="9" spans="2:3" ht="15.6" x14ac:dyDescent="0.4">
      <c r="B9" s="5"/>
      <c r="C9" s="4"/>
    </row>
    <row r="10" spans="2:3" ht="17.399999999999999" x14ac:dyDescent="0.45">
      <c r="B10" s="3" t="s">
        <v>9</v>
      </c>
      <c r="C10" s="4"/>
    </row>
    <row r="11" spans="2:3" ht="16.2" x14ac:dyDescent="0.45">
      <c r="B11" s="6" t="s">
        <v>10</v>
      </c>
      <c r="C11" s="4" t="s">
        <v>11</v>
      </c>
    </row>
    <row r="12" spans="2:3" ht="16.2" x14ac:dyDescent="0.45">
      <c r="B12" s="7" t="s">
        <v>12</v>
      </c>
      <c r="C12" s="4" t="s">
        <v>13</v>
      </c>
    </row>
    <row r="13" spans="2:3" ht="16.2" x14ac:dyDescent="0.45">
      <c r="B13" s="8" t="s">
        <v>14</v>
      </c>
      <c r="C13" s="4" t="s">
        <v>15</v>
      </c>
    </row>
    <row r="14" spans="2:3" ht="15.6" x14ac:dyDescent="0.4">
      <c r="B14" s="5"/>
      <c r="C14" s="4"/>
    </row>
    <row r="15" spans="2:3" ht="17.399999999999999" x14ac:dyDescent="0.45">
      <c r="B15" s="3" t="s">
        <v>16</v>
      </c>
      <c r="C15" s="4" t="s">
        <v>17</v>
      </c>
    </row>
    <row r="16" spans="2:3" ht="17.399999999999999" x14ac:dyDescent="0.45">
      <c r="B16" s="3" t="s">
        <v>18</v>
      </c>
      <c r="C16" s="4" t="s">
        <v>19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000"/>
  <sheetViews>
    <sheetView showGridLines="0" workbookViewId="0"/>
  </sheetViews>
  <sheetFormatPr defaultColWidth="14.44140625" defaultRowHeight="15" customHeight="1" x14ac:dyDescent="0.3"/>
  <cols>
    <col min="1" max="1" width="2" customWidth="1"/>
    <col min="2" max="2" width="16" customWidth="1"/>
    <col min="3" max="3" width="26" customWidth="1"/>
    <col min="4" max="4" width="16" customWidth="1"/>
    <col min="5" max="5" width="15" customWidth="1"/>
    <col min="6" max="6" width="13" customWidth="1"/>
    <col min="7" max="7" width="10" customWidth="1"/>
    <col min="8" max="8" width="15" customWidth="1"/>
    <col min="9" max="9" width="8.6640625" customWidth="1"/>
    <col min="10" max="10" width="7" customWidth="1"/>
    <col min="11" max="11" width="20" customWidth="1"/>
    <col min="12" max="26" width="8.6640625" customWidth="1"/>
  </cols>
  <sheetData>
    <row r="2" spans="2:11" ht="20.399999999999999" x14ac:dyDescent="0.55000000000000004">
      <c r="B2" s="9" t="s">
        <v>20</v>
      </c>
    </row>
    <row r="3" spans="2:11" ht="15.6" x14ac:dyDescent="0.4">
      <c r="B3" s="10" t="s">
        <v>21</v>
      </c>
    </row>
    <row r="5" spans="2:11" ht="16.2" x14ac:dyDescent="0.45">
      <c r="B5" s="11" t="s">
        <v>22</v>
      </c>
      <c r="D5" s="12">
        <f>DATE(2026,7,14)</f>
        <v>46217</v>
      </c>
      <c r="E5" s="13" t="s">
        <v>23</v>
      </c>
    </row>
    <row r="7" spans="2:11" ht="21.75" customHeight="1" x14ac:dyDescent="0.35">
      <c r="B7" s="14" t="s">
        <v>24</v>
      </c>
      <c r="C7" s="14" t="s">
        <v>25</v>
      </c>
      <c r="D7" s="14" t="s">
        <v>26</v>
      </c>
      <c r="E7" s="14" t="s">
        <v>27</v>
      </c>
      <c r="F7" s="14" t="s">
        <v>28</v>
      </c>
      <c r="G7" s="14" t="s">
        <v>29</v>
      </c>
      <c r="H7" s="14" t="s">
        <v>30</v>
      </c>
      <c r="J7" s="15" t="s">
        <v>31</v>
      </c>
      <c r="K7" s="15" t="s">
        <v>32</v>
      </c>
    </row>
    <row r="8" spans="2:11" x14ac:dyDescent="0.35">
      <c r="B8" s="16" t="s">
        <v>33</v>
      </c>
      <c r="C8" s="16" t="s">
        <v>34</v>
      </c>
      <c r="D8" s="17">
        <v>284200</v>
      </c>
      <c r="E8" s="18" t="s">
        <v>35</v>
      </c>
      <c r="F8" s="19">
        <f t="shared" ref="F8:F31" si="0">IF(E8="","",$D$5-E8)</f>
        <v>225</v>
      </c>
      <c r="G8" s="19">
        <f t="shared" ref="G8:G31" si="1">IF(E8="","",IF(F8&lt;=0,0,IF(F8&lt;=30,1,IF(F8&lt;=60,2,IF(F8&lt;=90,3,IF(F8&lt;=180,4,IF(F8&lt;=365,5,6)))))))</f>
        <v>5</v>
      </c>
      <c r="H8" s="20" t="str">
        <f t="shared" ref="H8:H31" si="2">IF(G8="","",INDEX($K$8:$K$14,MATCH(G8,$J$8:$J$14,0)))</f>
        <v>181–365 วัน</v>
      </c>
      <c r="J8" s="21">
        <v>0</v>
      </c>
      <c r="K8" s="21" t="s">
        <v>36</v>
      </c>
    </row>
    <row r="9" spans="2:11" x14ac:dyDescent="0.35">
      <c r="B9" s="16" t="s">
        <v>37</v>
      </c>
      <c r="C9" s="16" t="s">
        <v>34</v>
      </c>
      <c r="D9" s="17">
        <v>284200</v>
      </c>
      <c r="E9" s="18" t="s">
        <v>38</v>
      </c>
      <c r="F9" s="19">
        <f t="shared" si="0"/>
        <v>194</v>
      </c>
      <c r="G9" s="19">
        <f t="shared" si="1"/>
        <v>5</v>
      </c>
      <c r="H9" s="20" t="str">
        <f t="shared" si="2"/>
        <v>181–365 วัน</v>
      </c>
      <c r="J9" s="21">
        <v>1</v>
      </c>
      <c r="K9" s="21" t="s">
        <v>39</v>
      </c>
    </row>
    <row r="10" spans="2:11" x14ac:dyDescent="0.35">
      <c r="B10" s="16" t="s">
        <v>40</v>
      </c>
      <c r="C10" s="16" t="s">
        <v>34</v>
      </c>
      <c r="D10" s="17">
        <v>284200</v>
      </c>
      <c r="E10" s="18" t="s">
        <v>41</v>
      </c>
      <c r="F10" s="19">
        <f t="shared" si="0"/>
        <v>163</v>
      </c>
      <c r="G10" s="19">
        <f t="shared" si="1"/>
        <v>4</v>
      </c>
      <c r="H10" s="20" t="str">
        <f t="shared" si="2"/>
        <v>91–180 วัน</v>
      </c>
      <c r="J10" s="21">
        <v>2</v>
      </c>
      <c r="K10" s="21" t="s">
        <v>42</v>
      </c>
    </row>
    <row r="11" spans="2:11" x14ac:dyDescent="0.35">
      <c r="B11" s="16" t="s">
        <v>43</v>
      </c>
      <c r="C11" s="16" t="s">
        <v>34</v>
      </c>
      <c r="D11" s="17">
        <v>284200</v>
      </c>
      <c r="E11" s="18" t="s">
        <v>44</v>
      </c>
      <c r="F11" s="19">
        <f t="shared" si="0"/>
        <v>135</v>
      </c>
      <c r="G11" s="19">
        <f t="shared" si="1"/>
        <v>4</v>
      </c>
      <c r="H11" s="20" t="str">
        <f t="shared" si="2"/>
        <v>91–180 วัน</v>
      </c>
      <c r="J11" s="21">
        <v>3</v>
      </c>
      <c r="K11" s="21" t="s">
        <v>45</v>
      </c>
    </row>
    <row r="12" spans="2:11" x14ac:dyDescent="0.35">
      <c r="B12" s="16" t="s">
        <v>46</v>
      </c>
      <c r="C12" s="16" t="s">
        <v>34</v>
      </c>
      <c r="D12" s="17">
        <v>284200</v>
      </c>
      <c r="E12" s="18" t="s">
        <v>47</v>
      </c>
      <c r="F12" s="19">
        <f t="shared" si="0"/>
        <v>104</v>
      </c>
      <c r="G12" s="19">
        <f t="shared" si="1"/>
        <v>4</v>
      </c>
      <c r="H12" s="20" t="str">
        <f t="shared" si="2"/>
        <v>91–180 วัน</v>
      </c>
      <c r="J12" s="21">
        <v>4</v>
      </c>
      <c r="K12" s="21" t="s">
        <v>48</v>
      </c>
    </row>
    <row r="13" spans="2:11" x14ac:dyDescent="0.35">
      <c r="B13" s="16" t="s">
        <v>49</v>
      </c>
      <c r="C13" s="16" t="s">
        <v>34</v>
      </c>
      <c r="D13" s="17">
        <v>284200</v>
      </c>
      <c r="E13" s="18" t="s">
        <v>50</v>
      </c>
      <c r="F13" s="19">
        <f t="shared" si="0"/>
        <v>74</v>
      </c>
      <c r="G13" s="19">
        <f t="shared" si="1"/>
        <v>3</v>
      </c>
      <c r="H13" s="20" t="str">
        <f t="shared" si="2"/>
        <v>61–90 วัน</v>
      </c>
      <c r="J13" s="21">
        <v>5</v>
      </c>
      <c r="K13" s="21" t="s">
        <v>51</v>
      </c>
    </row>
    <row r="14" spans="2:11" x14ac:dyDescent="0.35">
      <c r="B14" s="16" t="s">
        <v>52</v>
      </c>
      <c r="C14" s="16" t="s">
        <v>34</v>
      </c>
      <c r="D14" s="17">
        <v>284200</v>
      </c>
      <c r="E14" s="18" t="s">
        <v>53</v>
      </c>
      <c r="F14" s="19">
        <f t="shared" si="0"/>
        <v>43</v>
      </c>
      <c r="G14" s="19">
        <f t="shared" si="1"/>
        <v>2</v>
      </c>
      <c r="H14" s="20" t="str">
        <f t="shared" si="2"/>
        <v>31–60 วัน</v>
      </c>
      <c r="J14" s="21">
        <v>6</v>
      </c>
      <c r="K14" s="21" t="s">
        <v>54</v>
      </c>
    </row>
    <row r="15" spans="2:11" x14ac:dyDescent="0.3">
      <c r="B15" s="16" t="s">
        <v>55</v>
      </c>
      <c r="C15" s="16" t="s">
        <v>56</v>
      </c>
      <c r="D15" s="17">
        <v>53560</v>
      </c>
      <c r="E15" s="18" t="s">
        <v>57</v>
      </c>
      <c r="F15" s="19">
        <f t="shared" si="0"/>
        <v>126</v>
      </c>
      <c r="G15" s="19">
        <f t="shared" si="1"/>
        <v>4</v>
      </c>
      <c r="H15" s="20" t="str">
        <f t="shared" si="2"/>
        <v>91–180 วัน</v>
      </c>
    </row>
    <row r="16" spans="2:11" x14ac:dyDescent="0.3">
      <c r="B16" s="16" t="s">
        <v>58</v>
      </c>
      <c r="C16" s="16" t="s">
        <v>56</v>
      </c>
      <c r="D16" s="17">
        <v>53560</v>
      </c>
      <c r="E16" s="18" t="s">
        <v>59</v>
      </c>
      <c r="F16" s="19">
        <f t="shared" si="0"/>
        <v>95</v>
      </c>
      <c r="G16" s="19">
        <f t="shared" si="1"/>
        <v>4</v>
      </c>
      <c r="H16" s="20" t="str">
        <f t="shared" si="2"/>
        <v>91–180 วัน</v>
      </c>
    </row>
    <row r="17" spans="2:8" x14ac:dyDescent="0.3">
      <c r="B17" s="16" t="s">
        <v>60</v>
      </c>
      <c r="C17" s="16" t="s">
        <v>56</v>
      </c>
      <c r="D17" s="17">
        <v>53560</v>
      </c>
      <c r="E17" s="18" t="s">
        <v>61</v>
      </c>
      <c r="F17" s="19">
        <f t="shared" si="0"/>
        <v>65</v>
      </c>
      <c r="G17" s="19">
        <f t="shared" si="1"/>
        <v>3</v>
      </c>
      <c r="H17" s="20" t="str">
        <f t="shared" si="2"/>
        <v>61–90 วัน</v>
      </c>
    </row>
    <row r="18" spans="2:8" x14ac:dyDescent="0.3">
      <c r="B18" s="16" t="s">
        <v>62</v>
      </c>
      <c r="C18" s="16" t="s">
        <v>56</v>
      </c>
      <c r="D18" s="17">
        <v>53560</v>
      </c>
      <c r="E18" s="18" t="s">
        <v>63</v>
      </c>
      <c r="F18" s="19">
        <f t="shared" si="0"/>
        <v>34</v>
      </c>
      <c r="G18" s="19">
        <f t="shared" si="1"/>
        <v>2</v>
      </c>
      <c r="H18" s="20" t="str">
        <f t="shared" si="2"/>
        <v>31–60 วัน</v>
      </c>
    </row>
    <row r="19" spans="2:8" x14ac:dyDescent="0.3">
      <c r="B19" s="16" t="s">
        <v>64</v>
      </c>
      <c r="C19" s="16" t="s">
        <v>65</v>
      </c>
      <c r="D19" s="17">
        <v>91050</v>
      </c>
      <c r="E19" s="18" t="s">
        <v>66</v>
      </c>
      <c r="F19" s="19">
        <f t="shared" si="0"/>
        <v>70</v>
      </c>
      <c r="G19" s="19">
        <f t="shared" si="1"/>
        <v>3</v>
      </c>
      <c r="H19" s="20" t="str">
        <f t="shared" si="2"/>
        <v>61–90 วัน</v>
      </c>
    </row>
    <row r="20" spans="2:8" x14ac:dyDescent="0.3">
      <c r="B20" s="16" t="s">
        <v>67</v>
      </c>
      <c r="C20" s="16" t="s">
        <v>65</v>
      </c>
      <c r="D20" s="17">
        <v>91050</v>
      </c>
      <c r="E20" s="18" t="s">
        <v>68</v>
      </c>
      <c r="F20" s="19">
        <f t="shared" si="0"/>
        <v>39</v>
      </c>
      <c r="G20" s="19">
        <f t="shared" si="1"/>
        <v>2</v>
      </c>
      <c r="H20" s="20" t="str">
        <f t="shared" si="2"/>
        <v>31–60 วัน</v>
      </c>
    </row>
    <row r="21" spans="2:8" ht="15.75" customHeight="1" x14ac:dyDescent="0.3">
      <c r="B21" s="16" t="s">
        <v>69</v>
      </c>
      <c r="C21" s="16" t="s">
        <v>70</v>
      </c>
      <c r="D21" s="17">
        <v>35350</v>
      </c>
      <c r="E21" s="18" t="s">
        <v>71</v>
      </c>
      <c r="F21" s="19">
        <f t="shared" si="0"/>
        <v>-1</v>
      </c>
      <c r="G21" s="19">
        <f t="shared" si="1"/>
        <v>0</v>
      </c>
      <c r="H21" s="20" t="str">
        <f t="shared" si="2"/>
        <v>ยังไม่ครบกำหนด</v>
      </c>
    </row>
    <row r="22" spans="2:8" ht="15.75" customHeight="1" x14ac:dyDescent="0.3">
      <c r="B22" s="22"/>
      <c r="C22" s="22"/>
      <c r="D22" s="22"/>
      <c r="E22" s="22"/>
      <c r="F22" s="19" t="str">
        <f t="shared" si="0"/>
        <v/>
      </c>
      <c r="G22" s="23" t="str">
        <f t="shared" si="1"/>
        <v/>
      </c>
      <c r="H22" s="22" t="str">
        <f t="shared" si="2"/>
        <v/>
      </c>
    </row>
    <row r="23" spans="2:8" ht="15.75" customHeight="1" x14ac:dyDescent="0.3">
      <c r="B23" s="22"/>
      <c r="C23" s="22"/>
      <c r="D23" s="22"/>
      <c r="E23" s="22"/>
      <c r="F23" s="19" t="str">
        <f t="shared" si="0"/>
        <v/>
      </c>
      <c r="G23" s="23" t="str">
        <f t="shared" si="1"/>
        <v/>
      </c>
      <c r="H23" s="22" t="str">
        <f t="shared" si="2"/>
        <v/>
      </c>
    </row>
    <row r="24" spans="2:8" ht="15.75" customHeight="1" x14ac:dyDescent="0.3">
      <c r="B24" s="22"/>
      <c r="C24" s="22"/>
      <c r="D24" s="22"/>
      <c r="E24" s="22"/>
      <c r="F24" s="19" t="str">
        <f t="shared" si="0"/>
        <v/>
      </c>
      <c r="G24" s="23" t="str">
        <f t="shared" si="1"/>
        <v/>
      </c>
      <c r="H24" s="22" t="str">
        <f t="shared" si="2"/>
        <v/>
      </c>
    </row>
    <row r="25" spans="2:8" ht="15.75" customHeight="1" x14ac:dyDescent="0.3">
      <c r="B25" s="22"/>
      <c r="C25" s="22"/>
      <c r="D25" s="22"/>
      <c r="E25" s="22"/>
      <c r="F25" s="19" t="str">
        <f t="shared" si="0"/>
        <v/>
      </c>
      <c r="G25" s="23" t="str">
        <f t="shared" si="1"/>
        <v/>
      </c>
      <c r="H25" s="22" t="str">
        <f t="shared" si="2"/>
        <v/>
      </c>
    </row>
    <row r="26" spans="2:8" ht="15.75" customHeight="1" x14ac:dyDescent="0.3">
      <c r="B26" s="22"/>
      <c r="C26" s="22"/>
      <c r="D26" s="22"/>
      <c r="E26" s="22"/>
      <c r="F26" s="19" t="str">
        <f t="shared" si="0"/>
        <v/>
      </c>
      <c r="G26" s="23" t="str">
        <f t="shared" si="1"/>
        <v/>
      </c>
      <c r="H26" s="22" t="str">
        <f t="shared" si="2"/>
        <v/>
      </c>
    </row>
    <row r="27" spans="2:8" ht="15.75" customHeight="1" x14ac:dyDescent="0.3">
      <c r="B27" s="22"/>
      <c r="C27" s="22"/>
      <c r="D27" s="22"/>
      <c r="E27" s="22"/>
      <c r="F27" s="19" t="str">
        <f t="shared" si="0"/>
        <v/>
      </c>
      <c r="G27" s="23" t="str">
        <f t="shared" si="1"/>
        <v/>
      </c>
      <c r="H27" s="22" t="str">
        <f t="shared" si="2"/>
        <v/>
      </c>
    </row>
    <row r="28" spans="2:8" ht="15.75" customHeight="1" x14ac:dyDescent="0.3">
      <c r="B28" s="22"/>
      <c r="C28" s="22"/>
      <c r="D28" s="22"/>
      <c r="E28" s="22"/>
      <c r="F28" s="19" t="str">
        <f t="shared" si="0"/>
        <v/>
      </c>
      <c r="G28" s="23" t="str">
        <f t="shared" si="1"/>
        <v/>
      </c>
      <c r="H28" s="22" t="str">
        <f t="shared" si="2"/>
        <v/>
      </c>
    </row>
    <row r="29" spans="2:8" ht="15.75" customHeight="1" x14ac:dyDescent="0.3">
      <c r="B29" s="22"/>
      <c r="C29" s="22"/>
      <c r="D29" s="22"/>
      <c r="E29" s="22"/>
      <c r="F29" s="19" t="str">
        <f t="shared" si="0"/>
        <v/>
      </c>
      <c r="G29" s="23" t="str">
        <f t="shared" si="1"/>
        <v/>
      </c>
      <c r="H29" s="22" t="str">
        <f t="shared" si="2"/>
        <v/>
      </c>
    </row>
    <row r="30" spans="2:8" ht="15.75" customHeight="1" x14ac:dyDescent="0.3">
      <c r="B30" s="22"/>
      <c r="C30" s="22"/>
      <c r="D30" s="22"/>
      <c r="E30" s="22"/>
      <c r="F30" s="19" t="str">
        <f t="shared" si="0"/>
        <v/>
      </c>
      <c r="G30" s="23" t="str">
        <f t="shared" si="1"/>
        <v/>
      </c>
      <c r="H30" s="22" t="str">
        <f t="shared" si="2"/>
        <v/>
      </c>
    </row>
    <row r="31" spans="2:8" ht="15.75" customHeight="1" x14ac:dyDescent="0.3">
      <c r="B31" s="22"/>
      <c r="C31" s="22"/>
      <c r="D31" s="22"/>
      <c r="E31" s="22"/>
      <c r="F31" s="19" t="str">
        <f t="shared" si="0"/>
        <v/>
      </c>
      <c r="G31" s="23" t="str">
        <f t="shared" si="1"/>
        <v/>
      </c>
      <c r="H31" s="22" t="str">
        <f t="shared" si="2"/>
        <v/>
      </c>
    </row>
    <row r="32" spans="2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000"/>
  <sheetViews>
    <sheetView showGridLines="0" workbookViewId="0"/>
  </sheetViews>
  <sheetFormatPr defaultColWidth="14.44140625" defaultRowHeight="15" customHeight="1" x14ac:dyDescent="0.3"/>
  <cols>
    <col min="1" max="1" width="2" customWidth="1"/>
    <col min="2" max="2" width="16" customWidth="1"/>
    <col min="3" max="8" width="13" customWidth="1"/>
    <col min="9" max="10" width="15" customWidth="1"/>
    <col min="11" max="26" width="8.6640625" customWidth="1"/>
  </cols>
  <sheetData>
    <row r="2" spans="2:10" ht="20.399999999999999" x14ac:dyDescent="0.55000000000000004">
      <c r="B2" s="9" t="s">
        <v>72</v>
      </c>
    </row>
    <row r="3" spans="2:10" ht="15.6" x14ac:dyDescent="0.4">
      <c r="B3" s="10" t="s">
        <v>73</v>
      </c>
    </row>
    <row r="4" spans="2:10" ht="15.6" x14ac:dyDescent="0.4">
      <c r="B4" s="10" t="s">
        <v>74</v>
      </c>
    </row>
    <row r="6" spans="2:10" ht="16.2" x14ac:dyDescent="0.45">
      <c r="B6" s="11" t="s">
        <v>75</v>
      </c>
      <c r="E6" s="24">
        <v>1.1000000000000001</v>
      </c>
      <c r="F6" s="13" t="s">
        <v>76</v>
      </c>
    </row>
    <row r="8" spans="2:10" ht="31.5" customHeight="1" x14ac:dyDescent="0.3">
      <c r="B8" s="14" t="s">
        <v>30</v>
      </c>
      <c r="C8" s="14" t="s">
        <v>77</v>
      </c>
      <c r="D8" s="14" t="s">
        <v>78</v>
      </c>
      <c r="E8" s="14" t="s">
        <v>79</v>
      </c>
      <c r="F8" s="14" t="s">
        <v>80</v>
      </c>
      <c r="G8" s="14" t="s">
        <v>81</v>
      </c>
      <c r="H8" s="14" t="s">
        <v>82</v>
      </c>
      <c r="I8" s="14" t="s">
        <v>83</v>
      </c>
      <c r="J8" s="14" t="s">
        <v>84</v>
      </c>
    </row>
    <row r="9" spans="2:10" x14ac:dyDescent="0.3">
      <c r="B9" s="25" t="s">
        <v>36</v>
      </c>
      <c r="C9" s="17">
        <v>22000000</v>
      </c>
      <c r="D9" s="17">
        <v>99000</v>
      </c>
      <c r="E9" s="17">
        <v>20000000</v>
      </c>
      <c r="F9" s="17">
        <v>105000</v>
      </c>
      <c r="G9" s="17">
        <v>24000000</v>
      </c>
      <c r="H9" s="17">
        <v>108000</v>
      </c>
      <c r="I9" s="26">
        <f t="shared" ref="I9:I15" si="0">IFERROR((D9+F9+H9)/(C9+E9+G9),0)</f>
        <v>4.7272727272727275E-3</v>
      </c>
      <c r="J9" s="27">
        <f t="shared" ref="J9:J15" si="1">MIN(I9*$E$6,1)</f>
        <v>5.2000000000000006E-3</v>
      </c>
    </row>
    <row r="10" spans="2:10" x14ac:dyDescent="0.3">
      <c r="B10" s="25" t="s">
        <v>39</v>
      </c>
      <c r="C10" s="17">
        <v>5200000</v>
      </c>
      <c r="D10" s="17">
        <v>100000</v>
      </c>
      <c r="E10" s="17">
        <v>4800000</v>
      </c>
      <c r="F10" s="17">
        <v>99000</v>
      </c>
      <c r="G10" s="17">
        <v>5500000</v>
      </c>
      <c r="H10" s="17">
        <v>112000</v>
      </c>
      <c r="I10" s="26">
        <f t="shared" si="0"/>
        <v>2.0064516129032258E-2</v>
      </c>
      <c r="J10" s="27">
        <f t="shared" si="1"/>
        <v>2.2070967741935486E-2</v>
      </c>
    </row>
    <row r="11" spans="2:10" x14ac:dyDescent="0.3">
      <c r="B11" s="25" t="s">
        <v>42</v>
      </c>
      <c r="C11" s="17">
        <v>3100000</v>
      </c>
      <c r="D11" s="17">
        <v>150000</v>
      </c>
      <c r="E11" s="17">
        <v>2900000</v>
      </c>
      <c r="F11" s="17">
        <v>148000</v>
      </c>
      <c r="G11" s="17">
        <v>3300000</v>
      </c>
      <c r="H11" s="17">
        <v>165000</v>
      </c>
      <c r="I11" s="26">
        <f t="shared" si="0"/>
        <v>4.9784946236559137E-2</v>
      </c>
      <c r="J11" s="27">
        <f t="shared" si="1"/>
        <v>5.4763440860215055E-2</v>
      </c>
    </row>
    <row r="12" spans="2:10" x14ac:dyDescent="0.3">
      <c r="B12" s="25" t="s">
        <v>45</v>
      </c>
      <c r="C12" s="17">
        <v>2050000</v>
      </c>
      <c r="D12" s="17">
        <v>200000</v>
      </c>
      <c r="E12" s="17">
        <v>1950000</v>
      </c>
      <c r="F12" s="17">
        <v>198000</v>
      </c>
      <c r="G12" s="17">
        <v>2100000</v>
      </c>
      <c r="H12" s="17">
        <v>215000</v>
      </c>
      <c r="I12" s="26">
        <f t="shared" si="0"/>
        <v>0.10049180327868852</v>
      </c>
      <c r="J12" s="27">
        <f t="shared" si="1"/>
        <v>0.11054098360655738</v>
      </c>
    </row>
    <row r="13" spans="2:10" x14ac:dyDescent="0.3">
      <c r="B13" s="25" t="s">
        <v>48</v>
      </c>
      <c r="C13" s="17">
        <v>1500000</v>
      </c>
      <c r="D13" s="17">
        <v>440000</v>
      </c>
      <c r="E13" s="17">
        <v>1400000</v>
      </c>
      <c r="F13" s="17">
        <v>430000</v>
      </c>
      <c r="G13" s="17">
        <v>1600000</v>
      </c>
      <c r="H13" s="17">
        <v>490000</v>
      </c>
      <c r="I13" s="26">
        <f t="shared" si="0"/>
        <v>0.30222222222222223</v>
      </c>
      <c r="J13" s="27">
        <f t="shared" si="1"/>
        <v>0.33244444444444449</v>
      </c>
    </row>
    <row r="14" spans="2:10" x14ac:dyDescent="0.3">
      <c r="B14" s="25" t="s">
        <v>51</v>
      </c>
      <c r="C14" s="17">
        <v>1000000</v>
      </c>
      <c r="D14" s="17">
        <v>590000</v>
      </c>
      <c r="E14" s="17">
        <v>950000</v>
      </c>
      <c r="F14" s="17">
        <v>580000</v>
      </c>
      <c r="G14" s="17">
        <v>1050000</v>
      </c>
      <c r="H14" s="17">
        <v>640000</v>
      </c>
      <c r="I14" s="26">
        <f t="shared" si="0"/>
        <v>0.60333333333333339</v>
      </c>
      <c r="J14" s="27">
        <f t="shared" si="1"/>
        <v>0.66366666666666674</v>
      </c>
    </row>
    <row r="15" spans="2:10" x14ac:dyDescent="0.3">
      <c r="B15" s="25" t="s">
        <v>54</v>
      </c>
      <c r="C15" s="17">
        <v>820000</v>
      </c>
      <c r="D15" s="17">
        <v>820000</v>
      </c>
      <c r="E15" s="17">
        <v>780000</v>
      </c>
      <c r="F15" s="17">
        <v>780000</v>
      </c>
      <c r="G15" s="17">
        <v>900000</v>
      </c>
      <c r="H15" s="17">
        <v>900000</v>
      </c>
      <c r="I15" s="26">
        <f t="shared" si="0"/>
        <v>1</v>
      </c>
      <c r="J15" s="27">
        <f t="shared" si="1"/>
        <v>1</v>
      </c>
    </row>
    <row r="16" spans="2:10" x14ac:dyDescent="0.35">
      <c r="B16" s="21" t="s">
        <v>85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000"/>
  <sheetViews>
    <sheetView showGridLines="0" workbookViewId="0"/>
  </sheetViews>
  <sheetFormatPr defaultColWidth="14.44140625" defaultRowHeight="15" customHeight="1" x14ac:dyDescent="0.3"/>
  <cols>
    <col min="1" max="1" width="2" customWidth="1"/>
    <col min="2" max="2" width="42" customWidth="1"/>
    <col min="3" max="3" width="18" customWidth="1"/>
    <col min="4" max="4" width="13" customWidth="1"/>
    <col min="5" max="5" width="18" customWidth="1"/>
    <col min="6" max="26" width="8.6640625" customWidth="1"/>
  </cols>
  <sheetData>
    <row r="2" spans="2:5" ht="20.399999999999999" x14ac:dyDescent="0.55000000000000004">
      <c r="B2" s="9" t="s">
        <v>86</v>
      </c>
    </row>
    <row r="3" spans="2:5" ht="15.6" x14ac:dyDescent="0.4">
      <c r="B3" s="10" t="s">
        <v>87</v>
      </c>
    </row>
    <row r="6" spans="2:5" ht="21.75" customHeight="1" x14ac:dyDescent="0.3">
      <c r="B6" s="14" t="s">
        <v>88</v>
      </c>
      <c r="C6" s="14" t="s">
        <v>89</v>
      </c>
      <c r="D6" s="14" t="s">
        <v>90</v>
      </c>
      <c r="E6" s="14" t="s">
        <v>91</v>
      </c>
    </row>
    <row r="7" spans="2:5" x14ac:dyDescent="0.3">
      <c r="B7" s="25" t="s">
        <v>36</v>
      </c>
      <c r="C7" s="28">
        <f>SUMIFS('1_ข้อมูลลูกหนี้'!$D$8:$D$31,'1_ข้อมูลลูกหนี้'!$G$8:$G$31,0)</f>
        <v>35350</v>
      </c>
      <c r="D7" s="29">
        <f>'2_คำนวณ Loss Rate'!$J$9</f>
        <v>5.2000000000000006E-3</v>
      </c>
      <c r="E7" s="30">
        <f t="shared" ref="E7:E13" si="0">C7*D7</f>
        <v>183.82000000000002</v>
      </c>
    </row>
    <row r="8" spans="2:5" x14ac:dyDescent="0.3">
      <c r="B8" s="25" t="s">
        <v>39</v>
      </c>
      <c r="C8" s="28">
        <f>SUMIFS('1_ข้อมูลลูกหนี้'!$D$8:$D$31,'1_ข้อมูลลูกหนี้'!$G$8:$G$31,1)</f>
        <v>0</v>
      </c>
      <c r="D8" s="29">
        <f>'2_คำนวณ Loss Rate'!$J$10</f>
        <v>2.2070967741935486E-2</v>
      </c>
      <c r="E8" s="30">
        <f t="shared" si="0"/>
        <v>0</v>
      </c>
    </row>
    <row r="9" spans="2:5" x14ac:dyDescent="0.3">
      <c r="B9" s="25" t="s">
        <v>42</v>
      </c>
      <c r="C9" s="28">
        <f>SUMIFS('1_ข้อมูลลูกหนี้'!$D$8:$D$31,'1_ข้อมูลลูกหนี้'!$G$8:$G$31,2)</f>
        <v>428810</v>
      </c>
      <c r="D9" s="29">
        <f>'2_คำนวณ Loss Rate'!$J$11</f>
        <v>5.4763440860215055E-2</v>
      </c>
      <c r="E9" s="30">
        <f t="shared" si="0"/>
        <v>23483.111075268818</v>
      </c>
    </row>
    <row r="10" spans="2:5" x14ac:dyDescent="0.3">
      <c r="B10" s="25" t="s">
        <v>45</v>
      </c>
      <c r="C10" s="28">
        <f>SUMIFS('1_ข้อมูลลูกหนี้'!$D$8:$D$31,'1_ข้อมูลลูกหนี้'!$G$8:$G$31,3)</f>
        <v>428810</v>
      </c>
      <c r="D10" s="29">
        <f>'2_คำนวณ Loss Rate'!$J$12</f>
        <v>0.11054098360655738</v>
      </c>
      <c r="E10" s="30">
        <f t="shared" si="0"/>
        <v>47401.07918032787</v>
      </c>
    </row>
    <row r="11" spans="2:5" x14ac:dyDescent="0.3">
      <c r="B11" s="25" t="s">
        <v>48</v>
      </c>
      <c r="C11" s="28">
        <f>SUMIFS('1_ข้อมูลลูกหนี้'!$D$8:$D$31,'1_ข้อมูลลูกหนี้'!$G$8:$G$31,4)</f>
        <v>959720</v>
      </c>
      <c r="D11" s="29">
        <f>'2_คำนวณ Loss Rate'!$J$13</f>
        <v>0.33244444444444449</v>
      </c>
      <c r="E11" s="30">
        <f t="shared" si="0"/>
        <v>319053.58222222223</v>
      </c>
    </row>
    <row r="12" spans="2:5" x14ac:dyDescent="0.3">
      <c r="B12" s="25" t="s">
        <v>51</v>
      </c>
      <c r="C12" s="28">
        <f>SUMIFS('1_ข้อมูลลูกหนี้'!$D$8:$D$31,'1_ข้อมูลลูกหนี้'!$G$8:$G$31,5)</f>
        <v>568400</v>
      </c>
      <c r="D12" s="29">
        <f>'2_คำนวณ Loss Rate'!$J$14</f>
        <v>0.66366666666666674</v>
      </c>
      <c r="E12" s="30">
        <f t="shared" si="0"/>
        <v>377228.13333333336</v>
      </c>
    </row>
    <row r="13" spans="2:5" x14ac:dyDescent="0.3">
      <c r="B13" s="25" t="s">
        <v>54</v>
      </c>
      <c r="C13" s="28">
        <f>SUMIFS('1_ข้อมูลลูกหนี้'!$D$8:$D$31,'1_ข้อมูลลูกหนี้'!$G$8:$G$31,6)</f>
        <v>0</v>
      </c>
      <c r="D13" s="29">
        <f>'2_คำนวณ Loss Rate'!$J$15</f>
        <v>1</v>
      </c>
      <c r="E13" s="30">
        <f t="shared" si="0"/>
        <v>0</v>
      </c>
    </row>
    <row r="14" spans="2:5" ht="16.2" x14ac:dyDescent="0.45">
      <c r="B14" s="31" t="s">
        <v>92</v>
      </c>
      <c r="C14" s="32">
        <f>SUM(C7:C13)</f>
        <v>2421090</v>
      </c>
      <c r="D14" s="33"/>
      <c r="E14" s="34">
        <f>SUM(E7:E13)</f>
        <v>767349.72581115225</v>
      </c>
    </row>
    <row r="16" spans="2:5" ht="15.6" x14ac:dyDescent="0.4">
      <c r="B16" s="35" t="s">
        <v>93</v>
      </c>
      <c r="E16" s="36">
        <f>IFERROR(E14/C14,0)</f>
        <v>0.31694390783124637</v>
      </c>
    </row>
    <row r="19" spans="2:5" ht="17.399999999999999" x14ac:dyDescent="0.45">
      <c r="B19" s="37" t="s">
        <v>94</v>
      </c>
    </row>
    <row r="20" spans="2:5" ht="15.6" x14ac:dyDescent="0.4">
      <c r="B20" s="5" t="s">
        <v>95</v>
      </c>
      <c r="E20" s="38">
        <f>E14</f>
        <v>767349.72581115225</v>
      </c>
    </row>
    <row r="21" spans="2:5" ht="15.75" customHeight="1" x14ac:dyDescent="0.4">
      <c r="B21" s="5" t="s">
        <v>96</v>
      </c>
      <c r="E21" s="38">
        <f>E14</f>
        <v>767349.72581115225</v>
      </c>
    </row>
    <row r="22" spans="2:5" ht="15.75" customHeight="1" x14ac:dyDescent="0.3"/>
    <row r="23" spans="2:5" ht="15" customHeight="1" x14ac:dyDescent="0.3">
      <c r="B23" s="39" t="s">
        <v>97</v>
      </c>
      <c r="C23" s="40"/>
      <c r="D23" s="40"/>
      <c r="E23" s="41"/>
    </row>
    <row r="24" spans="2:5" ht="15.75" customHeight="1" x14ac:dyDescent="0.3"/>
    <row r="25" spans="2:5" ht="15.75" customHeight="1" x14ac:dyDescent="0.3"/>
    <row r="26" spans="2:5" ht="15.75" customHeight="1" x14ac:dyDescent="0.3"/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3:E23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คู่มือ</vt:lpstr>
      <vt:lpstr>1_ข้อมูลลูกหนี้</vt:lpstr>
      <vt:lpstr>2_คำนวณ Loss Rate</vt:lpstr>
      <vt:lpstr>3_Provision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FMO-IT</dc:creator>
  <cp:lastModifiedBy>สนง.เทคโนโลยีสารสนเทศ</cp:lastModifiedBy>
  <dcterms:created xsi:type="dcterms:W3CDTF">2026-07-14T15:06:01Z</dcterms:created>
  <dcterms:modified xsi:type="dcterms:W3CDTF">2026-07-14T15:06:01Z</dcterms:modified>
</cp:coreProperties>
</file>