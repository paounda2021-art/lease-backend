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หนี้ มิย.69 ส่งให้พี่หนี้\ไฟล์ส่ง พี่หนิง\"/>
    </mc:Choice>
  </mc:AlternateContent>
  <xr:revisionPtr revIDLastSave="0" documentId="8_{7F1ADD7C-7D8F-48A2-8EFD-394B6E3DD1FA}" xr6:coauthVersionLast="47" xr6:coauthVersionMax="47" xr10:uidLastSave="{00000000-0000-0000-0000-000000000000}"/>
  <bookViews>
    <workbookView xWindow="-108" yWindow="-108" windowWidth="23256" windowHeight="12456" xr2:uid="{05EF8231-903C-4614-B2C8-30748EAB8D17}"/>
  </bookViews>
  <sheets>
    <sheet name="มิย.69" sheetId="38" r:id="rId1"/>
    <sheet name="รับชำระ มิย.69" sheetId="39" r:id="rId2"/>
    <sheet name="แนบ มิย.69" sheetId="42" r:id="rId3"/>
    <sheet name="เรียง มิย.69 " sheetId="43" r:id="rId4"/>
    <sheet name="พค.69" sheetId="34" r:id="rId5"/>
    <sheet name="รับชำระ พค.69" sheetId="35" r:id="rId6"/>
    <sheet name="แนบ พค.69" sheetId="36" r:id="rId7"/>
    <sheet name="เรียง พค.69" sheetId="37" r:id="rId8"/>
    <sheet name="เมย.69" sheetId="29" r:id="rId9"/>
    <sheet name="รับชำระ เมย.69" sheetId="30" r:id="rId10"/>
    <sheet name="แนบ เมย.69" sheetId="31" r:id="rId11"/>
    <sheet name="เรียง เมย.69" sheetId="32" r:id="rId12"/>
    <sheet name="Sheet1" sheetId="33" r:id="rId13"/>
    <sheet name="มีค.69" sheetId="24" r:id="rId14"/>
    <sheet name="รับชำระ มีค.69" sheetId="26" r:id="rId15"/>
    <sheet name="แนบ มีค.69" sheetId="27" r:id="rId16"/>
    <sheet name="เรียง มีค.69" sheetId="28" r:id="rId17"/>
    <sheet name="กพ.69" sheetId="19" r:id="rId18"/>
    <sheet name="รับชำระ กพ.69" sheetId="20" r:id="rId19"/>
    <sheet name="แนบ กพ.69" sheetId="21" r:id="rId20"/>
    <sheet name="เรียง กพ.69" sheetId="22" r:id="rId21"/>
    <sheet name="เรียง กพ.69 (2)" sheetId="23" r:id="rId22"/>
    <sheet name="มค.69" sheetId="15" r:id="rId23"/>
    <sheet name="รับชำระ มค.69" sheetId="16" r:id="rId24"/>
    <sheet name="แนบ มค.69" sheetId="17" r:id="rId25"/>
    <sheet name="เรียง มค.69" sheetId="18" r:id="rId26"/>
    <sheet name="ธค.68" sheetId="11" r:id="rId27"/>
    <sheet name="รับชำระ ธค.68" sheetId="12" r:id="rId28"/>
    <sheet name="แนบ ธค.68" sheetId="13" r:id="rId29"/>
    <sheet name="เรียง ธค.68" sheetId="14" r:id="rId30"/>
    <sheet name="พย.68" sheetId="6" r:id="rId31"/>
    <sheet name="รับชำระ พย.68" sheetId="7" r:id="rId32"/>
    <sheet name="แนบ พย.68" sheetId="8" r:id="rId33"/>
    <sheet name="เรียง พย.68" sheetId="10" r:id="rId34"/>
    <sheet name="ตค.68" sheetId="2" r:id="rId35"/>
    <sheet name="รับชำระ ตค.68" sheetId="3" r:id="rId36"/>
    <sheet name="แนบ ตค.68" sheetId="4" r:id="rId37"/>
    <sheet name="เรียง ตค.68" sheetId="5" r:id="rId38"/>
    <sheet name="กย.68" sheetId="1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43" l="1"/>
  <c r="F47" i="43"/>
  <c r="F53" i="43"/>
  <c r="F50" i="43"/>
  <c r="H43" i="43"/>
  <c r="I53" i="43" s="1"/>
  <c r="H46" i="43"/>
  <c r="J61" i="42"/>
  <c r="I60" i="42"/>
  <c r="G56" i="42"/>
  <c r="I55" i="42"/>
  <c r="I50" i="42"/>
  <c r="I42" i="42"/>
  <c r="I16" i="42"/>
  <c r="I13" i="42"/>
  <c r="I10" i="42"/>
  <c r="I158" i="39"/>
  <c r="H157" i="39"/>
  <c r="I152" i="39"/>
  <c r="H150" i="39"/>
  <c r="F148" i="39"/>
  <c r="H147" i="39"/>
  <c r="H141" i="39"/>
  <c r="H136" i="39"/>
  <c r="H128" i="39"/>
  <c r="H92" i="39"/>
  <c r="H40" i="39"/>
  <c r="H32" i="39"/>
  <c r="H36" i="39"/>
  <c r="H29" i="39"/>
  <c r="H25" i="39"/>
  <c r="H11" i="39"/>
  <c r="S241" i="38"/>
  <c r="S161" i="38"/>
  <c r="D241" i="38"/>
  <c r="S27" i="38"/>
  <c r="R27" i="38"/>
  <c r="Q117" i="38"/>
  <c r="Q161" i="38"/>
  <c r="S179" i="38"/>
  <c r="S206" i="38"/>
  <c r="S226" i="38"/>
  <c r="R161" i="38"/>
  <c r="G148" i="39" l="1"/>
  <c r="H161" i="38"/>
  <c r="R171" i="38"/>
  <c r="H205" i="38"/>
  <c r="H192" i="38"/>
  <c r="I188" i="38"/>
  <c r="J188" i="38"/>
  <c r="H188" i="38"/>
  <c r="H179" i="38"/>
  <c r="I171" i="38"/>
  <c r="J171" i="38"/>
  <c r="H171" i="38"/>
  <c r="I117" i="38"/>
  <c r="J117" i="38"/>
  <c r="H117" i="38"/>
  <c r="H44" i="38"/>
  <c r="H31" i="38"/>
  <c r="H35" i="38"/>
  <c r="I40" i="38"/>
  <c r="J40" i="38"/>
  <c r="H40" i="38"/>
  <c r="J27" i="38"/>
  <c r="I27" i="38"/>
  <c r="H27" i="38"/>
  <c r="D192" i="38"/>
  <c r="D188" i="38"/>
  <c r="D179" i="38"/>
  <c r="D171" i="38"/>
  <c r="D161" i="38"/>
  <c r="D117" i="38"/>
  <c r="D44" i="38"/>
  <c r="D40" i="38"/>
  <c r="D35" i="38"/>
  <c r="D31" i="38"/>
  <c r="D27" i="38"/>
  <c r="D12" i="38"/>
  <c r="D205" i="38"/>
  <c r="I205" i="38"/>
  <c r="J205" i="38"/>
  <c r="Q222" i="38"/>
  <c r="Q226" i="38" s="1"/>
  <c r="J222" i="38"/>
  <c r="H222" i="38"/>
  <c r="J234" i="38"/>
  <c r="H234" i="38"/>
  <c r="J240" i="38"/>
  <c r="H240" i="38"/>
  <c r="D240" i="38"/>
  <c r="R240" i="38"/>
  <c r="M240" i="38"/>
  <c r="I240" i="38"/>
  <c r="S238" i="38"/>
  <c r="Q238" i="38"/>
  <c r="S222" i="38"/>
  <c r="R222" i="38"/>
  <c r="P222" i="38"/>
  <c r="O222" i="38"/>
  <c r="N222" i="38"/>
  <c r="M222" i="38"/>
  <c r="L222" i="38"/>
  <c r="K222" i="38"/>
  <c r="I222" i="38"/>
  <c r="R205" i="38"/>
  <c r="M205" i="38"/>
  <c r="S204" i="38"/>
  <c r="Q204" i="38" s="1"/>
  <c r="S197" i="38"/>
  <c r="R197" i="38"/>
  <c r="Q197" i="38"/>
  <c r="P197" i="38"/>
  <c r="O197" i="38"/>
  <c r="N197" i="38"/>
  <c r="M197" i="38"/>
  <c r="L197" i="38"/>
  <c r="K197" i="38"/>
  <c r="J197" i="38"/>
  <c r="I197" i="38"/>
  <c r="H197" i="38"/>
  <c r="G197" i="38"/>
  <c r="F197" i="38"/>
  <c r="E197" i="38"/>
  <c r="D197" i="38"/>
  <c r="M192" i="38"/>
  <c r="J192" i="38"/>
  <c r="I192" i="38"/>
  <c r="Q191" i="38"/>
  <c r="S191" i="38" s="1"/>
  <c r="S192" i="38" s="1"/>
  <c r="R188" i="38"/>
  <c r="M188" i="38"/>
  <c r="Q187" i="38"/>
  <c r="S187" i="38" s="1"/>
  <c r="Q186" i="38"/>
  <c r="S186" i="38" s="1"/>
  <c r="Q185" i="38"/>
  <c r="S185" i="38" s="1"/>
  <c r="Q184" i="38"/>
  <c r="S184" i="38" s="1"/>
  <c r="Q183" i="38"/>
  <c r="S183" i="38" s="1"/>
  <c r="Q182" i="38"/>
  <c r="S182" i="38" s="1"/>
  <c r="Q181" i="38"/>
  <c r="S181" i="38" s="1"/>
  <c r="M179" i="38"/>
  <c r="J179" i="38"/>
  <c r="I179" i="38"/>
  <c r="Q178" i="38"/>
  <c r="S178" i="38" s="1"/>
  <c r="Q177" i="38"/>
  <c r="S177" i="38" s="1"/>
  <c r="Q176" i="38"/>
  <c r="S176" i="38" s="1"/>
  <c r="Q175" i="38"/>
  <c r="S175" i="38" s="1"/>
  <c r="Q174" i="38"/>
  <c r="Q173" i="38"/>
  <c r="S173" i="38" s="1"/>
  <c r="M171" i="38"/>
  <c r="S170" i="38"/>
  <c r="Q170" i="38"/>
  <c r="S169" i="38"/>
  <c r="Q169" i="38"/>
  <c r="S168" i="38"/>
  <c r="Q168" i="38"/>
  <c r="S167" i="38"/>
  <c r="Q167" i="38"/>
  <c r="S166" i="38"/>
  <c r="Q166" i="38"/>
  <c r="S165" i="38"/>
  <c r="Q165" i="38"/>
  <c r="S164" i="38"/>
  <c r="Q164" i="38"/>
  <c r="S163" i="38"/>
  <c r="Q163" i="38"/>
  <c r="M161" i="38"/>
  <c r="J161" i="38"/>
  <c r="I161" i="38"/>
  <c r="Q160" i="38"/>
  <c r="S160" i="38" s="1"/>
  <c r="Q159" i="38"/>
  <c r="S159" i="38" s="1"/>
  <c r="Q158" i="38"/>
  <c r="S158" i="38" s="1"/>
  <c r="Q157" i="38"/>
  <c r="S157" i="38" s="1"/>
  <c r="Q156" i="38"/>
  <c r="S156" i="38" s="1"/>
  <c r="Q155" i="38"/>
  <c r="S155" i="38" s="1"/>
  <c r="Q154" i="38"/>
  <c r="S154" i="38" s="1"/>
  <c r="Q153" i="38"/>
  <c r="S153" i="38" s="1"/>
  <c r="Q152" i="38"/>
  <c r="S152" i="38" s="1"/>
  <c r="Q151" i="38"/>
  <c r="S151" i="38" s="1"/>
  <c r="Q150" i="38"/>
  <c r="S150" i="38" s="1"/>
  <c r="Q149" i="38"/>
  <c r="S149" i="38" s="1"/>
  <c r="Q148" i="38"/>
  <c r="S148" i="38" s="1"/>
  <c r="Q147" i="38"/>
  <c r="S147" i="38" s="1"/>
  <c r="Q146" i="38"/>
  <c r="S146" i="38" s="1"/>
  <c r="Q145" i="38"/>
  <c r="S145" i="38" s="1"/>
  <c r="Q144" i="38"/>
  <c r="S144" i="38" s="1"/>
  <c r="Q143" i="38"/>
  <c r="S143" i="38" s="1"/>
  <c r="Q142" i="38"/>
  <c r="S142" i="38" s="1"/>
  <c r="Q141" i="38"/>
  <c r="S141" i="38" s="1"/>
  <c r="Q140" i="38"/>
  <c r="S140" i="38" s="1"/>
  <c r="Q139" i="38"/>
  <c r="S139" i="38" s="1"/>
  <c r="Q138" i="38"/>
  <c r="S138" i="38" s="1"/>
  <c r="Q137" i="38"/>
  <c r="S137" i="38" s="1"/>
  <c r="Q136" i="38"/>
  <c r="S136" i="38" s="1"/>
  <c r="Q135" i="38"/>
  <c r="S135" i="38" s="1"/>
  <c r="Q134" i="38"/>
  <c r="S134" i="38" s="1"/>
  <c r="Q133" i="38"/>
  <c r="S133" i="38" s="1"/>
  <c r="Q132" i="38"/>
  <c r="S132" i="38" s="1"/>
  <c r="Q131" i="38"/>
  <c r="S131" i="38" s="1"/>
  <c r="Q130" i="38"/>
  <c r="S130" i="38" s="1"/>
  <c r="Q129" i="38"/>
  <c r="S129" i="38" s="1"/>
  <c r="Q128" i="38"/>
  <c r="S128" i="38" s="1"/>
  <c r="Q127" i="38"/>
  <c r="S127" i="38" s="1"/>
  <c r="Q126" i="38"/>
  <c r="S126" i="38" s="1"/>
  <c r="Q125" i="38"/>
  <c r="S125" i="38" s="1"/>
  <c r="Q124" i="38"/>
  <c r="S124" i="38" s="1"/>
  <c r="Q123" i="38"/>
  <c r="S123" i="38" s="1"/>
  <c r="Q122" i="38"/>
  <c r="S122" i="38" s="1"/>
  <c r="Q121" i="38"/>
  <c r="S121" i="38" s="1"/>
  <c r="Q120" i="38"/>
  <c r="P117" i="38"/>
  <c r="O117" i="38"/>
  <c r="N117" i="38"/>
  <c r="M117" i="38"/>
  <c r="L117" i="38"/>
  <c r="K117" i="38"/>
  <c r="K206" i="38" s="1"/>
  <c r="S116" i="38"/>
  <c r="R116" i="38" s="1"/>
  <c r="S115" i="38"/>
  <c r="R115" i="38" s="1"/>
  <c r="S114" i="38"/>
  <c r="R114" i="38" s="1"/>
  <c r="S113" i="38"/>
  <c r="R113" i="38" s="1"/>
  <c r="S112" i="38"/>
  <c r="R112" i="38" s="1"/>
  <c r="S111" i="38"/>
  <c r="R111" i="38" s="1"/>
  <c r="S110" i="38"/>
  <c r="R110" i="38" s="1"/>
  <c r="Q110" i="38" s="1"/>
  <c r="S109" i="38"/>
  <c r="R109" i="38" s="1"/>
  <c r="S108" i="38"/>
  <c r="R108" i="38" s="1"/>
  <c r="S107" i="38"/>
  <c r="R107" i="38" s="1"/>
  <c r="Q107" i="38" s="1"/>
  <c r="S106" i="38"/>
  <c r="R106" i="38" s="1"/>
  <c r="S105" i="38"/>
  <c r="R105" i="38" s="1"/>
  <c r="S104" i="38"/>
  <c r="R104" i="38" s="1"/>
  <c r="S103" i="38"/>
  <c r="R103" i="38" s="1"/>
  <c r="Q103" i="38" s="1"/>
  <c r="S102" i="38"/>
  <c r="R102" i="38" s="1"/>
  <c r="Q102" i="38" s="1"/>
  <c r="S101" i="38"/>
  <c r="R101" i="38" s="1"/>
  <c r="S100" i="38"/>
  <c r="R100" i="38" s="1"/>
  <c r="S99" i="38"/>
  <c r="R99" i="38" s="1"/>
  <c r="Q99" i="38" s="1"/>
  <c r="S98" i="38"/>
  <c r="R98" i="38" s="1"/>
  <c r="Q98" i="38" s="1"/>
  <c r="S97" i="38"/>
  <c r="R97" i="38" s="1"/>
  <c r="S96" i="38"/>
  <c r="R96" i="38" s="1"/>
  <c r="S95" i="38"/>
  <c r="R95" i="38" s="1"/>
  <c r="Q95" i="38" s="1"/>
  <c r="S94" i="38"/>
  <c r="R94" i="38" s="1"/>
  <c r="S93" i="38"/>
  <c r="R93" i="38" s="1"/>
  <c r="S92" i="38"/>
  <c r="R92" i="38" s="1"/>
  <c r="S91" i="38"/>
  <c r="R91" i="38" s="1"/>
  <c r="Q91" i="38" s="1"/>
  <c r="S90" i="38"/>
  <c r="R90" i="38" s="1"/>
  <c r="S89" i="38"/>
  <c r="R89" i="38" s="1"/>
  <c r="S88" i="38"/>
  <c r="R88" i="38" s="1"/>
  <c r="S87" i="38"/>
  <c r="R87" i="38" s="1"/>
  <c r="Q87" i="38" s="1"/>
  <c r="S86" i="38"/>
  <c r="R86" i="38" s="1"/>
  <c r="S85" i="38"/>
  <c r="R85" i="38" s="1"/>
  <c r="S84" i="38"/>
  <c r="R84" i="38" s="1"/>
  <c r="S83" i="38"/>
  <c r="R83" i="38" s="1"/>
  <c r="S82" i="38"/>
  <c r="R82" i="38" s="1"/>
  <c r="S81" i="38"/>
  <c r="R81" i="38" s="1"/>
  <c r="S80" i="38"/>
  <c r="R80" i="38" s="1"/>
  <c r="S79" i="38"/>
  <c r="R79" i="38" s="1"/>
  <c r="S78" i="38"/>
  <c r="R78" i="38" s="1"/>
  <c r="S77" i="38"/>
  <c r="R77" i="38" s="1"/>
  <c r="S76" i="38"/>
  <c r="R76" i="38" s="1"/>
  <c r="S75" i="38"/>
  <c r="R75" i="38" s="1"/>
  <c r="Q75" i="38" s="1"/>
  <c r="S73" i="38"/>
  <c r="R73" i="38" s="1"/>
  <c r="Q73" i="38" s="1"/>
  <c r="S72" i="38"/>
  <c r="R72" i="38" s="1"/>
  <c r="S71" i="38"/>
  <c r="R71" i="38" s="1"/>
  <c r="S70" i="38"/>
  <c r="R70" i="38" s="1"/>
  <c r="S69" i="38"/>
  <c r="R69" i="38" s="1"/>
  <c r="S68" i="38"/>
  <c r="R68" i="38" s="1"/>
  <c r="S67" i="38"/>
  <c r="R67" i="38" s="1"/>
  <c r="S66" i="38"/>
  <c r="R66" i="38" s="1"/>
  <c r="Q66" i="38" s="1"/>
  <c r="S65" i="38"/>
  <c r="R65" i="38" s="1"/>
  <c r="S64" i="38"/>
  <c r="R64" i="38" s="1"/>
  <c r="S63" i="38"/>
  <c r="R63" i="38" s="1"/>
  <c r="S62" i="38"/>
  <c r="R62" i="38" s="1"/>
  <c r="Q62" i="38" s="1"/>
  <c r="S61" i="38"/>
  <c r="R61" i="38" s="1"/>
  <c r="Q61" i="38" s="1"/>
  <c r="S60" i="38"/>
  <c r="R60" i="38" s="1"/>
  <c r="S59" i="38"/>
  <c r="R59" i="38" s="1"/>
  <c r="S58" i="38"/>
  <c r="R58" i="38" s="1"/>
  <c r="S57" i="38"/>
  <c r="R57" i="38" s="1"/>
  <c r="S56" i="38"/>
  <c r="R56" i="38" s="1"/>
  <c r="S55" i="38"/>
  <c r="R55" i="38" s="1"/>
  <c r="S54" i="38"/>
  <c r="R54" i="38" s="1"/>
  <c r="S53" i="38"/>
  <c r="R53" i="38" s="1"/>
  <c r="S52" i="38"/>
  <c r="R52" i="38" s="1"/>
  <c r="S51" i="38"/>
  <c r="R51" i="38" s="1"/>
  <c r="S50" i="38"/>
  <c r="R50" i="38" s="1"/>
  <c r="Q50" i="38" s="1"/>
  <c r="S49" i="38"/>
  <c r="R49" i="38" s="1"/>
  <c r="Q49" i="38" s="1"/>
  <c r="S48" i="38"/>
  <c r="S47" i="38"/>
  <c r="R47" i="38" s="1"/>
  <c r="S46" i="38"/>
  <c r="S44" i="38"/>
  <c r="R44" i="38"/>
  <c r="Q44" i="38"/>
  <c r="M44" i="38"/>
  <c r="J44" i="38"/>
  <c r="I44" i="38"/>
  <c r="M40" i="38"/>
  <c r="S38" i="38"/>
  <c r="S40" i="38" s="1"/>
  <c r="M35" i="38"/>
  <c r="J35" i="38"/>
  <c r="I35" i="38"/>
  <c r="S34" i="38"/>
  <c r="S33" i="38"/>
  <c r="S31" i="38"/>
  <c r="R31" i="38"/>
  <c r="Q31" i="38"/>
  <c r="P31" i="38"/>
  <c r="N31" i="38"/>
  <c r="M31" i="38"/>
  <c r="L31" i="38"/>
  <c r="J31" i="38"/>
  <c r="I31" i="38"/>
  <c r="G31" i="38"/>
  <c r="G206" i="38" s="1"/>
  <c r="E31" i="38"/>
  <c r="M27" i="38"/>
  <c r="S26" i="38"/>
  <c r="S25" i="38"/>
  <c r="R25" i="38" s="1"/>
  <c r="Q25" i="38" s="1"/>
  <c r="S24" i="38"/>
  <c r="R24" i="38" s="1"/>
  <c r="Q24" i="38" s="1"/>
  <c r="S23" i="38"/>
  <c r="R23" i="38" s="1"/>
  <c r="S22" i="38"/>
  <c r="S21" i="38"/>
  <c r="R21" i="38" s="1"/>
  <c r="S20" i="38"/>
  <c r="R20" i="38" s="1"/>
  <c r="S19" i="38"/>
  <c r="R19" i="38" s="1"/>
  <c r="S18" i="38"/>
  <c r="S17" i="38"/>
  <c r="R17" i="38" s="1"/>
  <c r="Q17" i="38" s="1"/>
  <c r="S16" i="38"/>
  <c r="R16" i="38" s="1"/>
  <c r="S15" i="38"/>
  <c r="R15" i="38" s="1"/>
  <c r="S14" i="38"/>
  <c r="M12" i="38"/>
  <c r="J12" i="38"/>
  <c r="I12" i="38"/>
  <c r="H12" i="38"/>
  <c r="S11" i="38"/>
  <c r="R11" i="38" s="1"/>
  <c r="S10" i="38"/>
  <c r="R10" i="38" s="1"/>
  <c r="S9" i="38"/>
  <c r="R9" i="38" s="1"/>
  <c r="Q9" i="38" s="1"/>
  <c r="S8" i="38"/>
  <c r="R8" i="38" s="1"/>
  <c r="F63" i="37"/>
  <c r="F59" i="37"/>
  <c r="F56" i="37"/>
  <c r="F50" i="37"/>
  <c r="K95" i="36"/>
  <c r="J101" i="36"/>
  <c r="J100" i="36"/>
  <c r="I99" i="36"/>
  <c r="I95" i="36"/>
  <c r="I90" i="36"/>
  <c r="I87" i="36"/>
  <c r="J91" i="36" s="1"/>
  <c r="I70" i="36"/>
  <c r="I66" i="36"/>
  <c r="I62" i="36"/>
  <c r="G62" i="36"/>
  <c r="I40" i="36"/>
  <c r="I14" i="36"/>
  <c r="I11" i="36"/>
  <c r="I162" i="35"/>
  <c r="H162" i="35"/>
  <c r="H155" i="35"/>
  <c r="F152" i="35"/>
  <c r="H152" i="35"/>
  <c r="H102" i="35"/>
  <c r="H43" i="35"/>
  <c r="H39" i="35"/>
  <c r="H35" i="35"/>
  <c r="H31" i="35"/>
  <c r="H27" i="35"/>
  <c r="H12" i="35"/>
  <c r="H163" i="34"/>
  <c r="S40" i="34"/>
  <c r="M40" i="34"/>
  <c r="S118" i="34"/>
  <c r="S116" i="34"/>
  <c r="S117" i="34"/>
  <c r="M119" i="34"/>
  <c r="H119" i="34"/>
  <c r="I119" i="34"/>
  <c r="J119" i="34"/>
  <c r="D119" i="34"/>
  <c r="S38" i="34"/>
  <c r="I11" i="34"/>
  <c r="J11" i="34" s="1"/>
  <c r="R333" i="34"/>
  <c r="M333" i="34"/>
  <c r="J333" i="34"/>
  <c r="I333" i="34"/>
  <c r="H333" i="34"/>
  <c r="S331" i="34"/>
  <c r="Q331" i="34"/>
  <c r="S330" i="34"/>
  <c r="Q330" i="34"/>
  <c r="S315" i="34"/>
  <c r="S319" i="34" s="1"/>
  <c r="R315" i="34"/>
  <c r="Q315" i="34"/>
  <c r="Q319" i="34" s="1"/>
  <c r="P315" i="34"/>
  <c r="O315" i="34"/>
  <c r="N315" i="34"/>
  <c r="M315" i="34"/>
  <c r="L315" i="34"/>
  <c r="K315" i="34"/>
  <c r="J315" i="34"/>
  <c r="I315" i="34"/>
  <c r="H315" i="34"/>
  <c r="R298" i="34"/>
  <c r="M298" i="34"/>
  <c r="J298" i="34"/>
  <c r="I298" i="34"/>
  <c r="H298" i="34"/>
  <c r="S297" i="34"/>
  <c r="Q297" i="34" s="1"/>
  <c r="S296" i="34"/>
  <c r="Q296" i="34" s="1"/>
  <c r="S295" i="34"/>
  <c r="Q295" i="34" s="1"/>
  <c r="S294" i="34"/>
  <c r="Q294" i="34" s="1"/>
  <c r="S293" i="34"/>
  <c r="Q293" i="34" s="1"/>
  <c r="S292" i="34"/>
  <c r="Q292" i="34" s="1"/>
  <c r="S291" i="34"/>
  <c r="Q291" i="34" s="1"/>
  <c r="S290" i="34"/>
  <c r="Q290" i="34" s="1"/>
  <c r="S289" i="34"/>
  <c r="Q289" i="34" s="1"/>
  <c r="S288" i="34"/>
  <c r="Q288" i="34" s="1"/>
  <c r="S287" i="34"/>
  <c r="Q287" i="34" s="1"/>
  <c r="S286" i="34"/>
  <c r="Q286" i="34" s="1"/>
  <c r="S285" i="34"/>
  <c r="Q285" i="34" s="1"/>
  <c r="S284" i="34"/>
  <c r="Q284" i="34" s="1"/>
  <c r="S283" i="34"/>
  <c r="Q283" i="34" s="1"/>
  <c r="S324" i="34"/>
  <c r="Q324" i="34" s="1"/>
  <c r="S282" i="34"/>
  <c r="Q282" i="34" s="1"/>
  <c r="S281" i="34"/>
  <c r="Q281" i="34" s="1"/>
  <c r="S280" i="34"/>
  <c r="Q280" i="34" s="1"/>
  <c r="S279" i="34"/>
  <c r="Q279" i="34" s="1"/>
  <c r="S278" i="34"/>
  <c r="Q278" i="34" s="1"/>
  <c r="S277" i="34"/>
  <c r="Q277" i="34" s="1"/>
  <c r="S276" i="34"/>
  <c r="Q276" i="34" s="1"/>
  <c r="S275" i="34"/>
  <c r="Q275" i="34" s="1"/>
  <c r="S274" i="34"/>
  <c r="Q274" i="34" s="1"/>
  <c r="S273" i="34"/>
  <c r="Q273" i="34" s="1"/>
  <c r="S272" i="34"/>
  <c r="Q272" i="34" s="1"/>
  <c r="S271" i="34"/>
  <c r="Q271" i="34" s="1"/>
  <c r="S270" i="34"/>
  <c r="Q270" i="34" s="1"/>
  <c r="S269" i="34"/>
  <c r="Q269" i="34" s="1"/>
  <c r="S268" i="34"/>
  <c r="Q268" i="34" s="1"/>
  <c r="S267" i="34"/>
  <c r="Q267" i="34" s="1"/>
  <c r="S266" i="34"/>
  <c r="Q266" i="34" s="1"/>
  <c r="S265" i="34"/>
  <c r="Q265" i="34" s="1"/>
  <c r="S264" i="34"/>
  <c r="Q264" i="34" s="1"/>
  <c r="S263" i="34"/>
  <c r="Q263" i="34" s="1"/>
  <c r="S262" i="34"/>
  <c r="Q262" i="34" s="1"/>
  <c r="S261" i="34"/>
  <c r="Q261" i="34" s="1"/>
  <c r="S260" i="34"/>
  <c r="Q260" i="34" s="1"/>
  <c r="S259" i="34"/>
  <c r="Q259" i="34" s="1"/>
  <c r="S258" i="34"/>
  <c r="Q258" i="34" s="1"/>
  <c r="S257" i="34"/>
  <c r="Q257" i="34" s="1"/>
  <c r="S256" i="34"/>
  <c r="Q256" i="34" s="1"/>
  <c r="S255" i="34"/>
  <c r="Q255" i="34" s="1"/>
  <c r="S254" i="34"/>
  <c r="Q254" i="34" s="1"/>
  <c r="S253" i="34"/>
  <c r="Q253" i="34" s="1"/>
  <c r="S252" i="34"/>
  <c r="Q252" i="34" s="1"/>
  <c r="S251" i="34"/>
  <c r="Q251" i="34" s="1"/>
  <c r="S250" i="34"/>
  <c r="Q250" i="34" s="1"/>
  <c r="S249" i="34"/>
  <c r="Q249" i="34" s="1"/>
  <c r="S247" i="34"/>
  <c r="Q247" i="34" s="1"/>
  <c r="S240" i="34"/>
  <c r="R240" i="34"/>
  <c r="Q240" i="34"/>
  <c r="P240" i="34"/>
  <c r="O240" i="34"/>
  <c r="N240" i="34"/>
  <c r="M240" i="34"/>
  <c r="L240" i="34"/>
  <c r="K240" i="34"/>
  <c r="J240" i="34"/>
  <c r="I240" i="34"/>
  <c r="H240" i="34"/>
  <c r="G240" i="34"/>
  <c r="F240" i="34"/>
  <c r="E240" i="34"/>
  <c r="D240" i="34"/>
  <c r="M194" i="34"/>
  <c r="J194" i="34"/>
  <c r="I194" i="34"/>
  <c r="H194" i="34"/>
  <c r="D194" i="34"/>
  <c r="Q193" i="34"/>
  <c r="S193" i="34" s="1"/>
  <c r="S194" i="34" s="1"/>
  <c r="R190" i="34"/>
  <c r="M190" i="34"/>
  <c r="J190" i="34"/>
  <c r="I190" i="34"/>
  <c r="H190" i="34"/>
  <c r="Q189" i="34"/>
  <c r="S189" i="34" s="1"/>
  <c r="Q188" i="34"/>
  <c r="S188" i="34" s="1"/>
  <c r="Q187" i="34"/>
  <c r="S187" i="34" s="1"/>
  <c r="Q186" i="34"/>
  <c r="S186" i="34" s="1"/>
  <c r="Q185" i="34"/>
  <c r="S185" i="34" s="1"/>
  <c r="Q184" i="34"/>
  <c r="S184" i="34" s="1"/>
  <c r="Q183" i="34"/>
  <c r="S183" i="34" s="1"/>
  <c r="M181" i="34"/>
  <c r="J181" i="34"/>
  <c r="I181" i="34"/>
  <c r="H181" i="34"/>
  <c r="D181" i="34"/>
  <c r="Q180" i="34"/>
  <c r="S180" i="34" s="1"/>
  <c r="Q179" i="34"/>
  <c r="S179" i="34" s="1"/>
  <c r="Q178" i="34"/>
  <c r="S178" i="34" s="1"/>
  <c r="Q177" i="34"/>
  <c r="S177" i="34" s="1"/>
  <c r="Q176" i="34"/>
  <c r="S176" i="34" s="1"/>
  <c r="Q175" i="34"/>
  <c r="R173" i="34"/>
  <c r="M173" i="34"/>
  <c r="J173" i="34"/>
  <c r="I173" i="34"/>
  <c r="H173" i="34"/>
  <c r="D173" i="34"/>
  <c r="S172" i="34"/>
  <c r="Q172" i="34"/>
  <c r="S171" i="34"/>
  <c r="Q171" i="34"/>
  <c r="S170" i="34"/>
  <c r="Q170" i="34"/>
  <c r="S169" i="34"/>
  <c r="Q169" i="34"/>
  <c r="S168" i="34"/>
  <c r="Q168" i="34"/>
  <c r="S167" i="34"/>
  <c r="Q167" i="34"/>
  <c r="S166" i="34"/>
  <c r="Q166" i="34"/>
  <c r="S165" i="34"/>
  <c r="Q165" i="34"/>
  <c r="R163" i="34"/>
  <c r="M163" i="34"/>
  <c r="J163" i="34"/>
  <c r="I163" i="34"/>
  <c r="D163" i="34"/>
  <c r="Q162" i="34"/>
  <c r="S162" i="34" s="1"/>
  <c r="Q161" i="34"/>
  <c r="S161" i="34" s="1"/>
  <c r="Q160" i="34"/>
  <c r="Q159" i="34"/>
  <c r="S159" i="34" s="1"/>
  <c r="Q158" i="34"/>
  <c r="S158" i="34" s="1"/>
  <c r="Q157" i="34"/>
  <c r="S157" i="34" s="1"/>
  <c r="Q156" i="34"/>
  <c r="S156" i="34" s="1"/>
  <c r="Q155" i="34"/>
  <c r="S155" i="34" s="1"/>
  <c r="Q154" i="34"/>
  <c r="S154" i="34" s="1"/>
  <c r="Q153" i="34"/>
  <c r="S153" i="34" s="1"/>
  <c r="Q152" i="34"/>
  <c r="S152" i="34" s="1"/>
  <c r="Q151" i="34"/>
  <c r="S151" i="34" s="1"/>
  <c r="Q150" i="34"/>
  <c r="S150" i="34" s="1"/>
  <c r="Q149" i="34"/>
  <c r="S149" i="34" s="1"/>
  <c r="Q148" i="34"/>
  <c r="S148" i="34" s="1"/>
  <c r="Q147" i="34"/>
  <c r="S147" i="34" s="1"/>
  <c r="Q146" i="34"/>
  <c r="S146" i="34" s="1"/>
  <c r="Q145" i="34"/>
  <c r="S145" i="34" s="1"/>
  <c r="Q144" i="34"/>
  <c r="S144" i="34" s="1"/>
  <c r="Q143" i="34"/>
  <c r="S143" i="34" s="1"/>
  <c r="Q142" i="34"/>
  <c r="S142" i="34" s="1"/>
  <c r="Q141" i="34"/>
  <c r="S141" i="34" s="1"/>
  <c r="Q140" i="34"/>
  <c r="S140" i="34" s="1"/>
  <c r="Q139" i="34"/>
  <c r="S139" i="34" s="1"/>
  <c r="Q138" i="34"/>
  <c r="S138" i="34" s="1"/>
  <c r="Q137" i="34"/>
  <c r="S137" i="34" s="1"/>
  <c r="Q136" i="34"/>
  <c r="S136" i="34" s="1"/>
  <c r="Q135" i="34"/>
  <c r="S135" i="34" s="1"/>
  <c r="Q134" i="34"/>
  <c r="S134" i="34" s="1"/>
  <c r="Q133" i="34"/>
  <c r="S133" i="34" s="1"/>
  <c r="Q132" i="34"/>
  <c r="S132" i="34" s="1"/>
  <c r="Q131" i="34"/>
  <c r="S131" i="34" s="1"/>
  <c r="Q130" i="34"/>
  <c r="S130" i="34" s="1"/>
  <c r="Q129" i="34"/>
  <c r="S129" i="34" s="1"/>
  <c r="Q128" i="34"/>
  <c r="S128" i="34" s="1"/>
  <c r="Q127" i="34"/>
  <c r="S127" i="34" s="1"/>
  <c r="Q126" i="34"/>
  <c r="S126" i="34" s="1"/>
  <c r="Q125" i="34"/>
  <c r="S125" i="34" s="1"/>
  <c r="Q124" i="34"/>
  <c r="S124" i="34" s="1"/>
  <c r="Q123" i="34"/>
  <c r="S123" i="34" s="1"/>
  <c r="Q122" i="34"/>
  <c r="S122" i="34" s="1"/>
  <c r="P119" i="34"/>
  <c r="O119" i="34"/>
  <c r="N119" i="34"/>
  <c r="L119" i="34"/>
  <c r="K119" i="34"/>
  <c r="S115" i="34"/>
  <c r="R115" i="34" s="1"/>
  <c r="Q115" i="34" s="1"/>
  <c r="S114" i="34"/>
  <c r="R114" i="34" s="1"/>
  <c r="Q114" i="34" s="1"/>
  <c r="S113" i="34"/>
  <c r="R113" i="34" s="1"/>
  <c r="Q113" i="34" s="1"/>
  <c r="S112" i="34"/>
  <c r="R112" i="34" s="1"/>
  <c r="S111" i="34"/>
  <c r="R111" i="34" s="1"/>
  <c r="Q111" i="34" s="1"/>
  <c r="S110" i="34"/>
  <c r="R110" i="34" s="1"/>
  <c r="S109" i="34"/>
  <c r="R109" i="34" s="1"/>
  <c r="Q109" i="34" s="1"/>
  <c r="S108" i="34"/>
  <c r="R108" i="34" s="1"/>
  <c r="S107" i="34"/>
  <c r="R107" i="34" s="1"/>
  <c r="Q107" i="34" s="1"/>
  <c r="S106" i="34"/>
  <c r="R106" i="34" s="1"/>
  <c r="Q106" i="34" s="1"/>
  <c r="S105" i="34"/>
  <c r="S104" i="34"/>
  <c r="R104" i="34" s="1"/>
  <c r="S103" i="34"/>
  <c r="R103" i="34" s="1"/>
  <c r="Q103" i="34" s="1"/>
  <c r="S102" i="34"/>
  <c r="R102" i="34" s="1"/>
  <c r="Q102" i="34" s="1"/>
  <c r="S101" i="34"/>
  <c r="R101" i="34" s="1"/>
  <c r="S100" i="34"/>
  <c r="R100" i="34" s="1"/>
  <c r="S99" i="34"/>
  <c r="R99" i="34" s="1"/>
  <c r="Q99" i="34" s="1"/>
  <c r="S98" i="34"/>
  <c r="R98" i="34" s="1"/>
  <c r="S97" i="34"/>
  <c r="R97" i="34" s="1"/>
  <c r="S96" i="34"/>
  <c r="R96" i="34" s="1"/>
  <c r="S95" i="34"/>
  <c r="R95" i="34" s="1"/>
  <c r="Q95" i="34" s="1"/>
  <c r="S94" i="34"/>
  <c r="R94" i="34" s="1"/>
  <c r="S93" i="34"/>
  <c r="R93" i="34" s="1"/>
  <c r="S92" i="34"/>
  <c r="R92" i="34" s="1"/>
  <c r="S91" i="34"/>
  <c r="R91" i="34" s="1"/>
  <c r="Q91" i="34" s="1"/>
  <c r="S90" i="34"/>
  <c r="R90" i="34" s="1"/>
  <c r="Q90" i="34" s="1"/>
  <c r="S89" i="34"/>
  <c r="S88" i="34"/>
  <c r="R88" i="34" s="1"/>
  <c r="S87" i="34"/>
  <c r="R87" i="34" s="1"/>
  <c r="Q87" i="34" s="1"/>
  <c r="S86" i="34"/>
  <c r="R86" i="34" s="1"/>
  <c r="Q86" i="34" s="1"/>
  <c r="S85" i="34"/>
  <c r="R85" i="34" s="1"/>
  <c r="S84" i="34"/>
  <c r="R84" i="34" s="1"/>
  <c r="S83" i="34"/>
  <c r="R83" i="34" s="1"/>
  <c r="S82" i="34"/>
  <c r="R82" i="34" s="1"/>
  <c r="Q82" i="34" s="1"/>
  <c r="S81" i="34"/>
  <c r="R81" i="34" s="1"/>
  <c r="S80" i="34"/>
  <c r="R80" i="34" s="1"/>
  <c r="S79" i="34"/>
  <c r="R79" i="34" s="1"/>
  <c r="S78" i="34"/>
  <c r="R78" i="34" s="1"/>
  <c r="S77" i="34"/>
  <c r="R77" i="34" s="1"/>
  <c r="S76" i="34"/>
  <c r="R76" i="34" s="1"/>
  <c r="S75" i="34"/>
  <c r="R75" i="34" s="1"/>
  <c r="S73" i="34"/>
  <c r="R73" i="34" s="1"/>
  <c r="Q73" i="34" s="1"/>
  <c r="S72" i="34"/>
  <c r="S71" i="34"/>
  <c r="R71" i="34" s="1"/>
  <c r="S70" i="34"/>
  <c r="R70" i="34" s="1"/>
  <c r="Q70" i="34" s="1"/>
  <c r="S69" i="34"/>
  <c r="R69" i="34" s="1"/>
  <c r="Q69" i="34" s="1"/>
  <c r="S68" i="34"/>
  <c r="R68" i="34" s="1"/>
  <c r="S67" i="34"/>
  <c r="R67" i="34" s="1"/>
  <c r="S66" i="34"/>
  <c r="R66" i="34" s="1"/>
  <c r="S65" i="34"/>
  <c r="R65" i="34" s="1"/>
  <c r="Q65" i="34" s="1"/>
  <c r="S64" i="34"/>
  <c r="R64" i="34" s="1"/>
  <c r="S63" i="34"/>
  <c r="R63" i="34" s="1"/>
  <c r="S62" i="34"/>
  <c r="R62" i="34" s="1"/>
  <c r="Q62" i="34" s="1"/>
  <c r="S61" i="34"/>
  <c r="R61" i="34" s="1"/>
  <c r="S60" i="34"/>
  <c r="R60" i="34" s="1"/>
  <c r="S59" i="34"/>
  <c r="R59" i="34" s="1"/>
  <c r="S58" i="34"/>
  <c r="R58" i="34" s="1"/>
  <c r="S57" i="34"/>
  <c r="R57" i="34" s="1"/>
  <c r="Q57" i="34" s="1"/>
  <c r="S56" i="34"/>
  <c r="S55" i="34"/>
  <c r="R55" i="34" s="1"/>
  <c r="S54" i="34"/>
  <c r="R54" i="34" s="1"/>
  <c r="S53" i="34"/>
  <c r="R53" i="34" s="1"/>
  <c r="Q53" i="34" s="1"/>
  <c r="S52" i="34"/>
  <c r="R52" i="34" s="1"/>
  <c r="S51" i="34"/>
  <c r="R51" i="34" s="1"/>
  <c r="S50" i="34"/>
  <c r="R50" i="34" s="1"/>
  <c r="S49" i="34"/>
  <c r="R49" i="34" s="1"/>
  <c r="Q49" i="34" s="1"/>
  <c r="S48" i="34"/>
  <c r="R48" i="34" s="1"/>
  <c r="S47" i="34"/>
  <c r="R47" i="34" s="1"/>
  <c r="S46" i="34"/>
  <c r="S44" i="34"/>
  <c r="R44" i="34"/>
  <c r="Q44" i="34"/>
  <c r="M44" i="34"/>
  <c r="J44" i="34"/>
  <c r="I44" i="34"/>
  <c r="H44" i="34"/>
  <c r="D44" i="34"/>
  <c r="J40" i="34"/>
  <c r="I40" i="34"/>
  <c r="H40" i="34"/>
  <c r="M35" i="34"/>
  <c r="J35" i="34"/>
  <c r="I35" i="34"/>
  <c r="H35" i="34"/>
  <c r="S34" i="34"/>
  <c r="R34" i="34" s="1"/>
  <c r="Q34" i="34" s="1"/>
  <c r="S33" i="34"/>
  <c r="S31" i="34"/>
  <c r="R31" i="34"/>
  <c r="Q31" i="34"/>
  <c r="P31" i="34"/>
  <c r="N31" i="34"/>
  <c r="M31" i="34"/>
  <c r="L31" i="34"/>
  <c r="J31" i="34"/>
  <c r="I31" i="34"/>
  <c r="H31" i="34"/>
  <c r="G31" i="34"/>
  <c r="E31" i="34"/>
  <c r="D31" i="34"/>
  <c r="M27" i="34"/>
  <c r="J27" i="34"/>
  <c r="I27" i="34"/>
  <c r="H27" i="34"/>
  <c r="D27" i="34"/>
  <c r="S26" i="34"/>
  <c r="R26" i="34" s="1"/>
  <c r="S25" i="34"/>
  <c r="R25" i="34" s="1"/>
  <c r="S24" i="34"/>
  <c r="S23" i="34"/>
  <c r="R23" i="34" s="1"/>
  <c r="S22" i="34"/>
  <c r="R22" i="34" s="1"/>
  <c r="S21" i="34"/>
  <c r="R21" i="34" s="1"/>
  <c r="S20" i="34"/>
  <c r="R20" i="34" s="1"/>
  <c r="Q20" i="34" s="1"/>
  <c r="S19" i="34"/>
  <c r="R19" i="34" s="1"/>
  <c r="Q19" i="34" s="1"/>
  <c r="S18" i="34"/>
  <c r="S17" i="34"/>
  <c r="R17" i="34" s="1"/>
  <c r="S16" i="34"/>
  <c r="R16" i="34" s="1"/>
  <c r="S15" i="34"/>
  <c r="R15" i="34" s="1"/>
  <c r="S14" i="34"/>
  <c r="R14" i="34" s="1"/>
  <c r="M12" i="34"/>
  <c r="I12" i="34"/>
  <c r="H12" i="34"/>
  <c r="D12" i="34"/>
  <c r="S10" i="34"/>
  <c r="R10" i="34" s="1"/>
  <c r="S9" i="34"/>
  <c r="R9" i="34" s="1"/>
  <c r="Q9" i="34" s="1"/>
  <c r="S8" i="34"/>
  <c r="R8" i="34" s="1"/>
  <c r="Q8" i="34" s="1"/>
  <c r="S120" i="38" l="1"/>
  <c r="H206" i="38"/>
  <c r="Q171" i="38"/>
  <c r="S171" i="38"/>
  <c r="Q179" i="38"/>
  <c r="L206" i="38"/>
  <c r="Q188" i="38"/>
  <c r="S117" i="38"/>
  <c r="Q58" i="38"/>
  <c r="N206" i="38"/>
  <c r="S12" i="38"/>
  <c r="R12" i="38" s="1"/>
  <c r="Q12" i="38" s="1"/>
  <c r="E206" i="38"/>
  <c r="S240" i="38"/>
  <c r="Q90" i="38"/>
  <c r="Q20" i="38"/>
  <c r="Q70" i="38"/>
  <c r="Q54" i="38"/>
  <c r="Q83" i="38"/>
  <c r="Q79" i="38"/>
  <c r="S35" i="38"/>
  <c r="Q65" i="38"/>
  <c r="P206" i="38"/>
  <c r="S205" i="38"/>
  <c r="R46" i="38"/>
  <c r="Q114" i="38"/>
  <c r="D206" i="38"/>
  <c r="Q240" i="38"/>
  <c r="Q53" i="38"/>
  <c r="Q78" i="38"/>
  <c r="Q86" i="38"/>
  <c r="Q111" i="38"/>
  <c r="Q57" i="38"/>
  <c r="Q69" i="38"/>
  <c r="Q82" i="38"/>
  <c r="Q94" i="38"/>
  <c r="Q106" i="38"/>
  <c r="Q116" i="38"/>
  <c r="M206" i="38"/>
  <c r="M241" i="38" s="1"/>
  <c r="R34" i="38"/>
  <c r="Q34" i="38" s="1"/>
  <c r="J206" i="38"/>
  <c r="Q15" i="38"/>
  <c r="I206" i="38"/>
  <c r="Q19" i="38"/>
  <c r="Q16" i="38"/>
  <c r="Q21" i="38"/>
  <c r="Q23" i="38"/>
  <c r="Q10" i="38"/>
  <c r="S188" i="38"/>
  <c r="Q11" i="38"/>
  <c r="R14" i="38"/>
  <c r="R18" i="38"/>
  <c r="Q18" i="38" s="1"/>
  <c r="R22" i="38"/>
  <c r="Q22" i="38" s="1"/>
  <c r="R26" i="38"/>
  <c r="Q26" i="38" s="1"/>
  <c r="R33" i="38"/>
  <c r="Q38" i="38"/>
  <c r="Q40" i="38" s="1"/>
  <c r="Q52" i="38"/>
  <c r="Q56" i="38"/>
  <c r="Q60" i="38"/>
  <c r="Q64" i="38"/>
  <c r="Q68" i="38"/>
  <c r="Q72" i="38"/>
  <c r="Q77" i="38"/>
  <c r="Q81" i="38"/>
  <c r="Q85" i="38"/>
  <c r="Q89" i="38"/>
  <c r="Q93" i="38"/>
  <c r="Q97" i="38"/>
  <c r="Q101" i="38"/>
  <c r="Q105" i="38"/>
  <c r="Q109" i="38"/>
  <c r="Q113" i="38"/>
  <c r="Q192" i="38"/>
  <c r="S174" i="38"/>
  <c r="Q8" i="38"/>
  <c r="R38" i="38"/>
  <c r="R40" i="38" s="1"/>
  <c r="R48" i="38"/>
  <c r="Q205" i="38"/>
  <c r="Q47" i="38"/>
  <c r="Q51" i="38"/>
  <c r="Q55" i="38"/>
  <c r="Q59" i="38"/>
  <c r="Q63" i="38"/>
  <c r="Q67" i="38"/>
  <c r="Q71" i="38"/>
  <c r="Q76" i="38"/>
  <c r="Q80" i="38"/>
  <c r="Q84" i="38"/>
  <c r="Q88" i="38"/>
  <c r="Q92" i="38"/>
  <c r="Q96" i="38"/>
  <c r="Q100" i="38"/>
  <c r="Q104" i="38"/>
  <c r="Q108" i="38"/>
  <c r="Q112" i="38"/>
  <c r="Q115" i="38"/>
  <c r="Q173" i="34"/>
  <c r="Q181" i="34"/>
  <c r="S119" i="34"/>
  <c r="S173" i="34"/>
  <c r="Q163" i="34"/>
  <c r="R117" i="34"/>
  <c r="Q117" i="34" s="1"/>
  <c r="R116" i="34"/>
  <c r="Q116" i="34" s="1"/>
  <c r="J71" i="36"/>
  <c r="I157" i="35"/>
  <c r="R118" i="34"/>
  <c r="Q118" i="34" s="1"/>
  <c r="G299" i="34"/>
  <c r="E299" i="34"/>
  <c r="S35" i="34"/>
  <c r="Q194" i="34"/>
  <c r="R24" i="34"/>
  <c r="Q24" i="34" s="1"/>
  <c r="R38" i="34"/>
  <c r="S333" i="34"/>
  <c r="R33" i="34"/>
  <c r="R35" i="34" s="1"/>
  <c r="Q98" i="34"/>
  <c r="J12" i="34"/>
  <c r="S12" i="34" s="1"/>
  <c r="R12" i="34" s="1"/>
  <c r="S11" i="34"/>
  <c r="R11" i="34" s="1"/>
  <c r="S298" i="34"/>
  <c r="K299" i="34"/>
  <c r="Q15" i="34"/>
  <c r="Q333" i="34"/>
  <c r="L299" i="34"/>
  <c r="N299" i="34"/>
  <c r="P299" i="34"/>
  <c r="S160" i="34"/>
  <c r="S163" i="34" s="1"/>
  <c r="Q80" i="34"/>
  <c r="Q47" i="34"/>
  <c r="Q100" i="34"/>
  <c r="Q67" i="34"/>
  <c r="Q84" i="34"/>
  <c r="Q51" i="34"/>
  <c r="Q63" i="34"/>
  <c r="Q96" i="34"/>
  <c r="Q112" i="34"/>
  <c r="I299" i="34"/>
  <c r="Q52" i="34"/>
  <c r="Q68" i="34"/>
  <c r="Q85" i="34"/>
  <c r="Q101" i="34"/>
  <c r="Q59" i="34"/>
  <c r="Q76" i="34"/>
  <c r="Q92" i="34"/>
  <c r="Q108" i="34"/>
  <c r="Q48" i="34"/>
  <c r="Q64" i="34"/>
  <c r="Q81" i="34"/>
  <c r="Q97" i="34"/>
  <c r="Q55" i="34"/>
  <c r="Q71" i="34"/>
  <c r="Q88" i="34"/>
  <c r="Q104" i="34"/>
  <c r="Q60" i="34"/>
  <c r="Q77" i="34"/>
  <c r="Q93" i="34"/>
  <c r="Q61" i="34"/>
  <c r="Q78" i="34"/>
  <c r="Q94" i="34"/>
  <c r="Q110" i="34"/>
  <c r="R56" i="34"/>
  <c r="Q56" i="34" s="1"/>
  <c r="R72" i="34"/>
  <c r="Q72" i="34" s="1"/>
  <c r="R89" i="34"/>
  <c r="Q89" i="34" s="1"/>
  <c r="R105" i="34"/>
  <c r="Q105" i="34" s="1"/>
  <c r="Q16" i="34"/>
  <c r="Q14" i="34"/>
  <c r="Q26" i="34"/>
  <c r="Q22" i="34"/>
  <c r="H299" i="34"/>
  <c r="Q23" i="34"/>
  <c r="R18" i="34"/>
  <c r="R27" i="34" s="1"/>
  <c r="M299" i="34"/>
  <c r="M335" i="34" s="1"/>
  <c r="Q10" i="34"/>
  <c r="S190" i="34"/>
  <c r="Q298" i="34"/>
  <c r="S175" i="34"/>
  <c r="S181" i="34" s="1"/>
  <c r="Q190" i="34"/>
  <c r="Q75" i="34"/>
  <c r="Q50" i="34"/>
  <c r="Q54" i="34"/>
  <c r="Q58" i="34"/>
  <c r="Q66" i="34"/>
  <c r="Q79" i="34"/>
  <c r="Q83" i="34"/>
  <c r="R46" i="34"/>
  <c r="Q46" i="34" s="1"/>
  <c r="D299" i="34"/>
  <c r="Q17" i="34"/>
  <c r="Q21" i="34"/>
  <c r="Q25" i="34"/>
  <c r="S27" i="34"/>
  <c r="R117" i="38" l="1"/>
  <c r="R35" i="38"/>
  <c r="Q46" i="38"/>
  <c r="Q14" i="38"/>
  <c r="Q27" i="38" s="1"/>
  <c r="Q48" i="38"/>
  <c r="Q33" i="38"/>
  <c r="Q35" i="38" s="1"/>
  <c r="Q38" i="34"/>
  <c r="Q40" i="34" s="1"/>
  <c r="R40" i="34"/>
  <c r="J299" i="34"/>
  <c r="Q33" i="34"/>
  <c r="Q35" i="34" s="1"/>
  <c r="Q11" i="34"/>
  <c r="Q12" i="34"/>
  <c r="R119" i="34"/>
  <c r="R299" i="34" s="1"/>
  <c r="Q18" i="34"/>
  <c r="Q27" i="34" s="1"/>
  <c r="S299" i="34"/>
  <c r="S335" i="34" s="1"/>
  <c r="Q119" i="34"/>
  <c r="R206" i="38" l="1"/>
  <c r="Q206" i="38"/>
  <c r="Q299" i="34"/>
  <c r="E5" i="33" l="1"/>
  <c r="I65" i="32"/>
  <c r="H66" i="32"/>
  <c r="H60" i="32"/>
  <c r="H57" i="32"/>
  <c r="H53" i="32"/>
  <c r="F66" i="32"/>
  <c r="F60" i="32"/>
  <c r="F53" i="32"/>
  <c r="F57" i="32"/>
  <c r="I104" i="31"/>
  <c r="J98" i="31"/>
  <c r="I98" i="31"/>
  <c r="H102" i="31"/>
  <c r="H98" i="31"/>
  <c r="H93" i="31"/>
  <c r="H90" i="31"/>
  <c r="I94" i="31" s="1"/>
  <c r="I73" i="31"/>
  <c r="I69" i="31"/>
  <c r="I64" i="31"/>
  <c r="I59" i="31"/>
  <c r="I43" i="31"/>
  <c r="I11" i="31"/>
  <c r="I157" i="30"/>
  <c r="H155" i="30"/>
  <c r="H150" i="30"/>
  <c r="H144" i="30"/>
  <c r="H141" i="30"/>
  <c r="H133" i="30"/>
  <c r="H126" i="30"/>
  <c r="H116" i="30"/>
  <c r="H85" i="30"/>
  <c r="H42" i="30"/>
  <c r="H38" i="30"/>
  <c r="H35" i="30"/>
  <c r="H31" i="30"/>
  <c r="H27" i="30"/>
  <c r="H12" i="30"/>
  <c r="I151" i="30" s="1"/>
  <c r="Q158" i="29"/>
  <c r="H158" i="29"/>
  <c r="R114" i="29"/>
  <c r="S114" i="29"/>
  <c r="Q114" i="29"/>
  <c r="S112" i="29"/>
  <c r="S113" i="29"/>
  <c r="H114" i="29"/>
  <c r="I114" i="29"/>
  <c r="J114" i="29"/>
  <c r="D114" i="29"/>
  <c r="R327" i="29"/>
  <c r="M327" i="29"/>
  <c r="J327" i="29"/>
  <c r="I327" i="29"/>
  <c r="H327" i="29"/>
  <c r="S325" i="29"/>
  <c r="Q325" i="29"/>
  <c r="S324" i="29"/>
  <c r="Q324" i="29"/>
  <c r="S311" i="29"/>
  <c r="S315" i="29" s="1"/>
  <c r="R311" i="29"/>
  <c r="Q311" i="29"/>
  <c r="Q315" i="29" s="1"/>
  <c r="P311" i="29"/>
  <c r="O311" i="29"/>
  <c r="N311" i="29"/>
  <c r="M311" i="29"/>
  <c r="L311" i="29"/>
  <c r="K311" i="29"/>
  <c r="J311" i="29"/>
  <c r="I311" i="29"/>
  <c r="H311" i="29"/>
  <c r="R294" i="29"/>
  <c r="M294" i="29"/>
  <c r="J294" i="29"/>
  <c r="I294" i="29"/>
  <c r="H294" i="29"/>
  <c r="S293" i="29"/>
  <c r="Q293" i="29" s="1"/>
  <c r="S292" i="29"/>
  <c r="Q292" i="29" s="1"/>
  <c r="S291" i="29"/>
  <c r="Q291" i="29"/>
  <c r="S290" i="29"/>
  <c r="Q290" i="29"/>
  <c r="S289" i="29"/>
  <c r="Q289" i="29" s="1"/>
  <c r="S288" i="29"/>
  <c r="Q288" i="29" s="1"/>
  <c r="S287" i="29"/>
  <c r="Q287" i="29" s="1"/>
  <c r="S286" i="29"/>
  <c r="Q286" i="29" s="1"/>
  <c r="S285" i="29"/>
  <c r="Q285" i="29" s="1"/>
  <c r="S284" i="29"/>
  <c r="Q284" i="29" s="1"/>
  <c r="S283" i="29"/>
  <c r="Q283" i="29" s="1"/>
  <c r="S282" i="29"/>
  <c r="Q282" i="29" s="1"/>
  <c r="S281" i="29"/>
  <c r="Q281" i="29" s="1"/>
  <c r="S280" i="29"/>
  <c r="Q280" i="29" s="1"/>
  <c r="S279" i="29"/>
  <c r="Q279" i="29" s="1"/>
  <c r="S278" i="29"/>
  <c r="Q278" i="29"/>
  <c r="S277" i="29"/>
  <c r="Q277" i="29"/>
  <c r="S276" i="29"/>
  <c r="Q276" i="29" s="1"/>
  <c r="S275" i="29"/>
  <c r="Q275" i="29" s="1"/>
  <c r="S274" i="29"/>
  <c r="Q274" i="29" s="1"/>
  <c r="S273" i="29"/>
  <c r="Q273" i="29" s="1"/>
  <c r="S272" i="29"/>
  <c r="Q272" i="29"/>
  <c r="S271" i="29"/>
  <c r="Q271" i="29" s="1"/>
  <c r="S270" i="29"/>
  <c r="Q270" i="29" s="1"/>
  <c r="S269" i="29"/>
  <c r="Q269" i="29" s="1"/>
  <c r="S268" i="29"/>
  <c r="Q268" i="29"/>
  <c r="S267" i="29"/>
  <c r="Q267" i="29"/>
  <c r="S266" i="29"/>
  <c r="Q266" i="29" s="1"/>
  <c r="S265" i="29"/>
  <c r="Q265" i="29" s="1"/>
  <c r="S264" i="29"/>
  <c r="Q264" i="29" s="1"/>
  <c r="S263" i="29"/>
  <c r="Q263" i="29" s="1"/>
  <c r="S262" i="29"/>
  <c r="Q262" i="29" s="1"/>
  <c r="S261" i="29"/>
  <c r="Q261" i="29" s="1"/>
  <c r="S260" i="29"/>
  <c r="Q260" i="29"/>
  <c r="S259" i="29"/>
  <c r="Q259" i="29" s="1"/>
  <c r="S258" i="29"/>
  <c r="Q258" i="29" s="1"/>
  <c r="S257" i="29"/>
  <c r="Q257" i="29"/>
  <c r="S256" i="29"/>
  <c r="Q256" i="29" s="1"/>
  <c r="S255" i="29"/>
  <c r="Q255" i="29" s="1"/>
  <c r="S254" i="29"/>
  <c r="Q254" i="29" s="1"/>
  <c r="S253" i="29"/>
  <c r="Q253" i="29" s="1"/>
  <c r="S252" i="29"/>
  <c r="Q252" i="29" s="1"/>
  <c r="S251" i="29"/>
  <c r="Q251" i="29" s="1"/>
  <c r="S250" i="29"/>
  <c r="Q250" i="29" s="1"/>
  <c r="S249" i="29"/>
  <c r="Q249" i="29" s="1"/>
  <c r="S248" i="29"/>
  <c r="Q248" i="29" s="1"/>
  <c r="S247" i="29"/>
  <c r="Q247" i="29" s="1"/>
  <c r="S246" i="29"/>
  <c r="Q246" i="29" s="1"/>
  <c r="S245" i="29"/>
  <c r="Q245" i="29" s="1"/>
  <c r="S244" i="29"/>
  <c r="Q244" i="29" s="1"/>
  <c r="S242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M189" i="29"/>
  <c r="J189" i="29"/>
  <c r="I189" i="29"/>
  <c r="H189" i="29"/>
  <c r="D189" i="29"/>
  <c r="Q188" i="29"/>
  <c r="R185" i="29"/>
  <c r="M185" i="29"/>
  <c r="J185" i="29"/>
  <c r="I185" i="29"/>
  <c r="H185" i="29"/>
  <c r="Q184" i="29"/>
  <c r="S184" i="29" s="1"/>
  <c r="Q183" i="29"/>
  <c r="S183" i="29" s="1"/>
  <c r="Q182" i="29"/>
  <c r="S182" i="29" s="1"/>
  <c r="Q181" i="29"/>
  <c r="S181" i="29" s="1"/>
  <c r="Q180" i="29"/>
  <c r="S180" i="29" s="1"/>
  <c r="Q179" i="29"/>
  <c r="S179" i="29" s="1"/>
  <c r="Q178" i="29"/>
  <c r="M176" i="29"/>
  <c r="J176" i="29"/>
  <c r="I176" i="29"/>
  <c r="H176" i="29"/>
  <c r="D176" i="29"/>
  <c r="Q175" i="29"/>
  <c r="S175" i="29" s="1"/>
  <c r="Q174" i="29"/>
  <c r="S174" i="29" s="1"/>
  <c r="Q173" i="29"/>
  <c r="S173" i="29" s="1"/>
  <c r="Q172" i="29"/>
  <c r="S172" i="29" s="1"/>
  <c r="Q171" i="29"/>
  <c r="S171" i="29" s="1"/>
  <c r="Q170" i="29"/>
  <c r="R168" i="29"/>
  <c r="M168" i="29"/>
  <c r="J168" i="29"/>
  <c r="I168" i="29"/>
  <c r="H168" i="29"/>
  <c r="D168" i="29"/>
  <c r="S167" i="29"/>
  <c r="Q167" i="29"/>
  <c r="S166" i="29"/>
  <c r="Q166" i="29"/>
  <c r="S165" i="29"/>
  <c r="Q165" i="29"/>
  <c r="S164" i="29"/>
  <c r="Q164" i="29"/>
  <c r="S163" i="29"/>
  <c r="Q163" i="29"/>
  <c r="S162" i="29"/>
  <c r="Q162" i="29"/>
  <c r="S161" i="29"/>
  <c r="Q161" i="29"/>
  <c r="S160" i="29"/>
  <c r="Q160" i="29"/>
  <c r="R158" i="29"/>
  <c r="M158" i="29"/>
  <c r="J158" i="29"/>
  <c r="I158" i="29"/>
  <c r="D158" i="29"/>
  <c r="Q157" i="29"/>
  <c r="S157" i="29" s="1"/>
  <c r="Q156" i="29"/>
  <c r="S156" i="29" s="1"/>
  <c r="Q155" i="29"/>
  <c r="Q154" i="29"/>
  <c r="S154" i="29" s="1"/>
  <c r="Q153" i="29"/>
  <c r="S153" i="29" s="1"/>
  <c r="Q152" i="29"/>
  <c r="S152" i="29" s="1"/>
  <c r="Q151" i="29"/>
  <c r="S151" i="29" s="1"/>
  <c r="Q150" i="29"/>
  <c r="S150" i="29" s="1"/>
  <c r="Q149" i="29"/>
  <c r="S149" i="29" s="1"/>
  <c r="Q148" i="29"/>
  <c r="S148" i="29" s="1"/>
  <c r="Q147" i="29"/>
  <c r="S147" i="29" s="1"/>
  <c r="Q146" i="29"/>
  <c r="S146" i="29" s="1"/>
  <c r="Q145" i="29"/>
  <c r="S145" i="29" s="1"/>
  <c r="Q144" i="29"/>
  <c r="S144" i="29" s="1"/>
  <c r="Q143" i="29"/>
  <c r="S143" i="29" s="1"/>
  <c r="Q142" i="29"/>
  <c r="S142" i="29" s="1"/>
  <c r="Q141" i="29"/>
  <c r="S141" i="29" s="1"/>
  <c r="Q140" i="29"/>
  <c r="S140" i="29" s="1"/>
  <c r="Q139" i="29"/>
  <c r="S139" i="29" s="1"/>
  <c r="Q138" i="29"/>
  <c r="S138" i="29" s="1"/>
  <c r="Q137" i="29"/>
  <c r="S137" i="29" s="1"/>
  <c r="Q136" i="29"/>
  <c r="S136" i="29" s="1"/>
  <c r="Q135" i="29"/>
  <c r="S135" i="29" s="1"/>
  <c r="Q134" i="29"/>
  <c r="S134" i="29" s="1"/>
  <c r="Q133" i="29"/>
  <c r="S133" i="29" s="1"/>
  <c r="Q132" i="29"/>
  <c r="S132" i="29" s="1"/>
  <c r="Q131" i="29"/>
  <c r="S131" i="29" s="1"/>
  <c r="Q130" i="29"/>
  <c r="S130" i="29" s="1"/>
  <c r="Q129" i="29"/>
  <c r="S129" i="29" s="1"/>
  <c r="Q128" i="29"/>
  <c r="S128" i="29" s="1"/>
  <c r="Q127" i="29"/>
  <c r="S127" i="29" s="1"/>
  <c r="Q126" i="29"/>
  <c r="S126" i="29" s="1"/>
  <c r="Q125" i="29"/>
  <c r="S125" i="29" s="1"/>
  <c r="Q124" i="29"/>
  <c r="S124" i="29" s="1"/>
  <c r="Q123" i="29"/>
  <c r="S123" i="29" s="1"/>
  <c r="Q122" i="29"/>
  <c r="S122" i="29" s="1"/>
  <c r="Q121" i="29"/>
  <c r="S121" i="29" s="1"/>
  <c r="Q120" i="29"/>
  <c r="S120" i="29" s="1"/>
  <c r="Q119" i="29"/>
  <c r="S119" i="29" s="1"/>
  <c r="Q118" i="29"/>
  <c r="S118" i="29" s="1"/>
  <c r="Q117" i="29"/>
  <c r="S117" i="29" s="1"/>
  <c r="P114" i="29"/>
  <c r="O114" i="29"/>
  <c r="N114" i="29"/>
  <c r="M114" i="29"/>
  <c r="L114" i="29"/>
  <c r="K114" i="29"/>
  <c r="K295" i="29" s="1"/>
  <c r="S111" i="29"/>
  <c r="S110" i="29"/>
  <c r="R110" i="29" s="1"/>
  <c r="Q110" i="29" s="1"/>
  <c r="S109" i="29"/>
  <c r="S108" i="29"/>
  <c r="S107" i="29"/>
  <c r="S106" i="29"/>
  <c r="R106" i="29" s="1"/>
  <c r="Q106" i="29" s="1"/>
  <c r="S105" i="29"/>
  <c r="S104" i="29"/>
  <c r="S103" i="29"/>
  <c r="S102" i="29"/>
  <c r="S101" i="29"/>
  <c r="R101" i="29" s="1"/>
  <c r="Q101" i="29" s="1"/>
  <c r="S100" i="29"/>
  <c r="S99" i="29"/>
  <c r="R99" i="29" s="1"/>
  <c r="Q99" i="29" s="1"/>
  <c r="S98" i="29"/>
  <c r="R98" i="29" s="1"/>
  <c r="Q98" i="29" s="1"/>
  <c r="S97" i="29"/>
  <c r="R97" i="29" s="1"/>
  <c r="Q97" i="29" s="1"/>
  <c r="S96" i="29"/>
  <c r="S95" i="29"/>
  <c r="S94" i="29"/>
  <c r="S93" i="29"/>
  <c r="S92" i="29"/>
  <c r="S91" i="29"/>
  <c r="S90" i="29"/>
  <c r="S89" i="29"/>
  <c r="R89" i="29" s="1"/>
  <c r="Q89" i="29" s="1"/>
  <c r="S88" i="29"/>
  <c r="S87" i="29"/>
  <c r="S86" i="29"/>
  <c r="R86" i="29" s="1"/>
  <c r="Q86" i="29" s="1"/>
  <c r="S85" i="29"/>
  <c r="S84" i="29"/>
  <c r="R84" i="29" s="1"/>
  <c r="Q84" i="29" s="1"/>
  <c r="S83" i="29"/>
  <c r="R83" i="29" s="1"/>
  <c r="Q83" i="29" s="1"/>
  <c r="S82" i="29"/>
  <c r="R82" i="29" s="1"/>
  <c r="Q82" i="29" s="1"/>
  <c r="S81" i="29"/>
  <c r="S80" i="29"/>
  <c r="S79" i="29"/>
  <c r="S78" i="29"/>
  <c r="S77" i="29"/>
  <c r="R77" i="29" s="1"/>
  <c r="Q77" i="29" s="1"/>
  <c r="S76" i="29"/>
  <c r="R76" i="29" s="1"/>
  <c r="Q76" i="29" s="1"/>
  <c r="S75" i="29"/>
  <c r="S74" i="29"/>
  <c r="S73" i="29"/>
  <c r="S71" i="29"/>
  <c r="R71" i="29" s="1"/>
  <c r="Q71" i="29" s="1"/>
  <c r="S70" i="29"/>
  <c r="S69" i="29"/>
  <c r="R69" i="29" s="1"/>
  <c r="Q69" i="29" s="1"/>
  <c r="S68" i="29"/>
  <c r="S67" i="29"/>
  <c r="R67" i="29" s="1"/>
  <c r="Q67" i="29" s="1"/>
  <c r="S66" i="29"/>
  <c r="S65" i="29"/>
  <c r="S64" i="29"/>
  <c r="S63" i="29"/>
  <c r="R63" i="29" s="1"/>
  <c r="Q63" i="29" s="1"/>
  <c r="S62" i="29"/>
  <c r="R62" i="29" s="1"/>
  <c r="Q62" i="29" s="1"/>
  <c r="S61" i="29"/>
  <c r="R61" i="29" s="1"/>
  <c r="Q61" i="29" s="1"/>
  <c r="S60" i="29"/>
  <c r="S59" i="29"/>
  <c r="S58" i="29"/>
  <c r="R58" i="29" s="1"/>
  <c r="Q58" i="29" s="1"/>
  <c r="S57" i="29"/>
  <c r="R57" i="29" s="1"/>
  <c r="Q57" i="29" s="1"/>
  <c r="S56" i="29"/>
  <c r="R56" i="29" s="1"/>
  <c r="Q56" i="29" s="1"/>
  <c r="S55" i="29"/>
  <c r="R55" i="29" s="1"/>
  <c r="Q55" i="29" s="1"/>
  <c r="S54" i="29"/>
  <c r="S53" i="29"/>
  <c r="R53" i="29" s="1"/>
  <c r="Q53" i="29" s="1"/>
  <c r="S52" i="29"/>
  <c r="R52" i="29" s="1"/>
  <c r="Q52" i="29" s="1"/>
  <c r="S51" i="29"/>
  <c r="S50" i="29"/>
  <c r="R50" i="29" s="1"/>
  <c r="Q50" i="29" s="1"/>
  <c r="S49" i="29"/>
  <c r="S48" i="29"/>
  <c r="R48" i="29" s="1"/>
  <c r="Q48" i="29" s="1"/>
  <c r="S47" i="29"/>
  <c r="S46" i="29"/>
  <c r="R46" i="29" s="1"/>
  <c r="Q46" i="29" s="1"/>
  <c r="S45" i="29"/>
  <c r="R45" i="29" s="1"/>
  <c r="Q45" i="29" s="1"/>
  <c r="S44" i="29"/>
  <c r="S42" i="29"/>
  <c r="R42" i="29"/>
  <c r="Q42" i="29"/>
  <c r="M42" i="29"/>
  <c r="J42" i="29"/>
  <c r="I42" i="29"/>
  <c r="H42" i="29"/>
  <c r="D42" i="29"/>
  <c r="S38" i="29"/>
  <c r="R38" i="29"/>
  <c r="Q38" i="29"/>
  <c r="M38" i="29"/>
  <c r="J38" i="29"/>
  <c r="I38" i="29"/>
  <c r="H38" i="29"/>
  <c r="M35" i="29"/>
  <c r="J35" i="29"/>
  <c r="I35" i="29"/>
  <c r="H35" i="29"/>
  <c r="S34" i="29"/>
  <c r="S33" i="29"/>
  <c r="S31" i="29"/>
  <c r="R31" i="29"/>
  <c r="Q31" i="29"/>
  <c r="P31" i="29"/>
  <c r="P295" i="29" s="1"/>
  <c r="N31" i="29"/>
  <c r="N295" i="29" s="1"/>
  <c r="M31" i="29"/>
  <c r="L31" i="29"/>
  <c r="L295" i="29" s="1"/>
  <c r="J31" i="29"/>
  <c r="I31" i="29"/>
  <c r="H31" i="29"/>
  <c r="G31" i="29"/>
  <c r="G295" i="29" s="1"/>
  <c r="E31" i="29"/>
  <c r="E295" i="29" s="1"/>
  <c r="D31" i="29"/>
  <c r="M27" i="29"/>
  <c r="J27" i="29"/>
  <c r="I27" i="29"/>
  <c r="H27" i="29"/>
  <c r="D27" i="29"/>
  <c r="S26" i="29"/>
  <c r="S25" i="29"/>
  <c r="S24" i="29"/>
  <c r="R24" i="29" s="1"/>
  <c r="Q24" i="29" s="1"/>
  <c r="S23" i="29"/>
  <c r="S22" i="29"/>
  <c r="S21" i="29"/>
  <c r="R21" i="29"/>
  <c r="Q21" i="29" s="1"/>
  <c r="S20" i="29"/>
  <c r="R20" i="29" s="1"/>
  <c r="Q20" i="29" s="1"/>
  <c r="S19" i="29"/>
  <c r="R19" i="29" s="1"/>
  <c r="Q19" i="29" s="1"/>
  <c r="S18" i="29"/>
  <c r="S17" i="29"/>
  <c r="S16" i="29"/>
  <c r="R16" i="29" s="1"/>
  <c r="Q16" i="29" s="1"/>
  <c r="S15" i="29"/>
  <c r="S14" i="29"/>
  <c r="M12" i="29"/>
  <c r="J12" i="29"/>
  <c r="J295" i="29" s="1"/>
  <c r="I12" i="29"/>
  <c r="I295" i="29" s="1"/>
  <c r="H12" i="29"/>
  <c r="D12" i="29"/>
  <c r="S11" i="29"/>
  <c r="S10" i="29"/>
  <c r="R10" i="29" s="1"/>
  <c r="Q10" i="29" s="1"/>
  <c r="S9" i="29"/>
  <c r="R9" i="29" s="1"/>
  <c r="Q9" i="29" s="1"/>
  <c r="S8" i="29"/>
  <c r="H43" i="28"/>
  <c r="F45" i="28"/>
  <c r="F36" i="28"/>
  <c r="F32" i="28"/>
  <c r="G61" i="28"/>
  <c r="F61" i="28"/>
  <c r="F65" i="28" s="1"/>
  <c r="H65" i="28" s="1"/>
  <c r="G73" i="27"/>
  <c r="G69" i="27"/>
  <c r="H309" i="24"/>
  <c r="H81" i="27"/>
  <c r="H77" i="27"/>
  <c r="H72" i="27"/>
  <c r="H69" i="27"/>
  <c r="I73" i="27" s="1"/>
  <c r="H52" i="27"/>
  <c r="H48" i="27"/>
  <c r="G41" i="27"/>
  <c r="H41" i="27"/>
  <c r="H31" i="27"/>
  <c r="H14" i="27"/>
  <c r="H9" i="27"/>
  <c r="I53" i="27" s="1"/>
  <c r="H195" i="26"/>
  <c r="G193" i="26"/>
  <c r="J74" i="31" l="1"/>
  <c r="S327" i="29"/>
  <c r="Q327" i="29"/>
  <c r="R112" i="29"/>
  <c r="Q112" i="29" s="1"/>
  <c r="R113" i="29"/>
  <c r="Q113" i="29" s="1"/>
  <c r="H295" i="29"/>
  <c r="S188" i="29"/>
  <c r="S189" i="29" s="1"/>
  <c r="Q189" i="29"/>
  <c r="S168" i="29"/>
  <c r="Q168" i="29"/>
  <c r="R54" i="29"/>
  <c r="Q54" i="29" s="1"/>
  <c r="R44" i="29"/>
  <c r="Q44" i="29" s="1"/>
  <c r="R111" i="29"/>
  <c r="Q111" i="29" s="1"/>
  <c r="R109" i="29"/>
  <c r="Q109" i="29" s="1"/>
  <c r="R108" i="29"/>
  <c r="Q108" i="29" s="1"/>
  <c r="R107" i="29"/>
  <c r="Q107" i="29"/>
  <c r="R105" i="29"/>
  <c r="Q105" i="29" s="1"/>
  <c r="R104" i="29"/>
  <c r="Q104" i="29" s="1"/>
  <c r="R103" i="29"/>
  <c r="Q103" i="29" s="1"/>
  <c r="R102" i="29"/>
  <c r="Q102" i="29" s="1"/>
  <c r="R100" i="29"/>
  <c r="Q100" i="29" s="1"/>
  <c r="R93" i="29"/>
  <c r="Q93" i="29" s="1"/>
  <c r="R92" i="29"/>
  <c r="Q92" i="29" s="1"/>
  <c r="R91" i="29"/>
  <c r="Q91" i="29" s="1"/>
  <c r="R90" i="29"/>
  <c r="Q90" i="29" s="1"/>
  <c r="R88" i="29"/>
  <c r="Q88" i="29" s="1"/>
  <c r="R87" i="29"/>
  <c r="Q87" i="29" s="1"/>
  <c r="R85" i="29"/>
  <c r="Q85" i="29" s="1"/>
  <c r="R81" i="29"/>
  <c r="Q81" i="29" s="1"/>
  <c r="R80" i="29"/>
  <c r="Q80" i="29" s="1"/>
  <c r="R79" i="29"/>
  <c r="Q79" i="29" s="1"/>
  <c r="R78" i="29"/>
  <c r="Q78" i="29" s="1"/>
  <c r="R70" i="29"/>
  <c r="Q70" i="29"/>
  <c r="R68" i="29"/>
  <c r="Q68" i="29" s="1"/>
  <c r="R51" i="29"/>
  <c r="Q51" i="29" s="1"/>
  <c r="R49" i="29"/>
  <c r="Q49" i="29" s="1"/>
  <c r="R47" i="29"/>
  <c r="Q47" i="29" s="1"/>
  <c r="M295" i="29"/>
  <c r="M329" i="29" s="1"/>
  <c r="S294" i="29"/>
  <c r="Q242" i="29"/>
  <c r="Q294" i="29" s="1"/>
  <c r="Q185" i="29"/>
  <c r="S178" i="29"/>
  <c r="S185" i="29" s="1"/>
  <c r="S170" i="29"/>
  <c r="S176" i="29" s="1"/>
  <c r="Q176" i="29"/>
  <c r="S155" i="29"/>
  <c r="S158" i="29" s="1"/>
  <c r="R96" i="29"/>
  <c r="Q96" i="29" s="1"/>
  <c r="R95" i="29"/>
  <c r="Q95" i="29" s="1"/>
  <c r="R94" i="29"/>
  <c r="Q94" i="29"/>
  <c r="R75" i="29"/>
  <c r="Q75" i="29" s="1"/>
  <c r="R74" i="29"/>
  <c r="Q74" i="29" s="1"/>
  <c r="R73" i="29"/>
  <c r="Q73" i="29" s="1"/>
  <c r="R66" i="29"/>
  <c r="Q66" i="29" s="1"/>
  <c r="R65" i="29"/>
  <c r="Q65" i="29" s="1"/>
  <c r="R64" i="29"/>
  <c r="Q64" i="29" s="1"/>
  <c r="R60" i="29"/>
  <c r="Q60" i="29" s="1"/>
  <c r="R59" i="29"/>
  <c r="Q59" i="29" s="1"/>
  <c r="R34" i="29"/>
  <c r="Q34" i="29" s="1"/>
  <c r="S35" i="29"/>
  <c r="R33" i="29"/>
  <c r="Q33" i="29" s="1"/>
  <c r="R26" i="29"/>
  <c r="Q26" i="29" s="1"/>
  <c r="R25" i="29"/>
  <c r="Q25" i="29" s="1"/>
  <c r="R23" i="29"/>
  <c r="Q23" i="29" s="1"/>
  <c r="R22" i="29"/>
  <c r="Q22" i="29" s="1"/>
  <c r="R18" i="29"/>
  <c r="Q18" i="29"/>
  <c r="R17" i="29"/>
  <c r="Q17" i="29" s="1"/>
  <c r="R15" i="29"/>
  <c r="Q15" i="29" s="1"/>
  <c r="S27" i="29"/>
  <c r="R14" i="29"/>
  <c r="D295" i="29"/>
  <c r="S12" i="29"/>
  <c r="R11" i="29"/>
  <c r="Q11" i="29" s="1"/>
  <c r="R8" i="29"/>
  <c r="Q8" i="29" s="1"/>
  <c r="I83" i="27"/>
  <c r="G159" i="26"/>
  <c r="G188" i="26"/>
  <c r="F156" i="26"/>
  <c r="G156" i="26"/>
  <c r="G99" i="26"/>
  <c r="G42" i="26"/>
  <c r="G38" i="26"/>
  <c r="G35" i="26"/>
  <c r="G31" i="26"/>
  <c r="G27" i="26"/>
  <c r="G12" i="26"/>
  <c r="I309" i="24"/>
  <c r="J309" i="24"/>
  <c r="K309" i="24"/>
  <c r="L309" i="24"/>
  <c r="M309" i="24"/>
  <c r="N309" i="24"/>
  <c r="O309" i="24"/>
  <c r="P309" i="24"/>
  <c r="Q309" i="24"/>
  <c r="R309" i="24"/>
  <c r="S309" i="24"/>
  <c r="E233" i="24"/>
  <c r="F233" i="24"/>
  <c r="G233" i="24"/>
  <c r="H233" i="24"/>
  <c r="I233" i="24"/>
  <c r="J233" i="24"/>
  <c r="K233" i="24"/>
  <c r="L233" i="24"/>
  <c r="M233" i="24"/>
  <c r="N233" i="24"/>
  <c r="O233" i="24"/>
  <c r="P233" i="24"/>
  <c r="Q233" i="24"/>
  <c r="R233" i="24"/>
  <c r="S233" i="24"/>
  <c r="D233" i="24"/>
  <c r="I156" i="24"/>
  <c r="J156" i="24"/>
  <c r="H156" i="24"/>
  <c r="S111" i="24"/>
  <c r="I112" i="24"/>
  <c r="J112" i="24"/>
  <c r="K112" i="24"/>
  <c r="L112" i="24"/>
  <c r="M112" i="24"/>
  <c r="N112" i="24"/>
  <c r="O112" i="24"/>
  <c r="P112" i="24"/>
  <c r="H112" i="24"/>
  <c r="D112" i="24"/>
  <c r="R27" i="29" l="1"/>
  <c r="Q14" i="29"/>
  <c r="Q27" i="29" s="1"/>
  <c r="S295" i="29"/>
  <c r="S329" i="29" s="1"/>
  <c r="R12" i="29"/>
  <c r="Q12" i="29" s="1"/>
  <c r="Q35" i="29"/>
  <c r="R35" i="29"/>
  <c r="H189" i="26"/>
  <c r="R111" i="24"/>
  <c r="Q111" i="24" s="1"/>
  <c r="Q295" i="29" l="1"/>
  <c r="R295" i="29"/>
  <c r="R325" i="24"/>
  <c r="M325" i="24"/>
  <c r="J325" i="24"/>
  <c r="I325" i="24"/>
  <c r="H325" i="24"/>
  <c r="S323" i="24"/>
  <c r="Q323" i="24"/>
  <c r="S322" i="24"/>
  <c r="Q322" i="24"/>
  <c r="Q313" i="24"/>
  <c r="S313" i="24"/>
  <c r="K293" i="24"/>
  <c r="R292" i="24"/>
  <c r="M292" i="24"/>
  <c r="J292" i="24"/>
  <c r="I292" i="24"/>
  <c r="H292" i="24"/>
  <c r="S291" i="24"/>
  <c r="Q291" i="24" s="1"/>
  <c r="S290" i="24"/>
  <c r="Q290" i="24" s="1"/>
  <c r="S289" i="24"/>
  <c r="Q289" i="24" s="1"/>
  <c r="S288" i="24"/>
  <c r="Q288" i="24" s="1"/>
  <c r="S287" i="24"/>
  <c r="Q287" i="24" s="1"/>
  <c r="S286" i="24"/>
  <c r="Q286" i="24" s="1"/>
  <c r="S285" i="24"/>
  <c r="Q285" i="24" s="1"/>
  <c r="S284" i="24"/>
  <c r="Q284" i="24" s="1"/>
  <c r="S283" i="24"/>
  <c r="Q283" i="24" s="1"/>
  <c r="S282" i="24"/>
  <c r="Q282" i="24" s="1"/>
  <c r="S281" i="24"/>
  <c r="Q281" i="24" s="1"/>
  <c r="S280" i="24"/>
  <c r="Q280" i="24" s="1"/>
  <c r="S279" i="24"/>
  <c r="Q279" i="24" s="1"/>
  <c r="S278" i="24"/>
  <c r="Q278" i="24" s="1"/>
  <c r="S277" i="24"/>
  <c r="Q277" i="24" s="1"/>
  <c r="S276" i="24"/>
  <c r="Q276" i="24" s="1"/>
  <c r="S275" i="24"/>
  <c r="Q275" i="24" s="1"/>
  <c r="S274" i="24"/>
  <c r="Q274" i="24" s="1"/>
  <c r="S273" i="24"/>
  <c r="Q273" i="24" s="1"/>
  <c r="S272" i="24"/>
  <c r="Q272" i="24" s="1"/>
  <c r="S271" i="24"/>
  <c r="Q271" i="24" s="1"/>
  <c r="S270" i="24"/>
  <c r="Q270" i="24" s="1"/>
  <c r="S269" i="24"/>
  <c r="Q269" i="24" s="1"/>
  <c r="S268" i="24"/>
  <c r="Q268" i="24" s="1"/>
  <c r="S267" i="24"/>
  <c r="Q267" i="24" s="1"/>
  <c r="S266" i="24"/>
  <c r="Q266" i="24" s="1"/>
  <c r="S265" i="24"/>
  <c r="Q265" i="24" s="1"/>
  <c r="S264" i="24"/>
  <c r="Q264" i="24" s="1"/>
  <c r="S263" i="24"/>
  <c r="Q263" i="24" s="1"/>
  <c r="S262" i="24"/>
  <c r="Q262" i="24" s="1"/>
  <c r="S261" i="24"/>
  <c r="Q261" i="24" s="1"/>
  <c r="S260" i="24"/>
  <c r="Q260" i="24" s="1"/>
  <c r="S259" i="24"/>
  <c r="Q259" i="24" s="1"/>
  <c r="S258" i="24"/>
  <c r="Q258" i="24" s="1"/>
  <c r="S257" i="24"/>
  <c r="Q257" i="24" s="1"/>
  <c r="S256" i="24"/>
  <c r="Q256" i="24" s="1"/>
  <c r="S255" i="24"/>
  <c r="Q255" i="24" s="1"/>
  <c r="S254" i="24"/>
  <c r="Q254" i="24" s="1"/>
  <c r="S253" i="24"/>
  <c r="Q253" i="24" s="1"/>
  <c r="S252" i="24"/>
  <c r="Q252" i="24" s="1"/>
  <c r="S251" i="24"/>
  <c r="Q251" i="24" s="1"/>
  <c r="S250" i="24"/>
  <c r="Q250" i="24" s="1"/>
  <c r="S249" i="24"/>
  <c r="Q249" i="24" s="1"/>
  <c r="S248" i="24"/>
  <c r="Q248" i="24" s="1"/>
  <c r="S247" i="24"/>
  <c r="Q247" i="24" s="1"/>
  <c r="S246" i="24"/>
  <c r="Q246" i="24" s="1"/>
  <c r="S245" i="24"/>
  <c r="S244" i="24"/>
  <c r="Q244" i="24" s="1"/>
  <c r="S243" i="24"/>
  <c r="Q243" i="24" s="1"/>
  <c r="S242" i="24"/>
  <c r="Q242" i="24" s="1"/>
  <c r="S240" i="24"/>
  <c r="Q240" i="24" s="1"/>
  <c r="M187" i="24"/>
  <c r="J187" i="24"/>
  <c r="I187" i="24"/>
  <c r="H187" i="24"/>
  <c r="D187" i="24"/>
  <c r="Q186" i="24"/>
  <c r="S186" i="24" s="1"/>
  <c r="S187" i="24" s="1"/>
  <c r="R183" i="24"/>
  <c r="M183" i="24"/>
  <c r="J183" i="24"/>
  <c r="I183" i="24"/>
  <c r="H183" i="24"/>
  <c r="Q182" i="24"/>
  <c r="S182" i="24" s="1"/>
  <c r="Q181" i="24"/>
  <c r="S181" i="24" s="1"/>
  <c r="Q180" i="24"/>
  <c r="S180" i="24" s="1"/>
  <c r="Q179" i="24"/>
  <c r="S179" i="24" s="1"/>
  <c r="Q178" i="24"/>
  <c r="Q177" i="24"/>
  <c r="S177" i="24" s="1"/>
  <c r="Q176" i="24"/>
  <c r="S176" i="24" s="1"/>
  <c r="M174" i="24"/>
  <c r="J174" i="24"/>
  <c r="I174" i="24"/>
  <c r="H174" i="24"/>
  <c r="D174" i="24"/>
  <c r="Q173" i="24"/>
  <c r="S173" i="24" s="1"/>
  <c r="Q172" i="24"/>
  <c r="S172" i="24" s="1"/>
  <c r="Q171" i="24"/>
  <c r="S171" i="24" s="1"/>
  <c r="Q170" i="24"/>
  <c r="S170" i="24" s="1"/>
  <c r="Q169" i="24"/>
  <c r="S169" i="24" s="1"/>
  <c r="Q168" i="24"/>
  <c r="R166" i="24"/>
  <c r="M166" i="24"/>
  <c r="J166" i="24"/>
  <c r="I166" i="24"/>
  <c r="H166" i="24"/>
  <c r="D166" i="24"/>
  <c r="S165" i="24"/>
  <c r="Q165" i="24"/>
  <c r="S164" i="24"/>
  <c r="Q164" i="24"/>
  <c r="S163" i="24"/>
  <c r="Q163" i="24"/>
  <c r="S162" i="24"/>
  <c r="Q162" i="24"/>
  <c r="S161" i="24"/>
  <c r="Q161" i="24"/>
  <c r="S160" i="24"/>
  <c r="Q160" i="24"/>
  <c r="S159" i="24"/>
  <c r="Q159" i="24"/>
  <c r="S158" i="24"/>
  <c r="Q158" i="24"/>
  <c r="R156" i="24"/>
  <c r="M156" i="24"/>
  <c r="D156" i="24"/>
  <c r="Q155" i="24"/>
  <c r="S155" i="24" s="1"/>
  <c r="Q154" i="24"/>
  <c r="S154" i="24" s="1"/>
  <c r="Q153" i="24"/>
  <c r="S153" i="24" s="1"/>
  <c r="Q152" i="24"/>
  <c r="S152" i="24" s="1"/>
  <c r="Q151" i="24"/>
  <c r="S151" i="24" s="1"/>
  <c r="Q150" i="24"/>
  <c r="S150" i="24" s="1"/>
  <c r="Q149" i="24"/>
  <c r="S149" i="24" s="1"/>
  <c r="Q148" i="24"/>
  <c r="S148" i="24" s="1"/>
  <c r="Q147" i="24"/>
  <c r="S147" i="24" s="1"/>
  <c r="Q146" i="24"/>
  <c r="S146" i="24" s="1"/>
  <c r="Q145" i="24"/>
  <c r="S145" i="24" s="1"/>
  <c r="Q144" i="24"/>
  <c r="S144" i="24" s="1"/>
  <c r="Q143" i="24"/>
  <c r="S143" i="24" s="1"/>
  <c r="Q142" i="24"/>
  <c r="S142" i="24" s="1"/>
  <c r="Q141" i="24"/>
  <c r="S141" i="24" s="1"/>
  <c r="Q140" i="24"/>
  <c r="S140" i="24" s="1"/>
  <c r="Q139" i="24"/>
  <c r="S139" i="24" s="1"/>
  <c r="Q138" i="24"/>
  <c r="S138" i="24" s="1"/>
  <c r="Q137" i="24"/>
  <c r="S137" i="24" s="1"/>
  <c r="Q136" i="24"/>
  <c r="S136" i="24" s="1"/>
  <c r="Q135" i="24"/>
  <c r="S135" i="24" s="1"/>
  <c r="Q134" i="24"/>
  <c r="S134" i="24" s="1"/>
  <c r="Q133" i="24"/>
  <c r="S133" i="24" s="1"/>
  <c r="Q132" i="24"/>
  <c r="S132" i="24" s="1"/>
  <c r="Q131" i="24"/>
  <c r="S131" i="24" s="1"/>
  <c r="Q130" i="24"/>
  <c r="S130" i="24" s="1"/>
  <c r="Q129" i="24"/>
  <c r="S129" i="24" s="1"/>
  <c r="Q128" i="24"/>
  <c r="S128" i="24" s="1"/>
  <c r="Q127" i="24"/>
  <c r="S127" i="24" s="1"/>
  <c r="Q126" i="24"/>
  <c r="S126" i="24" s="1"/>
  <c r="Q125" i="24"/>
  <c r="S125" i="24" s="1"/>
  <c r="Q124" i="24"/>
  <c r="S124" i="24" s="1"/>
  <c r="Q123" i="24"/>
  <c r="S123" i="24" s="1"/>
  <c r="Q122" i="24"/>
  <c r="S122" i="24" s="1"/>
  <c r="Q121" i="24"/>
  <c r="S121" i="24" s="1"/>
  <c r="Q120" i="24"/>
  <c r="S120" i="24" s="1"/>
  <c r="Q119" i="24"/>
  <c r="S119" i="24" s="1"/>
  <c r="Q118" i="24"/>
  <c r="S118" i="24" s="1"/>
  <c r="Q117" i="24"/>
  <c r="S117" i="24" s="1"/>
  <c r="Q116" i="24"/>
  <c r="S116" i="24" s="1"/>
  <c r="Q115" i="24"/>
  <c r="S110" i="24"/>
  <c r="R110" i="24" s="1"/>
  <c r="S109" i="24"/>
  <c r="R109" i="24" s="1"/>
  <c r="Q109" i="24" s="1"/>
  <c r="S108" i="24"/>
  <c r="R108" i="24" s="1"/>
  <c r="Q108" i="24" s="1"/>
  <c r="S107" i="24"/>
  <c r="S106" i="24"/>
  <c r="R106" i="24" s="1"/>
  <c r="S105" i="24"/>
  <c r="R105" i="24" s="1"/>
  <c r="Q105" i="24" s="1"/>
  <c r="S104" i="24"/>
  <c r="R104" i="24" s="1"/>
  <c r="Q104" i="24" s="1"/>
  <c r="S103" i="24"/>
  <c r="S102" i="24"/>
  <c r="R102" i="24" s="1"/>
  <c r="S101" i="24"/>
  <c r="R101" i="24" s="1"/>
  <c r="Q101" i="24" s="1"/>
  <c r="S100" i="24"/>
  <c r="R100" i="24" s="1"/>
  <c r="Q100" i="24" s="1"/>
  <c r="S99" i="24"/>
  <c r="S98" i="24"/>
  <c r="R98" i="24" s="1"/>
  <c r="S97" i="24"/>
  <c r="R97" i="24" s="1"/>
  <c r="Q97" i="24" s="1"/>
  <c r="S96" i="24"/>
  <c r="R96" i="24" s="1"/>
  <c r="Q96" i="24" s="1"/>
  <c r="S95" i="24"/>
  <c r="S94" i="24"/>
  <c r="R94" i="24" s="1"/>
  <c r="S93" i="24"/>
  <c r="R93" i="24" s="1"/>
  <c r="Q93" i="24" s="1"/>
  <c r="S92" i="24"/>
  <c r="R92" i="24" s="1"/>
  <c r="Q92" i="24" s="1"/>
  <c r="S91" i="24"/>
  <c r="S90" i="24"/>
  <c r="R90" i="24" s="1"/>
  <c r="S89" i="24"/>
  <c r="R89" i="24" s="1"/>
  <c r="S88" i="24"/>
  <c r="R88" i="24" s="1"/>
  <c r="Q88" i="24" s="1"/>
  <c r="S87" i="24"/>
  <c r="S86" i="24"/>
  <c r="R86" i="24" s="1"/>
  <c r="S85" i="24"/>
  <c r="R85" i="24" s="1"/>
  <c r="S84" i="24"/>
  <c r="R84" i="24" s="1"/>
  <c r="Q84" i="24" s="1"/>
  <c r="S83" i="24"/>
  <c r="S82" i="24"/>
  <c r="R82" i="24" s="1"/>
  <c r="S81" i="24"/>
  <c r="R81" i="24" s="1"/>
  <c r="S80" i="24"/>
  <c r="R80" i="24" s="1"/>
  <c r="Q80" i="24" s="1"/>
  <c r="S79" i="24"/>
  <c r="S78" i="24"/>
  <c r="R78" i="24" s="1"/>
  <c r="S77" i="24"/>
  <c r="R77" i="24" s="1"/>
  <c r="S76" i="24"/>
  <c r="R76" i="24" s="1"/>
  <c r="Q76" i="24" s="1"/>
  <c r="S75" i="24"/>
  <c r="S74" i="24"/>
  <c r="R74" i="24" s="1"/>
  <c r="S73" i="24"/>
  <c r="R73" i="24" s="1"/>
  <c r="S71" i="24"/>
  <c r="S70" i="24"/>
  <c r="S69" i="24"/>
  <c r="R69" i="24" s="1"/>
  <c r="S68" i="24"/>
  <c r="R68" i="24" s="1"/>
  <c r="S67" i="24"/>
  <c r="R67" i="24" s="1"/>
  <c r="Q67" i="24" s="1"/>
  <c r="S66" i="24"/>
  <c r="S65" i="24"/>
  <c r="R65" i="24" s="1"/>
  <c r="S64" i="24"/>
  <c r="R64" i="24" s="1"/>
  <c r="S63" i="24"/>
  <c r="R63" i="24" s="1"/>
  <c r="Q63" i="24" s="1"/>
  <c r="S62" i="24"/>
  <c r="S61" i="24"/>
  <c r="R61" i="24" s="1"/>
  <c r="S60" i="24"/>
  <c r="R60" i="24" s="1"/>
  <c r="S59" i="24"/>
  <c r="R59" i="24" s="1"/>
  <c r="Q59" i="24" s="1"/>
  <c r="S58" i="24"/>
  <c r="S57" i="24"/>
  <c r="R57" i="24" s="1"/>
  <c r="S56" i="24"/>
  <c r="R56" i="24" s="1"/>
  <c r="S55" i="24"/>
  <c r="R55" i="24" s="1"/>
  <c r="Q55" i="24" s="1"/>
  <c r="S54" i="24"/>
  <c r="S53" i="24"/>
  <c r="R53" i="24" s="1"/>
  <c r="S52" i="24"/>
  <c r="R52" i="24" s="1"/>
  <c r="S51" i="24"/>
  <c r="R51" i="24" s="1"/>
  <c r="Q51" i="24" s="1"/>
  <c r="S50" i="24"/>
  <c r="S49" i="24"/>
  <c r="R49" i="24" s="1"/>
  <c r="S48" i="24"/>
  <c r="R48" i="24" s="1"/>
  <c r="S47" i="24"/>
  <c r="R47" i="24" s="1"/>
  <c r="Q47" i="24" s="1"/>
  <c r="S46" i="24"/>
  <c r="S45" i="24"/>
  <c r="R45" i="24" s="1"/>
  <c r="S44" i="24"/>
  <c r="S42" i="24"/>
  <c r="R42" i="24"/>
  <c r="Q42" i="24"/>
  <c r="M42" i="24"/>
  <c r="J42" i="24"/>
  <c r="I42" i="24"/>
  <c r="H42" i="24"/>
  <c r="D42" i="24"/>
  <c r="S38" i="24"/>
  <c r="R38" i="24"/>
  <c r="Q38" i="24"/>
  <c r="M38" i="24"/>
  <c r="J38" i="24"/>
  <c r="I38" i="24"/>
  <c r="H38" i="24"/>
  <c r="M35" i="24"/>
  <c r="J35" i="24"/>
  <c r="I35" i="24"/>
  <c r="H35" i="24"/>
  <c r="S34" i="24"/>
  <c r="R34" i="24" s="1"/>
  <c r="Q34" i="24" s="1"/>
  <c r="S33" i="24"/>
  <c r="R33" i="24" s="1"/>
  <c r="Q33" i="24" s="1"/>
  <c r="S31" i="24"/>
  <c r="R31" i="24"/>
  <c r="Q31" i="24"/>
  <c r="P31" i="24"/>
  <c r="P293" i="24" s="1"/>
  <c r="N31" i="24"/>
  <c r="N293" i="24" s="1"/>
  <c r="M31" i="24"/>
  <c r="L31" i="24"/>
  <c r="L293" i="24" s="1"/>
  <c r="J31" i="24"/>
  <c r="I31" i="24"/>
  <c r="H31" i="24"/>
  <c r="G31" i="24"/>
  <c r="G293" i="24" s="1"/>
  <c r="E31" i="24"/>
  <c r="E293" i="24" s="1"/>
  <c r="D31" i="24"/>
  <c r="M27" i="24"/>
  <c r="J27" i="24"/>
  <c r="I27" i="24"/>
  <c r="H27" i="24"/>
  <c r="D27" i="24"/>
  <c r="S26" i="24"/>
  <c r="R26" i="24" s="1"/>
  <c r="Q26" i="24" s="1"/>
  <c r="S25" i="24"/>
  <c r="R25" i="24" s="1"/>
  <c r="S24" i="24"/>
  <c r="R24" i="24" s="1"/>
  <c r="Q24" i="24" s="1"/>
  <c r="S23" i="24"/>
  <c r="R23" i="24" s="1"/>
  <c r="Q23" i="24" s="1"/>
  <c r="S22" i="24"/>
  <c r="R22" i="24" s="1"/>
  <c r="S21" i="24"/>
  <c r="R21" i="24" s="1"/>
  <c r="S20" i="24"/>
  <c r="R20" i="24" s="1"/>
  <c r="Q20" i="24" s="1"/>
  <c r="S19" i="24"/>
  <c r="R19" i="24" s="1"/>
  <c r="Q19" i="24" s="1"/>
  <c r="S18" i="24"/>
  <c r="R18" i="24" s="1"/>
  <c r="S17" i="24"/>
  <c r="R17" i="24" s="1"/>
  <c r="Q17" i="24" s="1"/>
  <c r="S16" i="24"/>
  <c r="R16" i="24" s="1"/>
  <c r="Q16" i="24" s="1"/>
  <c r="S15" i="24"/>
  <c r="R15" i="24" s="1"/>
  <c r="Q15" i="24" s="1"/>
  <c r="S14" i="24"/>
  <c r="R14" i="24" s="1"/>
  <c r="Q14" i="24" s="1"/>
  <c r="M12" i="24"/>
  <c r="J12" i="24"/>
  <c r="I12" i="24"/>
  <c r="H12" i="24"/>
  <c r="D12" i="24"/>
  <c r="S11" i="24"/>
  <c r="R11" i="24" s="1"/>
  <c r="Q11" i="24" s="1"/>
  <c r="S10" i="24"/>
  <c r="S9" i="24"/>
  <c r="R9" i="24" s="1"/>
  <c r="S8" i="24"/>
  <c r="R8" i="24" s="1"/>
  <c r="Q276" i="1"/>
  <c r="L276" i="1"/>
  <c r="Q274" i="1"/>
  <c r="P274" i="1"/>
  <c r="O274" i="1"/>
  <c r="L274" i="1"/>
  <c r="I274" i="1"/>
  <c r="H274" i="1"/>
  <c r="G274" i="1"/>
  <c r="D274" i="1"/>
  <c r="Q272" i="1"/>
  <c r="O272" i="1"/>
  <c r="Q271" i="1"/>
  <c r="O271" i="1"/>
  <c r="R268" i="1"/>
  <c r="Q268" i="1"/>
  <c r="P268" i="1"/>
  <c r="O268" i="1"/>
  <c r="L268" i="1"/>
  <c r="D268" i="1"/>
  <c r="Q267" i="1"/>
  <c r="O267" i="1"/>
  <c r="Q266" i="1"/>
  <c r="O266" i="1"/>
  <c r="Q265" i="1"/>
  <c r="O265" i="1"/>
  <c r="Q262" i="1"/>
  <c r="P262" i="1"/>
  <c r="O262" i="1"/>
  <c r="L262" i="1"/>
  <c r="I262" i="1"/>
  <c r="H262" i="1"/>
  <c r="G262" i="1"/>
  <c r="Q261" i="1"/>
  <c r="P261" i="1"/>
  <c r="O261" i="1"/>
  <c r="I261" i="1"/>
  <c r="H261" i="1"/>
  <c r="G261" i="1"/>
  <c r="Q260" i="1"/>
  <c r="P260" i="1"/>
  <c r="O260" i="1"/>
  <c r="Q258" i="1"/>
  <c r="P258" i="1"/>
  <c r="O258" i="1"/>
  <c r="L258" i="1"/>
  <c r="I258" i="1"/>
  <c r="H258" i="1"/>
  <c r="G258" i="1"/>
  <c r="D258" i="1"/>
  <c r="Q254" i="1"/>
  <c r="O254" i="1"/>
  <c r="Q252" i="1"/>
  <c r="O252" i="1"/>
  <c r="Q250" i="1"/>
  <c r="O250" i="1"/>
  <c r="Q246" i="1"/>
  <c r="P246" i="1"/>
  <c r="O246" i="1"/>
  <c r="L246" i="1"/>
  <c r="I246" i="1"/>
  <c r="G246" i="1"/>
  <c r="D246" i="1"/>
  <c r="Q245" i="1"/>
  <c r="P245" i="1"/>
  <c r="O245" i="1"/>
  <c r="L245" i="1"/>
  <c r="I245" i="1"/>
  <c r="H245" i="1"/>
  <c r="G245" i="1"/>
  <c r="D245" i="1"/>
  <c r="Q244" i="1"/>
  <c r="O244" i="1"/>
  <c r="Q243" i="1"/>
  <c r="O243" i="1"/>
  <c r="Q242" i="1"/>
  <c r="O242" i="1"/>
  <c r="Q241" i="1"/>
  <c r="O241" i="1"/>
  <c r="Q240" i="1"/>
  <c r="O240" i="1"/>
  <c r="Q239" i="1"/>
  <c r="O239" i="1"/>
  <c r="Q238" i="1"/>
  <c r="O238" i="1"/>
  <c r="Q237" i="1"/>
  <c r="O237" i="1"/>
  <c r="Q236" i="1"/>
  <c r="O236" i="1"/>
  <c r="Q235" i="1"/>
  <c r="O235" i="1"/>
  <c r="Q234" i="1"/>
  <c r="O234" i="1"/>
  <c r="Q233" i="1"/>
  <c r="O233" i="1"/>
  <c r="Q232" i="1"/>
  <c r="O232" i="1"/>
  <c r="Q231" i="1"/>
  <c r="O231" i="1"/>
  <c r="Q230" i="1"/>
  <c r="O230" i="1"/>
  <c r="Q229" i="1"/>
  <c r="O229" i="1"/>
  <c r="Q228" i="1"/>
  <c r="O228" i="1"/>
  <c r="Q227" i="1"/>
  <c r="O227" i="1"/>
  <c r="Q226" i="1"/>
  <c r="O226" i="1"/>
  <c r="Q225" i="1"/>
  <c r="O225" i="1"/>
  <c r="Q224" i="1"/>
  <c r="O224" i="1"/>
  <c r="Q223" i="1"/>
  <c r="O223" i="1"/>
  <c r="Q222" i="1"/>
  <c r="O222" i="1"/>
  <c r="Q221" i="1"/>
  <c r="O221" i="1"/>
  <c r="Q220" i="1"/>
  <c r="O220" i="1"/>
  <c r="Q219" i="1"/>
  <c r="O219" i="1"/>
  <c r="Q218" i="1"/>
  <c r="O218" i="1"/>
  <c r="Q217" i="1"/>
  <c r="O217" i="1"/>
  <c r="Q216" i="1"/>
  <c r="O216" i="1"/>
  <c r="Q215" i="1"/>
  <c r="O215" i="1"/>
  <c r="Q214" i="1"/>
  <c r="O214" i="1"/>
  <c r="Q213" i="1"/>
  <c r="O213" i="1"/>
  <c r="Q212" i="1"/>
  <c r="O212" i="1"/>
  <c r="Q211" i="1"/>
  <c r="O211" i="1"/>
  <c r="Q210" i="1"/>
  <c r="O210" i="1"/>
  <c r="Q209" i="1"/>
  <c r="O209" i="1"/>
  <c r="Q208" i="1"/>
  <c r="O208" i="1"/>
  <c r="Q207" i="1"/>
  <c r="O207" i="1"/>
  <c r="Q206" i="1"/>
  <c r="O206" i="1"/>
  <c r="Q205" i="1"/>
  <c r="O205" i="1"/>
  <c r="Q204" i="1"/>
  <c r="O204" i="1"/>
  <c r="Q203" i="1"/>
  <c r="O203" i="1"/>
  <c r="Q202" i="1"/>
  <c r="O202" i="1"/>
  <c r="Q201" i="1"/>
  <c r="O201" i="1"/>
  <c r="Q200" i="1"/>
  <c r="O200" i="1"/>
  <c r="Q199" i="1"/>
  <c r="O199" i="1"/>
  <c r="Q198" i="1"/>
  <c r="O198" i="1"/>
  <c r="Q197" i="1"/>
  <c r="O197" i="1"/>
  <c r="Q196" i="1"/>
  <c r="O196" i="1"/>
  <c r="Q195" i="1"/>
  <c r="O195" i="1"/>
  <c r="Q194" i="1"/>
  <c r="O194" i="1"/>
  <c r="Q193" i="1"/>
  <c r="O193" i="1"/>
  <c r="O192" i="1"/>
  <c r="Q189" i="1"/>
  <c r="O189" i="1"/>
  <c r="L189" i="1"/>
  <c r="Q185" i="1"/>
  <c r="P185" i="1"/>
  <c r="O185" i="1"/>
  <c r="L185" i="1"/>
  <c r="K185" i="1"/>
  <c r="J185" i="1"/>
  <c r="D185" i="1"/>
  <c r="Q182" i="1"/>
  <c r="P182" i="1"/>
  <c r="O182" i="1"/>
  <c r="L182" i="1"/>
  <c r="K182" i="1"/>
  <c r="J182" i="1"/>
  <c r="D182" i="1"/>
  <c r="Q181" i="1"/>
  <c r="O181" i="1"/>
  <c r="Q180" i="1"/>
  <c r="O180" i="1"/>
  <c r="P178" i="1"/>
  <c r="L178" i="1"/>
  <c r="K178" i="1"/>
  <c r="D178" i="1"/>
  <c r="Q177" i="1"/>
  <c r="O177" i="1"/>
  <c r="Q175" i="1"/>
  <c r="O175" i="1"/>
  <c r="Q174" i="1"/>
  <c r="O174" i="1"/>
  <c r="Q173" i="1"/>
  <c r="O173" i="1"/>
  <c r="Q172" i="1"/>
  <c r="O172" i="1"/>
  <c r="Q171" i="1"/>
  <c r="O171" i="1"/>
  <c r="Q170" i="1"/>
  <c r="O170" i="1"/>
  <c r="Q168" i="1"/>
  <c r="P168" i="1"/>
  <c r="O168" i="1"/>
  <c r="L168" i="1"/>
  <c r="I168" i="1"/>
  <c r="H168" i="1"/>
  <c r="G168" i="1"/>
  <c r="D168" i="1"/>
  <c r="Q167" i="1"/>
  <c r="O167" i="1"/>
  <c r="Q166" i="1"/>
  <c r="O166" i="1"/>
  <c r="Q165" i="1"/>
  <c r="O165" i="1"/>
  <c r="Q164" i="1"/>
  <c r="O164" i="1"/>
  <c r="Q163" i="1"/>
  <c r="O163" i="1"/>
  <c r="Q160" i="1"/>
  <c r="P160" i="1"/>
  <c r="O160" i="1"/>
  <c r="L160" i="1"/>
  <c r="D160" i="1"/>
  <c r="Q159" i="1"/>
  <c r="O159" i="1"/>
  <c r="Q158" i="1"/>
  <c r="O158" i="1"/>
  <c r="Q157" i="1"/>
  <c r="O157" i="1"/>
  <c r="Q156" i="1"/>
  <c r="O156" i="1"/>
  <c r="Q155" i="1"/>
  <c r="O155" i="1"/>
  <c r="Q154" i="1"/>
  <c r="O154" i="1"/>
  <c r="Q153" i="1"/>
  <c r="O153" i="1"/>
  <c r="Q152" i="1"/>
  <c r="O152" i="1"/>
  <c r="Q150" i="1"/>
  <c r="O150" i="1"/>
  <c r="L150" i="1"/>
  <c r="I150" i="1"/>
  <c r="H150" i="1"/>
  <c r="G150" i="1"/>
  <c r="D150" i="1"/>
  <c r="Q149" i="1"/>
  <c r="O149" i="1"/>
  <c r="Q148" i="1"/>
  <c r="O148" i="1"/>
  <c r="Q147" i="1"/>
  <c r="O147" i="1"/>
  <c r="Q146" i="1"/>
  <c r="O146" i="1"/>
  <c r="Q145" i="1"/>
  <c r="O145" i="1"/>
  <c r="Q144" i="1"/>
  <c r="O144" i="1"/>
  <c r="Q143" i="1"/>
  <c r="Q142" i="1"/>
  <c r="O142" i="1"/>
  <c r="Q141" i="1"/>
  <c r="O141" i="1"/>
  <c r="Q140" i="1"/>
  <c r="O140" i="1"/>
  <c r="Q139" i="1"/>
  <c r="O139" i="1"/>
  <c r="Q138" i="1"/>
  <c r="O138" i="1"/>
  <c r="Q137" i="1"/>
  <c r="O137" i="1"/>
  <c r="Q136" i="1"/>
  <c r="O136" i="1"/>
  <c r="S134" i="1"/>
  <c r="Q134" i="1"/>
  <c r="O134" i="1"/>
  <c r="Q133" i="1"/>
  <c r="O133" i="1"/>
  <c r="Q132" i="1"/>
  <c r="O132" i="1"/>
  <c r="Q131" i="1"/>
  <c r="O131" i="1"/>
  <c r="Q130" i="1"/>
  <c r="O130" i="1"/>
  <c r="Q128" i="1"/>
  <c r="O128" i="1"/>
  <c r="Q127" i="1"/>
  <c r="O127" i="1"/>
  <c r="Q126" i="1"/>
  <c r="O126" i="1"/>
  <c r="Q125" i="1"/>
  <c r="O125" i="1"/>
  <c r="Q123" i="1"/>
  <c r="O123" i="1"/>
  <c r="Q122" i="1"/>
  <c r="O122" i="1"/>
  <c r="Q121" i="1"/>
  <c r="O121" i="1"/>
  <c r="Q120" i="1"/>
  <c r="O120" i="1"/>
  <c r="Q119" i="1"/>
  <c r="O119" i="1"/>
  <c r="Q117" i="1"/>
  <c r="O117" i="1"/>
  <c r="Q116" i="1"/>
  <c r="O116" i="1"/>
  <c r="Q115" i="1"/>
  <c r="O115" i="1"/>
  <c r="Q114" i="1"/>
  <c r="O114" i="1"/>
  <c r="Q113" i="1"/>
  <c r="O113" i="1"/>
  <c r="Q112" i="1"/>
  <c r="O112" i="1"/>
  <c r="Q111" i="1"/>
  <c r="O111" i="1"/>
  <c r="Q110" i="1"/>
  <c r="O110" i="1"/>
  <c r="Q109" i="1"/>
  <c r="O109" i="1"/>
  <c r="Q106" i="1"/>
  <c r="P106" i="1"/>
  <c r="O106" i="1"/>
  <c r="L106" i="1"/>
  <c r="I106" i="1"/>
  <c r="H106" i="1"/>
  <c r="G106" i="1"/>
  <c r="D106" i="1"/>
  <c r="Q104" i="1"/>
  <c r="P104" i="1"/>
  <c r="O104" i="1"/>
  <c r="Q103" i="1"/>
  <c r="P103" i="1"/>
  <c r="O103" i="1"/>
  <c r="Q102" i="1"/>
  <c r="P102" i="1"/>
  <c r="O102" i="1"/>
  <c r="Q101" i="1"/>
  <c r="P101" i="1"/>
  <c r="O101" i="1"/>
  <c r="Q100" i="1"/>
  <c r="P100" i="1"/>
  <c r="O100" i="1"/>
  <c r="Q99" i="1"/>
  <c r="P99" i="1"/>
  <c r="O99" i="1"/>
  <c r="Q98" i="1"/>
  <c r="P98" i="1"/>
  <c r="O98" i="1"/>
  <c r="Q97" i="1"/>
  <c r="P97" i="1"/>
  <c r="O97" i="1"/>
  <c r="Q96" i="1"/>
  <c r="P96" i="1"/>
  <c r="O96" i="1"/>
  <c r="P95" i="1"/>
  <c r="O95" i="1"/>
  <c r="P94" i="1"/>
  <c r="O94" i="1"/>
  <c r="Q93" i="1"/>
  <c r="P93" i="1"/>
  <c r="O93" i="1"/>
  <c r="Q92" i="1"/>
  <c r="P92" i="1"/>
  <c r="O92" i="1"/>
  <c r="Q91" i="1"/>
  <c r="P91" i="1"/>
  <c r="O91" i="1"/>
  <c r="Q90" i="1"/>
  <c r="P90" i="1"/>
  <c r="O90" i="1"/>
  <c r="Q89" i="1"/>
  <c r="P89" i="1"/>
  <c r="O89" i="1"/>
  <c r="Q88" i="1"/>
  <c r="P88" i="1"/>
  <c r="O88" i="1"/>
  <c r="Q87" i="1"/>
  <c r="P87" i="1"/>
  <c r="O87" i="1"/>
  <c r="Q86" i="1"/>
  <c r="P86" i="1"/>
  <c r="O86" i="1"/>
  <c r="Q85" i="1"/>
  <c r="P85" i="1"/>
  <c r="O85" i="1"/>
  <c r="Q84" i="1"/>
  <c r="P84" i="1"/>
  <c r="O84" i="1"/>
  <c r="Q83" i="1"/>
  <c r="P83" i="1"/>
  <c r="O83" i="1"/>
  <c r="Q82" i="1"/>
  <c r="P82" i="1"/>
  <c r="O82" i="1"/>
  <c r="Q81" i="1"/>
  <c r="P81" i="1"/>
  <c r="O81" i="1"/>
  <c r="Q80" i="1"/>
  <c r="P80" i="1"/>
  <c r="O80" i="1"/>
  <c r="Q79" i="1"/>
  <c r="P79" i="1"/>
  <c r="O79" i="1"/>
  <c r="Q78" i="1"/>
  <c r="P78" i="1"/>
  <c r="O78" i="1"/>
  <c r="Q77" i="1"/>
  <c r="P77" i="1"/>
  <c r="O77" i="1"/>
  <c r="Q76" i="1"/>
  <c r="P76" i="1"/>
  <c r="O76" i="1"/>
  <c r="Q75" i="1"/>
  <c r="P75" i="1"/>
  <c r="O75" i="1"/>
  <c r="Q74" i="1"/>
  <c r="P74" i="1"/>
  <c r="O74" i="1"/>
  <c r="Q73" i="1"/>
  <c r="P73" i="1"/>
  <c r="O73" i="1"/>
  <c r="Q72" i="1"/>
  <c r="P72" i="1"/>
  <c r="O72" i="1"/>
  <c r="Q71" i="1"/>
  <c r="P71" i="1"/>
  <c r="O71" i="1"/>
  <c r="Q70" i="1"/>
  <c r="P70" i="1"/>
  <c r="O70" i="1"/>
  <c r="Q69" i="1"/>
  <c r="P69" i="1"/>
  <c r="O69" i="1"/>
  <c r="Q68" i="1"/>
  <c r="P68" i="1"/>
  <c r="O68" i="1"/>
  <c r="Q67" i="1"/>
  <c r="P67" i="1"/>
  <c r="O67" i="1"/>
  <c r="Q66" i="1"/>
  <c r="P66" i="1"/>
  <c r="O66" i="1"/>
  <c r="Q65" i="1"/>
  <c r="P65" i="1"/>
  <c r="O65" i="1"/>
  <c r="Q64" i="1"/>
  <c r="P64" i="1"/>
  <c r="O64" i="1"/>
  <c r="Q63" i="1"/>
  <c r="P63" i="1"/>
  <c r="O63" i="1"/>
  <c r="Q62" i="1"/>
  <c r="P62" i="1"/>
  <c r="O62" i="1"/>
  <c r="Q61" i="1"/>
  <c r="P61" i="1"/>
  <c r="O61" i="1"/>
  <c r="Q60" i="1"/>
  <c r="P60" i="1"/>
  <c r="O60" i="1"/>
  <c r="Q59" i="1"/>
  <c r="Q58" i="1"/>
  <c r="Q57" i="1"/>
  <c r="Q56" i="1"/>
  <c r="P56" i="1"/>
  <c r="O56" i="1"/>
  <c r="Q55" i="1"/>
  <c r="P55" i="1"/>
  <c r="O55" i="1"/>
  <c r="Q54" i="1"/>
  <c r="Q53" i="1"/>
  <c r="P53" i="1"/>
  <c r="O53" i="1"/>
  <c r="Q52" i="1"/>
  <c r="P52" i="1"/>
  <c r="O52" i="1"/>
  <c r="Q51" i="1"/>
  <c r="P51" i="1"/>
  <c r="O51" i="1"/>
  <c r="Q50" i="1"/>
  <c r="P50" i="1"/>
  <c r="O50" i="1"/>
  <c r="Q49" i="1"/>
  <c r="P49" i="1"/>
  <c r="O49" i="1"/>
  <c r="Q47" i="1"/>
  <c r="P47" i="1"/>
  <c r="O47" i="1"/>
  <c r="Q46" i="1"/>
  <c r="P46" i="1"/>
  <c r="O46" i="1"/>
  <c r="Q45" i="1"/>
  <c r="P45" i="1"/>
  <c r="O45" i="1"/>
  <c r="Q44" i="1"/>
  <c r="P44" i="1"/>
  <c r="O44" i="1"/>
  <c r="Q42" i="1"/>
  <c r="P42" i="1"/>
  <c r="O42" i="1"/>
  <c r="L42" i="1"/>
  <c r="I42" i="1"/>
  <c r="H42" i="1"/>
  <c r="G42" i="1"/>
  <c r="D42" i="1"/>
  <c r="Q41" i="1"/>
  <c r="P41" i="1"/>
  <c r="O41" i="1"/>
  <c r="Q40" i="1"/>
  <c r="P40" i="1"/>
  <c r="O40" i="1"/>
  <c r="Q38" i="1"/>
  <c r="P38" i="1"/>
  <c r="O38" i="1"/>
  <c r="L38" i="1"/>
  <c r="I38" i="1"/>
  <c r="H38" i="1"/>
  <c r="G38" i="1"/>
  <c r="D38" i="1"/>
  <c r="Q37" i="1"/>
  <c r="P37" i="1"/>
  <c r="O37" i="1"/>
  <c r="I37" i="1"/>
  <c r="H37" i="1"/>
  <c r="Q35" i="1"/>
  <c r="P35" i="1"/>
  <c r="O35" i="1"/>
  <c r="L35" i="1"/>
  <c r="D35" i="1"/>
  <c r="Q34" i="1"/>
  <c r="P34" i="1"/>
  <c r="O34" i="1"/>
  <c r="Q33" i="1"/>
  <c r="P33" i="1"/>
  <c r="O33" i="1"/>
  <c r="Q31" i="1"/>
  <c r="P31" i="1"/>
  <c r="O31" i="1"/>
  <c r="L31" i="1"/>
  <c r="D31" i="1"/>
  <c r="Q30" i="1"/>
  <c r="P30" i="1"/>
  <c r="O30" i="1"/>
  <c r="Q29" i="1"/>
  <c r="P29" i="1"/>
  <c r="O29" i="1"/>
  <c r="Q27" i="1"/>
  <c r="P27" i="1"/>
  <c r="O27" i="1"/>
  <c r="L27" i="1"/>
  <c r="I27" i="1"/>
  <c r="H27" i="1"/>
  <c r="G27" i="1"/>
  <c r="D27" i="1"/>
  <c r="Q26" i="1"/>
  <c r="P26" i="1"/>
  <c r="O26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O14" i="1"/>
  <c r="Q12" i="1"/>
  <c r="P12" i="1"/>
  <c r="O12" i="1"/>
  <c r="L12" i="1"/>
  <c r="I12" i="1"/>
  <c r="H12" i="1"/>
  <c r="G12" i="1"/>
  <c r="D12" i="1"/>
  <c r="Q11" i="1"/>
  <c r="P11" i="1"/>
  <c r="O11" i="1"/>
  <c r="Q10" i="1"/>
  <c r="P10" i="1"/>
  <c r="O10" i="1"/>
  <c r="Q9" i="1"/>
  <c r="P9" i="1"/>
  <c r="O9" i="1"/>
  <c r="Q8" i="1"/>
  <c r="P8" i="1"/>
  <c r="O8" i="1"/>
  <c r="F73" i="5"/>
  <c r="I72" i="5"/>
  <c r="F68" i="5"/>
  <c r="F58" i="5"/>
  <c r="F51" i="5"/>
  <c r="J103" i="4"/>
  <c r="J101" i="4"/>
  <c r="I101" i="4"/>
  <c r="J96" i="4"/>
  <c r="I96" i="4"/>
  <c r="J92" i="4"/>
  <c r="I91" i="4"/>
  <c r="I88" i="4"/>
  <c r="J76" i="4"/>
  <c r="I75" i="4"/>
  <c r="I64" i="4"/>
  <c r="I61" i="4"/>
  <c r="G61" i="4"/>
  <c r="I43" i="4"/>
  <c r="I16" i="4"/>
  <c r="I10" i="4"/>
  <c r="I162" i="3"/>
  <c r="H162" i="3"/>
  <c r="I158" i="3"/>
  <c r="H157" i="3"/>
  <c r="H148" i="3"/>
  <c r="H145" i="3"/>
  <c r="H138" i="3"/>
  <c r="H130" i="3"/>
  <c r="H121" i="3"/>
  <c r="H87" i="3"/>
  <c r="H37" i="3"/>
  <c r="H34" i="3"/>
  <c r="H31" i="3"/>
  <c r="H27" i="3"/>
  <c r="H23" i="3"/>
  <c r="H11" i="3"/>
  <c r="Q278" i="2"/>
  <c r="L278" i="2"/>
  <c r="Q276" i="2"/>
  <c r="P276" i="2"/>
  <c r="O276" i="2"/>
  <c r="L276" i="2"/>
  <c r="Q274" i="2"/>
  <c r="O274" i="2"/>
  <c r="Q273" i="2"/>
  <c r="O273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Q247" i="2"/>
  <c r="P247" i="2"/>
  <c r="O247" i="2"/>
  <c r="L247" i="2"/>
  <c r="I247" i="2"/>
  <c r="H247" i="2"/>
  <c r="G247" i="2"/>
  <c r="Q246" i="2"/>
  <c r="O246" i="2"/>
  <c r="Q245" i="2"/>
  <c r="O245" i="2"/>
  <c r="Q244" i="2"/>
  <c r="O244" i="2"/>
  <c r="Q243" i="2"/>
  <c r="O243" i="2"/>
  <c r="Q242" i="2"/>
  <c r="O242" i="2"/>
  <c r="Q241" i="2"/>
  <c r="O241" i="2"/>
  <c r="Q240" i="2"/>
  <c r="O240" i="2"/>
  <c r="Q239" i="2"/>
  <c r="O239" i="2"/>
  <c r="Q238" i="2"/>
  <c r="O238" i="2"/>
  <c r="Q237" i="2"/>
  <c r="O237" i="2"/>
  <c r="Q236" i="2"/>
  <c r="O236" i="2"/>
  <c r="Q235" i="2"/>
  <c r="O235" i="2"/>
  <c r="Q234" i="2"/>
  <c r="O234" i="2"/>
  <c r="Q233" i="2"/>
  <c r="O233" i="2"/>
  <c r="Q232" i="2"/>
  <c r="O232" i="2"/>
  <c r="Q231" i="2"/>
  <c r="O231" i="2"/>
  <c r="Q230" i="2"/>
  <c r="O230" i="2"/>
  <c r="Q229" i="2"/>
  <c r="O229" i="2"/>
  <c r="Q228" i="2"/>
  <c r="O228" i="2"/>
  <c r="Q227" i="2"/>
  <c r="O227" i="2"/>
  <c r="Q226" i="2"/>
  <c r="O226" i="2"/>
  <c r="Q225" i="2"/>
  <c r="O225" i="2"/>
  <c r="Q224" i="2"/>
  <c r="O224" i="2"/>
  <c r="Q223" i="2"/>
  <c r="O223" i="2"/>
  <c r="Q222" i="2"/>
  <c r="O222" i="2"/>
  <c r="Q221" i="2"/>
  <c r="O221" i="2"/>
  <c r="Q220" i="2"/>
  <c r="O220" i="2"/>
  <c r="Q219" i="2"/>
  <c r="O219" i="2"/>
  <c r="Q218" i="2"/>
  <c r="O218" i="2"/>
  <c r="Q217" i="2"/>
  <c r="O217" i="2"/>
  <c r="Q216" i="2"/>
  <c r="O216" i="2"/>
  <c r="Q215" i="2"/>
  <c r="O215" i="2"/>
  <c r="Q214" i="2"/>
  <c r="O214" i="2"/>
  <c r="Q213" i="2"/>
  <c r="O213" i="2"/>
  <c r="Q212" i="2"/>
  <c r="O212" i="2"/>
  <c r="Q211" i="2"/>
  <c r="O211" i="2"/>
  <c r="Q210" i="2"/>
  <c r="O210" i="2"/>
  <c r="Q209" i="2"/>
  <c r="O209" i="2"/>
  <c r="Q208" i="2"/>
  <c r="O208" i="2"/>
  <c r="Q207" i="2"/>
  <c r="O207" i="2"/>
  <c r="Q206" i="2"/>
  <c r="O206" i="2"/>
  <c r="Q205" i="2"/>
  <c r="O205" i="2"/>
  <c r="Q204" i="2"/>
  <c r="O204" i="2"/>
  <c r="Q203" i="2"/>
  <c r="O203" i="2"/>
  <c r="Q202" i="2"/>
  <c r="O202" i="2"/>
  <c r="Q201" i="2"/>
  <c r="O201" i="2"/>
  <c r="Q200" i="2"/>
  <c r="O200" i="2"/>
  <c r="Q199" i="2"/>
  <c r="O199" i="2"/>
  <c r="Q198" i="2"/>
  <c r="O198" i="2"/>
  <c r="Q197" i="2"/>
  <c r="O197" i="2"/>
  <c r="Q195" i="2"/>
  <c r="O195" i="2"/>
  <c r="Q185" i="2"/>
  <c r="O185" i="2"/>
  <c r="L185" i="2"/>
  <c r="I185" i="2"/>
  <c r="H185" i="2"/>
  <c r="G185" i="2"/>
  <c r="D185" i="2"/>
  <c r="Q184" i="2"/>
  <c r="O184" i="2"/>
  <c r="Q181" i="2"/>
  <c r="P181" i="2"/>
  <c r="O181" i="2"/>
  <c r="L181" i="2"/>
  <c r="I181" i="2"/>
  <c r="H181" i="2"/>
  <c r="G181" i="2"/>
  <c r="Q180" i="2"/>
  <c r="O180" i="2"/>
  <c r="Q179" i="2"/>
  <c r="O179" i="2"/>
  <c r="Q178" i="2"/>
  <c r="O178" i="2"/>
  <c r="Q177" i="2"/>
  <c r="O177" i="2"/>
  <c r="Q176" i="2"/>
  <c r="O176" i="2"/>
  <c r="Q175" i="2"/>
  <c r="O175" i="2"/>
  <c r="Q174" i="2"/>
  <c r="O174" i="2"/>
  <c r="Q173" i="2"/>
  <c r="O173" i="2"/>
  <c r="Q171" i="2"/>
  <c r="O171" i="2"/>
  <c r="L171" i="2"/>
  <c r="I171" i="2"/>
  <c r="H171" i="2"/>
  <c r="G171" i="2"/>
  <c r="D171" i="2"/>
  <c r="Q170" i="2"/>
  <c r="O170" i="2"/>
  <c r="Q169" i="2"/>
  <c r="O169" i="2"/>
  <c r="Q168" i="2"/>
  <c r="O168" i="2"/>
  <c r="Q167" i="2"/>
  <c r="O167" i="2"/>
  <c r="Q166" i="2"/>
  <c r="O166" i="2"/>
  <c r="Q165" i="2"/>
  <c r="O165" i="2"/>
  <c r="Q163" i="2"/>
  <c r="P163" i="2"/>
  <c r="O163" i="2"/>
  <c r="L163" i="2"/>
  <c r="I163" i="2"/>
  <c r="H163" i="2"/>
  <c r="G163" i="2"/>
  <c r="D163" i="2"/>
  <c r="Q162" i="2"/>
  <c r="O162" i="2"/>
  <c r="Q161" i="2"/>
  <c r="O161" i="2"/>
  <c r="Q160" i="2"/>
  <c r="O160" i="2"/>
  <c r="Q159" i="2"/>
  <c r="O159" i="2"/>
  <c r="Q158" i="2"/>
  <c r="O158" i="2"/>
  <c r="Q157" i="2"/>
  <c r="O157" i="2"/>
  <c r="Q156" i="2"/>
  <c r="O156" i="2"/>
  <c r="Q155" i="2"/>
  <c r="O155" i="2"/>
  <c r="Q153" i="2"/>
  <c r="P153" i="2"/>
  <c r="O153" i="2"/>
  <c r="L153" i="2"/>
  <c r="I153" i="2"/>
  <c r="H153" i="2"/>
  <c r="G153" i="2"/>
  <c r="D153" i="2"/>
  <c r="Q152" i="2"/>
  <c r="O152" i="2"/>
  <c r="Q151" i="2"/>
  <c r="O151" i="2"/>
  <c r="Q150" i="2"/>
  <c r="O150" i="2"/>
  <c r="Q149" i="2"/>
  <c r="O149" i="2"/>
  <c r="Q148" i="2"/>
  <c r="O148" i="2"/>
  <c r="Q147" i="2"/>
  <c r="O147" i="2"/>
  <c r="Q146" i="2"/>
  <c r="O146" i="2"/>
  <c r="Q145" i="2"/>
  <c r="O145" i="2"/>
  <c r="Q144" i="2"/>
  <c r="O144" i="2"/>
  <c r="Q143" i="2"/>
  <c r="O143" i="2"/>
  <c r="Q142" i="2"/>
  <c r="O142" i="2"/>
  <c r="Q141" i="2"/>
  <c r="O141" i="2"/>
  <c r="Q140" i="2"/>
  <c r="O140" i="2"/>
  <c r="Q139" i="2"/>
  <c r="O139" i="2"/>
  <c r="Q138" i="2"/>
  <c r="O138" i="2"/>
  <c r="Q137" i="2"/>
  <c r="O137" i="2"/>
  <c r="Q136" i="2"/>
  <c r="O136" i="2"/>
  <c r="Q135" i="2"/>
  <c r="O135" i="2"/>
  <c r="Q134" i="2"/>
  <c r="O134" i="2"/>
  <c r="Q133" i="2"/>
  <c r="O133" i="2"/>
  <c r="Q132" i="2"/>
  <c r="O132" i="2"/>
  <c r="Q131" i="2"/>
  <c r="O131" i="2"/>
  <c r="Q130" i="2"/>
  <c r="O130" i="2"/>
  <c r="Q129" i="2"/>
  <c r="O129" i="2"/>
  <c r="Q128" i="2"/>
  <c r="O128" i="2"/>
  <c r="Q127" i="2"/>
  <c r="O127" i="2"/>
  <c r="Q126" i="2"/>
  <c r="O126" i="2"/>
  <c r="Q125" i="2"/>
  <c r="O125" i="2"/>
  <c r="Q124" i="2"/>
  <c r="O124" i="2"/>
  <c r="Q123" i="2"/>
  <c r="O123" i="2"/>
  <c r="Q122" i="2"/>
  <c r="O122" i="2"/>
  <c r="Q121" i="2"/>
  <c r="O121" i="2"/>
  <c r="Q120" i="2"/>
  <c r="O120" i="2"/>
  <c r="Q119" i="2"/>
  <c r="O119" i="2"/>
  <c r="Q118" i="2"/>
  <c r="O118" i="2"/>
  <c r="Q117" i="2"/>
  <c r="O117" i="2"/>
  <c r="Q116" i="2"/>
  <c r="O116" i="2"/>
  <c r="Q115" i="2"/>
  <c r="O115" i="2"/>
  <c r="Q114" i="2"/>
  <c r="O114" i="2"/>
  <c r="Q113" i="2"/>
  <c r="O113" i="2"/>
  <c r="Q112" i="2"/>
  <c r="O112" i="2"/>
  <c r="Q109" i="2"/>
  <c r="P109" i="2"/>
  <c r="O109" i="2"/>
  <c r="N109" i="2"/>
  <c r="M109" i="2"/>
  <c r="L109" i="2"/>
  <c r="K109" i="2"/>
  <c r="I109" i="2"/>
  <c r="H109" i="2"/>
  <c r="G109" i="2"/>
  <c r="D109" i="2"/>
  <c r="Q108" i="2"/>
  <c r="P108" i="2"/>
  <c r="O108" i="2"/>
  <c r="Q107" i="2"/>
  <c r="P107" i="2"/>
  <c r="O107" i="2"/>
  <c r="Q106" i="2"/>
  <c r="P106" i="2"/>
  <c r="O106" i="2"/>
  <c r="Q105" i="2"/>
  <c r="P105" i="2"/>
  <c r="O105" i="2"/>
  <c r="Q104" i="2"/>
  <c r="P104" i="2"/>
  <c r="O104" i="2"/>
  <c r="Q103" i="2"/>
  <c r="P103" i="2"/>
  <c r="O103" i="2"/>
  <c r="Q102" i="2"/>
  <c r="P102" i="2"/>
  <c r="O102" i="2"/>
  <c r="Q101" i="2"/>
  <c r="P101" i="2"/>
  <c r="O101" i="2"/>
  <c r="Q100" i="2"/>
  <c r="P100" i="2"/>
  <c r="O100" i="2"/>
  <c r="Q99" i="2"/>
  <c r="P99" i="2"/>
  <c r="O99" i="2"/>
  <c r="Q98" i="2"/>
  <c r="P98" i="2"/>
  <c r="O98" i="2"/>
  <c r="Q97" i="2"/>
  <c r="P97" i="2"/>
  <c r="O97" i="2"/>
  <c r="Q96" i="2"/>
  <c r="P96" i="2"/>
  <c r="O96" i="2"/>
  <c r="Q95" i="2"/>
  <c r="P95" i="2"/>
  <c r="O95" i="2"/>
  <c r="Q94" i="2"/>
  <c r="P94" i="2"/>
  <c r="O94" i="2"/>
  <c r="Q93" i="2"/>
  <c r="P93" i="2"/>
  <c r="O93" i="2"/>
  <c r="Q92" i="2"/>
  <c r="P92" i="2"/>
  <c r="O92" i="2"/>
  <c r="Q91" i="2"/>
  <c r="P91" i="2"/>
  <c r="O91" i="2"/>
  <c r="Q90" i="2"/>
  <c r="P90" i="2"/>
  <c r="O90" i="2"/>
  <c r="Q89" i="2"/>
  <c r="P89" i="2"/>
  <c r="O89" i="2"/>
  <c r="Q88" i="2"/>
  <c r="P88" i="2"/>
  <c r="O88" i="2"/>
  <c r="Q87" i="2"/>
  <c r="P87" i="2"/>
  <c r="O87" i="2"/>
  <c r="Q86" i="2"/>
  <c r="P86" i="2"/>
  <c r="O86" i="2"/>
  <c r="Q85" i="2"/>
  <c r="P85" i="2"/>
  <c r="O85" i="2"/>
  <c r="Q84" i="2"/>
  <c r="P84" i="2"/>
  <c r="O84" i="2"/>
  <c r="Q83" i="2"/>
  <c r="P83" i="2"/>
  <c r="O83" i="2"/>
  <c r="Q82" i="2"/>
  <c r="P82" i="2"/>
  <c r="O82" i="2"/>
  <c r="Q81" i="2"/>
  <c r="P81" i="2"/>
  <c r="O81" i="2"/>
  <c r="Q80" i="2"/>
  <c r="P80" i="2"/>
  <c r="O80" i="2"/>
  <c r="Q79" i="2"/>
  <c r="P79" i="2"/>
  <c r="O79" i="2"/>
  <c r="Q78" i="2"/>
  <c r="P78" i="2"/>
  <c r="O78" i="2"/>
  <c r="Q77" i="2"/>
  <c r="P77" i="2"/>
  <c r="O77" i="2"/>
  <c r="Q76" i="2"/>
  <c r="P76" i="2"/>
  <c r="O76" i="2"/>
  <c r="Q75" i="2"/>
  <c r="P75" i="2"/>
  <c r="O75" i="2"/>
  <c r="Q74" i="2"/>
  <c r="P74" i="2"/>
  <c r="O74" i="2"/>
  <c r="Q73" i="2"/>
  <c r="P73" i="2"/>
  <c r="O73" i="2"/>
  <c r="Q72" i="2"/>
  <c r="P72" i="2"/>
  <c r="O72" i="2"/>
  <c r="Q71" i="2"/>
  <c r="P71" i="2"/>
  <c r="O71" i="2"/>
  <c r="Q70" i="2"/>
  <c r="P70" i="2"/>
  <c r="O70" i="2"/>
  <c r="Q69" i="2"/>
  <c r="P69" i="2"/>
  <c r="O69" i="2"/>
  <c r="Q68" i="2"/>
  <c r="P68" i="2"/>
  <c r="O68" i="2"/>
  <c r="Q67" i="2"/>
  <c r="P67" i="2"/>
  <c r="O67" i="2"/>
  <c r="Q66" i="2"/>
  <c r="P66" i="2"/>
  <c r="O66" i="2"/>
  <c r="Q65" i="2"/>
  <c r="P65" i="2"/>
  <c r="O65" i="2"/>
  <c r="Q64" i="2"/>
  <c r="P64" i="2"/>
  <c r="O64" i="2"/>
  <c r="Q63" i="2"/>
  <c r="P63" i="2"/>
  <c r="O63" i="2"/>
  <c r="Q62" i="2"/>
  <c r="P62" i="2"/>
  <c r="O62" i="2"/>
  <c r="Q61" i="2"/>
  <c r="P61" i="2"/>
  <c r="O61" i="2"/>
  <c r="Q60" i="2"/>
  <c r="P60" i="2"/>
  <c r="O60" i="2"/>
  <c r="Q59" i="2"/>
  <c r="P59" i="2"/>
  <c r="O59" i="2"/>
  <c r="Q58" i="2"/>
  <c r="P58" i="2"/>
  <c r="O58" i="2"/>
  <c r="Q57" i="2"/>
  <c r="P57" i="2"/>
  <c r="O57" i="2"/>
  <c r="Q56" i="2"/>
  <c r="P56" i="2"/>
  <c r="O56" i="2"/>
  <c r="Q55" i="2"/>
  <c r="P55" i="2"/>
  <c r="O55" i="2"/>
  <c r="Q54" i="2"/>
  <c r="P54" i="2"/>
  <c r="O54" i="2"/>
  <c r="Q53" i="2"/>
  <c r="P53" i="2"/>
  <c r="O53" i="2"/>
  <c r="Q52" i="2"/>
  <c r="P52" i="2"/>
  <c r="O52" i="2"/>
  <c r="Q51" i="2"/>
  <c r="P51" i="2"/>
  <c r="O51" i="2"/>
  <c r="Q50" i="2"/>
  <c r="P50" i="2"/>
  <c r="O50" i="2"/>
  <c r="Q49" i="2"/>
  <c r="P49" i="2"/>
  <c r="O49" i="2"/>
  <c r="Q48" i="2"/>
  <c r="P48" i="2"/>
  <c r="O48" i="2"/>
  <c r="Q47" i="2"/>
  <c r="P47" i="2"/>
  <c r="O47" i="2"/>
  <c r="Q46" i="2"/>
  <c r="P46" i="2"/>
  <c r="O46" i="2"/>
  <c r="Q45" i="2"/>
  <c r="P45" i="2"/>
  <c r="O45" i="2"/>
  <c r="Q44" i="2"/>
  <c r="P44" i="2"/>
  <c r="O44" i="2"/>
  <c r="Q42" i="2"/>
  <c r="P42" i="2"/>
  <c r="O42" i="2"/>
  <c r="L42" i="2"/>
  <c r="I42" i="2"/>
  <c r="H42" i="2"/>
  <c r="G42" i="2"/>
  <c r="D42" i="2"/>
  <c r="Q38" i="2"/>
  <c r="P38" i="2"/>
  <c r="O38" i="2"/>
  <c r="L38" i="2"/>
  <c r="I38" i="2"/>
  <c r="H38" i="2"/>
  <c r="G38" i="2"/>
  <c r="Q35" i="2"/>
  <c r="P35" i="2"/>
  <c r="O35" i="2"/>
  <c r="L35" i="2"/>
  <c r="I35" i="2"/>
  <c r="H35" i="2"/>
  <c r="G35" i="2"/>
  <c r="Q33" i="2"/>
  <c r="P33" i="2"/>
  <c r="O33" i="2"/>
  <c r="Q31" i="2"/>
  <c r="P31" i="2"/>
  <c r="O31" i="2"/>
  <c r="N31" i="2"/>
  <c r="M31" i="2"/>
  <c r="L31" i="2"/>
  <c r="K31" i="2"/>
  <c r="I31" i="2"/>
  <c r="H31" i="2"/>
  <c r="G31" i="2"/>
  <c r="F31" i="2"/>
  <c r="E31" i="2"/>
  <c r="D31" i="2"/>
  <c r="Q27" i="2"/>
  <c r="P27" i="2"/>
  <c r="O27" i="2"/>
  <c r="L27" i="2"/>
  <c r="I27" i="2"/>
  <c r="H27" i="2"/>
  <c r="G27" i="2"/>
  <c r="D27" i="2"/>
  <c r="Q26" i="2"/>
  <c r="P26" i="2"/>
  <c r="O26" i="2"/>
  <c r="Q25" i="2"/>
  <c r="P25" i="2"/>
  <c r="O25" i="2"/>
  <c r="Q24" i="2"/>
  <c r="P24" i="2"/>
  <c r="O24" i="2"/>
  <c r="Q23" i="2"/>
  <c r="P23" i="2"/>
  <c r="O23" i="2"/>
  <c r="Q22" i="2"/>
  <c r="P22" i="2"/>
  <c r="O22" i="2"/>
  <c r="Q21" i="2"/>
  <c r="P21" i="2"/>
  <c r="O21" i="2"/>
  <c r="Q20" i="2"/>
  <c r="P20" i="2"/>
  <c r="O20" i="2"/>
  <c r="Q19" i="2"/>
  <c r="P19" i="2"/>
  <c r="O19" i="2"/>
  <c r="Q18" i="2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O14" i="2"/>
  <c r="Q12" i="2"/>
  <c r="P12" i="2"/>
  <c r="O12" i="2"/>
  <c r="L12" i="2"/>
  <c r="I12" i="2"/>
  <c r="H12" i="2"/>
  <c r="G12" i="2"/>
  <c r="D12" i="2"/>
  <c r="Q11" i="2"/>
  <c r="P11" i="2"/>
  <c r="O11" i="2"/>
  <c r="Q10" i="2"/>
  <c r="P10" i="2"/>
  <c r="O10" i="2"/>
  <c r="Q9" i="2"/>
  <c r="P9" i="2"/>
  <c r="O9" i="2"/>
  <c r="Q8" i="2"/>
  <c r="P8" i="2"/>
  <c r="O8" i="2"/>
  <c r="H65" i="10"/>
  <c r="F64" i="10"/>
  <c r="F61" i="10"/>
  <c r="F51" i="10"/>
  <c r="F48" i="10"/>
  <c r="F39" i="10"/>
  <c r="I92" i="8"/>
  <c r="I90" i="8"/>
  <c r="H90" i="8"/>
  <c r="J85" i="8"/>
  <c r="I85" i="8"/>
  <c r="H85" i="8"/>
  <c r="I81" i="8"/>
  <c r="H80" i="8"/>
  <c r="H77" i="8"/>
  <c r="I65" i="8"/>
  <c r="H64" i="8"/>
  <c r="H54" i="8"/>
  <c r="H51" i="8"/>
  <c r="G51" i="8"/>
  <c r="H38" i="8"/>
  <c r="H10" i="8"/>
  <c r="G146" i="7"/>
  <c r="G144" i="7"/>
  <c r="G141" i="7"/>
  <c r="F141" i="7"/>
  <c r="G89" i="7"/>
  <c r="G41" i="7"/>
  <c r="G37" i="7"/>
  <c r="G34" i="7"/>
  <c r="G30" i="7"/>
  <c r="G26" i="7"/>
  <c r="G12" i="7"/>
  <c r="Q279" i="6"/>
  <c r="L279" i="6"/>
  <c r="Q277" i="6"/>
  <c r="P277" i="6"/>
  <c r="O277" i="6"/>
  <c r="L277" i="6"/>
  <c r="I277" i="6"/>
  <c r="H277" i="6"/>
  <c r="G277" i="6"/>
  <c r="Q275" i="6"/>
  <c r="O275" i="6"/>
  <c r="Q274" i="6"/>
  <c r="O274" i="6"/>
  <c r="Q249" i="6"/>
  <c r="P249" i="6"/>
  <c r="O249" i="6"/>
  <c r="N249" i="6"/>
  <c r="M249" i="6"/>
  <c r="L249" i="6"/>
  <c r="K249" i="6"/>
  <c r="J249" i="6"/>
  <c r="I249" i="6"/>
  <c r="H249" i="6"/>
  <c r="G249" i="6"/>
  <c r="F249" i="6"/>
  <c r="E249" i="6"/>
  <c r="D249" i="6"/>
  <c r="Q248" i="6"/>
  <c r="P248" i="6"/>
  <c r="O248" i="6"/>
  <c r="L248" i="6"/>
  <c r="I248" i="6"/>
  <c r="H248" i="6"/>
  <c r="G248" i="6"/>
  <c r="Q247" i="6"/>
  <c r="O247" i="6"/>
  <c r="Q246" i="6"/>
  <c r="O246" i="6"/>
  <c r="Q245" i="6"/>
  <c r="O245" i="6"/>
  <c r="Q244" i="6"/>
  <c r="O244" i="6"/>
  <c r="Q243" i="6"/>
  <c r="O243" i="6"/>
  <c r="Q242" i="6"/>
  <c r="O242" i="6"/>
  <c r="Q241" i="6"/>
  <c r="O241" i="6"/>
  <c r="Q240" i="6"/>
  <c r="O240" i="6"/>
  <c r="Q239" i="6"/>
  <c r="O239" i="6"/>
  <c r="Q238" i="6"/>
  <c r="O238" i="6"/>
  <c r="Q237" i="6"/>
  <c r="O237" i="6"/>
  <c r="Q236" i="6"/>
  <c r="O236" i="6"/>
  <c r="Q235" i="6"/>
  <c r="O235" i="6"/>
  <c r="Q234" i="6"/>
  <c r="O234" i="6"/>
  <c r="Q233" i="6"/>
  <c r="O233" i="6"/>
  <c r="Q232" i="6"/>
  <c r="O232" i="6"/>
  <c r="Q231" i="6"/>
  <c r="O231" i="6"/>
  <c r="Q230" i="6"/>
  <c r="O230" i="6"/>
  <c r="Q229" i="6"/>
  <c r="O229" i="6"/>
  <c r="Q228" i="6"/>
  <c r="O228" i="6"/>
  <c r="Q227" i="6"/>
  <c r="O227" i="6"/>
  <c r="Q226" i="6"/>
  <c r="O226" i="6"/>
  <c r="Q225" i="6"/>
  <c r="O225" i="6"/>
  <c r="Q224" i="6"/>
  <c r="O224" i="6"/>
  <c r="Q223" i="6"/>
  <c r="O223" i="6"/>
  <c r="Q222" i="6"/>
  <c r="O222" i="6"/>
  <c r="Q221" i="6"/>
  <c r="O221" i="6"/>
  <c r="Q220" i="6"/>
  <c r="O220" i="6"/>
  <c r="Q219" i="6"/>
  <c r="O219" i="6"/>
  <c r="Q218" i="6"/>
  <c r="O218" i="6"/>
  <c r="Q217" i="6"/>
  <c r="O217" i="6"/>
  <c r="Q216" i="6"/>
  <c r="O216" i="6"/>
  <c r="Q215" i="6"/>
  <c r="O215" i="6"/>
  <c r="Q214" i="6"/>
  <c r="O214" i="6"/>
  <c r="Q213" i="6"/>
  <c r="O213" i="6"/>
  <c r="Q212" i="6"/>
  <c r="O212" i="6"/>
  <c r="Q211" i="6"/>
  <c r="O211" i="6"/>
  <c r="Q210" i="6"/>
  <c r="O210" i="6"/>
  <c r="Q209" i="6"/>
  <c r="O209" i="6"/>
  <c r="Q208" i="6"/>
  <c r="O208" i="6"/>
  <c r="Q207" i="6"/>
  <c r="O207" i="6"/>
  <c r="Q206" i="6"/>
  <c r="O206" i="6"/>
  <c r="Q205" i="6"/>
  <c r="O205" i="6"/>
  <c r="Q204" i="6"/>
  <c r="O204" i="6"/>
  <c r="Q203" i="6"/>
  <c r="O203" i="6"/>
  <c r="Q202" i="6"/>
  <c r="O202" i="6"/>
  <c r="Q201" i="6"/>
  <c r="O201" i="6"/>
  <c r="Q200" i="6"/>
  <c r="O200" i="6"/>
  <c r="Q199" i="6"/>
  <c r="O199" i="6"/>
  <c r="Q198" i="6"/>
  <c r="O198" i="6"/>
  <c r="Q196" i="6"/>
  <c r="O196" i="6"/>
  <c r="Q186" i="6"/>
  <c r="O186" i="6"/>
  <c r="L186" i="6"/>
  <c r="I186" i="6"/>
  <c r="H186" i="6"/>
  <c r="G186" i="6"/>
  <c r="D186" i="6"/>
  <c r="Q185" i="6"/>
  <c r="O185" i="6"/>
  <c r="Q182" i="6"/>
  <c r="P182" i="6"/>
  <c r="O182" i="6"/>
  <c r="L182" i="6"/>
  <c r="I182" i="6"/>
  <c r="H182" i="6"/>
  <c r="G182" i="6"/>
  <c r="Q181" i="6"/>
  <c r="O181" i="6"/>
  <c r="Q180" i="6"/>
  <c r="O180" i="6"/>
  <c r="Q179" i="6"/>
  <c r="O179" i="6"/>
  <c r="Q178" i="6"/>
  <c r="O178" i="6"/>
  <c r="Q177" i="6"/>
  <c r="O177" i="6"/>
  <c r="Q176" i="6"/>
  <c r="O176" i="6"/>
  <c r="Q175" i="6"/>
  <c r="O175" i="6"/>
  <c r="Q174" i="6"/>
  <c r="O174" i="6"/>
  <c r="Q172" i="6"/>
  <c r="O172" i="6"/>
  <c r="L172" i="6"/>
  <c r="I172" i="6"/>
  <c r="H172" i="6"/>
  <c r="G172" i="6"/>
  <c r="D172" i="6"/>
  <c r="Q171" i="6"/>
  <c r="O171" i="6"/>
  <c r="Q170" i="6"/>
  <c r="O170" i="6"/>
  <c r="Q169" i="6"/>
  <c r="O169" i="6"/>
  <c r="Q168" i="6"/>
  <c r="O168" i="6"/>
  <c r="Q167" i="6"/>
  <c r="O167" i="6"/>
  <c r="Q166" i="6"/>
  <c r="O166" i="6"/>
  <c r="Q164" i="6"/>
  <c r="P164" i="6"/>
  <c r="O164" i="6"/>
  <c r="L164" i="6"/>
  <c r="I164" i="6"/>
  <c r="H164" i="6"/>
  <c r="G164" i="6"/>
  <c r="D164" i="6"/>
  <c r="Q163" i="6"/>
  <c r="O163" i="6"/>
  <c r="Q162" i="6"/>
  <c r="O162" i="6"/>
  <c r="Q161" i="6"/>
  <c r="O161" i="6"/>
  <c r="Q160" i="6"/>
  <c r="O160" i="6"/>
  <c r="Q159" i="6"/>
  <c r="O159" i="6"/>
  <c r="Q158" i="6"/>
  <c r="O158" i="6"/>
  <c r="Q157" i="6"/>
  <c r="O157" i="6"/>
  <c r="Q156" i="6"/>
  <c r="O156" i="6"/>
  <c r="Q154" i="6"/>
  <c r="P154" i="6"/>
  <c r="O154" i="6"/>
  <c r="L154" i="6"/>
  <c r="I154" i="6"/>
  <c r="H154" i="6"/>
  <c r="G154" i="6"/>
  <c r="D154" i="6"/>
  <c r="Q153" i="6"/>
  <c r="O153" i="6"/>
  <c r="Q152" i="6"/>
  <c r="O152" i="6"/>
  <c r="Q151" i="6"/>
  <c r="O151" i="6"/>
  <c r="Q150" i="6"/>
  <c r="O150" i="6"/>
  <c r="Q149" i="6"/>
  <c r="O149" i="6"/>
  <c r="Q148" i="6"/>
  <c r="O148" i="6"/>
  <c r="Q147" i="6"/>
  <c r="O147" i="6"/>
  <c r="Q146" i="6"/>
  <c r="O146" i="6"/>
  <c r="Q145" i="6"/>
  <c r="O145" i="6"/>
  <c r="Q144" i="6"/>
  <c r="O144" i="6"/>
  <c r="Q143" i="6"/>
  <c r="O143" i="6"/>
  <c r="Q142" i="6"/>
  <c r="O142" i="6"/>
  <c r="Q141" i="6"/>
  <c r="O141" i="6"/>
  <c r="Q140" i="6"/>
  <c r="O140" i="6"/>
  <c r="Q139" i="6"/>
  <c r="O139" i="6"/>
  <c r="Q138" i="6"/>
  <c r="O138" i="6"/>
  <c r="Q137" i="6"/>
  <c r="O137" i="6"/>
  <c r="Q136" i="6"/>
  <c r="O136" i="6"/>
  <c r="Q135" i="6"/>
  <c r="O135" i="6"/>
  <c r="Q134" i="6"/>
  <c r="O134" i="6"/>
  <c r="Q133" i="6"/>
  <c r="O133" i="6"/>
  <c r="Q132" i="6"/>
  <c r="O132" i="6"/>
  <c r="Q131" i="6"/>
  <c r="O131" i="6"/>
  <c r="Q130" i="6"/>
  <c r="O130" i="6"/>
  <c r="Q129" i="6"/>
  <c r="O129" i="6"/>
  <c r="Q128" i="6"/>
  <c r="O128" i="6"/>
  <c r="Q127" i="6"/>
  <c r="O127" i="6"/>
  <c r="Q126" i="6"/>
  <c r="O126" i="6"/>
  <c r="Q125" i="6"/>
  <c r="O125" i="6"/>
  <c r="Q124" i="6"/>
  <c r="O124" i="6"/>
  <c r="Q123" i="6"/>
  <c r="O123" i="6"/>
  <c r="Q122" i="6"/>
  <c r="O122" i="6"/>
  <c r="Q121" i="6"/>
  <c r="O121" i="6"/>
  <c r="Q120" i="6"/>
  <c r="O120" i="6"/>
  <c r="Q119" i="6"/>
  <c r="O119" i="6"/>
  <c r="Q118" i="6"/>
  <c r="O118" i="6"/>
  <c r="Q117" i="6"/>
  <c r="O117" i="6"/>
  <c r="Q116" i="6"/>
  <c r="O116" i="6"/>
  <c r="Q115" i="6"/>
  <c r="O115" i="6"/>
  <c r="Q114" i="6"/>
  <c r="O114" i="6"/>
  <c r="Q113" i="6"/>
  <c r="O113" i="6"/>
  <c r="Q110" i="6"/>
  <c r="P110" i="6"/>
  <c r="O110" i="6"/>
  <c r="N110" i="6"/>
  <c r="L110" i="6"/>
  <c r="K110" i="6"/>
  <c r="I110" i="6"/>
  <c r="H110" i="6"/>
  <c r="G110" i="6"/>
  <c r="D110" i="6"/>
  <c r="Q108" i="6"/>
  <c r="P108" i="6"/>
  <c r="O108" i="6"/>
  <c r="Q107" i="6"/>
  <c r="P107" i="6"/>
  <c r="O107" i="6"/>
  <c r="Q106" i="6"/>
  <c r="P106" i="6"/>
  <c r="O106" i="6"/>
  <c r="Q105" i="6"/>
  <c r="P105" i="6"/>
  <c r="O105" i="6"/>
  <c r="Q104" i="6"/>
  <c r="P104" i="6"/>
  <c r="O104" i="6"/>
  <c r="Q103" i="6"/>
  <c r="P103" i="6"/>
  <c r="O103" i="6"/>
  <c r="Q102" i="6"/>
  <c r="P102" i="6"/>
  <c r="O102" i="6"/>
  <c r="Q101" i="6"/>
  <c r="P101" i="6"/>
  <c r="O101" i="6"/>
  <c r="Q100" i="6"/>
  <c r="P100" i="6"/>
  <c r="O100" i="6"/>
  <c r="Q99" i="6"/>
  <c r="P99" i="6"/>
  <c r="O99" i="6"/>
  <c r="Q98" i="6"/>
  <c r="P98" i="6"/>
  <c r="O98" i="6"/>
  <c r="Q97" i="6"/>
  <c r="P97" i="6"/>
  <c r="O97" i="6"/>
  <c r="Q96" i="6"/>
  <c r="P96" i="6"/>
  <c r="O96" i="6"/>
  <c r="Q95" i="6"/>
  <c r="P95" i="6"/>
  <c r="O95" i="6"/>
  <c r="Q94" i="6"/>
  <c r="P94" i="6"/>
  <c r="O94" i="6"/>
  <c r="Q93" i="6"/>
  <c r="P93" i="6"/>
  <c r="O93" i="6"/>
  <c r="Q92" i="6"/>
  <c r="P92" i="6"/>
  <c r="O92" i="6"/>
  <c r="Q91" i="6"/>
  <c r="P91" i="6"/>
  <c r="O91" i="6"/>
  <c r="Q90" i="6"/>
  <c r="P90" i="6"/>
  <c r="O90" i="6"/>
  <c r="Q89" i="6"/>
  <c r="P89" i="6"/>
  <c r="O89" i="6"/>
  <c r="Q88" i="6"/>
  <c r="P88" i="6"/>
  <c r="O88" i="6"/>
  <c r="Q87" i="6"/>
  <c r="P87" i="6"/>
  <c r="O87" i="6"/>
  <c r="Q86" i="6"/>
  <c r="P86" i="6"/>
  <c r="O86" i="6"/>
  <c r="Q85" i="6"/>
  <c r="P85" i="6"/>
  <c r="O85" i="6"/>
  <c r="Q84" i="6"/>
  <c r="P84" i="6"/>
  <c r="O84" i="6"/>
  <c r="Q83" i="6"/>
  <c r="P83" i="6"/>
  <c r="O83" i="6"/>
  <c r="Q82" i="6"/>
  <c r="P82" i="6"/>
  <c r="O82" i="6"/>
  <c r="Q81" i="6"/>
  <c r="P81" i="6"/>
  <c r="O81" i="6"/>
  <c r="Q80" i="6"/>
  <c r="P80" i="6"/>
  <c r="O80" i="6"/>
  <c r="Q79" i="6"/>
  <c r="P79" i="6"/>
  <c r="O79" i="6"/>
  <c r="Q78" i="6"/>
  <c r="P78" i="6"/>
  <c r="O78" i="6"/>
  <c r="Q77" i="6"/>
  <c r="P77" i="6"/>
  <c r="O77" i="6"/>
  <c r="Q76" i="6"/>
  <c r="P76" i="6"/>
  <c r="O76" i="6"/>
  <c r="Q75" i="6"/>
  <c r="P75" i="6"/>
  <c r="O75" i="6"/>
  <c r="Q74" i="6"/>
  <c r="P74" i="6"/>
  <c r="O74" i="6"/>
  <c r="Q73" i="6"/>
  <c r="P73" i="6"/>
  <c r="O73" i="6"/>
  <c r="Q72" i="6"/>
  <c r="P72" i="6"/>
  <c r="O72" i="6"/>
  <c r="Q71" i="6"/>
  <c r="P71" i="6"/>
  <c r="O71" i="6"/>
  <c r="Q70" i="6"/>
  <c r="P70" i="6"/>
  <c r="O70" i="6"/>
  <c r="Q69" i="6"/>
  <c r="P69" i="6"/>
  <c r="O69" i="6"/>
  <c r="Q68" i="6"/>
  <c r="P68" i="6"/>
  <c r="O68" i="6"/>
  <c r="Q67" i="6"/>
  <c r="P67" i="6"/>
  <c r="O67" i="6"/>
  <c r="Q66" i="6"/>
  <c r="P66" i="6"/>
  <c r="O66" i="6"/>
  <c r="Q65" i="6"/>
  <c r="P65" i="6"/>
  <c r="O65" i="6"/>
  <c r="Q64" i="6"/>
  <c r="P64" i="6"/>
  <c r="O64" i="6"/>
  <c r="Q63" i="6"/>
  <c r="P63" i="6"/>
  <c r="O63" i="6"/>
  <c r="Q62" i="6"/>
  <c r="P62" i="6"/>
  <c r="O62" i="6"/>
  <c r="Q61" i="6"/>
  <c r="P61" i="6"/>
  <c r="O61" i="6"/>
  <c r="Q60" i="6"/>
  <c r="P60" i="6"/>
  <c r="O60" i="6"/>
  <c r="Q59" i="6"/>
  <c r="P59" i="6"/>
  <c r="O59" i="6"/>
  <c r="Q58" i="6"/>
  <c r="P58" i="6"/>
  <c r="O58" i="6"/>
  <c r="Q57" i="6"/>
  <c r="P57" i="6"/>
  <c r="O57" i="6"/>
  <c r="Q56" i="6"/>
  <c r="P56" i="6"/>
  <c r="O56" i="6"/>
  <c r="Q55" i="6"/>
  <c r="P55" i="6"/>
  <c r="O55" i="6"/>
  <c r="Q54" i="6"/>
  <c r="P54" i="6"/>
  <c r="O54" i="6"/>
  <c r="Q53" i="6"/>
  <c r="P53" i="6"/>
  <c r="O53" i="6"/>
  <c r="Q52" i="6"/>
  <c r="P52" i="6"/>
  <c r="O52" i="6"/>
  <c r="Q51" i="6"/>
  <c r="P51" i="6"/>
  <c r="O51" i="6"/>
  <c r="Q50" i="6"/>
  <c r="P50" i="6"/>
  <c r="O50" i="6"/>
  <c r="Q49" i="6"/>
  <c r="P49" i="6"/>
  <c r="O49" i="6"/>
  <c r="Q48" i="6"/>
  <c r="P48" i="6"/>
  <c r="O48" i="6"/>
  <c r="Q47" i="6"/>
  <c r="P47" i="6"/>
  <c r="O47" i="6"/>
  <c r="Q46" i="6"/>
  <c r="P46" i="6"/>
  <c r="O46" i="6"/>
  <c r="Q45" i="6"/>
  <c r="P45" i="6"/>
  <c r="O45" i="6"/>
  <c r="Q44" i="6"/>
  <c r="P44" i="6"/>
  <c r="O44" i="6"/>
  <c r="Q42" i="6"/>
  <c r="P42" i="6"/>
  <c r="O42" i="6"/>
  <c r="L42" i="6"/>
  <c r="I42" i="6"/>
  <c r="H42" i="6"/>
  <c r="G42" i="6"/>
  <c r="D42" i="6"/>
  <c r="Q38" i="6"/>
  <c r="P38" i="6"/>
  <c r="O38" i="6"/>
  <c r="L38" i="6"/>
  <c r="I38" i="6"/>
  <c r="H38" i="6"/>
  <c r="G38" i="6"/>
  <c r="Q35" i="6"/>
  <c r="P35" i="6"/>
  <c r="O35" i="6"/>
  <c r="L35" i="6"/>
  <c r="I35" i="6"/>
  <c r="H35" i="6"/>
  <c r="G35" i="6"/>
  <c r="Q34" i="6"/>
  <c r="P34" i="6"/>
  <c r="O34" i="6"/>
  <c r="Q33" i="6"/>
  <c r="P33" i="6"/>
  <c r="O33" i="6"/>
  <c r="Q31" i="6"/>
  <c r="P31" i="6"/>
  <c r="O31" i="6"/>
  <c r="N31" i="6"/>
  <c r="M31" i="6"/>
  <c r="L31" i="6"/>
  <c r="K31" i="6"/>
  <c r="I31" i="6"/>
  <c r="H31" i="6"/>
  <c r="G31" i="6"/>
  <c r="F31" i="6"/>
  <c r="E31" i="6"/>
  <c r="D31" i="6"/>
  <c r="Q27" i="6"/>
  <c r="P27" i="6"/>
  <c r="O27" i="6"/>
  <c r="L27" i="6"/>
  <c r="I27" i="6"/>
  <c r="H27" i="6"/>
  <c r="G27" i="6"/>
  <c r="D27" i="6"/>
  <c r="Q26" i="6"/>
  <c r="P26" i="6"/>
  <c r="O26" i="6"/>
  <c r="Q25" i="6"/>
  <c r="P25" i="6"/>
  <c r="O25" i="6"/>
  <c r="Q24" i="6"/>
  <c r="P24" i="6"/>
  <c r="O24" i="6"/>
  <c r="Q23" i="6"/>
  <c r="P23" i="6"/>
  <c r="O23" i="6"/>
  <c r="Q22" i="6"/>
  <c r="P22" i="6"/>
  <c r="O22" i="6"/>
  <c r="Q21" i="6"/>
  <c r="P21" i="6"/>
  <c r="O21" i="6"/>
  <c r="Q20" i="6"/>
  <c r="P20" i="6"/>
  <c r="O20" i="6"/>
  <c r="Q19" i="6"/>
  <c r="P19" i="6"/>
  <c r="O19" i="6"/>
  <c r="Q18" i="6"/>
  <c r="P18" i="6"/>
  <c r="O18" i="6"/>
  <c r="Q17" i="6"/>
  <c r="P17" i="6"/>
  <c r="O17" i="6"/>
  <c r="Q16" i="6"/>
  <c r="P16" i="6"/>
  <c r="O16" i="6"/>
  <c r="Q15" i="6"/>
  <c r="P15" i="6"/>
  <c r="O15" i="6"/>
  <c r="Q14" i="6"/>
  <c r="P14" i="6"/>
  <c r="O14" i="6"/>
  <c r="Q12" i="6"/>
  <c r="P12" i="6"/>
  <c r="O12" i="6"/>
  <c r="L12" i="6"/>
  <c r="I12" i="6"/>
  <c r="H12" i="6"/>
  <c r="G12" i="6"/>
  <c r="D12" i="6"/>
  <c r="Q11" i="6"/>
  <c r="P11" i="6"/>
  <c r="O11" i="6"/>
  <c r="Q10" i="6"/>
  <c r="P10" i="6"/>
  <c r="O10" i="6"/>
  <c r="Q9" i="6"/>
  <c r="P9" i="6"/>
  <c r="O9" i="6"/>
  <c r="Q8" i="6"/>
  <c r="P8" i="6"/>
  <c r="O8" i="6"/>
  <c r="G54" i="14"/>
  <c r="F54" i="14"/>
  <c r="F45" i="14"/>
  <c r="F41" i="14"/>
  <c r="F36" i="14"/>
  <c r="K80" i="13"/>
  <c r="I80" i="13"/>
  <c r="H80" i="13"/>
  <c r="K74" i="13"/>
  <c r="I74" i="13"/>
  <c r="H73" i="13"/>
  <c r="H70" i="13"/>
  <c r="I58" i="13"/>
  <c r="H57" i="13"/>
  <c r="H48" i="13"/>
  <c r="H45" i="13"/>
  <c r="G45" i="13"/>
  <c r="H35" i="13"/>
  <c r="H9" i="13"/>
  <c r="G157" i="12"/>
  <c r="G155" i="12"/>
  <c r="G152" i="12"/>
  <c r="G148" i="12"/>
  <c r="F148" i="12"/>
  <c r="G90" i="12"/>
  <c r="G41" i="12"/>
  <c r="G37" i="12"/>
  <c r="G34" i="12"/>
  <c r="G30" i="12"/>
  <c r="G26" i="12"/>
  <c r="G12" i="12"/>
  <c r="Q279" i="11"/>
  <c r="L279" i="11"/>
  <c r="Q277" i="11"/>
  <c r="P277" i="11"/>
  <c r="O277" i="11"/>
  <c r="L277" i="11"/>
  <c r="I277" i="11"/>
  <c r="H277" i="11"/>
  <c r="G277" i="11"/>
  <c r="Q275" i="11"/>
  <c r="O275" i="11"/>
  <c r="Q274" i="11"/>
  <c r="O274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Q248" i="11"/>
  <c r="P248" i="11"/>
  <c r="O248" i="11"/>
  <c r="L248" i="11"/>
  <c r="I248" i="11"/>
  <c r="H248" i="11"/>
  <c r="G248" i="11"/>
  <c r="Q247" i="11"/>
  <c r="O247" i="11"/>
  <c r="Q246" i="11"/>
  <c r="O246" i="11"/>
  <c r="Q245" i="11"/>
  <c r="O245" i="11"/>
  <c r="Q244" i="11"/>
  <c r="O244" i="11"/>
  <c r="Q243" i="11"/>
  <c r="O243" i="11"/>
  <c r="Q242" i="11"/>
  <c r="O242" i="11"/>
  <c r="Q241" i="11"/>
  <c r="O241" i="11"/>
  <c r="Q240" i="11"/>
  <c r="O240" i="11"/>
  <c r="Q239" i="11"/>
  <c r="O239" i="11"/>
  <c r="Q238" i="11"/>
  <c r="O238" i="11"/>
  <c r="Q237" i="11"/>
  <c r="O237" i="11"/>
  <c r="Q236" i="11"/>
  <c r="O236" i="11"/>
  <c r="Q235" i="11"/>
  <c r="O235" i="11"/>
  <c r="Q234" i="11"/>
  <c r="O234" i="11"/>
  <c r="Q233" i="11"/>
  <c r="O233" i="11"/>
  <c r="Q232" i="11"/>
  <c r="O232" i="11"/>
  <c r="Q231" i="11"/>
  <c r="O231" i="11"/>
  <c r="Q230" i="11"/>
  <c r="O230" i="11"/>
  <c r="Q229" i="11"/>
  <c r="O229" i="11"/>
  <c r="Q228" i="11"/>
  <c r="O228" i="11"/>
  <c r="Q227" i="11"/>
  <c r="O227" i="11"/>
  <c r="Q226" i="11"/>
  <c r="O226" i="11"/>
  <c r="Q225" i="11"/>
  <c r="O225" i="11"/>
  <c r="Q224" i="11"/>
  <c r="O224" i="11"/>
  <c r="Q223" i="11"/>
  <c r="O223" i="11"/>
  <c r="Q222" i="11"/>
  <c r="O222" i="11"/>
  <c r="Q221" i="11"/>
  <c r="O221" i="11"/>
  <c r="Q220" i="11"/>
  <c r="O220" i="11"/>
  <c r="Q219" i="11"/>
  <c r="O219" i="11"/>
  <c r="Q218" i="11"/>
  <c r="O218" i="11"/>
  <c r="Q217" i="11"/>
  <c r="O217" i="11"/>
  <c r="Q216" i="11"/>
  <c r="O216" i="11"/>
  <c r="Q215" i="11"/>
  <c r="O215" i="11"/>
  <c r="Q214" i="11"/>
  <c r="O214" i="11"/>
  <c r="Q213" i="11"/>
  <c r="O213" i="11"/>
  <c r="Q212" i="11"/>
  <c r="O212" i="11"/>
  <c r="Q211" i="11"/>
  <c r="O211" i="11"/>
  <c r="Q210" i="11"/>
  <c r="O210" i="11"/>
  <c r="Q209" i="11"/>
  <c r="O209" i="11"/>
  <c r="Q208" i="11"/>
  <c r="O208" i="11"/>
  <c r="Q207" i="11"/>
  <c r="O207" i="11"/>
  <c r="Q206" i="11"/>
  <c r="O206" i="11"/>
  <c r="Q205" i="11"/>
  <c r="O205" i="11"/>
  <c r="Q204" i="11"/>
  <c r="O204" i="11"/>
  <c r="Q203" i="11"/>
  <c r="O203" i="11"/>
  <c r="Q202" i="11"/>
  <c r="O202" i="11"/>
  <c r="Q201" i="11"/>
  <c r="O201" i="11"/>
  <c r="Q200" i="11"/>
  <c r="O200" i="11"/>
  <c r="Q199" i="11"/>
  <c r="O199" i="11"/>
  <c r="Q198" i="11"/>
  <c r="O198" i="11"/>
  <c r="Q196" i="11"/>
  <c r="O196" i="11"/>
  <c r="Q186" i="11"/>
  <c r="O186" i="11"/>
  <c r="L186" i="11"/>
  <c r="I186" i="11"/>
  <c r="H186" i="11"/>
  <c r="G186" i="11"/>
  <c r="D186" i="11"/>
  <c r="Q185" i="11"/>
  <c r="O185" i="11"/>
  <c r="Q182" i="11"/>
  <c r="P182" i="11"/>
  <c r="O182" i="11"/>
  <c r="L182" i="11"/>
  <c r="I182" i="11"/>
  <c r="H182" i="11"/>
  <c r="G182" i="11"/>
  <c r="Q181" i="11"/>
  <c r="O181" i="11"/>
  <c r="Q180" i="11"/>
  <c r="O180" i="11"/>
  <c r="Q179" i="11"/>
  <c r="O179" i="11"/>
  <c r="Q178" i="11"/>
  <c r="O178" i="11"/>
  <c r="Q177" i="11"/>
  <c r="O177" i="11"/>
  <c r="Q176" i="11"/>
  <c r="O176" i="11"/>
  <c r="Q175" i="11"/>
  <c r="O175" i="11"/>
  <c r="Q174" i="11"/>
  <c r="O174" i="11"/>
  <c r="Q172" i="11"/>
  <c r="O172" i="11"/>
  <c r="L172" i="11"/>
  <c r="I172" i="11"/>
  <c r="H172" i="11"/>
  <c r="G172" i="11"/>
  <c r="D172" i="11"/>
  <c r="Q171" i="11"/>
  <c r="O171" i="11"/>
  <c r="Q170" i="11"/>
  <c r="O170" i="11"/>
  <c r="Q169" i="11"/>
  <c r="O169" i="11"/>
  <c r="Q168" i="11"/>
  <c r="O168" i="11"/>
  <c r="Q167" i="11"/>
  <c r="O167" i="11"/>
  <c r="Q166" i="11"/>
  <c r="O166" i="11"/>
  <c r="Q164" i="11"/>
  <c r="P164" i="11"/>
  <c r="O164" i="11"/>
  <c r="L164" i="11"/>
  <c r="I164" i="11"/>
  <c r="H164" i="11"/>
  <c r="G164" i="11"/>
  <c r="D164" i="11"/>
  <c r="Q163" i="11"/>
  <c r="O163" i="11"/>
  <c r="Q162" i="11"/>
  <c r="O162" i="11"/>
  <c r="Q161" i="11"/>
  <c r="O161" i="11"/>
  <c r="Q160" i="11"/>
  <c r="O160" i="11"/>
  <c r="Q159" i="11"/>
  <c r="O159" i="11"/>
  <c r="Q158" i="11"/>
  <c r="O158" i="11"/>
  <c r="Q157" i="11"/>
  <c r="O157" i="11"/>
  <c r="Q156" i="11"/>
  <c r="O156" i="11"/>
  <c r="Q154" i="11"/>
  <c r="P154" i="11"/>
  <c r="O154" i="11"/>
  <c r="L154" i="11"/>
  <c r="I154" i="11"/>
  <c r="H154" i="11"/>
  <c r="G154" i="11"/>
  <c r="D154" i="11"/>
  <c r="Q153" i="11"/>
  <c r="O153" i="11"/>
  <c r="Q152" i="11"/>
  <c r="O152" i="11"/>
  <c r="Q151" i="11"/>
  <c r="O151" i="11"/>
  <c r="Q150" i="11"/>
  <c r="O150" i="11"/>
  <c r="Q149" i="11"/>
  <c r="O149" i="11"/>
  <c r="Q148" i="11"/>
  <c r="O148" i="11"/>
  <c r="Q147" i="11"/>
  <c r="O147" i="11"/>
  <c r="Q146" i="11"/>
  <c r="O146" i="11"/>
  <c r="Q145" i="11"/>
  <c r="O145" i="11"/>
  <c r="Q144" i="11"/>
  <c r="O144" i="11"/>
  <c r="Q143" i="11"/>
  <c r="O143" i="11"/>
  <c r="Q142" i="11"/>
  <c r="O142" i="11"/>
  <c r="Q141" i="11"/>
  <c r="O141" i="11"/>
  <c r="Q140" i="11"/>
  <c r="O140" i="11"/>
  <c r="Q139" i="11"/>
  <c r="O139" i="11"/>
  <c r="Q138" i="11"/>
  <c r="O138" i="11"/>
  <c r="Q137" i="11"/>
  <c r="O137" i="11"/>
  <c r="Q136" i="11"/>
  <c r="O136" i="11"/>
  <c r="Q135" i="11"/>
  <c r="O135" i="11"/>
  <c r="Q134" i="11"/>
  <c r="O134" i="11"/>
  <c r="Q133" i="11"/>
  <c r="O133" i="11"/>
  <c r="Q132" i="11"/>
  <c r="O132" i="11"/>
  <c r="Q131" i="11"/>
  <c r="O131" i="11"/>
  <c r="Q130" i="11"/>
  <c r="O130" i="11"/>
  <c r="Q129" i="11"/>
  <c r="O129" i="11"/>
  <c r="Q128" i="11"/>
  <c r="O128" i="11"/>
  <c r="Q127" i="11"/>
  <c r="O127" i="11"/>
  <c r="Q126" i="11"/>
  <c r="O126" i="11"/>
  <c r="Q125" i="11"/>
  <c r="O125" i="11"/>
  <c r="Q124" i="11"/>
  <c r="O124" i="11"/>
  <c r="Q123" i="11"/>
  <c r="O123" i="11"/>
  <c r="Q122" i="11"/>
  <c r="O122" i="11"/>
  <c r="Q121" i="11"/>
  <c r="O121" i="11"/>
  <c r="Q120" i="11"/>
  <c r="O120" i="11"/>
  <c r="Q119" i="11"/>
  <c r="O119" i="11"/>
  <c r="Q118" i="11"/>
  <c r="O118" i="11"/>
  <c r="Q117" i="11"/>
  <c r="O117" i="11"/>
  <c r="Q116" i="11"/>
  <c r="O116" i="11"/>
  <c r="Q115" i="11"/>
  <c r="O115" i="11"/>
  <c r="Q114" i="11"/>
  <c r="O114" i="11"/>
  <c r="Q113" i="11"/>
  <c r="O113" i="11"/>
  <c r="Q110" i="11"/>
  <c r="P110" i="11"/>
  <c r="O110" i="11"/>
  <c r="N110" i="11"/>
  <c r="L110" i="11"/>
  <c r="K110" i="11"/>
  <c r="I110" i="11"/>
  <c r="H110" i="11"/>
  <c r="G110" i="11"/>
  <c r="D110" i="11"/>
  <c r="Q108" i="11"/>
  <c r="P108" i="11"/>
  <c r="O108" i="11"/>
  <c r="Q107" i="11"/>
  <c r="P107" i="11"/>
  <c r="O107" i="11"/>
  <c r="Q106" i="11"/>
  <c r="P106" i="11"/>
  <c r="O106" i="11"/>
  <c r="Q105" i="11"/>
  <c r="P105" i="11"/>
  <c r="O105" i="11"/>
  <c r="Q104" i="11"/>
  <c r="P104" i="11"/>
  <c r="O104" i="11"/>
  <c r="Q103" i="11"/>
  <c r="P103" i="11"/>
  <c r="O103" i="11"/>
  <c r="Q102" i="11"/>
  <c r="P102" i="11"/>
  <c r="O102" i="11"/>
  <c r="Q101" i="11"/>
  <c r="P101" i="11"/>
  <c r="O101" i="11"/>
  <c r="Q100" i="11"/>
  <c r="P100" i="11"/>
  <c r="O100" i="11"/>
  <c r="Q99" i="11"/>
  <c r="P99" i="11"/>
  <c r="O99" i="11"/>
  <c r="Q98" i="11"/>
  <c r="P98" i="11"/>
  <c r="O98" i="11"/>
  <c r="Q97" i="11"/>
  <c r="P97" i="11"/>
  <c r="O97" i="11"/>
  <c r="Q96" i="11"/>
  <c r="P96" i="11"/>
  <c r="O96" i="11"/>
  <c r="Q95" i="11"/>
  <c r="P95" i="11"/>
  <c r="O95" i="11"/>
  <c r="Q94" i="11"/>
  <c r="P94" i="11"/>
  <c r="O94" i="11"/>
  <c r="Q93" i="11"/>
  <c r="P93" i="11"/>
  <c r="O93" i="11"/>
  <c r="Q92" i="11"/>
  <c r="P92" i="11"/>
  <c r="O92" i="11"/>
  <c r="Q91" i="11"/>
  <c r="P91" i="11"/>
  <c r="O91" i="11"/>
  <c r="Q90" i="11"/>
  <c r="P90" i="11"/>
  <c r="O90" i="11"/>
  <c r="Q89" i="11"/>
  <c r="P89" i="11"/>
  <c r="O89" i="11"/>
  <c r="Q88" i="11"/>
  <c r="P88" i="11"/>
  <c r="O88" i="11"/>
  <c r="Q87" i="11"/>
  <c r="P87" i="11"/>
  <c r="O87" i="11"/>
  <c r="Q86" i="11"/>
  <c r="P86" i="11"/>
  <c r="O86" i="11"/>
  <c r="Q85" i="11"/>
  <c r="P85" i="11"/>
  <c r="O85" i="11"/>
  <c r="Q84" i="11"/>
  <c r="P84" i="11"/>
  <c r="O84" i="11"/>
  <c r="Q83" i="11"/>
  <c r="P83" i="11"/>
  <c r="O83" i="11"/>
  <c r="Q82" i="11"/>
  <c r="P82" i="11"/>
  <c r="O82" i="11"/>
  <c r="Q81" i="11"/>
  <c r="P81" i="11"/>
  <c r="O81" i="11"/>
  <c r="Q80" i="11"/>
  <c r="P80" i="11"/>
  <c r="O80" i="11"/>
  <c r="Q79" i="11"/>
  <c r="P79" i="11"/>
  <c r="O79" i="11"/>
  <c r="Q78" i="11"/>
  <c r="P78" i="11"/>
  <c r="O78" i="11"/>
  <c r="Q77" i="11"/>
  <c r="P77" i="11"/>
  <c r="O77" i="11"/>
  <c r="Q76" i="11"/>
  <c r="P76" i="11"/>
  <c r="O76" i="11"/>
  <c r="Q75" i="11"/>
  <c r="P75" i="11"/>
  <c r="O75" i="11"/>
  <c r="Q74" i="11"/>
  <c r="P74" i="11"/>
  <c r="O74" i="11"/>
  <c r="Q73" i="11"/>
  <c r="P73" i="11"/>
  <c r="O73" i="11"/>
  <c r="Q72" i="11"/>
  <c r="P72" i="11"/>
  <c r="O72" i="11"/>
  <c r="Q71" i="11"/>
  <c r="P71" i="11"/>
  <c r="O71" i="11"/>
  <c r="Q70" i="11"/>
  <c r="P70" i="11"/>
  <c r="O70" i="11"/>
  <c r="Q69" i="11"/>
  <c r="P69" i="11"/>
  <c r="O69" i="11"/>
  <c r="Q68" i="11"/>
  <c r="P68" i="11"/>
  <c r="O68" i="11"/>
  <c r="Q67" i="11"/>
  <c r="P67" i="11"/>
  <c r="O67" i="11"/>
  <c r="Q66" i="11"/>
  <c r="P66" i="11"/>
  <c r="O66" i="11"/>
  <c r="Q65" i="11"/>
  <c r="P65" i="11"/>
  <c r="O65" i="11"/>
  <c r="Q64" i="11"/>
  <c r="P64" i="11"/>
  <c r="O64" i="11"/>
  <c r="Q63" i="11"/>
  <c r="P63" i="11"/>
  <c r="O63" i="11"/>
  <c r="Q62" i="11"/>
  <c r="P62" i="11"/>
  <c r="O62" i="11"/>
  <c r="Q61" i="11"/>
  <c r="P61" i="11"/>
  <c r="O61" i="11"/>
  <c r="Q60" i="11"/>
  <c r="P60" i="11"/>
  <c r="O60" i="11"/>
  <c r="Q59" i="11"/>
  <c r="P59" i="11"/>
  <c r="O59" i="11"/>
  <c r="Q58" i="11"/>
  <c r="P58" i="11"/>
  <c r="O58" i="11"/>
  <c r="Q57" i="11"/>
  <c r="P57" i="11"/>
  <c r="O57" i="11"/>
  <c r="Q56" i="11"/>
  <c r="P56" i="11"/>
  <c r="O56" i="11"/>
  <c r="Q55" i="11"/>
  <c r="P55" i="11"/>
  <c r="O55" i="11"/>
  <c r="Q54" i="11"/>
  <c r="P54" i="11"/>
  <c r="O54" i="11"/>
  <c r="Q53" i="11"/>
  <c r="P53" i="11"/>
  <c r="O53" i="11"/>
  <c r="Q52" i="11"/>
  <c r="P52" i="11"/>
  <c r="O52" i="11"/>
  <c r="Q51" i="11"/>
  <c r="P51" i="11"/>
  <c r="O51" i="11"/>
  <c r="Q50" i="11"/>
  <c r="P50" i="11"/>
  <c r="O50" i="11"/>
  <c r="Q49" i="11"/>
  <c r="P49" i="11"/>
  <c r="O49" i="11"/>
  <c r="Q48" i="11"/>
  <c r="P48" i="11"/>
  <c r="O48" i="11"/>
  <c r="Q47" i="11"/>
  <c r="P47" i="11"/>
  <c r="O47" i="11"/>
  <c r="Q46" i="11"/>
  <c r="P46" i="11"/>
  <c r="O46" i="11"/>
  <c r="Q45" i="11"/>
  <c r="P45" i="11"/>
  <c r="O45" i="11"/>
  <c r="Q44" i="11"/>
  <c r="P44" i="11"/>
  <c r="O44" i="11"/>
  <c r="Q42" i="11"/>
  <c r="P42" i="11"/>
  <c r="O42" i="11"/>
  <c r="L42" i="11"/>
  <c r="I42" i="11"/>
  <c r="H42" i="11"/>
  <c r="G42" i="11"/>
  <c r="D42" i="11"/>
  <c r="Q38" i="11"/>
  <c r="P38" i="11"/>
  <c r="O38" i="11"/>
  <c r="L38" i="11"/>
  <c r="I38" i="11"/>
  <c r="H38" i="11"/>
  <c r="G38" i="11"/>
  <c r="Q35" i="11"/>
  <c r="P35" i="11"/>
  <c r="O35" i="11"/>
  <c r="L35" i="11"/>
  <c r="I35" i="11"/>
  <c r="H35" i="11"/>
  <c r="G35" i="11"/>
  <c r="Q34" i="11"/>
  <c r="P34" i="11"/>
  <c r="O34" i="11"/>
  <c r="Q33" i="11"/>
  <c r="P33" i="11"/>
  <c r="O33" i="11"/>
  <c r="Q31" i="11"/>
  <c r="P31" i="11"/>
  <c r="O31" i="11"/>
  <c r="N31" i="11"/>
  <c r="M31" i="11"/>
  <c r="L31" i="11"/>
  <c r="K31" i="11"/>
  <c r="I31" i="11"/>
  <c r="H31" i="11"/>
  <c r="G31" i="11"/>
  <c r="F31" i="11"/>
  <c r="E31" i="11"/>
  <c r="D31" i="11"/>
  <c r="Q27" i="11"/>
  <c r="P27" i="11"/>
  <c r="O27" i="11"/>
  <c r="L27" i="11"/>
  <c r="I27" i="11"/>
  <c r="H27" i="11"/>
  <c r="G27" i="11"/>
  <c r="D27" i="11"/>
  <c r="Q26" i="11"/>
  <c r="P26" i="11"/>
  <c r="O26" i="11"/>
  <c r="Q25" i="11"/>
  <c r="P25" i="11"/>
  <c r="O25" i="11"/>
  <c r="Q24" i="11"/>
  <c r="P24" i="11"/>
  <c r="O24" i="11"/>
  <c r="Q23" i="11"/>
  <c r="P23" i="11"/>
  <c r="O23" i="11"/>
  <c r="Q22" i="11"/>
  <c r="P22" i="11"/>
  <c r="O22" i="11"/>
  <c r="Q21" i="11"/>
  <c r="P21" i="11"/>
  <c r="O21" i="11"/>
  <c r="Q20" i="11"/>
  <c r="P20" i="11"/>
  <c r="O20" i="11"/>
  <c r="Q19" i="11"/>
  <c r="P19" i="11"/>
  <c r="O19" i="11"/>
  <c r="Q18" i="11"/>
  <c r="P18" i="11"/>
  <c r="O18" i="11"/>
  <c r="Q17" i="11"/>
  <c r="P17" i="11"/>
  <c r="O17" i="11"/>
  <c r="Q16" i="11"/>
  <c r="P16" i="11"/>
  <c r="O16" i="11"/>
  <c r="Q15" i="11"/>
  <c r="P15" i="11"/>
  <c r="O15" i="11"/>
  <c r="Q14" i="11"/>
  <c r="P14" i="11"/>
  <c r="O14" i="11"/>
  <c r="Q12" i="11"/>
  <c r="P12" i="11"/>
  <c r="O12" i="11"/>
  <c r="L12" i="11"/>
  <c r="I12" i="11"/>
  <c r="H12" i="11"/>
  <c r="G12" i="11"/>
  <c r="D12" i="11"/>
  <c r="Q11" i="11"/>
  <c r="P11" i="11"/>
  <c r="O11" i="11"/>
  <c r="Q10" i="11"/>
  <c r="P10" i="11"/>
  <c r="O10" i="11"/>
  <c r="Q9" i="11"/>
  <c r="P9" i="11"/>
  <c r="O9" i="11"/>
  <c r="Q8" i="11"/>
  <c r="P8" i="11"/>
  <c r="O8" i="11"/>
  <c r="G56" i="18"/>
  <c r="F55" i="18"/>
  <c r="F49" i="18"/>
  <c r="F46" i="18"/>
  <c r="F40" i="18"/>
  <c r="I89" i="17"/>
  <c r="H89" i="17"/>
  <c r="I83" i="17"/>
  <c r="H83" i="17"/>
  <c r="H76" i="17"/>
  <c r="H73" i="17"/>
  <c r="I61" i="17"/>
  <c r="H60" i="17"/>
  <c r="H54" i="17"/>
  <c r="I51" i="17"/>
  <c r="G51" i="17"/>
  <c r="H50" i="17"/>
  <c r="H45" i="17"/>
  <c r="H37" i="17"/>
  <c r="H13" i="17"/>
  <c r="H10" i="17"/>
  <c r="I160" i="16"/>
  <c r="H158" i="16"/>
  <c r="I154" i="16"/>
  <c r="H153" i="16"/>
  <c r="H148" i="16"/>
  <c r="I145" i="16"/>
  <c r="F145" i="16"/>
  <c r="H144" i="16"/>
  <c r="H138" i="16"/>
  <c r="H133" i="16"/>
  <c r="H125" i="16"/>
  <c r="H91" i="16"/>
  <c r="H40" i="16"/>
  <c r="H36" i="16"/>
  <c r="H33" i="16"/>
  <c r="H30" i="16"/>
  <c r="H25" i="16"/>
  <c r="H12" i="16"/>
  <c r="S279" i="15"/>
  <c r="M279" i="15"/>
  <c r="S277" i="15"/>
  <c r="R277" i="15"/>
  <c r="Q277" i="15"/>
  <c r="M277" i="15"/>
  <c r="J277" i="15"/>
  <c r="I277" i="15"/>
  <c r="H277" i="15"/>
  <c r="S275" i="15"/>
  <c r="Q275" i="15"/>
  <c r="S274" i="15"/>
  <c r="Q274" i="15"/>
  <c r="S265" i="15"/>
  <c r="Q265" i="15"/>
  <c r="S261" i="15"/>
  <c r="H261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E249" i="15"/>
  <c r="D249" i="15"/>
  <c r="S248" i="15"/>
  <c r="R248" i="15"/>
  <c r="Q248" i="15"/>
  <c r="M248" i="15"/>
  <c r="J248" i="15"/>
  <c r="I248" i="15"/>
  <c r="H248" i="15"/>
  <c r="S247" i="15"/>
  <c r="Q247" i="15"/>
  <c r="S246" i="15"/>
  <c r="Q246" i="15"/>
  <c r="S245" i="15"/>
  <c r="Q245" i="15"/>
  <c r="S244" i="15"/>
  <c r="Q244" i="15"/>
  <c r="S243" i="15"/>
  <c r="Q243" i="15"/>
  <c r="S242" i="15"/>
  <c r="Q242" i="15"/>
  <c r="S241" i="15"/>
  <c r="Q241" i="15"/>
  <c r="S240" i="15"/>
  <c r="Q240" i="15"/>
  <c r="S239" i="15"/>
  <c r="Q239" i="15"/>
  <c r="S238" i="15"/>
  <c r="Q238" i="15"/>
  <c r="S237" i="15"/>
  <c r="Q237" i="15"/>
  <c r="S236" i="15"/>
  <c r="Q236" i="15"/>
  <c r="S235" i="15"/>
  <c r="Q235" i="15"/>
  <c r="S234" i="15"/>
  <c r="Q234" i="15"/>
  <c r="S233" i="15"/>
  <c r="Q233" i="15"/>
  <c r="S232" i="15"/>
  <c r="Q232" i="15"/>
  <c r="S231" i="15"/>
  <c r="Q231" i="15"/>
  <c r="S230" i="15"/>
  <c r="Q230" i="15"/>
  <c r="S229" i="15"/>
  <c r="Q229" i="15"/>
  <c r="S228" i="15"/>
  <c r="Q228" i="15"/>
  <c r="S227" i="15"/>
  <c r="Q227" i="15"/>
  <c r="S226" i="15"/>
  <c r="Q226" i="15"/>
  <c r="S225" i="15"/>
  <c r="Q225" i="15"/>
  <c r="S224" i="15"/>
  <c r="Q224" i="15"/>
  <c r="S223" i="15"/>
  <c r="Q223" i="15"/>
  <c r="S222" i="15"/>
  <c r="Q222" i="15"/>
  <c r="S221" i="15"/>
  <c r="Q221" i="15"/>
  <c r="S220" i="15"/>
  <c r="Q220" i="15"/>
  <c r="S219" i="15"/>
  <c r="Q219" i="15"/>
  <c r="S218" i="15"/>
  <c r="Q218" i="15"/>
  <c r="S217" i="15"/>
  <c r="Q217" i="15"/>
  <c r="S216" i="15"/>
  <c r="Q216" i="15"/>
  <c r="S215" i="15"/>
  <c r="Q215" i="15"/>
  <c r="S214" i="15"/>
  <c r="Q214" i="15"/>
  <c r="S213" i="15"/>
  <c r="Q213" i="15"/>
  <c r="S212" i="15"/>
  <c r="Q212" i="15"/>
  <c r="S211" i="15"/>
  <c r="Q211" i="15"/>
  <c r="S210" i="15"/>
  <c r="Q210" i="15"/>
  <c r="S209" i="15"/>
  <c r="Q209" i="15"/>
  <c r="S208" i="15"/>
  <c r="Q208" i="15"/>
  <c r="S207" i="15"/>
  <c r="Q207" i="15"/>
  <c r="S206" i="15"/>
  <c r="Q206" i="15"/>
  <c r="S205" i="15"/>
  <c r="Q205" i="15"/>
  <c r="S204" i="15"/>
  <c r="Q204" i="15"/>
  <c r="S203" i="15"/>
  <c r="Q203" i="15"/>
  <c r="S202" i="15"/>
  <c r="Q202" i="15"/>
  <c r="S201" i="15"/>
  <c r="Q201" i="15"/>
  <c r="S200" i="15"/>
  <c r="Q200" i="15"/>
  <c r="S199" i="15"/>
  <c r="Q199" i="15"/>
  <c r="S198" i="15"/>
  <c r="Q198" i="15"/>
  <c r="S196" i="15"/>
  <c r="Q196" i="15"/>
  <c r="S186" i="15"/>
  <c r="Q186" i="15"/>
  <c r="M186" i="15"/>
  <c r="J186" i="15"/>
  <c r="I186" i="15"/>
  <c r="H186" i="15"/>
  <c r="D186" i="15"/>
  <c r="S185" i="15"/>
  <c r="Q185" i="15"/>
  <c r="S182" i="15"/>
  <c r="R182" i="15"/>
  <c r="Q182" i="15"/>
  <c r="M182" i="15"/>
  <c r="J182" i="15"/>
  <c r="I182" i="15"/>
  <c r="H182" i="15"/>
  <c r="S181" i="15"/>
  <c r="Q181" i="15"/>
  <c r="S180" i="15"/>
  <c r="Q180" i="15"/>
  <c r="S179" i="15"/>
  <c r="Q179" i="15"/>
  <c r="S178" i="15"/>
  <c r="Q178" i="15"/>
  <c r="S177" i="15"/>
  <c r="Q177" i="15"/>
  <c r="S176" i="15"/>
  <c r="Q176" i="15"/>
  <c r="S175" i="15"/>
  <c r="Q175" i="15"/>
  <c r="S173" i="15"/>
  <c r="Q173" i="15"/>
  <c r="M173" i="15"/>
  <c r="J173" i="15"/>
  <c r="I173" i="15"/>
  <c r="H173" i="15"/>
  <c r="D173" i="15"/>
  <c r="S172" i="15"/>
  <c r="Q172" i="15"/>
  <c r="S171" i="15"/>
  <c r="Q171" i="15"/>
  <c r="S170" i="15"/>
  <c r="Q170" i="15"/>
  <c r="S169" i="15"/>
  <c r="Q169" i="15"/>
  <c r="S168" i="15"/>
  <c r="Q168" i="15"/>
  <c r="S167" i="15"/>
  <c r="Q167" i="15"/>
  <c r="S165" i="15"/>
  <c r="R165" i="15"/>
  <c r="Q165" i="15"/>
  <c r="M165" i="15"/>
  <c r="J165" i="15"/>
  <c r="I165" i="15"/>
  <c r="H165" i="15"/>
  <c r="D165" i="15"/>
  <c r="S164" i="15"/>
  <c r="Q164" i="15"/>
  <c r="S163" i="15"/>
  <c r="Q163" i="15"/>
  <c r="S162" i="15"/>
  <c r="Q162" i="15"/>
  <c r="S161" i="15"/>
  <c r="Q161" i="15"/>
  <c r="S160" i="15"/>
  <c r="Q160" i="15"/>
  <c r="S159" i="15"/>
  <c r="Q159" i="15"/>
  <c r="S158" i="15"/>
  <c r="Q158" i="15"/>
  <c r="S157" i="15"/>
  <c r="Q157" i="15"/>
  <c r="S155" i="15"/>
  <c r="R155" i="15"/>
  <c r="Q155" i="15"/>
  <c r="M155" i="15"/>
  <c r="J155" i="15"/>
  <c r="I155" i="15"/>
  <c r="H155" i="15"/>
  <c r="D155" i="15"/>
  <c r="S154" i="15"/>
  <c r="Q154" i="15"/>
  <c r="S153" i="15"/>
  <c r="Q153" i="15"/>
  <c r="S152" i="15"/>
  <c r="Q152" i="15"/>
  <c r="S151" i="15"/>
  <c r="Q151" i="15"/>
  <c r="S150" i="15"/>
  <c r="Q150" i="15"/>
  <c r="S149" i="15"/>
  <c r="Q149" i="15"/>
  <c r="S148" i="15"/>
  <c r="Q148" i="15"/>
  <c r="S147" i="15"/>
  <c r="Q147" i="15"/>
  <c r="S146" i="15"/>
  <c r="Q146" i="15"/>
  <c r="S145" i="15"/>
  <c r="Q145" i="15"/>
  <c r="S144" i="15"/>
  <c r="Q144" i="15"/>
  <c r="S143" i="15"/>
  <c r="Q143" i="15"/>
  <c r="S142" i="15"/>
  <c r="Q142" i="15"/>
  <c r="S141" i="15"/>
  <c r="Q141" i="15"/>
  <c r="S140" i="15"/>
  <c r="Q140" i="15"/>
  <c r="S139" i="15"/>
  <c r="Q139" i="15"/>
  <c r="S138" i="15"/>
  <c r="Q138" i="15"/>
  <c r="S137" i="15"/>
  <c r="Q137" i="15"/>
  <c r="S136" i="15"/>
  <c r="Q136" i="15"/>
  <c r="S135" i="15"/>
  <c r="Q135" i="15"/>
  <c r="S134" i="15"/>
  <c r="Q134" i="15"/>
  <c r="S133" i="15"/>
  <c r="Q133" i="15"/>
  <c r="S132" i="15"/>
  <c r="Q132" i="15"/>
  <c r="S131" i="15"/>
  <c r="Q131" i="15"/>
  <c r="S130" i="15"/>
  <c r="Q130" i="15"/>
  <c r="S129" i="15"/>
  <c r="Q129" i="15"/>
  <c r="S128" i="15"/>
  <c r="Q128" i="15"/>
  <c r="S127" i="15"/>
  <c r="Q127" i="15"/>
  <c r="S126" i="15"/>
  <c r="Q126" i="15"/>
  <c r="S125" i="15"/>
  <c r="Q125" i="15"/>
  <c r="S124" i="15"/>
  <c r="Q124" i="15"/>
  <c r="S123" i="15"/>
  <c r="Q123" i="15"/>
  <c r="S122" i="15"/>
  <c r="Q122" i="15"/>
  <c r="S121" i="15"/>
  <c r="Q121" i="15"/>
  <c r="S120" i="15"/>
  <c r="Q120" i="15"/>
  <c r="S119" i="15"/>
  <c r="Q119" i="15"/>
  <c r="S118" i="15"/>
  <c r="Q118" i="15"/>
  <c r="S117" i="15"/>
  <c r="Q117" i="15"/>
  <c r="S116" i="15"/>
  <c r="Q116" i="15"/>
  <c r="S115" i="15"/>
  <c r="Q115" i="15"/>
  <c r="S114" i="15"/>
  <c r="Q114" i="15"/>
  <c r="S111" i="15"/>
  <c r="R111" i="15"/>
  <c r="Q111" i="15"/>
  <c r="P111" i="15"/>
  <c r="M111" i="15"/>
  <c r="L111" i="15"/>
  <c r="J111" i="15"/>
  <c r="I111" i="15"/>
  <c r="H111" i="15"/>
  <c r="D111" i="15"/>
  <c r="S109" i="15"/>
  <c r="R109" i="15"/>
  <c r="Q109" i="15"/>
  <c r="S108" i="15"/>
  <c r="R108" i="15"/>
  <c r="Q108" i="15"/>
  <c r="S107" i="15"/>
  <c r="R107" i="15"/>
  <c r="Q107" i="15"/>
  <c r="S106" i="15"/>
  <c r="R106" i="15"/>
  <c r="Q106" i="15"/>
  <c r="S105" i="15"/>
  <c r="R105" i="15"/>
  <c r="Q105" i="15"/>
  <c r="S104" i="15"/>
  <c r="R104" i="15"/>
  <c r="Q104" i="15"/>
  <c r="S103" i="15"/>
  <c r="R103" i="15"/>
  <c r="Q103" i="15"/>
  <c r="S102" i="15"/>
  <c r="R102" i="15"/>
  <c r="Q102" i="15"/>
  <c r="S101" i="15"/>
  <c r="R101" i="15"/>
  <c r="Q101" i="15"/>
  <c r="S100" i="15"/>
  <c r="R100" i="15"/>
  <c r="Q100" i="15"/>
  <c r="S99" i="15"/>
  <c r="R99" i="15"/>
  <c r="Q99" i="15"/>
  <c r="S98" i="15"/>
  <c r="R98" i="15"/>
  <c r="Q98" i="15"/>
  <c r="S97" i="15"/>
  <c r="R97" i="15"/>
  <c r="Q97" i="15"/>
  <c r="S96" i="15"/>
  <c r="R96" i="15"/>
  <c r="Q96" i="15"/>
  <c r="S95" i="15"/>
  <c r="R95" i="15"/>
  <c r="Q95" i="15"/>
  <c r="S94" i="15"/>
  <c r="R94" i="15"/>
  <c r="Q94" i="15"/>
  <c r="S93" i="15"/>
  <c r="R93" i="15"/>
  <c r="Q93" i="15"/>
  <c r="S92" i="15"/>
  <c r="R92" i="15"/>
  <c r="Q92" i="15"/>
  <c r="S91" i="15"/>
  <c r="R91" i="15"/>
  <c r="Q91" i="15"/>
  <c r="S90" i="15"/>
  <c r="R90" i="15"/>
  <c r="Q90" i="15"/>
  <c r="S89" i="15"/>
  <c r="R89" i="15"/>
  <c r="Q89" i="15"/>
  <c r="S88" i="15"/>
  <c r="R88" i="15"/>
  <c r="Q88" i="15"/>
  <c r="S87" i="15"/>
  <c r="R87" i="15"/>
  <c r="Q87" i="15"/>
  <c r="S86" i="15"/>
  <c r="R86" i="15"/>
  <c r="Q86" i="15"/>
  <c r="S85" i="15"/>
  <c r="R85" i="15"/>
  <c r="Q85" i="15"/>
  <c r="S84" i="15"/>
  <c r="R84" i="15"/>
  <c r="Q84" i="15"/>
  <c r="S83" i="15"/>
  <c r="R83" i="15"/>
  <c r="Q83" i="15"/>
  <c r="S82" i="15"/>
  <c r="R82" i="15"/>
  <c r="Q82" i="15"/>
  <c r="S81" i="15"/>
  <c r="R81" i="15"/>
  <c r="Q81" i="15"/>
  <c r="S80" i="15"/>
  <c r="R80" i="15"/>
  <c r="Q80" i="15"/>
  <c r="S79" i="15"/>
  <c r="R79" i="15"/>
  <c r="Q79" i="15"/>
  <c r="S78" i="15"/>
  <c r="R78" i="15"/>
  <c r="Q78" i="15"/>
  <c r="S77" i="15"/>
  <c r="R77" i="15"/>
  <c r="Q77" i="15"/>
  <c r="S76" i="15"/>
  <c r="R76" i="15"/>
  <c r="Q76" i="15"/>
  <c r="S75" i="15"/>
  <c r="R75" i="15"/>
  <c r="Q75" i="15"/>
  <c r="S74" i="15"/>
  <c r="R74" i="15"/>
  <c r="Q74" i="15"/>
  <c r="S73" i="15"/>
  <c r="R73" i="15"/>
  <c r="Q73" i="15"/>
  <c r="S71" i="15"/>
  <c r="R71" i="15"/>
  <c r="Q71" i="15"/>
  <c r="S70" i="15"/>
  <c r="R70" i="15"/>
  <c r="Q70" i="15"/>
  <c r="S69" i="15"/>
  <c r="R69" i="15"/>
  <c r="Q69" i="15"/>
  <c r="S68" i="15"/>
  <c r="R68" i="15"/>
  <c r="Q68" i="15"/>
  <c r="S67" i="15"/>
  <c r="R67" i="15"/>
  <c r="Q67" i="15"/>
  <c r="S66" i="15"/>
  <c r="R66" i="15"/>
  <c r="Q66" i="15"/>
  <c r="S65" i="15"/>
  <c r="R65" i="15"/>
  <c r="Q65" i="15"/>
  <c r="S64" i="15"/>
  <c r="R64" i="15"/>
  <c r="Q64" i="15"/>
  <c r="S63" i="15"/>
  <c r="R63" i="15"/>
  <c r="Q63" i="15"/>
  <c r="S62" i="15"/>
  <c r="R62" i="15"/>
  <c r="Q62" i="15"/>
  <c r="S61" i="15"/>
  <c r="R61" i="15"/>
  <c r="Q61" i="15"/>
  <c r="S60" i="15"/>
  <c r="R60" i="15"/>
  <c r="Q60" i="15"/>
  <c r="S59" i="15"/>
  <c r="R59" i="15"/>
  <c r="Q59" i="15"/>
  <c r="S58" i="15"/>
  <c r="R58" i="15"/>
  <c r="Q58" i="15"/>
  <c r="S57" i="15"/>
  <c r="R57" i="15"/>
  <c r="Q57" i="15"/>
  <c r="S56" i="15"/>
  <c r="R56" i="15"/>
  <c r="Q56" i="15"/>
  <c r="S55" i="15"/>
  <c r="R55" i="15"/>
  <c r="Q55" i="15"/>
  <c r="S54" i="15"/>
  <c r="R54" i="15"/>
  <c r="Q54" i="15"/>
  <c r="S53" i="15"/>
  <c r="R53" i="15"/>
  <c r="Q53" i="15"/>
  <c r="S52" i="15"/>
  <c r="R52" i="15"/>
  <c r="Q52" i="15"/>
  <c r="S51" i="15"/>
  <c r="R51" i="15"/>
  <c r="Q51" i="15"/>
  <c r="S50" i="15"/>
  <c r="R50" i="15"/>
  <c r="Q50" i="15"/>
  <c r="S49" i="15"/>
  <c r="R49" i="15"/>
  <c r="Q49" i="15"/>
  <c r="S48" i="15"/>
  <c r="R48" i="15"/>
  <c r="Q48" i="15"/>
  <c r="S47" i="15"/>
  <c r="R47" i="15"/>
  <c r="Q47" i="15"/>
  <c r="S46" i="15"/>
  <c r="R46" i="15"/>
  <c r="Q46" i="15"/>
  <c r="S45" i="15"/>
  <c r="R45" i="15"/>
  <c r="Q45" i="15"/>
  <c r="S44" i="15"/>
  <c r="R44" i="15"/>
  <c r="Q44" i="15"/>
  <c r="S42" i="15"/>
  <c r="R42" i="15"/>
  <c r="Q42" i="15"/>
  <c r="M42" i="15"/>
  <c r="J42" i="15"/>
  <c r="I42" i="15"/>
  <c r="H42" i="15"/>
  <c r="D42" i="15"/>
  <c r="S38" i="15"/>
  <c r="R38" i="15"/>
  <c r="Q38" i="15"/>
  <c r="M38" i="15"/>
  <c r="J38" i="15"/>
  <c r="I38" i="15"/>
  <c r="H38" i="15"/>
  <c r="S35" i="15"/>
  <c r="R35" i="15"/>
  <c r="Q35" i="15"/>
  <c r="M35" i="15"/>
  <c r="J35" i="15"/>
  <c r="I35" i="15"/>
  <c r="H35" i="15"/>
  <c r="S34" i="15"/>
  <c r="R34" i="15"/>
  <c r="Q34" i="15"/>
  <c r="S33" i="15"/>
  <c r="R33" i="15"/>
  <c r="Q33" i="15"/>
  <c r="S31" i="15"/>
  <c r="R31" i="15"/>
  <c r="Q31" i="15"/>
  <c r="P31" i="15"/>
  <c r="N31" i="15"/>
  <c r="M31" i="15"/>
  <c r="L31" i="15"/>
  <c r="J31" i="15"/>
  <c r="I31" i="15"/>
  <c r="H31" i="15"/>
  <c r="G31" i="15"/>
  <c r="E31" i="15"/>
  <c r="D31" i="15"/>
  <c r="S27" i="15"/>
  <c r="R27" i="15"/>
  <c r="Q27" i="15"/>
  <c r="M27" i="15"/>
  <c r="J27" i="15"/>
  <c r="I27" i="15"/>
  <c r="H27" i="15"/>
  <c r="D27" i="15"/>
  <c r="S26" i="15"/>
  <c r="R26" i="15"/>
  <c r="Q26" i="15"/>
  <c r="S25" i="15"/>
  <c r="R25" i="15"/>
  <c r="Q25" i="15"/>
  <c r="S24" i="15"/>
  <c r="R24" i="15"/>
  <c r="Q24" i="15"/>
  <c r="S23" i="15"/>
  <c r="R23" i="15"/>
  <c r="Q23" i="15"/>
  <c r="S22" i="15"/>
  <c r="R22" i="15"/>
  <c r="Q22" i="15"/>
  <c r="S21" i="15"/>
  <c r="R21" i="15"/>
  <c r="Q21" i="15"/>
  <c r="S20" i="15"/>
  <c r="R20" i="15"/>
  <c r="Q20" i="15"/>
  <c r="S19" i="15"/>
  <c r="R19" i="15"/>
  <c r="Q19" i="15"/>
  <c r="S18" i="15"/>
  <c r="R18" i="15"/>
  <c r="Q18" i="15"/>
  <c r="S17" i="15"/>
  <c r="R17" i="15"/>
  <c r="Q17" i="15"/>
  <c r="S16" i="15"/>
  <c r="R16" i="15"/>
  <c r="Q16" i="15"/>
  <c r="S15" i="15"/>
  <c r="R15" i="15"/>
  <c r="Q15" i="15"/>
  <c r="S14" i="15"/>
  <c r="R14" i="15"/>
  <c r="Q14" i="15"/>
  <c r="S12" i="15"/>
  <c r="R12" i="15"/>
  <c r="Q12" i="15"/>
  <c r="M12" i="15"/>
  <c r="J12" i="15"/>
  <c r="I12" i="15"/>
  <c r="H12" i="15"/>
  <c r="D12" i="15"/>
  <c r="S11" i="15"/>
  <c r="R11" i="15"/>
  <c r="Q11" i="15"/>
  <c r="J11" i="15"/>
  <c r="I11" i="15"/>
  <c r="S10" i="15"/>
  <c r="R10" i="15"/>
  <c r="Q10" i="15"/>
  <c r="S9" i="15"/>
  <c r="R9" i="15"/>
  <c r="Q9" i="15"/>
  <c r="S8" i="15"/>
  <c r="R8" i="15"/>
  <c r="Q8" i="15"/>
  <c r="F63" i="22"/>
  <c r="F59" i="22"/>
  <c r="F55" i="22"/>
  <c r="F52" i="22"/>
  <c r="J68" i="21"/>
  <c r="I67" i="21"/>
  <c r="I63" i="21"/>
  <c r="I60" i="21"/>
  <c r="G60" i="21"/>
  <c r="I45" i="21"/>
  <c r="I12" i="21"/>
  <c r="I153" i="20"/>
  <c r="H152" i="20"/>
  <c r="I148" i="20"/>
  <c r="H147" i="20"/>
  <c r="H142" i="20"/>
  <c r="H139" i="20"/>
  <c r="F139" i="20"/>
  <c r="H84" i="20"/>
  <c r="H38" i="20"/>
  <c r="H35" i="20"/>
  <c r="H32" i="20"/>
  <c r="H28" i="20"/>
  <c r="H24" i="20"/>
  <c r="H12" i="20"/>
  <c r="S279" i="19"/>
  <c r="M279" i="19"/>
  <c r="S277" i="19"/>
  <c r="R277" i="19"/>
  <c r="Q277" i="19"/>
  <c r="M277" i="19"/>
  <c r="J277" i="19"/>
  <c r="I277" i="19"/>
  <c r="H277" i="19"/>
  <c r="S275" i="19"/>
  <c r="Q275" i="19"/>
  <c r="S274" i="19"/>
  <c r="Q274" i="19"/>
  <c r="S265" i="19"/>
  <c r="Q265" i="19"/>
  <c r="S261" i="19"/>
  <c r="H261" i="19"/>
  <c r="S249" i="19"/>
  <c r="R249" i="19"/>
  <c r="Q249" i="19"/>
  <c r="P249" i="19"/>
  <c r="N249" i="19"/>
  <c r="M249" i="19"/>
  <c r="L249" i="19"/>
  <c r="K249" i="19"/>
  <c r="J249" i="19"/>
  <c r="I249" i="19"/>
  <c r="H249" i="19"/>
  <c r="G249" i="19"/>
  <c r="E249" i="19"/>
  <c r="D249" i="19"/>
  <c r="S248" i="19"/>
  <c r="R248" i="19"/>
  <c r="Q248" i="19"/>
  <c r="M248" i="19"/>
  <c r="J248" i="19"/>
  <c r="I248" i="19"/>
  <c r="H248" i="19"/>
  <c r="S247" i="19"/>
  <c r="Q247" i="19"/>
  <c r="S246" i="19"/>
  <c r="Q246" i="19"/>
  <c r="S245" i="19"/>
  <c r="Q245" i="19"/>
  <c r="S244" i="19"/>
  <c r="Q244" i="19"/>
  <c r="S243" i="19"/>
  <c r="Q243" i="19"/>
  <c r="S242" i="19"/>
  <c r="Q242" i="19"/>
  <c r="S241" i="19"/>
  <c r="Q241" i="19"/>
  <c r="S240" i="19"/>
  <c r="Q240" i="19"/>
  <c r="S239" i="19"/>
  <c r="Q239" i="19"/>
  <c r="S238" i="19"/>
  <c r="Q238" i="19"/>
  <c r="S237" i="19"/>
  <c r="Q237" i="19"/>
  <c r="S236" i="19"/>
  <c r="Q236" i="19"/>
  <c r="S235" i="19"/>
  <c r="Q235" i="19"/>
  <c r="S234" i="19"/>
  <c r="Q234" i="19"/>
  <c r="S233" i="19"/>
  <c r="Q233" i="19"/>
  <c r="S232" i="19"/>
  <c r="Q232" i="19"/>
  <c r="S231" i="19"/>
  <c r="Q231" i="19"/>
  <c r="S230" i="19"/>
  <c r="Q230" i="19"/>
  <c r="S229" i="19"/>
  <c r="Q229" i="19"/>
  <c r="S228" i="19"/>
  <c r="Q228" i="19"/>
  <c r="S227" i="19"/>
  <c r="Q227" i="19"/>
  <c r="S226" i="19"/>
  <c r="Q226" i="19"/>
  <c r="S225" i="19"/>
  <c r="Q225" i="19"/>
  <c r="S224" i="19"/>
  <c r="Q224" i="19"/>
  <c r="S223" i="19"/>
  <c r="Q223" i="19"/>
  <c r="S222" i="19"/>
  <c r="Q222" i="19"/>
  <c r="S221" i="19"/>
  <c r="Q221" i="19"/>
  <c r="S220" i="19"/>
  <c r="Q220" i="19"/>
  <c r="S219" i="19"/>
  <c r="Q219" i="19"/>
  <c r="S218" i="19"/>
  <c r="Q218" i="19"/>
  <c r="S217" i="19"/>
  <c r="Q217" i="19"/>
  <c r="S216" i="19"/>
  <c r="Q216" i="19"/>
  <c r="S215" i="19"/>
  <c r="Q215" i="19"/>
  <c r="S214" i="19"/>
  <c r="Q214" i="19"/>
  <c r="S213" i="19"/>
  <c r="Q213" i="19"/>
  <c r="S212" i="19"/>
  <c r="Q212" i="19"/>
  <c r="S211" i="19"/>
  <c r="Q211" i="19"/>
  <c r="S210" i="19"/>
  <c r="Q210" i="19"/>
  <c r="S209" i="19"/>
  <c r="Q209" i="19"/>
  <c r="S208" i="19"/>
  <c r="Q208" i="19"/>
  <c r="S207" i="19"/>
  <c r="Q207" i="19"/>
  <c r="S206" i="19"/>
  <c r="Q206" i="19"/>
  <c r="S205" i="19"/>
  <c r="Q205" i="19"/>
  <c r="S204" i="19"/>
  <c r="Q204" i="19"/>
  <c r="S203" i="19"/>
  <c r="Q203" i="19"/>
  <c r="S202" i="19"/>
  <c r="Q202" i="19"/>
  <c r="S201" i="19"/>
  <c r="Q201" i="19"/>
  <c r="S200" i="19"/>
  <c r="Q200" i="19"/>
  <c r="S199" i="19"/>
  <c r="Q199" i="19"/>
  <c r="S198" i="19"/>
  <c r="Q198" i="19"/>
  <c r="S196" i="19"/>
  <c r="Q196" i="19"/>
  <c r="S186" i="19"/>
  <c r="Q186" i="19"/>
  <c r="M186" i="19"/>
  <c r="J186" i="19"/>
  <c r="I186" i="19"/>
  <c r="H186" i="19"/>
  <c r="D186" i="19"/>
  <c r="S185" i="19"/>
  <c r="Q185" i="19"/>
  <c r="S182" i="19"/>
  <c r="R182" i="19"/>
  <c r="Q182" i="19"/>
  <c r="M182" i="19"/>
  <c r="J182" i="19"/>
  <c r="I182" i="19"/>
  <c r="H182" i="19"/>
  <c r="S181" i="19"/>
  <c r="Q181" i="19"/>
  <c r="S180" i="19"/>
  <c r="Q180" i="19"/>
  <c r="S179" i="19"/>
  <c r="Q179" i="19"/>
  <c r="S178" i="19"/>
  <c r="Q178" i="19"/>
  <c r="S177" i="19"/>
  <c r="Q177" i="19"/>
  <c r="S176" i="19"/>
  <c r="Q176" i="19"/>
  <c r="S175" i="19"/>
  <c r="Q175" i="19"/>
  <c r="S173" i="19"/>
  <c r="Q173" i="19"/>
  <c r="M173" i="19"/>
  <c r="J173" i="19"/>
  <c r="I173" i="19"/>
  <c r="H173" i="19"/>
  <c r="D173" i="19"/>
  <c r="S172" i="19"/>
  <c r="Q172" i="19"/>
  <c r="S171" i="19"/>
  <c r="Q171" i="19"/>
  <c r="S170" i="19"/>
  <c r="Q170" i="19"/>
  <c r="S169" i="19"/>
  <c r="Q169" i="19"/>
  <c r="S168" i="19"/>
  <c r="Q168" i="19"/>
  <c r="S167" i="19"/>
  <c r="Q167" i="19"/>
  <c r="S165" i="19"/>
  <c r="R165" i="19"/>
  <c r="Q165" i="19"/>
  <c r="M165" i="19"/>
  <c r="J165" i="19"/>
  <c r="I165" i="19"/>
  <c r="H165" i="19"/>
  <c r="D165" i="19"/>
  <c r="S164" i="19"/>
  <c r="Q164" i="19"/>
  <c r="S163" i="19"/>
  <c r="Q163" i="19"/>
  <c r="S162" i="19"/>
  <c r="Q162" i="19"/>
  <c r="S161" i="19"/>
  <c r="Q161" i="19"/>
  <c r="S160" i="19"/>
  <c r="Q160" i="19"/>
  <c r="S159" i="19"/>
  <c r="Q159" i="19"/>
  <c r="S158" i="19"/>
  <c r="Q158" i="19"/>
  <c r="S157" i="19"/>
  <c r="Q157" i="19"/>
  <c r="S155" i="19"/>
  <c r="R155" i="19"/>
  <c r="Q155" i="19"/>
  <c r="M155" i="19"/>
  <c r="J155" i="19"/>
  <c r="I155" i="19"/>
  <c r="H155" i="19"/>
  <c r="D155" i="19"/>
  <c r="S154" i="19"/>
  <c r="Q154" i="19"/>
  <c r="S153" i="19"/>
  <c r="Q153" i="19"/>
  <c r="S152" i="19"/>
  <c r="Q152" i="19"/>
  <c r="S151" i="19"/>
  <c r="Q151" i="19"/>
  <c r="S150" i="19"/>
  <c r="Q150" i="19"/>
  <c r="S149" i="19"/>
  <c r="Q149" i="19"/>
  <c r="S148" i="19"/>
  <c r="Q148" i="19"/>
  <c r="S147" i="19"/>
  <c r="Q147" i="19"/>
  <c r="S146" i="19"/>
  <c r="Q146" i="19"/>
  <c r="S145" i="19"/>
  <c r="Q145" i="19"/>
  <c r="S144" i="19"/>
  <c r="Q144" i="19"/>
  <c r="S143" i="19"/>
  <c r="Q143" i="19"/>
  <c r="S142" i="19"/>
  <c r="Q142" i="19"/>
  <c r="S141" i="19"/>
  <c r="Q141" i="19"/>
  <c r="S140" i="19"/>
  <c r="Q140" i="19"/>
  <c r="S139" i="19"/>
  <c r="Q139" i="19"/>
  <c r="S138" i="19"/>
  <c r="Q138" i="19"/>
  <c r="S137" i="19"/>
  <c r="Q137" i="19"/>
  <c r="S136" i="19"/>
  <c r="Q136" i="19"/>
  <c r="S135" i="19"/>
  <c r="Q135" i="19"/>
  <c r="S134" i="19"/>
  <c r="Q134" i="19"/>
  <c r="S133" i="19"/>
  <c r="Q133" i="19"/>
  <c r="S132" i="19"/>
  <c r="Q132" i="19"/>
  <c r="S131" i="19"/>
  <c r="Q131" i="19"/>
  <c r="S130" i="19"/>
  <c r="Q130" i="19"/>
  <c r="S129" i="19"/>
  <c r="Q129" i="19"/>
  <c r="S128" i="19"/>
  <c r="Q128" i="19"/>
  <c r="S127" i="19"/>
  <c r="Q127" i="19"/>
  <c r="S126" i="19"/>
  <c r="Q126" i="19"/>
  <c r="S125" i="19"/>
  <c r="Q125" i="19"/>
  <c r="S124" i="19"/>
  <c r="Q124" i="19"/>
  <c r="S123" i="19"/>
  <c r="Q123" i="19"/>
  <c r="S122" i="19"/>
  <c r="Q122" i="19"/>
  <c r="S121" i="19"/>
  <c r="Q121" i="19"/>
  <c r="S120" i="19"/>
  <c r="Q120" i="19"/>
  <c r="S119" i="19"/>
  <c r="Q119" i="19"/>
  <c r="S118" i="19"/>
  <c r="Q118" i="19"/>
  <c r="S117" i="19"/>
  <c r="Q117" i="19"/>
  <c r="S116" i="19"/>
  <c r="Q116" i="19"/>
  <c r="S115" i="19"/>
  <c r="Q115" i="19"/>
  <c r="S114" i="19"/>
  <c r="Q114" i="19"/>
  <c r="S111" i="19"/>
  <c r="R111" i="19"/>
  <c r="Q111" i="19"/>
  <c r="P111" i="19"/>
  <c r="M111" i="19"/>
  <c r="L111" i="19"/>
  <c r="J111" i="19"/>
  <c r="I111" i="19"/>
  <c r="H111" i="19"/>
  <c r="D111" i="19"/>
  <c r="S110" i="19"/>
  <c r="R110" i="19"/>
  <c r="Q110" i="19"/>
  <c r="S109" i="19"/>
  <c r="R109" i="19"/>
  <c r="Q109" i="19"/>
  <c r="S108" i="19"/>
  <c r="R108" i="19"/>
  <c r="Q108" i="19"/>
  <c r="S107" i="19"/>
  <c r="R107" i="19"/>
  <c r="Q107" i="19"/>
  <c r="S106" i="19"/>
  <c r="R106" i="19"/>
  <c r="Q106" i="19"/>
  <c r="S105" i="19"/>
  <c r="R105" i="19"/>
  <c r="Q105" i="19"/>
  <c r="S104" i="19"/>
  <c r="R104" i="19"/>
  <c r="Q104" i="19"/>
  <c r="S103" i="19"/>
  <c r="R103" i="19"/>
  <c r="Q103" i="19"/>
  <c r="S102" i="19"/>
  <c r="R102" i="19"/>
  <c r="Q102" i="19"/>
  <c r="S101" i="19"/>
  <c r="R101" i="19"/>
  <c r="Q101" i="19"/>
  <c r="S100" i="19"/>
  <c r="R100" i="19"/>
  <c r="Q100" i="19"/>
  <c r="S99" i="19"/>
  <c r="R99" i="19"/>
  <c r="Q99" i="19"/>
  <c r="S98" i="19"/>
  <c r="R98" i="19"/>
  <c r="Q98" i="19"/>
  <c r="S97" i="19"/>
  <c r="R97" i="19"/>
  <c r="Q97" i="19"/>
  <c r="S96" i="19"/>
  <c r="R96" i="19"/>
  <c r="Q96" i="19"/>
  <c r="S95" i="19"/>
  <c r="R95" i="19"/>
  <c r="Q95" i="19"/>
  <c r="S94" i="19"/>
  <c r="R94" i="19"/>
  <c r="Q94" i="19"/>
  <c r="S93" i="19"/>
  <c r="R93" i="19"/>
  <c r="Q93" i="19"/>
  <c r="S92" i="19"/>
  <c r="R92" i="19"/>
  <c r="Q92" i="19"/>
  <c r="S91" i="19"/>
  <c r="R91" i="19"/>
  <c r="Q91" i="19"/>
  <c r="S90" i="19"/>
  <c r="R90" i="19"/>
  <c r="Q90" i="19"/>
  <c r="S89" i="19"/>
  <c r="R89" i="19"/>
  <c r="Q89" i="19"/>
  <c r="S88" i="19"/>
  <c r="R88" i="19"/>
  <c r="Q88" i="19"/>
  <c r="S87" i="19"/>
  <c r="R87" i="19"/>
  <c r="Q87" i="19"/>
  <c r="S86" i="19"/>
  <c r="R86" i="19"/>
  <c r="Q86" i="19"/>
  <c r="S85" i="19"/>
  <c r="R85" i="19"/>
  <c r="Q85" i="19"/>
  <c r="S84" i="19"/>
  <c r="R84" i="19"/>
  <c r="Q84" i="19"/>
  <c r="S83" i="19"/>
  <c r="R83" i="19"/>
  <c r="Q83" i="19"/>
  <c r="S82" i="19"/>
  <c r="R82" i="19"/>
  <c r="Q82" i="19"/>
  <c r="S81" i="19"/>
  <c r="R81" i="19"/>
  <c r="Q81" i="19"/>
  <c r="S80" i="19"/>
  <c r="R80" i="19"/>
  <c r="Q80" i="19"/>
  <c r="S79" i="19"/>
  <c r="R79" i="19"/>
  <c r="Q79" i="19"/>
  <c r="S78" i="19"/>
  <c r="R78" i="19"/>
  <c r="Q78" i="19"/>
  <c r="S77" i="19"/>
  <c r="R77" i="19"/>
  <c r="Q77" i="19"/>
  <c r="S76" i="19"/>
  <c r="R76" i="19"/>
  <c r="Q76" i="19"/>
  <c r="S75" i="19"/>
  <c r="R75" i="19"/>
  <c r="Q75" i="19"/>
  <c r="S74" i="19"/>
  <c r="R74" i="19"/>
  <c r="Q74" i="19"/>
  <c r="S73" i="19"/>
  <c r="R73" i="19"/>
  <c r="Q73" i="19"/>
  <c r="S71" i="19"/>
  <c r="R71" i="19"/>
  <c r="Q71" i="19"/>
  <c r="S70" i="19"/>
  <c r="R70" i="19"/>
  <c r="Q70" i="19"/>
  <c r="S69" i="19"/>
  <c r="R69" i="19"/>
  <c r="Q69" i="19"/>
  <c r="S68" i="19"/>
  <c r="R68" i="19"/>
  <c r="Q68" i="19"/>
  <c r="S67" i="19"/>
  <c r="R67" i="19"/>
  <c r="Q67" i="19"/>
  <c r="S66" i="19"/>
  <c r="R66" i="19"/>
  <c r="Q66" i="19"/>
  <c r="S65" i="19"/>
  <c r="R65" i="19"/>
  <c r="Q65" i="19"/>
  <c r="S64" i="19"/>
  <c r="R64" i="19"/>
  <c r="Q64" i="19"/>
  <c r="S63" i="19"/>
  <c r="R63" i="19"/>
  <c r="Q63" i="19"/>
  <c r="S62" i="19"/>
  <c r="R62" i="19"/>
  <c r="Q62" i="19"/>
  <c r="S61" i="19"/>
  <c r="R61" i="19"/>
  <c r="Q61" i="19"/>
  <c r="S60" i="19"/>
  <c r="R60" i="19"/>
  <c r="Q60" i="19"/>
  <c r="S59" i="19"/>
  <c r="R59" i="19"/>
  <c r="Q59" i="19"/>
  <c r="S58" i="19"/>
  <c r="R58" i="19"/>
  <c r="Q58" i="19"/>
  <c r="S57" i="19"/>
  <c r="R57" i="19"/>
  <c r="Q57" i="19"/>
  <c r="S56" i="19"/>
  <c r="R56" i="19"/>
  <c r="Q56" i="19"/>
  <c r="S55" i="19"/>
  <c r="R55" i="19"/>
  <c r="Q55" i="19"/>
  <c r="S54" i="19"/>
  <c r="R54" i="19"/>
  <c r="Q54" i="19"/>
  <c r="S53" i="19"/>
  <c r="R53" i="19"/>
  <c r="Q53" i="19"/>
  <c r="S52" i="19"/>
  <c r="R52" i="19"/>
  <c r="Q52" i="19"/>
  <c r="S51" i="19"/>
  <c r="R51" i="19"/>
  <c r="Q51" i="19"/>
  <c r="S50" i="19"/>
  <c r="R50" i="19"/>
  <c r="Q50" i="19"/>
  <c r="S49" i="19"/>
  <c r="R49" i="19"/>
  <c r="Q49" i="19"/>
  <c r="S48" i="19"/>
  <c r="R48" i="19"/>
  <c r="Q48" i="19"/>
  <c r="S47" i="19"/>
  <c r="R47" i="19"/>
  <c r="Q47" i="19"/>
  <c r="S46" i="19"/>
  <c r="R46" i="19"/>
  <c r="Q46" i="19"/>
  <c r="S45" i="19"/>
  <c r="R45" i="19"/>
  <c r="Q45" i="19"/>
  <c r="S44" i="19"/>
  <c r="R44" i="19"/>
  <c r="Q44" i="19"/>
  <c r="S42" i="19"/>
  <c r="R42" i="19"/>
  <c r="Q42" i="19"/>
  <c r="M42" i="19"/>
  <c r="J42" i="19"/>
  <c r="I42" i="19"/>
  <c r="H42" i="19"/>
  <c r="D42" i="19"/>
  <c r="S38" i="19"/>
  <c r="R38" i="19"/>
  <c r="Q38" i="19"/>
  <c r="M38" i="19"/>
  <c r="J38" i="19"/>
  <c r="I38" i="19"/>
  <c r="H38" i="19"/>
  <c r="S35" i="19"/>
  <c r="R35" i="19"/>
  <c r="Q35" i="19"/>
  <c r="M35" i="19"/>
  <c r="J35" i="19"/>
  <c r="I35" i="19"/>
  <c r="H35" i="19"/>
  <c r="S34" i="19"/>
  <c r="R34" i="19"/>
  <c r="Q34" i="19"/>
  <c r="S33" i="19"/>
  <c r="R33" i="19"/>
  <c r="Q33" i="19"/>
  <c r="S31" i="19"/>
  <c r="R31" i="19"/>
  <c r="Q31" i="19"/>
  <c r="P31" i="19"/>
  <c r="N31" i="19"/>
  <c r="M31" i="19"/>
  <c r="L31" i="19"/>
  <c r="J31" i="19"/>
  <c r="I31" i="19"/>
  <c r="H31" i="19"/>
  <c r="G31" i="19"/>
  <c r="E31" i="19"/>
  <c r="D31" i="19"/>
  <c r="S27" i="19"/>
  <c r="R27" i="19"/>
  <c r="Q27" i="19"/>
  <c r="M27" i="19"/>
  <c r="J27" i="19"/>
  <c r="I27" i="19"/>
  <c r="H27" i="19"/>
  <c r="D27" i="19"/>
  <c r="S26" i="19"/>
  <c r="R26" i="19"/>
  <c r="Q26" i="19"/>
  <c r="S25" i="19"/>
  <c r="R25" i="19"/>
  <c r="Q25" i="19"/>
  <c r="S24" i="19"/>
  <c r="R24" i="19"/>
  <c r="Q24" i="19"/>
  <c r="S23" i="19"/>
  <c r="R23" i="19"/>
  <c r="Q23" i="19"/>
  <c r="S22" i="19"/>
  <c r="R22" i="19"/>
  <c r="Q22" i="19"/>
  <c r="S21" i="19"/>
  <c r="R21" i="19"/>
  <c r="Q21" i="19"/>
  <c r="S20" i="19"/>
  <c r="R20" i="19"/>
  <c r="Q20" i="19"/>
  <c r="S19" i="19"/>
  <c r="R19" i="19"/>
  <c r="Q19" i="19"/>
  <c r="S18" i="19"/>
  <c r="R18" i="19"/>
  <c r="Q18" i="19"/>
  <c r="S17" i="19"/>
  <c r="R17" i="19"/>
  <c r="Q17" i="19"/>
  <c r="S16" i="19"/>
  <c r="R16" i="19"/>
  <c r="Q16" i="19"/>
  <c r="S15" i="19"/>
  <c r="R15" i="19"/>
  <c r="Q15" i="19"/>
  <c r="S14" i="19"/>
  <c r="R14" i="19"/>
  <c r="Q14" i="19"/>
  <c r="S12" i="19"/>
  <c r="R12" i="19"/>
  <c r="Q12" i="19"/>
  <c r="M12" i="19"/>
  <c r="J12" i="19"/>
  <c r="I12" i="19"/>
  <c r="H12" i="19"/>
  <c r="D12" i="19"/>
  <c r="S11" i="19"/>
  <c r="R11" i="19"/>
  <c r="Q11" i="19"/>
  <c r="S10" i="19"/>
  <c r="R10" i="19"/>
  <c r="Q10" i="19"/>
  <c r="S9" i="19"/>
  <c r="R9" i="19"/>
  <c r="Q9" i="19"/>
  <c r="S8" i="19"/>
  <c r="R8" i="19"/>
  <c r="Q8" i="19"/>
  <c r="F13" i="23"/>
  <c r="F9" i="23"/>
  <c r="Q325" i="24" l="1"/>
  <c r="S325" i="24"/>
  <c r="S115" i="24"/>
  <c r="S156" i="24" s="1"/>
  <c r="Q156" i="24"/>
  <c r="R71" i="24"/>
  <c r="S112" i="24"/>
  <c r="Q183" i="24"/>
  <c r="S166" i="24"/>
  <c r="S35" i="24"/>
  <c r="D293" i="24"/>
  <c r="Q22" i="24"/>
  <c r="S292" i="24"/>
  <c r="Q187" i="24"/>
  <c r="Q174" i="24"/>
  <c r="S168" i="24"/>
  <c r="S174" i="24" s="1"/>
  <c r="Q166" i="24"/>
  <c r="M293" i="24"/>
  <c r="M327" i="24" s="1"/>
  <c r="Q21" i="24"/>
  <c r="Q18" i="24"/>
  <c r="S27" i="24"/>
  <c r="I293" i="24"/>
  <c r="Q25" i="24"/>
  <c r="J293" i="24"/>
  <c r="H293" i="24"/>
  <c r="Q35" i="24"/>
  <c r="R35" i="24"/>
  <c r="R27" i="24"/>
  <c r="R10" i="24"/>
  <c r="Q10" i="24" s="1"/>
  <c r="S12" i="24"/>
  <c r="R46" i="24"/>
  <c r="Q46" i="24" s="1"/>
  <c r="R50" i="24"/>
  <c r="Q50" i="24" s="1"/>
  <c r="R54" i="24"/>
  <c r="Q54" i="24" s="1"/>
  <c r="R58" i="24"/>
  <c r="Q58" i="24" s="1"/>
  <c r="R62" i="24"/>
  <c r="Q62" i="24" s="1"/>
  <c r="R66" i="24"/>
  <c r="Q66" i="24" s="1"/>
  <c r="R70" i="24"/>
  <c r="Q70" i="24" s="1"/>
  <c r="R75" i="24"/>
  <c r="Q75" i="24" s="1"/>
  <c r="R79" i="24"/>
  <c r="Q79" i="24" s="1"/>
  <c r="R83" i="24"/>
  <c r="Q83" i="24" s="1"/>
  <c r="R87" i="24"/>
  <c r="Q87" i="24" s="1"/>
  <c r="R91" i="24"/>
  <c r="Q91" i="24" s="1"/>
  <c r="R95" i="24"/>
  <c r="Q95" i="24" s="1"/>
  <c r="R99" i="24"/>
  <c r="Q99" i="24" s="1"/>
  <c r="R103" i="24"/>
  <c r="Q103" i="24" s="1"/>
  <c r="R107" i="24"/>
  <c r="Q107" i="24" s="1"/>
  <c r="Q245" i="24"/>
  <c r="Q292" i="24" s="1"/>
  <c r="S178" i="24"/>
  <c r="S183" i="24" s="1"/>
  <c r="Q8" i="24"/>
  <c r="Q48" i="24"/>
  <c r="Q52" i="24"/>
  <c r="Q56" i="24"/>
  <c r="Q60" i="24"/>
  <c r="Q64" i="24"/>
  <c r="Q68" i="24"/>
  <c r="Q73" i="24"/>
  <c r="Q77" i="24"/>
  <c r="Q81" i="24"/>
  <c r="Q85" i="24"/>
  <c r="Q89" i="24"/>
  <c r="R44" i="24"/>
  <c r="Q9" i="24"/>
  <c r="Q45" i="24"/>
  <c r="Q49" i="24"/>
  <c r="Q53" i="24"/>
  <c r="Q57" i="24"/>
  <c r="Q61" i="24"/>
  <c r="Q65" i="24"/>
  <c r="Q69" i="24"/>
  <c r="Q74" i="24"/>
  <c r="Q78" i="24"/>
  <c r="Q82" i="24"/>
  <c r="Q86" i="24"/>
  <c r="Q90" i="24"/>
  <c r="Q94" i="24"/>
  <c r="Q98" i="24"/>
  <c r="Q102" i="24"/>
  <c r="Q106" i="24"/>
  <c r="Q110" i="24"/>
  <c r="S293" i="24" l="1"/>
  <c r="S327" i="24" s="1"/>
  <c r="Q71" i="24"/>
  <c r="R112" i="24"/>
  <c r="Q27" i="24"/>
  <c r="Q44" i="24"/>
  <c r="R12" i="24"/>
  <c r="R293" i="24" l="1"/>
  <c r="Q112" i="24"/>
  <c r="Q12" i="24"/>
  <c r="Q293" i="24" l="1"/>
</calcChain>
</file>

<file path=xl/sharedStrings.xml><?xml version="1.0" encoding="utf-8"?>
<sst xmlns="http://schemas.openxmlformats.org/spreadsheetml/2006/main" count="17506" uniqueCount="1889">
  <si>
    <t>สำนักงานท่าเทียบเรือประมงภูเก็ต</t>
  </si>
  <si>
    <t>รายละเอียดหนี้ค้างชำระค่าเช่าอาคารและที่ดิน</t>
  </si>
  <si>
    <t>ณ วันที่ 30 กันยายน 2568</t>
  </si>
  <si>
    <t>ลำดับ</t>
  </si>
  <si>
    <t>รายชื่อ</t>
  </si>
  <si>
    <t>สถานที่ตั้ง</t>
  </si>
  <si>
    <t>อัตราค่าเช่า</t>
  </si>
  <si>
    <t>ค้างชำระยกมา</t>
  </si>
  <si>
    <t>รับชำระ</t>
  </si>
  <si>
    <t>ค้างชำระยกไป</t>
  </si>
  <si>
    <t>ค้างตั้งแต่</t>
  </si>
  <si>
    <t>อายุหนี้</t>
  </si>
  <si>
    <t>ยอดหนี้</t>
  </si>
  <si>
    <t>จำนวนเงิน</t>
  </si>
  <si>
    <t>ภาษีมูลค่าเพิ่ม</t>
  </si>
  <si>
    <t>รวม</t>
  </si>
  <si>
    <t>วดป.</t>
  </si>
  <si>
    <t>เลขที่ใบเสร็จ</t>
  </si>
  <si>
    <t>จำนวน</t>
  </si>
  <si>
    <t>ค่าธรรมเนียมสัตว์น้ำผ่านท่า (4600200)</t>
  </si>
  <si>
    <t>ห้างหุ้นส่วนจำกัดปลาป่นสินไพบูลย์ชัย</t>
  </si>
  <si>
    <t>62/1 ม.7 ถ.ท่าเรือใหม่ ต.รัษฎา อ.เมือง จ.ภูเก็ต</t>
  </si>
  <si>
    <t>22,24 ก.ย.68</t>
  </si>
  <si>
    <t>588/29363,70 ก.ย.68</t>
  </si>
  <si>
    <t>บริษัทอุตสาหกรรมปลาป่นภูเก็ตจำกัด</t>
  </si>
  <si>
    <t>41/25 ถ.มนตรี ต.ลาดใหญ่ อ.เมือง จ.ภูเก็ต</t>
  </si>
  <si>
    <t>588/29371 ก.ย.68</t>
  </si>
  <si>
    <t>นางแสงอุทัย  นาคเชียร (เจ้ฝ้าย)</t>
  </si>
  <si>
    <t>25/71 ม.1 ต.รัษฎา อ.เมือง จ.ภูเก็ต</t>
  </si>
  <si>
    <t>588/29354 ก.ย.68</t>
  </si>
  <si>
    <t>บริษัทภูเก็ตยูเนียนฟู้ดส์จำกัด</t>
  </si>
  <si>
    <t>ตรงข้ามป้อมนอก 3/21 ม.1 ต.รัษฎา อ.เมืองจ.ภูเก็ต</t>
  </si>
  <si>
    <t>สค.68</t>
  </si>
  <si>
    <t>1</t>
  </si>
  <si>
    <t>587/29337 ส.ค.68</t>
  </si>
  <si>
    <t xml:space="preserve">1 </t>
  </si>
  <si>
    <t>ปรับปรุงยกมาเนื่องจากว่าไม่ได้ลงอัตราค่าสัตว์น้ำ ประจำเดือน สิงหาคม 2568</t>
  </si>
  <si>
    <t>ค่าธรรมเนียมรถผ่านท่า (4600300)</t>
  </si>
  <si>
    <t>แพปลา เอ.พี.พี.ภูเก็ต</t>
  </si>
  <si>
    <t>29/13 ม.1 ต.รัษฎา อ.เมือง จ.ภูเก็ต</t>
  </si>
  <si>
    <t xml:space="preserve"> 1 ก.ย.68</t>
  </si>
  <si>
    <t>587/9325 ก.ย.68</t>
  </si>
  <si>
    <t>นายวีระพงษ์ หลิมพานิชย์ (แพปลาโชคกาญจนา) (ทร.10.1)</t>
  </si>
  <si>
    <t>21/24 ถ.หลวงพ่อ ต.ตลาดใหญ่ อ.เมือง จ.ภูเก็ต</t>
  </si>
  <si>
    <t>588/29374 ก.ย.68</t>
  </si>
  <si>
    <t xml:space="preserve">นางธารทิพย์ เงินเอนก (แพปลานิวัฒน์ชัยนาวี) (ทร.10.1) </t>
  </si>
  <si>
    <t>2/8-14 ม.1 ต.รัษฎา อ.เมือง จ.ภูเก็ต</t>
  </si>
  <si>
    <t>587/29342 ส.ค.68</t>
  </si>
  <si>
    <t>นางสมพร จตุภุช แพปลาเจ้เล็ก (ส.พรชัย) (ทร.10.1)</t>
  </si>
  <si>
    <t>2/53-54 ม.1 ต.รัษฎา อ.เมือง จ.ภูเก็ต</t>
  </si>
  <si>
    <t>587/29326 ส.ค.68</t>
  </si>
  <si>
    <t>นางสาวปริมล ไพรสำราญ (แพปลาส.จิตต์ชัยเจริญ) (ทร.10.1)</t>
  </si>
  <si>
    <t>2/81 ม.1 ถ.ศรีสุทัศน์ ต.รัษฎา อ.เมือง จ.ภูเก็ต</t>
  </si>
  <si>
    <t>587/29338 ก.ย.68</t>
  </si>
  <si>
    <t>นายสุนทร แกล้วทนงค์ (แพปลาส.ธนาวุธชัยนาวี)</t>
  </si>
  <si>
    <t>64/137 ม.3 ต.รัษฎา อ.เมือง จ.ภูเก็ต</t>
  </si>
  <si>
    <t>แพปลาคุณเร</t>
  </si>
  <si>
    <t>74/261 หมู่บ้านซิตี้โฮม ต.รัษฎา อ.เมือง จ.ภูเก็ต</t>
  </si>
  <si>
    <t>587/29330 ส.ค.68</t>
  </si>
  <si>
    <t>บริษัทซีแองเจิลครุยซ์จำกัด</t>
  </si>
  <si>
    <t>20/7 ซ.พันเทพ 3 ถ.แม่หลวน ต.ตลาดใหญ่ อ.เมือง จ.ภูเก็ต</t>
  </si>
  <si>
    <t>กย.68</t>
  </si>
  <si>
    <t>นางแสงอุทัย นาคเชียร (เจ้ฝ้าย)</t>
  </si>
  <si>
    <t>588/29355 ก.ย.68</t>
  </si>
  <si>
    <t>บริษัทพรานอันดามันทราเวลจำกัด</t>
  </si>
  <si>
    <t>20/23-24 ม.2 ต.เกาะแก้ว อ.เมือง จ.ภูเก็ต</t>
  </si>
  <si>
    <t>588/29367 ก.ย.68</t>
  </si>
  <si>
    <t xml:space="preserve">นายปรีชา ใจอาจ </t>
  </si>
  <si>
    <t>111 ม.1 ต.รัษฎา อ.เมือง จ.ภูเก็ต</t>
  </si>
  <si>
    <t>588/29352 ก.ย.68</t>
  </si>
  <si>
    <t>นายนิกร ต่อไมตรี</t>
  </si>
  <si>
    <t xml:space="preserve">ค่าธรรมเนียมน้ำแข็งผ่านท่า (4600400) </t>
  </si>
  <si>
    <t>บริษัทโรงน้ำแข็งท่าจีนจำกัด (แสงอรุณ) ทร.10</t>
  </si>
  <si>
    <t>63/142 ม.7 ถ.อนุภาษ ต.รัษฎา อ.เมือง จ.ภูเก็ต</t>
  </si>
  <si>
    <t>588/29375 ก.ย.68</t>
  </si>
  <si>
    <t>บริษัทน้ำแข็งโชคเจริญชัย  จำกัด</t>
  </si>
  <si>
    <t>2/42 ม.1 ต.รัษฎา อ.เมือง จ.ภูเก็ต</t>
  </si>
  <si>
    <t>588/29361 ก.ย.68</t>
  </si>
  <si>
    <t>ค่าธรรมเนียมน้ำมันผ่านท่า (4600500)</t>
  </si>
  <si>
    <t>บริษัทซีแองเจิลครุยซ์จำกัด(เหมาจ่าย)</t>
  </si>
  <si>
    <t>บริษัทพรานอันดามันทราเวลจำกัด(เหมาจ่าย)</t>
  </si>
  <si>
    <t>ค่าธรรมเนียมใช้สถานที่ (4600700)</t>
  </si>
  <si>
    <t>นางสาววาณี  ศรีสุภาวดี (ใช้สถานที่ชั่วคราว)</t>
  </si>
  <si>
    <t>9/24 ต.ตลาดใหญ่ อ.เมือง จ.ภูเก็ต</t>
  </si>
  <si>
    <t>587/29341 ก.ย.68</t>
  </si>
  <si>
    <t>ค่าจำหน่ายน้ำประปา (4700200)</t>
  </si>
  <si>
    <t>นางแสงอุทัย นาคเชียร (เจ๊ฝ้าย)</t>
  </si>
  <si>
    <t>หลังห้องเย็น(ท่าจีนเก่า)</t>
  </si>
  <si>
    <t>588/29356 ก.ย.68</t>
  </si>
  <si>
    <t>นายปรีชา ใจอาจ</t>
  </si>
  <si>
    <t>ข้างศูนย์ปฎิบัติการบ่อบำบัดน้ำ</t>
  </si>
  <si>
    <t>588/29353 ก.ย.68</t>
  </si>
  <si>
    <t>ค่าจำหน่ายไฟฟ้า (4700300)</t>
  </si>
  <si>
    <t>นายวีระพงษ์ หลิมพานิชย์ โซน G</t>
  </si>
  <si>
    <t>588/29373 ก.ย.68</t>
  </si>
  <si>
    <t>นายวีระพงษ์ หลิมพานิชย์ โรงคลุม</t>
  </si>
  <si>
    <t>นางบุญมา  หรั่งสอาด (พื้นที่ตากปลา)</t>
  </si>
  <si>
    <t>ค่าจำหน่ายไฟฟ้า</t>
  </si>
  <si>
    <t>587/29335 ส.ค.68</t>
  </si>
  <si>
    <t xml:space="preserve">นางธณวรรณ ไทรทอง (แพปลาเจ้วรรณ) </t>
  </si>
  <si>
    <t>5/121 ถ.ศรีสุทัศน์ ต.รัษฎา อ.เมือง จ.ภูเก็ต</t>
  </si>
  <si>
    <t>588/29382 ก.ย.68</t>
  </si>
  <si>
    <t>นางธณวรรณ ไทรทอง (แพปลาเจ้วรรณ) (เรือปั่น)</t>
  </si>
  <si>
    <t>นายสุระสิทธิ์ ศรีพันธมาศ (แพปลาส.จิตต์ชัยเจริญ) จำนวน 2 มิตเตอร์</t>
  </si>
  <si>
    <t>นายสุระสิทธิ์ ศรีพันธมาศ (แพส.จิตต์ชัยเจริญ) ใน</t>
  </si>
  <si>
    <t xml:space="preserve">นางสมพร จตุภุช (แพปลาส.พรชัยนาวี) (เจ้เล็ก) </t>
  </si>
  <si>
    <t>587/29327 ส.ค.68</t>
  </si>
  <si>
    <t>นางสาววิลัยพร พวงเพชร (เหมาจ่ายร้านกาแฟ)</t>
  </si>
  <si>
    <t>587/29333 ส.ค.68</t>
  </si>
  <si>
    <t>บริษัทแอดวานช์ไวร์เลสเน็ทเวอร์คจำกัด</t>
  </si>
  <si>
    <t>นางแสงอุทัย นาคเชียร (แพปลาเจ๊ฝ้าย)</t>
  </si>
  <si>
    <t>588/29357 ก.ย.68</t>
  </si>
  <si>
    <t>นางสาวิตรี เหลืองอร่ามจิตร (โรงต้ม)</t>
  </si>
  <si>
    <t>360 ม.15 ต.เกาะขนุน อ.พนมสารคาม จ.ฉะเชิงเทรา</t>
  </si>
  <si>
    <t>ส.ค.-ก.ย.68</t>
  </si>
  <si>
    <t>2</t>
  </si>
  <si>
    <t>นางสาวิตรี เหลืองอร่ามจิตร (ทูน่า)</t>
  </si>
  <si>
    <t>นางดวงจันทร์ เอกคณะ (โรงคลุม)</t>
  </si>
  <si>
    <t>2/88-89 ม.1 ต.รัษฎา อ.เมือง จ.ภูเก็ต</t>
  </si>
  <si>
    <t>588/29379 ก.ย.68</t>
  </si>
  <si>
    <t>นางดวงจันทร์ เอกคณะ (เรือปั่น)</t>
  </si>
  <si>
    <t>นางวาณี ศรีสุภาวดี (แพปลาธนศักดิ์ชัยนาวี)</t>
  </si>
  <si>
    <t>98/24 ถ.ศรีสุทัศน์ ต.ตลาดใหญ่ อ.เมือง จ.ภูเก็ต</t>
  </si>
  <si>
    <t>588/29359 ก.ย.68</t>
  </si>
  <si>
    <t>นางชนม์ณกานต์ ลิ้มสวัสดิ์ (แพปลาทองเจริญทรัพย์)</t>
  </si>
  <si>
    <t>2/95 ม.1 ต.รัษฎา อ.เมือง จ.ภูเก็ต</t>
  </si>
  <si>
    <t>588/29381 ก.ย.68</t>
  </si>
  <si>
    <t>ศูนย์พัฒนาแรงงานเพื่อบ้านทร.ภูเก็ต</t>
  </si>
  <si>
    <t>หลังสำนักงานทร.ภเก็ต</t>
  </si>
  <si>
    <t>นายวรศักดิ์ วรรณะ (โรงคลุม)</t>
  </si>
  <si>
    <t>65/63 ม.7 ต.รัษฎา อ.เมือง จ.ภูเก็ต</t>
  </si>
  <si>
    <t>588/29380 ส.ค.68</t>
  </si>
  <si>
    <t>นายวรศักดิ์ วรรณะ (บริเวณเครน)</t>
  </si>
  <si>
    <t>587/29340 ส.ค.68</t>
  </si>
  <si>
    <t>นายคำภีร์ ชาญกิจธนโภคิน (แพปลาคุณเร)</t>
  </si>
  <si>
    <t>88/911 ม.3 ต.รัษฎา อ.เมือง จ.ภูเก็ต</t>
  </si>
  <si>
    <t>587/29331 ส.ค.68</t>
  </si>
  <si>
    <t>นางอมร แก้วสีเหลือง(โรงต้มตากปลากระตัก)</t>
  </si>
  <si>
    <t>587/29332 ส.ค.68</t>
  </si>
  <si>
    <t>นางอมร แก้วสีเหลือง(หน้าท่า)</t>
  </si>
  <si>
    <t>139/9 ม.3 ต.ปากน้ำปราณฯ อ.ปราณบุรี จ.ประจวบคีรีขันธ์</t>
  </si>
  <si>
    <t>นายเดชา สุเพ็ญพร</t>
  </si>
  <si>
    <t>125/1 ม.1 ต.เวียงบางคำ อ.แม่สาย จ.เชียงราย</t>
  </si>
  <si>
    <t>588/29376 ก.ย.68</t>
  </si>
  <si>
    <t>นายธานี สีดอกบวบ</t>
  </si>
  <si>
    <t>392/5 ม.1 ต.เชิงทะเล อ.ถลาง จ.ภูเก็ต</t>
  </si>
  <si>
    <t>588/29364 ก.ย.68</t>
  </si>
  <si>
    <t>นายชาลี แสนสุข</t>
  </si>
  <si>
    <t>63/403 ม.7 ต.รัษฎา อ.เมือง จ.ภูเก็ต</t>
  </si>
  <si>
    <t>นายมะยูสรี บือซา</t>
  </si>
  <si>
    <t>74/25 ม.7 ต.รัษฎา อ.เมือง จ.ภูเก็ต</t>
  </si>
  <si>
    <t>588/29372 ก.ย.68</t>
  </si>
  <si>
    <t>นายสมชาติ ชาวจีน (หน้าท่า)</t>
  </si>
  <si>
    <t>9/66 ม.1 ต.รัษฎา อ.เมือง จ.ภูเก็ต</t>
  </si>
  <si>
    <t>1,29 ก.ย.68</t>
  </si>
  <si>
    <t>587,88/29329,378 ส.ค.-ก.ย.68</t>
  </si>
  <si>
    <t>นายสมชาติ ชาวจีน (เรือปั่น)</t>
  </si>
  <si>
    <t>นางสาววิภา ปลูกไม้ดี</t>
  </si>
  <si>
    <t>37/52 ถ.ดำรง ต.ตลาดใหญ่ อ.เมือง จ.ภูเก็ต</t>
  </si>
  <si>
    <t>587/29350 ก.ย.68</t>
  </si>
  <si>
    <t>นางสาวมุจลินท์ แกล้วทนงค์</t>
  </si>
  <si>
    <t>15/45 ม.1 ต.รัษฎา อ.เมือง จ.ภูเก็ต</t>
  </si>
  <si>
    <t>นางสาวสมศิริ เจริญผล</t>
  </si>
  <si>
    <t>90/71 ม.1 ต.รัษฎา อ.เมือง จ.ภูเก็ต</t>
  </si>
  <si>
    <t>587/29346 ส.ค.68</t>
  </si>
  <si>
    <t>นางกิตติยา สังข์ลาโพธิ์</t>
  </si>
  <si>
    <t>13/50 ม.1 ต.รัษฎา อ.เมือง จ.ภูเก็ต</t>
  </si>
  <si>
    <t>587/29328 ส.ค.68</t>
  </si>
  <si>
    <t>นางสาวเพชรรัตน์ สำราญรัตน์</t>
  </si>
  <si>
    <t>93/43 ม.5 ต.ไม้ขาว อ.ถลาง จ.ภูเก็ต</t>
  </si>
  <si>
    <t>ก.ค.-ส.ค.68</t>
  </si>
  <si>
    <t>นางสาวรัชนี ขนเม่น</t>
  </si>
  <si>
    <t>587/29347 ก.ย.68</t>
  </si>
  <si>
    <t>นายอภิวัฒน์  สังข์ลาโพธิ์</t>
  </si>
  <si>
    <t>168 ม.8 ต.สามร้อยยอด อ.สามร้อยยอด จ.ประจวบฯ</t>
  </si>
  <si>
    <t>นางสาวชุติมา  กราดกลิ่น</t>
  </si>
  <si>
    <t>64 ม.2 ต.เขาแดง อ.กุยบุรี จ.ประจวบคีรีขันธ์</t>
  </si>
  <si>
    <t>587/29336 ส.ค.68</t>
  </si>
  <si>
    <t>นางสาววรรณิสา  จันทร์เจ้า</t>
  </si>
  <si>
    <t>97/3 ม.5 ต.ไม้ขาว อ.ถลาง จ.ภูเก็ต</t>
  </si>
  <si>
    <t>588/29377 ก.ย.68</t>
  </si>
  <si>
    <t>นายอภิโชค ตันแต๋ว</t>
  </si>
  <si>
    <t>18/74 ม.3 ต.วิชิต อ.เมือง จ.ภูเก็ต</t>
  </si>
  <si>
    <t>587/29348 ก.ย.68</t>
  </si>
  <si>
    <t>19/260 ม.3 ต.รัษฎา อ.เมือง จ.ภูเก็ต</t>
  </si>
  <si>
    <t>588/29368 ก.ย.68</t>
  </si>
  <si>
    <t>น.ส.เพ็ญนภา  ขวดแก้ว</t>
  </si>
  <si>
    <t>60 ม.6 ต.ขนาบนาก อ.ปากพนัง จ.นครศรีธรรมราช</t>
  </si>
  <si>
    <t>588/29351 ก.ย.68</t>
  </si>
  <si>
    <t>น.ส.ศรีลาวรรณ คงตะโก(หน้าท่า)</t>
  </si>
  <si>
    <t>68/30 ม.3 ต.รัษฎา อ.เมือง จ.ภูเก็ต</t>
  </si>
  <si>
    <t>น.ส.ศรีลาวรรณ คงตะโก(ท่าทูน่า)</t>
  </si>
  <si>
    <t>587/29339 ส.ค.68</t>
  </si>
  <si>
    <t>นายอานนท์ รอดภัย</t>
  </si>
  <si>
    <t>147 ถ.ไทรงาม ต.บ่อยาง อ.เมือง จ.สงขลา</t>
  </si>
  <si>
    <t>นายประเสริฐ แซ่ตัน</t>
  </si>
  <si>
    <t>52/27ม.3 ตรัษฎา อ.เมือง จ.ภูเก็ต</t>
  </si>
  <si>
    <t>588/29365 ก.ย.68</t>
  </si>
  <si>
    <t>นางธารทิพย์ เงินอเนก</t>
  </si>
  <si>
    <t>587/29343 ส.ค.68</t>
  </si>
  <si>
    <t>นางสาวสุจิตรา พินิจฉัย</t>
  </si>
  <si>
    <t>3/668 ม.1 ต.รัษฎา อ.เมือง จ.ภูเก็ต</t>
  </si>
  <si>
    <t>587/29345 ส.ค.68</t>
  </si>
  <si>
    <t>นางอารมณ์ ใกล้ชิต</t>
  </si>
  <si>
    <t>9/70 ม.1 ต.รัษฎา อ.เมือง จ.ภูเก็ต</t>
  </si>
  <si>
    <t>นางพัชราวดี หลิมพัฒนสกุล</t>
  </si>
  <si>
    <t>68/440 ม.1 ต.รัษฎา อ.เมือง จ.ภูเก็ต</t>
  </si>
  <si>
    <t>587/29349 ก.ย.68</t>
  </si>
  <si>
    <t>นางสาวรศรินทร์ วรโยธา</t>
  </si>
  <si>
    <t>587/29334 มิ.ย.68</t>
  </si>
  <si>
    <t>นายเมธา อินคล้าย</t>
  </si>
  <si>
    <t>57 ม.9 ต.คุระ อ.คุระบุรี จ.พังงา</t>
  </si>
  <si>
    <t>บริษัท สตูล ปากบารา สปี๊ดโบ๊ทคลับ จำกัด</t>
  </si>
  <si>
    <t xml:space="preserve">1275 ม.2 ต.ปากน้ำ อ.ละงู จ.สตูล </t>
  </si>
  <si>
    <t>นายวัชรินทร์ วรรณะ</t>
  </si>
  <si>
    <t>29/17 ม.1 ต.รัษฎา อ.เมือง จ.ภูเก็ต</t>
  </si>
  <si>
    <t>588/29360 ก.ย.68</t>
  </si>
  <si>
    <t>นายมานะ แซ่หลี</t>
  </si>
  <si>
    <t>68/624 หมู่ที่ 7  ตำบลรัษฎา อำเภอเมือง</t>
  </si>
  <si>
    <t>588/29358 ก.ย.68</t>
  </si>
  <si>
    <t>นางสาวเบญจวรรณ กุนท์กาญจน์</t>
  </si>
  <si>
    <t>90 ม.6 ต.ฉลอง อ.มือง จ.ภูเก็ต</t>
  </si>
  <si>
    <t>นายลาโรช จันทร์สมุทร</t>
  </si>
  <si>
    <t>60/40 ม.7 ต.รัษฎา อ.เมือง จ.ภูเก็ต</t>
  </si>
  <si>
    <t>ห้องน้ำสาธารณะ</t>
  </si>
  <si>
    <t>2/8 ม.1 ตรัษฎา อ.เมือง จ.ภูเก็ต</t>
  </si>
  <si>
    <t>นายจิรายุ เนตรกระจ่าง</t>
  </si>
  <si>
    <t>168/418 หมู่ที่ 5 ถ.สุราษฏ์-ปากน้ำ  ต.บางกุ้ง อ.เมือง</t>
  </si>
  <si>
    <t>587/29344 ส.ค.68</t>
  </si>
  <si>
    <t>นายกอบกฤต มัตสยาวณิช</t>
  </si>
  <si>
    <t xml:space="preserve"> 65/419 ม.2 ต.วิชิต อ.เมือง จ.ภูเก็ต</t>
  </si>
  <si>
    <t>588/29369 ก.ย.68</t>
  </si>
  <si>
    <t>ค่าเช่าอาคารและที่ดิน (4700400)</t>
  </si>
  <si>
    <t>ค่าเช่าอาคารพาณิชย์แปลง เอ คูหาที่ 1-28 คูหาละ 3,150 บาท สัญญาเริ่มตั้งแต่ 1 ม.ค.67-31 ธ.ค.69</t>
  </si>
  <si>
    <t xml:space="preserve">นายจงรักษ์ นฤขัตพิชัย   </t>
  </si>
  <si>
    <t>2/55-57 ม.1 ต.รัษฎา อ.เมือง จ.ภูเก็ต (คูหา 1 - 3)</t>
  </si>
  <si>
    <t>528/52713 ก.ย.68</t>
  </si>
  <si>
    <t>นายพีรณัฐ นฤขัตพิชัย</t>
  </si>
  <si>
    <t>2/58 ม.1 ต.รัษฎา อ.เมือง จ.ภูเก็ต (คูหา 4)</t>
  </si>
  <si>
    <t>528/52714 ก.ย.68</t>
  </si>
  <si>
    <t xml:space="preserve">นางสาวนฤมนต์ ตัมพานุวัตร </t>
  </si>
  <si>
    <t>2/59,23-24,46-47 ม.1 ต.รัษฎา อ.เมือง จ.ภูเก็ต(คูหา 5,18-21)</t>
  </si>
  <si>
    <t>2/60-61 ม.1 ต.รัษฎา อ.เมือง จ.ภูเก็ต (คูหา 6 - 7)</t>
  </si>
  <si>
    <t>2/13-19 ม.1 ต.รัษฎา อ.เมือง จ.ภูเก็ต (คูหา 8 -14)</t>
  </si>
  <si>
    <t>528/52715 ก.ย.68</t>
  </si>
  <si>
    <t>นายวันชัย ศรีพันธมาศ</t>
  </si>
  <si>
    <t>2/20-22 ม.1 ต.รัษฎา อ.เมือง จ.ภูเก็ต (คูหา 15 - 17)</t>
  </si>
  <si>
    <t>527/52685 ก.ย.68</t>
  </si>
  <si>
    <t xml:space="preserve">นางอรวรรณ รัตนศิธร         </t>
  </si>
  <si>
    <t>2/48-49 ม.1 ต.รัษฎา อ.เมือง จ.ภูเก็ต (คูหา 22 - 23)</t>
  </si>
  <si>
    <t xml:space="preserve">นางสาวพรทิพย์ เบญจวรางกูร  </t>
  </si>
  <si>
    <t>2/50-51 ม.1 ต.รัษฎา อ.เมือง จ.ภูเก็ต (คูหา 24 - 25)</t>
  </si>
  <si>
    <t>528/52705 ส.ค.68</t>
  </si>
  <si>
    <t>นางสมพร จตุรภุช</t>
  </si>
  <si>
    <t>2/53-54 ม.1 ต.รัษฎา อ.เมือง จ.ภูเก็ต(คูหา 26 - 28 )</t>
  </si>
  <si>
    <t>528/52720 ก.ย.68</t>
  </si>
  <si>
    <t>ค่าเช่าอาคารพาณิชย์แปลงเอ คูหาที่ 29-37 คูหาละ 2,800 บาท สัญญาเริ่มตั้งแต่ 1 ม.ค.67-31 ธ.ค.69</t>
  </si>
  <si>
    <t>นางปาณิศา จริภักดิ์</t>
  </si>
  <si>
    <t>2/62-63 ม.1 ต.รัษฎา อ.เมือง จ.ภูเก็ต (คูหา 29 - 30)</t>
  </si>
  <si>
    <t>527/52684 ก.ย.68</t>
  </si>
  <si>
    <t>2/64 ม.1 ต.รัษฎา อ.เมือง จ.ภูเก็ต (คูหา 31)</t>
  </si>
  <si>
    <t>นางสาวปริมล ไพรสำราญ</t>
  </si>
  <si>
    <t>2/65-66 ม.1 ต.รัษฎา อ.เมือง จ.ภูเก็ต(คูหา 32 - 33)</t>
  </si>
  <si>
    <t>528/52708 ก.ย.68</t>
  </si>
  <si>
    <t>นางปราณี ไพรสำราญ (นางสาวปริมล   ไพรสำราญ)</t>
  </si>
  <si>
    <t>2/67-68 ม.1 ต.รัษฎา อ.เมือง จ.ภูเก็ต (คูหา 34 - 35)</t>
  </si>
  <si>
    <t>นางศิริลักษณ์ หาญโกทา</t>
  </si>
  <si>
    <t>2/69-70 ม.1 ต.รัษฎา อ.เมือง จ.ภูเก็ต(คูหา 36 - 37)</t>
  </si>
  <si>
    <t>527/52688 ก.ย.68</t>
  </si>
  <si>
    <t>ค่าเช่าอาคารพาณิชย์แปลง 4 คูหาที่ 1-9  คูหาละ 3,150 บาท สัญญาเริ่มตั้งแต่ 1 ม.ค.67-31 ธ.ค.69</t>
  </si>
  <si>
    <t>นายประชด ชูประสิทธิ์</t>
  </si>
  <si>
    <t>2/77-79 ม.1 ต.รัษฎา อ.เมือง จ.ภูเก็ต (คูหา 1 - 3)</t>
  </si>
  <si>
    <t>527/52691 ก.ย.68</t>
  </si>
  <si>
    <t>2/80-82 ม.1 ต.รัษฎา อ.เมือง จ.ภูเก็ต (คูหา 4 - 6)</t>
  </si>
  <si>
    <t>นางสาวกิมลั้ง แซ่ตั๊ง</t>
  </si>
  <si>
    <t>2/83 ม.1 ต.รัษฎา อ.เมือง จ.ภูเก็ต(คูหา 7)</t>
  </si>
  <si>
    <t>528/52700 ก.ย.68</t>
  </si>
  <si>
    <t>นางสาวสุภาวดี แซ่หลิม</t>
  </si>
  <si>
    <t>2/84-85 ม.1 ต.รัษฎา อ.เมือง จ.ภูเก็ต (คูหา 8 - 9)</t>
  </si>
  <si>
    <t>527/52686 ก.ย.68</t>
  </si>
  <si>
    <t>ค่าเช่าอาคารพาณิชย์ แปลง 5 คูหาที่ 1-11 คูหาละ 2,800 บาท สัญญาเริ่มตั้งแต่ 1 ม.ค.67-31 ธ.ค.69</t>
  </si>
  <si>
    <t>นางสาวสุรัตน แก้วสีเหลือง</t>
  </si>
  <si>
    <t>2/86-87 ม.1 ต.รัษฎา อ.เมือง จ.ภูเก็ต (คูหา 1 - 2)</t>
  </si>
  <si>
    <t>มิ.ย.-ส.ค.68</t>
  </si>
  <si>
    <t>3</t>
  </si>
  <si>
    <t>มิ.ย.-ก.ย.68</t>
  </si>
  <si>
    <t>4</t>
  </si>
  <si>
    <t>นางดวงจันทร์ เอกคณะ</t>
  </si>
  <si>
    <t>2/88-89 ม.1 ต.รัษฎา อ.เมือง จ.ภูเก็ต (คูหา 3 - 4)</t>
  </si>
  <si>
    <t>528/52730 ก.ย.68</t>
  </si>
  <si>
    <t>นายสุรินทร์ พรายมี</t>
  </si>
  <si>
    <t>2/90-91 ม.1 ต.รัษฎา อ.เมือง จ.ภูเก็ต (คูหา 5 - 6)</t>
  </si>
  <si>
    <t>527/52678 ก.ย.68</t>
  </si>
  <si>
    <t>นางสาวสุลาวัลย์ แซ่ตั้ง</t>
  </si>
  <si>
    <t>2/94 ม.1 ต.รัษฎา อ.เมือง จ.ภูเก็ต (คูหา 9)</t>
  </si>
  <si>
    <t>527/52687 ก.ย.68</t>
  </si>
  <si>
    <t>นางชนม์ณกานต์ ลิ้มสวัสดิ์</t>
  </si>
  <si>
    <t>2/95-96 ม.1 ต.รัษฎา อ.เมือง จ.ภูเก็ต (คูหา 10 - 11)</t>
  </si>
  <si>
    <t>528/52732 ก.ย.68</t>
  </si>
  <si>
    <t>ค่าเช่าอาคารพาณิชย์ แปลง 6 คูหาที่ 1-11 คูหาละ 2,800 บาทสัญญาเริ่มตั้งแต่ 1 ม.ค.67-31 ธ.ค.69</t>
  </si>
  <si>
    <t>นายจรุง บัตรพรรธนะ</t>
  </si>
  <si>
    <t>2/106-107 ม.1 ต.รัษฎา อ.เมือง จ.ภูเก็ต (คูหา 1 - 2)</t>
  </si>
  <si>
    <t>527/52681 ส.ค.68</t>
  </si>
  <si>
    <t>นางกันยา พงษ์เพ็ชรวิเศษ</t>
  </si>
  <si>
    <t>2/108 ม.1 ต.รัษฎา อ.เมือง จ.ภูเก็ต (คูหา 3 )</t>
  </si>
  <si>
    <t>528/52723 ก.ย.68</t>
  </si>
  <si>
    <t>นางชนม์กานต์ ลิ้มสวัสดิ์ (สัญญาเริ่ม มิ.ย.-ธ.ค.66)</t>
  </si>
  <si>
    <t xml:space="preserve">2/109-110 ต.รัษฎา อ.เมือง จ.ภูเก็ต (คูหา 4-5) </t>
  </si>
  <si>
    <t>นายประจิต อึ้งรังษี</t>
  </si>
  <si>
    <t>2/111-113 ม.1 ต.รัษฎา อ.เมือง จ.ภูเก็ต (คูหา 6 - 8)</t>
  </si>
  <si>
    <t>528/52728 ก.ย.68</t>
  </si>
  <si>
    <t>2/114 ม.1 ต.รัษฎา อ.เมือง จ.ภูเก็ต (คูหา 9)</t>
  </si>
  <si>
    <t>2/115 ม.1 ต.รัษฎา อ.เมือง จ.ภูเก็ต (คูหา 10)</t>
  </si>
  <si>
    <t>นางสมพร จตุภุช</t>
  </si>
  <si>
    <t>2/106 ม.1 ต.รัษฎา อ.เมือง จ.ภูเก็ต (คูหา 11)</t>
  </si>
  <si>
    <t>ค่าเช่าอาคารพาณิชย์ แปลง 7 คูหาที่ 1-9 คูหาละ 2,800 บาท สัญญาเริ่มตั้งแต่ 1 ม.ค.67-31 ธ.ค.69</t>
  </si>
  <si>
    <t>2/97 ม.1 ต.รัษฎา อ.เมือง จ.ภูเก็ต (คูหา 1)</t>
  </si>
  <si>
    <t>นายปรีชา แกล้วทนงค์</t>
  </si>
  <si>
    <t>2/98 ม.1 ต.รัษฎา อ.เมือง จ.ภูเก็ต (คูหา 2)</t>
  </si>
  <si>
    <t>528/52717 ก.ย.68</t>
  </si>
  <si>
    <t>นางสาววรรณษา อรุณฉาย</t>
  </si>
  <si>
    <t>2/99 ม.1 ต.รัษฎา อ.เมือง จ.ภูเก็ต (คูหา 3)</t>
  </si>
  <si>
    <t>นายอนันต์ ทับสุวรรณ</t>
  </si>
  <si>
    <t>2/100-101 ม.1 ต.รัษฎา อ.เมือง จ.ภูเก็ต (คูหา 4 - 5)</t>
  </si>
  <si>
    <t>รับชำระล่วงหน้า</t>
  </si>
  <si>
    <t>528/52731 พ.ย.68</t>
  </si>
  <si>
    <t>102-103 ม.1 ต.รัษฎา อ.เมือง จ.ภูเก็ต (คูหา 6 - 7)</t>
  </si>
  <si>
    <t>104-105 ม.1 ต.รัษฎา อ.เมือง จ.ภูเก็ต (คูหา 8 - 9)</t>
  </si>
  <si>
    <t>ค่าเช่าอาคารและที่ดิน สัญญาเช่า 20 ปี จัดทำสัญญาทุกๆ 3 ปี สัญญาเริ่มตั้งแต่ 1 ส.ค.65-31 ก.ค.68</t>
  </si>
  <si>
    <t>บริษัทซีแองเจิลครุยส์จำกัด ( สัญญาเริ่ม 1 ส.ค.68-31 ก.ค.71)</t>
  </si>
  <si>
    <t>ค่าเช่าพื้นที่โซน F</t>
  </si>
  <si>
    <t>ค่าเช่าพื้นที่โซน G</t>
  </si>
  <si>
    <t>บริษัทสิกิจจำกัด ( สัญญาเริ่ม 1 ส.ค.68-31 ก.ค.71)</t>
  </si>
  <si>
    <t>ค่าเช่าพื้นที่โซน C</t>
  </si>
  <si>
    <t>528/52712 ก.ย.68</t>
  </si>
  <si>
    <t>บริษัทเอเชี่ยนภูเก็ตมารีนแอนด์ด๊อดยาดจำกัด ( สัญญาเริ่ม 1 ส.ค.68-31 ก.ค.71)</t>
  </si>
  <si>
    <t>ค่าเช่าพื้นที่โซน D</t>
  </si>
  <si>
    <t>528/52718 ก.ย.68</t>
  </si>
  <si>
    <t>บริษัทภูเก็ตยูเนียนฟู้ดส์จำกัด ( สัญญาเริ่ม 1 ส.ค.68-31 ก.ค.71)</t>
  </si>
  <si>
    <t>ค่าเช่าพื้นที่โซน B</t>
  </si>
  <si>
    <t>528/2706 ก.ย.68</t>
  </si>
  <si>
    <t>นายวีระพงษ์ หลิมพานิชย์  (สัญญาเริ่ม1 ก.ย.65-31 ส.ค.68)</t>
  </si>
  <si>
    <t>ค่าเช่าพื้นที่โซน G (สัญญาเริ่ม ก.ย.65)</t>
  </si>
  <si>
    <t>527/52696 ก.ย.68</t>
  </si>
  <si>
    <t>นางแสงอุทัย  นาคเชียร  (สัญญาเริ่ม 1 ก.ย.65-31 ส.ค.68)</t>
  </si>
  <si>
    <t>ค่าเช่าพื้นที่โซน I (สัญญาเริ่ม ก.ย.65)</t>
  </si>
  <si>
    <t>528/52725 ก.ย.68</t>
  </si>
  <si>
    <t>บริษัทพรานอันดามันทราเวลจำกัด (สัญญาเริ่ม 1 ต.ค.66-30 ก.ย.69)</t>
  </si>
  <si>
    <t>เช่าอาคารริมน้ำท่าเรือรับ-ส่งผู้โดยสาร</t>
  </si>
  <si>
    <t>528/52726 ก.ย.68</t>
  </si>
  <si>
    <t>สัญญาเช่า 3 ปี กลุ่มปลากะตัก เริ่ม 1 ก.ย.66-31 ส.ค.69</t>
  </si>
  <si>
    <t>ค่าเช่าพื้นที่โซน R (สัญญาเริ่ม ก.ย.65)</t>
  </si>
  <si>
    <t>527/52694 ก.ย.68</t>
  </si>
  <si>
    <t>นางสาวิตรี เหลืองอร่ามจิตร</t>
  </si>
  <si>
    <t>ค่าเช่าพื้นที่โซน Q (สัญญาเริ่ม มิ.ย.65)</t>
  </si>
  <si>
    <t>นางสาวบุญมา หรั่งสอาด</t>
  </si>
  <si>
    <t>ค่าเช่าพื้นที่โซน Q (สัญญาเริ่ม ก.ย.65)</t>
  </si>
  <si>
    <t>528/52702 ส.ค.68</t>
  </si>
  <si>
    <t>นายสุนทร แกล้วทนงค์</t>
  </si>
  <si>
    <t>นายเดชา  สุเพ็ญพร</t>
  </si>
  <si>
    <t>เช่าพื้นที่บริเวณโซน Q ข้างบ่อบำบัดน้ำเสีย</t>
  </si>
  <si>
    <t>527/52692 ก.ย.68</t>
  </si>
  <si>
    <t>กค.68-กย.68</t>
  </si>
  <si>
    <t xml:space="preserve">ค่าเช่าอาคารและที่ดิน สัญญาเช่า 3 ปี </t>
  </si>
  <si>
    <t>นางสมพร จตุภุช (สัญญาเริ่มตั้งแต่ 1 มิ.ย.67-31 พ.ค.70)</t>
  </si>
  <si>
    <t>โรงอาหารและห้องน้ำสาธารณะ ขนาดพื้นที่ 36 ตรว.</t>
  </si>
  <si>
    <t>528/52721 ก.ย.68</t>
  </si>
  <si>
    <t>นางธารทิพย์ เงินอเนก (สัญญาเริ่มตั้งแต่ 1 ม.ค.66-31 ธ.ค.68)</t>
  </si>
  <si>
    <t>ค่าเช่าพื้นที่โซน O ขนาดพื้นที่ 116.25 ตรว.</t>
  </si>
  <si>
    <t>528/52716 ก.ย.68</t>
  </si>
  <si>
    <t>นายปรีชา ใจอาจ (สัญญาเริ่มตั้งแต่ 1 ม.ค.67-31 ธ.ค.69)</t>
  </si>
  <si>
    <t>ค่าเช่าถังเก็บน้ำขนาด 500 ลบ.ม.และพื้นที่ชั้น 2 อาคารฯ</t>
  </si>
  <si>
    <t>528/52724 ก.ย.68</t>
  </si>
  <si>
    <t>บริษัทแอดวานช์ไวร์เลสเน็ทเวิร์คจำกัด (สัญญาเริ่มตั้งแต่ 1 พ.ย.66-31 ต.ค.69)</t>
  </si>
  <si>
    <t>ค่าเช่าพื้นที่บริเวณข้างศูนย์ระบบบำบัดน้ำเสีย ขนาดพื้นที่ 0.20 ตรว.</t>
  </si>
  <si>
    <t>527/5280 ก.ย.68</t>
  </si>
  <si>
    <t>นางสาวกัลยา ศรีนงนุช (สัญญาเริ่มตั้งแต่ 1 ธ.ค.66-30 พ.ย.69)</t>
  </si>
  <si>
    <t>ค่าเช่าบริเวณทางเข้าบริษ้ทสิกิจจำกัด ขนาดพื้นที่ 4.75 ตรว</t>
  </si>
  <si>
    <t xml:space="preserve"> 5 ก.ย.68</t>
  </si>
  <si>
    <t>527/52695 ก.ย.68</t>
  </si>
  <si>
    <t>บริษัท สตูล ปากบารา สปี๊ดโบ๊ทคลับ จำกัด (สัญญาเริ่มตั้งแต่ 1 ก.พ.67-31 ม.ค.68)</t>
  </si>
  <si>
    <t>ค่าเช่าอาคารฯและพื้นที่โซน V ขนาดพื้นที่ 520.83 ตรว.</t>
  </si>
  <si>
    <t>สัญญาเช่าสิ้นสุด 31 ม.ค.68 และยังไม่ได้ต่อสัญญาเช่า</t>
  </si>
  <si>
    <t>นางสาวปภัสรินทร์ ภัทรเมธีเศรษฐ์ (สัญญาเริ่มตั้งแต่ 1 ก.พ.67-31 ม.ค.70)</t>
  </si>
  <si>
    <t>เช่าพื้นที่บริเวณด้านข้างโรงน้ำแข็ง ขนาดพื้นที่ 33.75 ตรว.</t>
  </si>
  <si>
    <t>527/52690 ก.ย.68</t>
  </si>
  <si>
    <t>ค่าเช่าที่อื่นๆ (4700700)</t>
  </si>
  <si>
    <t>นางสมจิน  ทองเสมอ</t>
  </si>
  <si>
    <t>เช่าที่อื่น หลังอย. ขายของ</t>
  </si>
  <si>
    <t>นางสาววิลัยพร  พวงเพชร</t>
  </si>
  <si>
    <t>เช่าที่อื่น จำหน่ายอาหารเช้าชากาแฟ</t>
  </si>
  <si>
    <t>527/52683 ส.ค.68</t>
  </si>
  <si>
    <t>ค่าเบี้ยประกันอัคคีภัย (2130200)</t>
  </si>
  <si>
    <t>หมายเลขกรมธรรม์</t>
  </si>
  <si>
    <t>ไม่มี</t>
  </si>
  <si>
    <t>ค่าต่ออายุสัญญา/สิทธิการเช่าโอนเป็นรายได้ (4700900)</t>
  </si>
  <si>
    <t>ค่าภาษีที่ดินและสิ่งปลูกสร้าง ประจำปี 2567</t>
  </si>
  <si>
    <t>นางบุญมา หรั่งสอาด</t>
  </si>
  <si>
    <t>นางสุรัตน แก้วสีเหลือง</t>
  </si>
  <si>
    <t>ค่าภาษีที่ดินและสิ่งปลูกสร้าง ประจำปี 2568</t>
  </si>
  <si>
    <t>บริษัท สิกิจ จำกัด</t>
  </si>
  <si>
    <t>บริษัท เอเชียนภูเก็ตมารีนแอนด์ด๊อคยาค จำกัด</t>
  </si>
  <si>
    <t>528/52719</t>
  </si>
  <si>
    <t>บริษัท ภูเก็ตยูเนี่ยนฟู้ดส์ จำกัด</t>
  </si>
  <si>
    <t>528/52707</t>
  </si>
  <si>
    <t>บริษัท ซีแองเจิลครุยซ์ จำกัด</t>
  </si>
  <si>
    <t>ค่าเช่าพื้นที่โซน F และ G</t>
  </si>
  <si>
    <t>บริษัท พรานอันดมันทราเวล จำกัด</t>
  </si>
  <si>
    <t>นายวีระพงษ์ หลิมพานิช</t>
  </si>
  <si>
    <t>527/52698</t>
  </si>
  <si>
    <t>บริษัทโรงน้ำแข็งโชคเจริญชัยจำกัด</t>
  </si>
  <si>
    <t>ค่าเช่าพื้นที่โซน H</t>
  </si>
  <si>
    <t>528/52703</t>
  </si>
  <si>
    <t>ห้องสมุด</t>
  </si>
  <si>
    <t>นางสมพร  จตุภุช</t>
  </si>
  <si>
    <t>โรงอาหารและห้องน้ำสาธารณะ</t>
  </si>
  <si>
    <t>528/52722</t>
  </si>
  <si>
    <t>ต้มตากปลากะตักบ่อบำบัด</t>
  </si>
  <si>
    <t xml:space="preserve">527/52693 </t>
  </si>
  <si>
    <t>นางอมร แก้วสีเหลือง</t>
  </si>
  <si>
    <t>หักเงินประกันสัญญา</t>
  </si>
  <si>
    <t>นางปาณิศา จริภักดิ์  [เลขที่2/62-63]</t>
  </si>
  <si>
    <t>อาคารพาณิชย์แปลงเอ คูหาที่  29-30</t>
  </si>
  <si>
    <t>นางธารทิพย์ เงินเอนก  [เลขที่2/64]</t>
  </si>
  <si>
    <t>อาคารพาณิชย์แปลงเอ คูหาที่  31</t>
  </si>
  <si>
    <t>นางสาวปริมล ไพสำราญ  [เลขที่2/65,66,67,68]</t>
  </si>
  <si>
    <t>อาคารพาณิชย์แปลงเอ คูหาที่  32-35</t>
  </si>
  <si>
    <t>528/52709</t>
  </si>
  <si>
    <t>นางศิริลักษณ์ หาญโกทา  [เลขที่2/69,70]</t>
  </si>
  <si>
    <t>อาคารพาณิชย์แปลงเอ คูหาที่  36-37</t>
  </si>
  <si>
    <t>527/52689</t>
  </si>
  <si>
    <t>นางอรวรรณ รัตนศิธร  [เลขที่2/48,49]</t>
  </si>
  <si>
    <t>อาคารพาณิชย์แปลงเอ คูหาที่  22-23</t>
  </si>
  <si>
    <t>นางพรทิพย์ เบญจวรางกูล  [เลขที่2/50,51]</t>
  </si>
  <si>
    <t>อาคารพาณิชย์แปลงเอ คูหาที่  24-25</t>
  </si>
  <si>
    <t>นางสมพร จตุภุช [เลขที่2/52,53,54]</t>
  </si>
  <si>
    <t>อาคารพาณิชย์แปลงเอ คูหาที่  26-28</t>
  </si>
  <si>
    <t>นายวันชัย ศรีพันธมาศ  [เลขที่2/20,21,22]</t>
  </si>
  <si>
    <t>อาคารพาณิชย์แปลงเอ คูหาที่  15-17</t>
  </si>
  <si>
    <t>นางสาวนฤมนต์ ตัมพานุวัตร  [เลขที่2/23,24,46,47,59,60,61]</t>
  </si>
  <si>
    <t>อาคารพาณิชย์แปลงเอ คูหาที่  5-7,18-21</t>
  </si>
  <si>
    <t>นายจงรักษ์ นฤขัตพิชัย  [เลขที่2/55,56,57]</t>
  </si>
  <si>
    <t>อาคารพาณิชย์แปลงเอ คูหาที่  1-3</t>
  </si>
  <si>
    <t>นายพีรณัฐ นฤขัตพิชัย  [เลขที่2/58]</t>
  </si>
  <si>
    <t>อาคารพาณิชย์แปลงเอ คูหาที่  4</t>
  </si>
  <si>
    <t>นางธารทิพย์ เหลืองสมบูรณ์  [เลขที่2/13,14,15,16,17,18,19]</t>
  </si>
  <si>
    <t>อาคารพาณิชย์แปลงเอ คูหาที่  8-14</t>
  </si>
  <si>
    <t>นายประชด ชูประสิทธิ์  [เลขที่2/77,78,79]</t>
  </si>
  <si>
    <t>อาคารพาณิชย์แปลง 4 คูหาที่  1-3</t>
  </si>
  <si>
    <t>นางสาวปริมล ไพสำราญ  [เลขที่2/80,81,82]</t>
  </si>
  <si>
    <t>อาคารพาณิชย์แปลง 4 คูหาที่  4-6</t>
  </si>
  <si>
    <t>นางสาวกิ้มลั้ง แซ่ตั้ง  [เลขที่2/83]</t>
  </si>
  <si>
    <t>อาคารพาณิชย์แปลง 4 คูหาที่  7</t>
  </si>
  <si>
    <t>528/52701</t>
  </si>
  <si>
    <t>นางสาวสุภาวดี แซ่หลิม  [เลขที่2/84,85]</t>
  </si>
  <si>
    <t>อาคารพาณิชย์แปลง 4 คูหาที่  8-9</t>
  </si>
  <si>
    <t>นางสาวสุรัตน แก้วสีเหลือง  [เลขที่2/86,87]</t>
  </si>
  <si>
    <t>อาคารพาณิชย์แปลง 5 คูหาที่  1- 2</t>
  </si>
  <si>
    <t>นางดวงจันทร์ เอกคณะ  [เลขที่2/88,89]</t>
  </si>
  <si>
    <t>อาคารพาณิชย์แปลง 5 คูหาที่  3-4</t>
  </si>
  <si>
    <t>นายสุรินทร์ พรายมี  [เลขที่2/90,91]</t>
  </si>
  <si>
    <t>อาคารพาณิชย์แปลง 5 คูหาที่  5-6</t>
  </si>
  <si>
    <t>527/52679</t>
  </si>
  <si>
    <t>นายประเสริฐ เตรณานนท์  [เลขที่2/92,93]</t>
  </si>
  <si>
    <t>อาคารพาณิชย์แปลง 5 คูหาที่  7-8</t>
  </si>
  <si>
    <t>นางสาวสุลาวัลย์ แซ่ตั้ง  [เลขที่2/94]</t>
  </si>
  <si>
    <t>อาคารพาณิชย์แปลง 5 คูหาที่  9</t>
  </si>
  <si>
    <t>นางชนม์กานต์ ลิ้มสวัสดิ์  [เลขที่2/95,96]</t>
  </si>
  <si>
    <t>อาคารพาณิชย์แปลง 5 คูหาที่  10-11</t>
  </si>
  <si>
    <t>นางสาวปริมล ไพสำราญ  [เลขที่2/97]</t>
  </si>
  <si>
    <t>อาคารพาณิชย์แปลง 7 คูหาที่  1</t>
  </si>
  <si>
    <t>นายปรีชา แกล้วทนงค์  [เลขที่2/98]</t>
  </si>
  <si>
    <t>อาคารพาณิชย์แปลง 7 คูหาที่  2</t>
  </si>
  <si>
    <t>นางสาววรรณษา  อรุณฉาย   [เลขที่2/99]</t>
  </si>
  <si>
    <t>อาคารพาณิชย์แปลง 7 คูหาที่  3</t>
  </si>
  <si>
    <t>นายอนันต์ ทับสุวรรณ  [เลขที่2/100,101]</t>
  </si>
  <si>
    <t>อาคารพาณิชย์แปลง 7 คูหาที่  4-5</t>
  </si>
  <si>
    <t>นางสาวสุลาวัลย์ แซ่ตั้ง  [เลขที่2/102,103,104,105]</t>
  </si>
  <si>
    <t>อาคารพาณิชย์แปลง 7 คูหาที่  6-9</t>
  </si>
  <si>
    <t>นายจรุง บัตรพรรธนะ  [เลขที่2/106,107]</t>
  </si>
  <si>
    <t>อาคารพาณิชย์แปลง 6 คูหาที่  1-2</t>
  </si>
  <si>
    <t>527/52682</t>
  </si>
  <si>
    <t>นางกันยา พงษ์เพ็ชรวิเศษ  [เลขที่2/108]</t>
  </si>
  <si>
    <t>อาคารพาณิชย์แปลง 6 คูหาที่  3</t>
  </si>
  <si>
    <t>นางชนม์กานต์ ลิ้มสวัสดิ์  [เลขที่2/109,110]</t>
  </si>
  <si>
    <t>อาคารพาณิชย์แปลง 6 คูหาที่  4-5</t>
  </si>
  <si>
    <t>นายประจิต อึ้งรังษี  [เลขที่2/111,112,113]</t>
  </si>
  <si>
    <t>อาคารพาณิชย์แปลง 6 คูหาที่  6-8</t>
  </si>
  <si>
    <t xml:space="preserve">528/52729 </t>
  </si>
  <si>
    <t>นางสาวปริมล ไพสำราญ  [เลขที่2/114,115]</t>
  </si>
  <si>
    <t>อาคารพาณิชย์แปลง 6 คูหาที่  9-10</t>
  </si>
  <si>
    <t>นางสมพร จตุภุช [เลขที่2/116]</t>
  </si>
  <si>
    <t>อาคารพาณิชย์แปลง 6 คูหาที่  11</t>
  </si>
  <si>
    <t>บริษัทด๊อกเตอร์โบ๊ทฯ</t>
  </si>
  <si>
    <t>ค่าเช่าพื้นที่โซน E</t>
  </si>
  <si>
    <t>บริษัทอาวังการ์ดฯ</t>
  </si>
  <si>
    <t>ค่าเช่าพื้นที่โซน L</t>
  </si>
  <si>
    <t>รวมหนี้</t>
  </si>
  <si>
    <t>หนี้ระหว่างดำเนินคดี</t>
  </si>
  <si>
    <t>หนี้ดำเนินคดี/ศาลพิพากษา</t>
  </si>
  <si>
    <t>นางดา แก้วสีเหลือง</t>
  </si>
  <si>
    <t>หน้าอาคารแปลง 6 พื้นที่ตากปลากะตัก</t>
  </si>
  <si>
    <t>ปรับยอดหนี้ตามคำสั่งศาล</t>
  </si>
  <si>
    <t>คำพิพากษาศาลจังหวัดภูเก็ต วันที่ 7/3/65 คดีหมายเลขดำที่ ม.23/2564 คดีหมายเลขแดงที่ -</t>
  </si>
  <si>
    <t>นางรจนา มุสิแก้ว</t>
  </si>
  <si>
    <t>อยู่ในระหว่างชั้นบังคับคดี</t>
  </si>
  <si>
    <t>น.ส.อาริยา ทองแก้ว (ทรัพย์เจริญทรัพย์)</t>
  </si>
  <si>
    <t>เช่าที่อื่น เช่าโรงเก็บอุปกรณ์ อย.</t>
  </si>
  <si>
    <t>อยู่ในระหว่างสรุปข้อเท็จจริงส่งฟ้องอัยการ</t>
  </si>
  <si>
    <t>บ.ไต้ผิ๋งติมบี้อินดัสทรี จก.</t>
  </si>
  <si>
    <t>อยู่ระหว่างฟ้องศาล 2,400 วา</t>
  </si>
  <si>
    <t>อยู่ระหว่างฟ้องศาล ค่าธรรมเนียมสัตว์น้ำผ่านท่า</t>
  </si>
  <si>
    <t>เรือโชคฐิติยา</t>
  </si>
  <si>
    <t>ธ.ค.62-ก.พ.63</t>
  </si>
  <si>
    <t>3.8 ปี</t>
  </si>
  <si>
    <t>รวมหนี้ดำเนินคดี</t>
  </si>
  <si>
    <t>หนี้บอกเลิกสัญญา</t>
  </si>
  <si>
    <t xml:space="preserve">นายประเสริฐ เตรณานนท์ </t>
  </si>
  <si>
    <t>ค่าเช่าอาคารแปลง 5 คูหา 7-8</t>
  </si>
  <si>
    <t>นายประเสริฐ เตรณานนท์ (สัญญาเริ่ม 1 ม.ค.67-31 ธ.ค.69)</t>
  </si>
  <si>
    <t>ค่าต่ออายุสัญญา</t>
  </si>
  <si>
    <t>นางสาวอมร แก้วสีเหลือง (สัญญาเริ่ม 1 ก.ย.66-1 ส.ค.69)</t>
  </si>
  <si>
    <t xml:space="preserve">ค่าเช่าพื้นที่โซน Q </t>
  </si>
  <si>
    <t>รวมหนี้บอกเลิกสัญญา</t>
  </si>
  <si>
    <t>ค่าเสียหายจากการใช้ประโยชน์</t>
  </si>
  <si>
    <t>ธ.ค.67-ส.ค.68</t>
  </si>
  <si>
    <t>9</t>
  </si>
  <si>
    <t>ธ.ค.67-ก.ย.68</t>
  </si>
  <si>
    <t>10</t>
  </si>
  <si>
    <t>เม.ย.-ส.ค.68</t>
  </si>
  <si>
    <t>5</t>
  </si>
  <si>
    <t>527/52699 ส.ค.68 (บางส่วน)</t>
  </si>
  <si>
    <t>เม.ย.-ก.ย.68</t>
  </si>
  <si>
    <t>6</t>
  </si>
  <si>
    <t>ตามบันทึก สนง.กฎหมาย ที่ กษ.1704.2/855 ลว.14 สิงหาคม 2568 เรื่อง ขออนุมัติริบหลักประกันสัญญา น.ส.อมร แก้วสีเหลือง จำนวน 45,200.00 บาท</t>
  </si>
  <si>
    <t>รวมค่าเสียหาย</t>
  </si>
  <si>
    <t>หนี้ค้างชำระทั้งหมด</t>
  </si>
  <si>
    <t>หมายหตุ :  ตัดหนี้ค้างชำระบริษัทพรานอันดามันทราเวลจำกัด ตามสัญยาประณีประนอมยอมความคดีหมายเลขดำที่ พ334/2566 คดีหมายเลขแดงที่ พ808/2566 ของลูกหนี้รายบริษัทพรานอันดามันทราเวลจำกัด เป็นเงินทั้งสิ้ 1,243,555.28  บาท</t>
  </si>
  <si>
    <t xml:space="preserve">               - ตามใบเสร็จรับเงินเล่มที่ 513 เลขที่ 51227 "ชำระหนี้ตามสัญญาประณีประนอมยอมความคดีหมายเลขดำที่ พ334/2566 คดีหมายเลขแดงที่ พ808/2566 ของลูกหนี้รายบริษัทพรานอันดามันทราเวลจำกัด เป็นเงินทั้งสิ้ 1,239,588.28  บาท</t>
  </si>
  <si>
    <t xml:space="preserve">               - ตามใบเสร็จับเงินเล่มที่ 513 เลขที่  51226 "รับชำระหนี้ค่าภาษีที่ดินและสิ่งปลูกสร้าง ประจำปี 2566 จำนวน 3,967.00 บาท</t>
  </si>
  <si>
    <t>ณ วันที่ 31 ตุลาคม 2568</t>
  </si>
  <si>
    <t>590/29469 ต.ค.68</t>
  </si>
  <si>
    <t>590/29465 ต.ค.68</t>
  </si>
  <si>
    <t>589/29414 ก.ย.68</t>
  </si>
  <si>
    <t>589/29402 ต.ค.68</t>
  </si>
  <si>
    <t>590/29452 ต.ค.68</t>
  </si>
  <si>
    <t>589/29419 ก.ย.68</t>
  </si>
  <si>
    <t xml:space="preserve"> 2 ต.ค.68</t>
  </si>
  <si>
    <t>589/29407 ก.ย.68</t>
  </si>
  <si>
    <t>14,29 ต.ค.68</t>
  </si>
  <si>
    <t>589,90/29421,59 ก.ย.-ต.ค.68</t>
  </si>
  <si>
    <t>589/29415 ต.ค.68</t>
  </si>
  <si>
    <t>ก.ย.-ต.ค.68</t>
  </si>
  <si>
    <t>1,15 ต.ค.68</t>
  </si>
  <si>
    <t>589/29404,28 ก.ย.-ต.ค.68</t>
  </si>
  <si>
    <t>589/29435 ต.ค.68</t>
  </si>
  <si>
    <t>589/29433 ต.ค.68</t>
  </si>
  <si>
    <t>6,15 ต.ค.68</t>
  </si>
  <si>
    <t>589/29412,30 ก.ย.-ต.ค.68</t>
  </si>
  <si>
    <t>ตค.68</t>
  </si>
  <si>
    <t>590/29468 ต.ค.68</t>
  </si>
  <si>
    <t>589/29447 ต.ค.68</t>
  </si>
  <si>
    <t>589/29405,29 ก.ย.-ต.ค.68</t>
  </si>
  <si>
    <t>589/29436 ต.ค.68</t>
  </si>
  <si>
    <t>589/29423 ต.ค.68</t>
  </si>
  <si>
    <t>589/29434 ต.ค.68</t>
  </si>
  <si>
    <t>นายธรรมนูญ ทิพย์สงเคราะห์ 1</t>
  </si>
  <si>
    <t>โรงคลุม</t>
  </si>
  <si>
    <t>นายธรรมนูญ ทิพย์สงเคราะห์ 2</t>
  </si>
  <si>
    <t xml:space="preserve">นายสมชาย ชาวจีน </t>
  </si>
  <si>
    <t>590/29451 ต.ค.68</t>
  </si>
  <si>
    <t>589/29432 ก.ย.68</t>
  </si>
  <si>
    <t>590/29457 ต.ค.68</t>
  </si>
  <si>
    <t>589,90/29422,58 ก.ย.-ต.ค.68</t>
  </si>
  <si>
    <t>589/29408 ก.ย.68</t>
  </si>
  <si>
    <t>589/29406 ก.ย.68</t>
  </si>
  <si>
    <t>7,29 ต.ค.68</t>
  </si>
  <si>
    <t>589,90/29413,60 ก.ย.-ต.ค.68</t>
  </si>
  <si>
    <t xml:space="preserve"> 1 ต.ค.68</t>
  </si>
  <si>
    <t>589/29403 ส.ค.-ก.ย.68</t>
  </si>
  <si>
    <t>590/29466 ต.ค.68</t>
  </si>
  <si>
    <t>589/29448 ต.ค.68</t>
  </si>
  <si>
    <t>590/29467 ต.ค.68</t>
  </si>
  <si>
    <t>589/29426 ก.ย.68</t>
  </si>
  <si>
    <t>589/29409 ก.ย.68</t>
  </si>
  <si>
    <t>589/29411 ก.ย.68</t>
  </si>
  <si>
    <t>590/29453 ต.ค.68</t>
  </si>
  <si>
    <t>590/29470 ต.ค.68</t>
  </si>
  <si>
    <t>589/29444 ต.ค.68</t>
  </si>
  <si>
    <t>590/29462 ต.ค.68</t>
  </si>
  <si>
    <t>590/29456 ต.ค.68</t>
  </si>
  <si>
    <t>589/29425 ก.ย.68</t>
  </si>
  <si>
    <t>589/29417 ก.ย.68</t>
  </si>
  <si>
    <t>589/29439 ต.ค.68</t>
  </si>
  <si>
    <t>590/29454 ต.ค.68</t>
  </si>
  <si>
    <t>589/29437 ต.ค.68</t>
  </si>
  <si>
    <t>589/29449 ต.ค.68</t>
  </si>
  <si>
    <t>589/29427 ก.ย.68</t>
  </si>
  <si>
    <t>589/29401 ก.ย.68</t>
  </si>
  <si>
    <t>589/29438 ต.ค.68</t>
  </si>
  <si>
    <t>589/29420 ก.ย.68</t>
  </si>
  <si>
    <t>589/29418 ก.ย.68</t>
  </si>
  <si>
    <t>589/29441 ต.ค.68</t>
  </si>
  <si>
    <t>589/29410 ก.ย.68</t>
  </si>
  <si>
    <t>590/29455 ต.ค.68</t>
  </si>
  <si>
    <t>589/29440 ต.ค.68</t>
  </si>
  <si>
    <t>589/29416 ก.ย.68</t>
  </si>
  <si>
    <t>589/29431 ก.ย.68</t>
  </si>
  <si>
    <t>590/29461 ต.ค.68</t>
  </si>
  <si>
    <t>590/29463 ต.ค.68</t>
  </si>
  <si>
    <t>529/52848</t>
  </si>
  <si>
    <t>529/52820</t>
  </si>
  <si>
    <t>529/52816</t>
  </si>
  <si>
    <t>529/52829</t>
  </si>
  <si>
    <t>529/52844</t>
  </si>
  <si>
    <t>529/52805</t>
  </si>
  <si>
    <t>22,30 ต.ค.68</t>
  </si>
  <si>
    <t>529/52852,60 ส.ค.-พ.ย.68(บางส่วน)</t>
  </si>
  <si>
    <t>รับล่วงหน้า</t>
  </si>
  <si>
    <t>529/52814 ก.ย.68</t>
  </si>
  <si>
    <t>529/52845 ต.ค.68</t>
  </si>
  <si>
    <t>529/52846 ต.ค.68</t>
  </si>
  <si>
    <t>529/52843 ก.ย.68</t>
  </si>
  <si>
    <t>529/52832 ต.ค.68</t>
  </si>
  <si>
    <t>529/52824 ต.ค.68</t>
  </si>
  <si>
    <t>529/52818 ก.ย.-ต.ค.68</t>
  </si>
  <si>
    <t>529/52828 ก.ย.68</t>
  </si>
  <si>
    <t>529/52825 ต.ค.68</t>
  </si>
  <si>
    <t>529/52834 ต.ค.68</t>
  </si>
  <si>
    <t>529/52822 ต.ค.68</t>
  </si>
  <si>
    <t>529/52823 ต.ค.68</t>
  </si>
  <si>
    <t>529/52835 ต.ค.68</t>
  </si>
  <si>
    <t>529/52811 ต.ค.68</t>
  </si>
  <si>
    <t>15,29 ต.ค.68</t>
  </si>
  <si>
    <t>529/52840,57 มิ.ย.-ก.ย.68</t>
  </si>
  <si>
    <t>529/52858 ต.ค.68</t>
  </si>
  <si>
    <t>529/52802 ต.ค.68</t>
  </si>
  <si>
    <t>529/52826 ต.ค.68</t>
  </si>
  <si>
    <t>529/52859 ต.ค.68</t>
  </si>
  <si>
    <t>529/52830 ก.ย.68</t>
  </si>
  <si>
    <t>529/52812 ต.ค.68</t>
  </si>
  <si>
    <t>1,27 ต.ค.68</t>
  </si>
  <si>
    <t>529/52804,55ก.ย.-ต.ค.68</t>
  </si>
  <si>
    <t>529/52856 ธ.ค.68</t>
  </si>
  <si>
    <t>529/52807,37 ก.ย.-ต.ค.68</t>
  </si>
  <si>
    <t>529/52806,38 ก.ย.-ต.ค.68</t>
  </si>
  <si>
    <t>529/52815 ต.ค.68</t>
  </si>
  <si>
    <t>529/52841 ต.ค.68</t>
  </si>
  <si>
    <t>529/52827 ต.ค.68</t>
  </si>
  <si>
    <t>529/52854 ต.ค.68</t>
  </si>
  <si>
    <t>529/52851 ต.ค.68</t>
  </si>
  <si>
    <t>529/52833 ต.ค.68</t>
  </si>
  <si>
    <t>529/52849 ต.ค.68</t>
  </si>
  <si>
    <t>529/52801 ต.ค.68</t>
  </si>
  <si>
    <t>529/52821 ต.ค.68</t>
  </si>
  <si>
    <t>529/52813 ต.ค.68</t>
  </si>
  <si>
    <t>529/52831 ต.ค.68</t>
  </si>
  <si>
    <t>529/52803 ส.ค.-ก.ย.68</t>
  </si>
  <si>
    <t>529/52842 ก.ย.68</t>
  </si>
  <si>
    <t>529/52861 ก.ย.68</t>
  </si>
  <si>
    <t>529/52817 ต.ค.68</t>
  </si>
  <si>
    <t>20,22 ต.ค.68</t>
  </si>
  <si>
    <t>529/52847,53 ก.ค.-ส.ค.68</t>
  </si>
  <si>
    <t>14 ตค.68</t>
  </si>
  <si>
    <t>569/52834</t>
  </si>
  <si>
    <t xml:space="preserve">ค่าภาษีที่ดินและสิ่งปลูกสร้าง </t>
  </si>
  <si>
    <t>รวมรับชำระปกติ</t>
  </si>
  <si>
    <t>รวมรับชำระ + ค่าเสียหาย</t>
  </si>
  <si>
    <t>ภาษีที่ดินและสิ่งปลูกสร้าง ปี 68</t>
  </si>
  <si>
    <t>ภาษีที่ดินและสิ่งปลูกสร้าง ปี 67</t>
  </si>
  <si>
    <t>หนี้ปกติ</t>
  </si>
  <si>
    <t>หนี้ดำเนินคดี</t>
  </si>
  <si>
    <t>หนี้ค่าเสียหาย</t>
  </si>
  <si>
    <t>รวมหนี้ทั้งหมด</t>
  </si>
  <si>
    <t>2 ปี</t>
  </si>
  <si>
    <t>1 ปี</t>
  </si>
  <si>
    <t>หนี้ค้าง 2 เดือน</t>
  </si>
  <si>
    <t>หนี้ค้าง 1 เดือน</t>
  </si>
  <si>
    <t>หนี้ 7- 12 เดือน</t>
  </si>
  <si>
    <t>หนี้มากกว่า 12 เดือน ขึ้นไป</t>
  </si>
  <si>
    <t>ณ วันที่ 30 พฤศจิกายน 2568</t>
  </si>
  <si>
    <t>ปรับปรุงยกมาเนื่องจากว่าไม่ได้ลงอัตราค่าสัตว์น้ำ ประจำเดือน กันยายน 2568</t>
  </si>
  <si>
    <t>591/29530 ต.ค.-พ.ย.68</t>
  </si>
  <si>
    <t>27,29 พ.ย.68</t>
  </si>
  <si>
    <t>591/29545 ต.ค.68-พ.ย.68,592/29553 ต.ค.68</t>
  </si>
  <si>
    <t>3,26 พ.ย.68</t>
  </si>
  <si>
    <t>590/29481,591/29543 ต.ค.-พ.ย.68</t>
  </si>
  <si>
    <t>590/29487 ต.ค.68</t>
  </si>
  <si>
    <t>590/29485 พ.ย.68</t>
  </si>
  <si>
    <t>592/29557 พ.ย.68</t>
  </si>
  <si>
    <t>590/29493 ต.ค.68</t>
  </si>
  <si>
    <t>590/29499 ต.ค.68</t>
  </si>
  <si>
    <t>592/29554 พ.ย.68</t>
  </si>
  <si>
    <t>590/29488 พ.ย.68</t>
  </si>
  <si>
    <t>591/29537,29540 ก.ย.68,พ.ย.68/ต.ค.68</t>
  </si>
  <si>
    <t>591/29517 พ.ย.68</t>
  </si>
  <si>
    <t>590/29482,591/29544 ต.ค.-พ.ย.68</t>
  </si>
  <si>
    <t>591/29521 พ.ย.68</t>
  </si>
  <si>
    <t>591/29528 พ.ย.68</t>
  </si>
  <si>
    <t>591/29523 พ.ย.68</t>
  </si>
  <si>
    <t>591/29547 พ.ย.68</t>
  </si>
  <si>
    <t>590/29497 พ.ย.68</t>
  </si>
  <si>
    <t>591/29518 พ.ย.68</t>
  </si>
  <si>
    <t>591/29520 พ.ย.68</t>
  </si>
  <si>
    <t>590/29492 พ.ย.68</t>
  </si>
  <si>
    <t>นางสาวกัณฐ์ลดา ขวดแก้ว</t>
  </si>
  <si>
    <t>592/29558 พ.ย.68</t>
  </si>
  <si>
    <t>591/29506 ต.ค.68</t>
  </si>
  <si>
    <t>592/29555 พ.ย.68</t>
  </si>
  <si>
    <t>590/29500 ต.ค.68</t>
  </si>
  <si>
    <t>590/29478 ต.ค.68</t>
  </si>
  <si>
    <t>590/29484,591/29541 ต.ค.-พ.ย.68</t>
  </si>
  <si>
    <t>590/29477 ต.ค.68</t>
  </si>
  <si>
    <t>3,29 พ.ย.68</t>
  </si>
  <si>
    <t>590/29476 ต.ค.68 592/29556 พ.ย.68</t>
  </si>
  <si>
    <t>591/29519 พ.ย.68</t>
  </si>
  <si>
    <t>ต.ค.-พ.ย.68</t>
  </si>
  <si>
    <t>3,18 พ.ย.68</t>
  </si>
  <si>
    <t>590/29480 ก.ย.68 (บางส่วน) 591/29503 ต.ค.68 (บางส่วน)</t>
  </si>
  <si>
    <t>ต.ค.(บางส่วน)-พ.ย.68</t>
  </si>
  <si>
    <t>590/29472 ต.ค.68</t>
  </si>
  <si>
    <t>590/29489 ต.ค.68</t>
  </si>
  <si>
    <t>591/29538,29539 ก.ย.,พ.ย./ต..ค.68</t>
  </si>
  <si>
    <t>591/29532 พ.ย.68</t>
  </si>
  <si>
    <t>591/29527 พ.ย.68</t>
  </si>
  <si>
    <t>591/29509 พ.ย.68</t>
  </si>
  <si>
    <t>591/29533 พ.ย.68</t>
  </si>
  <si>
    <t>591/29546 พ.ย68</t>
  </si>
  <si>
    <t>590/29498 ต.ค.68</t>
  </si>
  <si>
    <t>590/29486 ต.ค.68</t>
  </si>
  <si>
    <t>591/29514 พ.ย.68</t>
  </si>
  <si>
    <t>591/29504 ต.ค.68</t>
  </si>
  <si>
    <t>592/29551 พ.ย.68</t>
  </si>
  <si>
    <t>24,26 พ.ย.68</t>
  </si>
  <si>
    <t>591/29531 พ.ย.68 591/29536 ต.ค.68</t>
  </si>
  <si>
    <t>591/29512 พ.ย.68</t>
  </si>
  <si>
    <t>591/29513 พ.ย.68</t>
  </si>
  <si>
    <t>590/29502 ต.ค.68</t>
  </si>
  <si>
    <t>590/29473 ต.ค.68</t>
  </si>
  <si>
    <t>591/29525 พ.ย.68</t>
  </si>
  <si>
    <t>590/29494 ต.ค.68</t>
  </si>
  <si>
    <t>590/29495 ต.ค.68</t>
  </si>
  <si>
    <t>591/29548 ต.ค.68</t>
  </si>
  <si>
    <t>591/29515 พ.ย.68</t>
  </si>
  <si>
    <t>590/29491 ต.ค.68</t>
  </si>
  <si>
    <t>591/29526 พ.ย.68</t>
  </si>
  <si>
    <t>591/29516 พ.ย.68</t>
  </si>
  <si>
    <t>590/29479 ต.ค.68</t>
  </si>
  <si>
    <t>591/29535 พ.ย.68</t>
  </si>
  <si>
    <t>591/29524 พ.ย.68</t>
  </si>
  <si>
    <t>590/29483,591/29542 ต.ค.-พ.ย.68</t>
  </si>
  <si>
    <t>ปรับปรุงเนื่องจากไม่ได้ลงหนี้ค้าง เดือน พย.68</t>
  </si>
  <si>
    <t>530/52922 พ.ย.68</t>
  </si>
  <si>
    <t>530/52923 พ.ย.68</t>
  </si>
  <si>
    <t>529/52886 พ.ย.68</t>
  </si>
  <si>
    <t>529/52875 พ.ย.68</t>
  </si>
  <si>
    <t>529/52885 ต.ค.68</t>
  </si>
  <si>
    <t>4,24 พ.ย.68</t>
  </si>
  <si>
    <t>529/52872 ต.ค.68 530/52915 พ.ย.68</t>
  </si>
  <si>
    <t>529/52874 พ.ย.68</t>
  </si>
  <si>
    <t>530/52901 พ.ย.68</t>
  </si>
  <si>
    <t>529/52880 พ.ย.68</t>
  </si>
  <si>
    <t>529/52870 พ.ย.68</t>
  </si>
  <si>
    <t>529/52882 พ.ย.68</t>
  </si>
  <si>
    <t>529/52869 พ.ย.68</t>
  </si>
  <si>
    <t>529/52876 พ.ย.68</t>
  </si>
  <si>
    <t>530/52914 พ.ย.68</t>
  </si>
  <si>
    <t>530/52903 ต.ค.68</t>
  </si>
  <si>
    <t>3,17 พ.ย.68</t>
  </si>
  <si>
    <t>529/52864,52900 ต.ค.68-พ.ย.68</t>
  </si>
  <si>
    <t>10,27 พ.ย.68</t>
  </si>
  <si>
    <t>529/52884 ต.ค.68</t>
  </si>
  <si>
    <t>529/52871 พ.ย.68</t>
  </si>
  <si>
    <t>530/52912 พ.ย.68</t>
  </si>
  <si>
    <t>530/52929 ม.ค.68</t>
  </si>
  <si>
    <t>530/52910 พ.ย.68</t>
  </si>
  <si>
    <t>530/52911 พ.ย.68</t>
  </si>
  <si>
    <t>529/52879 พ.ย.68</t>
  </si>
  <si>
    <t>529/52881 พ.ย.68</t>
  </si>
  <si>
    <t>530/52931 พ.ย.68</t>
  </si>
  <si>
    <t>529/52868,530/52921 ต.ค.-พ.ย.68</t>
  </si>
  <si>
    <t>530/52908 พ.ย.68</t>
  </si>
  <si>
    <t>529/52883 พ.ย.68</t>
  </si>
  <si>
    <t>529/52863 ต.ค.68</t>
  </si>
  <si>
    <t>530/52905 ต.ค.68</t>
  </si>
  <si>
    <t>530/52932 ต.ค.68</t>
  </si>
  <si>
    <t>529/52877 พ.ย.68</t>
  </si>
  <si>
    <t>ก.ย.-พ.ย.68</t>
  </si>
  <si>
    <t>529/52873 ต.ค.68 530/52916 พ.ย.68</t>
  </si>
  <si>
    <t>529/52887 พ.ย.68</t>
  </si>
  <si>
    <t>529/52906 พ.ย.68</t>
  </si>
  <si>
    <t>529/52862 พ.ย.68</t>
  </si>
  <si>
    <t>529/52878 พ.ย.68</t>
  </si>
  <si>
    <t>529/52865 ต.ค.68</t>
  </si>
  <si>
    <t>ปี 2567</t>
  </si>
  <si>
    <t>ปี 2568</t>
  </si>
  <si>
    <t>591/29508 พ.ย.68</t>
  </si>
  <si>
    <t>หนี้ปกติ+คดี+บอกเลิก+ค่าเสียหาย</t>
  </si>
  <si>
    <t>หนี้ปกติ+คดี+บอกเลิก</t>
  </si>
  <si>
    <t>หนี้ 1 เดือน</t>
  </si>
  <si>
    <t>หนี้ 2 เดือน</t>
  </si>
  <si>
    <t>หนี้ 3 - 6 เดือน</t>
  </si>
  <si>
    <t>12</t>
  </si>
  <si>
    <t>ธ.ค.67-พ.ย.68</t>
  </si>
  <si>
    <t>ณ วันที่ 31 ธันวาคม 2568</t>
  </si>
  <si>
    <t>พย.68</t>
  </si>
  <si>
    <t>ธ.ค.67-ธค.68</t>
  </si>
  <si>
    <t>13</t>
  </si>
  <si>
    <t>593/29612 ธ.ค.68</t>
  </si>
  <si>
    <t>593/29640 ธ.ค.68</t>
  </si>
  <si>
    <t>593/29615 ธ.ค.68</t>
  </si>
  <si>
    <t>592/29571 พ.ย.68</t>
  </si>
  <si>
    <t>592/29559 ธ.ค.68</t>
  </si>
  <si>
    <t>593/29622 ธ.ค.68</t>
  </si>
  <si>
    <t>592/29583 พ.ย.68</t>
  </si>
  <si>
    <t>1,29 ธ.ค.68</t>
  </si>
  <si>
    <t>592/29561 พ.ย.68 593/29641 ธ.ค.68</t>
  </si>
  <si>
    <t>593/29645 ธ.ค.68</t>
  </si>
  <si>
    <t>592/29572 ธ.ค.68</t>
  </si>
  <si>
    <t>593/29638 ธ.ค.68</t>
  </si>
  <si>
    <t>592/29590 ธ.ค.68</t>
  </si>
  <si>
    <t>593/29616 ธ.ค.68</t>
  </si>
  <si>
    <t>593/29624 ธ.ค.68</t>
  </si>
  <si>
    <t>592/29596 ธ.ค.68</t>
  </si>
  <si>
    <t>592/29593 ธ.ค.68</t>
  </si>
  <si>
    <t>593/29620 ธ.ค.68</t>
  </si>
  <si>
    <t>592/29581 ธ.ค.68</t>
  </si>
  <si>
    <t>592/29592 ธ.ค.68</t>
  </si>
  <si>
    <t>593/29625 ธ.ค.68</t>
  </si>
  <si>
    <t>592/29585 ธ.ค.68</t>
  </si>
  <si>
    <t>593/29614 ธ.ค.68</t>
  </si>
  <si>
    <t>592/29595 ธ.ค.68</t>
  </si>
  <si>
    <t>ปป.เพิ่มเติม พ.ย.68 ยกมา</t>
  </si>
  <si>
    <t>593/29623 ธ.ค.68</t>
  </si>
  <si>
    <t>24,26 ธ.ค.68</t>
  </si>
  <si>
    <t>593/29619,29627 ธ.ค.68,พ.ย.68</t>
  </si>
  <si>
    <t>2,29 ธ.ค.68</t>
  </si>
  <si>
    <t>592/29567 พ.ย.68 593/29634 ธ.ค.68</t>
  </si>
  <si>
    <t>593/29637 ธ.ค.68</t>
  </si>
  <si>
    <t>592/29562 พ.ย.68 593/29642 ธ.ค.68</t>
  </si>
  <si>
    <t>592/29577 พ.ย.68</t>
  </si>
  <si>
    <t>1,25 ธ.ค.68</t>
  </si>
  <si>
    <t>590/29560 พ.ย.68 593/29621 ธ.ค.68</t>
  </si>
  <si>
    <t>593/29613 ธ.ค.68</t>
  </si>
  <si>
    <t>593/29643 ธ.ค.68</t>
  </si>
  <si>
    <t>592/29568 พ.ย.68</t>
  </si>
  <si>
    <t>8,26 ธ.ค.68</t>
  </si>
  <si>
    <t>592/29573 พ.ย.68 593/29631 ธ.ค.68</t>
  </si>
  <si>
    <t>15,22 ธ.ค.68</t>
  </si>
  <si>
    <t>592/29588 ต.ค.68 592/29598 พ.ย.68</t>
  </si>
  <si>
    <t>592/29588 ต.ค.68(บางส่วน) 593/29605 พ.ย.68(บางส่วน) 593/29605 พ.ย.68(บางส่วน)</t>
  </si>
  <si>
    <t>592/29569 พ.ย.68</t>
  </si>
  <si>
    <t>592/29579 พ.ย.68</t>
  </si>
  <si>
    <t>593/29639 ธ.ค.68</t>
  </si>
  <si>
    <t>593/29618 ธ.ค.68</t>
  </si>
  <si>
    <t>593/29610 ธ.ค.68</t>
  </si>
  <si>
    <t>593/29608 ธ.ค.68</t>
  </si>
  <si>
    <t>593/29633 ธ.ค.68</t>
  </si>
  <si>
    <t>593/29635 พ.ย.68</t>
  </si>
  <si>
    <t>592/29587 พ.ย.68</t>
  </si>
  <si>
    <t>ก.ค.-ส.ค.,ธ.ค.68</t>
  </si>
  <si>
    <t>593/29604 ธ.ค.68</t>
  </si>
  <si>
    <t>593/29607 ธ.ค.68</t>
  </si>
  <si>
    <t>592/29575 พ.ย.68</t>
  </si>
  <si>
    <t>593/29617 ธ.ค.68</t>
  </si>
  <si>
    <t>593/29626 ธ.ค.68</t>
  </si>
  <si>
    <t>592/29598 ธ.ค.68</t>
  </si>
  <si>
    <t>592/29594 พ.ย.68</t>
  </si>
  <si>
    <t>592/29564 พ.ย.68</t>
  </si>
  <si>
    <t>593/29603 ธ.ค.68</t>
  </si>
  <si>
    <t>592/29582 พ.ย.68</t>
  </si>
  <si>
    <t>592/29584 พ.ย.68</t>
  </si>
  <si>
    <t>พ.ย.-ธ.ค.68</t>
  </si>
  <si>
    <t>593/29602 ธ.ค.68</t>
  </si>
  <si>
    <t>592/29600 ธ.ค.68</t>
  </si>
  <si>
    <t>592/29589 พ.ย.68</t>
  </si>
  <si>
    <t>593/29628 ธ.ค.68</t>
  </si>
  <si>
    <t>593/29601 ธ.ค.68</t>
  </si>
  <si>
    <t>11,29 ธ.ค.68</t>
  </si>
  <si>
    <t>592/29586 ต.ค.-พ.ย.68 593/29644 ธ.ค.68</t>
  </si>
  <si>
    <t>592/29578 พ.ย.68</t>
  </si>
  <si>
    <t>1,24 ธ.ค.68</t>
  </si>
  <si>
    <t>592/29563 พ.ย.68 593/29611 ธ.ค.68</t>
  </si>
  <si>
    <t>593/29609 ธ.ค.68</t>
  </si>
  <si>
    <t>530/52978 ธ.ค.68</t>
  </si>
  <si>
    <t>530/52979 ธ.ค.68</t>
  </si>
  <si>
    <t>4,29 ธ.ค.68</t>
  </si>
  <si>
    <t>530/52948 ต.ค.-พ.ย.68 530/52981 ธ.ค.68</t>
  </si>
  <si>
    <t>530/52956 ธ.ค.68</t>
  </si>
  <si>
    <t>530/52943 ธ.ค.68</t>
  </si>
  <si>
    <t>530/52968 พ.ย.-ธ.ค.68</t>
  </si>
  <si>
    <t>530/52938 พ.ย.68</t>
  </si>
  <si>
    <t>530/52969 ธ.ค.68</t>
  </si>
  <si>
    <t>530/52942 ธ.ค.68</t>
  </si>
  <si>
    <t>530/52960 ธ.ค.68</t>
  </si>
  <si>
    <t>530/52952 ธ.ค.68</t>
  </si>
  <si>
    <t>530/52947 ธ.ค.68</t>
  </si>
  <si>
    <t>530/52955 ธ.ค.68</t>
  </si>
  <si>
    <t>530/52940 ธ.ค.68</t>
  </si>
  <si>
    <t>ต.ค.-ธ.ค.68</t>
  </si>
  <si>
    <t>530/52937 พ.ย.68</t>
  </si>
  <si>
    <t>530/52933 ธ.ค.68</t>
  </si>
  <si>
    <t>530/52944 ธ.ค.68</t>
  </si>
  <si>
    <t>530/52976 ธ.ค.68</t>
  </si>
  <si>
    <t>530/52961 พ.ย.68</t>
  </si>
  <si>
    <t>530/52967 ธ.ค.68</t>
  </si>
  <si>
    <t>530/52959 ธ.ค.68</t>
  </si>
  <si>
    <t>530/52954 ธ.ค.68</t>
  </si>
  <si>
    <t>530/52980 ก.พ.68</t>
  </si>
  <si>
    <t>530/52964 ธ.ค.68</t>
  </si>
  <si>
    <t>530/52963 ธ.ค.68</t>
  </si>
  <si>
    <t>530/52936 ธ.ค.68</t>
  </si>
  <si>
    <t>530/52965 ธ.ค.68</t>
  </si>
  <si>
    <t>530/52950 ธ.ค.68</t>
  </si>
  <si>
    <t>530/52974 ธ.ค.68</t>
  </si>
  <si>
    <t>530/52972 ธ.ค.68</t>
  </si>
  <si>
    <t>530/52975 ธ.ค.68</t>
  </si>
  <si>
    <t>530/52970 ธ.ค.68</t>
  </si>
  <si>
    <t>530/52957 ธ.ค.68</t>
  </si>
  <si>
    <t>530/52966 ธ.ค.68</t>
  </si>
  <si>
    <t>530/52934 ธ.ค.68</t>
  </si>
  <si>
    <t>530/52951 ธ.ค.68</t>
  </si>
  <si>
    <t>530/52946 ธ.ค.68</t>
  </si>
  <si>
    <t>530/52953 ธ.ค.68</t>
  </si>
  <si>
    <t>530/52982 ธ.ค.68</t>
  </si>
  <si>
    <t>530/52973 พ.ย.68</t>
  </si>
  <si>
    <t>530/52983 พ.ย.68</t>
  </si>
  <si>
    <t>530/52941 ธ.ค.68</t>
  </si>
  <si>
    <t>530/52958 ก.ย.-ต.ค.68</t>
  </si>
  <si>
    <t>530/52945 พ.ย.68</t>
  </si>
  <si>
    <t xml:space="preserve">530/52971 </t>
  </si>
  <si>
    <t>530/52962 พ.ย.68(บางส่วน) ธ.ค.68(บางส่วน)</t>
  </si>
  <si>
    <t>หนี้ปกติ+หนี้ดำเนินคดี</t>
  </si>
  <si>
    <t>หนี้ปกติ+หนี้ดำเนินคดี+บอกเลิกสัญญา</t>
  </si>
  <si>
    <t>ณ วันที่ 31 มกราคม 2569</t>
  </si>
  <si>
    <t>ธค.68</t>
  </si>
  <si>
    <t>ธ.ค.67-มค.69</t>
  </si>
  <si>
    <t>งวด</t>
  </si>
  <si>
    <t>1 ด</t>
  </si>
  <si>
    <t>594/29692 ม.ค.69</t>
  </si>
  <si>
    <t>595/29712 ม.ค.69</t>
  </si>
  <si>
    <t>594/29689 ม.ค.69</t>
  </si>
  <si>
    <t>594/29667 ธ.ค.68</t>
  </si>
  <si>
    <t>593/29648 ม.ค.69</t>
  </si>
  <si>
    <t>594/29699 ม.ค.69</t>
  </si>
  <si>
    <t>594/29668 ธ.ค.68</t>
  </si>
  <si>
    <t>595/29710 ม.ค.69</t>
  </si>
  <si>
    <t>595/29717 ม.ค.69</t>
  </si>
  <si>
    <t>594/29666 ม.ค.69</t>
  </si>
  <si>
    <t>595/2970 ม.ค.69</t>
  </si>
  <si>
    <t>595/29708 ม.ค.69</t>
  </si>
  <si>
    <t>594/29682 ม.ค.69</t>
  </si>
  <si>
    <t>594/29690 ม.ค.69</t>
  </si>
  <si>
    <t>594/29674 ม.ค.69</t>
  </si>
  <si>
    <t>594/29683 ม.ค.69</t>
  </si>
  <si>
    <t>595/29704 ม.ค.69</t>
  </si>
  <si>
    <t>594/29671 ม.ค.69</t>
  </si>
  <si>
    <t>594/29681 ม.ค.69</t>
  </si>
  <si>
    <t>มค.69</t>
  </si>
  <si>
    <t>594/29662 ม.ค.69</t>
  </si>
  <si>
    <t>594/29688 ม.ค.69</t>
  </si>
  <si>
    <t>594/29673 ม.ค.69</t>
  </si>
  <si>
    <t>ปป.เพิ่มเติม ธ.ค.68 ยกมา/594/29652 ธ.ค.68 ใบเสร็จผิด</t>
  </si>
  <si>
    <t>594/29700 ม.ค.69</t>
  </si>
  <si>
    <t>595/29723 ม.ค.69</t>
  </si>
  <si>
    <t>595/29716 ม.ค.69</t>
  </si>
  <si>
    <t>595/29711 ม.ค.69</t>
  </si>
  <si>
    <t>594/29651 ธ.ค.68</t>
  </si>
  <si>
    <t>595/29720 ม.ค.69</t>
  </si>
  <si>
    <t>594/29687 ม.ค.69</t>
  </si>
  <si>
    <t>ธ.ค.68-ม.ค.69</t>
  </si>
  <si>
    <t>593/29647 ธ.ค.68</t>
  </si>
  <si>
    <t>5,26 ม.ค.69</t>
  </si>
  <si>
    <t>593/29650 ธ.ค.68 594/29697 ม.ค.69</t>
  </si>
  <si>
    <t>594/29693 ธ.ค.68</t>
  </si>
  <si>
    <t>7,27 ม.ค.69</t>
  </si>
  <si>
    <t>594/29654 ธ.ค.68 595/29707 ม.ค.69</t>
  </si>
  <si>
    <t>594/29661 ธ.ค.68</t>
  </si>
  <si>
    <t>595/29702 ม.ค.69</t>
  </si>
  <si>
    <t>595/29706 ม.ค.69</t>
  </si>
  <si>
    <t>594/29696 ม.ค.69</t>
  </si>
  <si>
    <t>594/29652 ธ.ค.68</t>
  </si>
  <si>
    <t>594/29677 ม.ค.69</t>
  </si>
  <si>
    <t>7,31 ม.ค.69</t>
  </si>
  <si>
    <t>594/29657 ธ.ค.68 595/29724 ม.ค.69</t>
  </si>
  <si>
    <t>594/29676 ม.ค.69</t>
  </si>
  <si>
    <t>594/29684 ม.ค.69</t>
  </si>
  <si>
    <t>9,23 ม.ค.69</t>
  </si>
  <si>
    <t>594/29663 ก.ค.68 594/29665 ส.ค.68(บางส่วน) 594/29691 ส.ค.68(บางส่วน)</t>
  </si>
  <si>
    <t>594-29678</t>
  </si>
  <si>
    <t>594/29680 ม.ค.69</t>
  </si>
  <si>
    <t>8,31 ม.ค.69</t>
  </si>
  <si>
    <t>594/29660 ธ.ค.68 595/29725 ม.ค.69</t>
  </si>
  <si>
    <t>594-29685 ม.ค.69</t>
  </si>
  <si>
    <t>595/29705 ม.ค.69</t>
  </si>
  <si>
    <t>594/29694 ม.ค.69</t>
  </si>
  <si>
    <t>594/29675 ธ.ค.68</t>
  </si>
  <si>
    <t>593/29649 ธ.ค.68</t>
  </si>
  <si>
    <t>595/29715 ม.ค.69</t>
  </si>
  <si>
    <t>594/29670 ธ.ค.68</t>
  </si>
  <si>
    <t>พ.ย.68-ม.ค.69</t>
  </si>
  <si>
    <t>595/29713 พ.ย.68</t>
  </si>
  <si>
    <t>594/29672 ธ.ค.68</t>
  </si>
  <si>
    <t>594/29686 ม.ค.69</t>
  </si>
  <si>
    <t>594/29679 ม.ค.69</t>
  </si>
  <si>
    <t>595/29719 ม.ค.69</t>
  </si>
  <si>
    <t>594/29653 ธ.ค.68</t>
  </si>
  <si>
    <t>595/29701 ม.ค.69</t>
  </si>
  <si>
    <t>594/29658 ธ.ค.68 595/29709 ม.ค.69</t>
  </si>
  <si>
    <t>594/29695 ม.ค.69</t>
  </si>
  <si>
    <t>531/53014 ม.ค.69</t>
  </si>
  <si>
    <t>531/53015 ม.ค.69</t>
  </si>
  <si>
    <t>531/53030 ม.ค.69</t>
  </si>
  <si>
    <t>531/53006 ม.ค.69</t>
  </si>
  <si>
    <t>530/52999 ม.ค.69</t>
  </si>
  <si>
    <t>531/53009 ธ.ค.68</t>
  </si>
  <si>
    <t>531/53017 ม.ค.69</t>
  </si>
  <si>
    <t>530/53000 ม.ค.69</t>
  </si>
  <si>
    <t>531/53016 ม.ค.69</t>
  </si>
  <si>
    <t>531/53001 ม.ค.69</t>
  </si>
  <si>
    <t>530/52995 ม.ค.69</t>
  </si>
  <si>
    <t>531/53003 ม.ค.69</t>
  </si>
  <si>
    <t>530/52994 ม.ค.69</t>
  </si>
  <si>
    <t>5,22 ม.ค.69</t>
  </si>
  <si>
    <t>530/52984 ต.ค.68-พ.ย.68 531/53023 ธ.ค.68</t>
  </si>
  <si>
    <t>530/52987 ธ.ค.68</t>
  </si>
  <si>
    <t>530/52988 ม.ค.69</t>
  </si>
  <si>
    <t>531/53004 ม.ค.69</t>
  </si>
  <si>
    <t>531/53008 ธ.ค.68</t>
  </si>
  <si>
    <t>531/53024 ม.ค.69</t>
  </si>
  <si>
    <t>531/53027 ม.ค.69</t>
  </si>
  <si>
    <t>530/52998 ม.ค.69</t>
  </si>
  <si>
    <t>531/53028 ม.ค.69</t>
  </si>
  <si>
    <t>531/53031 มี.ค.69</t>
  </si>
  <si>
    <t>ชำระล่วงหน้า 2 เดือน</t>
  </si>
  <si>
    <t>531/53021 ม.ค.69</t>
  </si>
  <si>
    <t>531/53022 ม.ค.69</t>
  </si>
  <si>
    <t>530/52996 ม.ค.69</t>
  </si>
  <si>
    <t>531/53010 ม.ค.69</t>
  </si>
  <si>
    <t>531/53005 ม.ค.69</t>
  </si>
  <si>
    <t>531/53026 ม.ค.69</t>
  </si>
  <si>
    <t>531/53025 ม.ค.69</t>
  </si>
  <si>
    <t>531/53011 ม.ค.69</t>
  </si>
  <si>
    <t>530/52997 ม.ค.69</t>
  </si>
  <si>
    <t>531/53012 ธ.ค.68</t>
  </si>
  <si>
    <t>531/53032 ธ.ค.68</t>
  </si>
  <si>
    <t>530/52991 ม.ค.69</t>
  </si>
  <si>
    <t>531/53002 พ.ย.68-ธ.ค.68</t>
  </si>
  <si>
    <t>531/53018 ม.ค.69</t>
  </si>
  <si>
    <t>531/53007 ม.ค.69</t>
  </si>
  <si>
    <t>531/53020 ม.ค.69</t>
  </si>
  <si>
    <t>530/52989 ม.ค.69</t>
  </si>
  <si>
    <t>530/52990 ม.ค.69</t>
  </si>
  <si>
    <t>530/52992 ม.ค.69</t>
  </si>
  <si>
    <t>530/52993 ธ.ค.68</t>
  </si>
  <si>
    <t xml:space="preserve">531/53013 </t>
  </si>
  <si>
    <t xml:space="preserve">530/52985 </t>
  </si>
  <si>
    <t>530/52986</t>
  </si>
  <si>
    <t>531/53019 ธ.ค.68(บางส่วน)-ม.ค.69(บางส่วน)</t>
  </si>
  <si>
    <t>ม.ต.69(บางส่วน)</t>
  </si>
  <si>
    <t>19 มค.69</t>
  </si>
  <si>
    <t>หนี้ปกติ+หนี้ฟ้อง+หนี้บอกเลิก</t>
  </si>
  <si>
    <t>หนี้ปกติ+หนี้ฟ้อง+หนี้บอกเลิก+ค่าเสียหาย</t>
  </si>
  <si>
    <t>หนี้มากกว่า 1 ปี ขึ้นไป</t>
  </si>
  <si>
    <t>หนี้ค้าง 3-6 เดือน</t>
  </si>
  <si>
    <t>ณ  กุมภาพันธ์ 2569</t>
  </si>
  <si>
    <t>ธ.ค.67-กพ.69</t>
  </si>
  <si>
    <t>596/29790 ก.พ.69</t>
  </si>
  <si>
    <t>596/29798 ก.พ.69</t>
  </si>
  <si>
    <t>596/29794 ก.พ.69</t>
  </si>
  <si>
    <t>595/29737 ม.ค.69</t>
  </si>
  <si>
    <t>595/29729 ก.พ.69</t>
  </si>
  <si>
    <t>596/29784 ก.พ.69</t>
  </si>
  <si>
    <t>596/29753 ม.ค.69</t>
  </si>
  <si>
    <t>595/29736 ก.พ.69</t>
  </si>
  <si>
    <t>596/29791 ก.พ.69</t>
  </si>
  <si>
    <t>595/29746 ก.พ.69</t>
  </si>
  <si>
    <t>596/29795 ก.พ.69</t>
  </si>
  <si>
    <t>596/29764 ม.ค.69-ก.พ.69</t>
  </si>
  <si>
    <t>596/29751 ก.พ.69</t>
  </si>
  <si>
    <t>595/29745 ก.พ.69</t>
  </si>
  <si>
    <t>596/29796 ก.พ.69</t>
  </si>
  <si>
    <t>595/29742 ก.พ.69</t>
  </si>
  <si>
    <t>595/29747 ก.พ.69</t>
  </si>
  <si>
    <t>596/29763 ม.ค.69-ก.พ.69</t>
  </si>
  <si>
    <t>595/29744 ก.พ.69</t>
  </si>
  <si>
    <t>596/29752 ก.พ.69</t>
  </si>
  <si>
    <t>596/29785 ก.พ.69</t>
  </si>
  <si>
    <t>596/29766 ม.ค.69</t>
  </si>
  <si>
    <t>595/29726 ม.ค.69</t>
  </si>
  <si>
    <t>596/29793 ก.พ.69</t>
  </si>
  <si>
    <t>595/29748 ม.ค.69</t>
  </si>
  <si>
    <t>595/29735 ธ.ค.68 - ม.ค.69</t>
  </si>
  <si>
    <t>595/29730 ม.ค.69</t>
  </si>
  <si>
    <t>595/29731 ม.ค.69</t>
  </si>
  <si>
    <t>595/29743 ม.ค.69</t>
  </si>
  <si>
    <t>596/29792 ก.พ.69</t>
  </si>
  <si>
    <t>595/29741 ม.ค.69</t>
  </si>
  <si>
    <t>596/29788 ก.พ.69</t>
  </si>
  <si>
    <t>596/29786 ก.พ.69</t>
  </si>
  <si>
    <t>595/29738 ม.ค.69</t>
  </si>
  <si>
    <t>596/29769 ก.พ.69</t>
  </si>
  <si>
    <t>596/29771 ก.พ.69</t>
  </si>
  <si>
    <t>596/29774 ก.พ.69</t>
  </si>
  <si>
    <t>595/29728 ธ.ค.68</t>
  </si>
  <si>
    <t>ม.ค.69-ก.พ.69</t>
  </si>
  <si>
    <t>596/29789 ก.พ.69</t>
  </si>
  <si>
    <t>595/29750 ธ.ค.68-ม.ค.69</t>
  </si>
  <si>
    <t>596/29761 ก.พ.69</t>
  </si>
  <si>
    <t>596/29762 ก.พ.69</t>
  </si>
  <si>
    <t>596/29797 ก.พ.69</t>
  </si>
  <si>
    <t>596/29765 ก.พ.69</t>
  </si>
  <si>
    <t>596/29775 ก.พ.69</t>
  </si>
  <si>
    <t>596/29772 ม.ค.69</t>
  </si>
  <si>
    <t>595/29732 ม.ค.69</t>
  </si>
  <si>
    <t>596/29787 ก.พ.69</t>
  </si>
  <si>
    <t>596/29754 ม.ค.69</t>
  </si>
  <si>
    <t>20,20 ก.พ.69</t>
  </si>
  <si>
    <t>596/29755 พ.ย.68 596/29756 ธ.ค.68</t>
  </si>
  <si>
    <t>596/29760 ก.พ.69 596/29768 ม.ค.69</t>
  </si>
  <si>
    <t>25,25 ก.พ.69</t>
  </si>
  <si>
    <t>596/29773 ก.พ.69 596/29782 ม.ค.69</t>
  </si>
  <si>
    <t>ธ.ค.68-ก.พ.69</t>
  </si>
  <si>
    <t>595/29749 ม.ค.69</t>
  </si>
  <si>
    <t>596/29783 ก.พ.69</t>
  </si>
  <si>
    <t>595/29727 ม.ค.69</t>
  </si>
  <si>
    <t>596/29767 ก.พ.69</t>
  </si>
  <si>
    <t>596/29776 ก.พ.69</t>
  </si>
  <si>
    <t>531/53054 ก.พ.69</t>
  </si>
  <si>
    <t>531/53055 ก.พ.69</t>
  </si>
  <si>
    <t>531/53065 ก.พ.69</t>
  </si>
  <si>
    <t>531/53048 ก.พ.69</t>
  </si>
  <si>
    <t>531/53056 ม.ค.69</t>
  </si>
  <si>
    <t>531/53077 ก.พ.69</t>
  </si>
  <si>
    <t>531/53047 ก.พ.69</t>
  </si>
  <si>
    <t>531/53051 ก.พ.69</t>
  </si>
  <si>
    <t>531/53050 ก.พ.69</t>
  </si>
  <si>
    <t>531/53041 ก.พ.69</t>
  </si>
  <si>
    <t>531/53053 ก.พ.69</t>
  </si>
  <si>
    <t>531/53038 ก.พ.69</t>
  </si>
  <si>
    <t>531/53082 ม.ค.69</t>
  </si>
  <si>
    <t>531/53040 ม.ค.69</t>
  </si>
  <si>
    <t>531/53036 ก.พ.69</t>
  </si>
  <si>
    <t>531/53049  ก.พ.69</t>
  </si>
  <si>
    <t>531/53039 ม.ค.69</t>
  </si>
  <si>
    <t>531/53058 ม.ค.69</t>
  </si>
  <si>
    <t>531/53083 ก.พ.69</t>
  </si>
  <si>
    <t>531/53079 ก.พ.69</t>
  </si>
  <si>
    <t>5,20 ก.พ.69</t>
  </si>
  <si>
    <t>531/53043 ก.พ.69 531/53073 มี.ค.69</t>
  </si>
  <si>
    <t>ชำระล่วงหน้า 1 เดือน</t>
  </si>
  <si>
    <t>531/53071 ก.พ.69</t>
  </si>
  <si>
    <t>531/53085 เม.ย.69</t>
  </si>
  <si>
    <t>กพ.69</t>
  </si>
  <si>
    <t>531/53059 ก.พ.69</t>
  </si>
  <si>
    <t>531/53037 ก.พ.69</t>
  </si>
  <si>
    <t>531/53063 ก.พ.69</t>
  </si>
  <si>
    <t>531/3045 ก.พ.69</t>
  </si>
  <si>
    <t>531/53080 ก.พ.69</t>
  </si>
  <si>
    <t>531/53084 ก.พ.69</t>
  </si>
  <si>
    <t>531/53075 ก.พ.69</t>
  </si>
  <si>
    <t>531/53078 ก.พ.69</t>
  </si>
  <si>
    <t>531/53066 ก.พ.69</t>
  </si>
  <si>
    <t>531/53064 ก.พ.69</t>
  </si>
  <si>
    <t>531/53033 ก.พ.69</t>
  </si>
  <si>
    <t>531/53046 ก.พ.69</t>
  </si>
  <si>
    <t>531/53035 ก.พ.69</t>
  </si>
  <si>
    <t>531/53044 ก.พ.69</t>
  </si>
  <si>
    <t>531/53061 ม.ค.69-ก.พ.69</t>
  </si>
  <si>
    <t>531/53076 ม.ค.69</t>
  </si>
  <si>
    <t>531/53086 ม.ค.69</t>
  </si>
  <si>
    <t>531/53042 ก.พ.69</t>
  </si>
  <si>
    <t>531/53081 ม.ค.69 - ก.พ.69</t>
  </si>
  <si>
    <t>531/53034 ม.ค.69</t>
  </si>
  <si>
    <t>531/53052</t>
  </si>
  <si>
    <t>531/53057</t>
  </si>
  <si>
    <t>531/53062 ม.ค.69(บางส่วน)-ก.พ.69(บางส่วน)</t>
  </si>
  <si>
    <t>ก.พ.69(บางส่วน)</t>
  </si>
  <si>
    <t>17 กพ.69</t>
  </si>
  <si>
    <t>หนี้ค้าง 3 - 6 เดือน</t>
  </si>
  <si>
    <t>หนี้ค้าง มากกว่า 12 เดือนขึ้นไป</t>
  </si>
  <si>
    <t>ณ  มีนาคม 2569</t>
  </si>
  <si>
    <t>ธ.ค.67-มีค.69</t>
  </si>
  <si>
    <t>หนี้อยู่ระหว่างดำเนินคดี</t>
  </si>
  <si>
    <t>รวมหนี้อยู่ระหว่างดำเนินคดี</t>
  </si>
  <si>
    <t>25 มีค.69</t>
  </si>
  <si>
    <t>598/29853 มี.ค.69</t>
  </si>
  <si>
    <t>30 มีค.69</t>
  </si>
  <si>
    <t>598/29876 มี.ค.69</t>
  </si>
  <si>
    <t>598/29881 มี.ค.69</t>
  </si>
  <si>
    <t>10 มีค.69</t>
  </si>
  <si>
    <t>597/29819 ก.พ.69</t>
  </si>
  <si>
    <t>มีค.69</t>
  </si>
  <si>
    <t>2 มีค.69</t>
  </si>
  <si>
    <t>597/29801 มี.ค.69</t>
  </si>
  <si>
    <t>27 มีค.69</t>
  </si>
  <si>
    <t>598/29870 มี.ค.69</t>
  </si>
  <si>
    <t>12 มีค.69</t>
  </si>
  <si>
    <t>597/29824 ก.พ.69</t>
  </si>
  <si>
    <t>4 มีค.69</t>
  </si>
  <si>
    <t>597/29805 ก.พ.69</t>
  </si>
  <si>
    <t>16 มีค.69</t>
  </si>
  <si>
    <t>597/29831 ก.พ.69</t>
  </si>
  <si>
    <t>597/29818 มี.ค.69</t>
  </si>
  <si>
    <t>2,26 มีค.69</t>
  </si>
  <si>
    <t>597/29803 ก.พ.69 598/29863 มี.ค.69</t>
  </si>
  <si>
    <t>598/29874 มี.ค.69</t>
  </si>
  <si>
    <t>597/29826 มี.ค.69</t>
  </si>
  <si>
    <t>598/29882 มี.ค.69</t>
  </si>
  <si>
    <t>598/29861 มี.ค.69</t>
  </si>
  <si>
    <t>23 มีค.69</t>
  </si>
  <si>
    <t>597/29838 มี.ค.69</t>
  </si>
  <si>
    <t>597/29825 มี.ค.69</t>
  </si>
  <si>
    <t>598/29867 มี.ค.69</t>
  </si>
  <si>
    <t>17 มีค.69</t>
  </si>
  <si>
    <t>597/29833 มี.ค.69</t>
  </si>
  <si>
    <t>597/29827 มี.ค.69</t>
  </si>
  <si>
    <t>598/29859 มี.ค.69</t>
  </si>
  <si>
    <t>597/29820 มี.ค.69</t>
  </si>
  <si>
    <t>597/29837 มี.ค.69</t>
  </si>
  <si>
    <t>598/29871 มี.ค.69</t>
  </si>
  <si>
    <t>598/29879 ก.พ.69</t>
  </si>
  <si>
    <t>5,30 มีค.69</t>
  </si>
  <si>
    <t>597/29810 ก.พ.69 598/29884 มี.ค.69</t>
  </si>
  <si>
    <t>597/29832 ก.พ.69</t>
  </si>
  <si>
    <t>597/29806 ก.พ.69</t>
  </si>
  <si>
    <t>5,16 มีค.69</t>
  </si>
  <si>
    <t>597/29811 ก.พ.69 597/29829 มี.ค.69</t>
  </si>
  <si>
    <t>5,31 มีค.69</t>
  </si>
  <si>
    <t>597/29813 ก.พ.69 598/29885 มี.ค.69</t>
  </si>
  <si>
    <t>598/29880 มี.ค.69</t>
  </si>
  <si>
    <t>20 มีค.69</t>
  </si>
  <si>
    <t>597/29836 ก.พ.69</t>
  </si>
  <si>
    <t>กพ.69-มีค.69</t>
  </si>
  <si>
    <t>4,31 มีค.69</t>
  </si>
  <si>
    <t>597/29808 ก.พ.69 598/29886 มี.ค.69</t>
  </si>
  <si>
    <t>4,23 มีค.69</t>
  </si>
  <si>
    <t>597/29807 ก.พ.69 597/29844 มี.ค.69</t>
  </si>
  <si>
    <t>4,27 มีค.69</t>
  </si>
  <si>
    <t>597/29809 ก.พ.69 598/29869 มี.ค.69</t>
  </si>
  <si>
    <t>9 มีค.69</t>
  </si>
  <si>
    <t>597/29816 ก.พ.69 598/29883 มี.ค.69</t>
  </si>
  <si>
    <t>598/29875 มี.ค.69</t>
  </si>
  <si>
    <t>597/29830 ก.พ.69</t>
  </si>
  <si>
    <t>597/29804 ก.พ.69 598/29864 มี.ค.69</t>
  </si>
  <si>
    <t>598/29857 มี.ค.69</t>
  </si>
  <si>
    <t>26 มีค.69</t>
  </si>
  <si>
    <t>598/29862 มี.ค.69</t>
  </si>
  <si>
    <t>6 มีค.69</t>
  </si>
  <si>
    <t>597/29814 ก.พ.69</t>
  </si>
  <si>
    <t>598/29877 มี.ค.69</t>
  </si>
  <si>
    <t>598/29868 มี.ค.69</t>
  </si>
  <si>
    <t>598/29856 มี.ค.69</t>
  </si>
  <si>
    <t>11,23 มีค.69</t>
  </si>
  <si>
    <t>597/29821 ม.ค.69-ก.พ.69 597/29848 มี.ค.69</t>
  </si>
  <si>
    <t>597/29846 มี.ค.69</t>
  </si>
  <si>
    <t>31 มีค.69</t>
  </si>
  <si>
    <t>598/29887 มี.ค.69</t>
  </si>
  <si>
    <t>597/29840 มี.ค.69</t>
  </si>
  <si>
    <t>24 มีค.69</t>
  </si>
  <si>
    <t>597/29850 มี.ค.69</t>
  </si>
  <si>
    <t>10,23 มีค.69</t>
  </si>
  <si>
    <t>597/29817 ก.พ.69 597/29845 มี.ค.69</t>
  </si>
  <si>
    <t>598/29854 มี.ค.69</t>
  </si>
  <si>
    <t xml:space="preserve"> 598/29858 มี.ค.69</t>
  </si>
  <si>
    <t>597/29849 มี.ค.69</t>
  </si>
  <si>
    <t>19 มีค.69</t>
  </si>
  <si>
    <t>597/29835 ก.พ.69</t>
  </si>
  <si>
    <t>596/29799 ก.พ.69</t>
  </si>
  <si>
    <t>598/29855 มี.ค.69</t>
  </si>
  <si>
    <t>597/29823 ก.พ.69</t>
  </si>
  <si>
    <t>597/29841 มี.ค.69</t>
  </si>
  <si>
    <t>597/29839 มี.ค.69</t>
  </si>
  <si>
    <t>13,26,26 มีค.69</t>
  </si>
  <si>
    <t>597/29828 ธ.ค.68-ม.ค.69 597/29866 มี.ค.69 598/29865 ก.พ.69</t>
  </si>
  <si>
    <t>18 มีค.69</t>
  </si>
  <si>
    <t>597/29834 ก.พ.69</t>
  </si>
  <si>
    <t>597/29852 มี.ค.69</t>
  </si>
  <si>
    <t>597/29843 ก.พ.69-มี.ค.69</t>
  </si>
  <si>
    <t>11 มีค.69</t>
  </si>
  <si>
    <t>597/29822 ก.พ.69</t>
  </si>
  <si>
    <t>596/29800 ก.พ.69</t>
  </si>
  <si>
    <t>2,30 มีค.69</t>
  </si>
  <si>
    <t>597/29802 ก.พ.69 598/29878 มี.ค.69</t>
  </si>
  <si>
    <t>597/29842 มี.ค.69</t>
  </si>
  <si>
    <t>598/29851 มี.ค.69</t>
  </si>
  <si>
    <t>597/29847 มี.ค.69</t>
  </si>
  <si>
    <t>นายสมโพช สำราญรัตน์</t>
  </si>
  <si>
    <t>ท่าทูน่า</t>
  </si>
  <si>
    <t>532/53139 มี.ค.69</t>
  </si>
  <si>
    <t>532/53140 มี.ค.69</t>
  </si>
  <si>
    <t>532/53130 ก.พ.69</t>
  </si>
  <si>
    <t>532/53118 มี.ค.69</t>
  </si>
  <si>
    <t>532/53101 มี.ค.69</t>
  </si>
  <si>
    <t>532/53115 ม.ค.69-ก.พ.69</t>
  </si>
  <si>
    <t>532/53112 ก.พ.69</t>
  </si>
  <si>
    <t>532/53135 มี.ค.69</t>
  </si>
  <si>
    <t>532/53103 มี.ค.69</t>
  </si>
  <si>
    <t>532/53141 มี.ค.69</t>
  </si>
  <si>
    <t>532/53107 มี.ค.69</t>
  </si>
  <si>
    <t>5 มีค.69</t>
  </si>
  <si>
    <t>531/53096 มี.ค.69</t>
  </si>
  <si>
    <t>13 มีค.69</t>
  </si>
  <si>
    <t>532/53122 มี.ค.69</t>
  </si>
  <si>
    <t>531/53094 มี.ค.69</t>
  </si>
  <si>
    <t>532/53128 ก.พ.69</t>
  </si>
  <si>
    <t>531/53088 ก.พ.69 532/53154 มี.ค.69</t>
  </si>
  <si>
    <t>531/53087 มี.ค.69</t>
  </si>
  <si>
    <t>532/53102 มี.ค.69</t>
  </si>
  <si>
    <t>531/53089 ก.พ.69 532/53148 มี.ค.69</t>
  </si>
  <si>
    <t>532/53116 ก.พ.69-มี.ค.69</t>
  </si>
  <si>
    <t>532/53152 มี.ค.69</t>
  </si>
  <si>
    <t>532/53113 มี.ค.69</t>
  </si>
  <si>
    <t>532/53146 มี.ค.69</t>
  </si>
  <si>
    <t>532/53155 พ.ค.69</t>
  </si>
  <si>
    <t>532/53120 มี.ค.69</t>
  </si>
  <si>
    <t>532/53121 มี.ค.69</t>
  </si>
  <si>
    <t>531/53090 ก.พ.69</t>
  </si>
  <si>
    <t>532/53133 มี.ค.69</t>
  </si>
  <si>
    <t>532/53114 มี.ค.69</t>
  </si>
  <si>
    <t>532/53149 มี.ค.69</t>
  </si>
  <si>
    <t>532/53151 มี.ค.69</t>
  </si>
  <si>
    <t>532/53144 มี.ค.69</t>
  </si>
  <si>
    <t>531/53099 มี.ค.69</t>
  </si>
  <si>
    <t>532/53137 ก.พ.69</t>
  </si>
  <si>
    <t>532/53150 ก.พ.69</t>
  </si>
  <si>
    <t>532/53157 ก.พ.69</t>
  </si>
  <si>
    <t>531/53092 มี.ค.69</t>
  </si>
  <si>
    <t>532/53129 มี.ค.69</t>
  </si>
  <si>
    <t>532/53134 มี.ค.69</t>
  </si>
  <si>
    <t>532/53119 มี.ค.69</t>
  </si>
  <si>
    <t>532/53138 มี.ค.69</t>
  </si>
  <si>
    <t>531/53093 มี.ค.69</t>
  </si>
  <si>
    <t>531/53100 มี.ค.69</t>
  </si>
  <si>
    <t>531/53091 มี.ค.69</t>
  </si>
  <si>
    <t>531/53095 ก.พ.69 532/53126 มี.ค.69</t>
  </si>
  <si>
    <t>ปี 2569</t>
  </si>
  <si>
    <t xml:space="preserve">อาคารพาณิชย์แปลง A คูหา 1 - 37 </t>
  </si>
  <si>
    <t xml:space="preserve">นายจงรักษ์ นฤขัตพิชัย </t>
  </si>
  <si>
    <t>คูหา 1-3</t>
  </si>
  <si>
    <t>532/53131</t>
  </si>
  <si>
    <t>คูหา 4</t>
  </si>
  <si>
    <t xml:space="preserve">532/53132 </t>
  </si>
  <si>
    <t>คูหา 5</t>
  </si>
  <si>
    <t xml:space="preserve">532/53156 </t>
  </si>
  <si>
    <t>นางสาวนฤมนต์ ตัมพานุวัตร</t>
  </si>
  <si>
    <t>คูหา 6-7</t>
  </si>
  <si>
    <t>คูหา 8-14</t>
  </si>
  <si>
    <t>532/53109</t>
  </si>
  <si>
    <t>คูหา 15-17</t>
  </si>
  <si>
    <t>532/53105</t>
  </si>
  <si>
    <t>คูหา 18-21</t>
  </si>
  <si>
    <t xml:space="preserve">นางอรวรรณ รัตนศิธร </t>
  </si>
  <si>
    <t>คูหา 22-23</t>
  </si>
  <si>
    <t>นางสาวพรทิพย์ เบญจวรางกูร</t>
  </si>
  <si>
    <t>คูหา 24-25</t>
  </si>
  <si>
    <t>คูหา 26-28</t>
  </si>
  <si>
    <t>532/53136</t>
  </si>
  <si>
    <t>คูหา 29-30</t>
  </si>
  <si>
    <t>532/53104</t>
  </si>
  <si>
    <t>คูหา 31</t>
  </si>
  <si>
    <t>ส.โชคสิริ24</t>
  </si>
  <si>
    <t xml:space="preserve"> </t>
  </si>
  <si>
    <t>คูหา 32-33</t>
  </si>
  <si>
    <t>532/53127</t>
  </si>
  <si>
    <t>คูหา 34-35</t>
  </si>
  <si>
    <t>คูหา 36-37</t>
  </si>
  <si>
    <t>532/53108</t>
  </si>
  <si>
    <t>อาคารพาณิชย์แปลง 4 คูหา 1 - 9</t>
  </si>
  <si>
    <t>คูหา 4-6</t>
  </si>
  <si>
    <t>คูหา 7-8</t>
  </si>
  <si>
    <t>532/53123</t>
  </si>
  <si>
    <t>คูหา 8-9</t>
  </si>
  <si>
    <t>อาคารพาณิชย์แปลง 5 คูหา 1 - 11</t>
  </si>
  <si>
    <t>คูหา 1-2</t>
  </si>
  <si>
    <t>นางดวงจันทร์ คงสมเพชร</t>
  </si>
  <si>
    <t>คูหา 3-4</t>
  </si>
  <si>
    <t xml:space="preserve">532/53153 </t>
  </si>
  <si>
    <t xml:space="preserve">นายสุรินทร์ พรายมี </t>
  </si>
  <si>
    <t>คูหา 5-6</t>
  </si>
  <si>
    <t>นายประเสริฐ เตรณานนท์</t>
  </si>
  <si>
    <t>คูหา 9</t>
  </si>
  <si>
    <t>532/53106</t>
  </si>
  <si>
    <t>คูหา 10-11</t>
  </si>
  <si>
    <t>531/53098 ปี69</t>
  </si>
  <si>
    <t>อาคารพาณิชย์แปลง 6 คูหา 1 - 11</t>
  </si>
  <si>
    <t>532/53117</t>
  </si>
  <si>
    <t>คูหา 3</t>
  </si>
  <si>
    <t>คูหา 4-5</t>
  </si>
  <si>
    <t>คูหา 6-8</t>
  </si>
  <si>
    <t>คูหา 10</t>
  </si>
  <si>
    <t>คูหา 11</t>
  </si>
  <si>
    <t>อาคารพาณิชย์แปลง 7 คูหา 1 - 9</t>
  </si>
  <si>
    <t>คูหา 1</t>
  </si>
  <si>
    <t>คูหา 2</t>
  </si>
  <si>
    <t>532/53147 มี.ค.69</t>
  </si>
  <si>
    <t xml:space="preserve">531/53097 ก.พ.69(บางส่วน) มี.ค.69(บางส่วน) 532/53124 มี.ค.69(บางส่วน) </t>
  </si>
  <si>
    <t xml:space="preserve">นางดา แก้วสีเหลือง </t>
  </si>
  <si>
    <t>คำพิพากษาศาลจังหวัดภูเก็ต วันที่ 
7/3/65 มายเลขดำที่ ม.23/2564</t>
  </si>
  <si>
    <t>ยอดหนี้ตามคำพิพากษา คดีหมายเลขดำ ม 23/2564 คดีหมายเลขแดง ม 11/2565 7 มึ.ค.65 ให้ชำระ 436,601.11 บาท</t>
  </si>
  <si>
    <t>ผ่อนชำระไม่ต่ำกว่า งวดละ 9,095.75 บาท จำนวน 48 งวด</t>
  </si>
  <si>
    <t>นางรจนา มุสิแก้ว ปป.ยกมา 74,600.88</t>
  </si>
  <si>
    <t>ยอดหนี้ตามคำพิพากษา คดีหมายเลขดำ ม 194/2565 คดีหมายเลขแดง ม 392/2565 8 พ.ย.65 ให้ชำระ 97,528.11 บาท</t>
  </si>
  <si>
    <t>ต้นเงิน 74,600.88 ดอกร้อยละ 5 ต่อปี นับถัดจากวันฟ้อง วันที่ 31 ส.ค.2568 คิดดอกเบี้ยถึง วันที่ 6 ม.ค.68 (ฤชา 4,000+ดบ.8,768.15-เงินอายัดหักคชจ1,927.08)</t>
  </si>
  <si>
    <t>น.ส.อาริยา ทองแก้ว (ทรัพย์เจริญทรัพย์) ปป.ยกมา 32,500</t>
  </si>
  <si>
    <t>ยอดหนี้ตามคำพิพากษา คดีหมายเลขดำ ม 124/2566 คดีหมายเลขแดง ม 159/2566 4 ก.ย.66 ให้ชำระ 39,949.17 บาท</t>
  </si>
  <si>
    <t xml:space="preserve">ต้นเงิน 32,500 ดอกร้อยละ 5 ต่อปี นับถัดจากวันฟ้อง วันที่ 26 ก.ค.66 </t>
  </si>
  <si>
    <t>บ.ไต้ผิ่งติมบี้อินดัสทรี จก. ปป.ยกมา 796,450.4</t>
  </si>
  <si>
    <t>ยอดหนี้ตามคำพิพากษา ศาลอุทธรณ์ วันที่ 7 ม.ค.57 คดีหมายเลขดำ ม 454/2566 คดีหมายเลขแดง ม 25/2557</t>
  </si>
  <si>
    <t>บ.ไต้ผิ่งติมบี้อินดัสทรี จก.</t>
  </si>
  <si>
    <t>หนี้ 7-12 เดือน</t>
  </si>
  <si>
    <t>ณ  เมษายน 2569</t>
  </si>
  <si>
    <t>ธ.ค.67-เมย.69</t>
  </si>
  <si>
    <t>29 เม.ย.69</t>
  </si>
  <si>
    <t>869/43401 เม.ย.69</t>
  </si>
  <si>
    <t>30 เม.ย.69</t>
  </si>
  <si>
    <t>869/43402 เม.ย.69</t>
  </si>
  <si>
    <t>28 เม.ย.69</t>
  </si>
  <si>
    <t>599/29938 เม.ย.69</t>
  </si>
  <si>
    <t>7 เม.ย.69</t>
  </si>
  <si>
    <t>598/29895 มี.ค.69</t>
  </si>
  <si>
    <t>2 เม.ย.69</t>
  </si>
  <si>
    <t>598/29889 เม.ย.69</t>
  </si>
  <si>
    <t>27 เม.ย.69</t>
  </si>
  <si>
    <t>599/29934 เม.ย.69</t>
  </si>
  <si>
    <t>20 เม.ย.69</t>
  </si>
  <si>
    <t>599/29908 มี.ค.69</t>
  </si>
  <si>
    <t>เม.ย.69</t>
  </si>
  <si>
    <t>598/29891 มี.ค.69</t>
  </si>
  <si>
    <t>598/29893 มี.ค.69</t>
  </si>
  <si>
    <t>598/29896 เม.ย.69</t>
  </si>
  <si>
    <t>599/29931 เม.ย.69</t>
  </si>
  <si>
    <t>599/29929 เม.ย.69</t>
  </si>
  <si>
    <t>10 เม.ย.69</t>
  </si>
  <si>
    <t>599/29903 เม.ย.69</t>
  </si>
  <si>
    <t>599/29946 เม.ย.69</t>
  </si>
  <si>
    <t>599/29942 เม.ย.69</t>
  </si>
  <si>
    <t>599/29910 เม.ย.69</t>
  </si>
  <si>
    <t>599/29901 เม.ย.69</t>
  </si>
  <si>
    <t>599/29944 เม.ย.69</t>
  </si>
  <si>
    <t>599/29906 เม.ย.69</t>
  </si>
  <si>
    <t>599/29902 เม.ย.69</t>
  </si>
  <si>
    <t>599/29943 เม.ย.69</t>
  </si>
  <si>
    <t>599/29913 เม.ย.69</t>
  </si>
  <si>
    <t>599/29940 เม.ย.69</t>
  </si>
  <si>
    <t>599/29909 เม.ย.69</t>
  </si>
  <si>
    <t>ปป.เพิ่มเติม มี.ค.69 ยกมา</t>
  </si>
  <si>
    <t>599/29933 เม.ย.69</t>
  </si>
  <si>
    <t>599/29949 มี.ค.69</t>
  </si>
  <si>
    <t>598/29894 มี.ค.69</t>
  </si>
  <si>
    <t>598/29892 มี.ค.69</t>
  </si>
  <si>
    <t>1 เม.ย.69</t>
  </si>
  <si>
    <t>598/29888 เม.ย.69</t>
  </si>
  <si>
    <t>599/29939 เม.ย.69</t>
  </si>
  <si>
    <t>มี.ค.-เม.ย.69</t>
  </si>
  <si>
    <t>8,27 เม.ย.69</t>
  </si>
  <si>
    <t>598/29899 มี.ค.69 599/29918 เม.ย.69</t>
  </si>
  <si>
    <t>599/29936 เม.ย.69</t>
  </si>
  <si>
    <t>599/29914 เม.ย.69</t>
  </si>
  <si>
    <t>599/29930 เม.ย.69</t>
  </si>
  <si>
    <t>8 เม.ย.69</t>
  </si>
  <si>
    <t>598/29898  มี.ค.69</t>
  </si>
  <si>
    <t>599/29932 เม.ย.69</t>
  </si>
  <si>
    <t>599/29937 เม.ย.69</t>
  </si>
  <si>
    <t>598/29897 มี.ค.69</t>
  </si>
  <si>
    <t>599/29928 เม.ย.69</t>
  </si>
  <si>
    <t>869/43403 เม.ย.69</t>
  </si>
  <si>
    <t xml:space="preserve"> 599/29925 เม.ย.69</t>
  </si>
  <si>
    <t>599/29924 เม.ย.69</t>
  </si>
  <si>
    <t>599/29920 เม.ย.69</t>
  </si>
  <si>
    <t>599/29923 เม.ย.69</t>
  </si>
  <si>
    <t>599/29941 เม.ย.69</t>
  </si>
  <si>
    <t>599/29945 เม.ย.69</t>
  </si>
  <si>
    <t>599/29915 มี.ค.69</t>
  </si>
  <si>
    <t>598/29890 มี.ค.69</t>
  </si>
  <si>
    <t>599/29927 เม.ย.69</t>
  </si>
  <si>
    <t>599/29907 มี.ค.69</t>
  </si>
  <si>
    <t>ม.ค.69</t>
  </si>
  <si>
    <t>599/29926 เม.ย.69</t>
  </si>
  <si>
    <t>599/29919 เม.ย.69</t>
  </si>
  <si>
    <t>599/29911 มี.ค.69</t>
  </si>
  <si>
    <t>599/29922 เม.ย.69</t>
  </si>
  <si>
    <t>598/29900 มี.ค.69</t>
  </si>
  <si>
    <t>21 เม.ย.69</t>
  </si>
  <si>
    <t>599/29912 มี.ค.69</t>
  </si>
  <si>
    <t>599/29950 มี.ค.69</t>
  </si>
  <si>
    <t>599/29921 เม.ย.69</t>
  </si>
  <si>
    <t>599/29917 เม.ย.69</t>
  </si>
  <si>
    <t>599/29916 เม.ย.69</t>
  </si>
  <si>
    <t>นางสาวขวัญชนก โสระบุตร</t>
  </si>
  <si>
    <t>นายอุเทน เลี่ยงหนู</t>
  </si>
  <si>
    <t>22 เม.ย.69</t>
  </si>
  <si>
    <t>532/53190 เม.ย.69</t>
  </si>
  <si>
    <t>532/53191 เม.ย.69</t>
  </si>
  <si>
    <t>17 เม.ย.69</t>
  </si>
  <si>
    <t>532/53186 มี.ค.69</t>
  </si>
  <si>
    <t>532/53189 เม.ย.69</t>
  </si>
  <si>
    <t>532/53169 เม.ย.69</t>
  </si>
  <si>
    <t>532/53167 มี.ค.69</t>
  </si>
  <si>
    <t>533/53201 เม.ย.69</t>
  </si>
  <si>
    <t>532/53170 เม.ย.69</t>
  </si>
  <si>
    <t>532/53176 เม.ย.69</t>
  </si>
  <si>
    <t>532/53177 เม.ย.69</t>
  </si>
  <si>
    <t>532/53181 เม.ย.69</t>
  </si>
  <si>
    <t>532/53161 เม.ย.69</t>
  </si>
  <si>
    <t>532/53183 มี.ค.69</t>
  </si>
  <si>
    <t>532/53197 เม.ย.69</t>
  </si>
  <si>
    <t>532/53160 เม.ย.69</t>
  </si>
  <si>
    <t>532/53171 เม.ย.69</t>
  </si>
  <si>
    <t>532/53194 เม.ย.69</t>
  </si>
  <si>
    <t>533/53204 เม.ย.69</t>
  </si>
  <si>
    <t>532/53179 เม.ย.69</t>
  </si>
  <si>
    <t>2,27 เม.ย.69</t>
  </si>
  <si>
    <t>532/53162 เม.ย.69 532/53195 พ.ค.69</t>
  </si>
  <si>
    <t>23 เม.ย.69</t>
  </si>
  <si>
    <t>532/53192 เม.ย.69</t>
  </si>
  <si>
    <t>533/53203 มิ.ย.69</t>
  </si>
  <si>
    <t>532/53184 เม.ย.69</t>
  </si>
  <si>
    <t>532/53185 เม.ย.69</t>
  </si>
  <si>
    <t>3 เม.ย.69</t>
  </si>
  <si>
    <t>532/53163 เม.ย.69</t>
  </si>
  <si>
    <t>24 เม.ย.69</t>
  </si>
  <si>
    <t>532/53193 เม.ย.69</t>
  </si>
  <si>
    <t>532/53174 เม.ย.69</t>
  </si>
  <si>
    <t>532/53196 เม.ย.69</t>
  </si>
  <si>
    <t>532/53198 เม.ย.69</t>
  </si>
  <si>
    <t>532/53199 เม.ย.69</t>
  </si>
  <si>
    <t>532/53200 เม.ย.69</t>
  </si>
  <si>
    <t>532/53188 เม.ย.69</t>
  </si>
  <si>
    <t>532/53187 เม.ย.69</t>
  </si>
  <si>
    <t>532/53159 เม.ย.69</t>
  </si>
  <si>
    <t>532/53172 เม.ย.69</t>
  </si>
  <si>
    <t>532/53166 เม.ย.69</t>
  </si>
  <si>
    <t>533/53202 มี.ค.69</t>
  </si>
  <si>
    <t>533/53205 มี.ค.69</t>
  </si>
  <si>
    <t>532/53165 เม.ย.69</t>
  </si>
  <si>
    <t>532/53182 เม.ย.69</t>
  </si>
  <si>
    <t>532/53158 เม.ย.69</t>
  </si>
  <si>
    <t>532/53168</t>
  </si>
  <si>
    <t xml:space="preserve">532/53164 </t>
  </si>
  <si>
    <t>532/53180</t>
  </si>
  <si>
    <t>532/53175 เม.ย.69</t>
  </si>
  <si>
    <t>หนี้ปกติ+หนี้ดำเนินคดี+หนี้อยู่ระหว่างดำเนินคดี</t>
  </si>
  <si>
    <t>หนี้ปกติ+หนี้ดำเนินคดี+หนี้อยู่ระหว่างดำเนินคดีค่าเสียหาย</t>
  </si>
  <si>
    <t>ค่าไฟฟ้า</t>
  </si>
  <si>
    <t>ค่าภาษีที่ดินและสิ่งปลูกสร้าง อาคารพาณิชย์แปลง 5 คูหาที่  7-8</t>
  </si>
  <si>
    <t>ค่าเบี้ยประกันอัคคีภัย คูหา 7-8</t>
  </si>
  <si>
    <t>ณ  พฤษภาคม 2569</t>
  </si>
  <si>
    <t>25 พ.ค.69</t>
  </si>
  <si>
    <t>870/43451 พ.ค.69</t>
  </si>
  <si>
    <t>27 พ.ค.69</t>
  </si>
  <si>
    <t>870/43471 พ.ค.69</t>
  </si>
  <si>
    <t>26 พ.ค.69</t>
  </si>
  <si>
    <t>870/43467 พ.ค.69</t>
  </si>
  <si>
    <t>8 พ.ค.69</t>
  </si>
  <si>
    <t>869/43407 เม.ย.69</t>
  </si>
  <si>
    <t>11 พ.ค.69</t>
  </si>
  <si>
    <t>869/43423 พ.ค.69</t>
  </si>
  <si>
    <t>870/43469 พ.ค.69</t>
  </si>
  <si>
    <t>28 พ.ค.69</t>
  </si>
  <si>
    <t>870/43480 เม.ย.69</t>
  </si>
  <si>
    <t>พ.ค.69</t>
  </si>
  <si>
    <t>18 พ.ค.69</t>
  </si>
  <si>
    <t>869/43434 เม.ย.69</t>
  </si>
  <si>
    <t>869/43412 เม.ย.69</t>
  </si>
  <si>
    <t>869/43408 เม.ย.69</t>
  </si>
  <si>
    <t>31 พ.ค.69</t>
  </si>
  <si>
    <t>870/43489 พ.ค.69</t>
  </si>
  <si>
    <t>870/43484 พ.ค.69</t>
  </si>
  <si>
    <t>19 พ.ค.69</t>
  </si>
  <si>
    <t>869/43487 พ.ค.69</t>
  </si>
  <si>
    <t>870/43468 พ.ค.69</t>
  </si>
  <si>
    <t>870/43477 พ.ค.69</t>
  </si>
  <si>
    <t>869/43436 พ.ค.69</t>
  </si>
  <si>
    <t>869/43439 พ.ค.69</t>
  </si>
  <si>
    <t>870/43479 พ.ค.69</t>
  </si>
  <si>
    <t>869/43431 พ.ค.69</t>
  </si>
  <si>
    <t>869/43488 พ.ค.69</t>
  </si>
  <si>
    <t>870/43478 พ.ค.69</t>
  </si>
  <si>
    <t xml:space="preserve">ค่าใช้สถานที่ </t>
  </si>
  <si>
    <t>14 พ.ค.69</t>
  </si>
  <si>
    <t>869/43426 พ.ค.69</t>
  </si>
  <si>
    <t>บริษัท พี.พี.เอส.ทูน่า จำกัด</t>
  </si>
  <si>
    <t>870/43470 เม.ย.69</t>
  </si>
  <si>
    <t>ยกมา  เม.ย.69</t>
  </si>
  <si>
    <t>พค.69</t>
  </si>
  <si>
    <t>870/43466 พ.ค.69</t>
  </si>
  <si>
    <t>869/43435 พ.ค.69</t>
  </si>
  <si>
    <t xml:space="preserve">นายวีระพงษ์ หลิมพานิชย์ (แพปลาโชคกาญจนา) </t>
  </si>
  <si>
    <t xml:space="preserve">โรงคลุม </t>
  </si>
  <si>
    <t>870/43462 พ.ค.69</t>
  </si>
  <si>
    <t>โกดังโซน G</t>
  </si>
  <si>
    <t>นางสาวบุญมา หรั่งสอาด (พื้นที่ตากปลา)</t>
  </si>
  <si>
    <t xml:space="preserve">พื้นที่โซน Q </t>
  </si>
  <si>
    <t>870/43486 เม.ย.69</t>
  </si>
  <si>
    <t>869/43414 เม.ย.69</t>
  </si>
  <si>
    <t>เรือปั่น</t>
  </si>
  <si>
    <t xml:space="preserve">นายสุระสิทธิ์ ศรีพันธมาศ (แพปลาส.จิตต์ชัยเจริญ) </t>
  </si>
  <si>
    <t>ด้านอก</t>
  </si>
  <si>
    <t>869/43413 เม.ย.69</t>
  </si>
  <si>
    <t>ด้านใน</t>
  </si>
  <si>
    <t>869/43432 เม.ย.69</t>
  </si>
  <si>
    <t>นางสาววิลัยพร พวงเพชร(เหมาจ่าย)</t>
  </si>
  <si>
    <t>ร้านกาแฟ</t>
  </si>
  <si>
    <t>533/53212 พ.ค.69</t>
  </si>
  <si>
    <t>บริษัทแอดวานซ์ไวร์เลสเน็ทเวอร์คจำกัด</t>
  </si>
  <si>
    <t>เสาสัญญาณ</t>
  </si>
  <si>
    <t>869/43421 เม.ย.69</t>
  </si>
  <si>
    <t>นางแสงอุทัย นาคเชียร(แพปลาเจ๊ฝ้าย)</t>
  </si>
  <si>
    <t>870/43465 พ.ค.69</t>
  </si>
  <si>
    <t>โรงต้ม</t>
  </si>
  <si>
    <t>15 พ.ค.69</t>
  </si>
  <si>
    <t>869/43429 มี.ค.69 869/43430 เม.ย.69</t>
  </si>
  <si>
    <t xml:space="preserve">นางสาวิตรี เหลืองอร่ามจิตร </t>
  </si>
  <si>
    <t xml:space="preserve">นางดวงจันทร์ คงสมเพชร (แพปลาส.นาจาสมุทร) </t>
  </si>
  <si>
    <t>870/43463 พ.ค.69</t>
  </si>
  <si>
    <t xml:space="preserve">นางสาววาณี ศรีสุภาวดี (แพปลาธนศักดิ์ชัยนาวี) </t>
  </si>
  <si>
    <t xml:space="preserve">12,25 พ.ค.69 </t>
  </si>
  <si>
    <t>869/43425 เม.ย.69 869/43447 พ.ค.69</t>
  </si>
  <si>
    <t>870/43492 พ.ค.69</t>
  </si>
  <si>
    <t>ศูนย์พัฒนาแรงงานเพื่อนบ้านทร.ภูเก็ต (ยกเลิกมิตเตอร์)</t>
  </si>
  <si>
    <t>หลัง ทร.ภเก็ต</t>
  </si>
  <si>
    <t xml:space="preserve">นายวรศักดิ์ วรรณะ </t>
  </si>
  <si>
    <t>869/43417 เม.ย.69</t>
  </si>
  <si>
    <t>นายวรศักดิ์ วรรณะ</t>
  </si>
  <si>
    <t>บริเวณเครน</t>
  </si>
  <si>
    <t>870/43483 พ.ค.69</t>
  </si>
  <si>
    <t xml:space="preserve">นางอมร แก้วสีเหลือง </t>
  </si>
  <si>
    <t>869/43418 เม.ย.69</t>
  </si>
  <si>
    <t>นางอมร แก้วสีเหลือง (ยกเลิกมิตเตอร์)</t>
  </si>
  <si>
    <t>870/43490 พ.ค.69</t>
  </si>
  <si>
    <t>870/43459 พ.ค.69</t>
  </si>
  <si>
    <t>11,25 พ.ค.69</t>
  </si>
  <si>
    <t>869/43422 เม.ย.69 870/43453 พ.ค.69</t>
  </si>
  <si>
    <t xml:space="preserve">พื้นที่โซน R </t>
  </si>
  <si>
    <t>869/43415 เม.ย.69</t>
  </si>
  <si>
    <t>ปป.เพิ่มเติม เม.ย.69 ยกมา</t>
  </si>
  <si>
    <t>22 พ.ค.69</t>
  </si>
  <si>
    <t>869/43443 พ.ค.69</t>
  </si>
  <si>
    <t>870/43473 พ.ค.69</t>
  </si>
  <si>
    <t>870/43472 พ.ค.69</t>
  </si>
  <si>
    <t>869/43410 เม.ย.69</t>
  </si>
  <si>
    <t>869/43445 พค.69</t>
  </si>
  <si>
    <t>นางสาวเพชรรัตน์ สำราญรัตน์ (สินสุด ส.ค.68)</t>
  </si>
  <si>
    <t>6 พ.ค.69</t>
  </si>
  <si>
    <t>869/43404 เม.ย.69</t>
  </si>
  <si>
    <t>870/43454 พ.ค.69</t>
  </si>
  <si>
    <t>นายอธิวัฒน์ สังข์ลาโพธิ์</t>
  </si>
  <si>
    <t>870/43458 พ.ค.69</t>
  </si>
  <si>
    <t>นางสาวชุติมา กราดกลิ่น</t>
  </si>
  <si>
    <t>869/43416 เม.ย.69</t>
  </si>
  <si>
    <t>นางสาววรรณิสา จันทร์เจ้า</t>
  </si>
  <si>
    <t xml:space="preserve">870/43460 เม.ย.69-พ.ค.69 </t>
  </si>
  <si>
    <t>บริษัทพรานอันดามันทราเวลจำกัด 1</t>
  </si>
  <si>
    <t>พื้นที่โซน G (1)</t>
  </si>
  <si>
    <t>870/43476 พ.ค.69</t>
  </si>
  <si>
    <t>บริษัทพรานอันดามันทราเวลจำกัด 2</t>
  </si>
  <si>
    <t>พื้นที่โซน G (2)</t>
  </si>
  <si>
    <t>นางสาวเพ็ญนภา ขวดแก้ว</t>
  </si>
  <si>
    <t>869/43448 พ.ค.69</t>
  </si>
  <si>
    <t xml:space="preserve">นางสาวศรีลาวรรณ คงตะโก </t>
  </si>
  <si>
    <t>869/43446 เม.ย.69</t>
  </si>
  <si>
    <t>นายอนนท์ รอดภัย</t>
  </si>
  <si>
    <t>8,31 พ.ค.69</t>
  </si>
  <si>
    <t>869/43405 เม.ย.69 870/43491 พ.ค.69</t>
  </si>
  <si>
    <t>870/43455 พ.ค.69</t>
  </si>
  <si>
    <t>นางธารทิพย์ เงินเอนก</t>
  </si>
  <si>
    <t>พื้นที่โซน O</t>
  </si>
  <si>
    <t>870/43481 เม.ย.69</t>
  </si>
  <si>
    <t xml:space="preserve">นางอารมณ์ ใกล้ชิด </t>
  </si>
  <si>
    <t>870/43485 พ.ค.69</t>
  </si>
  <si>
    <t>869/43450 พ.ค.69</t>
  </si>
  <si>
    <t>21,27 พ.ค.69</t>
  </si>
  <si>
    <t>869/43442 เม.ย.69 870/43475 พ.ค.69</t>
  </si>
  <si>
    <t>869/43419 เม.ย.69</t>
  </si>
  <si>
    <t>บริษัท สตูล ปากบารา สปี๊ดโบ๊ทคลับ จำกัด (ยกเลิกยกเตอร์)</t>
  </si>
  <si>
    <t>870/43456 พ.ค.69</t>
  </si>
  <si>
    <t>12 พ.ค.69</t>
  </si>
  <si>
    <t>869/43424 เม.ย.69</t>
  </si>
  <si>
    <t>นางสาวเบญจวรรณ กุนทีกาญจน์</t>
  </si>
  <si>
    <t>นายสาโรช จันทร์สมุทร (ยกเลิกยกเตอร์)</t>
  </si>
  <si>
    <t>เม.ย.-พ.ค.69</t>
  </si>
  <si>
    <t>20 พ.ค.69</t>
  </si>
  <si>
    <t>869/43440 เม.ย.69</t>
  </si>
  <si>
    <t>869/43406 เม.ย.69</t>
  </si>
  <si>
    <t>870/43482 พ.ค.69</t>
  </si>
  <si>
    <t>870/43452 พ.ค.69</t>
  </si>
  <si>
    <t>869/43449 พ.ค.69</t>
  </si>
  <si>
    <t>870/43464 เม.ย.69-พ.ค.69</t>
  </si>
  <si>
    <t>ปป.ยกมา เม.ย.69</t>
  </si>
  <si>
    <t>14,29 พ.ค.69</t>
  </si>
  <si>
    <t>869/43427 เม.ย.69 870/43488 พ.ค.69</t>
  </si>
  <si>
    <t>นายสุรชัย เส้งตั้น</t>
  </si>
  <si>
    <t>870/43474 พ.ค.69</t>
  </si>
  <si>
    <t>ธค.67-พ.ค.69</t>
  </si>
  <si>
    <t>17</t>
  </si>
  <si>
    <t>533/53226 พ.ค.69</t>
  </si>
  <si>
    <t>ปรับปรุง ลูกค้าชำระ 532/53145 ลว.26 มีค.69</t>
  </si>
  <si>
    <t>869/43409 พ.ค.69</t>
  </si>
  <si>
    <t>533/53245 พ.ค.69</t>
  </si>
  <si>
    <t>533/53232 พ.ค.69</t>
  </si>
  <si>
    <t>5 พ.ค.69</t>
  </si>
  <si>
    <t>533/53207 พ.ค.69</t>
  </si>
  <si>
    <t>533/53211 พ.ค.69</t>
  </si>
  <si>
    <t>533/53206 พ.ค.69</t>
  </si>
  <si>
    <t>533/53213 พ.ค.69</t>
  </si>
  <si>
    <t>533/53229 เม.ย.69-พ.ค.69</t>
  </si>
  <si>
    <t>533/53247 เม.ย.69</t>
  </si>
  <si>
    <t>533/53210 พ.ค.69</t>
  </si>
  <si>
    <t>533/53217 พ.ค.69</t>
  </si>
  <si>
    <t>533/53231 พ.ค.69</t>
  </si>
  <si>
    <t>533/53244 พ.ค.69</t>
  </si>
  <si>
    <t>533/53221 พ.ค.69</t>
  </si>
  <si>
    <t>533/53215 มี.ค.69-เม.ย.69</t>
  </si>
  <si>
    <t>533/53227 เม.ย.69</t>
  </si>
  <si>
    <t>533/53220 พ.ค.69</t>
  </si>
  <si>
    <t>533/53214 เม.ย.69</t>
  </si>
  <si>
    <t>533/53224 พ.ค.69</t>
  </si>
  <si>
    <t>533/53219 พ.ค.69</t>
  </si>
  <si>
    <t>533/53235 พ.ค.69</t>
  </si>
  <si>
    <t>533/53208 พ.ค.69</t>
  </si>
  <si>
    <t>533/53216 เม.ย.69</t>
  </si>
  <si>
    <t>533/53240 พ.ค.69</t>
  </si>
  <si>
    <t>533/53223 พ.ค.69</t>
  </si>
  <si>
    <t>533/53222 พ.ค.69</t>
  </si>
  <si>
    <t>533/53248 พ.ค.69</t>
  </si>
  <si>
    <t>533/53237 เม.ย.69</t>
  </si>
  <si>
    <t>533/53225 พ.ค.69</t>
  </si>
  <si>
    <t>533/53242 พ.ค.69</t>
  </si>
  <si>
    <t>533/53246 ก.ค.69</t>
  </si>
  <si>
    <t>533/53234 พ.ค.69</t>
  </si>
  <si>
    <t>533/53233 พ.ค.69</t>
  </si>
  <si>
    <t>533/53218 พ.ค.69</t>
  </si>
  <si>
    <t>21 พ.ค.69</t>
  </si>
  <si>
    <t>533/53236 พ.ค.69</t>
  </si>
  <si>
    <t>533/53209 พ.ค.69</t>
  </si>
  <si>
    <t>26,27 พ.ค.69</t>
  </si>
  <si>
    <t>533/53239 พ.ค.69 533/53241 มิ.ย.69</t>
  </si>
  <si>
    <t>ชำระล่วงหน้า 1 เดือน(บางส่วน)</t>
  </si>
  <si>
    <t>533/53238 พ.ค.69</t>
  </si>
  <si>
    <t>533/53243 พ.ค.69</t>
  </si>
  <si>
    <t>ค่าเบี้ยประกันอัคคีภัย ปี 2569</t>
  </si>
  <si>
    <t>ค่าภาษีที่ดินและสิ่งปลูกสร้างปี 2568</t>
  </si>
  <si>
    <t>หนี้ 7 - 12 เดือน</t>
  </si>
  <si>
    <t>หนี้ 12 เดือนขึ้นไป</t>
  </si>
  <si>
    <t>533/53230 พ.ค.69</t>
  </si>
  <si>
    <t>ปรับปรุงใบเสร็จรับชำระ จาก 533/53231 เป็น 533/53230</t>
  </si>
  <si>
    <t>ณ  มิถุนายน 2569</t>
  </si>
  <si>
    <t>ปป.เพิ่มเติม พ.ค.69 ยกมา</t>
  </si>
  <si>
    <t>24 มิ.ย.69</t>
  </si>
  <si>
    <t>871/43529 พ.ค.69</t>
  </si>
  <si>
    <t>26 มิ.ย.69</t>
  </si>
  <si>
    <t>871/43540 มิ.ย.69</t>
  </si>
  <si>
    <t>871/43544 มิ.ย.69</t>
  </si>
  <si>
    <t>10 มิ.ย.69</t>
  </si>
  <si>
    <t>871/43510 มิ.ย.69</t>
  </si>
  <si>
    <t>25 มิ.ย.69</t>
  </si>
  <si>
    <t>871/43536 มิ.ย.69</t>
  </si>
  <si>
    <t>9 มิ.ย.69</t>
  </si>
  <si>
    <t>871/43507 พ.ค.69</t>
  </si>
  <si>
    <t>มิ.ย.69</t>
  </si>
  <si>
    <t>17,30 มิ.ย.69</t>
  </si>
  <si>
    <t>871/43516 พ.ค.69 872/43564 มิ.ย.69</t>
  </si>
  <si>
    <t>2,26 มิ.ย.69</t>
  </si>
  <si>
    <t>870/43494 พ.ค.69 871/43546 มิ.ย.69</t>
  </si>
  <si>
    <t>871/43503 มิ.ย.69</t>
  </si>
  <si>
    <t>871/43548 มิ.ย.69</t>
  </si>
  <si>
    <t>871/43533 มิ.ย.69</t>
  </si>
  <si>
    <t>871/43543 มิ.ย.69</t>
  </si>
  <si>
    <t>30 มิ.ย.69</t>
  </si>
  <si>
    <t>872/43568 มิ.ย.69</t>
  </si>
  <si>
    <t>19 มิ.ย.69</t>
  </si>
  <si>
    <t>871/43519 มิ.ย.69</t>
  </si>
  <si>
    <t>871/43505 มิ.ย.69</t>
  </si>
  <si>
    <t>871/43538 มิ.ย.69</t>
  </si>
  <si>
    <t>18 มิ.ย.69</t>
  </si>
  <si>
    <t>871/43517 มิ.ย.69</t>
  </si>
  <si>
    <t>872/43569 มิ.ย.69</t>
  </si>
  <si>
    <t>15 มิ.ย.69</t>
  </si>
  <si>
    <t>871/43514 มิ.ย.69</t>
  </si>
  <si>
    <t>871/43518 พ.ค.69</t>
  </si>
  <si>
    <t>871/43542 มิ.ย.69</t>
  </si>
  <si>
    <t>871/43520 มิ.ย.69</t>
  </si>
  <si>
    <t>871/43537 มิ.ย.69</t>
  </si>
  <si>
    <t>872/43566 พ.ค.69</t>
  </si>
  <si>
    <t xml:space="preserve"> 870/43500 พ.ค.69</t>
  </si>
  <si>
    <t>870/43493 พ.ค.69 871/43545 มิ.ย.69</t>
  </si>
  <si>
    <t>871/43515 พ.ค.69 872/43565 มิ.ย.69</t>
  </si>
  <si>
    <t>5 มิ.ย.69</t>
  </si>
  <si>
    <t>870/43496 มิ.ย.69</t>
  </si>
  <si>
    <t>5,29 มิ.ย.69</t>
  </si>
  <si>
    <t>870/43495 พ.ค.69 872/43558 มิ.ย.69</t>
  </si>
  <si>
    <t>871/43541 มิ.ย.69</t>
  </si>
  <si>
    <t>พ.ค.69-มิ.ย.69</t>
  </si>
  <si>
    <t>871/43524 มิ.ย.69</t>
  </si>
  <si>
    <t>872/43567 มิ.ย.69</t>
  </si>
  <si>
    <t>11 มิ.ย.69</t>
  </si>
  <si>
    <t>871/43512 พ.ค.69</t>
  </si>
  <si>
    <t>871/43534 มิ.ย.69</t>
  </si>
  <si>
    <t>870/43497 พ.ค.69</t>
  </si>
  <si>
    <t>871/43547 มิ.ย.69</t>
  </si>
  <si>
    <t>872/43554 มิ.ย.69</t>
  </si>
  <si>
    <t>871/43556 มิ.ย.69</t>
  </si>
  <si>
    <t>871/43549 มิ.ย.69</t>
  </si>
  <si>
    <t>29 มิ.ย.69</t>
  </si>
  <si>
    <t>872/43561 มิ.ย.69</t>
  </si>
  <si>
    <t>871/43526 มิ.ย.69</t>
  </si>
  <si>
    <t>871/43509 พ.ค.69</t>
  </si>
  <si>
    <t>871/43527 มิ.ย.69</t>
  </si>
  <si>
    <t>872/43553 มิ.ย.69</t>
  </si>
  <si>
    <t>870/43499 พ.ค.69</t>
  </si>
  <si>
    <t>871/43550 มิ.ย.69</t>
  </si>
  <si>
    <t>872/43570 มิ.ย.69</t>
  </si>
  <si>
    <t>872/43555 มิ.ย.69</t>
  </si>
  <si>
    <t>23 มิ.ย.69</t>
  </si>
  <si>
    <t>871/43521 พ.ค.69</t>
  </si>
  <si>
    <t>872/43551 มิ.ย.69</t>
  </si>
  <si>
    <t>871/43506 พ.ค.69</t>
  </si>
  <si>
    <t>871/43532 มิ.ย.69</t>
  </si>
  <si>
    <t>871/43528 มิ.ย.69</t>
  </si>
  <si>
    <t>871/43522 มิ.ย.69</t>
  </si>
  <si>
    <t>8 มิ.ย.69</t>
  </si>
  <si>
    <t>870/43498 พ.ค.69</t>
  </si>
  <si>
    <t>871/43525 มิ.ย.69</t>
  </si>
  <si>
    <t>11,25 มิ.ย.69</t>
  </si>
  <si>
    <t>871/43513 เม.ย.69 871/43530 พ.ค.69</t>
  </si>
  <si>
    <t>871/43539 พ.ค.69</t>
  </si>
  <si>
    <t>871/43502 พ.ค.69</t>
  </si>
  <si>
    <t>871/43531 มิ.ย.69</t>
  </si>
  <si>
    <t>872/43560 มิ.ย.69</t>
  </si>
  <si>
    <t xml:space="preserve">872/43557 มิ.ย.69 </t>
  </si>
  <si>
    <t>871/43535 มิ.ย.69</t>
  </si>
  <si>
    <t>872/43563 มิ.ย.69</t>
  </si>
  <si>
    <t>871/43523 มิ.ย.69</t>
  </si>
  <si>
    <t>533/53285 มิ.ย.69</t>
  </si>
  <si>
    <t>533/53284 มิ.ย.69</t>
  </si>
  <si>
    <t>2 มิ.ย.69</t>
  </si>
  <si>
    <t>533/53249 เม.ย.69</t>
  </si>
  <si>
    <t>533/53270 มิ.ย.69</t>
  </si>
  <si>
    <t>533/53261 มิ.ย.69</t>
  </si>
  <si>
    <t>17 มิ.ย.69</t>
  </si>
  <si>
    <t>533/53283 พ.ค.69 - มิ.ย.69</t>
  </si>
  <si>
    <t>12 มิ.ย.69</t>
  </si>
  <si>
    <t>533/53278 พ.ค.69</t>
  </si>
  <si>
    <t>9,25 มิ.ย.69</t>
  </si>
  <si>
    <t>533/53273 พ.ค.69 533/53292 มิ.ย.69</t>
  </si>
  <si>
    <t>533/53260 มิ.ย.69</t>
  </si>
  <si>
    <t>533/53271 มิ.ย.69</t>
  </si>
  <si>
    <t>533/53250 พ.ค.69 533/53296 มิ.ย.69</t>
  </si>
  <si>
    <t>533/53263 มิ.ย.69</t>
  </si>
  <si>
    <t>533/53275 มิ.ย.69</t>
  </si>
  <si>
    <t>16 มิ.ย.69</t>
  </si>
  <si>
    <t>533/53282 มิ.ย.69</t>
  </si>
  <si>
    <t>533/53259 มิ.ย.69</t>
  </si>
  <si>
    <t>533/53300 พ.ค.69</t>
  </si>
  <si>
    <t>533/53288 มิ.ย.69</t>
  </si>
  <si>
    <t>533/53274 มิ.ย.69</t>
  </si>
  <si>
    <t>533/53262 มิ.ย.69</t>
  </si>
  <si>
    <t>534/53302 มิ.ย.69</t>
  </si>
  <si>
    <t>533/53281 พ.ค.69</t>
  </si>
  <si>
    <t>533/53279 พ.ค.69</t>
  </si>
  <si>
    <t>533/53273 พ.ค.69 533/53293 มิ.ย.69</t>
  </si>
  <si>
    <t>533/53264 มิ.ย.69 533/53297 ก.ค.69</t>
  </si>
  <si>
    <t>533/53298 มิ.ย.69</t>
  </si>
  <si>
    <t>533/53299 ส.ค.69</t>
  </si>
  <si>
    <t>533/53268 มิ.ย.69</t>
  </si>
  <si>
    <t>533/53269 มิ.ย.69</t>
  </si>
  <si>
    <t>533/53253 มิ.ย.69</t>
  </si>
  <si>
    <t>533/53287 มิ.ย.69</t>
  </si>
  <si>
    <t>533/53267 มิ.ย.69</t>
  </si>
  <si>
    <t>533/53289 มิ.ย.69(บางส่วน)</t>
  </si>
  <si>
    <t>533/53296 มิ.ย.69</t>
  </si>
  <si>
    <t>534/53304 มิ.ย.69</t>
  </si>
  <si>
    <t>533/53257 มิ.ย.69</t>
  </si>
  <si>
    <t>534/53301 พ.ค.69</t>
  </si>
  <si>
    <t>5,30 มิ.ย.69</t>
  </si>
  <si>
    <t>533/53252 เม.ย.69 534/53303 พ.ค.69</t>
  </si>
  <si>
    <t>533/53255 มิ.ย.69</t>
  </si>
  <si>
    <t>533/53277 มิ.ย.69</t>
  </si>
  <si>
    <t>533/53273 พ.ค.69 533/53294 มิ.ย.69</t>
  </si>
  <si>
    <t>533/53272 มิ.ย.69</t>
  </si>
  <si>
    <t>533/53286 มิ.ย.69</t>
  </si>
  <si>
    <t>533/53251 มิ.ย.69</t>
  </si>
  <si>
    <t>533/53265 มิ.ย.69</t>
  </si>
  <si>
    <t>533/53254 มิ.ย.69</t>
  </si>
  <si>
    <t>533/53256 มิ.ย.69</t>
  </si>
  <si>
    <t>ปป.หนี้ค้าง ที่ กษ 1710/187</t>
  </si>
  <si>
    <t>บ.ไต้ผิ่งติมบี้อินดัสทรี จก.ปรับยอดตามคำพิพากษา</t>
  </si>
  <si>
    <t>533/53266 มิ.ย.69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</si>
</sst>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_-;\-* #,##0.00_-;_-* &quot;-&quot;??_-;_-@"/>
    <numFmt numFmtId="166" formatCode="#,##0.00_ ;[Red]\-#,##0.00\ 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b/>
      <sz val="14"/>
      <name val="AngsanaUPC"/>
      <family val="1"/>
    </font>
    <font>
      <sz val="16"/>
      <name val="AngsanaUPC"/>
      <family val="1"/>
    </font>
    <font>
      <sz val="16"/>
      <color theme="1"/>
      <name val="AngsanaUPC"/>
      <family val="1"/>
    </font>
    <font>
      <u/>
      <sz val="16"/>
      <name val="AngsanaUPC"/>
      <family val="1"/>
    </font>
    <font>
      <sz val="10"/>
      <name val="Arial"/>
      <family val="2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sz val="16"/>
      <color rgb="FFFF0000"/>
      <name val="AngsanaUPC"/>
      <family val="1"/>
    </font>
    <font>
      <b/>
      <sz val="16"/>
      <name val="AngsanaUPC"/>
      <family val="1"/>
    </font>
    <font>
      <b/>
      <sz val="16"/>
      <color theme="1"/>
      <name val="AngsanaUPC"/>
      <family val="1"/>
    </font>
    <font>
      <b/>
      <sz val="14"/>
      <color theme="1"/>
      <name val="AngsanaUPC"/>
      <family val="1"/>
    </font>
    <font>
      <sz val="14"/>
      <color theme="1"/>
      <name val="AngsanaUPC"/>
      <family val="1"/>
    </font>
    <font>
      <u/>
      <sz val="16"/>
      <color theme="1"/>
      <name val="AngsanaUPC"/>
      <family val="1"/>
    </font>
    <font>
      <b/>
      <sz val="14"/>
      <color rgb="FFFF0000"/>
      <name val="AngsanaUPC"/>
      <family val="1"/>
    </font>
    <font>
      <u/>
      <sz val="14"/>
      <color theme="1"/>
      <name val="Angsana New"/>
      <family val="1"/>
    </font>
    <font>
      <b/>
      <u/>
      <sz val="14"/>
      <name val="AngsanaUPC"/>
      <family val="1"/>
    </font>
    <font>
      <sz val="14"/>
      <color rgb="FFFF0000"/>
      <name val="Angsana New"/>
      <family val="1"/>
    </font>
    <font>
      <b/>
      <sz val="16"/>
      <color rgb="FFFF0000"/>
      <name val="AngsanaUPC"/>
      <family val="1"/>
    </font>
    <font>
      <b/>
      <sz val="12"/>
      <color theme="1"/>
      <name val="AngsanaUPC"/>
      <family val="1"/>
    </font>
    <font>
      <b/>
      <u/>
      <sz val="16"/>
      <name val="AngsanaUPC"/>
      <family val="1"/>
    </font>
    <font>
      <b/>
      <u val="doubleAccounting"/>
      <sz val="14"/>
      <name val="AngsanaUPC"/>
      <family val="1"/>
    </font>
    <font>
      <b/>
      <u/>
      <sz val="14"/>
      <color theme="1"/>
      <name val="Angsana New"/>
      <family val="1"/>
    </font>
    <font>
      <b/>
      <sz val="16"/>
      <color theme="1"/>
      <name val="Angsana New"/>
      <family val="1"/>
    </font>
    <font>
      <b/>
      <u/>
      <sz val="16"/>
      <color theme="1"/>
      <name val="Angsana New"/>
      <family val="1"/>
    </font>
    <font>
      <u/>
      <sz val="16"/>
      <color theme="1"/>
      <name val="Angsana New"/>
      <family val="1"/>
    </font>
    <font>
      <sz val="8"/>
      <name val="Aptos Narrow"/>
      <family val="2"/>
      <scheme val="minor"/>
    </font>
    <font>
      <sz val="14"/>
      <color theme="1"/>
      <name val="TH Sarabun New"/>
      <family val="2"/>
    </font>
    <font>
      <sz val="14"/>
      <color rgb="FFFF0000"/>
      <name val="TH Sarabun New"/>
      <family val="2"/>
    </font>
    <font>
      <b/>
      <sz val="16"/>
      <name val="TH SarabunPSK"/>
      <family val="2"/>
    </font>
    <font>
      <b/>
      <sz val="16"/>
      <color theme="1"/>
      <name val="TH SarabunPSK"/>
      <family val="2"/>
    </font>
    <font>
      <sz val="14"/>
      <color rgb="FFFF0000"/>
      <name val="AngsanaUPC"/>
      <family val="1"/>
    </font>
    <font>
      <sz val="16"/>
      <color rgb="FFFF0000"/>
      <name val="AngsanaUPC"/>
      <family val="1"/>
      <charset val="222"/>
    </font>
    <font>
      <b/>
      <sz val="14"/>
      <color rgb="FFFF0000"/>
      <name val="AngsanaUPC"/>
      <family val="1"/>
      <charset val="222"/>
    </font>
    <font>
      <sz val="14"/>
      <color rgb="FFFF0000"/>
      <name val="Angsana New"/>
      <family val="1"/>
      <charset val="222"/>
    </font>
    <font>
      <sz val="14"/>
      <color rgb="FFFF0000"/>
      <name val="AngsanaUPC"/>
      <family val="1"/>
      <charset val="222"/>
    </font>
  </fonts>
  <fills count="2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theme="7" tint="0.79998168889431442"/>
        <bgColor rgb="FFE7E6E6"/>
      </patternFill>
    </fill>
    <fill>
      <patternFill patternType="solid">
        <fgColor theme="9" tint="0.79998168889431442"/>
        <bgColor rgb="FFE7E6E6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49">
    <xf numFmtId="0" fontId="0" fillId="0" borderId="0" xfId="0"/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6" fontId="4" fillId="2" borderId="7" xfId="0" applyNumberFormat="1" applyFont="1" applyFill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right" vertical="center"/>
    </xf>
    <xf numFmtId="164" fontId="4" fillId="3" borderId="3" xfId="1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165" fontId="5" fillId="0" borderId="9" xfId="0" applyNumberFormat="1" applyFont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166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166" fontId="4" fillId="3" borderId="9" xfId="0" applyNumberFormat="1" applyFont="1" applyFill="1" applyBorder="1" applyAlignment="1">
      <alignment horizontal="right" vertical="center"/>
    </xf>
    <xf numFmtId="164" fontId="4" fillId="3" borderId="10" xfId="1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8" fillId="4" borderId="12" xfId="2" applyFont="1" applyFill="1" applyBorder="1"/>
    <xf numFmtId="0" fontId="3" fillId="0" borderId="11" xfId="0" applyFont="1" applyBorder="1" applyAlignment="1">
      <alignment horizontal="left" vertical="center"/>
    </xf>
    <xf numFmtId="165" fontId="9" fillId="0" borderId="11" xfId="0" applyNumberFormat="1" applyFont="1" applyBorder="1"/>
    <xf numFmtId="0" fontId="5" fillId="2" borderId="11" xfId="0" applyFont="1" applyFill="1" applyBorder="1" applyAlignment="1">
      <alignment horizontal="center" vertical="center"/>
    </xf>
    <xf numFmtId="49" fontId="5" fillId="5" borderId="11" xfId="0" applyNumberFormat="1" applyFont="1" applyFill="1" applyBorder="1" applyAlignment="1">
      <alignment horizontal="center" vertical="center"/>
    </xf>
    <xf numFmtId="166" fontId="8" fillId="5" borderId="12" xfId="3" applyNumberFormat="1" applyFont="1" applyFill="1" applyBorder="1"/>
    <xf numFmtId="15" fontId="8" fillId="6" borderId="12" xfId="3" applyNumberFormat="1" applyFont="1" applyFill="1" applyBorder="1" applyAlignment="1">
      <alignment horizontal="center"/>
    </xf>
    <xf numFmtId="49" fontId="8" fillId="6" borderId="12" xfId="2" applyNumberFormat="1" applyFont="1" applyFill="1" applyBorder="1" applyAlignment="1">
      <alignment horizontal="center"/>
    </xf>
    <xf numFmtId="164" fontId="8" fillId="6" borderId="12" xfId="2" applyNumberFormat="1" applyFont="1" applyFill="1" applyBorder="1"/>
    <xf numFmtId="17" fontId="4" fillId="3" borderId="11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164" fontId="4" fillId="3" borderId="11" xfId="1" applyFont="1" applyFill="1" applyBorder="1" applyAlignment="1">
      <alignment horizontal="right" vertical="center"/>
    </xf>
    <xf numFmtId="164" fontId="4" fillId="3" borderId="13" xfId="1" applyFont="1" applyFill="1" applyBorder="1" applyAlignment="1">
      <alignment vertical="center"/>
    </xf>
    <xf numFmtId="4" fontId="9" fillId="0" borderId="11" xfId="0" applyNumberFormat="1" applyFont="1" applyBorder="1"/>
    <xf numFmtId="15" fontId="8" fillId="6" borderId="14" xfId="3" applyNumberFormat="1" applyFont="1" applyFill="1" applyBorder="1" applyAlignment="1">
      <alignment horizontal="center"/>
    </xf>
    <xf numFmtId="49" fontId="8" fillId="6" borderId="14" xfId="2" applyNumberFormat="1" applyFont="1" applyFill="1" applyBorder="1" applyAlignment="1">
      <alignment horizontal="center"/>
    </xf>
    <xf numFmtId="164" fontId="8" fillId="6" borderId="14" xfId="2" applyNumberFormat="1" applyFont="1" applyFill="1" applyBorder="1"/>
    <xf numFmtId="0" fontId="4" fillId="3" borderId="11" xfId="0" applyFont="1" applyFill="1" applyBorder="1" applyAlignment="1">
      <alignment horizontal="center" vertical="center"/>
    </xf>
    <xf numFmtId="2" fontId="4" fillId="3" borderId="11" xfId="0" applyNumberFormat="1" applyFont="1" applyFill="1" applyBorder="1" applyAlignment="1">
      <alignment horizontal="right" vertical="center"/>
    </xf>
    <xf numFmtId="165" fontId="5" fillId="0" borderId="11" xfId="0" applyNumberFormat="1" applyFont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166" fontId="8" fillId="5" borderId="14" xfId="3" applyNumberFormat="1" applyFont="1" applyFill="1" applyBorder="1"/>
    <xf numFmtId="165" fontId="10" fillId="0" borderId="0" xfId="0" applyNumberFormat="1" applyFont="1" applyAlignment="1">
      <alignment vertical="center"/>
    </xf>
    <xf numFmtId="0" fontId="11" fillId="7" borderId="17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/>
    </xf>
    <xf numFmtId="165" fontId="12" fillId="7" borderId="17" xfId="0" applyNumberFormat="1" applyFont="1" applyFill="1" applyBorder="1" applyAlignment="1">
      <alignment horizontal="right" vertical="center"/>
    </xf>
    <xf numFmtId="14" fontId="12" fillId="7" borderId="18" xfId="0" applyNumberFormat="1" applyFont="1" applyFill="1" applyBorder="1" applyAlignment="1">
      <alignment horizontal="center" vertical="center"/>
    </xf>
    <xf numFmtId="49" fontId="12" fillId="7" borderId="18" xfId="0" applyNumberFormat="1" applyFont="1" applyFill="1" applyBorder="1" applyAlignment="1">
      <alignment horizontal="center" vertical="center"/>
    </xf>
    <xf numFmtId="165" fontId="12" fillId="7" borderId="18" xfId="0" applyNumberFormat="1" applyFont="1" applyFill="1" applyBorder="1" applyAlignment="1">
      <alignment horizontal="right" vertical="center"/>
    </xf>
    <xf numFmtId="49" fontId="12" fillId="7" borderId="17" xfId="0" applyNumberFormat="1" applyFont="1" applyFill="1" applyBorder="1" applyAlignment="1">
      <alignment horizontal="center" vertical="center"/>
    </xf>
    <xf numFmtId="165" fontId="12" fillId="7" borderId="17" xfId="0" applyNumberFormat="1" applyFont="1" applyFill="1" applyBorder="1" applyAlignment="1">
      <alignment horizontal="center" vertical="center"/>
    </xf>
    <xf numFmtId="49" fontId="11" fillId="7" borderId="17" xfId="0" applyNumberFormat="1" applyFont="1" applyFill="1" applyBorder="1" applyAlignment="1">
      <alignment horizontal="center" vertical="center"/>
    </xf>
    <xf numFmtId="4" fontId="11" fillId="7" borderId="19" xfId="0" applyNumberFormat="1" applyFont="1" applyFill="1" applyBorder="1" applyAlignment="1">
      <alignment horizontal="right" vertical="center"/>
    </xf>
    <xf numFmtId="164" fontId="11" fillId="7" borderId="20" xfId="1" applyFont="1" applyFill="1" applyBorder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vertical="center"/>
    </xf>
    <xf numFmtId="0" fontId="3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vertical="center"/>
    </xf>
    <xf numFmtId="14" fontId="4" fillId="2" borderId="21" xfId="0" applyNumberFormat="1" applyFont="1" applyFill="1" applyBorder="1" applyAlignment="1">
      <alignment horizontal="center" vertical="center"/>
    </xf>
    <xf numFmtId="49" fontId="4" fillId="2" borderId="21" xfId="0" applyNumberFormat="1" applyFont="1" applyFill="1" applyBorder="1" applyAlignment="1">
      <alignment horizontal="center" vertical="center"/>
    </xf>
    <xf numFmtId="166" fontId="4" fillId="2" borderId="21" xfId="0" applyNumberFormat="1" applyFont="1" applyFill="1" applyBorder="1" applyAlignment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166" fontId="4" fillId="3" borderId="21" xfId="0" applyNumberFormat="1" applyFont="1" applyFill="1" applyBorder="1" applyAlignment="1">
      <alignment horizontal="right" vertical="center"/>
    </xf>
    <xf numFmtId="164" fontId="4" fillId="3" borderId="22" xfId="1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14" fontId="5" fillId="2" borderId="1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vertical="center"/>
    </xf>
    <xf numFmtId="49" fontId="5" fillId="2" borderId="23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165" fontId="5" fillId="0" borderId="23" xfId="0" applyNumberFormat="1" applyFont="1" applyBorder="1" applyAlignment="1">
      <alignment vertical="center"/>
    </xf>
    <xf numFmtId="14" fontId="5" fillId="2" borderId="23" xfId="0" applyNumberFormat="1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166" fontId="5" fillId="2" borderId="23" xfId="0" applyNumberFormat="1" applyFont="1" applyFill="1" applyBorder="1" applyAlignment="1">
      <alignment vertical="center"/>
    </xf>
    <xf numFmtId="0" fontId="3" fillId="8" borderId="23" xfId="0" applyFont="1" applyFill="1" applyBorder="1" applyAlignment="1">
      <alignment horizontal="left" vertical="center"/>
    </xf>
    <xf numFmtId="0" fontId="5" fillId="0" borderId="23" xfId="0" applyFont="1" applyBorder="1" applyAlignment="1">
      <alignment vertical="center"/>
    </xf>
    <xf numFmtId="0" fontId="13" fillId="8" borderId="6" xfId="0" applyFont="1" applyFill="1" applyBorder="1" applyAlignment="1">
      <alignment horizontal="left" vertical="center"/>
    </xf>
    <xf numFmtId="165" fontId="5" fillId="0" borderId="6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21" xfId="0" applyFont="1" applyBorder="1" applyAlignment="1">
      <alignment vertical="center"/>
    </xf>
    <xf numFmtId="0" fontId="13" fillId="8" borderId="11" xfId="0" applyFont="1" applyFill="1" applyBorder="1" applyAlignment="1">
      <alignment horizontal="left" vertical="center"/>
    </xf>
    <xf numFmtId="4" fontId="5" fillId="0" borderId="21" xfId="0" applyNumberFormat="1" applyFont="1" applyBorder="1" applyAlignment="1">
      <alignment vertical="center"/>
    </xf>
    <xf numFmtId="49" fontId="5" fillId="2" borderId="21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5" fillId="0" borderId="16" xfId="2" applyFont="1" applyBorder="1" applyAlignment="1">
      <alignment vertical="center"/>
    </xf>
    <xf numFmtId="0" fontId="13" fillId="0" borderId="16" xfId="2" applyFont="1" applyBorder="1" applyAlignment="1">
      <alignment horizontal="left" vertical="center"/>
    </xf>
    <xf numFmtId="17" fontId="5" fillId="2" borderId="6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166" fontId="5" fillId="2" borderId="6" xfId="0" applyNumberFormat="1" applyFont="1" applyFill="1" applyBorder="1" applyAlignment="1">
      <alignment vertical="center"/>
    </xf>
    <xf numFmtId="0" fontId="5" fillId="0" borderId="12" xfId="2" applyFont="1" applyBorder="1" applyAlignment="1">
      <alignment vertical="center"/>
    </xf>
    <xf numFmtId="0" fontId="13" fillId="0" borderId="12" xfId="2" applyFont="1" applyBorder="1" applyAlignment="1">
      <alignment horizontal="left" vertical="center"/>
    </xf>
    <xf numFmtId="15" fontId="8" fillId="6" borderId="24" xfId="3" applyNumberFormat="1" applyFont="1" applyFill="1" applyBorder="1" applyAlignment="1">
      <alignment horizontal="center"/>
    </xf>
    <xf numFmtId="49" fontId="8" fillId="6" borderId="24" xfId="2" applyNumberFormat="1" applyFont="1" applyFill="1" applyBorder="1" applyAlignment="1">
      <alignment horizontal="center"/>
    </xf>
    <xf numFmtId="164" fontId="8" fillId="6" borderId="24" xfId="2" applyNumberFormat="1" applyFont="1" applyFill="1" applyBorder="1"/>
    <xf numFmtId="165" fontId="12" fillId="7" borderId="17" xfId="0" applyNumberFormat="1" applyFont="1" applyFill="1" applyBorder="1" applyAlignment="1">
      <alignment vertical="center"/>
    </xf>
    <xf numFmtId="14" fontId="11" fillId="7" borderId="17" xfId="0" applyNumberFormat="1" applyFont="1" applyFill="1" applyBorder="1" applyAlignment="1">
      <alignment horizontal="center" vertical="center"/>
    </xf>
    <xf numFmtId="165" fontId="11" fillId="7" borderId="17" xfId="0" applyNumberFormat="1" applyFont="1" applyFill="1" applyBorder="1" applyAlignment="1">
      <alignment vertical="center"/>
    </xf>
    <xf numFmtId="0" fontId="11" fillId="7" borderId="17" xfId="0" applyFont="1" applyFill="1" applyBorder="1" applyAlignment="1">
      <alignment vertical="center"/>
    </xf>
    <xf numFmtId="165" fontId="11" fillId="7" borderId="17" xfId="0" applyNumberFormat="1" applyFont="1" applyFill="1" applyBorder="1" applyAlignment="1">
      <alignment horizontal="center" vertical="center"/>
    </xf>
    <xf numFmtId="165" fontId="11" fillId="7" borderId="17" xfId="0" applyNumberFormat="1" applyFont="1" applyFill="1" applyBorder="1" applyAlignment="1">
      <alignment horizontal="right" vertical="center"/>
    </xf>
    <xf numFmtId="164" fontId="11" fillId="7" borderId="25" xfId="1" applyFont="1" applyFill="1" applyBorder="1" applyAlignment="1">
      <alignment horizontal="center" vertical="center"/>
    </xf>
    <xf numFmtId="17" fontId="4" fillId="3" borderId="23" xfId="0" applyNumberFormat="1" applyFont="1" applyFill="1" applyBorder="1" applyAlignment="1">
      <alignment horizontal="center" vertical="center"/>
    </xf>
    <xf numFmtId="49" fontId="4" fillId="3" borderId="23" xfId="0" applyNumberFormat="1" applyFont="1" applyFill="1" applyBorder="1" applyAlignment="1">
      <alignment horizontal="center" vertical="center"/>
    </xf>
    <xf numFmtId="166" fontId="4" fillId="9" borderId="11" xfId="0" applyNumberFormat="1" applyFont="1" applyFill="1" applyBorder="1" applyAlignment="1">
      <alignment horizontal="right" vertical="center"/>
    </xf>
    <xf numFmtId="166" fontId="4" fillId="3" borderId="11" xfId="0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right" vertical="center"/>
    </xf>
    <xf numFmtId="165" fontId="11" fillId="7" borderId="25" xfId="0" applyNumberFormat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5" fillId="8" borderId="11" xfId="0" applyFont="1" applyFill="1" applyBorder="1" applyAlignment="1">
      <alignment horizontal="center"/>
    </xf>
    <xf numFmtId="4" fontId="5" fillId="8" borderId="11" xfId="0" applyNumberFormat="1" applyFont="1" applyFill="1" applyBorder="1"/>
    <xf numFmtId="0" fontId="14" fillId="8" borderId="11" xfId="0" applyFont="1" applyFill="1" applyBorder="1" applyAlignment="1">
      <alignment horizontal="left"/>
    </xf>
    <xf numFmtId="17" fontId="5" fillId="10" borderId="11" xfId="0" applyNumberFormat="1" applyFont="1" applyFill="1" applyBorder="1" applyAlignment="1">
      <alignment horizontal="center"/>
    </xf>
    <xf numFmtId="49" fontId="5" fillId="10" borderId="11" xfId="0" applyNumberFormat="1" applyFont="1" applyFill="1" applyBorder="1" applyAlignment="1">
      <alignment horizontal="center"/>
    </xf>
    <xf numFmtId="166" fontId="5" fillId="10" borderId="11" xfId="0" applyNumberFormat="1" applyFont="1" applyFill="1" applyBorder="1"/>
    <xf numFmtId="165" fontId="5" fillId="9" borderId="11" xfId="0" applyNumberFormat="1" applyFont="1" applyFill="1" applyBorder="1"/>
    <xf numFmtId="17" fontId="5" fillId="9" borderId="11" xfId="0" applyNumberFormat="1" applyFont="1" applyFill="1" applyBorder="1" applyAlignment="1">
      <alignment horizontal="center"/>
    </xf>
    <xf numFmtId="166" fontId="5" fillId="8" borderId="0" xfId="0" applyNumberFormat="1" applyFont="1" applyFill="1" applyAlignment="1">
      <alignment horizontal="right"/>
    </xf>
    <xf numFmtId="166" fontId="5" fillId="8" borderId="0" xfId="0" applyNumberFormat="1" applyFont="1" applyFill="1"/>
    <xf numFmtId="165" fontId="5" fillId="8" borderId="0" xfId="0" applyNumberFormat="1" applyFont="1" applyFill="1"/>
    <xf numFmtId="0" fontId="5" fillId="8" borderId="0" xfId="0" applyFont="1" applyFill="1"/>
    <xf numFmtId="0" fontId="5" fillId="0" borderId="0" xfId="0" applyFont="1"/>
    <xf numFmtId="0" fontId="5" fillId="2" borderId="11" xfId="0" applyFont="1" applyFill="1" applyBorder="1" applyAlignment="1">
      <alignment horizontal="center"/>
    </xf>
    <xf numFmtId="49" fontId="5" fillId="2" borderId="11" xfId="0" applyNumberFormat="1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165" fontId="11" fillId="7" borderId="25" xfId="0" applyNumberFormat="1" applyFont="1" applyFill="1" applyBorder="1" applyAlignment="1">
      <alignment horizontal="right" vertical="center"/>
    </xf>
    <xf numFmtId="0" fontId="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13" fillId="0" borderId="21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166" fontId="5" fillId="2" borderId="21" xfId="0" applyNumberFormat="1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49" fontId="5" fillId="3" borderId="21" xfId="0" applyNumberFormat="1" applyFont="1" applyFill="1" applyBorder="1" applyAlignment="1">
      <alignment horizontal="center" vertical="center"/>
    </xf>
    <xf numFmtId="166" fontId="5" fillId="9" borderId="21" xfId="0" applyNumberFormat="1" applyFont="1" applyFill="1" applyBorder="1" applyAlignment="1">
      <alignment horizontal="right" vertical="center"/>
    </xf>
    <xf numFmtId="164" fontId="5" fillId="9" borderId="22" xfId="1" applyFont="1" applyFill="1" applyBorder="1" applyAlignment="1">
      <alignment horizontal="right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vertical="center"/>
    </xf>
    <xf numFmtId="4" fontId="5" fillId="8" borderId="11" xfId="0" applyNumberFormat="1" applyFont="1" applyFill="1" applyBorder="1" applyAlignment="1">
      <alignment vertical="center"/>
    </xf>
    <xf numFmtId="0" fontId="5" fillId="10" borderId="11" xfId="0" applyFont="1" applyFill="1" applyBorder="1" applyAlignment="1">
      <alignment horizontal="center" vertical="center"/>
    </xf>
    <xf numFmtId="49" fontId="5" fillId="10" borderId="11" xfId="0" applyNumberFormat="1" applyFont="1" applyFill="1" applyBorder="1" applyAlignment="1">
      <alignment horizontal="center" vertical="center"/>
    </xf>
    <xf numFmtId="166" fontId="5" fillId="10" borderId="11" xfId="0" applyNumberFormat="1" applyFont="1" applyFill="1" applyBorder="1" applyAlignment="1">
      <alignment vertical="center"/>
    </xf>
    <xf numFmtId="0" fontId="5" fillId="9" borderId="11" xfId="0" applyFont="1" applyFill="1" applyBorder="1" applyAlignment="1">
      <alignment horizontal="center" vertical="center"/>
    </xf>
    <xf numFmtId="49" fontId="5" fillId="9" borderId="11" xfId="0" applyNumberFormat="1" applyFont="1" applyFill="1" applyBorder="1" applyAlignment="1">
      <alignment horizontal="center" vertical="center"/>
    </xf>
    <xf numFmtId="166" fontId="5" fillId="9" borderId="11" xfId="0" applyNumberFormat="1" applyFont="1" applyFill="1" applyBorder="1" applyAlignment="1">
      <alignment horizontal="right" vertical="center"/>
    </xf>
    <xf numFmtId="164" fontId="5" fillId="9" borderId="13" xfId="1" applyFont="1" applyFill="1" applyBorder="1" applyAlignment="1">
      <alignment horizontal="right" vertical="center"/>
    </xf>
    <xf numFmtId="0" fontId="12" fillId="7" borderId="17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left" vertical="center"/>
    </xf>
    <xf numFmtId="4" fontId="12" fillId="7" borderId="17" xfId="0" applyNumberFormat="1" applyFont="1" applyFill="1" applyBorder="1" applyAlignment="1">
      <alignment horizontal="right" vertical="center"/>
    </xf>
    <xf numFmtId="166" fontId="12" fillId="7" borderId="17" xfId="0" applyNumberFormat="1" applyFont="1" applyFill="1" applyBorder="1" applyAlignment="1">
      <alignment horizontal="center" vertical="center"/>
    </xf>
    <xf numFmtId="166" fontId="12" fillId="7" borderId="17" xfId="0" applyNumberFormat="1" applyFont="1" applyFill="1" applyBorder="1" applyAlignment="1">
      <alignment horizontal="right" vertical="center"/>
    </xf>
    <xf numFmtId="164" fontId="12" fillId="7" borderId="25" xfId="1" applyFont="1" applyFill="1" applyBorder="1" applyAlignment="1">
      <alignment horizontal="right" vertical="center"/>
    </xf>
    <xf numFmtId="0" fontId="6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65" fontId="5" fillId="0" borderId="6" xfId="0" applyNumberFormat="1" applyFont="1" applyBorder="1" applyAlignment="1">
      <alignment horizontal="right" vertical="center"/>
    </xf>
    <xf numFmtId="14" fontId="4" fillId="2" borderId="6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166" fontId="4" fillId="2" borderId="6" xfId="0" applyNumberFormat="1" applyFont="1" applyFill="1" applyBorder="1" applyAlignment="1">
      <alignment horizontal="right" vertical="center"/>
    </xf>
    <xf numFmtId="49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6" fontId="4" fillId="3" borderId="6" xfId="0" applyNumberFormat="1" applyFont="1" applyFill="1" applyBorder="1" applyAlignment="1">
      <alignment horizontal="right" vertical="center"/>
    </xf>
    <xf numFmtId="164" fontId="4" fillId="3" borderId="26" xfId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4" fontId="5" fillId="0" borderId="27" xfId="0" applyNumberFormat="1" applyFont="1" applyBorder="1" applyAlignment="1">
      <alignment horizontal="right" vertical="center"/>
    </xf>
    <xf numFmtId="14" fontId="4" fillId="2" borderId="27" xfId="0" applyNumberFormat="1" applyFont="1" applyFill="1" applyBorder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166" fontId="4" fillId="2" borderId="27" xfId="0" applyNumberFormat="1" applyFont="1" applyFill="1" applyBorder="1" applyAlignment="1">
      <alignment horizontal="right" vertical="center"/>
    </xf>
    <xf numFmtId="164" fontId="4" fillId="2" borderId="27" xfId="1" applyFont="1" applyFill="1" applyBorder="1" applyAlignment="1">
      <alignment horizontal="right" vertical="center"/>
    </xf>
    <xf numFmtId="15" fontId="8" fillId="6" borderId="14" xfId="3" applyNumberFormat="1" applyFont="1" applyFill="1" applyBorder="1" applyAlignment="1">
      <alignment horizontal="center" vertical="center"/>
    </xf>
    <xf numFmtId="49" fontId="8" fillId="6" borderId="14" xfId="2" applyNumberFormat="1" applyFont="1" applyFill="1" applyBorder="1" applyAlignment="1">
      <alignment horizontal="center" vertical="center"/>
    </xf>
    <xf numFmtId="164" fontId="8" fillId="6" borderId="14" xfId="2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49" fontId="4" fillId="3" borderId="27" xfId="0" applyNumberFormat="1" applyFont="1" applyFill="1" applyBorder="1" applyAlignment="1">
      <alignment horizontal="center" vertical="center"/>
    </xf>
    <xf numFmtId="166" fontId="4" fillId="3" borderId="27" xfId="0" applyNumberFormat="1" applyFont="1" applyFill="1" applyBorder="1" applyAlignment="1">
      <alignment horizontal="right" vertical="center"/>
    </xf>
    <xf numFmtId="164" fontId="4" fillId="3" borderId="28" xfId="1" applyFont="1" applyFill="1" applyBorder="1" applyAlignment="1">
      <alignment horizontal="right" vertical="center"/>
    </xf>
    <xf numFmtId="0" fontId="4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164" fontId="5" fillId="0" borderId="27" xfId="1" applyFont="1" applyBorder="1" applyAlignment="1">
      <alignment vertical="center"/>
    </xf>
    <xf numFmtId="0" fontId="4" fillId="2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left" vertical="center"/>
    </xf>
    <xf numFmtId="14" fontId="11" fillId="7" borderId="18" xfId="0" applyNumberFormat="1" applyFont="1" applyFill="1" applyBorder="1" applyAlignment="1">
      <alignment horizontal="center" vertical="center"/>
    </xf>
    <xf numFmtId="49" fontId="11" fillId="7" borderId="18" xfId="0" applyNumberFormat="1" applyFont="1" applyFill="1" applyBorder="1" applyAlignment="1">
      <alignment horizontal="center" vertical="center"/>
    </xf>
    <xf numFmtId="49" fontId="12" fillId="7" borderId="30" xfId="0" applyNumberFormat="1" applyFont="1" applyFill="1" applyBorder="1" applyAlignment="1">
      <alignment horizontal="center" vertical="center"/>
    </xf>
    <xf numFmtId="165" fontId="12" fillId="7" borderId="30" xfId="0" applyNumberFormat="1" applyFont="1" applyFill="1" applyBorder="1" applyAlignment="1">
      <alignment horizontal="center" vertical="center"/>
    </xf>
    <xf numFmtId="165" fontId="12" fillId="7" borderId="30" xfId="0" applyNumberFormat="1" applyFont="1" applyFill="1" applyBorder="1" applyAlignment="1">
      <alignment horizontal="right" vertical="center"/>
    </xf>
    <xf numFmtId="0" fontId="11" fillId="7" borderId="30" xfId="0" applyFont="1" applyFill="1" applyBorder="1" applyAlignment="1">
      <alignment horizontal="center" vertical="center"/>
    </xf>
    <xf numFmtId="49" fontId="11" fillId="7" borderId="30" xfId="0" applyNumberFormat="1" applyFont="1" applyFill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vertical="center"/>
    </xf>
    <xf numFmtId="166" fontId="4" fillId="0" borderId="21" xfId="0" applyNumberFormat="1" applyFont="1" applyBorder="1" applyAlignment="1">
      <alignment horizontal="right" vertical="center"/>
    </xf>
    <xf numFmtId="164" fontId="4" fillId="0" borderId="22" xfId="1" applyFont="1" applyFill="1" applyBorder="1" applyAlignment="1">
      <alignment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vertical="center"/>
    </xf>
    <xf numFmtId="0" fontId="3" fillId="8" borderId="11" xfId="0" applyFont="1" applyFill="1" applyBorder="1" applyAlignment="1">
      <alignment horizontal="left" vertical="center"/>
    </xf>
    <xf numFmtId="164" fontId="8" fillId="4" borderId="12" xfId="3" applyFont="1" applyFill="1" applyBorder="1"/>
    <xf numFmtId="14" fontId="4" fillId="2" borderId="11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166" fontId="4" fillId="10" borderId="11" xfId="0" applyNumberFormat="1" applyFont="1" applyFill="1" applyBorder="1" applyAlignment="1">
      <alignment vertical="center"/>
    </xf>
    <xf numFmtId="17" fontId="8" fillId="4" borderId="12" xfId="2" applyNumberFormat="1" applyFont="1" applyFill="1" applyBorder="1" applyAlignment="1">
      <alignment horizontal="center"/>
    </xf>
    <xf numFmtId="49" fontId="8" fillId="4" borderId="12" xfId="2" applyNumberFormat="1" applyFont="1" applyFill="1" applyBorder="1" applyAlignment="1">
      <alignment horizontal="center"/>
    </xf>
    <xf numFmtId="164" fontId="4" fillId="9" borderId="13" xfId="1" applyFont="1" applyFill="1" applyBorder="1" applyAlignment="1">
      <alignment vertical="center"/>
    </xf>
    <xf numFmtId="165" fontId="4" fillId="8" borderId="0" xfId="0" applyNumberFormat="1" applyFont="1" applyFill="1" applyAlignment="1">
      <alignment vertical="center"/>
    </xf>
    <xf numFmtId="166" fontId="4" fillId="2" borderId="11" xfId="0" applyNumberFormat="1" applyFont="1" applyFill="1" applyBorder="1" applyAlignment="1">
      <alignment vertical="center"/>
    </xf>
    <xf numFmtId="164" fontId="8" fillId="6" borderId="12" xfId="3" applyFont="1" applyFill="1" applyBorder="1" applyAlignment="1">
      <alignment horizontal="center"/>
    </xf>
    <xf numFmtId="164" fontId="8" fillId="6" borderId="12" xfId="3" applyFont="1" applyFill="1" applyBorder="1"/>
    <xf numFmtId="0" fontId="8" fillId="4" borderId="12" xfId="2" applyFont="1" applyFill="1" applyBorder="1" applyAlignment="1">
      <alignment horizontal="left"/>
    </xf>
    <xf numFmtId="49" fontId="4" fillId="0" borderId="0" xfId="0" applyNumberFormat="1" applyFont="1" applyAlignment="1">
      <alignment vertical="center"/>
    </xf>
    <xf numFmtId="166" fontId="4" fillId="2" borderId="23" xfId="0" applyNumberFormat="1" applyFont="1" applyFill="1" applyBorder="1" applyAlignment="1">
      <alignment vertical="center"/>
    </xf>
    <xf numFmtId="0" fontId="10" fillId="8" borderId="11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6" fillId="0" borderId="23" xfId="0" applyFont="1" applyBorder="1" applyAlignment="1">
      <alignment horizontal="left" vertical="center"/>
    </xf>
    <xf numFmtId="49" fontId="4" fillId="2" borderId="2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4" fontId="10" fillId="2" borderId="23" xfId="0" applyNumberFormat="1" applyFont="1" applyFill="1" applyBorder="1" applyAlignment="1">
      <alignment horizontal="center" vertical="center"/>
    </xf>
    <xf numFmtId="49" fontId="10" fillId="2" borderId="23" xfId="0" applyNumberFormat="1" applyFont="1" applyFill="1" applyBorder="1" applyAlignment="1">
      <alignment horizontal="center" vertical="center"/>
    </xf>
    <xf numFmtId="166" fontId="10" fillId="2" borderId="23" xfId="0" applyNumberFormat="1" applyFont="1" applyFill="1" applyBorder="1" applyAlignment="1">
      <alignment vertical="center"/>
    </xf>
    <xf numFmtId="166" fontId="10" fillId="10" borderId="11" xfId="0" applyNumberFormat="1" applyFont="1" applyFill="1" applyBorder="1" applyAlignment="1">
      <alignment vertical="center"/>
    </xf>
    <xf numFmtId="14" fontId="4" fillId="2" borderId="23" xfId="0" applyNumberFormat="1" applyFont="1" applyFill="1" applyBorder="1" applyAlignment="1">
      <alignment horizontal="center" vertical="center"/>
    </xf>
    <xf numFmtId="0" fontId="8" fillId="4" borderId="14" xfId="2" applyFont="1" applyFill="1" applyBorder="1" applyAlignment="1">
      <alignment horizontal="center"/>
    </xf>
    <xf numFmtId="49" fontId="8" fillId="4" borderId="14" xfId="2" applyNumberFormat="1" applyFont="1" applyFill="1" applyBorder="1" applyAlignment="1">
      <alignment horizontal="center"/>
    </xf>
    <xf numFmtId="0" fontId="4" fillId="8" borderId="31" xfId="0" applyFont="1" applyFill="1" applyBorder="1" applyAlignment="1">
      <alignment vertical="center"/>
    </xf>
    <xf numFmtId="0" fontId="3" fillId="8" borderId="6" xfId="0" applyFont="1" applyFill="1" applyBorder="1" applyAlignment="1">
      <alignment horizontal="left" vertical="center"/>
    </xf>
    <xf numFmtId="17" fontId="8" fillId="4" borderId="14" xfId="2" applyNumberFormat="1" applyFont="1" applyFill="1" applyBorder="1" applyAlignment="1">
      <alignment horizontal="center"/>
    </xf>
    <xf numFmtId="0" fontId="4" fillId="8" borderId="23" xfId="0" applyFont="1" applyFill="1" applyBorder="1" applyAlignment="1">
      <alignment vertical="center"/>
    </xf>
    <xf numFmtId="166" fontId="4" fillId="10" borderId="23" xfId="0" applyNumberFormat="1" applyFont="1" applyFill="1" applyBorder="1" applyAlignment="1">
      <alignment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vertical="center"/>
    </xf>
    <xf numFmtId="0" fontId="3" fillId="8" borderId="33" xfId="0" applyFont="1" applyFill="1" applyBorder="1" applyAlignment="1">
      <alignment horizontal="left" vertical="center"/>
    </xf>
    <xf numFmtId="49" fontId="8" fillId="6" borderId="14" xfId="3" applyNumberFormat="1" applyFont="1" applyFill="1" applyBorder="1" applyAlignment="1">
      <alignment horizontal="center"/>
    </xf>
    <xf numFmtId="164" fontId="8" fillId="6" borderId="14" xfId="3" applyFont="1" applyFill="1" applyBorder="1"/>
    <xf numFmtId="17" fontId="8" fillId="4" borderId="14" xfId="3" applyNumberFormat="1" applyFont="1" applyFill="1" applyBorder="1" applyAlignment="1">
      <alignment horizontal="center"/>
    </xf>
    <xf numFmtId="49" fontId="8" fillId="4" borderId="14" xfId="3" applyNumberFormat="1" applyFont="1" applyFill="1" applyBorder="1" applyAlignment="1">
      <alignment horizontal="center"/>
    </xf>
    <xf numFmtId="49" fontId="8" fillId="6" borderId="12" xfId="3" applyNumberFormat="1" applyFont="1" applyFill="1" applyBorder="1" applyAlignment="1">
      <alignment horizontal="center"/>
    </xf>
    <xf numFmtId="15" fontId="8" fillId="6" borderId="16" xfId="3" applyNumberFormat="1" applyFont="1" applyFill="1" applyBorder="1" applyAlignment="1">
      <alignment horizontal="center"/>
    </xf>
    <xf numFmtId="49" fontId="8" fillId="6" borderId="16" xfId="2" applyNumberFormat="1" applyFont="1" applyFill="1" applyBorder="1" applyAlignment="1">
      <alignment horizontal="center"/>
    </xf>
    <xf numFmtId="164" fontId="8" fillId="6" borderId="16" xfId="3" applyFont="1" applyFill="1" applyBorder="1"/>
    <xf numFmtId="0" fontId="4" fillId="8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vertical="center"/>
    </xf>
    <xf numFmtId="166" fontId="4" fillId="2" borderId="6" xfId="0" applyNumberFormat="1" applyFont="1" applyFill="1" applyBorder="1" applyAlignment="1">
      <alignment vertical="center"/>
    </xf>
    <xf numFmtId="166" fontId="4" fillId="10" borderId="6" xfId="0" applyNumberFormat="1" applyFont="1" applyFill="1" applyBorder="1" applyAlignment="1">
      <alignment vertical="center"/>
    </xf>
    <xf numFmtId="0" fontId="8" fillId="4" borderId="14" xfId="2" applyFont="1" applyFill="1" applyBorder="1" applyAlignment="1">
      <alignment horizontal="left"/>
    </xf>
    <xf numFmtId="166" fontId="4" fillId="2" borderId="13" xfId="0" applyNumberFormat="1" applyFont="1" applyFill="1" applyBorder="1" applyAlignment="1">
      <alignment vertical="center"/>
    </xf>
    <xf numFmtId="166" fontId="4" fillId="9" borderId="33" xfId="0" applyNumberFormat="1" applyFont="1" applyFill="1" applyBorder="1" applyAlignment="1">
      <alignment horizontal="right" vertical="center"/>
    </xf>
    <xf numFmtId="0" fontId="8" fillId="4" borderId="24" xfId="2" applyFont="1" applyFill="1" applyBorder="1" applyAlignment="1">
      <alignment horizontal="center"/>
    </xf>
    <xf numFmtId="0" fontId="8" fillId="4" borderId="24" xfId="2" applyFont="1" applyFill="1" applyBorder="1" applyAlignment="1">
      <alignment horizontal="left"/>
    </xf>
    <xf numFmtId="164" fontId="8" fillId="4" borderId="14" xfId="3" applyFont="1" applyFill="1" applyBorder="1"/>
    <xf numFmtId="164" fontId="8" fillId="4" borderId="24" xfId="3" applyFont="1" applyFill="1" applyBorder="1"/>
    <xf numFmtId="0" fontId="8" fillId="4" borderId="27" xfId="2" applyFont="1" applyFill="1" applyBorder="1" applyAlignment="1">
      <alignment horizontal="center"/>
    </xf>
    <xf numFmtId="0" fontId="8" fillId="4" borderId="27" xfId="2" applyFont="1" applyFill="1" applyBorder="1" applyAlignment="1">
      <alignment horizontal="left"/>
    </xf>
    <xf numFmtId="164" fontId="8" fillId="4" borderId="27" xfId="3" applyFont="1" applyFill="1" applyBorder="1"/>
    <xf numFmtId="14" fontId="4" fillId="2" borderId="31" xfId="0" applyNumberFormat="1" applyFont="1" applyFill="1" applyBorder="1" applyAlignment="1">
      <alignment horizontal="center" vertical="center"/>
    </xf>
    <xf numFmtId="166" fontId="4" fillId="2" borderId="26" xfId="0" applyNumberFormat="1" applyFont="1" applyFill="1" applyBorder="1" applyAlignment="1">
      <alignment vertical="center"/>
    </xf>
    <xf numFmtId="0" fontId="8" fillId="4" borderId="34" xfId="2" applyFont="1" applyFill="1" applyBorder="1" applyAlignment="1">
      <alignment horizontal="center"/>
    </xf>
    <xf numFmtId="164" fontId="8" fillId="4" borderId="34" xfId="3" applyFont="1" applyFill="1" applyBorder="1"/>
    <xf numFmtId="166" fontId="4" fillId="2" borderId="35" xfId="0" applyNumberFormat="1" applyFont="1" applyFill="1" applyBorder="1" applyAlignment="1">
      <alignment vertical="center"/>
    </xf>
    <xf numFmtId="164" fontId="8" fillId="6" borderId="24" xfId="3" applyFont="1" applyFill="1" applyBorder="1"/>
    <xf numFmtId="17" fontId="8" fillId="4" borderId="24" xfId="2" applyNumberFormat="1" applyFont="1" applyFill="1" applyBorder="1" applyAlignment="1">
      <alignment horizontal="center"/>
    </xf>
    <xf numFmtId="49" fontId="8" fillId="4" borderId="24" xfId="2" applyNumberFormat="1" applyFont="1" applyFill="1" applyBorder="1" applyAlignment="1">
      <alignment horizontal="center"/>
    </xf>
    <xf numFmtId="166" fontId="4" fillId="9" borderId="31" xfId="0" applyNumberFormat="1" applyFont="1" applyFill="1" applyBorder="1" applyAlignment="1">
      <alignment horizontal="right" vertical="center"/>
    </xf>
    <xf numFmtId="166" fontId="4" fillId="9" borderId="6" xfId="0" applyNumberFormat="1" applyFont="1" applyFill="1" applyBorder="1" applyAlignment="1">
      <alignment horizontal="right" vertical="center"/>
    </xf>
    <xf numFmtId="164" fontId="4" fillId="9" borderId="26" xfId="1" applyFont="1" applyFill="1" applyBorder="1" applyAlignment="1">
      <alignment vertical="center"/>
    </xf>
    <xf numFmtId="0" fontId="11" fillId="6" borderId="30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left" vertical="center"/>
    </xf>
    <xf numFmtId="165" fontId="11" fillId="6" borderId="30" xfId="0" applyNumberFormat="1" applyFont="1" applyFill="1" applyBorder="1" applyAlignment="1">
      <alignment horizontal="right" vertical="center"/>
    </xf>
    <xf numFmtId="14" fontId="11" fillId="6" borderId="30" xfId="0" applyNumberFormat="1" applyFont="1" applyFill="1" applyBorder="1" applyAlignment="1">
      <alignment horizontal="center" vertical="center"/>
    </xf>
    <xf numFmtId="49" fontId="11" fillId="6" borderId="30" xfId="0" applyNumberFormat="1" applyFont="1" applyFill="1" applyBorder="1" applyAlignment="1">
      <alignment horizontal="center" vertical="center"/>
    </xf>
    <xf numFmtId="165" fontId="11" fillId="6" borderId="30" xfId="0" applyNumberFormat="1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right" vertical="center"/>
    </xf>
    <xf numFmtId="165" fontId="11" fillId="6" borderId="36" xfId="0" applyNumberFormat="1" applyFont="1" applyFill="1" applyBorder="1" applyAlignment="1">
      <alignment horizontal="right" vertical="center"/>
    </xf>
    <xf numFmtId="49" fontId="10" fillId="0" borderId="21" xfId="0" applyNumberFormat="1" applyFont="1" applyBorder="1" applyAlignment="1">
      <alignment horizontal="center" vertical="center"/>
    </xf>
    <xf numFmtId="166" fontId="10" fillId="0" borderId="21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164" fontId="4" fillId="3" borderId="22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7" fillId="4" borderId="12" xfId="2" applyFont="1" applyFill="1" applyBorder="1" applyAlignment="1">
      <alignment horizontal="left"/>
    </xf>
    <xf numFmtId="0" fontId="18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66" fontId="10" fillId="0" borderId="11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vertical="center"/>
    </xf>
    <xf numFmtId="0" fontId="8" fillId="4" borderId="12" xfId="2" applyFont="1" applyFill="1" applyBorder="1" applyAlignment="1">
      <alignment horizontal="center"/>
    </xf>
    <xf numFmtId="165" fontId="5" fillId="8" borderId="11" xfId="0" applyNumberFormat="1" applyFont="1" applyFill="1" applyBorder="1" applyAlignment="1">
      <alignment vertical="center"/>
    </xf>
    <xf numFmtId="14" fontId="4" fillId="10" borderId="11" xfId="0" applyNumberFormat="1" applyFont="1" applyFill="1" applyBorder="1" applyAlignment="1">
      <alignment horizontal="center" vertical="center"/>
    </xf>
    <xf numFmtId="49" fontId="4" fillId="10" borderId="11" xfId="0" applyNumberFormat="1" applyFont="1" applyFill="1" applyBorder="1" applyAlignment="1">
      <alignment horizontal="center" vertical="center"/>
    </xf>
    <xf numFmtId="0" fontId="17" fillId="4" borderId="12" xfId="2" applyFont="1" applyFill="1" applyBorder="1"/>
    <xf numFmtId="14" fontId="4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vertical="center"/>
    </xf>
    <xf numFmtId="166" fontId="4" fillId="0" borderId="11" xfId="0" applyNumberFormat="1" applyFont="1" applyBorder="1" applyAlignment="1">
      <alignment horizontal="right" vertical="center"/>
    </xf>
    <xf numFmtId="164" fontId="4" fillId="0" borderId="13" xfId="1" applyFont="1" applyFill="1" applyBorder="1" applyAlignment="1">
      <alignment vertical="center"/>
    </xf>
    <xf numFmtId="17" fontId="19" fillId="4" borderId="12" xfId="2" applyNumberFormat="1" applyFont="1" applyFill="1" applyBorder="1" applyAlignment="1">
      <alignment vertical="center"/>
    </xf>
    <xf numFmtId="17" fontId="19" fillId="4" borderId="12" xfId="2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5" fillId="0" borderId="11" xfId="0" applyFont="1" applyBorder="1" applyAlignment="1">
      <alignment vertical="center"/>
    </xf>
    <xf numFmtId="0" fontId="13" fillId="0" borderId="11" xfId="0" applyFont="1" applyBorder="1" applyAlignment="1">
      <alignment horizontal="left" vertical="center"/>
    </xf>
    <xf numFmtId="4" fontId="5" fillId="0" borderId="11" xfId="0" applyNumberFormat="1" applyFont="1" applyBorder="1" applyAlignment="1">
      <alignment vertical="center"/>
    </xf>
    <xf numFmtId="43" fontId="4" fillId="2" borderId="11" xfId="0" applyNumberFormat="1" applyFont="1" applyFill="1" applyBorder="1" applyAlignment="1">
      <alignment vertical="center"/>
    </xf>
    <xf numFmtId="17" fontId="19" fillId="4" borderId="37" xfId="2" applyNumberFormat="1" applyFont="1" applyFill="1" applyBorder="1" applyAlignment="1">
      <alignment vertical="center"/>
    </xf>
    <xf numFmtId="17" fontId="19" fillId="4" borderId="38" xfId="2" applyNumberFormat="1" applyFont="1" applyFill="1" applyBorder="1" applyAlignment="1">
      <alignment vertical="center"/>
    </xf>
    <xf numFmtId="164" fontId="10" fillId="3" borderId="13" xfId="1" applyFont="1" applyFill="1" applyBorder="1" applyAlignment="1">
      <alignment vertical="center"/>
    </xf>
    <xf numFmtId="0" fontId="11" fillId="6" borderId="17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left" vertical="center"/>
    </xf>
    <xf numFmtId="165" fontId="12" fillId="6" borderId="17" xfId="0" applyNumberFormat="1" applyFont="1" applyFill="1" applyBorder="1" applyAlignment="1">
      <alignment horizontal="right" vertical="center"/>
    </xf>
    <xf numFmtId="14" fontId="11" fillId="6" borderId="17" xfId="0" applyNumberFormat="1" applyFont="1" applyFill="1" applyBorder="1" applyAlignment="1">
      <alignment horizontal="center" vertical="center"/>
    </xf>
    <xf numFmtId="49" fontId="11" fillId="6" borderId="17" xfId="0" applyNumberFormat="1" applyFont="1" applyFill="1" applyBorder="1" applyAlignment="1">
      <alignment horizontal="center" vertical="center"/>
    </xf>
    <xf numFmtId="165" fontId="20" fillId="6" borderId="17" xfId="0" applyNumberFormat="1" applyFont="1" applyFill="1" applyBorder="1" applyAlignment="1">
      <alignment horizontal="right" vertical="center"/>
    </xf>
    <xf numFmtId="165" fontId="11" fillId="6" borderId="17" xfId="0" applyNumberFormat="1" applyFont="1" applyFill="1" applyBorder="1" applyAlignment="1">
      <alignment horizontal="right" vertical="center"/>
    </xf>
    <xf numFmtId="0" fontId="11" fillId="6" borderId="17" xfId="0" applyFont="1" applyFill="1" applyBorder="1" applyAlignment="1">
      <alignment horizontal="right" vertical="center"/>
    </xf>
    <xf numFmtId="165" fontId="11" fillId="6" borderId="17" xfId="0" applyNumberFormat="1" applyFont="1" applyFill="1" applyBorder="1" applyAlignment="1">
      <alignment horizontal="center" vertical="center"/>
    </xf>
    <xf numFmtId="165" fontId="11" fillId="6" borderId="25" xfId="0" applyNumberFormat="1" applyFont="1" applyFill="1" applyBorder="1" applyAlignment="1">
      <alignment horizontal="right" vertical="center"/>
    </xf>
    <xf numFmtId="0" fontId="17" fillId="4" borderId="39" xfId="2" applyFont="1" applyFill="1" applyBorder="1"/>
    <xf numFmtId="165" fontId="10" fillId="0" borderId="21" xfId="0" applyNumberFormat="1" applyFont="1" applyBorder="1" applyAlignment="1">
      <alignment vertical="center"/>
    </xf>
    <xf numFmtId="40" fontId="4" fillId="2" borderId="11" xfId="0" applyNumberFormat="1" applyFont="1" applyFill="1" applyBorder="1" applyAlignment="1">
      <alignment vertical="center"/>
    </xf>
    <xf numFmtId="40" fontId="4" fillId="3" borderId="11" xfId="0" applyNumberFormat="1" applyFont="1" applyFill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8" fillId="4" borderId="14" xfId="2" applyFont="1" applyFill="1" applyBorder="1"/>
    <xf numFmtId="166" fontId="5" fillId="0" borderId="23" xfId="0" applyNumberFormat="1" applyFont="1" applyBorder="1" applyAlignment="1">
      <alignment horizontal="right" vertical="center"/>
    </xf>
    <xf numFmtId="40" fontId="4" fillId="2" borderId="23" xfId="0" applyNumberFormat="1" applyFont="1" applyFill="1" applyBorder="1" applyAlignment="1">
      <alignment vertical="center"/>
    </xf>
    <xf numFmtId="15" fontId="8" fillId="6" borderId="12" xfId="3" applyNumberFormat="1" applyFont="1" applyFill="1" applyBorder="1" applyAlignment="1">
      <alignment horizontal="center" vertical="center"/>
    </xf>
    <xf numFmtId="166" fontId="8" fillId="6" borderId="12" xfId="2" applyNumberFormat="1" applyFont="1" applyFill="1" applyBorder="1" applyAlignment="1">
      <alignment horizontal="center" vertical="center"/>
    </xf>
    <xf numFmtId="166" fontId="8" fillId="6" borderId="14" xfId="2" applyNumberFormat="1" applyFont="1" applyFill="1" applyBorder="1" applyAlignment="1">
      <alignment horizontal="right" vertical="center"/>
    </xf>
    <xf numFmtId="0" fontId="4" fillId="3" borderId="23" xfId="0" applyFont="1" applyFill="1" applyBorder="1" applyAlignment="1">
      <alignment horizontal="center" vertical="center"/>
    </xf>
    <xf numFmtId="40" fontId="4" fillId="3" borderId="23" xfId="0" applyNumberFormat="1" applyFont="1" applyFill="1" applyBorder="1" applyAlignment="1">
      <alignment horizontal="right" vertical="center"/>
    </xf>
    <xf numFmtId="164" fontId="4" fillId="3" borderId="40" xfId="1" applyFont="1" applyFill="1" applyBorder="1" applyAlignment="1">
      <alignment vertical="center"/>
    </xf>
    <xf numFmtId="166" fontId="5" fillId="0" borderId="11" xfId="0" applyNumberFormat="1" applyFont="1" applyBorder="1" applyAlignment="1">
      <alignment horizontal="right" vertical="center"/>
    </xf>
    <xf numFmtId="166" fontId="8" fillId="6" borderId="12" xfId="2" applyNumberFormat="1" applyFont="1" applyFill="1" applyBorder="1" applyAlignment="1">
      <alignment horizontal="right" vertical="center"/>
    </xf>
    <xf numFmtId="0" fontId="8" fillId="4" borderId="16" xfId="2" applyFont="1" applyFill="1" applyBorder="1"/>
    <xf numFmtId="166" fontId="5" fillId="0" borderId="6" xfId="0" applyNumberFormat="1" applyFont="1" applyBorder="1" applyAlignment="1">
      <alignment horizontal="right" vertical="center"/>
    </xf>
    <xf numFmtId="15" fontId="8" fillId="6" borderId="16" xfId="3" applyNumberFormat="1" applyFont="1" applyFill="1" applyBorder="1" applyAlignment="1">
      <alignment horizontal="center" vertical="center"/>
    </xf>
    <xf numFmtId="166" fontId="8" fillId="6" borderId="16" xfId="2" applyNumberFormat="1" applyFont="1" applyFill="1" applyBorder="1" applyAlignment="1">
      <alignment horizontal="center" vertical="center"/>
    </xf>
    <xf numFmtId="166" fontId="8" fillId="6" borderId="16" xfId="2" applyNumberFormat="1" applyFont="1" applyFill="1" applyBorder="1" applyAlignment="1">
      <alignment horizontal="right" vertical="center"/>
    </xf>
    <xf numFmtId="166" fontId="5" fillId="0" borderId="40" xfId="0" applyNumberFormat="1" applyFont="1" applyBorder="1" applyAlignment="1">
      <alignment horizontal="right" vertical="center"/>
    </xf>
    <xf numFmtId="14" fontId="4" fillId="2" borderId="41" xfId="0" applyNumberFormat="1" applyFont="1" applyFill="1" applyBorder="1" applyAlignment="1">
      <alignment horizontal="center" vertical="center"/>
    </xf>
    <xf numFmtId="166" fontId="8" fillId="6" borderId="14" xfId="2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165" fontId="5" fillId="8" borderId="26" xfId="0" applyNumberFormat="1" applyFont="1" applyFill="1" applyBorder="1" applyAlignment="1">
      <alignment vertical="center"/>
    </xf>
    <xf numFmtId="14" fontId="4" fillId="10" borderId="41" xfId="0" applyNumberFormat="1" applyFont="1" applyFill="1" applyBorder="1" applyAlignment="1">
      <alignment horizontal="center" vertical="center"/>
    </xf>
    <xf numFmtId="17" fontId="4" fillId="9" borderId="6" xfId="0" applyNumberFormat="1" applyFont="1" applyFill="1" applyBorder="1" applyAlignment="1">
      <alignment horizontal="center" vertical="center"/>
    </xf>
    <xf numFmtId="49" fontId="4" fillId="9" borderId="6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49" fontId="3" fillId="6" borderId="17" xfId="0" applyNumberFormat="1" applyFont="1" applyFill="1" applyBorder="1" applyAlignment="1">
      <alignment horizontal="left" vertical="center"/>
    </xf>
    <xf numFmtId="165" fontId="11" fillId="6" borderId="17" xfId="0" applyNumberFormat="1" applyFont="1" applyFill="1" applyBorder="1" applyAlignment="1">
      <alignment vertical="center"/>
    </xf>
    <xf numFmtId="166" fontId="11" fillId="6" borderId="17" xfId="0" applyNumberFormat="1" applyFont="1" applyFill="1" applyBorder="1" applyAlignment="1">
      <alignment vertical="center"/>
    </xf>
    <xf numFmtId="49" fontId="20" fillId="6" borderId="17" xfId="0" applyNumberFormat="1" applyFont="1" applyFill="1" applyBorder="1" applyAlignment="1">
      <alignment horizontal="center" vertical="center"/>
    </xf>
    <xf numFmtId="165" fontId="20" fillId="6" borderId="17" xfId="0" applyNumberFormat="1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49" fontId="11" fillId="6" borderId="18" xfId="0" applyNumberFormat="1" applyFont="1" applyFill="1" applyBorder="1" applyAlignment="1">
      <alignment horizontal="center" vertical="center"/>
    </xf>
    <xf numFmtId="166" fontId="11" fillId="6" borderId="18" xfId="0" applyNumberFormat="1" applyFont="1" applyFill="1" applyBorder="1" applyAlignment="1">
      <alignment horizontal="right" vertical="center"/>
    </xf>
    <xf numFmtId="164" fontId="11" fillId="6" borderId="42" xfId="1" applyFont="1" applyFill="1" applyBorder="1" applyAlignment="1">
      <alignment vertical="center"/>
    </xf>
    <xf numFmtId="49" fontId="3" fillId="0" borderId="6" xfId="0" applyNumberFormat="1" applyFont="1" applyBorder="1" applyAlignment="1">
      <alignment horizontal="left" vertical="center"/>
    </xf>
    <xf numFmtId="49" fontId="10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vertical="center"/>
    </xf>
    <xf numFmtId="164" fontId="4" fillId="3" borderId="26" xfId="1" applyFont="1" applyFill="1" applyBorder="1" applyAlignment="1">
      <alignment vertical="center"/>
    </xf>
    <xf numFmtId="49" fontId="3" fillId="0" borderId="11" xfId="0" applyNumberFormat="1" applyFont="1" applyBorder="1" applyAlignment="1">
      <alignment horizontal="left" vertical="center"/>
    </xf>
    <xf numFmtId="17" fontId="8" fillId="4" borderId="12" xfId="3" applyNumberFormat="1" applyFont="1" applyFill="1" applyBorder="1" applyAlignment="1">
      <alignment horizontal="center"/>
    </xf>
    <xf numFmtId="49" fontId="8" fillId="4" borderId="12" xfId="3" applyNumberFormat="1" applyFont="1" applyFill="1" applyBorder="1" applyAlignment="1">
      <alignment horizontal="center"/>
    </xf>
    <xf numFmtId="0" fontId="4" fillId="0" borderId="23" xfId="0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  <xf numFmtId="164" fontId="8" fillId="6" borderId="14" xfId="3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4" fontId="5" fillId="0" borderId="11" xfId="0" applyNumberFormat="1" applyFont="1" applyBorder="1" applyAlignment="1">
      <alignment horizontal="right" vertical="center"/>
    </xf>
    <xf numFmtId="17" fontId="5" fillId="2" borderId="11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" fontId="5" fillId="0" borderId="6" xfId="0" applyNumberFormat="1" applyFont="1" applyBorder="1" applyAlignment="1">
      <alignment vertical="center"/>
    </xf>
    <xf numFmtId="165" fontId="12" fillId="6" borderId="17" xfId="0" applyNumberFormat="1" applyFont="1" applyFill="1" applyBorder="1" applyAlignment="1">
      <alignment vertical="center"/>
    </xf>
    <xf numFmtId="166" fontId="20" fillId="6" borderId="17" xfId="0" applyNumberFormat="1" applyFont="1" applyFill="1" applyBorder="1" applyAlignment="1">
      <alignment vertical="center"/>
    </xf>
    <xf numFmtId="166" fontId="11" fillId="6" borderId="17" xfId="0" applyNumberFormat="1" applyFont="1" applyFill="1" applyBorder="1" applyAlignment="1">
      <alignment horizontal="right" vertical="center"/>
    </xf>
    <xf numFmtId="164" fontId="11" fillId="6" borderId="25" xfId="1" applyFont="1" applyFill="1" applyBorder="1" applyAlignment="1">
      <alignment vertical="center"/>
    </xf>
    <xf numFmtId="164" fontId="4" fillId="3" borderId="22" xfId="1" applyFont="1" applyFill="1" applyBorder="1" applyAlignment="1">
      <alignment horizontal="right" vertical="center"/>
    </xf>
    <xf numFmtId="165" fontId="5" fillId="0" borderId="11" xfId="0" applyNumberFormat="1" applyFont="1" applyBorder="1" applyAlignment="1">
      <alignment horizontal="right" vertical="center"/>
    </xf>
    <xf numFmtId="2" fontId="4" fillId="2" borderId="11" xfId="0" applyNumberFormat="1" applyFont="1" applyFill="1" applyBorder="1" applyAlignment="1">
      <alignment horizontal="right" vertical="center"/>
    </xf>
    <xf numFmtId="164" fontId="8" fillId="6" borderId="16" xfId="2" applyNumberFormat="1" applyFont="1" applyFill="1" applyBorder="1"/>
    <xf numFmtId="0" fontId="4" fillId="8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horizontal="right" vertical="center"/>
    </xf>
    <xf numFmtId="14" fontId="10" fillId="2" borderId="21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164" fontId="10" fillId="2" borderId="21" xfId="1" applyFont="1" applyFill="1" applyBorder="1" applyAlignment="1">
      <alignment horizontal="right" vertical="center"/>
    </xf>
    <xf numFmtId="166" fontId="10" fillId="2" borderId="21" xfId="0" applyNumberFormat="1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5" fontId="8" fillId="6" borderId="39" xfId="3" applyNumberFormat="1" applyFont="1" applyFill="1" applyBorder="1" applyAlignment="1">
      <alignment horizontal="center" vertical="center"/>
    </xf>
    <xf numFmtId="164" fontId="8" fillId="6" borderId="39" xfId="3" applyFont="1" applyFill="1" applyBorder="1" applyAlignment="1">
      <alignment horizontal="center" vertical="center"/>
    </xf>
    <xf numFmtId="164" fontId="8" fillId="6" borderId="39" xfId="3" applyFont="1" applyFill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2" fontId="4" fillId="2" borderId="21" xfId="0" applyNumberFormat="1" applyFont="1" applyFill="1" applyBorder="1" applyAlignment="1">
      <alignment horizontal="right" vertical="center"/>
    </xf>
    <xf numFmtId="0" fontId="21" fillId="0" borderId="11" xfId="0" applyFont="1" applyBorder="1" applyAlignment="1">
      <alignment horizontal="left" vertical="center" wrapText="1"/>
    </xf>
    <xf numFmtId="0" fontId="19" fillId="4" borderId="12" xfId="2" applyFont="1" applyFill="1" applyBorder="1"/>
    <xf numFmtId="0" fontId="11" fillId="6" borderId="17" xfId="0" applyFont="1" applyFill="1" applyBorder="1" applyAlignment="1">
      <alignment vertical="center"/>
    </xf>
    <xf numFmtId="49" fontId="5" fillId="0" borderId="11" xfId="0" applyNumberFormat="1" applyFont="1" applyBorder="1" applyAlignment="1">
      <alignment horizontal="center" vertical="center"/>
    </xf>
    <xf numFmtId="164" fontId="4" fillId="3" borderId="13" xfId="1" applyFont="1" applyFill="1" applyBorder="1" applyAlignment="1">
      <alignment horizontal="right" vertical="center"/>
    </xf>
    <xf numFmtId="164" fontId="8" fillId="6" borderId="12" xfId="3" applyFont="1" applyFill="1" applyBorder="1" applyAlignment="1">
      <alignment horizontal="center" vertical="center"/>
    </xf>
    <xf numFmtId="164" fontId="8" fillId="6" borderId="12" xfId="3" applyFont="1" applyFill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0" borderId="6" xfId="0" applyNumberFormat="1" applyFont="1" applyBorder="1" applyAlignment="1">
      <alignment horizontal="right" vertical="center"/>
    </xf>
    <xf numFmtId="164" fontId="4" fillId="0" borderId="26" xfId="1" applyFont="1" applyFill="1" applyBorder="1" applyAlignment="1">
      <alignment vertical="center"/>
    </xf>
    <xf numFmtId="0" fontId="11" fillId="7" borderId="6" xfId="0" applyFont="1" applyFill="1" applyBorder="1" applyAlignment="1">
      <alignment horizontal="center" vertical="center"/>
    </xf>
    <xf numFmtId="0" fontId="22" fillId="7" borderId="19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/>
    </xf>
    <xf numFmtId="165" fontId="12" fillId="7" borderId="6" xfId="0" applyNumberFormat="1" applyFont="1" applyFill="1" applyBorder="1" applyAlignment="1">
      <alignment vertical="center"/>
    </xf>
    <xf numFmtId="14" fontId="11" fillId="7" borderId="6" xfId="0" applyNumberFormat="1" applyFont="1" applyFill="1" applyBorder="1" applyAlignment="1">
      <alignment horizontal="center" vertical="center"/>
    </xf>
    <xf numFmtId="49" fontId="11" fillId="7" borderId="6" xfId="0" applyNumberFormat="1" applyFont="1" applyFill="1" applyBorder="1" applyAlignment="1">
      <alignment horizontal="center" vertical="center"/>
    </xf>
    <xf numFmtId="165" fontId="11" fillId="7" borderId="6" xfId="0" applyNumberFormat="1" applyFont="1" applyFill="1" applyBorder="1" applyAlignment="1">
      <alignment vertical="center"/>
    </xf>
    <xf numFmtId="49" fontId="12" fillId="7" borderId="6" xfId="0" applyNumberFormat="1" applyFont="1" applyFill="1" applyBorder="1" applyAlignment="1">
      <alignment horizontal="center" vertical="center"/>
    </xf>
    <xf numFmtId="165" fontId="12" fillId="7" borderId="6" xfId="0" applyNumberFormat="1" applyFont="1" applyFill="1" applyBorder="1" applyAlignment="1">
      <alignment horizontal="center" vertical="center"/>
    </xf>
    <xf numFmtId="165" fontId="11" fillId="7" borderId="6" xfId="0" applyNumberFormat="1" applyFont="1" applyFill="1" applyBorder="1" applyAlignment="1">
      <alignment horizontal="right" vertical="center"/>
    </xf>
    <xf numFmtId="164" fontId="11" fillId="7" borderId="26" xfId="1" applyFont="1" applyFill="1" applyBorder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3" fillId="0" borderId="43" xfId="0" applyFont="1" applyBorder="1" applyAlignment="1">
      <alignment horizontal="left" vertical="center"/>
    </xf>
    <xf numFmtId="4" fontId="5" fillId="0" borderId="45" xfId="0" applyNumberFormat="1" applyFont="1" applyBorder="1" applyAlignment="1">
      <alignment vertical="center"/>
    </xf>
    <xf numFmtId="0" fontId="4" fillId="2" borderId="43" xfId="0" applyFont="1" applyFill="1" applyBorder="1" applyAlignment="1">
      <alignment horizontal="center" vertical="center"/>
    </xf>
    <xf numFmtId="49" fontId="4" fillId="2" borderId="43" xfId="0" applyNumberFormat="1" applyFont="1" applyFill="1" applyBorder="1" applyAlignment="1">
      <alignment horizontal="center" vertical="center"/>
    </xf>
    <xf numFmtId="165" fontId="4" fillId="2" borderId="43" xfId="0" applyNumberFormat="1" applyFont="1" applyFill="1" applyBorder="1" applyAlignment="1">
      <alignment vertical="center"/>
    </xf>
    <xf numFmtId="49" fontId="5" fillId="0" borderId="43" xfId="0" applyNumberFormat="1" applyFont="1" applyBorder="1" applyAlignment="1">
      <alignment horizontal="center" vertical="center"/>
    </xf>
    <xf numFmtId="165" fontId="5" fillId="0" borderId="43" xfId="0" applyNumberFormat="1" applyFont="1" applyBorder="1" applyAlignment="1">
      <alignment horizontal="center" vertical="center"/>
    </xf>
    <xf numFmtId="165" fontId="5" fillId="0" borderId="43" xfId="0" applyNumberFormat="1" applyFont="1" applyBorder="1" applyAlignment="1">
      <alignment vertical="center"/>
    </xf>
    <xf numFmtId="0" fontId="4" fillId="3" borderId="43" xfId="0" applyFont="1" applyFill="1" applyBorder="1" applyAlignment="1">
      <alignment horizontal="center" vertical="center"/>
    </xf>
    <xf numFmtId="49" fontId="4" fillId="3" borderId="43" xfId="0" applyNumberFormat="1" applyFont="1" applyFill="1" applyBorder="1" applyAlignment="1">
      <alignment horizontal="center" vertical="center"/>
    </xf>
    <xf numFmtId="166" fontId="4" fillId="3" borderId="43" xfId="0" applyNumberFormat="1" applyFont="1" applyFill="1" applyBorder="1" applyAlignment="1">
      <alignment horizontal="right" vertical="center"/>
    </xf>
    <xf numFmtId="164" fontId="4" fillId="3" borderId="46" xfId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/>
    </xf>
    <xf numFmtId="165" fontId="4" fillId="2" borderId="21" xfId="0" applyNumberFormat="1" applyFont="1" applyFill="1" applyBorder="1" applyAlignment="1">
      <alignment vertical="center"/>
    </xf>
    <xf numFmtId="165" fontId="5" fillId="0" borderId="21" xfId="0" applyNumberFormat="1" applyFont="1" applyBorder="1" applyAlignment="1">
      <alignment horizontal="center" vertical="center"/>
    </xf>
    <xf numFmtId="0" fontId="8" fillId="4" borderId="39" xfId="2" applyFont="1" applyFill="1" applyBorder="1" applyAlignment="1">
      <alignment horizontal="center"/>
    </xf>
    <xf numFmtId="0" fontId="8" fillId="4" borderId="39" xfId="2" applyFont="1" applyFill="1" applyBorder="1" applyAlignment="1">
      <alignment horizontal="left"/>
    </xf>
    <xf numFmtId="4" fontId="8" fillId="2" borderId="12" xfId="3" applyNumberFormat="1" applyFont="1" applyFill="1" applyBorder="1"/>
    <xf numFmtId="15" fontId="8" fillId="6" borderId="39" xfId="3" applyNumberFormat="1" applyFont="1" applyFill="1" applyBorder="1" applyAlignment="1">
      <alignment horizontal="center"/>
    </xf>
    <xf numFmtId="49" fontId="8" fillId="6" borderId="39" xfId="2" applyNumberFormat="1" applyFont="1" applyFill="1" applyBorder="1" applyAlignment="1">
      <alignment horizontal="center"/>
    </xf>
    <xf numFmtId="164" fontId="8" fillId="6" borderId="39" xfId="3" applyFont="1" applyFill="1" applyBorder="1"/>
    <xf numFmtId="164" fontId="8" fillId="4" borderId="39" xfId="3" applyFont="1" applyFill="1" applyBorder="1"/>
    <xf numFmtId="0" fontId="4" fillId="0" borderId="11" xfId="0" applyFont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4" fontId="12" fillId="6" borderId="18" xfId="0" applyNumberFormat="1" applyFont="1" applyFill="1" applyBorder="1" applyAlignment="1">
      <alignment horizontal="center" vertical="center"/>
    </xf>
    <xf numFmtId="49" fontId="12" fillId="6" borderId="18" xfId="0" applyNumberFormat="1" applyFont="1" applyFill="1" applyBorder="1" applyAlignment="1">
      <alignment horizontal="center" vertical="center"/>
    </xf>
    <xf numFmtId="165" fontId="12" fillId="6" borderId="18" xfId="0" applyNumberFormat="1" applyFont="1" applyFill="1" applyBorder="1" applyAlignment="1">
      <alignment horizontal="center" vertical="center"/>
    </xf>
    <xf numFmtId="0" fontId="11" fillId="11" borderId="47" xfId="0" applyFont="1" applyFill="1" applyBorder="1" applyAlignment="1">
      <alignment horizontal="center" vertical="center"/>
    </xf>
    <xf numFmtId="0" fontId="22" fillId="11" borderId="47" xfId="0" applyFont="1" applyFill="1" applyBorder="1" applyAlignment="1">
      <alignment horizontal="center" vertical="center"/>
    </xf>
    <xf numFmtId="0" fontId="3" fillId="11" borderId="47" xfId="0" applyFont="1" applyFill="1" applyBorder="1" applyAlignment="1">
      <alignment horizontal="left" vertical="center"/>
    </xf>
    <xf numFmtId="165" fontId="11" fillId="11" borderId="47" xfId="0" applyNumberFormat="1" applyFont="1" applyFill="1" applyBorder="1" applyAlignment="1">
      <alignment vertical="center"/>
    </xf>
    <xf numFmtId="14" fontId="11" fillId="11" borderId="47" xfId="0" applyNumberFormat="1" applyFont="1" applyFill="1" applyBorder="1" applyAlignment="1">
      <alignment horizontal="center" vertical="center"/>
    </xf>
    <xf numFmtId="49" fontId="11" fillId="11" borderId="47" xfId="0" applyNumberFormat="1" applyFont="1" applyFill="1" applyBorder="1" applyAlignment="1">
      <alignment horizontal="center" vertical="center"/>
    </xf>
    <xf numFmtId="0" fontId="11" fillId="11" borderId="47" xfId="0" applyFont="1" applyFill="1" applyBorder="1" applyAlignment="1">
      <alignment vertical="center"/>
    </xf>
    <xf numFmtId="165" fontId="11" fillId="11" borderId="47" xfId="0" applyNumberFormat="1" applyFont="1" applyFill="1" applyBorder="1" applyAlignment="1">
      <alignment horizontal="center" vertical="center"/>
    </xf>
    <xf numFmtId="165" fontId="11" fillId="11" borderId="47" xfId="0" applyNumberFormat="1" applyFont="1" applyFill="1" applyBorder="1" applyAlignment="1">
      <alignment horizontal="right" vertical="center"/>
    </xf>
    <xf numFmtId="165" fontId="11" fillId="11" borderId="48" xfId="0" applyNumberFormat="1" applyFont="1" applyFill="1" applyBorder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4" fillId="0" borderId="0" xfId="1" applyFont="1" applyFill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165" fontId="4" fillId="3" borderId="6" xfId="0" applyNumberFormat="1" applyFont="1" applyFill="1" applyBorder="1" applyAlignment="1">
      <alignment horizontal="right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left" vertical="center"/>
    </xf>
    <xf numFmtId="0" fontId="3" fillId="13" borderId="11" xfId="0" applyFont="1" applyFill="1" applyBorder="1" applyAlignment="1">
      <alignment horizontal="left" vertical="center"/>
    </xf>
    <xf numFmtId="165" fontId="5" fillId="13" borderId="33" xfId="0" applyNumberFormat="1" applyFont="1" applyFill="1" applyBorder="1" applyAlignment="1">
      <alignment horizontal="right" vertical="center"/>
    </xf>
    <xf numFmtId="14" fontId="4" fillId="14" borderId="11" xfId="0" applyNumberFormat="1" applyFont="1" applyFill="1" applyBorder="1" applyAlignment="1">
      <alignment horizontal="center" vertical="center"/>
    </xf>
    <xf numFmtId="49" fontId="4" fillId="14" borderId="11" xfId="0" applyNumberFormat="1" applyFont="1" applyFill="1" applyBorder="1" applyAlignment="1">
      <alignment horizontal="center" vertical="center"/>
    </xf>
    <xf numFmtId="4" fontId="4" fillId="14" borderId="11" xfId="0" applyNumberFormat="1" applyFont="1" applyFill="1" applyBorder="1" applyAlignment="1">
      <alignment horizontal="right" vertical="center"/>
    </xf>
    <xf numFmtId="166" fontId="4" fillId="14" borderId="11" xfId="0" applyNumberFormat="1" applyFont="1" applyFill="1" applyBorder="1" applyAlignment="1">
      <alignment vertical="center"/>
    </xf>
    <xf numFmtId="165" fontId="4" fillId="0" borderId="21" xfId="0" applyNumberFormat="1" applyFont="1" applyBorder="1" applyAlignment="1">
      <alignment horizontal="right" vertical="center"/>
    </xf>
    <xf numFmtId="0" fontId="4" fillId="15" borderId="11" xfId="0" applyFont="1" applyFill="1" applyBorder="1" applyAlignment="1">
      <alignment horizontal="center" vertical="center"/>
    </xf>
    <xf numFmtId="49" fontId="4" fillId="15" borderId="11" xfId="0" applyNumberFormat="1" applyFont="1" applyFill="1" applyBorder="1" applyAlignment="1">
      <alignment horizontal="center" vertical="center"/>
    </xf>
    <xf numFmtId="166" fontId="4" fillId="15" borderId="11" xfId="0" applyNumberFormat="1" applyFont="1" applyFill="1" applyBorder="1" applyAlignment="1">
      <alignment horizontal="right" vertical="center"/>
    </xf>
    <xf numFmtId="164" fontId="4" fillId="15" borderId="13" xfId="1" applyFont="1" applyFill="1" applyBorder="1" applyAlignment="1">
      <alignment horizontal="right" vertical="center"/>
    </xf>
    <xf numFmtId="0" fontId="4" fillId="0" borderId="49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49" fontId="16" fillId="0" borderId="11" xfId="0" applyNumberFormat="1" applyFont="1" applyBorder="1" applyAlignment="1">
      <alignment vertical="center"/>
    </xf>
    <xf numFmtId="4" fontId="10" fillId="0" borderId="11" xfId="0" applyNumberFormat="1" applyFont="1" applyBorder="1" applyAlignment="1">
      <alignment vertical="center"/>
    </xf>
    <xf numFmtId="49" fontId="5" fillId="8" borderId="11" xfId="0" applyNumberFormat="1" applyFont="1" applyFill="1" applyBorder="1" applyAlignment="1">
      <alignment horizontal="center" vertical="center"/>
    </xf>
    <xf numFmtId="165" fontId="5" fillId="8" borderId="11" xfId="0" applyNumberFormat="1" applyFont="1" applyFill="1" applyBorder="1" applyAlignment="1">
      <alignment horizontal="right" vertical="center"/>
    </xf>
    <xf numFmtId="49" fontId="4" fillId="15" borderId="50" xfId="0" applyNumberFormat="1" applyFont="1" applyFill="1" applyBorder="1" applyAlignment="1">
      <alignment horizontal="center" vertical="center"/>
    </xf>
    <xf numFmtId="166" fontId="4" fillId="15" borderId="33" xfId="0" applyNumberFormat="1" applyFont="1" applyFill="1" applyBorder="1" applyAlignment="1">
      <alignment horizontal="right" vertical="center"/>
    </xf>
    <xf numFmtId="166" fontId="4" fillId="15" borderId="50" xfId="0" applyNumberFormat="1" applyFont="1" applyFill="1" applyBorder="1" applyAlignment="1">
      <alignment horizontal="right" vertical="center"/>
    </xf>
    <xf numFmtId="164" fontId="4" fillId="15" borderId="49" xfId="1" applyFont="1" applyFill="1" applyBorder="1" applyAlignment="1">
      <alignment horizontal="right" vertical="center"/>
    </xf>
    <xf numFmtId="49" fontId="3" fillId="0" borderId="11" xfId="0" applyNumberFormat="1" applyFont="1" applyBorder="1" applyAlignment="1">
      <alignment vertical="center"/>
    </xf>
    <xf numFmtId="4" fontId="5" fillId="0" borderId="33" xfId="0" applyNumberFormat="1" applyFont="1" applyBorder="1" applyAlignment="1">
      <alignment vertical="center"/>
    </xf>
    <xf numFmtId="14" fontId="4" fillId="14" borderId="13" xfId="0" applyNumberFormat="1" applyFont="1" applyFill="1" applyBorder="1" applyAlignment="1">
      <alignment horizontal="center" vertical="center"/>
    </xf>
    <xf numFmtId="49" fontId="4" fillId="14" borderId="51" xfId="0" applyNumberFormat="1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vertical="center"/>
    </xf>
    <xf numFmtId="0" fontId="3" fillId="16" borderId="11" xfId="0" applyFont="1" applyFill="1" applyBorder="1" applyAlignment="1">
      <alignment horizontal="left" vertical="center"/>
    </xf>
    <xf numFmtId="165" fontId="5" fillId="16" borderId="11" xfId="0" applyNumberFormat="1" applyFont="1" applyFill="1" applyBorder="1" applyAlignment="1">
      <alignment vertical="center"/>
    </xf>
    <xf numFmtId="14" fontId="4" fillId="17" borderId="13" xfId="0" applyNumberFormat="1" applyFont="1" applyFill="1" applyBorder="1" applyAlignment="1">
      <alignment horizontal="center" vertical="center"/>
    </xf>
    <xf numFmtId="49" fontId="4" fillId="17" borderId="51" xfId="0" applyNumberFormat="1" applyFont="1" applyFill="1" applyBorder="1" applyAlignment="1">
      <alignment horizontal="center" vertical="center"/>
    </xf>
    <xf numFmtId="166" fontId="4" fillId="17" borderId="11" xfId="0" applyNumberFormat="1" applyFont="1" applyFill="1" applyBorder="1" applyAlignment="1">
      <alignment vertical="center"/>
    </xf>
    <xf numFmtId="0" fontId="4" fillId="18" borderId="11" xfId="0" applyFont="1" applyFill="1" applyBorder="1" applyAlignment="1">
      <alignment horizontal="center" vertical="center"/>
    </xf>
    <xf numFmtId="49" fontId="4" fillId="18" borderId="50" xfId="0" applyNumberFormat="1" applyFont="1" applyFill="1" applyBorder="1" applyAlignment="1">
      <alignment horizontal="center" vertical="center"/>
    </xf>
    <xf numFmtId="166" fontId="4" fillId="18" borderId="33" xfId="0" applyNumberFormat="1" applyFont="1" applyFill="1" applyBorder="1" applyAlignment="1">
      <alignment horizontal="right" vertical="center"/>
    </xf>
    <xf numFmtId="166" fontId="4" fillId="18" borderId="50" xfId="0" applyNumberFormat="1" applyFont="1" applyFill="1" applyBorder="1" applyAlignment="1">
      <alignment horizontal="right" vertical="center"/>
    </xf>
    <xf numFmtId="164" fontId="4" fillId="18" borderId="49" xfId="1" applyFont="1" applyFill="1" applyBorder="1" applyAlignment="1">
      <alignment horizontal="right" vertical="center"/>
    </xf>
    <xf numFmtId="0" fontId="3" fillId="0" borderId="49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14" fontId="4" fillId="2" borderId="52" xfId="0" applyNumberFormat="1" applyFont="1" applyFill="1" applyBorder="1" applyAlignment="1">
      <alignment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4" fillId="2" borderId="52" xfId="0" applyFont="1" applyFill="1" applyBorder="1" applyAlignment="1">
      <alignment vertical="center"/>
    </xf>
    <xf numFmtId="0" fontId="4" fillId="3" borderId="49" xfId="0" applyFont="1" applyFill="1" applyBorder="1" applyAlignment="1">
      <alignment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right" vertical="center"/>
    </xf>
    <xf numFmtId="0" fontId="4" fillId="3" borderId="32" xfId="0" applyFont="1" applyFill="1" applyBorder="1" applyAlignment="1">
      <alignment horizontal="right" vertical="center"/>
    </xf>
    <xf numFmtId="164" fontId="4" fillId="3" borderId="49" xfId="1" applyFont="1" applyFill="1" applyBorder="1" applyAlignment="1">
      <alignment vertical="center"/>
    </xf>
    <xf numFmtId="49" fontId="4" fillId="0" borderId="32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horizontal="left" vertical="center"/>
    </xf>
    <xf numFmtId="0" fontId="4" fillId="2" borderId="52" xfId="0" applyFont="1" applyFill="1" applyBorder="1" applyAlignment="1">
      <alignment horizontal="center" vertical="center"/>
    </xf>
    <xf numFmtId="164" fontId="4" fillId="2" borderId="49" xfId="1" applyFont="1" applyFill="1" applyBorder="1" applyAlignment="1">
      <alignment vertical="center"/>
    </xf>
    <xf numFmtId="0" fontId="4" fillId="3" borderId="53" xfId="0" applyFont="1" applyFill="1" applyBorder="1" applyAlignment="1">
      <alignment horizontal="center" vertical="center"/>
    </xf>
    <xf numFmtId="164" fontId="4" fillId="3" borderId="49" xfId="1" applyFont="1" applyFill="1" applyBorder="1" applyAlignment="1">
      <alignment horizontal="right" vertical="center"/>
    </xf>
    <xf numFmtId="164" fontId="4" fillId="3" borderId="32" xfId="1" applyFont="1" applyFill="1" applyBorder="1" applyAlignment="1">
      <alignment horizontal="right" vertical="center"/>
    </xf>
    <xf numFmtId="164" fontId="4" fillId="3" borderId="49" xfId="1" applyFont="1" applyFill="1" applyBorder="1" applyAlignment="1">
      <alignment horizontal="center" vertical="center"/>
    </xf>
    <xf numFmtId="0" fontId="4" fillId="0" borderId="54" xfId="0" applyFont="1" applyBorder="1" applyAlignment="1">
      <alignment vertical="center"/>
    </xf>
    <xf numFmtId="49" fontId="4" fillId="0" borderId="55" xfId="0" applyNumberFormat="1" applyFont="1" applyBorder="1" applyAlignment="1">
      <alignment vertical="center"/>
    </xf>
    <xf numFmtId="49" fontId="3" fillId="0" borderId="55" xfId="0" applyNumberFormat="1" applyFont="1" applyBorder="1" applyAlignment="1">
      <alignment horizontal="left" vertical="center"/>
    </xf>
    <xf numFmtId="0" fontId="5" fillId="0" borderId="54" xfId="0" applyFont="1" applyBorder="1" applyAlignment="1">
      <alignment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164" fontId="4" fillId="2" borderId="54" xfId="1" applyFont="1" applyFill="1" applyBorder="1" applyAlignment="1">
      <alignment vertical="center"/>
    </xf>
    <xf numFmtId="0" fontId="4" fillId="2" borderId="56" xfId="0" applyFont="1" applyFill="1" applyBorder="1" applyAlignment="1">
      <alignment vertical="center"/>
    </xf>
    <xf numFmtId="49" fontId="5" fillId="8" borderId="57" xfId="0" applyNumberFormat="1" applyFont="1" applyFill="1" applyBorder="1" applyAlignment="1">
      <alignment horizontal="center" vertical="center"/>
    </xf>
    <xf numFmtId="165" fontId="5" fillId="8" borderId="57" xfId="0" applyNumberFormat="1" applyFont="1" applyFill="1" applyBorder="1" applyAlignment="1">
      <alignment horizontal="right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164" fontId="4" fillId="3" borderId="54" xfId="1" applyFont="1" applyFill="1" applyBorder="1" applyAlignment="1">
      <alignment horizontal="right" vertical="center"/>
    </xf>
    <xf numFmtId="164" fontId="4" fillId="3" borderId="55" xfId="1" applyFont="1" applyFill="1" applyBorder="1" applyAlignment="1">
      <alignment horizontal="right" vertical="center"/>
    </xf>
    <xf numFmtId="164" fontId="4" fillId="3" borderId="54" xfId="1" applyFont="1" applyFill="1" applyBorder="1" applyAlignment="1">
      <alignment horizontal="center" vertical="center"/>
    </xf>
    <xf numFmtId="0" fontId="11" fillId="19" borderId="17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left" vertical="center"/>
    </xf>
    <xf numFmtId="165" fontId="12" fillId="19" borderId="17" xfId="0" applyNumberFormat="1" applyFont="1" applyFill="1" applyBorder="1" applyAlignment="1">
      <alignment vertical="center"/>
    </xf>
    <xf numFmtId="14" fontId="11" fillId="19" borderId="25" xfId="0" applyNumberFormat="1" applyFont="1" applyFill="1" applyBorder="1" applyAlignment="1">
      <alignment horizontal="center" vertical="center"/>
    </xf>
    <xf numFmtId="49" fontId="11" fillId="19" borderId="17" xfId="0" applyNumberFormat="1" applyFont="1" applyFill="1" applyBorder="1" applyAlignment="1">
      <alignment horizontal="center" vertical="center"/>
    </xf>
    <xf numFmtId="165" fontId="11" fillId="19" borderId="17" xfId="0" applyNumberFormat="1" applyFont="1" applyFill="1" applyBorder="1" applyAlignment="1">
      <alignment vertical="center"/>
    </xf>
    <xf numFmtId="49" fontId="12" fillId="19" borderId="17" xfId="0" applyNumberFormat="1" applyFont="1" applyFill="1" applyBorder="1" applyAlignment="1">
      <alignment horizontal="center" vertical="center"/>
    </xf>
    <xf numFmtId="0" fontId="11" fillId="19" borderId="17" xfId="0" applyFont="1" applyFill="1" applyBorder="1" applyAlignment="1">
      <alignment vertical="center"/>
    </xf>
    <xf numFmtId="165" fontId="11" fillId="19" borderId="17" xfId="0" applyNumberFormat="1" applyFont="1" applyFill="1" applyBorder="1" applyAlignment="1">
      <alignment horizontal="center" vertical="center"/>
    </xf>
    <xf numFmtId="165" fontId="11" fillId="19" borderId="17" xfId="0" applyNumberFormat="1" applyFont="1" applyFill="1" applyBorder="1" applyAlignment="1">
      <alignment horizontal="right" vertical="center"/>
    </xf>
    <xf numFmtId="164" fontId="11" fillId="19" borderId="25" xfId="1" applyFont="1" applyFill="1" applyBorder="1" applyAlignment="1">
      <alignment vertical="center"/>
    </xf>
    <xf numFmtId="0" fontId="4" fillId="8" borderId="43" xfId="0" applyFont="1" applyFill="1" applyBorder="1" applyAlignment="1">
      <alignment horizontal="center" vertical="center"/>
    </xf>
    <xf numFmtId="0" fontId="6" fillId="8" borderId="43" xfId="0" applyFont="1" applyFill="1" applyBorder="1" applyAlignment="1">
      <alignment horizontal="left" vertical="center"/>
    </xf>
    <xf numFmtId="0" fontId="3" fillId="8" borderId="43" xfId="0" applyFont="1" applyFill="1" applyBorder="1" applyAlignment="1">
      <alignment horizontal="left" vertical="center"/>
    </xf>
    <xf numFmtId="165" fontId="5" fillId="8" borderId="43" xfId="0" applyNumberFormat="1" applyFont="1" applyFill="1" applyBorder="1" applyAlignment="1">
      <alignment vertical="center"/>
    </xf>
    <xf numFmtId="14" fontId="4" fillId="10" borderId="43" xfId="0" applyNumberFormat="1" applyFont="1" applyFill="1" applyBorder="1" applyAlignment="1">
      <alignment horizontal="center" vertical="center"/>
    </xf>
    <xf numFmtId="49" fontId="4" fillId="10" borderId="43" xfId="0" applyNumberFormat="1" applyFont="1" applyFill="1" applyBorder="1" applyAlignment="1">
      <alignment horizontal="center" vertical="center"/>
    </xf>
    <xf numFmtId="165" fontId="4" fillId="10" borderId="43" xfId="0" applyNumberFormat="1" applyFont="1" applyFill="1" applyBorder="1" applyAlignment="1">
      <alignment vertical="center"/>
    </xf>
    <xf numFmtId="49" fontId="5" fillId="8" borderId="43" xfId="0" applyNumberFormat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49" fontId="4" fillId="9" borderId="43" xfId="0" applyNumberFormat="1" applyFont="1" applyFill="1" applyBorder="1" applyAlignment="1">
      <alignment horizontal="center" vertical="center"/>
    </xf>
    <xf numFmtId="165" fontId="4" fillId="9" borderId="43" xfId="0" applyNumberFormat="1" applyFont="1" applyFill="1" applyBorder="1" applyAlignment="1">
      <alignment horizontal="right" vertical="center"/>
    </xf>
    <xf numFmtId="164" fontId="4" fillId="9" borderId="46" xfId="1" applyFont="1" applyFill="1" applyBorder="1" applyAlignment="1">
      <alignment vertical="center"/>
    </xf>
    <xf numFmtId="14" fontId="11" fillId="19" borderId="17" xfId="0" applyNumberFormat="1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left" vertical="center"/>
    </xf>
    <xf numFmtId="165" fontId="11" fillId="8" borderId="17" xfId="0" applyNumberFormat="1" applyFont="1" applyFill="1" applyBorder="1" applyAlignment="1">
      <alignment vertical="center"/>
    </xf>
    <xf numFmtId="14" fontId="11" fillId="10" borderId="17" xfId="0" applyNumberFormat="1" applyFont="1" applyFill="1" applyBorder="1" applyAlignment="1">
      <alignment horizontal="center" vertical="center"/>
    </xf>
    <xf numFmtId="49" fontId="11" fillId="10" borderId="17" xfId="0" applyNumberFormat="1" applyFont="1" applyFill="1" applyBorder="1" applyAlignment="1">
      <alignment horizontal="center" vertical="center"/>
    </xf>
    <xf numFmtId="164" fontId="11" fillId="10" borderId="17" xfId="1" applyFont="1" applyFill="1" applyBorder="1" applyAlignment="1">
      <alignment vertical="center"/>
    </xf>
    <xf numFmtId="164" fontId="11" fillId="8" borderId="17" xfId="1" applyFont="1" applyFill="1" applyBorder="1" applyAlignment="1">
      <alignment horizontal="center" vertical="center"/>
    </xf>
    <xf numFmtId="164" fontId="11" fillId="8" borderId="17" xfId="1" applyFont="1" applyFill="1" applyBorder="1" applyAlignment="1">
      <alignment vertical="center"/>
    </xf>
    <xf numFmtId="0" fontId="11" fillId="9" borderId="17" xfId="1" applyNumberFormat="1" applyFont="1" applyFill="1" applyBorder="1" applyAlignment="1">
      <alignment horizontal="center" vertical="center"/>
    </xf>
    <xf numFmtId="164" fontId="11" fillId="9" borderId="17" xfId="1" applyFont="1" applyFill="1" applyBorder="1" applyAlignment="1">
      <alignment horizontal="center" vertical="center"/>
    </xf>
    <xf numFmtId="164" fontId="11" fillId="9" borderId="17" xfId="1" applyFont="1" applyFill="1" applyBorder="1" applyAlignment="1">
      <alignment horizontal="right" vertical="center"/>
    </xf>
    <xf numFmtId="164" fontId="11" fillId="9" borderId="25" xfId="1" applyFont="1" applyFill="1" applyBorder="1" applyAlignment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8" fillId="0" borderId="0" xfId="2" applyFont="1"/>
    <xf numFmtId="164" fontId="8" fillId="0" borderId="0" xfId="1" applyFont="1" applyFill="1"/>
    <xf numFmtId="0" fontId="8" fillId="0" borderId="0" xfId="0" applyFont="1"/>
    <xf numFmtId="0" fontId="9" fillId="4" borderId="61" xfId="2" applyFont="1" applyFill="1" applyBorder="1" applyAlignment="1">
      <alignment horizontal="center"/>
    </xf>
    <xf numFmtId="0" fontId="9" fillId="4" borderId="61" xfId="2" applyFont="1" applyFill="1" applyBorder="1" applyAlignment="1">
      <alignment horizontal="left"/>
    </xf>
    <xf numFmtId="164" fontId="9" fillId="4" borderId="61" xfId="3" applyFont="1" applyFill="1" applyBorder="1"/>
    <xf numFmtId="17" fontId="9" fillId="4" borderId="61" xfId="3" applyNumberFormat="1" applyFont="1" applyFill="1" applyBorder="1" applyAlignment="1">
      <alignment horizontal="center"/>
    </xf>
    <xf numFmtId="49" fontId="9" fillId="4" borderId="61" xfId="3" applyNumberFormat="1" applyFont="1" applyFill="1" applyBorder="1" applyAlignment="1">
      <alignment horizontal="center"/>
    </xf>
    <xf numFmtId="4" fontId="9" fillId="4" borderId="61" xfId="3" applyNumberFormat="1" applyFont="1" applyFill="1" applyBorder="1"/>
    <xf numFmtId="49" fontId="9" fillId="3" borderId="61" xfId="3" applyNumberFormat="1" applyFont="1" applyFill="1" applyBorder="1" applyAlignment="1">
      <alignment horizontal="center"/>
    </xf>
    <xf numFmtId="164" fontId="9" fillId="3" borderId="61" xfId="3" applyFont="1" applyFill="1" applyBorder="1"/>
    <xf numFmtId="0" fontId="9" fillId="4" borderId="61" xfId="3" applyNumberFormat="1" applyFont="1" applyFill="1" applyBorder="1" applyAlignment="1">
      <alignment horizontal="center"/>
    </xf>
    <xf numFmtId="0" fontId="9" fillId="4" borderId="0" xfId="0" applyFont="1" applyFill="1"/>
    <xf numFmtId="164" fontId="9" fillId="4" borderId="0" xfId="1" applyFont="1" applyFill="1"/>
    <xf numFmtId="0" fontId="9" fillId="4" borderId="39" xfId="2" applyFont="1" applyFill="1" applyBorder="1" applyAlignment="1">
      <alignment horizontal="center"/>
    </xf>
    <xf numFmtId="0" fontId="9" fillId="4" borderId="39" xfId="2" applyFont="1" applyFill="1" applyBorder="1" applyAlignment="1">
      <alignment horizontal="left"/>
    </xf>
    <xf numFmtId="164" fontId="9" fillId="4" borderId="39" xfId="3" applyFont="1" applyFill="1" applyBorder="1"/>
    <xf numFmtId="0" fontId="9" fillId="4" borderId="39" xfId="3" applyNumberFormat="1" applyFont="1" applyFill="1" applyBorder="1" applyAlignment="1">
      <alignment horizontal="center"/>
    </xf>
    <xf numFmtId="49" fontId="9" fillId="4" borderId="39" xfId="3" applyNumberFormat="1" applyFont="1" applyFill="1" applyBorder="1" applyAlignment="1">
      <alignment horizontal="center"/>
    </xf>
    <xf numFmtId="4" fontId="9" fillId="4" borderId="39" xfId="3" applyNumberFormat="1" applyFont="1" applyFill="1" applyBorder="1"/>
    <xf numFmtId="49" fontId="9" fillId="3" borderId="39" xfId="3" applyNumberFormat="1" applyFont="1" applyFill="1" applyBorder="1" applyAlignment="1">
      <alignment horizontal="center"/>
    </xf>
    <xf numFmtId="164" fontId="9" fillId="3" borderId="39" xfId="3" applyFont="1" applyFill="1" applyBorder="1"/>
    <xf numFmtId="4" fontId="9" fillId="4" borderId="12" xfId="3" applyNumberFormat="1" applyFont="1" applyFill="1" applyBorder="1"/>
    <xf numFmtId="0" fontId="9" fillId="4" borderId="62" xfId="2" applyFont="1" applyFill="1" applyBorder="1" applyAlignment="1">
      <alignment horizontal="center"/>
    </xf>
    <xf numFmtId="0" fontId="9" fillId="4" borderId="62" xfId="2" applyFont="1" applyFill="1" applyBorder="1" applyAlignment="1">
      <alignment horizontal="left"/>
    </xf>
    <xf numFmtId="164" fontId="9" fillId="4" borderId="62" xfId="3" applyFont="1" applyFill="1" applyBorder="1"/>
    <xf numFmtId="17" fontId="9" fillId="4" borderId="62" xfId="3" applyNumberFormat="1" applyFont="1" applyFill="1" applyBorder="1" applyAlignment="1">
      <alignment horizontal="center"/>
    </xf>
    <xf numFmtId="49" fontId="9" fillId="4" borderId="62" xfId="3" applyNumberFormat="1" applyFont="1" applyFill="1" applyBorder="1" applyAlignment="1">
      <alignment horizontal="center"/>
    </xf>
    <xf numFmtId="4" fontId="9" fillId="4" borderId="62" xfId="3" applyNumberFormat="1" applyFont="1" applyFill="1" applyBorder="1"/>
    <xf numFmtId="49" fontId="9" fillId="3" borderId="62" xfId="3" applyNumberFormat="1" applyFont="1" applyFill="1" applyBorder="1" applyAlignment="1">
      <alignment horizontal="center"/>
    </xf>
    <xf numFmtId="164" fontId="9" fillId="3" borderId="62" xfId="3" applyFont="1" applyFill="1" applyBorder="1"/>
    <xf numFmtId="0" fontId="9" fillId="4" borderId="62" xfId="3" applyNumberFormat="1" applyFont="1" applyFill="1" applyBorder="1" applyAlignment="1">
      <alignment horizontal="center"/>
    </xf>
    <xf numFmtId="0" fontId="25" fillId="21" borderId="63" xfId="2" applyFont="1" applyFill="1" applyBorder="1" applyAlignment="1">
      <alignment horizontal="center"/>
    </xf>
    <xf numFmtId="0" fontId="26" fillId="21" borderId="63" xfId="2" applyFont="1" applyFill="1" applyBorder="1" applyAlignment="1">
      <alignment horizontal="center"/>
    </xf>
    <xf numFmtId="0" fontId="25" fillId="21" borderId="63" xfId="2" applyFont="1" applyFill="1" applyBorder="1" applyAlignment="1">
      <alignment horizontal="left"/>
    </xf>
    <xf numFmtId="164" fontId="25" fillId="21" borderId="63" xfId="3" applyFont="1" applyFill="1" applyBorder="1"/>
    <xf numFmtId="0" fontId="25" fillId="21" borderId="63" xfId="3" applyNumberFormat="1" applyFont="1" applyFill="1" applyBorder="1" applyAlignment="1">
      <alignment horizontal="center"/>
    </xf>
    <xf numFmtId="49" fontId="25" fillId="21" borderId="63" xfId="3" applyNumberFormat="1" applyFont="1" applyFill="1" applyBorder="1" applyAlignment="1">
      <alignment horizontal="center"/>
    </xf>
    <xf numFmtId="4" fontId="25" fillId="21" borderId="63" xfId="3" applyNumberFormat="1" applyFont="1" applyFill="1" applyBorder="1"/>
    <xf numFmtId="164" fontId="25" fillId="21" borderId="63" xfId="1" applyFont="1" applyFill="1" applyBorder="1"/>
    <xf numFmtId="43" fontId="9" fillId="4" borderId="0" xfId="0" applyNumberFormat="1" applyFont="1" applyFill="1"/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164" fontId="9" fillId="0" borderId="0" xfId="3" applyFont="1" applyFill="1" applyBorder="1"/>
    <xf numFmtId="0" fontId="9" fillId="0" borderId="0" xfId="3" applyNumberFormat="1" applyFont="1" applyFill="1" applyBorder="1" applyAlignment="1">
      <alignment horizontal="center"/>
    </xf>
    <xf numFmtId="49" fontId="9" fillId="0" borderId="0" xfId="3" applyNumberFormat="1" applyFont="1" applyFill="1" applyBorder="1" applyAlignment="1">
      <alignment horizontal="center"/>
    </xf>
    <xf numFmtId="4" fontId="9" fillId="0" borderId="0" xfId="3" applyNumberFormat="1" applyFont="1" applyFill="1" applyBorder="1"/>
    <xf numFmtId="164" fontId="9" fillId="0" borderId="0" xfId="1" applyFont="1" applyFill="1" applyBorder="1"/>
    <xf numFmtId="0" fontId="9" fillId="0" borderId="0" xfId="0" applyFont="1"/>
    <xf numFmtId="164" fontId="9" fillId="0" borderId="0" xfId="1" applyFont="1" applyFill="1"/>
    <xf numFmtId="0" fontId="9" fillId="4" borderId="27" xfId="2" applyFont="1" applyFill="1" applyBorder="1" applyAlignment="1">
      <alignment horizontal="center"/>
    </xf>
    <xf numFmtId="0" fontId="9" fillId="4" borderId="27" xfId="2" applyFont="1" applyFill="1" applyBorder="1" applyAlignment="1">
      <alignment horizontal="left"/>
    </xf>
    <xf numFmtId="164" fontId="9" fillId="4" borderId="27" xfId="3" applyFont="1" applyFill="1" applyBorder="1"/>
    <xf numFmtId="0" fontId="9" fillId="4" borderId="27" xfId="3" applyNumberFormat="1" applyFont="1" applyFill="1" applyBorder="1" applyAlignment="1">
      <alignment horizontal="center"/>
    </xf>
    <xf numFmtId="49" fontId="9" fillId="4" borderId="27" xfId="3" applyNumberFormat="1" applyFont="1" applyFill="1" applyBorder="1" applyAlignment="1">
      <alignment horizontal="center"/>
    </xf>
    <xf numFmtId="4" fontId="9" fillId="4" borderId="27" xfId="3" applyNumberFormat="1" applyFont="1" applyFill="1" applyBorder="1"/>
    <xf numFmtId="49" fontId="9" fillId="3" borderId="27" xfId="3" applyNumberFormat="1" applyFont="1" applyFill="1" applyBorder="1" applyAlignment="1">
      <alignment horizontal="center"/>
    </xf>
    <xf numFmtId="164" fontId="9" fillId="3" borderId="27" xfId="3" applyFont="1" applyFill="1" applyBorder="1"/>
    <xf numFmtId="0" fontId="9" fillId="4" borderId="16" xfId="2" applyFont="1" applyFill="1" applyBorder="1" applyAlignment="1">
      <alignment horizontal="center"/>
    </xf>
    <xf numFmtId="0" fontId="9" fillId="4" borderId="16" xfId="2" applyFont="1" applyFill="1" applyBorder="1" applyAlignment="1">
      <alignment horizontal="left"/>
    </xf>
    <xf numFmtId="164" fontId="9" fillId="4" borderId="16" xfId="3" applyFont="1" applyFill="1" applyBorder="1"/>
    <xf numFmtId="0" fontId="9" fillId="4" borderId="16" xfId="3" applyNumberFormat="1" applyFont="1" applyFill="1" applyBorder="1" applyAlignment="1">
      <alignment horizontal="center"/>
    </xf>
    <xf numFmtId="49" fontId="9" fillId="4" borderId="16" xfId="3" applyNumberFormat="1" applyFont="1" applyFill="1" applyBorder="1" applyAlignment="1">
      <alignment horizontal="center"/>
    </xf>
    <xf numFmtId="4" fontId="9" fillId="4" borderId="16" xfId="3" applyNumberFormat="1" applyFont="1" applyFill="1" applyBorder="1"/>
    <xf numFmtId="0" fontId="8" fillId="4" borderId="12" xfId="3" applyNumberFormat="1" applyFont="1" applyFill="1" applyBorder="1" applyAlignment="1">
      <alignment horizontal="center"/>
    </xf>
    <xf numFmtId="0" fontId="19" fillId="4" borderId="16" xfId="2" applyFont="1" applyFill="1" applyBorder="1" applyAlignment="1">
      <alignment horizontal="left"/>
    </xf>
    <xf numFmtId="49" fontId="8" fillId="6" borderId="16" xfId="3" applyNumberFormat="1" applyFont="1" applyFill="1" applyBorder="1" applyAlignment="1">
      <alignment horizontal="center"/>
    </xf>
    <xf numFmtId="0" fontId="8" fillId="4" borderId="16" xfId="3" applyNumberFormat="1" applyFont="1" applyFill="1" applyBorder="1" applyAlignment="1">
      <alignment horizontal="center"/>
    </xf>
    <xf numFmtId="49" fontId="8" fillId="4" borderId="16" xfId="3" applyNumberFormat="1" applyFont="1" applyFill="1" applyBorder="1" applyAlignment="1">
      <alignment horizontal="center"/>
    </xf>
    <xf numFmtId="164" fontId="5" fillId="0" borderId="0" xfId="0" applyNumberFormat="1" applyFont="1" applyAlignment="1">
      <alignment vertical="center"/>
    </xf>
    <xf numFmtId="164" fontId="11" fillId="0" borderId="64" xfId="1" applyFont="1" applyFill="1" applyBorder="1" applyAlignment="1">
      <alignment vertical="center"/>
    </xf>
    <xf numFmtId="1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164" fontId="4" fillId="3" borderId="0" xfId="1" applyFont="1" applyFill="1" applyAlignment="1">
      <alignment vertical="center"/>
    </xf>
    <xf numFmtId="164" fontId="4" fillId="2" borderId="11" xfId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4" fillId="3" borderId="23" xfId="1" applyFont="1" applyFill="1" applyBorder="1" applyAlignment="1">
      <alignment horizontal="right" vertical="center"/>
    </xf>
    <xf numFmtId="164" fontId="4" fillId="7" borderId="19" xfId="1" applyFont="1" applyFill="1" applyBorder="1" applyAlignment="1">
      <alignment horizontal="right" vertical="center"/>
    </xf>
    <xf numFmtId="164" fontId="4" fillId="7" borderId="20" xfId="1" applyFont="1" applyFill="1" applyBorder="1" applyAlignment="1">
      <alignment vertical="center"/>
    </xf>
    <xf numFmtId="15" fontId="8" fillId="6" borderId="0" xfId="3" applyNumberFormat="1" applyFont="1" applyFill="1" applyBorder="1" applyAlignment="1">
      <alignment horizontal="center"/>
    </xf>
    <xf numFmtId="49" fontId="8" fillId="6" borderId="0" xfId="2" applyNumberFormat="1" applyFont="1" applyFill="1" applyAlignment="1">
      <alignment horizontal="center"/>
    </xf>
    <xf numFmtId="164" fontId="8" fillId="6" borderId="0" xfId="3" applyFont="1" applyFill="1" applyBorder="1"/>
    <xf numFmtId="17" fontId="8" fillId="4" borderId="0" xfId="2" applyNumberFormat="1" applyFont="1" applyFill="1" applyAlignment="1">
      <alignment horizontal="center"/>
    </xf>
    <xf numFmtId="49" fontId="8" fillId="4" borderId="65" xfId="2" applyNumberFormat="1" applyFont="1" applyFill="1" applyBorder="1" applyAlignment="1">
      <alignment horizontal="center"/>
    </xf>
    <xf numFmtId="166" fontId="4" fillId="2" borderId="66" xfId="0" applyNumberFormat="1" applyFont="1" applyFill="1" applyBorder="1" applyAlignment="1">
      <alignment vertical="center"/>
    </xf>
    <xf numFmtId="15" fontId="8" fillId="6" borderId="60" xfId="3" applyNumberFormat="1" applyFont="1" applyFill="1" applyBorder="1" applyAlignment="1">
      <alignment horizontal="center"/>
    </xf>
    <xf numFmtId="49" fontId="8" fillId="6" borderId="60" xfId="2" applyNumberFormat="1" applyFont="1" applyFill="1" applyBorder="1" applyAlignment="1">
      <alignment horizontal="center"/>
    </xf>
    <xf numFmtId="164" fontId="8" fillId="6" borderId="60" xfId="3" applyFont="1" applyFill="1" applyBorder="1"/>
    <xf numFmtId="17" fontId="8" fillId="4" borderId="60" xfId="2" applyNumberFormat="1" applyFont="1" applyFill="1" applyBorder="1" applyAlignment="1">
      <alignment horizontal="center"/>
    </xf>
    <xf numFmtId="49" fontId="8" fillId="4" borderId="67" xfId="2" applyNumberFormat="1" applyFont="1" applyFill="1" applyBorder="1" applyAlignment="1">
      <alignment horizontal="center"/>
    </xf>
    <xf numFmtId="164" fontId="11" fillId="0" borderId="0" xfId="0" applyNumberFormat="1" applyFont="1" applyAlignment="1">
      <alignment vertical="center"/>
    </xf>
    <xf numFmtId="164" fontId="4" fillId="0" borderId="0" xfId="1" applyFont="1" applyAlignment="1">
      <alignment vertical="center"/>
    </xf>
    <xf numFmtId="164" fontId="11" fillId="0" borderId="0" xfId="1" applyFont="1" applyAlignment="1">
      <alignment vertical="center"/>
    </xf>
    <xf numFmtId="164" fontId="5" fillId="8" borderId="0" xfId="1" applyFont="1" applyFill="1"/>
    <xf numFmtId="164" fontId="10" fillId="0" borderId="0" xfId="1" applyFont="1" applyAlignment="1">
      <alignment vertical="center"/>
    </xf>
    <xf numFmtId="164" fontId="4" fillId="4" borderId="0" xfId="1" applyFont="1" applyFill="1" applyAlignment="1">
      <alignment vertical="center"/>
    </xf>
    <xf numFmtId="164" fontId="11" fillId="22" borderId="0" xfId="1" applyFont="1" applyFill="1" applyAlignment="1">
      <alignment vertical="center"/>
    </xf>
    <xf numFmtId="164" fontId="9" fillId="0" borderId="0" xfId="1" applyFont="1"/>
    <xf numFmtId="164" fontId="9" fillId="4" borderId="0" xfId="0" applyNumberFormat="1" applyFont="1" applyFill="1"/>
    <xf numFmtId="164" fontId="9" fillId="22" borderId="0" xfId="1" applyFont="1" applyFill="1"/>
    <xf numFmtId="0" fontId="3" fillId="8" borderId="0" xfId="0" applyFont="1" applyFill="1" applyAlignment="1">
      <alignment horizontal="left" vertical="center"/>
    </xf>
    <xf numFmtId="164" fontId="3" fillId="0" borderId="6" xfId="1" applyFont="1" applyBorder="1" applyAlignment="1">
      <alignment vertical="center"/>
    </xf>
    <xf numFmtId="164" fontId="3" fillId="0" borderId="8" xfId="1" applyFont="1" applyBorder="1" applyAlignment="1">
      <alignment vertical="center"/>
    </xf>
    <xf numFmtId="164" fontId="3" fillId="0" borderId="0" xfId="1" applyFont="1" applyAlignment="1">
      <alignment vertical="center"/>
    </xf>
    <xf numFmtId="164" fontId="16" fillId="0" borderId="11" xfId="1" applyFont="1" applyBorder="1" applyAlignment="1">
      <alignment vertical="center"/>
    </xf>
    <xf numFmtId="164" fontId="3" fillId="0" borderId="11" xfId="1" applyFont="1" applyBorder="1" applyAlignment="1">
      <alignment vertical="center"/>
    </xf>
    <xf numFmtId="164" fontId="3" fillId="0" borderId="49" xfId="1" applyFont="1" applyBorder="1" applyAlignment="1">
      <alignment vertical="center"/>
    </xf>
    <xf numFmtId="164" fontId="3" fillId="0" borderId="68" xfId="1" applyFont="1" applyBorder="1" applyAlignment="1">
      <alignment vertical="center"/>
    </xf>
    <xf numFmtId="164" fontId="3" fillId="0" borderId="9" xfId="1" applyFont="1" applyBorder="1" applyAlignment="1">
      <alignment vertical="center"/>
    </xf>
    <xf numFmtId="164" fontId="3" fillId="7" borderId="17" xfId="1" applyFont="1" applyFill="1" applyBorder="1" applyAlignment="1">
      <alignment vertical="center"/>
    </xf>
    <xf numFmtId="164" fontId="3" fillId="0" borderId="21" xfId="1" applyFont="1" applyBorder="1" applyAlignment="1">
      <alignment vertical="center"/>
    </xf>
    <xf numFmtId="164" fontId="13" fillId="8" borderId="6" xfId="1" applyFont="1" applyFill="1" applyBorder="1" applyAlignment="1">
      <alignment vertical="center"/>
    </xf>
    <xf numFmtId="164" fontId="3" fillId="0" borderId="0" xfId="1" applyFont="1" applyBorder="1" applyAlignment="1">
      <alignment vertical="center"/>
    </xf>
    <xf numFmtId="164" fontId="3" fillId="8" borderId="0" xfId="1" applyFont="1" applyFill="1" applyBorder="1" applyAlignment="1">
      <alignment vertical="center"/>
    </xf>
    <xf numFmtId="164" fontId="16" fillId="0" borderId="0" xfId="1" applyFont="1" applyBorder="1" applyAlignment="1">
      <alignment vertical="center"/>
    </xf>
    <xf numFmtId="164" fontId="8" fillId="4" borderId="14" xfId="1" applyFont="1" applyFill="1" applyBorder="1" applyAlignment="1"/>
    <xf numFmtId="164" fontId="8" fillId="4" borderId="16" xfId="1" applyFont="1" applyFill="1" applyBorder="1" applyAlignment="1"/>
    <xf numFmtId="164" fontId="3" fillId="6" borderId="30" xfId="1" applyFont="1" applyFill="1" applyBorder="1" applyAlignment="1">
      <alignment vertical="center"/>
    </xf>
    <xf numFmtId="164" fontId="3" fillId="6" borderId="17" xfId="1" applyFont="1" applyFill="1" applyBorder="1" applyAlignment="1">
      <alignment vertical="center"/>
    </xf>
    <xf numFmtId="164" fontId="3" fillId="0" borderId="23" xfId="1" applyFont="1" applyBorder="1" applyAlignment="1">
      <alignment vertical="center"/>
    </xf>
    <xf numFmtId="164" fontId="3" fillId="6" borderId="18" xfId="1" applyFont="1" applyFill="1" applyBorder="1" applyAlignment="1">
      <alignment vertical="center"/>
    </xf>
    <xf numFmtId="164" fontId="13" fillId="0" borderId="0" xfId="1" applyFont="1" applyBorder="1" applyAlignment="1">
      <alignment vertical="center"/>
    </xf>
    <xf numFmtId="164" fontId="3" fillId="0" borderId="43" xfId="1" applyFont="1" applyBorder="1" applyAlignment="1">
      <alignment vertical="center"/>
    </xf>
    <xf numFmtId="164" fontId="3" fillId="11" borderId="47" xfId="1" applyFont="1" applyFill="1" applyBorder="1" applyAlignment="1">
      <alignment vertical="center"/>
    </xf>
    <xf numFmtId="164" fontId="3" fillId="13" borderId="11" xfId="1" applyFont="1" applyFill="1" applyBorder="1" applyAlignment="1">
      <alignment vertical="center"/>
    </xf>
    <xf numFmtId="164" fontId="3" fillId="16" borderId="11" xfId="1" applyFont="1" applyFill="1" applyBorder="1" applyAlignment="1">
      <alignment vertical="center"/>
    </xf>
    <xf numFmtId="164" fontId="3" fillId="0" borderId="32" xfId="1" applyFont="1" applyBorder="1" applyAlignment="1">
      <alignment vertical="center"/>
    </xf>
    <xf numFmtId="164" fontId="3" fillId="0" borderId="55" xfId="1" applyFont="1" applyBorder="1" applyAlignment="1">
      <alignment vertical="center"/>
    </xf>
    <xf numFmtId="164" fontId="3" fillId="19" borderId="17" xfId="1" applyFont="1" applyFill="1" applyBorder="1" applyAlignment="1">
      <alignment vertical="center"/>
    </xf>
    <xf numFmtId="164" fontId="3" fillId="8" borderId="43" xfId="1" applyFont="1" applyFill="1" applyBorder="1" applyAlignment="1">
      <alignment vertical="center"/>
    </xf>
    <xf numFmtId="164" fontId="3" fillId="8" borderId="17" xfId="1" applyFont="1" applyFill="1" applyBorder="1" applyAlignment="1">
      <alignment vertical="center"/>
    </xf>
    <xf numFmtId="164" fontId="9" fillId="4" borderId="39" xfId="1" applyFont="1" applyFill="1" applyBorder="1" applyAlignment="1"/>
    <xf numFmtId="164" fontId="25" fillId="21" borderId="63" xfId="1" applyFont="1" applyFill="1" applyBorder="1" applyAlignment="1"/>
    <xf numFmtId="164" fontId="9" fillId="0" borderId="0" xfId="1" applyFont="1" applyAlignment="1"/>
    <xf numFmtId="164" fontId="9" fillId="4" borderId="27" xfId="1" applyFont="1" applyFill="1" applyBorder="1" applyAlignment="1"/>
    <xf numFmtId="164" fontId="9" fillId="4" borderId="16" xfId="1" applyFont="1" applyFill="1" applyBorder="1" applyAlignment="1"/>
    <xf numFmtId="164" fontId="8" fillId="0" borderId="0" xfId="1" applyFont="1" applyAlignment="1"/>
    <xf numFmtId="164" fontId="11" fillId="22" borderId="0" xfId="0" applyNumberFormat="1" applyFont="1" applyFill="1" applyAlignment="1">
      <alignment vertical="center"/>
    </xf>
    <xf numFmtId="4" fontId="9" fillId="4" borderId="0" xfId="0" applyNumberFormat="1" applyFont="1" applyFill="1"/>
    <xf numFmtId="164" fontId="4" fillId="23" borderId="0" xfId="0" applyNumberFormat="1" applyFont="1" applyFill="1" applyAlignment="1">
      <alignment vertical="center"/>
    </xf>
    <xf numFmtId="0" fontId="8" fillId="4" borderId="11" xfId="2" applyFont="1" applyFill="1" applyBorder="1" applyAlignment="1">
      <alignment horizontal="center"/>
    </xf>
    <xf numFmtId="0" fontId="4" fillId="8" borderId="39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8" fillId="4" borderId="11" xfId="2" applyFont="1" applyFill="1" applyBorder="1" applyAlignment="1">
      <alignment horizontal="left"/>
    </xf>
    <xf numFmtId="0" fontId="4" fillId="0" borderId="32" xfId="0" applyFont="1" applyBorder="1" applyAlignment="1">
      <alignment vertical="center"/>
    </xf>
    <xf numFmtId="0" fontId="4" fillId="8" borderId="14" xfId="0" applyFont="1" applyFill="1" applyBorder="1" applyAlignment="1">
      <alignment vertical="center"/>
    </xf>
    <xf numFmtId="0" fontId="8" fillId="4" borderId="23" xfId="2" applyFont="1" applyFill="1" applyBorder="1"/>
    <xf numFmtId="0" fontId="4" fillId="0" borderId="14" xfId="0" applyFont="1" applyBorder="1" applyAlignment="1">
      <alignment vertical="center"/>
    </xf>
    <xf numFmtId="0" fontId="16" fillId="0" borderId="11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8" borderId="2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17" fontId="8" fillId="4" borderId="21" xfId="2" applyNumberFormat="1" applyFont="1" applyFill="1" applyBorder="1" applyAlignment="1">
      <alignment horizontal="center"/>
    </xf>
    <xf numFmtId="17" fontId="8" fillId="4" borderId="11" xfId="2" applyNumberFormat="1" applyFont="1" applyFill="1" applyBorder="1" applyAlignment="1">
      <alignment horizontal="center"/>
    </xf>
    <xf numFmtId="17" fontId="4" fillId="3" borderId="21" xfId="0" applyNumberFormat="1" applyFont="1" applyFill="1" applyBorder="1" applyAlignment="1">
      <alignment horizontal="center" vertical="center"/>
    </xf>
    <xf numFmtId="49" fontId="8" fillId="4" borderId="21" xfId="2" applyNumberFormat="1" applyFont="1" applyFill="1" applyBorder="1" applyAlignment="1">
      <alignment horizontal="center"/>
    </xf>
    <xf numFmtId="49" fontId="4" fillId="3" borderId="12" xfId="0" applyNumberFormat="1" applyFont="1" applyFill="1" applyBorder="1" applyAlignment="1">
      <alignment horizontal="center" vertical="center"/>
    </xf>
    <xf numFmtId="49" fontId="8" fillId="4" borderId="11" xfId="2" applyNumberFormat="1" applyFont="1" applyFill="1" applyBorder="1" applyAlignment="1">
      <alignment horizontal="center"/>
    </xf>
    <xf numFmtId="164" fontId="4" fillId="9" borderId="22" xfId="1" applyFont="1" applyFill="1" applyBorder="1" applyAlignment="1">
      <alignment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vertical="center"/>
    </xf>
    <xf numFmtId="0" fontId="8" fillId="4" borderId="11" xfId="2" applyFont="1" applyFill="1" applyBorder="1"/>
    <xf numFmtId="0" fontId="4" fillId="8" borderId="24" xfId="0" applyFont="1" applyFill="1" applyBorder="1" applyAlignment="1">
      <alignment vertical="center"/>
    </xf>
    <xf numFmtId="0" fontId="3" fillId="8" borderId="14" xfId="0" applyFont="1" applyFill="1" applyBorder="1" applyAlignment="1">
      <alignment horizontal="left" vertical="center"/>
    </xf>
    <xf numFmtId="0" fontId="3" fillId="8" borderId="27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164" fontId="4" fillId="9" borderId="40" xfId="1" applyFont="1" applyFill="1" applyBorder="1" applyAlignment="1">
      <alignment vertical="center"/>
    </xf>
    <xf numFmtId="164" fontId="4" fillId="3" borderId="27" xfId="1" applyFont="1" applyFill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3" fillId="0" borderId="63" xfId="0" applyFont="1" applyBorder="1" applyAlignment="1">
      <alignment vertical="center"/>
    </xf>
    <xf numFmtId="0" fontId="4" fillId="3" borderId="63" xfId="0" applyFont="1" applyFill="1" applyBorder="1" applyAlignment="1">
      <alignment vertical="center"/>
    </xf>
    <xf numFmtId="0" fontId="4" fillId="3" borderId="63" xfId="0" applyFont="1" applyFill="1" applyBorder="1" applyAlignment="1">
      <alignment horizontal="center" vertical="center"/>
    </xf>
    <xf numFmtId="164" fontId="4" fillId="3" borderId="63" xfId="1" applyFont="1" applyFill="1" applyBorder="1" applyAlignment="1">
      <alignment vertical="center"/>
    </xf>
    <xf numFmtId="0" fontId="4" fillId="8" borderId="21" xfId="0" applyFont="1" applyFill="1" applyBorder="1" applyAlignment="1">
      <alignment vertical="center"/>
    </xf>
    <xf numFmtId="17" fontId="4" fillId="3" borderId="27" xfId="0" applyNumberFormat="1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13" fillId="0" borderId="27" xfId="0" applyFont="1" applyBorder="1" applyAlignment="1">
      <alignment horizontal="left" vertical="center"/>
    </xf>
    <xf numFmtId="17" fontId="8" fillId="4" borderId="27" xfId="2" applyNumberFormat="1" applyFont="1" applyFill="1" applyBorder="1" applyAlignment="1">
      <alignment horizontal="center"/>
    </xf>
    <xf numFmtId="49" fontId="8" fillId="4" borderId="27" xfId="2" applyNumberFormat="1" applyFont="1" applyFill="1" applyBorder="1" applyAlignment="1">
      <alignment horizontal="center"/>
    </xf>
    <xf numFmtId="164" fontId="4" fillId="9" borderId="27" xfId="1" applyFont="1" applyFill="1" applyBorder="1" applyAlignment="1">
      <alignment vertical="center"/>
    </xf>
    <xf numFmtId="0" fontId="4" fillId="8" borderId="16" xfId="0" applyFont="1" applyFill="1" applyBorder="1" applyAlignment="1">
      <alignment horizontal="center" vertical="center"/>
    </xf>
    <xf numFmtId="49" fontId="8" fillId="4" borderId="0" xfId="2" applyNumberFormat="1" applyFont="1" applyFill="1" applyAlignment="1">
      <alignment horizontal="center"/>
    </xf>
    <xf numFmtId="164" fontId="4" fillId="9" borderId="0" xfId="1" applyFont="1" applyFill="1" applyBorder="1" applyAlignment="1">
      <alignment vertical="center"/>
    </xf>
    <xf numFmtId="0" fontId="4" fillId="8" borderId="63" xfId="0" applyFont="1" applyFill="1" applyBorder="1" applyAlignment="1">
      <alignment horizontal="center" vertical="center"/>
    </xf>
    <xf numFmtId="0" fontId="4" fillId="8" borderId="63" xfId="0" applyFont="1" applyFill="1" applyBorder="1" applyAlignment="1">
      <alignment vertical="center"/>
    </xf>
    <xf numFmtId="0" fontId="3" fillId="8" borderId="63" xfId="0" applyFont="1" applyFill="1" applyBorder="1" applyAlignment="1">
      <alignment horizontal="left" vertical="center"/>
    </xf>
    <xf numFmtId="17" fontId="8" fillId="4" borderId="63" xfId="2" applyNumberFormat="1" applyFont="1" applyFill="1" applyBorder="1" applyAlignment="1">
      <alignment horizontal="center"/>
    </xf>
    <xf numFmtId="49" fontId="8" fillId="4" borderId="63" xfId="2" applyNumberFormat="1" applyFont="1" applyFill="1" applyBorder="1" applyAlignment="1">
      <alignment horizontal="center"/>
    </xf>
    <xf numFmtId="164" fontId="4" fillId="9" borderId="63" xfId="1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8" borderId="19" xfId="0" applyFont="1" applyFill="1" applyBorder="1" applyAlignment="1">
      <alignment vertical="center"/>
    </xf>
    <xf numFmtId="0" fontId="3" fillId="8" borderId="19" xfId="0" applyFont="1" applyFill="1" applyBorder="1" applyAlignment="1">
      <alignment horizontal="left" vertical="center"/>
    </xf>
    <xf numFmtId="17" fontId="8" fillId="4" borderId="19" xfId="2" applyNumberFormat="1" applyFont="1" applyFill="1" applyBorder="1" applyAlignment="1">
      <alignment horizontal="center"/>
    </xf>
    <xf numFmtId="49" fontId="8" fillId="4" borderId="19" xfId="2" applyNumberFormat="1" applyFont="1" applyFill="1" applyBorder="1" applyAlignment="1">
      <alignment horizontal="center"/>
    </xf>
    <xf numFmtId="164" fontId="4" fillId="9" borderId="20" xfId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7" fontId="8" fillId="4" borderId="6" xfId="2" applyNumberFormat="1" applyFont="1" applyFill="1" applyBorder="1" applyAlignment="1">
      <alignment horizontal="center"/>
    </xf>
    <xf numFmtId="49" fontId="8" fillId="4" borderId="6" xfId="2" applyNumberFormat="1" applyFont="1" applyFill="1" applyBorder="1" applyAlignment="1">
      <alignment horizontal="center"/>
    </xf>
    <xf numFmtId="164" fontId="4" fillId="3" borderId="27" xfId="1" applyFont="1" applyFill="1" applyBorder="1" applyAlignment="1">
      <alignment horizontal="right" vertical="center"/>
    </xf>
    <xf numFmtId="0" fontId="8" fillId="4" borderId="34" xfId="2" applyFont="1" applyFill="1" applyBorder="1" applyAlignment="1">
      <alignment horizontal="left"/>
    </xf>
    <xf numFmtId="164" fontId="11" fillId="24" borderId="0" xfId="0" applyNumberFormat="1" applyFont="1" applyFill="1" applyAlignment="1">
      <alignment vertical="center"/>
    </xf>
    <xf numFmtId="164" fontId="3" fillId="0" borderId="68" xfId="1" applyFont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4" fontId="3" fillId="0" borderId="21" xfId="1" applyFont="1" applyBorder="1" applyAlignment="1">
      <alignment horizontal="left" vertical="center"/>
    </xf>
    <xf numFmtId="164" fontId="3" fillId="0" borderId="11" xfId="1" applyFont="1" applyBorder="1" applyAlignment="1">
      <alignment horizontal="left" vertical="center"/>
    </xf>
    <xf numFmtId="164" fontId="3" fillId="7" borderId="17" xfId="1" applyFont="1" applyFill="1" applyBorder="1" applyAlignment="1">
      <alignment horizontal="left" vertical="center"/>
    </xf>
    <xf numFmtId="164" fontId="3" fillId="0" borderId="0" xfId="1" applyFont="1" applyBorder="1" applyAlignment="1">
      <alignment horizontal="left" vertical="center"/>
    </xf>
    <xf numFmtId="164" fontId="8" fillId="4" borderId="12" xfId="1" applyFont="1" applyFill="1" applyBorder="1" applyAlignment="1">
      <alignment horizontal="left"/>
    </xf>
    <xf numFmtId="164" fontId="3" fillId="8" borderId="0" xfId="1" applyFont="1" applyFill="1" applyBorder="1" applyAlignment="1">
      <alignment horizontal="left" vertical="center"/>
    </xf>
    <xf numFmtId="164" fontId="16" fillId="0" borderId="0" xfId="1" applyFont="1" applyBorder="1" applyAlignment="1">
      <alignment horizontal="left" vertical="center"/>
    </xf>
    <xf numFmtId="164" fontId="8" fillId="4" borderId="14" xfId="1" applyFont="1" applyFill="1" applyBorder="1" applyAlignment="1">
      <alignment horizontal="left"/>
    </xf>
    <xf numFmtId="164" fontId="8" fillId="4" borderId="16" xfId="1" applyFont="1" applyFill="1" applyBorder="1" applyAlignment="1">
      <alignment horizontal="left"/>
    </xf>
    <xf numFmtId="164" fontId="8" fillId="4" borderId="62" xfId="1" applyFont="1" applyFill="1" applyBorder="1" applyAlignment="1">
      <alignment horizontal="left"/>
    </xf>
    <xf numFmtId="164" fontId="3" fillId="6" borderId="30" xfId="1" applyFont="1" applyFill="1" applyBorder="1" applyAlignment="1">
      <alignment horizontal="left" vertical="center"/>
    </xf>
    <xf numFmtId="164" fontId="3" fillId="6" borderId="17" xfId="1" applyFont="1" applyFill="1" applyBorder="1" applyAlignment="1">
      <alignment horizontal="left" vertical="center"/>
    </xf>
    <xf numFmtId="164" fontId="3" fillId="0" borderId="6" xfId="1" applyFont="1" applyBorder="1" applyAlignment="1">
      <alignment horizontal="left" vertical="center"/>
    </xf>
    <xf numFmtId="164" fontId="13" fillId="0" borderId="0" xfId="1" applyFont="1" applyBorder="1" applyAlignment="1">
      <alignment horizontal="left" vertical="center"/>
    </xf>
    <xf numFmtId="164" fontId="3" fillId="6" borderId="18" xfId="1" applyFont="1" applyFill="1" applyBorder="1" applyAlignment="1">
      <alignment horizontal="center" vertical="center"/>
    </xf>
    <xf numFmtId="164" fontId="3" fillId="11" borderId="47" xfId="1" applyFont="1" applyFill="1" applyBorder="1" applyAlignment="1">
      <alignment horizontal="left" vertical="center"/>
    </xf>
    <xf numFmtId="164" fontId="3" fillId="13" borderId="11" xfId="1" applyFont="1" applyFill="1" applyBorder="1" applyAlignment="1">
      <alignment horizontal="left" vertical="center"/>
    </xf>
    <xf numFmtId="164" fontId="3" fillId="16" borderId="11" xfId="1" applyFont="1" applyFill="1" applyBorder="1" applyAlignment="1">
      <alignment horizontal="left" vertical="center"/>
    </xf>
    <xf numFmtId="164" fontId="3" fillId="0" borderId="32" xfId="1" applyFont="1" applyBorder="1" applyAlignment="1">
      <alignment horizontal="left" vertical="center"/>
    </xf>
    <xf numFmtId="164" fontId="3" fillId="0" borderId="55" xfId="1" applyFont="1" applyBorder="1" applyAlignment="1">
      <alignment horizontal="left" vertical="center"/>
    </xf>
    <xf numFmtId="164" fontId="3" fillId="19" borderId="17" xfId="1" applyFont="1" applyFill="1" applyBorder="1" applyAlignment="1">
      <alignment horizontal="left" vertical="center"/>
    </xf>
    <xf numFmtId="164" fontId="3" fillId="8" borderId="43" xfId="1" applyFont="1" applyFill="1" applyBorder="1" applyAlignment="1">
      <alignment horizontal="left" vertical="center"/>
    </xf>
    <xf numFmtId="164" fontId="3" fillId="8" borderId="17" xfId="1" applyFont="1" applyFill="1" applyBorder="1" applyAlignment="1">
      <alignment horizontal="left" vertical="center"/>
    </xf>
    <xf numFmtId="164" fontId="9" fillId="4" borderId="39" xfId="1" applyFont="1" applyFill="1" applyBorder="1" applyAlignment="1">
      <alignment horizontal="left"/>
    </xf>
    <xf numFmtId="164" fontId="25" fillId="21" borderId="63" xfId="1" applyFont="1" applyFill="1" applyBorder="1" applyAlignment="1">
      <alignment horizontal="left"/>
    </xf>
    <xf numFmtId="164" fontId="9" fillId="0" borderId="0" xfId="1" applyFont="1" applyAlignment="1">
      <alignment horizontal="left"/>
    </xf>
    <xf numFmtId="164" fontId="9" fillId="4" borderId="27" xfId="1" applyFont="1" applyFill="1" applyBorder="1" applyAlignment="1">
      <alignment horizontal="left"/>
    </xf>
    <xf numFmtId="164" fontId="9" fillId="4" borderId="16" xfId="1" applyFont="1" applyFill="1" applyBorder="1" applyAlignment="1">
      <alignment horizontal="left"/>
    </xf>
    <xf numFmtId="164" fontId="8" fillId="0" borderId="0" xfId="1" applyFont="1"/>
    <xf numFmtId="164" fontId="8" fillId="0" borderId="0" xfId="1" applyFont="1" applyAlignment="1">
      <alignment horizontal="left"/>
    </xf>
    <xf numFmtId="164" fontId="9" fillId="23" borderId="0" xfId="0" applyNumberFormat="1" applyFont="1" applyFill="1"/>
    <xf numFmtId="0" fontId="5" fillId="8" borderId="0" xfId="0" applyFont="1" applyFill="1" applyAlignment="1">
      <alignment vertical="center"/>
    </xf>
    <xf numFmtId="164" fontId="4" fillId="3" borderId="40" xfId="1" applyFont="1" applyFill="1" applyBorder="1" applyAlignment="1">
      <alignment horizontal="right" vertical="center"/>
    </xf>
    <xf numFmtId="17" fontId="8" fillId="4" borderId="39" xfId="2" applyNumberFormat="1" applyFont="1" applyFill="1" applyBorder="1" applyAlignment="1">
      <alignment horizontal="center"/>
    </xf>
    <xf numFmtId="49" fontId="8" fillId="4" borderId="39" xfId="2" applyNumberFormat="1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164" fontId="4" fillId="3" borderId="20" xfId="1" applyFont="1" applyFill="1" applyBorder="1" applyAlignment="1">
      <alignment horizontal="right" vertical="center"/>
    </xf>
    <xf numFmtId="0" fontId="4" fillId="8" borderId="23" xfId="0" applyFont="1" applyFill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164" fontId="4" fillId="3" borderId="20" xfId="1" applyFont="1" applyFill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5" fillId="8" borderId="23" xfId="0" applyFont="1" applyFill="1" applyBorder="1" applyAlignment="1">
      <alignment vertical="center"/>
    </xf>
    <xf numFmtId="0" fontId="13" fillId="0" borderId="23" xfId="0" applyFont="1" applyBorder="1" applyAlignment="1">
      <alignment horizontal="left" vertical="center"/>
    </xf>
    <xf numFmtId="0" fontId="5" fillId="0" borderId="69" xfId="0" applyFont="1" applyBorder="1" applyAlignment="1">
      <alignment horizontal="center" vertical="center"/>
    </xf>
    <xf numFmtId="0" fontId="5" fillId="8" borderId="69" xfId="0" applyFont="1" applyFill="1" applyBorder="1" applyAlignment="1">
      <alignment vertical="center"/>
    </xf>
    <xf numFmtId="0" fontId="13" fillId="0" borderId="19" xfId="0" applyFont="1" applyBorder="1" applyAlignment="1">
      <alignment horizontal="left" vertical="center"/>
    </xf>
    <xf numFmtId="17" fontId="8" fillId="4" borderId="69" xfId="2" applyNumberFormat="1" applyFont="1" applyFill="1" applyBorder="1" applyAlignment="1">
      <alignment horizontal="center"/>
    </xf>
    <xf numFmtId="49" fontId="8" fillId="4" borderId="69" xfId="2" applyNumberFormat="1" applyFont="1" applyFill="1" applyBorder="1" applyAlignment="1">
      <alignment horizontal="center"/>
    </xf>
    <xf numFmtId="164" fontId="4" fillId="3" borderId="26" xfId="1" applyFont="1" applyFill="1" applyBorder="1" applyAlignment="1">
      <alignment horizontal="right" vertical="center"/>
    </xf>
    <xf numFmtId="0" fontId="11" fillId="11" borderId="18" xfId="0" applyFont="1" applyFill="1" applyBorder="1" applyAlignment="1">
      <alignment horizontal="center" vertical="center"/>
    </xf>
    <xf numFmtId="0" fontId="22" fillId="11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left" vertical="center"/>
    </xf>
    <xf numFmtId="165" fontId="11" fillId="11" borderId="18" xfId="0" applyNumberFormat="1" applyFont="1" applyFill="1" applyBorder="1" applyAlignment="1">
      <alignment vertical="center"/>
    </xf>
    <xf numFmtId="0" fontId="8" fillId="4" borderId="63" xfId="2" applyFont="1" applyFill="1" applyBorder="1" applyAlignment="1">
      <alignment horizontal="center"/>
    </xf>
    <xf numFmtId="0" fontId="8" fillId="4" borderId="63" xfId="2" applyFont="1" applyFill="1" applyBorder="1" applyAlignment="1">
      <alignment horizontal="left"/>
    </xf>
    <xf numFmtId="0" fontId="3" fillId="0" borderId="63" xfId="0" applyFont="1" applyBorder="1" applyAlignment="1">
      <alignment horizontal="left" vertical="center"/>
    </xf>
    <xf numFmtId="49" fontId="4" fillId="3" borderId="63" xfId="0" applyNumberFormat="1" applyFont="1" applyFill="1" applyBorder="1" applyAlignment="1">
      <alignment horizontal="center" vertical="center"/>
    </xf>
    <xf numFmtId="164" fontId="4" fillId="3" borderId="63" xfId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69" xfId="0" applyFont="1" applyBorder="1" applyAlignment="1">
      <alignment horizontal="center" vertical="center"/>
    </xf>
    <xf numFmtId="0" fontId="4" fillId="0" borderId="69" xfId="0" applyFont="1" applyBorder="1" applyAlignment="1">
      <alignment horizontal="left" vertical="center"/>
    </xf>
    <xf numFmtId="0" fontId="4" fillId="3" borderId="19" xfId="0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/>
    </xf>
    <xf numFmtId="164" fontId="4" fillId="22" borderId="0" xfId="0" applyNumberFormat="1" applyFont="1" applyFill="1" applyAlignment="1">
      <alignment vertical="center"/>
    </xf>
    <xf numFmtId="15" fontId="4" fillId="3" borderId="11" xfId="0" applyNumberFormat="1" applyFont="1" applyFill="1" applyBorder="1" applyAlignment="1">
      <alignment horizontal="center" vertical="center"/>
    </xf>
    <xf numFmtId="164" fontId="8" fillId="4" borderId="0" xfId="1" applyFont="1" applyFill="1" applyBorder="1" applyAlignment="1">
      <alignment horizontal="left"/>
    </xf>
    <xf numFmtId="164" fontId="8" fillId="4" borderId="60" xfId="1" applyFont="1" applyFill="1" applyBorder="1" applyAlignment="1">
      <alignment horizontal="left"/>
    </xf>
    <xf numFmtId="164" fontId="9" fillId="4" borderId="61" xfId="1" applyFont="1" applyFill="1" applyBorder="1" applyAlignment="1">
      <alignment horizontal="left"/>
    </xf>
    <xf numFmtId="164" fontId="9" fillId="4" borderId="62" xfId="1" applyFont="1" applyFill="1" applyBorder="1" applyAlignment="1">
      <alignment horizontal="left"/>
    </xf>
    <xf numFmtId="165" fontId="11" fillId="22" borderId="0" xfId="0" applyNumberFormat="1" applyFont="1" applyFill="1" applyAlignment="1">
      <alignment vertical="center"/>
    </xf>
    <xf numFmtId="164" fontId="11" fillId="25" borderId="0" xfId="0" applyNumberFormat="1" applyFont="1" applyFill="1" applyAlignment="1">
      <alignment vertical="center"/>
    </xf>
    <xf numFmtId="43" fontId="9" fillId="22" borderId="0" xfId="0" applyNumberFormat="1" applyFont="1" applyFill="1"/>
    <xf numFmtId="43" fontId="9" fillId="23" borderId="0" xfId="0" applyNumberFormat="1" applyFont="1" applyFill="1"/>
    <xf numFmtId="0" fontId="8" fillId="4" borderId="23" xfId="2" applyFont="1" applyFill="1" applyBorder="1" applyAlignment="1">
      <alignment horizontal="left"/>
    </xf>
    <xf numFmtId="0" fontId="8" fillId="4" borderId="21" xfId="2" applyFont="1" applyFill="1" applyBorder="1" applyAlignment="1">
      <alignment horizontal="center"/>
    </xf>
    <xf numFmtId="0" fontId="8" fillId="4" borderId="21" xfId="2" applyFont="1" applyFill="1" applyBorder="1" applyAlignment="1">
      <alignment horizontal="left"/>
    </xf>
    <xf numFmtId="0" fontId="8" fillId="4" borderId="19" xfId="2" applyFont="1" applyFill="1" applyBorder="1" applyAlignment="1">
      <alignment horizontal="center"/>
    </xf>
    <xf numFmtId="0" fontId="8" fillId="4" borderId="19" xfId="2" applyFont="1" applyFill="1" applyBorder="1" applyAlignment="1">
      <alignment horizontal="left"/>
    </xf>
    <xf numFmtId="43" fontId="11" fillId="0" borderId="0" xfId="0" applyNumberFormat="1" applyFont="1" applyAlignme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9" fillId="4" borderId="27" xfId="0" applyFont="1" applyFill="1" applyBorder="1"/>
    <xf numFmtId="14" fontId="5" fillId="2" borderId="2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4" fillId="10" borderId="0" xfId="0" applyNumberFormat="1" applyFont="1" applyFill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/>
    </xf>
    <xf numFmtId="14" fontId="4" fillId="14" borderId="49" xfId="0" applyNumberFormat="1" applyFont="1" applyFill="1" applyBorder="1" applyAlignment="1">
      <alignment horizontal="center" vertical="center"/>
    </xf>
    <xf numFmtId="14" fontId="4" fillId="17" borderId="49" xfId="0" applyNumberFormat="1" applyFont="1" applyFill="1" applyBorder="1" applyAlignment="1">
      <alignment horizontal="center" vertical="center"/>
    </xf>
    <xf numFmtId="17" fontId="4" fillId="3" borderId="0" xfId="0" applyNumberFormat="1" applyFont="1" applyFill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17" fontId="29" fillId="2" borderId="12" xfId="2" applyNumberFormat="1" applyFont="1" applyFill="1" applyBorder="1" applyAlignment="1">
      <alignment horizontal="center"/>
    </xf>
    <xf numFmtId="49" fontId="29" fillId="2" borderId="12" xfId="2" applyNumberFormat="1" applyFont="1" applyFill="1" applyBorder="1" applyAlignment="1">
      <alignment horizontal="center"/>
    </xf>
    <xf numFmtId="4" fontId="29" fillId="2" borderId="12" xfId="4" applyNumberFormat="1" applyFont="1" applyFill="1" applyBorder="1"/>
    <xf numFmtId="0" fontId="4" fillId="0" borderId="31" xfId="0" applyFont="1" applyBorder="1" applyAlignment="1">
      <alignment vertical="center"/>
    </xf>
    <xf numFmtId="0" fontId="30" fillId="4" borderId="12" xfId="2" applyFont="1" applyFill="1" applyBorder="1"/>
    <xf numFmtId="164" fontId="4" fillId="4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43" fontId="4" fillId="2" borderId="0" xfId="0" applyNumberFormat="1" applyFont="1" applyFill="1" applyAlignment="1">
      <alignment vertical="center"/>
    </xf>
    <xf numFmtId="164" fontId="13" fillId="8" borderId="21" xfId="1" applyFont="1" applyFill="1" applyBorder="1" applyAlignment="1">
      <alignment horizontal="left" vertical="center"/>
    </xf>
    <xf numFmtId="164" fontId="14" fillId="8" borderId="11" xfId="1" applyFont="1" applyFill="1" applyBorder="1" applyAlignment="1">
      <alignment horizontal="left"/>
    </xf>
    <xf numFmtId="43" fontId="9" fillId="2" borderId="0" xfId="0" applyNumberFormat="1" applyFont="1" applyFill="1"/>
    <xf numFmtId="0" fontId="4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8" fillId="0" borderId="0" xfId="2" applyFont="1" applyAlignment="1">
      <alignment horizontal="left"/>
    </xf>
    <xf numFmtId="43" fontId="4" fillId="0" borderId="0" xfId="0" applyNumberFormat="1" applyFont="1" applyAlignment="1">
      <alignment vertical="center"/>
    </xf>
    <xf numFmtId="0" fontId="3" fillId="0" borderId="6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8" fillId="4" borderId="16" xfId="2" applyFont="1" applyFill="1" applyBorder="1" applyAlignment="1">
      <alignment horizontal="left"/>
    </xf>
    <xf numFmtId="0" fontId="8" fillId="4" borderId="62" xfId="2" applyFont="1" applyFill="1" applyBorder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8" fillId="4" borderId="6" xfId="2" applyFont="1" applyFill="1" applyBorder="1" applyAlignment="1">
      <alignment horizontal="left"/>
    </xf>
    <xf numFmtId="0" fontId="11" fillId="0" borderId="47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165" fontId="11" fillId="0" borderId="47" xfId="0" applyNumberFormat="1" applyFont="1" applyBorder="1" applyAlignment="1">
      <alignment vertical="center"/>
    </xf>
    <xf numFmtId="0" fontId="11" fillId="19" borderId="18" xfId="0" applyFont="1" applyFill="1" applyBorder="1" applyAlignment="1">
      <alignment horizontal="center" vertical="center"/>
    </xf>
    <xf numFmtId="0" fontId="3" fillId="19" borderId="18" xfId="0" applyFont="1" applyFill="1" applyBorder="1" applyAlignment="1">
      <alignment horizontal="left" vertical="center"/>
    </xf>
    <xf numFmtId="165" fontId="12" fillId="19" borderId="18" xfId="0" applyNumberFormat="1" applyFont="1" applyFill="1" applyBorder="1" applyAlignment="1">
      <alignment vertical="center"/>
    </xf>
    <xf numFmtId="14" fontId="11" fillId="19" borderId="42" xfId="0" applyNumberFormat="1" applyFont="1" applyFill="1" applyBorder="1" applyAlignment="1">
      <alignment horizontal="center" vertical="center"/>
    </xf>
    <xf numFmtId="49" fontId="11" fillId="19" borderId="18" xfId="0" applyNumberFormat="1" applyFont="1" applyFill="1" applyBorder="1" applyAlignment="1">
      <alignment horizontal="center" vertical="center"/>
    </xf>
    <xf numFmtId="165" fontId="11" fillId="19" borderId="18" xfId="0" applyNumberFormat="1" applyFont="1" applyFill="1" applyBorder="1" applyAlignment="1">
      <alignment vertical="center"/>
    </xf>
    <xf numFmtId="0" fontId="5" fillId="0" borderId="32" xfId="0" applyFont="1" applyBorder="1" applyAlignment="1">
      <alignment vertical="center"/>
    </xf>
    <xf numFmtId="164" fontId="4" fillId="2" borderId="32" xfId="1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49" fontId="5" fillId="8" borderId="32" xfId="0" applyNumberFormat="1" applyFont="1" applyFill="1" applyBorder="1" applyAlignment="1">
      <alignment horizontal="center" vertical="center"/>
    </xf>
    <xf numFmtId="165" fontId="5" fillId="8" borderId="32" xfId="0" applyNumberFormat="1" applyFont="1" applyFill="1" applyBorder="1" applyAlignment="1">
      <alignment horizontal="right" vertical="center"/>
    </xf>
    <xf numFmtId="164" fontId="4" fillId="3" borderId="32" xfId="1" applyFont="1" applyFill="1" applyBorder="1" applyAlignment="1">
      <alignment horizontal="center" vertical="center"/>
    </xf>
    <xf numFmtId="164" fontId="3" fillId="0" borderId="9" xfId="1" applyFont="1" applyBorder="1" applyAlignment="1">
      <alignment horizontal="left" vertical="center"/>
    </xf>
    <xf numFmtId="164" fontId="3" fillId="19" borderId="18" xfId="1" applyFont="1" applyFill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17" fontId="8" fillId="4" borderId="12" xfId="2" quotePrefix="1" applyNumberFormat="1" applyFont="1" applyFill="1" applyBorder="1" applyAlignment="1">
      <alignment horizontal="center"/>
    </xf>
    <xf numFmtId="43" fontId="4" fillId="6" borderId="0" xfId="0" applyNumberFormat="1" applyFont="1" applyFill="1" applyAlignment="1">
      <alignment vertical="center"/>
    </xf>
    <xf numFmtId="164" fontId="11" fillId="6" borderId="0" xfId="0" applyNumberFormat="1" applyFont="1" applyFill="1" applyAlignment="1">
      <alignment vertical="center"/>
    </xf>
    <xf numFmtId="164" fontId="9" fillId="6" borderId="0" xfId="1" applyFont="1" applyFill="1"/>
    <xf numFmtId="0" fontId="8" fillId="4" borderId="0" xfId="2" applyFont="1" applyFill="1" applyAlignment="1">
      <alignment horizontal="center"/>
    </xf>
    <xf numFmtId="0" fontId="6" fillId="0" borderId="6" xfId="0" applyFont="1" applyBorder="1" applyAlignment="1">
      <alignment vertical="center"/>
    </xf>
    <xf numFmtId="17" fontId="8" fillId="4" borderId="14" xfId="2" quotePrefix="1" applyNumberFormat="1" applyFont="1" applyFill="1" applyBorder="1" applyAlignment="1">
      <alignment horizontal="center"/>
    </xf>
    <xf numFmtId="17" fontId="8" fillId="4" borderId="39" xfId="2" quotePrefix="1" applyNumberFormat="1" applyFont="1" applyFill="1" applyBorder="1" applyAlignment="1">
      <alignment horizontal="center"/>
    </xf>
    <xf numFmtId="17" fontId="8" fillId="4" borderId="63" xfId="2" quotePrefix="1" applyNumberFormat="1" applyFont="1" applyFill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32" fillId="0" borderId="0" xfId="0" applyFont="1"/>
    <xf numFmtId="0" fontId="32" fillId="0" borderId="27" xfId="0" applyFont="1" applyBorder="1" applyAlignment="1">
      <alignment horizontal="center"/>
    </xf>
    <xf numFmtId="0" fontId="32" fillId="0" borderId="27" xfId="0" applyFont="1" applyBorder="1"/>
    <xf numFmtId="0" fontId="31" fillId="0" borderId="27" xfId="0" applyFont="1" applyBorder="1" applyAlignment="1">
      <alignment horizontal="center" vertical="center"/>
    </xf>
    <xf numFmtId="0" fontId="31" fillId="0" borderId="27" xfId="0" applyFont="1" applyBorder="1" applyAlignment="1">
      <alignment vertical="center"/>
    </xf>
    <xf numFmtId="0" fontId="31" fillId="0" borderId="27" xfId="0" applyFont="1" applyBorder="1" applyAlignment="1">
      <alignment horizontal="left" vertical="center"/>
    </xf>
    <xf numFmtId="164" fontId="31" fillId="0" borderId="27" xfId="1" applyFont="1" applyFill="1" applyBorder="1" applyAlignment="1">
      <alignment vertical="center"/>
    </xf>
    <xf numFmtId="164" fontId="31" fillId="0" borderId="27" xfId="1" applyFont="1" applyFill="1" applyBorder="1" applyAlignment="1">
      <alignment horizontal="right" vertical="center"/>
    </xf>
    <xf numFmtId="164" fontId="32" fillId="0" borderId="27" xfId="1" applyFont="1" applyFill="1" applyBorder="1"/>
    <xf numFmtId="0" fontId="32" fillId="0" borderId="63" xfId="0" applyFont="1" applyBorder="1"/>
    <xf numFmtId="164" fontId="32" fillId="0" borderId="63" xfId="0" applyNumberFormat="1" applyFont="1" applyBorder="1"/>
    <xf numFmtId="0" fontId="5" fillId="8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vertical="center"/>
    </xf>
    <xf numFmtId="4" fontId="5" fillId="8" borderId="6" xfId="0" applyNumberFormat="1" applyFont="1" applyFill="1" applyBorder="1" applyAlignment="1">
      <alignment vertical="center"/>
    </xf>
    <xf numFmtId="0" fontId="5" fillId="10" borderId="6" xfId="0" applyFont="1" applyFill="1" applyBorder="1" applyAlignment="1">
      <alignment horizontal="center" vertical="center"/>
    </xf>
    <xf numFmtId="49" fontId="5" fillId="10" borderId="6" xfId="0" applyNumberFormat="1" applyFont="1" applyFill="1" applyBorder="1" applyAlignment="1">
      <alignment horizontal="center" vertical="center"/>
    </xf>
    <xf numFmtId="166" fontId="5" fillId="10" borderId="6" xfId="0" applyNumberFormat="1" applyFont="1" applyFill="1" applyBorder="1" applyAlignment="1">
      <alignment vertical="center"/>
    </xf>
    <xf numFmtId="164" fontId="8" fillId="6" borderId="0" xfId="2" applyNumberFormat="1" applyFont="1" applyFill="1"/>
    <xf numFmtId="0" fontId="5" fillId="9" borderId="6" xfId="0" applyFont="1" applyFill="1" applyBorder="1" applyAlignment="1">
      <alignment horizontal="center" vertical="center"/>
    </xf>
    <xf numFmtId="49" fontId="5" fillId="9" borderId="6" xfId="0" applyNumberFormat="1" applyFont="1" applyFill="1" applyBorder="1" applyAlignment="1">
      <alignment horizontal="center" vertical="center"/>
    </xf>
    <xf numFmtId="166" fontId="5" fillId="9" borderId="6" xfId="0" applyNumberFormat="1" applyFont="1" applyFill="1" applyBorder="1" applyAlignment="1">
      <alignment horizontal="right" vertical="center"/>
    </xf>
    <xf numFmtId="164" fontId="5" fillId="9" borderId="26" xfId="1" applyFont="1" applyFill="1" applyBorder="1" applyAlignment="1">
      <alignment horizontal="right" vertical="center"/>
    </xf>
    <xf numFmtId="0" fontId="5" fillId="8" borderId="21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vertical="center"/>
    </xf>
    <xf numFmtId="0" fontId="13" fillId="8" borderId="21" xfId="0" applyFont="1" applyFill="1" applyBorder="1" applyAlignment="1">
      <alignment horizontal="left" vertical="center"/>
    </xf>
    <xf numFmtId="4" fontId="5" fillId="8" borderId="21" xfId="0" applyNumberFormat="1" applyFont="1" applyFill="1" applyBorder="1" applyAlignment="1">
      <alignment vertical="center"/>
    </xf>
    <xf numFmtId="0" fontId="5" fillId="10" borderId="21" xfId="0" applyFont="1" applyFill="1" applyBorder="1" applyAlignment="1">
      <alignment horizontal="center" vertical="center"/>
    </xf>
    <xf numFmtId="49" fontId="5" fillId="10" borderId="21" xfId="0" applyNumberFormat="1" applyFont="1" applyFill="1" applyBorder="1" applyAlignment="1">
      <alignment horizontal="center" vertical="center"/>
    </xf>
    <xf numFmtId="166" fontId="5" fillId="10" borderId="21" xfId="0" applyNumberFormat="1" applyFont="1" applyFill="1" applyBorder="1" applyAlignment="1">
      <alignment vertical="center"/>
    </xf>
    <xf numFmtId="164" fontId="8" fillId="6" borderId="70" xfId="2" applyNumberFormat="1" applyFont="1" applyFill="1" applyBorder="1"/>
    <xf numFmtId="0" fontId="5" fillId="9" borderId="21" xfId="0" applyFont="1" applyFill="1" applyBorder="1" applyAlignment="1">
      <alignment horizontal="center" vertical="center"/>
    </xf>
    <xf numFmtId="49" fontId="5" fillId="9" borderId="21" xfId="0" applyNumberFormat="1" applyFont="1" applyFill="1" applyBorder="1" applyAlignment="1">
      <alignment horizontal="center" vertical="center"/>
    </xf>
    <xf numFmtId="15" fontId="8" fillId="6" borderId="71" xfId="3" applyNumberFormat="1" applyFont="1" applyFill="1" applyBorder="1" applyAlignment="1">
      <alignment horizontal="center"/>
    </xf>
    <xf numFmtId="49" fontId="8" fillId="6" borderId="72" xfId="2" applyNumberFormat="1" applyFont="1" applyFill="1" applyBorder="1" applyAlignment="1">
      <alignment horizontal="center"/>
    </xf>
    <xf numFmtId="166" fontId="4" fillId="2" borderId="40" xfId="0" applyNumberFormat="1" applyFont="1" applyFill="1" applyBorder="1" applyAlignment="1">
      <alignment vertical="center"/>
    </xf>
    <xf numFmtId="166" fontId="4" fillId="9" borderId="23" xfId="0" applyNumberFormat="1" applyFont="1" applyFill="1" applyBorder="1" applyAlignment="1">
      <alignment horizontal="right" vertical="center"/>
    </xf>
    <xf numFmtId="14" fontId="4" fillId="2" borderId="73" xfId="0" applyNumberFormat="1" applyFont="1" applyFill="1" applyBorder="1" applyAlignment="1">
      <alignment horizontal="center" vertical="center"/>
    </xf>
    <xf numFmtId="49" fontId="4" fillId="2" borderId="73" xfId="0" applyNumberFormat="1" applyFont="1" applyFill="1" applyBorder="1" applyAlignment="1">
      <alignment horizontal="center" vertical="center"/>
    </xf>
    <xf numFmtId="166" fontId="4" fillId="2" borderId="73" xfId="0" applyNumberFormat="1" applyFont="1" applyFill="1" applyBorder="1" applyAlignment="1">
      <alignment vertical="center"/>
    </xf>
    <xf numFmtId="166" fontId="4" fillId="10" borderId="73" xfId="0" applyNumberFormat="1" applyFont="1" applyFill="1" applyBorder="1" applyAlignment="1">
      <alignment vertical="center"/>
    </xf>
    <xf numFmtId="166" fontId="4" fillId="2" borderId="74" xfId="0" applyNumberFormat="1" applyFont="1" applyFill="1" applyBorder="1" applyAlignment="1">
      <alignment vertical="center"/>
    </xf>
    <xf numFmtId="166" fontId="4" fillId="9" borderId="73" xfId="0" applyNumberFormat="1" applyFont="1" applyFill="1" applyBorder="1" applyAlignment="1">
      <alignment horizontal="right" vertical="center"/>
    </xf>
    <xf numFmtId="164" fontId="4" fillId="9" borderId="74" xfId="1" applyFont="1" applyFill="1" applyBorder="1" applyAlignment="1">
      <alignment vertical="center"/>
    </xf>
    <xf numFmtId="14" fontId="4" fillId="2" borderId="75" xfId="0" applyNumberFormat="1" applyFont="1" applyFill="1" applyBorder="1" applyAlignment="1">
      <alignment horizontal="center" vertical="center"/>
    </xf>
    <xf numFmtId="166" fontId="4" fillId="2" borderId="76" xfId="0" applyNumberFormat="1" applyFont="1" applyFill="1" applyBorder="1" applyAlignment="1">
      <alignment vertical="center"/>
    </xf>
    <xf numFmtId="49" fontId="8" fillId="4" borderId="77" xfId="2" applyNumberFormat="1" applyFont="1" applyFill="1" applyBorder="1" applyAlignment="1">
      <alignment horizontal="center"/>
    </xf>
    <xf numFmtId="49" fontId="8" fillId="4" borderId="38" xfId="2" applyNumberFormat="1" applyFont="1" applyFill="1" applyBorder="1" applyAlignment="1">
      <alignment horizontal="center"/>
    </xf>
    <xf numFmtId="164" fontId="4" fillId="9" borderId="76" xfId="1" applyFont="1" applyFill="1" applyBorder="1" applyAlignment="1">
      <alignment vertical="center"/>
    </xf>
    <xf numFmtId="0" fontId="8" fillId="4" borderId="77" xfId="2" applyFont="1" applyFill="1" applyBorder="1" applyAlignment="1">
      <alignment horizontal="center"/>
    </xf>
    <xf numFmtId="164" fontId="8" fillId="4" borderId="77" xfId="3" applyFont="1" applyFill="1" applyBorder="1"/>
    <xf numFmtId="165" fontId="12" fillId="22" borderId="17" xfId="0" applyNumberFormat="1" applyFont="1" applyFill="1" applyBorder="1" applyAlignment="1">
      <alignment horizontal="right" vertical="center"/>
    </xf>
    <xf numFmtId="165" fontId="12" fillId="22" borderId="17" xfId="0" applyNumberFormat="1" applyFont="1" applyFill="1" applyBorder="1" applyAlignment="1">
      <alignment vertical="center"/>
    </xf>
    <xf numFmtId="165" fontId="11" fillId="22" borderId="25" xfId="0" applyNumberFormat="1" applyFont="1" applyFill="1" applyBorder="1" applyAlignment="1">
      <alignment horizontal="right" vertical="center"/>
    </xf>
    <xf numFmtId="166" fontId="12" fillId="22" borderId="17" xfId="0" applyNumberFormat="1" applyFont="1" applyFill="1" applyBorder="1" applyAlignment="1">
      <alignment horizontal="right" vertical="center"/>
    </xf>
    <xf numFmtId="165" fontId="12" fillId="22" borderId="30" xfId="0" applyNumberFormat="1" applyFont="1" applyFill="1" applyBorder="1" applyAlignment="1">
      <alignment horizontal="right" vertical="center"/>
    </xf>
    <xf numFmtId="165" fontId="11" fillId="22" borderId="30" xfId="0" applyNumberFormat="1" applyFont="1" applyFill="1" applyBorder="1" applyAlignment="1">
      <alignment horizontal="right" vertical="center"/>
    </xf>
    <xf numFmtId="165" fontId="11" fillId="22" borderId="17" xfId="0" applyNumberFormat="1" applyFont="1" applyFill="1" applyBorder="1" applyAlignment="1">
      <alignment horizontal="right" vertical="center"/>
    </xf>
    <xf numFmtId="165" fontId="11" fillId="22" borderId="17" xfId="0" applyNumberFormat="1" applyFont="1" applyFill="1" applyBorder="1" applyAlignment="1">
      <alignment vertical="center"/>
    </xf>
    <xf numFmtId="164" fontId="5" fillId="22" borderId="0" xfId="0" applyNumberFormat="1" applyFont="1" applyFill="1" applyAlignment="1">
      <alignment vertical="center"/>
    </xf>
    <xf numFmtId="164" fontId="13" fillId="0" borderId="21" xfId="1" applyFont="1" applyBorder="1" applyAlignment="1">
      <alignment horizontal="left" vertical="center"/>
    </xf>
    <xf numFmtId="164" fontId="13" fillId="7" borderId="17" xfId="1" applyFont="1" applyFill="1" applyBorder="1" applyAlignment="1">
      <alignment horizontal="left" vertical="center"/>
    </xf>
    <xf numFmtId="164" fontId="4" fillId="22" borderId="0" xfId="1" applyFont="1" applyFill="1" applyAlignment="1">
      <alignment vertical="center"/>
    </xf>
    <xf numFmtId="0" fontId="3" fillId="0" borderId="12" xfId="0" applyFont="1" applyBorder="1" applyAlignment="1">
      <alignment horizontal="left" vertical="center"/>
    </xf>
    <xf numFmtId="164" fontId="4" fillId="3" borderId="76" xfId="1" applyFont="1" applyFill="1" applyBorder="1" applyAlignment="1">
      <alignment vertical="center"/>
    </xf>
    <xf numFmtId="0" fontId="4" fillId="3" borderId="39" xfId="0" applyFont="1" applyFill="1" applyBorder="1" applyAlignment="1">
      <alignment horizontal="center" vertical="center"/>
    </xf>
    <xf numFmtId="17" fontId="8" fillId="4" borderId="6" xfId="2" quotePrefix="1" applyNumberFormat="1" applyFont="1" applyFill="1" applyBorder="1" applyAlignment="1">
      <alignment horizontal="center"/>
    </xf>
    <xf numFmtId="17" fontId="8" fillId="4" borderId="23" xfId="2" applyNumberFormat="1" applyFont="1" applyFill="1" applyBorder="1" applyAlignment="1">
      <alignment horizontal="center"/>
    </xf>
    <xf numFmtId="17" fontId="8" fillId="4" borderId="23" xfId="2" quotePrefix="1" applyNumberFormat="1" applyFont="1" applyFill="1" applyBorder="1" applyAlignment="1">
      <alignment horizontal="center"/>
    </xf>
    <xf numFmtId="17" fontId="8" fillId="4" borderId="19" xfId="2" quotePrefix="1" applyNumberFormat="1" applyFont="1" applyFill="1" applyBorder="1" applyAlignment="1">
      <alignment horizontal="center"/>
    </xf>
    <xf numFmtId="49" fontId="9" fillId="3" borderId="16" xfId="3" applyNumberFormat="1" applyFont="1" applyFill="1" applyBorder="1" applyAlignment="1">
      <alignment horizontal="center"/>
    </xf>
    <xf numFmtId="164" fontId="9" fillId="3" borderId="16" xfId="3" applyFont="1" applyFill="1" applyBorder="1"/>
    <xf numFmtId="14" fontId="4" fillId="0" borderId="63" xfId="0" applyNumberFormat="1" applyFont="1" applyBorder="1" applyAlignment="1">
      <alignment vertical="center"/>
    </xf>
    <xf numFmtId="0" fontId="4" fillId="0" borderId="63" xfId="0" applyFont="1" applyBorder="1" applyAlignment="1">
      <alignment horizontal="center" vertical="center"/>
    </xf>
    <xf numFmtId="49" fontId="5" fillId="0" borderId="63" xfId="0" applyNumberFormat="1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164" fontId="5" fillId="0" borderId="63" xfId="0" applyNumberFormat="1" applyFont="1" applyBorder="1" applyAlignment="1">
      <alignment vertical="center"/>
    </xf>
    <xf numFmtId="49" fontId="4" fillId="0" borderId="63" xfId="0" applyNumberFormat="1" applyFont="1" applyBorder="1" applyAlignment="1">
      <alignment horizontal="center" vertical="center"/>
    </xf>
    <xf numFmtId="164" fontId="11" fillId="0" borderId="63" xfId="1" applyFont="1" applyFill="1" applyBorder="1" applyAlignment="1">
      <alignment vertical="center"/>
    </xf>
    <xf numFmtId="43" fontId="5" fillId="0" borderId="63" xfId="0" applyNumberFormat="1" applyFont="1" applyBorder="1" applyAlignment="1">
      <alignment vertical="center"/>
    </xf>
    <xf numFmtId="164" fontId="11" fillId="26" borderId="0" xfId="0" applyNumberFormat="1" applyFont="1" applyFill="1" applyAlignment="1">
      <alignment vertical="center"/>
    </xf>
    <xf numFmtId="0" fontId="8" fillId="4" borderId="69" xfId="2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 vertical="center"/>
    </xf>
    <xf numFmtId="0" fontId="22" fillId="4" borderId="47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left" vertical="center"/>
    </xf>
    <xf numFmtId="165" fontId="11" fillId="4" borderId="47" xfId="0" applyNumberFormat="1" applyFont="1" applyFill="1" applyBorder="1" applyAlignment="1">
      <alignment vertical="center"/>
    </xf>
    <xf numFmtId="17" fontId="10" fillId="3" borderId="11" xfId="0" applyNumberFormat="1" applyFont="1" applyFill="1" applyBorder="1" applyAlignment="1">
      <alignment horizontal="center" vertical="center"/>
    </xf>
    <xf numFmtId="17" fontId="10" fillId="3" borderId="21" xfId="0" applyNumberFormat="1" applyFont="1" applyFill="1" applyBorder="1" applyAlignment="1">
      <alignment horizontal="center" vertical="center"/>
    </xf>
    <xf numFmtId="0" fontId="16" fillId="8" borderId="23" xfId="0" applyFont="1" applyFill="1" applyBorder="1" applyAlignment="1">
      <alignment horizontal="left" vertical="center"/>
    </xf>
    <xf numFmtId="0" fontId="16" fillId="8" borderId="6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/>
    </xf>
    <xf numFmtId="4" fontId="10" fillId="8" borderId="11" xfId="0" applyNumberFormat="1" applyFont="1" applyFill="1" applyBorder="1"/>
    <xf numFmtId="0" fontId="33" fillId="8" borderId="11" xfId="0" applyFont="1" applyFill="1" applyBorder="1" applyAlignment="1">
      <alignment horizontal="left"/>
    </xf>
    <xf numFmtId="165" fontId="10" fillId="9" borderId="11" xfId="0" applyNumberFormat="1" applyFont="1" applyFill="1" applyBorder="1"/>
    <xf numFmtId="0" fontId="10" fillId="8" borderId="21" xfId="0" applyFont="1" applyFill="1" applyBorder="1" applyAlignment="1">
      <alignment vertical="center"/>
    </xf>
    <xf numFmtId="0" fontId="16" fillId="8" borderId="21" xfId="0" applyFont="1" applyFill="1" applyBorder="1" applyAlignment="1">
      <alignment horizontal="left" vertical="center"/>
    </xf>
    <xf numFmtId="0" fontId="10" fillId="9" borderId="21" xfId="0" applyFont="1" applyFill="1" applyBorder="1" applyAlignment="1">
      <alignment horizontal="center" vertical="center"/>
    </xf>
    <xf numFmtId="164" fontId="10" fillId="9" borderId="13" xfId="1" applyFont="1" applyFill="1" applyBorder="1" applyAlignment="1">
      <alignment horizontal="right" vertical="center"/>
    </xf>
    <xf numFmtId="0" fontId="34" fillId="0" borderId="11" xfId="0" applyFont="1" applyBorder="1" applyAlignment="1">
      <alignment vertical="center"/>
    </xf>
    <xf numFmtId="0" fontId="35" fillId="0" borderId="11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17" fontId="36" fillId="4" borderId="12" xfId="2" applyNumberFormat="1" applyFont="1" applyFill="1" applyBorder="1" applyAlignment="1">
      <alignment horizontal="center"/>
    </xf>
    <xf numFmtId="164" fontId="34" fillId="9" borderId="13" xfId="1" applyFont="1" applyFill="1" applyBorder="1" applyAlignment="1">
      <alignment vertical="center"/>
    </xf>
    <xf numFmtId="0" fontId="36" fillId="4" borderId="12" xfId="2" applyFont="1" applyFill="1" applyBorder="1"/>
    <xf numFmtId="0" fontId="36" fillId="4" borderId="12" xfId="2" applyFont="1" applyFill="1" applyBorder="1" applyAlignment="1">
      <alignment horizontal="left"/>
    </xf>
    <xf numFmtId="0" fontId="35" fillId="8" borderId="23" xfId="0" applyFont="1" applyFill="1" applyBorder="1" applyAlignment="1">
      <alignment horizontal="left" vertical="center"/>
    </xf>
    <xf numFmtId="0" fontId="35" fillId="8" borderId="0" xfId="0" applyFont="1" applyFill="1" applyAlignment="1">
      <alignment horizontal="left" vertical="center"/>
    </xf>
    <xf numFmtId="0" fontId="34" fillId="0" borderId="23" xfId="0" applyFont="1" applyBorder="1" applyAlignment="1">
      <alignment vertical="center"/>
    </xf>
    <xf numFmtId="0" fontId="35" fillId="8" borderId="11" xfId="0" applyFont="1" applyFill="1" applyBorder="1" applyAlignment="1">
      <alignment horizontal="left" vertical="center"/>
    </xf>
    <xf numFmtId="0" fontId="35" fillId="0" borderId="23" xfId="0" applyFont="1" applyBorder="1" applyAlignment="1">
      <alignment horizontal="left" vertical="center"/>
    </xf>
    <xf numFmtId="0" fontId="34" fillId="8" borderId="23" xfId="0" applyFont="1" applyFill="1" applyBorder="1" applyAlignment="1">
      <alignment vertical="center"/>
    </xf>
    <xf numFmtId="0" fontId="34" fillId="8" borderId="11" xfId="0" applyFont="1" applyFill="1" applyBorder="1" applyAlignment="1">
      <alignment vertical="center"/>
    </xf>
    <xf numFmtId="0" fontId="34" fillId="8" borderId="32" xfId="0" applyFont="1" applyFill="1" applyBorder="1" applyAlignment="1">
      <alignment vertical="center"/>
    </xf>
    <xf numFmtId="0" fontId="35" fillId="8" borderId="33" xfId="0" applyFont="1" applyFill="1" applyBorder="1" applyAlignment="1">
      <alignment horizontal="left" vertical="center"/>
    </xf>
    <xf numFmtId="49" fontId="36" fillId="4" borderId="12" xfId="2" applyNumberFormat="1" applyFont="1" applyFill="1" applyBorder="1" applyAlignment="1">
      <alignment horizontal="center"/>
    </xf>
    <xf numFmtId="17" fontId="36" fillId="4" borderId="14" xfId="2" applyNumberFormat="1" applyFont="1" applyFill="1" applyBorder="1" applyAlignment="1">
      <alignment horizontal="center"/>
    </xf>
    <xf numFmtId="0" fontId="34" fillId="8" borderId="6" xfId="0" applyFont="1" applyFill="1" applyBorder="1" applyAlignment="1">
      <alignment vertical="center"/>
    </xf>
    <xf numFmtId="0" fontId="35" fillId="8" borderId="6" xfId="0" applyFont="1" applyFill="1" applyBorder="1" applyAlignment="1">
      <alignment horizontal="left" vertical="center"/>
    </xf>
    <xf numFmtId="0" fontId="36" fillId="4" borderId="14" xfId="2" applyFont="1" applyFill="1" applyBorder="1" applyAlignment="1">
      <alignment horizontal="left"/>
    </xf>
    <xf numFmtId="164" fontId="34" fillId="9" borderId="40" xfId="1" applyFont="1" applyFill="1" applyBorder="1" applyAlignment="1">
      <alignment vertical="center"/>
    </xf>
    <xf numFmtId="164" fontId="34" fillId="9" borderId="74" xfId="1" applyFont="1" applyFill="1" applyBorder="1" applyAlignment="1">
      <alignment vertical="center"/>
    </xf>
    <xf numFmtId="164" fontId="34" fillId="9" borderId="76" xfId="1" applyFont="1" applyFill="1" applyBorder="1" applyAlignment="1">
      <alignment vertical="center"/>
    </xf>
    <xf numFmtId="0" fontId="36" fillId="4" borderId="12" xfId="2" applyFont="1" applyFill="1" applyBorder="1" applyAlignment="1">
      <alignment horizontal="center"/>
    </xf>
    <xf numFmtId="164" fontId="34" fillId="3" borderId="13" xfId="1" applyFont="1" applyFill="1" applyBorder="1" applyAlignment="1">
      <alignment vertical="center"/>
    </xf>
    <xf numFmtId="164" fontId="35" fillId="0" borderId="0" xfId="1" applyFont="1" applyBorder="1" applyAlignment="1">
      <alignment horizontal="left" vertical="center"/>
    </xf>
    <xf numFmtId="17" fontId="36" fillId="4" borderId="12" xfId="2" applyNumberFormat="1" applyFont="1" applyFill="1" applyBorder="1" applyAlignment="1">
      <alignment vertical="center"/>
    </xf>
    <xf numFmtId="17" fontId="36" fillId="4" borderId="37" xfId="2" applyNumberFormat="1" applyFont="1" applyFill="1" applyBorder="1" applyAlignment="1">
      <alignment vertical="center"/>
    </xf>
    <xf numFmtId="17" fontId="36" fillId="4" borderId="38" xfId="2" applyNumberFormat="1" applyFont="1" applyFill="1" applyBorder="1" applyAlignment="1">
      <alignment vertical="center"/>
    </xf>
    <xf numFmtId="0" fontId="34" fillId="0" borderId="11" xfId="0" applyFont="1" applyBorder="1" applyAlignment="1">
      <alignment horizontal="left" vertical="center"/>
    </xf>
    <xf numFmtId="49" fontId="35" fillId="0" borderId="11" xfId="0" applyNumberFormat="1" applyFont="1" applyBorder="1" applyAlignment="1">
      <alignment horizontal="left" vertical="center"/>
    </xf>
    <xf numFmtId="49" fontId="35" fillId="0" borderId="0" xfId="0" applyNumberFormat="1" applyFont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49" fontId="35" fillId="0" borderId="23" xfId="0" applyNumberFormat="1" applyFont="1" applyBorder="1" applyAlignment="1">
      <alignment horizontal="left" vertical="center"/>
    </xf>
    <xf numFmtId="17" fontId="36" fillId="4" borderId="12" xfId="2" quotePrefix="1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164" fontId="10" fillId="3" borderId="22" xfId="1" applyFont="1" applyFill="1" applyBorder="1" applyAlignment="1">
      <alignment horizontal="right" vertical="center"/>
    </xf>
    <xf numFmtId="17" fontId="34" fillId="3" borderId="11" xfId="0" applyNumberFormat="1" applyFont="1" applyFill="1" applyBorder="1" applyAlignment="1">
      <alignment horizontal="center" vertical="center"/>
    </xf>
    <xf numFmtId="17" fontId="34" fillId="3" borderId="21" xfId="0" applyNumberFormat="1" applyFont="1" applyFill="1" applyBorder="1" applyAlignment="1">
      <alignment horizontal="center" vertical="center"/>
    </xf>
    <xf numFmtId="0" fontId="34" fillId="3" borderId="21" xfId="0" applyFont="1" applyFill="1" applyBorder="1" applyAlignment="1">
      <alignment horizontal="center" vertical="center"/>
    </xf>
    <xf numFmtId="4" fontId="34" fillId="8" borderId="11" xfId="0" applyNumberFormat="1" applyFont="1" applyFill="1" applyBorder="1"/>
    <xf numFmtId="0" fontId="37" fillId="8" borderId="11" xfId="0" applyFont="1" applyFill="1" applyBorder="1" applyAlignment="1">
      <alignment horizontal="left"/>
    </xf>
    <xf numFmtId="165" fontId="34" fillId="9" borderId="11" xfId="0" applyNumberFormat="1" applyFont="1" applyFill="1" applyBorder="1"/>
    <xf numFmtId="0" fontId="34" fillId="8" borderId="21" xfId="0" applyFont="1" applyFill="1" applyBorder="1" applyAlignment="1">
      <alignment vertical="center"/>
    </xf>
    <xf numFmtId="0" fontId="35" fillId="8" borderId="21" xfId="0" applyFont="1" applyFill="1" applyBorder="1" applyAlignment="1">
      <alignment horizontal="left" vertical="center"/>
    </xf>
    <xf numFmtId="0" fontId="34" fillId="9" borderId="21" xfId="0" applyFont="1" applyFill="1" applyBorder="1" applyAlignment="1">
      <alignment horizontal="center" vertical="center"/>
    </xf>
    <xf numFmtId="164" fontId="34" fillId="9" borderId="13" xfId="1" applyFont="1" applyFill="1" applyBorder="1" applyAlignment="1">
      <alignment horizontal="right" vertical="center"/>
    </xf>
    <xf numFmtId="0" fontId="36" fillId="4" borderId="11" xfId="2" applyFont="1" applyFill="1" applyBorder="1" applyAlignment="1">
      <alignment horizontal="left"/>
    </xf>
    <xf numFmtId="0" fontId="36" fillId="4" borderId="6" xfId="2" applyFont="1" applyFill="1" applyBorder="1" applyAlignment="1">
      <alignment horizontal="left"/>
    </xf>
    <xf numFmtId="0" fontId="34" fillId="8" borderId="14" xfId="0" applyFont="1" applyFill="1" applyBorder="1" applyAlignment="1">
      <alignment vertical="center"/>
    </xf>
    <xf numFmtId="0" fontId="35" fillId="8" borderId="14" xfId="0" applyFont="1" applyFill="1" applyBorder="1" applyAlignment="1">
      <alignment horizontal="left" vertical="center"/>
    </xf>
    <xf numFmtId="164" fontId="34" fillId="3" borderId="40" xfId="1" applyFont="1" applyFill="1" applyBorder="1" applyAlignment="1">
      <alignment vertical="center"/>
    </xf>
    <xf numFmtId="0" fontId="34" fillId="0" borderId="12" xfId="0" applyFont="1" applyBorder="1" applyAlignment="1">
      <alignment vertical="center"/>
    </xf>
    <xf numFmtId="0" fontId="35" fillId="0" borderId="12" xfId="0" applyFont="1" applyBorder="1" applyAlignment="1">
      <alignment horizontal="left" vertical="center"/>
    </xf>
    <xf numFmtId="164" fontId="34" fillId="3" borderId="74" xfId="1" applyFont="1" applyFill="1" applyBorder="1" applyAlignment="1">
      <alignment vertical="center"/>
    </xf>
    <xf numFmtId="0" fontId="34" fillId="8" borderId="12" xfId="0" applyFont="1" applyFill="1" applyBorder="1" applyAlignment="1">
      <alignment vertical="center"/>
    </xf>
    <xf numFmtId="0" fontId="35" fillId="8" borderId="12" xfId="0" applyFont="1" applyFill="1" applyBorder="1" applyAlignment="1">
      <alignment horizontal="left" vertical="center"/>
    </xf>
    <xf numFmtId="164" fontId="34" fillId="3" borderId="76" xfId="1" applyFont="1" applyFill="1" applyBorder="1" applyAlignment="1">
      <alignment vertical="center"/>
    </xf>
    <xf numFmtId="17" fontId="36" fillId="4" borderId="14" xfId="2" quotePrefix="1" applyNumberFormat="1" applyFont="1" applyFill="1" applyBorder="1" applyAlignment="1">
      <alignment horizontal="center"/>
    </xf>
    <xf numFmtId="0" fontId="36" fillId="4" borderId="14" xfId="2" applyFont="1" applyFill="1" applyBorder="1" applyAlignment="1">
      <alignment horizontal="center"/>
    </xf>
    <xf numFmtId="49" fontId="36" fillId="4" borderId="14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165" fontId="23" fillId="12" borderId="26" xfId="0" applyNumberFormat="1" applyFont="1" applyFill="1" applyBorder="1" applyAlignment="1">
      <alignment horizontal="center" vertical="center"/>
    </xf>
    <xf numFmtId="165" fontId="23" fillId="12" borderId="0" xfId="0" applyNumberFormat="1" applyFont="1" applyFill="1" applyAlignment="1">
      <alignment horizontal="center" vertical="center"/>
    </xf>
    <xf numFmtId="165" fontId="23" fillId="12" borderId="31" xfId="0" applyNumberFormat="1" applyFont="1" applyFill="1" applyBorder="1" applyAlignment="1">
      <alignment horizontal="center" vertical="center"/>
    </xf>
    <xf numFmtId="0" fontId="24" fillId="20" borderId="59" xfId="2" applyFont="1" applyFill="1" applyBorder="1" applyAlignment="1">
      <alignment horizontal="center" vertical="center"/>
    </xf>
    <xf numFmtId="0" fontId="24" fillId="20" borderId="60" xfId="2" applyFont="1" applyFill="1" applyBorder="1" applyAlignment="1">
      <alignment horizontal="center" vertical="center"/>
    </xf>
    <xf numFmtId="0" fontId="26" fillId="5" borderId="6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1" fillId="0" borderId="63" xfId="0" applyFont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165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1" fillId="0" borderId="0" xfId="0" applyFont="1" applyAlignment="1">
      <alignment horizontal="center" vertical="center"/>
    </xf>
  </cellXfs>
  <cellStyles count="5">
    <cellStyle name="Comma" xfId="1" builtinId="3"/>
    <cellStyle name="Normal" xfId="0" builtinId="0"/>
    <cellStyle name="จุลภาค 2 2" xfId="3" xr:uid="{F2272576-4A9A-4163-ADB7-CCF3EC9D9886}"/>
    <cellStyle name="จุลภาค 2 2 2" xfId="4" xr:uid="{D881B81F-DA99-47CD-8AF1-9EF002DDE42B}"/>
    <cellStyle name="ปกติ 4" xfId="2" xr:uid="{C938E8C8-878F-4B8D-B87A-6C58BD294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EAFA-F02E-42E2-A5ED-9FF9656B5C40}">
  <sheetPr>
    <tabColor rgb="FF00B0F0"/>
  </sheetPr>
  <dimension ref="A1:AQ251"/>
  <sheetViews>
    <sheetView tabSelected="1" zoomScale="80" zoomScaleNormal="80" workbookViewId="0">
      <pane ySplit="6" topLeftCell="A237" activePane="bottomLeft" state="frozen"/>
      <selection pane="bottomLeft" activeCell="B244" sqref="B244:K244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4.88671875" style="88" customWidth="1"/>
    <col min="5" max="5" width="13.33203125" style="659" customWidth="1"/>
    <col min="6" max="6" width="5.5546875" style="659" customWidth="1"/>
    <col min="7" max="7" width="7.88671875" style="660" customWidth="1"/>
    <col min="8" max="8" width="14.88671875" style="661" customWidth="1"/>
    <col min="9" max="9" width="14.6640625" style="661" customWidth="1"/>
    <col min="10" max="10" width="14.44140625" style="661" customWidth="1"/>
    <col min="11" max="11" width="12.44140625" style="88" customWidth="1"/>
    <col min="12" max="12" width="18.6640625" style="88" customWidth="1"/>
    <col min="13" max="13" width="16.33203125" style="88" customWidth="1"/>
    <col min="14" max="14" width="14.5546875" style="662" customWidth="1"/>
    <col min="15" max="15" width="5.77734375" style="662" customWidth="1"/>
    <col min="16" max="16" width="8" style="663" customWidth="1"/>
    <col min="17" max="17" width="16.33203125" style="664" customWidth="1"/>
    <col min="18" max="18" width="13.88671875" style="664" customWidth="1"/>
    <col min="19" max="19" width="16.5546875" style="665" customWidth="1"/>
    <col min="20" max="16384" width="27.109375" style="3"/>
  </cols>
  <sheetData>
    <row r="1" spans="1:20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09"/>
      <c r="S1" s="1109"/>
      <c r="T1" s="2"/>
    </row>
    <row r="2" spans="1:20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2"/>
    </row>
    <row r="3" spans="1:20" ht="22.5" customHeight="1" x14ac:dyDescent="0.3">
      <c r="A3" s="1110" t="s">
        <v>1747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1111"/>
      <c r="S3" s="1111"/>
      <c r="T3" s="2"/>
    </row>
    <row r="4" spans="1:20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44"/>
      <c r="G4" s="1135"/>
      <c r="H4" s="1135"/>
      <c r="I4" s="1135"/>
      <c r="J4" s="1136"/>
      <c r="K4" s="1145" t="s">
        <v>8</v>
      </c>
      <c r="L4" s="1146"/>
      <c r="M4" s="1147"/>
      <c r="N4" s="1118" t="s">
        <v>9</v>
      </c>
      <c r="O4" s="1119"/>
      <c r="P4" s="1140"/>
      <c r="Q4" s="1140"/>
      <c r="R4" s="1140"/>
      <c r="S4" s="1120"/>
      <c r="T4" s="2"/>
    </row>
    <row r="5" spans="1:20" ht="22.5" customHeight="1" x14ac:dyDescent="0.3">
      <c r="A5" s="1113"/>
      <c r="B5" s="1113"/>
      <c r="C5" s="1116"/>
      <c r="D5" s="1142"/>
      <c r="E5" s="1130" t="s">
        <v>10</v>
      </c>
      <c r="F5" s="880" t="s">
        <v>937</v>
      </c>
      <c r="G5" s="1132" t="s">
        <v>11</v>
      </c>
      <c r="H5" s="1134" t="s">
        <v>12</v>
      </c>
      <c r="I5" s="1135"/>
      <c r="J5" s="1136"/>
      <c r="K5" s="5"/>
      <c r="L5" s="6"/>
      <c r="M5" s="6"/>
      <c r="N5" s="1121" t="s">
        <v>10</v>
      </c>
      <c r="O5" s="882"/>
      <c r="P5" s="1138" t="s">
        <v>11</v>
      </c>
      <c r="Q5" s="1118" t="s">
        <v>12</v>
      </c>
      <c r="R5" s="1140"/>
      <c r="S5" s="1120"/>
      <c r="T5" s="2"/>
    </row>
    <row r="6" spans="1:20" ht="22.5" customHeight="1" x14ac:dyDescent="0.3">
      <c r="A6" s="1114"/>
      <c r="B6" s="1114"/>
      <c r="C6" s="1117"/>
      <c r="D6" s="1143"/>
      <c r="E6" s="1131"/>
      <c r="F6" s="881"/>
      <c r="G6" s="1133"/>
      <c r="H6" s="7" t="s">
        <v>13</v>
      </c>
      <c r="I6" s="7" t="s">
        <v>14</v>
      </c>
      <c r="J6" s="7" t="s">
        <v>15</v>
      </c>
      <c r="K6" s="5" t="s">
        <v>16</v>
      </c>
      <c r="L6" s="8" t="s">
        <v>17</v>
      </c>
      <c r="M6" s="6" t="s">
        <v>13</v>
      </c>
      <c r="N6" s="1122"/>
      <c r="O6" s="883" t="s">
        <v>937</v>
      </c>
      <c r="P6" s="1139"/>
      <c r="Q6" s="9" t="s">
        <v>18</v>
      </c>
      <c r="R6" s="9" t="s">
        <v>14</v>
      </c>
      <c r="S6" s="10" t="s">
        <v>15</v>
      </c>
      <c r="T6" s="2"/>
    </row>
    <row r="7" spans="1:20" ht="22.5" customHeight="1" x14ac:dyDescent="0.3">
      <c r="A7" s="11"/>
      <c r="B7" s="12" t="s">
        <v>19</v>
      </c>
      <c r="C7" s="13"/>
      <c r="D7" s="14"/>
      <c r="E7" s="15"/>
      <c r="F7" s="15"/>
      <c r="G7" s="16"/>
      <c r="H7" s="7"/>
      <c r="I7" s="17"/>
      <c r="J7" s="17"/>
      <c r="K7" s="18"/>
      <c r="L7" s="18"/>
      <c r="M7" s="14"/>
      <c r="N7" s="19"/>
      <c r="O7" s="19"/>
      <c r="P7" s="20"/>
      <c r="Q7" s="21"/>
      <c r="R7" s="21"/>
      <c r="S7" s="22"/>
      <c r="T7" s="2"/>
    </row>
    <row r="8" spans="1:20" ht="22.5" customHeight="1" x14ac:dyDescent="0.6">
      <c r="A8" s="23">
        <v>1</v>
      </c>
      <c r="B8" s="24" t="s">
        <v>20</v>
      </c>
      <c r="C8" s="25" t="s">
        <v>21</v>
      </c>
      <c r="D8" s="26">
        <v>4105.2700000000004</v>
      </c>
      <c r="E8" s="27"/>
      <c r="F8" s="27"/>
      <c r="G8" s="28"/>
      <c r="H8" s="29">
        <v>-2.2429906553425609E-3</v>
      </c>
      <c r="I8" s="29">
        <v>-1.5700934587397925E-4</v>
      </c>
      <c r="J8" s="29">
        <v>-2.4000000012165401E-3</v>
      </c>
      <c r="K8" s="30" t="s">
        <v>1751</v>
      </c>
      <c r="L8" s="31" t="s">
        <v>1752</v>
      </c>
      <c r="M8" s="32">
        <v>4105.2700000000004</v>
      </c>
      <c r="N8" s="33"/>
      <c r="O8" s="33"/>
      <c r="P8" s="34"/>
      <c r="Q8" s="35">
        <f>SUM(S8-R8)</f>
        <v>-2.2429906553425609E-3</v>
      </c>
      <c r="R8" s="35">
        <f>SUM(S8*7/107)</f>
        <v>-1.5700934587397925E-4</v>
      </c>
      <c r="S8" s="36">
        <f>SUM(D8+J8-M8)</f>
        <v>-2.4000000012165401E-3</v>
      </c>
      <c r="T8" s="47"/>
    </row>
    <row r="9" spans="1:20" ht="22.5" customHeight="1" x14ac:dyDescent="0.6">
      <c r="A9" s="23">
        <v>2</v>
      </c>
      <c r="B9" s="24" t="s">
        <v>24</v>
      </c>
      <c r="C9" s="25" t="s">
        <v>25</v>
      </c>
      <c r="D9" s="26"/>
      <c r="E9" s="27"/>
      <c r="F9" s="27"/>
      <c r="G9" s="28"/>
      <c r="H9" s="29">
        <v>1.962616820449758E-3</v>
      </c>
      <c r="I9" s="29">
        <v>1.3738317743148306E-4</v>
      </c>
      <c r="J9" s="29">
        <v>2.0999999978812411E-3</v>
      </c>
      <c r="K9" s="30"/>
      <c r="L9" s="31"/>
      <c r="M9" s="32"/>
      <c r="N9" s="33"/>
      <c r="O9" s="33"/>
      <c r="P9" s="34"/>
      <c r="Q9" s="35">
        <f>SUM(S9-R9)</f>
        <v>1.962616820449758E-3</v>
      </c>
      <c r="R9" s="35">
        <f>SUM(S9*7/107)</f>
        <v>1.3738317743148306E-4</v>
      </c>
      <c r="S9" s="36">
        <f>SUM(D9+J9-M9)</f>
        <v>2.0999999978812411E-3</v>
      </c>
      <c r="T9" s="47"/>
    </row>
    <row r="10" spans="1:20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7"/>
      <c r="G10" s="28"/>
      <c r="H10" s="29">
        <v>0</v>
      </c>
      <c r="I10" s="29">
        <v>0</v>
      </c>
      <c r="J10" s="29">
        <v>0</v>
      </c>
      <c r="K10" s="38" t="s">
        <v>1751</v>
      </c>
      <c r="L10" s="39" t="s">
        <v>1753</v>
      </c>
      <c r="M10" s="40">
        <v>802.5</v>
      </c>
      <c r="N10" s="41"/>
      <c r="O10" s="41"/>
      <c r="P10" s="34"/>
      <c r="Q10" s="35">
        <f>SUM(S10-R10)</f>
        <v>0</v>
      </c>
      <c r="R10" s="35">
        <f>SUM(S10*7/107)</f>
        <v>0</v>
      </c>
      <c r="S10" s="36">
        <f>SUM(D10+J10-M10)</f>
        <v>0</v>
      </c>
      <c r="T10" s="2"/>
    </row>
    <row r="11" spans="1:20" ht="22.5" customHeight="1" x14ac:dyDescent="0.6">
      <c r="A11" s="23">
        <v>4</v>
      </c>
      <c r="B11" s="24" t="s">
        <v>30</v>
      </c>
      <c r="C11" s="25" t="s">
        <v>31</v>
      </c>
      <c r="D11" s="43"/>
      <c r="E11" s="894" t="s">
        <v>1585</v>
      </c>
      <c r="F11" s="895" t="s">
        <v>33</v>
      </c>
      <c r="G11" s="895" t="s">
        <v>33</v>
      </c>
      <c r="H11" s="896">
        <v>1080</v>
      </c>
      <c r="I11" s="896">
        <v>75.600000000000009</v>
      </c>
      <c r="J11" s="896">
        <v>1155.5999999999999</v>
      </c>
      <c r="K11" s="30" t="s">
        <v>1749</v>
      </c>
      <c r="L11" s="31" t="s">
        <v>1750</v>
      </c>
      <c r="M11" s="32">
        <v>1155.5999999999999</v>
      </c>
      <c r="N11" s="33"/>
      <c r="O11" s="33"/>
      <c r="P11" s="34"/>
      <c r="Q11" s="669">
        <f>SUM(S11-R11)</f>
        <v>0</v>
      </c>
      <c r="R11" s="669">
        <f>SUM(S11*7/107)</f>
        <v>0</v>
      </c>
      <c r="S11" s="340">
        <f>SUM(D11+J11-M11)</f>
        <v>0</v>
      </c>
      <c r="T11" s="47" t="s">
        <v>1748</v>
      </c>
    </row>
    <row r="12" spans="1:20" s="60" customFormat="1" ht="22.5" customHeight="1" thickBot="1" x14ac:dyDescent="0.35">
      <c r="A12" s="48"/>
      <c r="B12" s="48" t="s">
        <v>15</v>
      </c>
      <c r="C12" s="49"/>
      <c r="D12" s="50">
        <f>SUM(D8:D11)</f>
        <v>4907.7700000000004</v>
      </c>
      <c r="E12" s="51"/>
      <c r="F12" s="51"/>
      <c r="G12" s="52"/>
      <c r="H12" s="53">
        <f>SUM(H8:H11)</f>
        <v>1079.9997196261652</v>
      </c>
      <c r="I12" s="53">
        <f>SUM(I8:I11)</f>
        <v>75.599980373831571</v>
      </c>
      <c r="J12" s="53">
        <f>SUM(J8:J11)</f>
        <v>1155.5996999999966</v>
      </c>
      <c r="K12" s="54"/>
      <c r="L12" s="55"/>
      <c r="M12" s="998">
        <f>SUM(M8:M11)</f>
        <v>6063.3700000000008</v>
      </c>
      <c r="N12" s="48"/>
      <c r="O12" s="48"/>
      <c r="P12" s="56"/>
      <c r="Q12" s="670">
        <f>SUM(S12-R12)</f>
        <v>-2.8037383489280278E-4</v>
      </c>
      <c r="R12" s="670">
        <f>SUM(S12*7/107)</f>
        <v>-1.9626168442496193E-5</v>
      </c>
      <c r="S12" s="671">
        <f>SUM(D12+J12-M12)</f>
        <v>-3.0000000333529897E-4</v>
      </c>
      <c r="T12" s="59"/>
    </row>
    <row r="13" spans="1:20" ht="22.5" customHeight="1" thickTop="1" x14ac:dyDescent="0.3">
      <c r="A13" s="61"/>
      <c r="B13" s="62" t="s">
        <v>37</v>
      </c>
      <c r="C13" s="63"/>
      <c r="D13" s="64"/>
      <c r="E13" s="65"/>
      <c r="F13" s="65"/>
      <c r="G13" s="66"/>
      <c r="H13" s="67"/>
      <c r="I13" s="67"/>
      <c r="J13" s="67"/>
      <c r="K13" s="68"/>
      <c r="L13" s="68"/>
      <c r="M13" s="64"/>
      <c r="N13" s="69"/>
      <c r="O13" s="69"/>
      <c r="P13" s="70"/>
      <c r="Q13" s="71"/>
      <c r="R13" s="71"/>
      <c r="S13" s="72"/>
      <c r="T13" s="2"/>
    </row>
    <row r="14" spans="1:20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4"/>
      <c r="G14" s="75"/>
      <c r="H14" s="76">
        <v>0</v>
      </c>
      <c r="I14" s="76">
        <v>0</v>
      </c>
      <c r="J14" s="76">
        <v>0</v>
      </c>
      <c r="K14" s="30" t="s">
        <v>1754</v>
      </c>
      <c r="L14" s="31" t="s">
        <v>1755</v>
      </c>
      <c r="M14" s="32">
        <v>1284</v>
      </c>
      <c r="N14" s="69"/>
      <c r="O14" s="69"/>
      <c r="P14" s="70"/>
      <c r="Q14" s="35">
        <f>SUM(S14-R14)</f>
        <v>0</v>
      </c>
      <c r="R14" s="42">
        <f>SUM(S14*7/107)</f>
        <v>0</v>
      </c>
      <c r="S14" s="36">
        <f>SUM(D14+J14-M14)</f>
        <v>0</v>
      </c>
      <c r="T14" s="2"/>
    </row>
    <row r="15" spans="1:20" ht="22.5" customHeight="1" x14ac:dyDescent="0.5">
      <c r="A15" s="23">
        <v>2</v>
      </c>
      <c r="B15" s="73" t="s">
        <v>42</v>
      </c>
      <c r="C15" s="25" t="s">
        <v>43</v>
      </c>
      <c r="D15" s="43">
        <v>1797.6</v>
      </c>
      <c r="E15" s="74"/>
      <c r="F15" s="80"/>
      <c r="G15" s="77"/>
      <c r="H15" s="76">
        <v>-4.2499752419295712E-13</v>
      </c>
      <c r="I15" s="76">
        <v>-2.9749826693506995E-14</v>
      </c>
      <c r="J15" s="76">
        <v>-4.5474735088646412E-13</v>
      </c>
      <c r="K15" s="30" t="s">
        <v>1756</v>
      </c>
      <c r="L15" s="31" t="s">
        <v>1757</v>
      </c>
      <c r="M15" s="32">
        <v>1797.6</v>
      </c>
      <c r="N15" s="33"/>
      <c r="O15" s="747"/>
      <c r="P15" s="70"/>
      <c r="Q15" s="35">
        <f t="shared" ref="Q15:Q26" si="0">SUM(S15-R15)</f>
        <v>-4.2499752419295712E-13</v>
      </c>
      <c r="R15" s="42">
        <f t="shared" ref="R15:R26" si="1">SUM(S15*7/107)</f>
        <v>-2.9749826693506995E-14</v>
      </c>
      <c r="S15" s="36">
        <f t="shared" ref="S15:S26" si="2">SUM(D15+J15-M15)</f>
        <v>-4.5474735088646412E-13</v>
      </c>
      <c r="T15" s="2"/>
    </row>
    <row r="16" spans="1:20" ht="22.5" customHeight="1" x14ac:dyDescent="0.5">
      <c r="A16" s="23">
        <v>3</v>
      </c>
      <c r="B16" s="73" t="s">
        <v>45</v>
      </c>
      <c r="C16" s="25" t="s">
        <v>46</v>
      </c>
      <c r="D16" s="43">
        <v>1765.5</v>
      </c>
      <c r="E16" s="74" t="s">
        <v>1561</v>
      </c>
      <c r="F16" s="80" t="s">
        <v>33</v>
      </c>
      <c r="G16" s="77" t="s">
        <v>33</v>
      </c>
      <c r="H16" s="76">
        <v>1649.9999999999998</v>
      </c>
      <c r="I16" s="76">
        <v>115.49999999999999</v>
      </c>
      <c r="J16" s="76">
        <v>1765.4999999999998</v>
      </c>
      <c r="K16" s="30" t="s">
        <v>1758</v>
      </c>
      <c r="L16" s="31" t="s">
        <v>1759</v>
      </c>
      <c r="M16" s="32">
        <v>1765.5</v>
      </c>
      <c r="N16" s="33" t="s">
        <v>1760</v>
      </c>
      <c r="O16" s="747" t="s">
        <v>33</v>
      </c>
      <c r="P16" s="70" t="s">
        <v>33</v>
      </c>
      <c r="Q16" s="35">
        <f t="shared" si="0"/>
        <v>1650</v>
      </c>
      <c r="R16" s="42">
        <f t="shared" si="1"/>
        <v>115.5</v>
      </c>
      <c r="S16" s="36">
        <f t="shared" si="2"/>
        <v>1765.5</v>
      </c>
      <c r="T16" s="2"/>
    </row>
    <row r="17" spans="1:20" ht="22.5" customHeight="1" x14ac:dyDescent="0.5">
      <c r="A17" s="23">
        <v>4</v>
      </c>
      <c r="B17" s="73" t="s">
        <v>48</v>
      </c>
      <c r="C17" s="25" t="s">
        <v>49</v>
      </c>
      <c r="D17" s="43">
        <v>2600.1</v>
      </c>
      <c r="E17" s="74" t="s">
        <v>1561</v>
      </c>
      <c r="F17" s="80" t="s">
        <v>33</v>
      </c>
      <c r="G17" s="77" t="s">
        <v>33</v>
      </c>
      <c r="H17" s="76">
        <v>1709.9999999999991</v>
      </c>
      <c r="I17" s="76">
        <v>119.69999999999993</v>
      </c>
      <c r="J17" s="76">
        <v>1829.6999999999989</v>
      </c>
      <c r="K17" s="30" t="s">
        <v>1761</v>
      </c>
      <c r="L17" s="31" t="s">
        <v>1762</v>
      </c>
      <c r="M17" s="32">
        <v>4429.8</v>
      </c>
      <c r="N17" s="33"/>
      <c r="O17" s="747"/>
      <c r="P17" s="70"/>
      <c r="Q17" s="35">
        <f t="shared" si="0"/>
        <v>-8.4999504838591423E-13</v>
      </c>
      <c r="R17" s="42">
        <f t="shared" si="1"/>
        <v>-5.9499653387013991E-14</v>
      </c>
      <c r="S17" s="36">
        <f t="shared" si="2"/>
        <v>-9.0949470177292824E-13</v>
      </c>
      <c r="T17" s="2"/>
    </row>
    <row r="18" spans="1:20" ht="22.5" customHeight="1" x14ac:dyDescent="0.5">
      <c r="A18" s="23">
        <v>5</v>
      </c>
      <c r="B18" s="73" t="s">
        <v>51</v>
      </c>
      <c r="C18" s="25" t="s">
        <v>52</v>
      </c>
      <c r="D18" s="43">
        <v>5007.6000000000004</v>
      </c>
      <c r="E18" s="74" t="s">
        <v>1561</v>
      </c>
      <c r="F18" s="80" t="s">
        <v>33</v>
      </c>
      <c r="G18" s="77" t="s">
        <v>33</v>
      </c>
      <c r="H18" s="76">
        <v>4455.0000000000027</v>
      </c>
      <c r="I18" s="76">
        <v>311.85000000000019</v>
      </c>
      <c r="J18" s="76">
        <v>4766.8500000000031</v>
      </c>
      <c r="K18" s="30" t="s">
        <v>1763</v>
      </c>
      <c r="L18" s="31" t="s">
        <v>1764</v>
      </c>
      <c r="M18" s="32">
        <v>9774.4500000000007</v>
      </c>
      <c r="N18" s="33"/>
      <c r="O18" s="747"/>
      <c r="P18" s="70"/>
      <c r="Q18" s="35">
        <f t="shared" si="0"/>
        <v>3.3999801935436569E-12</v>
      </c>
      <c r="R18" s="42">
        <f t="shared" si="1"/>
        <v>2.3799861354805596E-13</v>
      </c>
      <c r="S18" s="36">
        <f t="shared" si="2"/>
        <v>3.637978807091713E-12</v>
      </c>
      <c r="T18" s="2"/>
    </row>
    <row r="19" spans="1:20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4"/>
      <c r="G19" s="75"/>
      <c r="H19" s="76">
        <v>0</v>
      </c>
      <c r="I19" s="76">
        <v>0</v>
      </c>
      <c r="J19" s="76">
        <v>0</v>
      </c>
      <c r="K19" s="30" t="s">
        <v>1758</v>
      </c>
      <c r="L19" s="31" t="s">
        <v>1765</v>
      </c>
      <c r="M19" s="32">
        <v>6420</v>
      </c>
      <c r="N19" s="69"/>
      <c r="O19" s="69"/>
      <c r="P19" s="70"/>
      <c r="Q19" s="35">
        <f t="shared" si="0"/>
        <v>0</v>
      </c>
      <c r="R19" s="42">
        <f t="shared" si="1"/>
        <v>0</v>
      </c>
      <c r="S19" s="36">
        <f t="shared" si="2"/>
        <v>0</v>
      </c>
      <c r="T19" s="2"/>
    </row>
    <row r="20" spans="1:20" ht="22.5" customHeight="1" x14ac:dyDescent="0.5">
      <c r="A20" s="23">
        <v>7</v>
      </c>
      <c r="B20" s="78" t="s">
        <v>54</v>
      </c>
      <c r="C20" s="25" t="s">
        <v>55</v>
      </c>
      <c r="D20" s="79">
        <v>1444.5</v>
      </c>
      <c r="E20" s="80"/>
      <c r="F20" s="80"/>
      <c r="G20" s="77"/>
      <c r="H20" s="76">
        <v>0</v>
      </c>
      <c r="I20" s="76">
        <v>0</v>
      </c>
      <c r="J20" s="76">
        <v>0</v>
      </c>
      <c r="K20" s="38" t="s">
        <v>1751</v>
      </c>
      <c r="L20" s="39" t="s">
        <v>1766</v>
      </c>
      <c r="M20" s="40">
        <v>1444.5</v>
      </c>
      <c r="N20" s="33"/>
      <c r="O20" s="747"/>
      <c r="P20" s="70"/>
      <c r="Q20" s="35">
        <f t="shared" si="0"/>
        <v>0</v>
      </c>
      <c r="R20" s="42">
        <f t="shared" si="1"/>
        <v>0</v>
      </c>
      <c r="S20" s="36">
        <f t="shared" si="2"/>
        <v>0</v>
      </c>
      <c r="T20" s="2"/>
    </row>
    <row r="21" spans="1:20" ht="22.5" customHeight="1" x14ac:dyDescent="0.5">
      <c r="A21" s="23">
        <v>8</v>
      </c>
      <c r="B21" s="78" t="s">
        <v>56</v>
      </c>
      <c r="C21" s="81" t="s">
        <v>57</v>
      </c>
      <c r="D21" s="79">
        <v>722.25</v>
      </c>
      <c r="E21" s="74"/>
      <c r="F21" s="80"/>
      <c r="G21" s="77"/>
      <c r="H21" s="82">
        <v>0</v>
      </c>
      <c r="I21" s="82">
        <v>0</v>
      </c>
      <c r="J21" s="82">
        <v>0</v>
      </c>
      <c r="K21" s="38" t="s">
        <v>1756</v>
      </c>
      <c r="L21" s="39" t="s">
        <v>1767</v>
      </c>
      <c r="M21" s="40">
        <v>722.25</v>
      </c>
      <c r="N21" s="33"/>
      <c r="O21" s="747"/>
      <c r="P21" s="70"/>
      <c r="Q21" s="35">
        <f t="shared" si="0"/>
        <v>0</v>
      </c>
      <c r="R21" s="42">
        <f t="shared" si="1"/>
        <v>0</v>
      </c>
      <c r="S21" s="36">
        <f t="shared" si="2"/>
        <v>0</v>
      </c>
      <c r="T21" s="2"/>
    </row>
    <row r="22" spans="1:20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4"/>
      <c r="G22" s="75"/>
      <c r="H22" s="76">
        <v>0</v>
      </c>
      <c r="I22" s="76">
        <v>0</v>
      </c>
      <c r="J22" s="76">
        <v>0</v>
      </c>
      <c r="K22" s="38"/>
      <c r="L22" s="39"/>
      <c r="M22" s="40"/>
      <c r="N22" s="69" t="s">
        <v>1760</v>
      </c>
      <c r="O22" s="69" t="s">
        <v>33</v>
      </c>
      <c r="P22" s="70" t="s">
        <v>33</v>
      </c>
      <c r="Q22" s="35">
        <f t="shared" si="0"/>
        <v>20000</v>
      </c>
      <c r="R22" s="42">
        <f t="shared" si="1"/>
        <v>1400</v>
      </c>
      <c r="S22" s="36">
        <f t="shared" si="2"/>
        <v>21400</v>
      </c>
      <c r="T22" s="2"/>
    </row>
    <row r="23" spans="1:20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4"/>
      <c r="G23" s="75"/>
      <c r="H23" s="76">
        <v>0</v>
      </c>
      <c r="I23" s="76">
        <v>0</v>
      </c>
      <c r="J23" s="76">
        <v>0</v>
      </c>
      <c r="K23" s="38" t="s">
        <v>1751</v>
      </c>
      <c r="L23" s="39" t="s">
        <v>1768</v>
      </c>
      <c r="M23" s="40">
        <v>856</v>
      </c>
      <c r="N23" s="69"/>
      <c r="O23" s="69"/>
      <c r="P23" s="70"/>
      <c r="Q23" s="35">
        <f t="shared" si="0"/>
        <v>0</v>
      </c>
      <c r="R23" s="42">
        <f t="shared" si="1"/>
        <v>0</v>
      </c>
      <c r="S23" s="36">
        <f t="shared" si="2"/>
        <v>0</v>
      </c>
      <c r="T23" s="87"/>
    </row>
    <row r="24" spans="1:20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885"/>
      <c r="G24" s="92"/>
      <c r="H24" s="76">
        <v>0</v>
      </c>
      <c r="I24" s="76">
        <v>0</v>
      </c>
      <c r="J24" s="76">
        <v>0</v>
      </c>
      <c r="K24" s="38" t="s">
        <v>1769</v>
      </c>
      <c r="L24" s="39" t="s">
        <v>1770</v>
      </c>
      <c r="M24" s="40">
        <v>21400</v>
      </c>
      <c r="N24" s="69"/>
      <c r="O24" s="69"/>
      <c r="P24" s="70"/>
      <c r="Q24" s="35">
        <f t="shared" si="0"/>
        <v>0</v>
      </c>
      <c r="R24" s="42">
        <f>SUM(S24*7/107)</f>
        <v>0</v>
      </c>
      <c r="S24" s="36">
        <f t="shared" si="2"/>
        <v>0</v>
      </c>
      <c r="T24" s="93"/>
    </row>
    <row r="25" spans="1:20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6"/>
      <c r="G25" s="97"/>
      <c r="H25" s="98">
        <v>0</v>
      </c>
      <c r="I25" s="98">
        <v>0</v>
      </c>
      <c r="J25" s="98">
        <v>0</v>
      </c>
      <c r="K25" s="38" t="s">
        <v>1771</v>
      </c>
      <c r="L25" s="39" t="s">
        <v>1772</v>
      </c>
      <c r="M25" s="40">
        <v>3210</v>
      </c>
      <c r="N25" s="69"/>
      <c r="O25" s="69"/>
      <c r="P25" s="70"/>
      <c r="Q25" s="35">
        <f t="shared" si="0"/>
        <v>0</v>
      </c>
      <c r="R25" s="42">
        <f t="shared" si="1"/>
        <v>0</v>
      </c>
      <c r="S25" s="36">
        <f t="shared" si="2"/>
        <v>0</v>
      </c>
    </row>
    <row r="26" spans="1:20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6"/>
      <c r="G26" s="97"/>
      <c r="H26" s="98">
        <v>0</v>
      </c>
      <c r="I26" s="98">
        <v>0</v>
      </c>
      <c r="J26" s="98">
        <v>0</v>
      </c>
      <c r="K26" s="101" t="s">
        <v>1758</v>
      </c>
      <c r="L26" s="102" t="s">
        <v>1773</v>
      </c>
      <c r="M26" s="103">
        <v>3210</v>
      </c>
      <c r="N26" s="69"/>
      <c r="O26" s="69"/>
      <c r="P26" s="70"/>
      <c r="Q26" s="35">
        <f t="shared" si="0"/>
        <v>0</v>
      </c>
      <c r="R26" s="42">
        <f t="shared" si="1"/>
        <v>0</v>
      </c>
      <c r="S26" s="36">
        <f t="shared" si="2"/>
        <v>0</v>
      </c>
      <c r="T26" s="93"/>
    </row>
    <row r="27" spans="1:20" s="60" customFormat="1" ht="22.5" customHeight="1" thickBot="1" x14ac:dyDescent="0.35">
      <c r="A27" s="48"/>
      <c r="B27" s="48" t="s">
        <v>15</v>
      </c>
      <c r="C27" s="49"/>
      <c r="D27" s="104">
        <f>SUM(D14:D26)</f>
        <v>71117.55</v>
      </c>
      <c r="E27" s="105"/>
      <c r="F27" s="105"/>
      <c r="G27" s="56"/>
      <c r="H27" s="106">
        <f>SUM(H14:H26)</f>
        <v>7815.0000000000009</v>
      </c>
      <c r="I27" s="106">
        <f>SUM(I14:I26)</f>
        <v>547.05000000000007</v>
      </c>
      <c r="J27" s="106">
        <f>SUM(J14:J26)</f>
        <v>8362.0500000000011</v>
      </c>
      <c r="K27" s="104"/>
      <c r="L27" s="104"/>
      <c r="M27" s="999">
        <f>SUM(M14:M26)</f>
        <v>56314.100000000006</v>
      </c>
      <c r="N27" s="107"/>
      <c r="O27" s="107"/>
      <c r="P27" s="108"/>
      <c r="Q27" s="109">
        <f>SUM(Q14:Q26)</f>
        <v>21650.000000000004</v>
      </c>
      <c r="R27" s="109">
        <f>SUM(R14:R26)</f>
        <v>1515.5000000000002</v>
      </c>
      <c r="S27" s="110">
        <f>SUM(S14:S26)</f>
        <v>23165.500000000004</v>
      </c>
    </row>
    <row r="28" spans="1:20" ht="22.5" customHeight="1" thickTop="1" x14ac:dyDescent="0.3">
      <c r="A28" s="61"/>
      <c r="B28" s="62" t="s">
        <v>71</v>
      </c>
      <c r="C28" s="63"/>
      <c r="D28" s="64"/>
      <c r="E28" s="65"/>
      <c r="F28" s="65"/>
      <c r="G28" s="66"/>
      <c r="H28" s="67"/>
      <c r="I28" s="67"/>
      <c r="J28" s="67"/>
      <c r="K28" s="68"/>
      <c r="L28" s="68"/>
      <c r="M28" s="64"/>
      <c r="N28" s="69"/>
      <c r="O28" s="69"/>
      <c r="P28" s="70"/>
      <c r="Q28" s="71"/>
      <c r="R28" s="71"/>
      <c r="S28" s="72"/>
    </row>
    <row r="29" spans="1:20" ht="22.5" customHeight="1" x14ac:dyDescent="0.5">
      <c r="A29" s="23">
        <v>1</v>
      </c>
      <c r="B29" s="73" t="s">
        <v>72</v>
      </c>
      <c r="C29" s="25" t="s">
        <v>73</v>
      </c>
      <c r="D29" s="43">
        <v>5248.35</v>
      </c>
      <c r="E29" s="74"/>
      <c r="F29" s="80"/>
      <c r="G29" s="77"/>
      <c r="H29" s="76">
        <v>0</v>
      </c>
      <c r="I29" s="76">
        <v>0</v>
      </c>
      <c r="J29" s="76">
        <v>0</v>
      </c>
      <c r="K29" s="38" t="s">
        <v>1751</v>
      </c>
      <c r="L29" s="39" t="s">
        <v>1774</v>
      </c>
      <c r="M29" s="32">
        <v>5248.35</v>
      </c>
      <c r="N29" s="111"/>
      <c r="O29" s="111"/>
      <c r="P29" s="112"/>
      <c r="Q29" s="113">
        <v>0</v>
      </c>
      <c r="R29" s="114">
        <v>0</v>
      </c>
      <c r="S29" s="36">
        <v>0</v>
      </c>
    </row>
    <row r="30" spans="1:20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116"/>
      <c r="G30" s="97"/>
      <c r="H30" s="76">
        <v>0</v>
      </c>
      <c r="I30" s="76">
        <v>0</v>
      </c>
      <c r="J30" s="76">
        <v>0</v>
      </c>
      <c r="K30" s="101" t="s">
        <v>1775</v>
      </c>
      <c r="L30" s="102" t="s">
        <v>1776</v>
      </c>
      <c r="M30" s="103">
        <v>14445</v>
      </c>
      <c r="N30" s="117"/>
      <c r="O30" s="117"/>
      <c r="P30" s="118"/>
      <c r="Q30" s="113">
        <v>0</v>
      </c>
      <c r="R30" s="114">
        <v>0</v>
      </c>
      <c r="S30" s="36">
        <v>0</v>
      </c>
    </row>
    <row r="31" spans="1:20" s="60" customFormat="1" ht="22.5" customHeight="1" thickBot="1" x14ac:dyDescent="0.35">
      <c r="A31" s="48"/>
      <c r="B31" s="48" t="s">
        <v>15</v>
      </c>
      <c r="C31" s="49"/>
      <c r="D31" s="50">
        <f>SUM(D29:D30)</f>
        <v>19693.349999999999</v>
      </c>
      <c r="E31" s="50">
        <f t="shared" ref="E31:S31" si="3">SUM(E29:E30)</f>
        <v>0</v>
      </c>
      <c r="F31" s="50"/>
      <c r="G31" s="50">
        <f t="shared" si="3"/>
        <v>0</v>
      </c>
      <c r="H31" s="50">
        <f>SUM(H29:H30)</f>
        <v>0</v>
      </c>
      <c r="I31" s="50">
        <f t="shared" si="3"/>
        <v>0</v>
      </c>
      <c r="J31" s="50">
        <f t="shared" si="3"/>
        <v>0</v>
      </c>
      <c r="K31" s="50"/>
      <c r="L31" s="50">
        <f t="shared" si="3"/>
        <v>0</v>
      </c>
      <c r="M31" s="998">
        <f t="shared" si="3"/>
        <v>19693.349999999999</v>
      </c>
      <c r="N31" s="50">
        <f t="shared" si="3"/>
        <v>0</v>
      </c>
      <c r="O31" s="50"/>
      <c r="P31" s="50">
        <f t="shared" si="3"/>
        <v>0</v>
      </c>
      <c r="Q31" s="50">
        <f t="shared" si="3"/>
        <v>0</v>
      </c>
      <c r="R31" s="50">
        <f t="shared" si="3"/>
        <v>0</v>
      </c>
      <c r="S31" s="50">
        <f t="shared" si="3"/>
        <v>0</v>
      </c>
    </row>
    <row r="32" spans="1:20" ht="22.5" customHeight="1" thickTop="1" x14ac:dyDescent="0.3">
      <c r="A32" s="61"/>
      <c r="B32" s="121" t="s">
        <v>78</v>
      </c>
      <c r="C32" s="63"/>
      <c r="D32" s="64"/>
      <c r="E32" s="65"/>
      <c r="F32" s="65"/>
      <c r="G32" s="66"/>
      <c r="H32" s="67"/>
      <c r="I32" s="67"/>
      <c r="J32" s="67"/>
      <c r="K32" s="68"/>
      <c r="L32" s="68"/>
      <c r="M32" s="64"/>
      <c r="N32" s="69"/>
      <c r="O32" s="69"/>
      <c r="P32" s="70"/>
      <c r="Q32" s="71"/>
      <c r="R32" s="71"/>
      <c r="S32" s="72"/>
    </row>
    <row r="33" spans="1:43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5"/>
      <c r="G33" s="126"/>
      <c r="H33" s="76">
        <v>0</v>
      </c>
      <c r="I33" s="127">
        <v>0</v>
      </c>
      <c r="J33" s="76">
        <v>0</v>
      </c>
      <c r="K33" s="38"/>
      <c r="L33" s="39"/>
      <c r="M33" s="40"/>
      <c r="N33" s="128" t="s">
        <v>1760</v>
      </c>
      <c r="O33" s="128" t="s">
        <v>33</v>
      </c>
      <c r="P33" s="129" t="s">
        <v>33</v>
      </c>
      <c r="Q33" s="113">
        <f>SUM(S33-R33)</f>
        <v>5000</v>
      </c>
      <c r="R33" s="114">
        <f>SUM(S33*7/107)</f>
        <v>350</v>
      </c>
      <c r="S33" s="36">
        <f>SUM(D33+J33-M33)</f>
        <v>5350</v>
      </c>
      <c r="T33" s="130"/>
      <c r="U33" s="130"/>
      <c r="V33" s="131"/>
      <c r="W33" s="132"/>
      <c r="X33" s="131"/>
      <c r="Y33" s="132"/>
      <c r="Z33" s="132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</row>
    <row r="34" spans="1:43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5"/>
      <c r="G34" s="136"/>
      <c r="H34" s="127">
        <v>0</v>
      </c>
      <c r="I34" s="127">
        <v>0</v>
      </c>
      <c r="J34" s="98">
        <v>0</v>
      </c>
      <c r="K34" s="38" t="s">
        <v>1769</v>
      </c>
      <c r="L34" s="39" t="s">
        <v>1777</v>
      </c>
      <c r="M34" s="40">
        <v>5350</v>
      </c>
      <c r="N34" s="137"/>
      <c r="O34" s="137"/>
      <c r="P34" s="137"/>
      <c r="Q34" s="113">
        <f>SUM(S34-R34)</f>
        <v>0</v>
      </c>
      <c r="R34" s="114">
        <f>SUM(S34*7/107)</f>
        <v>0</v>
      </c>
      <c r="S34" s="36">
        <f>SUM(D34+J34-M34)</f>
        <v>0</v>
      </c>
      <c r="T34" s="130"/>
      <c r="U34" s="130"/>
      <c r="V34" s="131"/>
      <c r="W34" s="132"/>
      <c r="X34" s="131"/>
      <c r="Y34" s="132"/>
      <c r="Z34" s="132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</row>
    <row r="35" spans="1:43" s="60" customFormat="1" ht="22.5" customHeight="1" thickBot="1" x14ac:dyDescent="0.35">
      <c r="A35" s="48"/>
      <c r="B35" s="48" t="s">
        <v>15</v>
      </c>
      <c r="C35" s="49"/>
      <c r="D35" s="109">
        <f>SUM(D33:D34)</f>
        <v>10700</v>
      </c>
      <c r="E35" s="105"/>
      <c r="F35" s="105"/>
      <c r="G35" s="56"/>
      <c r="H35" s="109">
        <f>SUM(H33:H34)</f>
        <v>0</v>
      </c>
      <c r="I35" s="109">
        <f>SUM(I33:I34)</f>
        <v>0</v>
      </c>
      <c r="J35" s="109">
        <f>SUM(J33:J34)</f>
        <v>0</v>
      </c>
      <c r="K35" s="109"/>
      <c r="L35" s="109"/>
      <c r="M35" s="1000">
        <f>SUM(M33:M34)</f>
        <v>5350</v>
      </c>
      <c r="N35" s="119"/>
      <c r="O35" s="119"/>
      <c r="P35" s="108"/>
      <c r="Q35" s="109">
        <f>SUM(Q33:Q34)</f>
        <v>5000</v>
      </c>
      <c r="R35" s="109">
        <f>SUM(R33:R34)</f>
        <v>350</v>
      </c>
      <c r="S35" s="138">
        <f>SUM(S33:S34)</f>
        <v>5350</v>
      </c>
    </row>
    <row r="36" spans="1:43" ht="22.5" customHeight="1" thickTop="1" x14ac:dyDescent="0.3">
      <c r="A36" s="139"/>
      <c r="B36" s="140" t="s">
        <v>81</v>
      </c>
      <c r="C36" s="141"/>
      <c r="D36" s="91"/>
      <c r="E36" s="142"/>
      <c r="F36" s="142"/>
      <c r="G36" s="92"/>
      <c r="H36" s="143"/>
      <c r="I36" s="143"/>
      <c r="J36" s="143"/>
      <c r="K36" s="68"/>
      <c r="L36" s="68"/>
      <c r="M36" s="64"/>
      <c r="N36" s="144"/>
      <c r="O36" s="144"/>
      <c r="P36" s="145"/>
      <c r="Q36" s="146"/>
      <c r="R36" s="146"/>
      <c r="S36" s="147"/>
    </row>
    <row r="37" spans="1:43" ht="22.5" customHeight="1" x14ac:dyDescent="0.5">
      <c r="A37" s="148">
        <v>1</v>
      </c>
      <c r="B37" s="149" t="s">
        <v>82</v>
      </c>
      <c r="C37" s="90" t="s">
        <v>1579</v>
      </c>
      <c r="D37" s="150">
        <v>6955</v>
      </c>
      <c r="E37" s="151"/>
      <c r="F37" s="151"/>
      <c r="G37" s="152"/>
      <c r="H37" s="153">
        <v>0</v>
      </c>
      <c r="I37" s="153">
        <v>0</v>
      </c>
      <c r="J37" s="153">
        <v>0</v>
      </c>
      <c r="K37" s="30" t="s">
        <v>1778</v>
      </c>
      <c r="L37" s="31" t="s">
        <v>1779</v>
      </c>
      <c r="M37" s="32">
        <v>6955</v>
      </c>
      <c r="N37" s="154"/>
      <c r="O37" s="154"/>
      <c r="P37" s="155"/>
      <c r="Q37" s="156">
        <v>0</v>
      </c>
      <c r="R37" s="156">
        <v>0</v>
      </c>
      <c r="S37" s="157">
        <v>0</v>
      </c>
    </row>
    <row r="38" spans="1:43" ht="22.5" customHeight="1" x14ac:dyDescent="0.5">
      <c r="A38" s="970">
        <v>2</v>
      </c>
      <c r="B38" s="971" t="s">
        <v>1582</v>
      </c>
      <c r="C38" s="972" t="s">
        <v>1579</v>
      </c>
      <c r="D38" s="973">
        <v>10700</v>
      </c>
      <c r="E38" s="974" t="s">
        <v>1585</v>
      </c>
      <c r="F38" s="974">
        <v>1</v>
      </c>
      <c r="G38" s="975" t="s">
        <v>33</v>
      </c>
      <c r="H38" s="976">
        <v>10000</v>
      </c>
      <c r="I38" s="976">
        <v>700</v>
      </c>
      <c r="J38" s="976">
        <v>10700</v>
      </c>
      <c r="K38" s="980" t="s">
        <v>1775</v>
      </c>
      <c r="L38" s="981" t="s">
        <v>1780</v>
      </c>
      <c r="M38" s="977">
        <v>10700</v>
      </c>
      <c r="N38" s="978" t="s">
        <v>1760</v>
      </c>
      <c r="O38" s="978" t="s">
        <v>33</v>
      </c>
      <c r="P38" s="979" t="s">
        <v>33</v>
      </c>
      <c r="Q38" s="156">
        <f>SUM(S38-R38)</f>
        <v>10000</v>
      </c>
      <c r="R38" s="156">
        <f>SUM(S38*7/107)</f>
        <v>700</v>
      </c>
      <c r="S38" s="157">
        <f>SUM(D38+J38-M38)</f>
        <v>10700</v>
      </c>
    </row>
    <row r="39" spans="1:43" ht="22.5" customHeight="1" x14ac:dyDescent="0.5">
      <c r="A39" s="959"/>
      <c r="B39" s="960" t="s">
        <v>1584</v>
      </c>
      <c r="C39" s="85"/>
      <c r="D39" s="961"/>
      <c r="E39" s="962"/>
      <c r="F39" s="962"/>
      <c r="G39" s="963"/>
      <c r="H39" s="964"/>
      <c r="I39" s="964"/>
      <c r="J39" s="964"/>
      <c r="K39" s="672"/>
      <c r="L39" s="673"/>
      <c r="M39" s="965"/>
      <c r="N39" s="966"/>
      <c r="O39" s="966"/>
      <c r="P39" s="967"/>
      <c r="Q39" s="968"/>
      <c r="R39" s="968"/>
      <c r="S39" s="969"/>
    </row>
    <row r="40" spans="1:43" s="60" customFormat="1" ht="22.5" customHeight="1" thickBot="1" x14ac:dyDescent="0.35">
      <c r="A40" s="158"/>
      <c r="B40" s="158" t="s">
        <v>15</v>
      </c>
      <c r="C40" s="159"/>
      <c r="D40" s="160">
        <f>SUM(D37:D39)</f>
        <v>17655</v>
      </c>
      <c r="E40" s="161"/>
      <c r="F40" s="161"/>
      <c r="G40" s="161"/>
      <c r="H40" s="162">
        <f>SUM(H37:H39)</f>
        <v>10000</v>
      </c>
      <c r="I40" s="162">
        <f t="shared" ref="I40:J40" si="4">SUM(I37:I39)</f>
        <v>700</v>
      </c>
      <c r="J40" s="162">
        <f t="shared" si="4"/>
        <v>10700</v>
      </c>
      <c r="K40" s="161"/>
      <c r="L40" s="161"/>
      <c r="M40" s="1001">
        <f>SUM(M37:M38)</f>
        <v>17655</v>
      </c>
      <c r="N40" s="158"/>
      <c r="O40" s="158"/>
      <c r="P40" s="161"/>
      <c r="Q40" s="162">
        <f>SUM(Q37:Q39)</f>
        <v>10000</v>
      </c>
      <c r="R40" s="162">
        <f t="shared" ref="R40:S40" si="5">SUM(R37:R39)</f>
        <v>700</v>
      </c>
      <c r="S40" s="162">
        <f t="shared" si="5"/>
        <v>10700</v>
      </c>
    </row>
    <row r="41" spans="1:43" ht="22.5" customHeight="1" thickTop="1" x14ac:dyDescent="0.3">
      <c r="A41" s="115"/>
      <c r="B41" s="164" t="s">
        <v>85</v>
      </c>
      <c r="C41" s="165"/>
      <c r="D41" s="166"/>
      <c r="E41" s="167"/>
      <c r="F41" s="167"/>
      <c r="G41" s="168"/>
      <c r="H41" s="169"/>
      <c r="I41" s="169"/>
      <c r="J41" s="169"/>
      <c r="K41" s="170"/>
      <c r="L41" s="170"/>
      <c r="M41" s="171"/>
      <c r="N41" s="117"/>
      <c r="O41" s="117"/>
      <c r="P41" s="118"/>
      <c r="Q41" s="172"/>
      <c r="R41" s="172"/>
      <c r="S41" s="173"/>
    </row>
    <row r="42" spans="1:43" ht="22.5" customHeight="1" x14ac:dyDescent="0.3">
      <c r="A42" s="174">
        <v>1</v>
      </c>
      <c r="B42" s="175" t="s">
        <v>86</v>
      </c>
      <c r="C42" s="176" t="s">
        <v>87</v>
      </c>
      <c r="D42" s="177">
        <v>770.4</v>
      </c>
      <c r="E42" s="178"/>
      <c r="F42" s="178"/>
      <c r="G42" s="179"/>
      <c r="H42" s="180">
        <v>0</v>
      </c>
      <c r="I42" s="180">
        <v>0</v>
      </c>
      <c r="J42" s="181">
        <v>0</v>
      </c>
      <c r="K42" s="182" t="s">
        <v>1751</v>
      </c>
      <c r="L42" s="183" t="s">
        <v>1781</v>
      </c>
      <c r="M42" s="184">
        <v>770.4</v>
      </c>
      <c r="N42" s="185"/>
      <c r="O42" s="185"/>
      <c r="P42" s="186"/>
      <c r="Q42" s="187">
        <v>0</v>
      </c>
      <c r="R42" s="187">
        <v>0</v>
      </c>
      <c r="S42" s="188">
        <v>0</v>
      </c>
      <c r="T42" s="3" t="s">
        <v>751</v>
      </c>
    </row>
    <row r="43" spans="1:43" ht="22.5" customHeight="1" x14ac:dyDescent="0.5">
      <c r="A43" s="174">
        <v>2</v>
      </c>
      <c r="B43" s="189" t="s">
        <v>89</v>
      </c>
      <c r="C43" s="190" t="s">
        <v>90</v>
      </c>
      <c r="D43" s="191">
        <v>3210</v>
      </c>
      <c r="E43" s="178"/>
      <c r="F43" s="178"/>
      <c r="G43" s="192"/>
      <c r="H43" s="180">
        <v>0</v>
      </c>
      <c r="I43" s="180">
        <v>0</v>
      </c>
      <c r="J43" s="181">
        <v>0</v>
      </c>
      <c r="K43" s="38" t="s">
        <v>1771</v>
      </c>
      <c r="L43" s="39" t="s">
        <v>1782</v>
      </c>
      <c r="M43" s="40">
        <v>3210</v>
      </c>
      <c r="N43" s="111"/>
      <c r="O43" s="891"/>
      <c r="P43" s="193"/>
      <c r="Q43" s="187">
        <v>0</v>
      </c>
      <c r="R43" s="187">
        <v>0</v>
      </c>
      <c r="S43" s="188">
        <v>0</v>
      </c>
    </row>
    <row r="44" spans="1:43" s="60" customFormat="1" ht="22.5" customHeight="1" thickBot="1" x14ac:dyDescent="0.35">
      <c r="A44" s="194"/>
      <c r="B44" s="194" t="s">
        <v>15</v>
      </c>
      <c r="C44" s="195"/>
      <c r="D44" s="53">
        <f>SUM(D42:D43)</f>
        <v>3980.4</v>
      </c>
      <c r="E44" s="196"/>
      <c r="F44" s="196"/>
      <c r="G44" s="197"/>
      <c r="H44" s="109">
        <f>SUM(H42:H43)</f>
        <v>0</v>
      </c>
      <c r="I44" s="109">
        <f>SUM(I42:I43)</f>
        <v>0</v>
      </c>
      <c r="J44" s="109">
        <f>SUM(J42:J43)</f>
        <v>0</v>
      </c>
      <c r="K44" s="198"/>
      <c r="L44" s="199"/>
      <c r="M44" s="1002">
        <f>SUM(M42:M43)</f>
        <v>3980.4</v>
      </c>
      <c r="N44" s="201"/>
      <c r="O44" s="201"/>
      <c r="P44" s="202"/>
      <c r="Q44" s="162">
        <f>SUM(Q42:Q43)</f>
        <v>0</v>
      </c>
      <c r="R44" s="162">
        <f>SUM(R42:R43)</f>
        <v>0</v>
      </c>
      <c r="S44" s="162">
        <f>SUM(S42:S43)</f>
        <v>0</v>
      </c>
      <c r="T44" s="59"/>
    </row>
    <row r="45" spans="1:43" ht="22.5" customHeight="1" thickTop="1" x14ac:dyDescent="0.3">
      <c r="A45" s="61"/>
      <c r="B45" s="62" t="s">
        <v>92</v>
      </c>
      <c r="C45" s="63"/>
      <c r="D45" s="64"/>
      <c r="E45" s="203"/>
      <c r="F45" s="203"/>
      <c r="G45" s="204"/>
      <c r="H45" s="205"/>
      <c r="I45" s="205"/>
      <c r="J45" s="205"/>
      <c r="K45" s="68"/>
      <c r="L45" s="68"/>
      <c r="M45" s="64"/>
      <c r="N45" s="61"/>
      <c r="O45" s="61"/>
      <c r="P45" s="204"/>
      <c r="Q45" s="206"/>
      <c r="R45" s="206"/>
      <c r="S45" s="207"/>
      <c r="T45" s="2"/>
    </row>
    <row r="46" spans="1:43" ht="22.5" customHeight="1" x14ac:dyDescent="0.5">
      <c r="A46" s="208">
        <v>1</v>
      </c>
      <c r="B46" s="209" t="s">
        <v>1588</v>
      </c>
      <c r="C46" s="210" t="s">
        <v>1589</v>
      </c>
      <c r="D46" s="211">
        <v>12904.2</v>
      </c>
      <c r="E46" s="212"/>
      <c r="F46" s="212"/>
      <c r="G46" s="213"/>
      <c r="H46" s="214">
        <v>0</v>
      </c>
      <c r="I46" s="214">
        <v>0</v>
      </c>
      <c r="J46" s="214">
        <v>0</v>
      </c>
      <c r="K46" s="30" t="s">
        <v>1751</v>
      </c>
      <c r="L46" s="31" t="s">
        <v>1783</v>
      </c>
      <c r="M46" s="32">
        <v>12904.2</v>
      </c>
      <c r="N46" s="215"/>
      <c r="O46" s="215"/>
      <c r="P46" s="216"/>
      <c r="Q46" s="113">
        <f>SUM(S46-R46)</f>
        <v>0</v>
      </c>
      <c r="R46" s="113">
        <f>SUM(S46*7/107)</f>
        <v>0</v>
      </c>
      <c r="S46" s="217">
        <f>SUM(D46+J46-M46)</f>
        <v>0</v>
      </c>
      <c r="T46" s="218"/>
    </row>
    <row r="47" spans="1:43" ht="22.5" customHeight="1" x14ac:dyDescent="0.5">
      <c r="A47" s="208"/>
      <c r="B47" s="209" t="s">
        <v>1588</v>
      </c>
      <c r="C47" s="210" t="s">
        <v>1591</v>
      </c>
      <c r="D47" s="211">
        <v>6441.4</v>
      </c>
      <c r="E47" s="212"/>
      <c r="F47" s="212"/>
      <c r="G47" s="213"/>
      <c r="H47" s="214">
        <v>0</v>
      </c>
      <c r="I47" s="214">
        <v>0</v>
      </c>
      <c r="J47" s="214">
        <v>0</v>
      </c>
      <c r="K47" s="30" t="s">
        <v>1751</v>
      </c>
      <c r="L47" s="31" t="s">
        <v>1783</v>
      </c>
      <c r="M47" s="32">
        <v>6441.4</v>
      </c>
      <c r="N47" s="215"/>
      <c r="O47" s="215"/>
      <c r="P47" s="216"/>
      <c r="Q47" s="113">
        <f t="shared" ref="Q47:Q111" si="6">SUM(S47-R47)</f>
        <v>0</v>
      </c>
      <c r="R47" s="113">
        <f t="shared" ref="R47:R111" si="7">SUM(S47*7/107)</f>
        <v>0</v>
      </c>
      <c r="S47" s="217">
        <f t="shared" ref="S47:S111" si="8">SUM(D47+J47-M47)</f>
        <v>0</v>
      </c>
      <c r="T47" s="218"/>
    </row>
    <row r="48" spans="1:43" ht="22.5" customHeight="1" x14ac:dyDescent="0.5">
      <c r="A48" s="208">
        <v>2</v>
      </c>
      <c r="B48" s="73" t="s">
        <v>1592</v>
      </c>
      <c r="C48" s="25" t="s">
        <v>1593</v>
      </c>
      <c r="D48" s="211">
        <v>9779.7999999999993</v>
      </c>
      <c r="E48" s="212" t="s">
        <v>1561</v>
      </c>
      <c r="F48" s="212" t="s">
        <v>33</v>
      </c>
      <c r="G48" s="213" t="s">
        <v>33</v>
      </c>
      <c r="H48" s="219">
        <v>11110</v>
      </c>
      <c r="I48" s="214">
        <v>777.7</v>
      </c>
      <c r="J48" s="219">
        <v>11887.7</v>
      </c>
      <c r="K48" s="30" t="s">
        <v>1769</v>
      </c>
      <c r="L48" s="220" t="s">
        <v>1784</v>
      </c>
      <c r="M48" s="221">
        <v>11887.7</v>
      </c>
      <c r="N48" s="215" t="s">
        <v>1760</v>
      </c>
      <c r="O48" s="215" t="s">
        <v>33</v>
      </c>
      <c r="P48" s="216" t="s">
        <v>33</v>
      </c>
      <c r="Q48" s="113">
        <f t="shared" si="6"/>
        <v>9140</v>
      </c>
      <c r="R48" s="113">
        <f t="shared" si="7"/>
        <v>639.79999999999995</v>
      </c>
      <c r="S48" s="217">
        <f t="shared" si="8"/>
        <v>9779.7999999999993</v>
      </c>
      <c r="T48" s="2"/>
    </row>
    <row r="49" spans="1:20" ht="22.5" customHeight="1" x14ac:dyDescent="0.5">
      <c r="A49" s="208">
        <v>3</v>
      </c>
      <c r="B49" s="73" t="s">
        <v>99</v>
      </c>
      <c r="C49" s="25" t="s">
        <v>567</v>
      </c>
      <c r="D49" s="211">
        <v>6334.4</v>
      </c>
      <c r="E49" s="212" t="s">
        <v>1561</v>
      </c>
      <c r="F49" s="212" t="s">
        <v>33</v>
      </c>
      <c r="G49" s="213" t="s">
        <v>33</v>
      </c>
      <c r="H49" s="219">
        <v>3969.9999999999995</v>
      </c>
      <c r="I49" s="214">
        <v>277.89999999999998</v>
      </c>
      <c r="J49" s="219">
        <v>4247.8999999999996</v>
      </c>
      <c r="K49" s="30" t="s">
        <v>1758</v>
      </c>
      <c r="L49" s="31" t="s">
        <v>1785</v>
      </c>
      <c r="M49" s="32">
        <v>4247.8999999999996</v>
      </c>
      <c r="N49" s="215" t="s">
        <v>1760</v>
      </c>
      <c r="O49" s="215" t="s">
        <v>33</v>
      </c>
      <c r="P49" s="216" t="s">
        <v>33</v>
      </c>
      <c r="Q49" s="113">
        <f t="shared" si="6"/>
        <v>5920</v>
      </c>
      <c r="R49" s="113">
        <f t="shared" si="7"/>
        <v>414.4</v>
      </c>
      <c r="S49" s="217">
        <f t="shared" si="8"/>
        <v>6334.4</v>
      </c>
      <c r="T49" s="2"/>
    </row>
    <row r="50" spans="1:20" ht="22.5" customHeight="1" x14ac:dyDescent="0.5">
      <c r="A50" s="208"/>
      <c r="B50" s="24" t="s">
        <v>99</v>
      </c>
      <c r="C50" s="222" t="s">
        <v>1596</v>
      </c>
      <c r="D50" s="211">
        <v>203.3</v>
      </c>
      <c r="E50" s="212" t="s">
        <v>1561</v>
      </c>
      <c r="F50" s="212" t="s">
        <v>33</v>
      </c>
      <c r="G50" s="213" t="s">
        <v>33</v>
      </c>
      <c r="H50" s="219">
        <v>189.99999999999997</v>
      </c>
      <c r="I50" s="214">
        <v>13.299999999999999</v>
      </c>
      <c r="J50" s="219">
        <v>203.29999999999998</v>
      </c>
      <c r="K50" s="30" t="s">
        <v>1758</v>
      </c>
      <c r="L50" s="31" t="s">
        <v>1785</v>
      </c>
      <c r="M50" s="32">
        <v>203.3</v>
      </c>
      <c r="N50" s="215" t="s">
        <v>1760</v>
      </c>
      <c r="O50" s="215" t="s">
        <v>33</v>
      </c>
      <c r="P50" s="216" t="s">
        <v>33</v>
      </c>
      <c r="Q50" s="113">
        <f t="shared" si="6"/>
        <v>190</v>
      </c>
      <c r="R50" s="113">
        <f t="shared" si="7"/>
        <v>13.3</v>
      </c>
      <c r="S50" s="217">
        <f t="shared" si="8"/>
        <v>203.3</v>
      </c>
      <c r="T50" s="2"/>
    </row>
    <row r="51" spans="1:20" ht="22.5" customHeight="1" x14ac:dyDescent="0.5">
      <c r="A51" s="208">
        <v>4</v>
      </c>
      <c r="B51" s="73" t="s">
        <v>1597</v>
      </c>
      <c r="C51" s="25" t="s">
        <v>1598</v>
      </c>
      <c r="D51" s="211">
        <v>10742.8</v>
      </c>
      <c r="E51" s="212" t="s">
        <v>1561</v>
      </c>
      <c r="F51" s="212" t="s">
        <v>33</v>
      </c>
      <c r="G51" s="213" t="s">
        <v>33</v>
      </c>
      <c r="H51" s="219">
        <v>6470</v>
      </c>
      <c r="I51" s="214">
        <v>452.90000000000003</v>
      </c>
      <c r="J51" s="219">
        <v>6922.9</v>
      </c>
      <c r="K51" s="30" t="s">
        <v>1763</v>
      </c>
      <c r="L51" s="31" t="s">
        <v>1786</v>
      </c>
      <c r="M51" s="32">
        <v>17665.699999999997</v>
      </c>
      <c r="N51" s="215"/>
      <c r="O51" s="215"/>
      <c r="P51" s="216"/>
      <c r="Q51" s="113">
        <f t="shared" si="6"/>
        <v>0</v>
      </c>
      <c r="R51" s="113">
        <f t="shared" si="7"/>
        <v>0</v>
      </c>
      <c r="S51" s="217">
        <f t="shared" si="8"/>
        <v>0</v>
      </c>
      <c r="T51" s="2"/>
    </row>
    <row r="52" spans="1:20" ht="22.5" customHeight="1" x14ac:dyDescent="0.5">
      <c r="A52" s="208"/>
      <c r="B52" s="73" t="s">
        <v>1597</v>
      </c>
      <c r="C52" s="25" t="s">
        <v>1600</v>
      </c>
      <c r="D52" s="211">
        <v>16306.8</v>
      </c>
      <c r="E52" s="212" t="s">
        <v>1561</v>
      </c>
      <c r="F52" s="212" t="s">
        <v>33</v>
      </c>
      <c r="G52" s="213" t="s">
        <v>33</v>
      </c>
      <c r="H52" s="219">
        <v>12820.000000000002</v>
      </c>
      <c r="I52" s="214">
        <v>897.4000000000002</v>
      </c>
      <c r="J52" s="219">
        <v>13717.400000000001</v>
      </c>
      <c r="K52" s="30" t="s">
        <v>1763</v>
      </c>
      <c r="L52" s="31" t="s">
        <v>1786</v>
      </c>
      <c r="M52" s="32">
        <v>30024.199999999997</v>
      </c>
      <c r="N52" s="215"/>
      <c r="O52" s="215"/>
      <c r="P52" s="216"/>
      <c r="Q52" s="113">
        <f t="shared" si="6"/>
        <v>3.3999801935436569E-12</v>
      </c>
      <c r="R52" s="113">
        <f t="shared" si="7"/>
        <v>2.3799861354805596E-13</v>
      </c>
      <c r="S52" s="217">
        <f t="shared" si="8"/>
        <v>3.637978807091713E-12</v>
      </c>
      <c r="T52" s="2"/>
    </row>
    <row r="53" spans="1:20" ht="22.5" customHeight="1" x14ac:dyDescent="0.5">
      <c r="A53" s="208">
        <v>5</v>
      </c>
      <c r="B53" s="73" t="s">
        <v>105</v>
      </c>
      <c r="C53" s="25" t="s">
        <v>567</v>
      </c>
      <c r="D53" s="211">
        <v>15204.699999999999</v>
      </c>
      <c r="E53" s="212" t="s">
        <v>1561</v>
      </c>
      <c r="F53" s="212" t="s">
        <v>33</v>
      </c>
      <c r="G53" s="213" t="s">
        <v>33</v>
      </c>
      <c r="H53" s="219">
        <v>12870.000000000005</v>
      </c>
      <c r="I53" s="214">
        <v>900.90000000000043</v>
      </c>
      <c r="J53" s="219">
        <v>13770.900000000005</v>
      </c>
      <c r="K53" s="30" t="s">
        <v>1761</v>
      </c>
      <c r="L53" s="31" t="s">
        <v>1787</v>
      </c>
      <c r="M53" s="32">
        <v>28975.599999999999</v>
      </c>
      <c r="N53" s="215"/>
      <c r="O53" s="215"/>
      <c r="P53" s="216"/>
      <c r="Q53" s="113">
        <f t="shared" si="6"/>
        <v>6.7999603870873139E-12</v>
      </c>
      <c r="R53" s="113">
        <f t="shared" si="7"/>
        <v>4.7599722709611193E-13</v>
      </c>
      <c r="S53" s="217">
        <f t="shared" si="8"/>
        <v>7.2759576141834259E-12</v>
      </c>
      <c r="T53" s="2"/>
    </row>
    <row r="54" spans="1:20" ht="22.5" customHeight="1" x14ac:dyDescent="0.5">
      <c r="A54" s="208">
        <v>6</v>
      </c>
      <c r="B54" s="73" t="s">
        <v>1602</v>
      </c>
      <c r="C54" s="25" t="s">
        <v>1603</v>
      </c>
      <c r="D54" s="211">
        <v>535</v>
      </c>
      <c r="E54" s="212"/>
      <c r="F54" s="212"/>
      <c r="G54" s="213"/>
      <c r="H54" s="219">
        <v>0</v>
      </c>
      <c r="I54" s="214">
        <v>0</v>
      </c>
      <c r="J54" s="219">
        <v>0</v>
      </c>
      <c r="K54" s="30" t="s">
        <v>1788</v>
      </c>
      <c r="L54" s="31" t="s">
        <v>1789</v>
      </c>
      <c r="M54" s="32">
        <v>535</v>
      </c>
      <c r="N54" s="215"/>
      <c r="O54" s="215"/>
      <c r="P54" s="216"/>
      <c r="Q54" s="113">
        <f t="shared" si="6"/>
        <v>0</v>
      </c>
      <c r="R54" s="113">
        <f t="shared" si="7"/>
        <v>0</v>
      </c>
      <c r="S54" s="217">
        <f t="shared" si="8"/>
        <v>0</v>
      </c>
      <c r="T54" s="2" t="s">
        <v>832</v>
      </c>
    </row>
    <row r="55" spans="1:20" ht="22.5" customHeight="1" x14ac:dyDescent="0.5">
      <c r="A55" s="208">
        <v>7</v>
      </c>
      <c r="B55" s="209" t="s">
        <v>1605</v>
      </c>
      <c r="C55" s="210" t="s">
        <v>1606</v>
      </c>
      <c r="D55" s="211">
        <v>38830.300000000003</v>
      </c>
      <c r="E55" s="212" t="s">
        <v>1561</v>
      </c>
      <c r="F55" s="212" t="s">
        <v>33</v>
      </c>
      <c r="G55" s="213" t="s">
        <v>33</v>
      </c>
      <c r="H55" s="214">
        <v>33900</v>
      </c>
      <c r="I55" s="214">
        <v>2373</v>
      </c>
      <c r="J55" s="214">
        <v>36273</v>
      </c>
      <c r="K55" s="30" t="s">
        <v>1790</v>
      </c>
      <c r="L55" s="31" t="s">
        <v>1791</v>
      </c>
      <c r="M55" s="32">
        <v>75103.3</v>
      </c>
      <c r="N55" s="215"/>
      <c r="O55" s="215"/>
      <c r="P55" s="216"/>
      <c r="Q55" s="113">
        <f t="shared" si="6"/>
        <v>0</v>
      </c>
      <c r="R55" s="113">
        <f t="shared" si="7"/>
        <v>0</v>
      </c>
      <c r="S55" s="217">
        <f t="shared" si="8"/>
        <v>0</v>
      </c>
      <c r="T55" s="218"/>
    </row>
    <row r="56" spans="1:20" ht="22.5" customHeight="1" x14ac:dyDescent="0.5">
      <c r="A56" s="208">
        <v>8</v>
      </c>
      <c r="B56" s="73" t="s">
        <v>1608</v>
      </c>
      <c r="C56" s="25" t="s">
        <v>567</v>
      </c>
      <c r="D56" s="211">
        <v>8806.1</v>
      </c>
      <c r="E56" s="212"/>
      <c r="F56" s="212"/>
      <c r="G56" s="213"/>
      <c r="H56" s="219">
        <v>0</v>
      </c>
      <c r="I56" s="214">
        <v>0</v>
      </c>
      <c r="J56" s="219">
        <v>0</v>
      </c>
      <c r="K56" s="30" t="s">
        <v>1751</v>
      </c>
      <c r="L56" s="31" t="s">
        <v>1792</v>
      </c>
      <c r="M56" s="32">
        <v>8806.1</v>
      </c>
      <c r="N56" s="215"/>
      <c r="O56" s="215"/>
      <c r="P56" s="216"/>
      <c r="Q56" s="113">
        <f t="shared" si="6"/>
        <v>0</v>
      </c>
      <c r="R56" s="113">
        <f t="shared" si="7"/>
        <v>0</v>
      </c>
      <c r="S56" s="217">
        <f t="shared" si="8"/>
        <v>0</v>
      </c>
      <c r="T56" s="2"/>
    </row>
    <row r="57" spans="1:20" ht="22.5" customHeight="1" x14ac:dyDescent="0.5">
      <c r="A57" s="208">
        <v>9</v>
      </c>
      <c r="B57" s="73" t="s">
        <v>353</v>
      </c>
      <c r="C57" s="25" t="s">
        <v>1610</v>
      </c>
      <c r="D57" s="211">
        <v>1508.7</v>
      </c>
      <c r="E57" s="212" t="s">
        <v>1561</v>
      </c>
      <c r="F57" s="212" t="s">
        <v>33</v>
      </c>
      <c r="G57" s="213" t="s">
        <v>33</v>
      </c>
      <c r="H57" s="219">
        <v>2060.0000000000009</v>
      </c>
      <c r="I57" s="214">
        <v>144.20000000000007</v>
      </c>
      <c r="J57" s="219">
        <v>2204.2000000000012</v>
      </c>
      <c r="K57" s="30"/>
      <c r="L57" s="31"/>
      <c r="M57" s="32"/>
      <c r="N57" s="215" t="s">
        <v>1793</v>
      </c>
      <c r="O57" s="215" t="s">
        <v>115</v>
      </c>
      <c r="P57" s="216" t="s">
        <v>115</v>
      </c>
      <c r="Q57" s="113">
        <f t="shared" si="6"/>
        <v>3470.0000000000014</v>
      </c>
      <c r="R57" s="113">
        <f t="shared" si="7"/>
        <v>242.90000000000009</v>
      </c>
      <c r="S57" s="217">
        <f t="shared" si="8"/>
        <v>3712.9000000000015</v>
      </c>
      <c r="T57" s="2"/>
    </row>
    <row r="58" spans="1:20" ht="22.5" customHeight="1" x14ac:dyDescent="0.5">
      <c r="A58" s="208"/>
      <c r="B58" s="73" t="s">
        <v>1613</v>
      </c>
      <c r="C58" s="25" t="s">
        <v>1288</v>
      </c>
      <c r="D58" s="211">
        <v>3702.2</v>
      </c>
      <c r="E58" s="212" t="s">
        <v>1561</v>
      </c>
      <c r="F58" s="212" t="s">
        <v>33</v>
      </c>
      <c r="G58" s="213" t="s">
        <v>33</v>
      </c>
      <c r="H58" s="219">
        <v>2790.0000000000009</v>
      </c>
      <c r="I58" s="214">
        <v>195.30000000000007</v>
      </c>
      <c r="J58" s="219">
        <v>2985.3000000000011</v>
      </c>
      <c r="K58" s="30"/>
      <c r="L58" s="31"/>
      <c r="M58" s="32"/>
      <c r="N58" s="215" t="s">
        <v>1793</v>
      </c>
      <c r="O58" s="215" t="s">
        <v>115</v>
      </c>
      <c r="P58" s="216" t="s">
        <v>115</v>
      </c>
      <c r="Q58" s="113">
        <f t="shared" si="6"/>
        <v>6250.0000000000009</v>
      </c>
      <c r="R58" s="113">
        <f t="shared" si="7"/>
        <v>437.50000000000006</v>
      </c>
      <c r="S58" s="217">
        <f t="shared" si="8"/>
        <v>6687.5000000000009</v>
      </c>
      <c r="T58" s="2"/>
    </row>
    <row r="59" spans="1:20" ht="22.5" customHeight="1" x14ac:dyDescent="0.5">
      <c r="A59" s="208">
        <v>10</v>
      </c>
      <c r="B59" s="73" t="s">
        <v>1614</v>
      </c>
      <c r="C59" s="25" t="s">
        <v>567</v>
      </c>
      <c r="D59" s="211">
        <v>1177</v>
      </c>
      <c r="E59" s="212"/>
      <c r="F59" s="212"/>
      <c r="G59" s="213"/>
      <c r="H59" s="219">
        <v>0</v>
      </c>
      <c r="I59" s="214">
        <v>0</v>
      </c>
      <c r="J59" s="219">
        <v>0</v>
      </c>
      <c r="K59" s="30" t="s">
        <v>1749</v>
      </c>
      <c r="L59" s="31" t="s">
        <v>1794</v>
      </c>
      <c r="M59" s="32">
        <v>1177</v>
      </c>
      <c r="N59" s="215"/>
      <c r="O59" s="215"/>
      <c r="P59" s="216"/>
      <c r="Q59" s="113">
        <f t="shared" si="6"/>
        <v>0</v>
      </c>
      <c r="R59" s="113">
        <f t="shared" si="7"/>
        <v>0</v>
      </c>
      <c r="S59" s="217">
        <f t="shared" si="8"/>
        <v>0</v>
      </c>
      <c r="T59" s="2"/>
    </row>
    <row r="60" spans="1:20" ht="22.5" customHeight="1" x14ac:dyDescent="0.5">
      <c r="A60" s="208"/>
      <c r="B60" s="73" t="s">
        <v>1614</v>
      </c>
      <c r="C60" s="25" t="s">
        <v>1596</v>
      </c>
      <c r="D60" s="211"/>
      <c r="E60" s="212"/>
      <c r="F60" s="212"/>
      <c r="G60" s="213"/>
      <c r="H60" s="219">
        <v>8.4999504838591423E-13</v>
      </c>
      <c r="I60" s="214">
        <v>5.9499653387014003E-14</v>
      </c>
      <c r="J60" s="219">
        <v>9.0949470177292824E-13</v>
      </c>
      <c r="K60" s="30"/>
      <c r="L60" s="31"/>
      <c r="M60" s="32"/>
      <c r="N60" s="215"/>
      <c r="O60" s="215"/>
      <c r="P60" s="216"/>
      <c r="Q60" s="113">
        <f t="shared" si="6"/>
        <v>8.4999504838591423E-13</v>
      </c>
      <c r="R60" s="113">
        <f t="shared" si="7"/>
        <v>5.9499653387013991E-14</v>
      </c>
      <c r="S60" s="217">
        <f t="shared" si="8"/>
        <v>9.0949470177292824E-13</v>
      </c>
      <c r="T60" s="2"/>
    </row>
    <row r="61" spans="1:20" ht="22.5" customHeight="1" x14ac:dyDescent="0.5">
      <c r="A61" s="208">
        <v>11</v>
      </c>
      <c r="B61" s="73" t="s">
        <v>1616</v>
      </c>
      <c r="C61" s="83" t="s">
        <v>1596</v>
      </c>
      <c r="D61" s="211">
        <v>6355.8</v>
      </c>
      <c r="E61" s="212"/>
      <c r="F61" s="212"/>
      <c r="G61" s="213"/>
      <c r="H61" s="219">
        <v>-1.6999900967718285E-12</v>
      </c>
      <c r="I61" s="214">
        <v>-1.1899930677402801E-13</v>
      </c>
      <c r="J61" s="219">
        <v>-1.8189894035458565E-12</v>
      </c>
      <c r="K61" s="30"/>
      <c r="L61" s="31"/>
      <c r="M61" s="32"/>
      <c r="N61" s="215" t="s">
        <v>1760</v>
      </c>
      <c r="O61" s="215" t="s">
        <v>33</v>
      </c>
      <c r="P61" s="216" t="s">
        <v>33</v>
      </c>
      <c r="Q61" s="113">
        <f t="shared" si="6"/>
        <v>5939.9999999999982</v>
      </c>
      <c r="R61" s="113">
        <f t="shared" si="7"/>
        <v>415.7999999999999</v>
      </c>
      <c r="S61" s="217">
        <f t="shared" si="8"/>
        <v>6355.7999999999984</v>
      </c>
      <c r="T61" s="223"/>
    </row>
    <row r="62" spans="1:20" ht="22.5" customHeight="1" x14ac:dyDescent="0.5">
      <c r="A62" s="208"/>
      <c r="B62" s="73" t="s">
        <v>1616</v>
      </c>
      <c r="C62" s="83" t="s">
        <v>567</v>
      </c>
      <c r="D62" s="211">
        <v>10571.6</v>
      </c>
      <c r="E62" s="212"/>
      <c r="F62" s="212"/>
      <c r="G62" s="213"/>
      <c r="H62" s="219">
        <v>0</v>
      </c>
      <c r="I62" s="214">
        <v>0</v>
      </c>
      <c r="J62" s="219">
        <v>0</v>
      </c>
      <c r="K62" s="30"/>
      <c r="L62" s="31"/>
      <c r="M62" s="32"/>
      <c r="N62" s="215" t="s">
        <v>1760</v>
      </c>
      <c r="O62" s="215" t="s">
        <v>33</v>
      </c>
      <c r="P62" s="216" t="s">
        <v>33</v>
      </c>
      <c r="Q62" s="113">
        <f t="shared" si="6"/>
        <v>9880</v>
      </c>
      <c r="R62" s="113">
        <f t="shared" si="7"/>
        <v>691.6</v>
      </c>
      <c r="S62" s="217">
        <f t="shared" si="8"/>
        <v>10571.6</v>
      </c>
      <c r="T62" s="223"/>
    </row>
    <row r="63" spans="1:20" ht="22.5" customHeight="1" x14ac:dyDescent="0.5">
      <c r="A63" s="208">
        <v>12</v>
      </c>
      <c r="B63" s="73" t="s">
        <v>124</v>
      </c>
      <c r="C63" s="83" t="s">
        <v>567</v>
      </c>
      <c r="D63" s="211">
        <v>9137.7999999999993</v>
      </c>
      <c r="E63" s="212"/>
      <c r="F63" s="212"/>
      <c r="G63" s="213"/>
      <c r="H63" s="219">
        <v>0</v>
      </c>
      <c r="I63" s="214">
        <v>0</v>
      </c>
      <c r="J63" s="219">
        <v>0</v>
      </c>
      <c r="K63" s="30" t="s">
        <v>1769</v>
      </c>
      <c r="L63" s="31" t="s">
        <v>1795</v>
      </c>
      <c r="M63" s="32">
        <v>9137.7999999999993</v>
      </c>
      <c r="N63" s="215"/>
      <c r="O63" s="215"/>
      <c r="P63" s="216"/>
      <c r="Q63" s="113">
        <f t="shared" si="6"/>
        <v>0</v>
      </c>
      <c r="R63" s="113">
        <f t="shared" si="7"/>
        <v>0</v>
      </c>
      <c r="S63" s="217">
        <f t="shared" si="8"/>
        <v>0</v>
      </c>
      <c r="T63" s="2"/>
    </row>
    <row r="64" spans="1:20" ht="22.5" customHeight="1" x14ac:dyDescent="0.5">
      <c r="A64" s="208">
        <v>13</v>
      </c>
      <c r="B64" s="78" t="s">
        <v>1620</v>
      </c>
      <c r="C64" s="25" t="s">
        <v>1621</v>
      </c>
      <c r="D64" s="211"/>
      <c r="E64" s="212"/>
      <c r="F64" s="212"/>
      <c r="G64" s="213"/>
      <c r="H64" s="224">
        <v>0</v>
      </c>
      <c r="I64" s="214">
        <v>0</v>
      </c>
      <c r="J64" s="219">
        <v>0</v>
      </c>
      <c r="K64" s="38"/>
      <c r="L64" s="39"/>
      <c r="M64" s="40"/>
      <c r="N64" s="215"/>
      <c r="O64" s="215"/>
      <c r="P64" s="216"/>
      <c r="Q64" s="113">
        <f t="shared" si="6"/>
        <v>0</v>
      </c>
      <c r="R64" s="113">
        <f t="shared" si="7"/>
        <v>0</v>
      </c>
      <c r="S64" s="217">
        <f t="shared" si="8"/>
        <v>0</v>
      </c>
      <c r="T64" s="2"/>
    </row>
    <row r="65" spans="1:20" ht="22.5" customHeight="1" x14ac:dyDescent="0.5">
      <c r="A65" s="208">
        <v>14</v>
      </c>
      <c r="B65" s="78" t="s">
        <v>1622</v>
      </c>
      <c r="C65" s="210" t="s">
        <v>567</v>
      </c>
      <c r="D65" s="211">
        <v>9844</v>
      </c>
      <c r="E65" s="212" t="s">
        <v>1561</v>
      </c>
      <c r="F65" s="212" t="s">
        <v>33</v>
      </c>
      <c r="G65" s="213" t="s">
        <v>33</v>
      </c>
      <c r="H65" s="224">
        <v>6359.9999999999991</v>
      </c>
      <c r="I65" s="214">
        <v>445.2</v>
      </c>
      <c r="J65" s="219">
        <v>6805.1999999999989</v>
      </c>
      <c r="K65" s="30" t="s">
        <v>1796</v>
      </c>
      <c r="L65" s="31" t="s">
        <v>1797</v>
      </c>
      <c r="M65" s="32">
        <v>6805.2</v>
      </c>
      <c r="N65" s="215" t="s">
        <v>1760</v>
      </c>
      <c r="O65" s="215" t="s">
        <v>33</v>
      </c>
      <c r="P65" s="216" t="s">
        <v>33</v>
      </c>
      <c r="Q65" s="113">
        <f t="shared" si="6"/>
        <v>9199.9999999999964</v>
      </c>
      <c r="R65" s="113">
        <f t="shared" si="7"/>
        <v>643.99999999999977</v>
      </c>
      <c r="S65" s="217">
        <f t="shared" si="8"/>
        <v>9843.9999999999964</v>
      </c>
      <c r="T65" s="2"/>
    </row>
    <row r="66" spans="1:20" ht="22.5" customHeight="1" x14ac:dyDescent="0.5">
      <c r="A66" s="208"/>
      <c r="B66" s="78" t="s">
        <v>1624</v>
      </c>
      <c r="C66" s="210" t="s">
        <v>1625</v>
      </c>
      <c r="D66" s="211">
        <v>19163.7</v>
      </c>
      <c r="E66" s="212" t="s">
        <v>1561</v>
      </c>
      <c r="F66" s="212" t="s">
        <v>33</v>
      </c>
      <c r="G66" s="213" t="s">
        <v>33</v>
      </c>
      <c r="H66" s="224">
        <v>15049.999999999991</v>
      </c>
      <c r="I66" s="214">
        <v>1053.4999999999995</v>
      </c>
      <c r="J66" s="219">
        <v>16103.499999999991</v>
      </c>
      <c r="K66" s="30" t="s">
        <v>1796</v>
      </c>
      <c r="L66" s="31" t="s">
        <v>1797</v>
      </c>
      <c r="M66" s="32">
        <v>16103.5</v>
      </c>
      <c r="N66" s="215" t="s">
        <v>1760</v>
      </c>
      <c r="O66" s="215" t="s">
        <v>33</v>
      </c>
      <c r="P66" s="216" t="s">
        <v>33</v>
      </c>
      <c r="Q66" s="113">
        <f t="shared" si="6"/>
        <v>17909.999999999989</v>
      </c>
      <c r="R66" s="113">
        <f t="shared" si="7"/>
        <v>1253.6999999999994</v>
      </c>
      <c r="S66" s="217">
        <f t="shared" si="8"/>
        <v>19163.69999999999</v>
      </c>
      <c r="T66" s="2"/>
    </row>
    <row r="67" spans="1:20" ht="22.5" customHeight="1" x14ac:dyDescent="0.5">
      <c r="A67" s="208">
        <v>15</v>
      </c>
      <c r="B67" s="78" t="s">
        <v>134</v>
      </c>
      <c r="C67" s="165" t="s">
        <v>567</v>
      </c>
      <c r="D67" s="211">
        <v>2568</v>
      </c>
      <c r="E67" s="212"/>
      <c r="F67" s="212"/>
      <c r="G67" s="213"/>
      <c r="H67" s="224">
        <v>0</v>
      </c>
      <c r="I67" s="214">
        <v>0</v>
      </c>
      <c r="J67" s="219">
        <v>0</v>
      </c>
      <c r="K67" s="38" t="s">
        <v>1756</v>
      </c>
      <c r="L67" s="39" t="s">
        <v>1798</v>
      </c>
      <c r="M67" s="40">
        <v>2568</v>
      </c>
      <c r="N67" s="215"/>
      <c r="O67" s="215"/>
      <c r="P67" s="216"/>
      <c r="Q67" s="113">
        <f t="shared" si="6"/>
        <v>0</v>
      </c>
      <c r="R67" s="113">
        <f t="shared" si="7"/>
        <v>0</v>
      </c>
      <c r="S67" s="217">
        <f t="shared" si="8"/>
        <v>0</v>
      </c>
      <c r="T67" s="2"/>
    </row>
    <row r="68" spans="1:20" s="229" customFormat="1" ht="22.5" customHeight="1" x14ac:dyDescent="0.5">
      <c r="A68" s="225">
        <v>16</v>
      </c>
      <c r="B68" s="226" t="s">
        <v>1627</v>
      </c>
      <c r="C68" s="227" t="s">
        <v>1610</v>
      </c>
      <c r="D68" s="211">
        <v>4675.8999999999996</v>
      </c>
      <c r="E68" s="212" t="s">
        <v>1561</v>
      </c>
      <c r="F68" s="234" t="s">
        <v>33</v>
      </c>
      <c r="G68" s="228" t="s">
        <v>33</v>
      </c>
      <c r="H68" s="224">
        <v>4060.0000000000014</v>
      </c>
      <c r="I68" s="214">
        <v>284.2000000000001</v>
      </c>
      <c r="J68" s="224">
        <v>4344.2000000000016</v>
      </c>
      <c r="K68" s="38" t="s">
        <v>1788</v>
      </c>
      <c r="L68" s="39" t="s">
        <v>1799</v>
      </c>
      <c r="M68" s="40">
        <v>4344.2</v>
      </c>
      <c r="N68" s="215" t="s">
        <v>1760</v>
      </c>
      <c r="O68" s="215" t="s">
        <v>33</v>
      </c>
      <c r="P68" s="216" t="s">
        <v>33</v>
      </c>
      <c r="Q68" s="113">
        <f t="shared" si="6"/>
        <v>4370.0000000000018</v>
      </c>
      <c r="R68" s="113">
        <f t="shared" si="7"/>
        <v>305.90000000000015</v>
      </c>
      <c r="S68" s="217">
        <f t="shared" si="8"/>
        <v>4675.9000000000024</v>
      </c>
      <c r="T68" s="47"/>
    </row>
    <row r="69" spans="1:20" s="229" customFormat="1" ht="22.5" customHeight="1" x14ac:dyDescent="0.5">
      <c r="A69" s="225"/>
      <c r="B69" s="226" t="s">
        <v>1629</v>
      </c>
      <c r="C69" s="227" t="s">
        <v>1288</v>
      </c>
      <c r="D69" s="211"/>
      <c r="E69" s="230"/>
      <c r="F69" s="230"/>
      <c r="G69" s="231"/>
      <c r="H69" s="232">
        <v>0</v>
      </c>
      <c r="I69" s="233">
        <v>0</v>
      </c>
      <c r="J69" s="232">
        <v>0</v>
      </c>
      <c r="K69" s="38"/>
      <c r="L69" s="39"/>
      <c r="M69" s="40"/>
      <c r="N69" s="215"/>
      <c r="O69" s="215"/>
      <c r="P69" s="216"/>
      <c r="Q69" s="113">
        <f t="shared" si="6"/>
        <v>0</v>
      </c>
      <c r="R69" s="113">
        <f t="shared" si="7"/>
        <v>0</v>
      </c>
      <c r="S69" s="217">
        <f t="shared" si="8"/>
        <v>0</v>
      </c>
      <c r="T69" s="47"/>
    </row>
    <row r="70" spans="1:20" ht="22.5" customHeight="1" x14ac:dyDescent="0.5">
      <c r="A70" s="208">
        <v>17</v>
      </c>
      <c r="B70" s="78" t="s">
        <v>54</v>
      </c>
      <c r="C70" s="81" t="s">
        <v>1593</v>
      </c>
      <c r="D70" s="211">
        <v>15365.2</v>
      </c>
      <c r="E70" s="212"/>
      <c r="F70" s="234"/>
      <c r="G70" s="228"/>
      <c r="H70" s="224">
        <v>0</v>
      </c>
      <c r="I70" s="214">
        <v>0</v>
      </c>
      <c r="J70" s="224">
        <v>0</v>
      </c>
      <c r="K70" s="38" t="s">
        <v>1751</v>
      </c>
      <c r="L70" s="39" t="s">
        <v>1800</v>
      </c>
      <c r="M70" s="40">
        <v>15365.2</v>
      </c>
      <c r="N70" s="215"/>
      <c r="O70" s="215"/>
      <c r="P70" s="216"/>
      <c r="Q70" s="113">
        <f t="shared" si="6"/>
        <v>0</v>
      </c>
      <c r="R70" s="113">
        <f t="shared" si="7"/>
        <v>0</v>
      </c>
      <c r="S70" s="217">
        <f t="shared" si="8"/>
        <v>0</v>
      </c>
      <c r="T70" s="2"/>
    </row>
    <row r="71" spans="1:20" ht="22.5" customHeight="1" x14ac:dyDescent="0.5">
      <c r="A71" s="208">
        <v>18</v>
      </c>
      <c r="B71" s="78" t="s">
        <v>141</v>
      </c>
      <c r="C71" s="81" t="s">
        <v>1593</v>
      </c>
      <c r="D71" s="211">
        <v>5039.7</v>
      </c>
      <c r="E71" s="234"/>
      <c r="F71" s="234"/>
      <c r="G71" s="228"/>
      <c r="H71" s="224">
        <v>0</v>
      </c>
      <c r="I71" s="214">
        <v>0</v>
      </c>
      <c r="J71" s="224">
        <v>0</v>
      </c>
      <c r="K71" s="38" t="s">
        <v>1751</v>
      </c>
      <c r="L71" s="39" t="s">
        <v>1801</v>
      </c>
      <c r="M71" s="40">
        <v>5039.7</v>
      </c>
      <c r="N71" s="235"/>
      <c r="O71" s="235"/>
      <c r="P71" s="236"/>
      <c r="Q71" s="113">
        <f t="shared" si="6"/>
        <v>0</v>
      </c>
      <c r="R71" s="113">
        <f t="shared" si="7"/>
        <v>0</v>
      </c>
      <c r="S71" s="217">
        <f t="shared" si="8"/>
        <v>0</v>
      </c>
      <c r="T71" s="2"/>
    </row>
    <row r="72" spans="1:20" ht="22.5" customHeight="1" x14ac:dyDescent="0.5">
      <c r="A72" s="208">
        <v>19</v>
      </c>
      <c r="B72" s="78" t="s">
        <v>144</v>
      </c>
      <c r="C72" s="81" t="s">
        <v>1288</v>
      </c>
      <c r="D72" s="211">
        <v>299.60000000000002</v>
      </c>
      <c r="E72" s="212"/>
      <c r="F72" s="212"/>
      <c r="G72" s="213"/>
      <c r="H72" s="224">
        <v>0</v>
      </c>
      <c r="I72" s="214">
        <v>0</v>
      </c>
      <c r="J72" s="224">
        <v>0</v>
      </c>
      <c r="K72" s="38" t="s">
        <v>1751</v>
      </c>
      <c r="L72" s="39" t="s">
        <v>1802</v>
      </c>
      <c r="M72" s="40">
        <v>299.60000000000002</v>
      </c>
      <c r="N72" s="215"/>
      <c r="O72" s="215"/>
      <c r="P72" s="216"/>
      <c r="Q72" s="113">
        <f t="shared" si="6"/>
        <v>0</v>
      </c>
      <c r="R72" s="113">
        <f t="shared" si="7"/>
        <v>0</v>
      </c>
      <c r="S72" s="217">
        <f t="shared" si="8"/>
        <v>0</v>
      </c>
      <c r="T72" s="2"/>
    </row>
    <row r="73" spans="1:20" ht="22.5" customHeight="1" x14ac:dyDescent="0.6">
      <c r="A73" s="208">
        <v>20</v>
      </c>
      <c r="B73" s="73" t="s">
        <v>147</v>
      </c>
      <c r="C73" s="25" t="s">
        <v>1634</v>
      </c>
      <c r="D73" s="211"/>
      <c r="E73" s="234"/>
      <c r="F73" s="234"/>
      <c r="G73" s="228"/>
      <c r="H73" s="224">
        <v>0</v>
      </c>
      <c r="I73" s="214">
        <v>0</v>
      </c>
      <c r="J73" s="224">
        <v>0</v>
      </c>
      <c r="K73" s="38"/>
      <c r="L73" s="39"/>
      <c r="M73" s="40"/>
      <c r="N73" s="215"/>
      <c r="O73" s="215"/>
      <c r="P73" s="216"/>
      <c r="Q73" s="113">
        <f t="shared" si="6"/>
        <v>0</v>
      </c>
      <c r="R73" s="113">
        <f t="shared" si="7"/>
        <v>0</v>
      </c>
      <c r="S73" s="217">
        <f t="shared" si="8"/>
        <v>0</v>
      </c>
      <c r="T73" s="898" t="s">
        <v>962</v>
      </c>
    </row>
    <row r="74" spans="1:20" ht="22.5" customHeight="1" x14ac:dyDescent="0.5">
      <c r="A74" s="208"/>
      <c r="B74" s="897" t="s">
        <v>1636</v>
      </c>
      <c r="C74" s="165"/>
      <c r="D74" s="211"/>
      <c r="E74" s="234"/>
      <c r="F74" s="234"/>
      <c r="G74" s="228"/>
      <c r="H74" s="224"/>
      <c r="I74" s="214"/>
      <c r="J74" s="224"/>
      <c r="K74" s="38"/>
      <c r="L74" s="39"/>
      <c r="M74" s="40"/>
      <c r="N74" s="239"/>
      <c r="O74" s="239"/>
      <c r="P74" s="236"/>
      <c r="Q74" s="113"/>
      <c r="R74" s="113"/>
      <c r="S74" s="217"/>
      <c r="T74" s="2"/>
    </row>
    <row r="75" spans="1:20" ht="22.5" customHeight="1" x14ac:dyDescent="0.5">
      <c r="A75" s="208">
        <v>21</v>
      </c>
      <c r="B75" s="237" t="s">
        <v>149</v>
      </c>
      <c r="C75" s="238" t="s">
        <v>567</v>
      </c>
      <c r="D75" s="211">
        <v>3167.2</v>
      </c>
      <c r="E75" s="234"/>
      <c r="F75" s="234"/>
      <c r="G75" s="228"/>
      <c r="H75" s="224">
        <v>0</v>
      </c>
      <c r="I75" s="214">
        <v>0</v>
      </c>
      <c r="J75" s="224">
        <v>0</v>
      </c>
      <c r="K75" s="38" t="s">
        <v>1751</v>
      </c>
      <c r="L75" s="39" t="s">
        <v>1803</v>
      </c>
      <c r="M75" s="40">
        <v>3167.2</v>
      </c>
      <c r="N75" s="239"/>
      <c r="O75" s="239"/>
      <c r="P75" s="236"/>
      <c r="Q75" s="113">
        <f t="shared" si="6"/>
        <v>0</v>
      </c>
      <c r="R75" s="113">
        <f t="shared" si="7"/>
        <v>0</v>
      </c>
      <c r="S75" s="217">
        <f t="shared" si="8"/>
        <v>0</v>
      </c>
      <c r="T75" s="2"/>
    </row>
    <row r="76" spans="1:20" ht="22.5" customHeight="1" x14ac:dyDescent="0.5">
      <c r="A76" s="208">
        <v>22</v>
      </c>
      <c r="B76" s="240" t="s">
        <v>569</v>
      </c>
      <c r="C76" s="83" t="s">
        <v>1596</v>
      </c>
      <c r="D76" s="211">
        <v>16264</v>
      </c>
      <c r="E76" s="234"/>
      <c r="F76" s="234"/>
      <c r="G76" s="228"/>
      <c r="H76" s="224">
        <v>0</v>
      </c>
      <c r="I76" s="214">
        <v>0</v>
      </c>
      <c r="J76" s="224">
        <v>0</v>
      </c>
      <c r="K76" s="38" t="s">
        <v>1804</v>
      </c>
      <c r="L76" s="39" t="s">
        <v>1805</v>
      </c>
      <c r="M76" s="40">
        <v>16264</v>
      </c>
      <c r="N76" s="215"/>
      <c r="O76" s="215"/>
      <c r="P76" s="216"/>
      <c r="Q76" s="113">
        <f t="shared" si="6"/>
        <v>0</v>
      </c>
      <c r="R76" s="113">
        <f t="shared" si="7"/>
        <v>0</v>
      </c>
      <c r="S76" s="217">
        <f t="shared" si="8"/>
        <v>0</v>
      </c>
      <c r="T76" s="2"/>
    </row>
    <row r="77" spans="1:20" ht="22.5" customHeight="1" x14ac:dyDescent="0.5">
      <c r="A77" s="208"/>
      <c r="B77" s="240" t="s">
        <v>569</v>
      </c>
      <c r="C77" s="83" t="s">
        <v>1589</v>
      </c>
      <c r="D77" s="211">
        <v>10560.9</v>
      </c>
      <c r="E77" s="234"/>
      <c r="F77" s="234"/>
      <c r="G77" s="228"/>
      <c r="H77" s="224">
        <v>0</v>
      </c>
      <c r="I77" s="241">
        <v>0</v>
      </c>
      <c r="J77" s="224">
        <v>0</v>
      </c>
      <c r="K77" s="38" t="s">
        <v>1804</v>
      </c>
      <c r="L77" s="39" t="s">
        <v>1805</v>
      </c>
      <c r="M77" s="40">
        <v>10560.9</v>
      </c>
      <c r="N77" s="215"/>
      <c r="O77" s="215"/>
      <c r="P77" s="216"/>
      <c r="Q77" s="113">
        <f t="shared" si="6"/>
        <v>0</v>
      </c>
      <c r="R77" s="113">
        <f t="shared" si="7"/>
        <v>0</v>
      </c>
      <c r="S77" s="217">
        <f t="shared" si="8"/>
        <v>0</v>
      </c>
      <c r="T77" s="2"/>
    </row>
    <row r="78" spans="1:20" ht="22.5" customHeight="1" x14ac:dyDescent="0.5">
      <c r="A78" s="208">
        <v>23</v>
      </c>
      <c r="B78" s="240" t="s">
        <v>157</v>
      </c>
      <c r="C78" s="83" t="s">
        <v>567</v>
      </c>
      <c r="D78" s="211">
        <v>1669.2</v>
      </c>
      <c r="E78" s="234"/>
      <c r="F78" s="234"/>
      <c r="G78" s="228"/>
      <c r="H78" s="224">
        <v>0</v>
      </c>
      <c r="I78" s="241">
        <v>0</v>
      </c>
      <c r="J78" s="224">
        <v>0</v>
      </c>
      <c r="K78" s="38" t="s">
        <v>1749</v>
      </c>
      <c r="L78" s="39" t="s">
        <v>1806</v>
      </c>
      <c r="M78" s="40">
        <v>1669.2</v>
      </c>
      <c r="N78" s="239"/>
      <c r="O78" s="239"/>
      <c r="P78" s="236"/>
      <c r="Q78" s="113">
        <f t="shared" si="6"/>
        <v>0</v>
      </c>
      <c r="R78" s="113">
        <f t="shared" si="7"/>
        <v>0</v>
      </c>
      <c r="S78" s="217">
        <f t="shared" si="8"/>
        <v>0</v>
      </c>
      <c r="T78" s="2"/>
    </row>
    <row r="79" spans="1:20" ht="22.5" customHeight="1" x14ac:dyDescent="0.5">
      <c r="A79" s="208">
        <v>24</v>
      </c>
      <c r="B79" s="240" t="s">
        <v>160</v>
      </c>
      <c r="C79" s="83" t="s">
        <v>567</v>
      </c>
      <c r="D79" s="211"/>
      <c r="E79" s="212"/>
      <c r="F79" s="234"/>
      <c r="G79" s="228"/>
      <c r="H79" s="224">
        <v>0</v>
      </c>
      <c r="I79" s="241">
        <v>0</v>
      </c>
      <c r="J79" s="224">
        <v>0</v>
      </c>
      <c r="K79" s="38"/>
      <c r="L79" s="39"/>
      <c r="M79" s="40"/>
      <c r="N79" s="215"/>
      <c r="O79" s="215"/>
      <c r="P79" s="216"/>
      <c r="Q79" s="113">
        <f t="shared" si="6"/>
        <v>0</v>
      </c>
      <c r="R79" s="113">
        <f t="shared" si="7"/>
        <v>0</v>
      </c>
      <c r="S79" s="217">
        <f t="shared" si="8"/>
        <v>0</v>
      </c>
      <c r="T79" s="2"/>
    </row>
    <row r="80" spans="1:20" ht="22.5" customHeight="1" x14ac:dyDescent="0.5">
      <c r="A80" s="208">
        <v>25</v>
      </c>
      <c r="B80" s="240" t="s">
        <v>162</v>
      </c>
      <c r="C80" s="83" t="s">
        <v>567</v>
      </c>
      <c r="D80" s="211">
        <v>2610.8000000000002</v>
      </c>
      <c r="E80" s="212" t="s">
        <v>1561</v>
      </c>
      <c r="F80" s="234" t="s">
        <v>33</v>
      </c>
      <c r="G80" s="228" t="s">
        <v>33</v>
      </c>
      <c r="H80" s="224">
        <v>1609.9999999999986</v>
      </c>
      <c r="I80" s="241">
        <v>112.69999999999992</v>
      </c>
      <c r="J80" s="224">
        <v>1722.6999999999985</v>
      </c>
      <c r="K80" s="38" t="s">
        <v>1754</v>
      </c>
      <c r="L80" s="39" t="s">
        <v>1807</v>
      </c>
      <c r="M80" s="40">
        <v>1722.7</v>
      </c>
      <c r="N80" s="215" t="s">
        <v>1760</v>
      </c>
      <c r="O80" s="215" t="s">
        <v>33</v>
      </c>
      <c r="P80" s="216" t="s">
        <v>33</v>
      </c>
      <c r="Q80" s="113">
        <f t="shared" si="6"/>
        <v>2439.9999999999986</v>
      </c>
      <c r="R80" s="113">
        <f t="shared" si="7"/>
        <v>170.7999999999999</v>
      </c>
      <c r="S80" s="217">
        <f t="shared" si="8"/>
        <v>2610.7999999999984</v>
      </c>
      <c r="T80" s="2"/>
    </row>
    <row r="81" spans="1:20" ht="22.5" customHeight="1" x14ac:dyDescent="0.5">
      <c r="A81" s="208">
        <v>26</v>
      </c>
      <c r="B81" s="209" t="s">
        <v>165</v>
      </c>
      <c r="C81" s="210" t="s">
        <v>567</v>
      </c>
      <c r="D81" s="211">
        <v>2172.1</v>
      </c>
      <c r="E81" s="212"/>
      <c r="F81" s="212"/>
      <c r="G81" s="213"/>
      <c r="H81" s="219">
        <v>0</v>
      </c>
      <c r="I81" s="214">
        <v>0</v>
      </c>
      <c r="J81" s="219">
        <v>0</v>
      </c>
      <c r="K81" s="38"/>
      <c r="L81" s="39"/>
      <c r="M81" s="40"/>
      <c r="N81" s="215" t="s">
        <v>1760</v>
      </c>
      <c r="O81" s="215" t="s">
        <v>33</v>
      </c>
      <c r="P81" s="216" t="s">
        <v>33</v>
      </c>
      <c r="Q81" s="113">
        <f t="shared" si="6"/>
        <v>2030</v>
      </c>
      <c r="R81" s="113">
        <f t="shared" si="7"/>
        <v>142.1</v>
      </c>
      <c r="S81" s="217">
        <f t="shared" si="8"/>
        <v>2172.1</v>
      </c>
      <c r="T81" s="2"/>
    </row>
    <row r="82" spans="1:20" ht="22.5" customHeight="1" x14ac:dyDescent="0.5">
      <c r="A82" s="242">
        <v>27</v>
      </c>
      <c r="B82" s="243" t="s">
        <v>1643</v>
      </c>
      <c r="C82" s="244" t="s">
        <v>567</v>
      </c>
      <c r="D82" s="211">
        <v>2493.1</v>
      </c>
      <c r="E82" s="212" t="s">
        <v>1561</v>
      </c>
      <c r="F82" s="212" t="s">
        <v>33</v>
      </c>
      <c r="G82" s="213" t="s">
        <v>33</v>
      </c>
      <c r="H82" s="219">
        <v>2470</v>
      </c>
      <c r="I82" s="214">
        <v>172.9</v>
      </c>
      <c r="J82" s="219">
        <v>2642.9</v>
      </c>
      <c r="K82" s="30"/>
      <c r="L82" s="31"/>
      <c r="M82" s="32"/>
      <c r="N82" s="215" t="s">
        <v>1793</v>
      </c>
      <c r="O82" s="215" t="s">
        <v>115</v>
      </c>
      <c r="P82" s="216" t="s">
        <v>115</v>
      </c>
      <c r="Q82" s="113">
        <f t="shared" si="6"/>
        <v>4800</v>
      </c>
      <c r="R82" s="113">
        <f t="shared" si="7"/>
        <v>336</v>
      </c>
      <c r="S82" s="217">
        <f t="shared" si="8"/>
        <v>5136</v>
      </c>
      <c r="T82" s="2"/>
    </row>
    <row r="83" spans="1:20" ht="22.5" customHeight="1" x14ac:dyDescent="0.5">
      <c r="A83" s="208">
        <v>28</v>
      </c>
      <c r="B83" s="209" t="s">
        <v>171</v>
      </c>
      <c r="C83" s="210" t="s">
        <v>567</v>
      </c>
      <c r="D83" s="211">
        <v>856</v>
      </c>
      <c r="E83" s="212"/>
      <c r="F83" s="212"/>
      <c r="G83" s="213"/>
      <c r="H83" s="219">
        <v>0</v>
      </c>
      <c r="I83" s="214">
        <v>0</v>
      </c>
      <c r="J83" s="219">
        <v>0</v>
      </c>
      <c r="K83" s="38" t="s">
        <v>1749</v>
      </c>
      <c r="L83" s="39" t="s">
        <v>1808</v>
      </c>
      <c r="M83" s="40">
        <v>856</v>
      </c>
      <c r="N83" s="239"/>
      <c r="O83" s="239"/>
      <c r="P83" s="236"/>
      <c r="Q83" s="113">
        <f t="shared" si="6"/>
        <v>0</v>
      </c>
      <c r="R83" s="113">
        <f t="shared" si="7"/>
        <v>0</v>
      </c>
      <c r="S83" s="217">
        <f t="shared" si="8"/>
        <v>0</v>
      </c>
      <c r="T83" s="2"/>
    </row>
    <row r="84" spans="1:20" ht="22.5" customHeight="1" x14ac:dyDescent="0.5">
      <c r="A84" s="208">
        <v>29</v>
      </c>
      <c r="B84" s="209" t="s">
        <v>1647</v>
      </c>
      <c r="C84" s="210" t="s">
        <v>567</v>
      </c>
      <c r="D84" s="211">
        <v>1605</v>
      </c>
      <c r="E84" s="212"/>
      <c r="F84" s="212"/>
      <c r="G84" s="213"/>
      <c r="H84" s="219">
        <v>0</v>
      </c>
      <c r="I84" s="214">
        <v>0</v>
      </c>
      <c r="J84" s="219">
        <v>0</v>
      </c>
      <c r="K84" s="38" t="s">
        <v>1751</v>
      </c>
      <c r="L84" s="39" t="s">
        <v>1809</v>
      </c>
      <c r="M84" s="40">
        <v>1605</v>
      </c>
      <c r="N84" s="215"/>
      <c r="O84" s="215"/>
      <c r="P84" s="216"/>
      <c r="Q84" s="113">
        <f t="shared" si="6"/>
        <v>0</v>
      </c>
      <c r="R84" s="113">
        <f t="shared" si="7"/>
        <v>0</v>
      </c>
      <c r="S84" s="217">
        <f t="shared" si="8"/>
        <v>0</v>
      </c>
      <c r="T84" s="2"/>
    </row>
    <row r="85" spans="1:20" ht="22.5" customHeight="1" x14ac:dyDescent="0.5">
      <c r="A85" s="208">
        <v>30</v>
      </c>
      <c r="B85" s="209" t="s">
        <v>1649</v>
      </c>
      <c r="C85" s="210" t="s">
        <v>567</v>
      </c>
      <c r="D85" s="211">
        <v>1990.2</v>
      </c>
      <c r="E85" s="212" t="s">
        <v>1561</v>
      </c>
      <c r="F85" s="212" t="s">
        <v>33</v>
      </c>
      <c r="G85" s="213" t="s">
        <v>33</v>
      </c>
      <c r="H85" s="219">
        <v>3770.0000000000005</v>
      </c>
      <c r="I85" s="214">
        <v>263.90000000000003</v>
      </c>
      <c r="J85" s="219">
        <v>4033.9000000000005</v>
      </c>
      <c r="K85" s="30" t="s">
        <v>1758</v>
      </c>
      <c r="L85" s="31" t="s">
        <v>1810</v>
      </c>
      <c r="M85" s="32">
        <v>4033.9</v>
      </c>
      <c r="N85" s="215" t="s">
        <v>1760</v>
      </c>
      <c r="O85" s="215" t="s">
        <v>33</v>
      </c>
      <c r="P85" s="216" t="s">
        <v>33</v>
      </c>
      <c r="Q85" s="113">
        <f t="shared" si="6"/>
        <v>1860.0000000000002</v>
      </c>
      <c r="R85" s="113">
        <f t="shared" si="7"/>
        <v>130.20000000000002</v>
      </c>
      <c r="S85" s="217">
        <f t="shared" si="8"/>
        <v>1990.2000000000003</v>
      </c>
      <c r="T85" s="2"/>
    </row>
    <row r="86" spans="1:20" ht="22.5" customHeight="1" x14ac:dyDescent="0.5">
      <c r="A86" s="208">
        <v>31</v>
      </c>
      <c r="B86" s="209" t="s">
        <v>1651</v>
      </c>
      <c r="C86" s="210" t="s">
        <v>567</v>
      </c>
      <c r="D86" s="211"/>
      <c r="E86" s="212"/>
      <c r="F86" s="212"/>
      <c r="G86" s="213"/>
      <c r="H86" s="219">
        <v>0</v>
      </c>
      <c r="I86" s="214">
        <v>0</v>
      </c>
      <c r="J86" s="219">
        <v>0</v>
      </c>
      <c r="K86" s="38"/>
      <c r="L86" s="39"/>
      <c r="M86" s="40"/>
      <c r="N86" s="215"/>
      <c r="O86" s="215"/>
      <c r="P86" s="216"/>
      <c r="Q86" s="113">
        <f t="shared" si="6"/>
        <v>0</v>
      </c>
      <c r="R86" s="113">
        <f t="shared" si="7"/>
        <v>0</v>
      </c>
      <c r="S86" s="217">
        <f t="shared" si="8"/>
        <v>0</v>
      </c>
      <c r="T86" s="2"/>
    </row>
    <row r="87" spans="1:20" ht="22.5" customHeight="1" x14ac:dyDescent="0.5">
      <c r="A87" s="208">
        <v>32</v>
      </c>
      <c r="B87" s="209" t="s">
        <v>181</v>
      </c>
      <c r="C87" s="210" t="s">
        <v>567</v>
      </c>
      <c r="D87" s="211">
        <v>1583.6</v>
      </c>
      <c r="E87" s="212"/>
      <c r="F87" s="212"/>
      <c r="G87" s="213"/>
      <c r="H87" s="219">
        <v>0</v>
      </c>
      <c r="I87" s="214">
        <v>0</v>
      </c>
      <c r="J87" s="219">
        <v>0</v>
      </c>
      <c r="K87" s="38" t="s">
        <v>1751</v>
      </c>
      <c r="L87" s="39" t="s">
        <v>1811</v>
      </c>
      <c r="M87" s="40">
        <v>1583.6</v>
      </c>
      <c r="N87" s="215"/>
      <c r="O87" s="215"/>
      <c r="P87" s="216"/>
      <c r="Q87" s="113">
        <f t="shared" si="6"/>
        <v>0</v>
      </c>
      <c r="R87" s="113">
        <f t="shared" si="7"/>
        <v>0</v>
      </c>
      <c r="S87" s="217">
        <f t="shared" si="8"/>
        <v>0</v>
      </c>
      <c r="T87" s="2"/>
    </row>
    <row r="88" spans="1:20" ht="22.5" customHeight="1" x14ac:dyDescent="0.5">
      <c r="A88" s="208">
        <v>33</v>
      </c>
      <c r="B88" s="209" t="s">
        <v>1653</v>
      </c>
      <c r="C88" s="210" t="s">
        <v>1654</v>
      </c>
      <c r="D88" s="211">
        <v>2610.8000000000002</v>
      </c>
      <c r="E88" s="212"/>
      <c r="F88" s="212"/>
      <c r="G88" s="213"/>
      <c r="H88" s="219">
        <v>0</v>
      </c>
      <c r="I88" s="214">
        <v>0</v>
      </c>
      <c r="J88" s="219">
        <v>0</v>
      </c>
      <c r="K88" s="38" t="s">
        <v>1769</v>
      </c>
      <c r="L88" s="245" t="s">
        <v>1812</v>
      </c>
      <c r="M88" s="246">
        <v>2610.8000000000002</v>
      </c>
      <c r="N88" s="215"/>
      <c r="O88" s="215"/>
      <c r="P88" s="216"/>
      <c r="Q88" s="113">
        <f t="shared" si="6"/>
        <v>0</v>
      </c>
      <c r="R88" s="113">
        <f t="shared" si="7"/>
        <v>0</v>
      </c>
      <c r="S88" s="217">
        <f t="shared" si="8"/>
        <v>0</v>
      </c>
      <c r="T88" s="2"/>
    </row>
    <row r="89" spans="1:20" ht="22.5" customHeight="1" x14ac:dyDescent="0.5">
      <c r="A89" s="208"/>
      <c r="B89" s="209" t="s">
        <v>1656</v>
      </c>
      <c r="C89" s="210" t="s">
        <v>1657</v>
      </c>
      <c r="D89" s="211">
        <v>1936.7</v>
      </c>
      <c r="E89" s="212"/>
      <c r="F89" s="212"/>
      <c r="G89" s="213"/>
      <c r="H89" s="219">
        <v>0</v>
      </c>
      <c r="I89" s="214">
        <v>0</v>
      </c>
      <c r="J89" s="219">
        <v>0</v>
      </c>
      <c r="K89" s="38" t="s">
        <v>1769</v>
      </c>
      <c r="L89" s="245" t="s">
        <v>1812</v>
      </c>
      <c r="M89" s="246">
        <v>1936.7</v>
      </c>
      <c r="N89" s="215"/>
      <c r="O89" s="215"/>
      <c r="P89" s="216"/>
      <c r="Q89" s="113">
        <f t="shared" si="6"/>
        <v>0</v>
      </c>
      <c r="R89" s="113">
        <f t="shared" si="7"/>
        <v>0</v>
      </c>
      <c r="S89" s="217">
        <f t="shared" si="8"/>
        <v>0</v>
      </c>
      <c r="T89" s="2"/>
    </row>
    <row r="90" spans="1:20" ht="22.5" customHeight="1" x14ac:dyDescent="0.5">
      <c r="A90" s="208">
        <v>34</v>
      </c>
      <c r="B90" s="209" t="s">
        <v>1658</v>
      </c>
      <c r="C90" s="210" t="s">
        <v>567</v>
      </c>
      <c r="D90" s="211">
        <v>438.7</v>
      </c>
      <c r="E90" s="212"/>
      <c r="F90" s="212"/>
      <c r="G90" s="213"/>
      <c r="H90" s="219">
        <v>0</v>
      </c>
      <c r="I90" s="214">
        <v>0</v>
      </c>
      <c r="J90" s="219">
        <v>0</v>
      </c>
      <c r="K90" s="38" t="s">
        <v>1751</v>
      </c>
      <c r="L90" s="39" t="s">
        <v>1813</v>
      </c>
      <c r="M90" s="246">
        <v>438.7</v>
      </c>
      <c r="N90" s="247"/>
      <c r="O90" s="247"/>
      <c r="P90" s="248"/>
      <c r="Q90" s="113">
        <f t="shared" si="6"/>
        <v>0</v>
      </c>
      <c r="R90" s="113">
        <f t="shared" si="7"/>
        <v>0</v>
      </c>
      <c r="S90" s="217">
        <f t="shared" si="8"/>
        <v>0</v>
      </c>
      <c r="T90" s="2"/>
    </row>
    <row r="91" spans="1:20" ht="22.5" customHeight="1" x14ac:dyDescent="0.5">
      <c r="A91" s="208">
        <v>35</v>
      </c>
      <c r="B91" s="209" t="s">
        <v>1660</v>
      </c>
      <c r="C91" s="210" t="s">
        <v>567</v>
      </c>
      <c r="D91" s="211"/>
      <c r="E91" s="212"/>
      <c r="F91" s="212"/>
      <c r="G91" s="213"/>
      <c r="H91" s="219">
        <v>0</v>
      </c>
      <c r="I91" s="214">
        <v>0</v>
      </c>
      <c r="J91" s="219">
        <v>0</v>
      </c>
      <c r="K91" s="38"/>
      <c r="L91" s="39"/>
      <c r="M91" s="246"/>
      <c r="N91" s="215"/>
      <c r="O91" s="215"/>
      <c r="P91" s="216"/>
      <c r="Q91" s="113">
        <f t="shared" si="6"/>
        <v>0</v>
      </c>
      <c r="R91" s="113">
        <f t="shared" si="7"/>
        <v>0</v>
      </c>
      <c r="S91" s="217">
        <f t="shared" si="8"/>
        <v>0</v>
      </c>
      <c r="T91" s="2"/>
    </row>
    <row r="92" spans="1:20" ht="22.5" customHeight="1" x14ac:dyDescent="0.5">
      <c r="A92" s="208"/>
      <c r="B92" s="209" t="s">
        <v>1660</v>
      </c>
      <c r="C92" s="210" t="s">
        <v>1288</v>
      </c>
      <c r="D92" s="211">
        <v>15921.6</v>
      </c>
      <c r="E92" s="212" t="s">
        <v>1561</v>
      </c>
      <c r="F92" s="212" t="s">
        <v>33</v>
      </c>
      <c r="G92" s="213" t="s">
        <v>33</v>
      </c>
      <c r="H92" s="219">
        <v>8800.0000000000036</v>
      </c>
      <c r="I92" s="214">
        <v>616.00000000000034</v>
      </c>
      <c r="J92" s="219">
        <v>9416.0000000000036</v>
      </c>
      <c r="K92" s="38" t="s">
        <v>1814</v>
      </c>
      <c r="L92" s="39" t="s">
        <v>1815</v>
      </c>
      <c r="M92" s="246">
        <v>9416</v>
      </c>
      <c r="N92" s="215" t="s">
        <v>1760</v>
      </c>
      <c r="O92" s="215" t="s">
        <v>33</v>
      </c>
      <c r="P92" s="216" t="s">
        <v>33</v>
      </c>
      <c r="Q92" s="113">
        <f t="shared" si="6"/>
        <v>14880.000000000005</v>
      </c>
      <c r="R92" s="113">
        <f t="shared" si="7"/>
        <v>1041.6000000000004</v>
      </c>
      <c r="S92" s="217">
        <f t="shared" si="8"/>
        <v>15921.600000000006</v>
      </c>
      <c r="T92" s="2"/>
    </row>
    <row r="93" spans="1:20" ht="22.5" customHeight="1" x14ac:dyDescent="0.5">
      <c r="A93" s="208">
        <v>36</v>
      </c>
      <c r="B93" s="209" t="s">
        <v>1662</v>
      </c>
      <c r="C93" s="210" t="s">
        <v>567</v>
      </c>
      <c r="D93" s="211">
        <v>1230.5</v>
      </c>
      <c r="E93" s="212"/>
      <c r="F93" s="212"/>
      <c r="G93" s="213"/>
      <c r="H93" s="219">
        <v>4.2499752419295712E-13</v>
      </c>
      <c r="I93" s="214">
        <v>2.9749826693507002E-14</v>
      </c>
      <c r="J93" s="219">
        <v>4.5474735088646412E-13</v>
      </c>
      <c r="K93" s="38"/>
      <c r="L93" s="39"/>
      <c r="M93" s="246"/>
      <c r="N93" s="215" t="s">
        <v>1760</v>
      </c>
      <c r="O93" s="215" t="s">
        <v>33</v>
      </c>
      <c r="P93" s="216" t="s">
        <v>33</v>
      </c>
      <c r="Q93" s="113">
        <f t="shared" si="6"/>
        <v>1150.0000000000005</v>
      </c>
      <c r="R93" s="113">
        <f t="shared" si="7"/>
        <v>80.500000000000028</v>
      </c>
      <c r="S93" s="217">
        <f t="shared" si="8"/>
        <v>1230.5000000000005</v>
      </c>
      <c r="T93" s="2"/>
    </row>
    <row r="94" spans="1:20" ht="22.5" customHeight="1" x14ac:dyDescent="0.5">
      <c r="A94" s="208">
        <v>37</v>
      </c>
      <c r="B94" s="209" t="s">
        <v>195</v>
      </c>
      <c r="C94" s="210" t="s">
        <v>567</v>
      </c>
      <c r="D94" s="211">
        <v>1754.8</v>
      </c>
      <c r="E94" s="212"/>
      <c r="F94" s="212"/>
      <c r="G94" s="213"/>
      <c r="H94" s="219">
        <v>0</v>
      </c>
      <c r="I94" s="214">
        <v>0</v>
      </c>
      <c r="J94" s="219">
        <v>0</v>
      </c>
      <c r="K94" s="38" t="s">
        <v>1751</v>
      </c>
      <c r="L94" s="245" t="s">
        <v>1816</v>
      </c>
      <c r="M94" s="246">
        <v>1754.8</v>
      </c>
      <c r="N94" s="247"/>
      <c r="O94" s="247"/>
      <c r="P94" s="248"/>
      <c r="Q94" s="113">
        <f t="shared" si="6"/>
        <v>0</v>
      </c>
      <c r="R94" s="113">
        <f t="shared" si="7"/>
        <v>0</v>
      </c>
      <c r="S94" s="217">
        <f t="shared" si="8"/>
        <v>0</v>
      </c>
      <c r="T94" s="2"/>
    </row>
    <row r="95" spans="1:20" ht="22.5" customHeight="1" x14ac:dyDescent="0.5">
      <c r="A95" s="208">
        <v>38</v>
      </c>
      <c r="B95" s="209" t="s">
        <v>1666</v>
      </c>
      <c r="C95" s="210" t="s">
        <v>1667</v>
      </c>
      <c r="D95" s="211"/>
      <c r="E95" s="212"/>
      <c r="F95" s="212"/>
      <c r="G95" s="213"/>
      <c r="H95" s="219">
        <v>0</v>
      </c>
      <c r="I95" s="214">
        <v>0</v>
      </c>
      <c r="J95" s="219">
        <v>0</v>
      </c>
      <c r="K95" s="38"/>
      <c r="L95" s="245"/>
      <c r="M95" s="246"/>
      <c r="N95" s="215"/>
      <c r="O95" s="215"/>
      <c r="P95" s="216"/>
      <c r="Q95" s="113">
        <f t="shared" si="6"/>
        <v>0</v>
      </c>
      <c r="R95" s="113">
        <f t="shared" si="7"/>
        <v>0</v>
      </c>
      <c r="S95" s="217">
        <f t="shared" si="8"/>
        <v>0</v>
      </c>
      <c r="T95" s="2"/>
    </row>
    <row r="96" spans="1:20" ht="22.5" customHeight="1" x14ac:dyDescent="0.5">
      <c r="A96" s="208"/>
      <c r="B96" s="209" t="s">
        <v>1666</v>
      </c>
      <c r="C96" s="210" t="s">
        <v>567</v>
      </c>
      <c r="D96" s="211">
        <v>1337.5</v>
      </c>
      <c r="E96" s="212" t="s">
        <v>1561</v>
      </c>
      <c r="F96" s="212" t="s">
        <v>33</v>
      </c>
      <c r="G96" s="213" t="s">
        <v>33</v>
      </c>
      <c r="H96" s="219">
        <v>999.99999999999955</v>
      </c>
      <c r="I96" s="214">
        <v>69.999999999999972</v>
      </c>
      <c r="J96" s="219">
        <v>1069.9999999999995</v>
      </c>
      <c r="K96" s="38" t="s">
        <v>1758</v>
      </c>
      <c r="L96" s="245" t="s">
        <v>1817</v>
      </c>
      <c r="M96" s="246">
        <v>1070</v>
      </c>
      <c r="N96" s="215" t="s">
        <v>1760</v>
      </c>
      <c r="O96" s="215" t="s">
        <v>33</v>
      </c>
      <c r="P96" s="216" t="s">
        <v>33</v>
      </c>
      <c r="Q96" s="113">
        <f t="shared" si="6"/>
        <v>1249.9999999999995</v>
      </c>
      <c r="R96" s="113">
        <f t="shared" si="7"/>
        <v>87.499999999999972</v>
      </c>
      <c r="S96" s="217">
        <f t="shared" si="8"/>
        <v>1337.4999999999995</v>
      </c>
      <c r="T96" s="2"/>
    </row>
    <row r="97" spans="1:20" ht="22.5" customHeight="1" x14ac:dyDescent="0.5">
      <c r="A97" s="208">
        <v>39</v>
      </c>
      <c r="B97" s="209" t="s">
        <v>200</v>
      </c>
      <c r="C97" s="210" t="s">
        <v>567</v>
      </c>
      <c r="D97" s="211"/>
      <c r="E97" s="212" t="s">
        <v>1477</v>
      </c>
      <c r="F97" s="212" t="s">
        <v>33</v>
      </c>
      <c r="G97" s="213" t="s">
        <v>530</v>
      </c>
      <c r="H97" s="219">
        <v>11700</v>
      </c>
      <c r="I97" s="214">
        <v>819.00000000000011</v>
      </c>
      <c r="J97" s="219">
        <v>12519</v>
      </c>
      <c r="K97" s="38"/>
      <c r="L97" s="245"/>
      <c r="M97" s="246"/>
      <c r="N97" s="215" t="s">
        <v>1477</v>
      </c>
      <c r="O97" s="216" t="s">
        <v>33</v>
      </c>
      <c r="P97" s="216" t="s">
        <v>533</v>
      </c>
      <c r="Q97" s="113">
        <f t="shared" si="6"/>
        <v>11700</v>
      </c>
      <c r="R97" s="113">
        <f t="shared" si="7"/>
        <v>819</v>
      </c>
      <c r="S97" s="217">
        <f t="shared" si="8"/>
        <v>12519</v>
      </c>
      <c r="T97" s="2"/>
    </row>
    <row r="98" spans="1:20" ht="22.5" customHeight="1" x14ac:dyDescent="0.5">
      <c r="A98" s="208">
        <v>40</v>
      </c>
      <c r="B98" s="209" t="s">
        <v>1669</v>
      </c>
      <c r="C98" s="210" t="s">
        <v>567</v>
      </c>
      <c r="D98" s="211">
        <v>588.5</v>
      </c>
      <c r="E98" s="212"/>
      <c r="F98" s="212"/>
      <c r="G98" s="213"/>
      <c r="H98" s="219">
        <v>0</v>
      </c>
      <c r="I98" s="214">
        <v>0</v>
      </c>
      <c r="J98" s="219">
        <v>0</v>
      </c>
      <c r="K98" s="30" t="s">
        <v>1756</v>
      </c>
      <c r="L98" s="31" t="s">
        <v>1818</v>
      </c>
      <c r="M98" s="221">
        <v>588.5</v>
      </c>
      <c r="N98" s="215"/>
      <c r="O98" s="215"/>
      <c r="P98" s="216"/>
      <c r="Q98" s="113">
        <f t="shared" si="6"/>
        <v>0</v>
      </c>
      <c r="R98" s="113">
        <f t="shared" si="7"/>
        <v>0</v>
      </c>
      <c r="S98" s="217">
        <f t="shared" si="8"/>
        <v>0</v>
      </c>
      <c r="T98" s="2"/>
    </row>
    <row r="99" spans="1:20" ht="22.5" customHeight="1" x14ac:dyDescent="0.5">
      <c r="A99" s="208">
        <v>41</v>
      </c>
      <c r="B99" s="209" t="s">
        <v>205</v>
      </c>
      <c r="C99" s="210" t="s">
        <v>567</v>
      </c>
      <c r="D99" s="211">
        <v>1540.8</v>
      </c>
      <c r="E99" s="212"/>
      <c r="F99" s="212"/>
      <c r="G99" s="213"/>
      <c r="H99" s="219">
        <v>0</v>
      </c>
      <c r="I99" s="214">
        <v>0</v>
      </c>
      <c r="J99" s="219">
        <v>0</v>
      </c>
      <c r="K99" s="30" t="s">
        <v>1749</v>
      </c>
      <c r="L99" s="249" t="s">
        <v>1819</v>
      </c>
      <c r="M99" s="221">
        <v>1540.8</v>
      </c>
      <c r="N99" s="215"/>
      <c r="O99" s="215"/>
      <c r="P99" s="216"/>
      <c r="Q99" s="113">
        <f t="shared" si="6"/>
        <v>0</v>
      </c>
      <c r="R99" s="113">
        <f t="shared" si="7"/>
        <v>0</v>
      </c>
      <c r="S99" s="217">
        <f t="shared" si="8"/>
        <v>0</v>
      </c>
      <c r="T99" s="2"/>
    </row>
    <row r="100" spans="1:20" ht="22.5" customHeight="1" x14ac:dyDescent="0.5">
      <c r="A100" s="208">
        <v>42</v>
      </c>
      <c r="B100" s="209" t="s">
        <v>208</v>
      </c>
      <c r="C100" s="210" t="s">
        <v>567</v>
      </c>
      <c r="D100" s="211">
        <v>10903.3</v>
      </c>
      <c r="E100" s="212"/>
      <c r="F100" s="212"/>
      <c r="G100" s="213"/>
      <c r="H100" s="219">
        <v>0</v>
      </c>
      <c r="I100" s="214">
        <v>0</v>
      </c>
      <c r="J100" s="219">
        <v>0</v>
      </c>
      <c r="K100" s="250" t="s">
        <v>1749</v>
      </c>
      <c r="L100" s="251" t="s">
        <v>1820</v>
      </c>
      <c r="M100" s="252">
        <v>10903.3</v>
      </c>
      <c r="N100" s="215"/>
      <c r="O100" s="215"/>
      <c r="P100" s="216"/>
      <c r="Q100" s="113">
        <f t="shared" si="6"/>
        <v>0</v>
      </c>
      <c r="R100" s="113">
        <f t="shared" si="7"/>
        <v>0</v>
      </c>
      <c r="S100" s="217">
        <f t="shared" si="8"/>
        <v>0</v>
      </c>
      <c r="T100" s="2"/>
    </row>
    <row r="101" spans="1:20" ht="22.5" customHeight="1" x14ac:dyDescent="0.5">
      <c r="A101" s="208">
        <v>43</v>
      </c>
      <c r="B101" s="209" t="s">
        <v>210</v>
      </c>
      <c r="C101" s="210" t="s">
        <v>567</v>
      </c>
      <c r="D101" s="211">
        <v>8378.1</v>
      </c>
      <c r="E101" s="212" t="s">
        <v>1561</v>
      </c>
      <c r="F101" s="212" t="s">
        <v>33</v>
      </c>
      <c r="G101" s="213" t="s">
        <v>33</v>
      </c>
      <c r="H101" s="219">
        <v>9860.0000000000018</v>
      </c>
      <c r="I101" s="214">
        <v>690.20000000000016</v>
      </c>
      <c r="J101" s="219">
        <v>10550.200000000003</v>
      </c>
      <c r="K101" s="38" t="s">
        <v>1821</v>
      </c>
      <c r="L101" s="39" t="s">
        <v>1822</v>
      </c>
      <c r="M101" s="246">
        <v>10550.2</v>
      </c>
      <c r="N101" s="239" t="s">
        <v>1760</v>
      </c>
      <c r="O101" s="239" t="s">
        <v>33</v>
      </c>
      <c r="P101" s="236" t="s">
        <v>33</v>
      </c>
      <c r="Q101" s="113">
        <f t="shared" si="6"/>
        <v>7830.0000000000018</v>
      </c>
      <c r="R101" s="113">
        <f t="shared" si="7"/>
        <v>548.10000000000014</v>
      </c>
      <c r="S101" s="217">
        <f t="shared" si="8"/>
        <v>8378.1000000000022</v>
      </c>
      <c r="T101" s="2"/>
    </row>
    <row r="102" spans="1:20" ht="22.5" customHeight="1" x14ac:dyDescent="0.5">
      <c r="A102" s="208">
        <v>44</v>
      </c>
      <c r="B102" s="209" t="s">
        <v>1675</v>
      </c>
      <c r="C102" s="210" t="s">
        <v>1288</v>
      </c>
      <c r="D102" s="211"/>
      <c r="E102" s="212"/>
      <c r="F102" s="212"/>
      <c r="G102" s="213"/>
      <c r="H102" s="219">
        <v>0</v>
      </c>
      <c r="I102" s="214">
        <v>0</v>
      </c>
      <c r="J102" s="219">
        <v>0</v>
      </c>
      <c r="K102" s="38"/>
      <c r="L102" s="39"/>
      <c r="M102" s="246"/>
      <c r="N102" s="239"/>
      <c r="O102" s="239"/>
      <c r="P102" s="236"/>
      <c r="Q102" s="113">
        <f t="shared" si="6"/>
        <v>0</v>
      </c>
      <c r="R102" s="113">
        <f t="shared" si="7"/>
        <v>0</v>
      </c>
      <c r="S102" s="217">
        <f t="shared" si="8"/>
        <v>0</v>
      </c>
      <c r="T102" s="2"/>
    </row>
    <row r="103" spans="1:20" ht="22.5" customHeight="1" x14ac:dyDescent="0.5">
      <c r="A103" s="208">
        <v>45</v>
      </c>
      <c r="B103" s="209" t="s">
        <v>214</v>
      </c>
      <c r="C103" s="210" t="s">
        <v>567</v>
      </c>
      <c r="D103" s="211">
        <v>1465.9</v>
      </c>
      <c r="E103" s="212"/>
      <c r="F103" s="212"/>
      <c r="G103" s="213"/>
      <c r="H103" s="219">
        <v>0</v>
      </c>
      <c r="I103" s="214">
        <v>0</v>
      </c>
      <c r="J103" s="219">
        <v>0</v>
      </c>
      <c r="K103" s="38" t="s">
        <v>1749</v>
      </c>
      <c r="L103" s="39" t="s">
        <v>1823</v>
      </c>
      <c r="M103" s="246">
        <v>1465.9</v>
      </c>
      <c r="N103" s="239"/>
      <c r="O103" s="239"/>
      <c r="P103" s="236"/>
      <c r="Q103" s="113">
        <f t="shared" si="6"/>
        <v>0</v>
      </c>
      <c r="R103" s="113">
        <f t="shared" si="7"/>
        <v>0</v>
      </c>
      <c r="S103" s="217">
        <f t="shared" si="8"/>
        <v>0</v>
      </c>
      <c r="T103" s="2"/>
    </row>
    <row r="104" spans="1:20" ht="22.5" customHeight="1" x14ac:dyDescent="0.5">
      <c r="A104" s="253">
        <v>46</v>
      </c>
      <c r="B104" s="254" t="s">
        <v>217</v>
      </c>
      <c r="C104" s="238" t="s">
        <v>567</v>
      </c>
      <c r="D104" s="211">
        <v>2557.3000000000002</v>
      </c>
      <c r="E104" s="167" t="s">
        <v>1561</v>
      </c>
      <c r="F104" s="167" t="s">
        <v>33</v>
      </c>
      <c r="G104" s="168" t="s">
        <v>33</v>
      </c>
      <c r="H104" s="255">
        <v>1720.0000000000005</v>
      </c>
      <c r="I104" s="256">
        <v>120.40000000000005</v>
      </c>
      <c r="J104" s="255">
        <v>1840.4000000000005</v>
      </c>
      <c r="K104" s="38"/>
      <c r="L104" s="245"/>
      <c r="M104" s="246"/>
      <c r="N104" s="239" t="s">
        <v>1793</v>
      </c>
      <c r="O104" s="239" t="s">
        <v>115</v>
      </c>
      <c r="P104" s="236" t="s">
        <v>115</v>
      </c>
      <c r="Q104" s="113">
        <f t="shared" si="6"/>
        <v>4110.0000000000009</v>
      </c>
      <c r="R104" s="113">
        <f t="shared" si="7"/>
        <v>287.70000000000005</v>
      </c>
      <c r="S104" s="217">
        <f t="shared" si="8"/>
        <v>4397.7000000000007</v>
      </c>
      <c r="T104" s="2"/>
    </row>
    <row r="105" spans="1:20" ht="22.5" customHeight="1" x14ac:dyDescent="0.5">
      <c r="A105" s="235">
        <v>47</v>
      </c>
      <c r="B105" s="257" t="s">
        <v>1679</v>
      </c>
      <c r="C105" s="257" t="s">
        <v>567</v>
      </c>
      <c r="D105" s="262"/>
      <c r="E105" s="234" t="s">
        <v>1561</v>
      </c>
      <c r="F105" s="234" t="s">
        <v>33</v>
      </c>
      <c r="G105" s="228" t="s">
        <v>33</v>
      </c>
      <c r="H105" s="224">
        <v>200</v>
      </c>
      <c r="I105" s="241">
        <v>14.000000000000002</v>
      </c>
      <c r="J105" s="982">
        <v>214</v>
      </c>
      <c r="K105" s="38"/>
      <c r="L105" s="39"/>
      <c r="M105" s="246"/>
      <c r="N105" s="239" t="s">
        <v>1760</v>
      </c>
      <c r="O105" s="239" t="s">
        <v>33</v>
      </c>
      <c r="P105" s="236" t="s">
        <v>33</v>
      </c>
      <c r="Q105" s="983">
        <f t="shared" si="6"/>
        <v>200</v>
      </c>
      <c r="R105" s="983">
        <f t="shared" si="7"/>
        <v>14</v>
      </c>
      <c r="S105" s="761">
        <f t="shared" si="8"/>
        <v>214</v>
      </c>
      <c r="T105" s="2"/>
    </row>
    <row r="106" spans="1:20" ht="22.5" customHeight="1" x14ac:dyDescent="0.5">
      <c r="A106" s="297">
        <v>48</v>
      </c>
      <c r="B106" s="222" t="s">
        <v>1680</v>
      </c>
      <c r="C106" s="222" t="s">
        <v>567</v>
      </c>
      <c r="D106" s="211"/>
      <c r="E106" s="984"/>
      <c r="F106" s="984"/>
      <c r="G106" s="985"/>
      <c r="H106" s="986">
        <v>0</v>
      </c>
      <c r="I106" s="987">
        <v>0</v>
      </c>
      <c r="J106" s="988">
        <v>0</v>
      </c>
      <c r="K106" s="30"/>
      <c r="L106" s="31"/>
      <c r="M106" s="221"/>
      <c r="N106" s="215"/>
      <c r="O106" s="215"/>
      <c r="P106" s="216"/>
      <c r="Q106" s="989">
        <f t="shared" si="6"/>
        <v>0</v>
      </c>
      <c r="R106" s="989">
        <f t="shared" si="7"/>
        <v>0</v>
      </c>
      <c r="S106" s="990">
        <f t="shared" si="8"/>
        <v>0</v>
      </c>
      <c r="T106" s="2"/>
    </row>
    <row r="107" spans="1:20" ht="22.5" customHeight="1" x14ac:dyDescent="0.5">
      <c r="A107" s="297">
        <v>49</v>
      </c>
      <c r="B107" s="222" t="s">
        <v>224</v>
      </c>
      <c r="C107" s="222" t="s">
        <v>567</v>
      </c>
      <c r="D107" s="211">
        <v>663.4</v>
      </c>
      <c r="E107" s="984" t="s">
        <v>1681</v>
      </c>
      <c r="F107" s="984" t="s">
        <v>115</v>
      </c>
      <c r="G107" s="985" t="s">
        <v>115</v>
      </c>
      <c r="H107" s="986">
        <v>1160.0000000000002</v>
      </c>
      <c r="I107" s="987">
        <v>81.200000000000017</v>
      </c>
      <c r="J107" s="988">
        <v>1241.2000000000003</v>
      </c>
      <c r="K107" s="30" t="s">
        <v>1824</v>
      </c>
      <c r="L107" s="249" t="s">
        <v>1825</v>
      </c>
      <c r="M107" s="221">
        <v>1241.2</v>
      </c>
      <c r="N107" s="215" t="s">
        <v>1760</v>
      </c>
      <c r="O107" s="215" t="s">
        <v>33</v>
      </c>
      <c r="P107" s="216" t="s">
        <v>33</v>
      </c>
      <c r="Q107" s="989">
        <f t="shared" si="6"/>
        <v>620.00000000000034</v>
      </c>
      <c r="R107" s="989">
        <f t="shared" si="7"/>
        <v>43.40000000000002</v>
      </c>
      <c r="S107" s="990">
        <f t="shared" si="8"/>
        <v>663.40000000000032</v>
      </c>
      <c r="T107" s="2"/>
    </row>
    <row r="108" spans="1:20" ht="22.5" customHeight="1" x14ac:dyDescent="0.5">
      <c r="A108" s="297">
        <v>50</v>
      </c>
      <c r="B108" s="222" t="s">
        <v>226</v>
      </c>
      <c r="C108" s="222" t="s">
        <v>567</v>
      </c>
      <c r="D108" s="211">
        <v>2749.9</v>
      </c>
      <c r="E108" s="991" t="s">
        <v>1561</v>
      </c>
      <c r="F108" s="991" t="s">
        <v>33</v>
      </c>
      <c r="G108" s="985" t="s">
        <v>33</v>
      </c>
      <c r="H108" s="986">
        <v>3730.0000000000036</v>
      </c>
      <c r="I108" s="987">
        <v>261.10000000000031</v>
      </c>
      <c r="J108" s="988">
        <v>3991.100000000004</v>
      </c>
      <c r="K108" s="30" t="s">
        <v>1751</v>
      </c>
      <c r="L108" s="249" t="s">
        <v>1826</v>
      </c>
      <c r="M108" s="221">
        <v>3991.1</v>
      </c>
      <c r="N108" s="215" t="s">
        <v>1760</v>
      </c>
      <c r="O108" s="215" t="s">
        <v>33</v>
      </c>
      <c r="P108" s="216" t="s">
        <v>33</v>
      </c>
      <c r="Q108" s="989">
        <f>SUM(S108-R108)</f>
        <v>2570.0000000000036</v>
      </c>
      <c r="R108" s="989">
        <f t="shared" si="7"/>
        <v>179.90000000000023</v>
      </c>
      <c r="S108" s="990">
        <f>SUM(D108+J108-M108)</f>
        <v>2749.9000000000037</v>
      </c>
      <c r="T108" s="2"/>
    </row>
    <row r="109" spans="1:20" ht="22.5" customHeight="1" x14ac:dyDescent="0.5">
      <c r="A109" s="297">
        <v>51</v>
      </c>
      <c r="B109" s="222" t="s">
        <v>229</v>
      </c>
      <c r="C109" s="222" t="s">
        <v>567</v>
      </c>
      <c r="D109" s="211">
        <v>15589.9</v>
      </c>
      <c r="E109" s="991" t="s">
        <v>1561</v>
      </c>
      <c r="F109" s="991" t="s">
        <v>33</v>
      </c>
      <c r="G109" s="985" t="s">
        <v>33</v>
      </c>
      <c r="H109" s="986">
        <v>12109.999999999998</v>
      </c>
      <c r="I109" s="987">
        <v>847.69999999999993</v>
      </c>
      <c r="J109" s="992">
        <v>12957.699999999999</v>
      </c>
      <c r="K109" s="30" t="s">
        <v>1758</v>
      </c>
      <c r="L109" s="31" t="s">
        <v>1827</v>
      </c>
      <c r="M109" s="221">
        <v>12957.7</v>
      </c>
      <c r="N109" s="215" t="s">
        <v>1760</v>
      </c>
      <c r="O109" s="215" t="s">
        <v>33</v>
      </c>
      <c r="P109" s="993" t="s">
        <v>33</v>
      </c>
      <c r="Q109" s="989">
        <f t="shared" si="6"/>
        <v>14569.999999999998</v>
      </c>
      <c r="R109" s="989">
        <f t="shared" si="7"/>
        <v>1019.8999999999999</v>
      </c>
      <c r="S109" s="995">
        <f t="shared" si="8"/>
        <v>15589.899999999998</v>
      </c>
      <c r="T109" s="2"/>
    </row>
    <row r="110" spans="1:20" ht="22.5" customHeight="1" x14ac:dyDescent="0.5">
      <c r="A110" s="297">
        <v>52</v>
      </c>
      <c r="B110" s="222" t="s">
        <v>566</v>
      </c>
      <c r="C110" s="222" t="s">
        <v>567</v>
      </c>
      <c r="D110" s="211">
        <v>3402.6</v>
      </c>
      <c r="E110" s="991"/>
      <c r="F110" s="991"/>
      <c r="G110" s="985"/>
      <c r="H110" s="986">
        <v>0</v>
      </c>
      <c r="I110" s="987">
        <v>0</v>
      </c>
      <c r="J110" s="992">
        <v>0</v>
      </c>
      <c r="K110" s="30" t="s">
        <v>1756</v>
      </c>
      <c r="L110" s="31" t="s">
        <v>1828</v>
      </c>
      <c r="M110" s="221">
        <v>3402.6</v>
      </c>
      <c r="N110" s="215"/>
      <c r="O110" s="215"/>
      <c r="P110" s="993"/>
      <c r="Q110" s="989">
        <f t="shared" si="6"/>
        <v>0</v>
      </c>
      <c r="R110" s="989">
        <f t="shared" si="7"/>
        <v>0</v>
      </c>
      <c r="S110" s="995">
        <f t="shared" si="8"/>
        <v>0</v>
      </c>
      <c r="T110" s="2"/>
    </row>
    <row r="111" spans="1:20" ht="22.5" customHeight="1" x14ac:dyDescent="0.5">
      <c r="A111" s="297"/>
      <c r="B111" s="222" t="s">
        <v>568</v>
      </c>
      <c r="C111" s="222" t="s">
        <v>1288</v>
      </c>
      <c r="D111" s="997">
        <v>3006.7</v>
      </c>
      <c r="E111" s="991"/>
      <c r="F111" s="991"/>
      <c r="G111" s="985"/>
      <c r="H111" s="986">
        <v>0</v>
      </c>
      <c r="I111" s="987">
        <v>0</v>
      </c>
      <c r="J111" s="992">
        <v>0</v>
      </c>
      <c r="K111" s="30" t="s">
        <v>1756</v>
      </c>
      <c r="L111" s="31" t="s">
        <v>1828</v>
      </c>
      <c r="M111" s="221">
        <v>3006.7</v>
      </c>
      <c r="N111" s="215"/>
      <c r="O111" s="215"/>
      <c r="P111" s="993"/>
      <c r="Q111" s="989">
        <f t="shared" si="6"/>
        <v>0</v>
      </c>
      <c r="R111" s="989">
        <f t="shared" si="7"/>
        <v>0</v>
      </c>
      <c r="S111" s="995">
        <f t="shared" si="8"/>
        <v>0</v>
      </c>
      <c r="T111" s="2"/>
    </row>
    <row r="112" spans="1:20" ht="22.5" customHeight="1" x14ac:dyDescent="0.5">
      <c r="A112" s="996">
        <v>53</v>
      </c>
      <c r="B112" s="222" t="s">
        <v>705</v>
      </c>
      <c r="C112" s="222" t="s">
        <v>1288</v>
      </c>
      <c r="D112" s="997">
        <v>856</v>
      </c>
      <c r="E112" s="991"/>
      <c r="F112" s="991"/>
      <c r="G112" s="985"/>
      <c r="H112" s="986">
        <v>0</v>
      </c>
      <c r="I112" s="987">
        <v>0</v>
      </c>
      <c r="J112" s="992">
        <v>0</v>
      </c>
      <c r="K112" s="30" t="s">
        <v>1804</v>
      </c>
      <c r="L112" s="31" t="s">
        <v>1829</v>
      </c>
      <c r="M112" s="221">
        <v>856</v>
      </c>
      <c r="N112" s="215"/>
      <c r="O112" s="215"/>
      <c r="P112" s="994"/>
      <c r="Q112" s="989">
        <f>SUM(S112-R112)</f>
        <v>0</v>
      </c>
      <c r="R112" s="989">
        <f>SUM(S112*7/107)</f>
        <v>0</v>
      </c>
      <c r="S112" s="995">
        <f>SUM(D112+J112-M112)</f>
        <v>0</v>
      </c>
      <c r="T112" s="2"/>
    </row>
    <row r="113" spans="1:20" ht="22.5" customHeight="1" x14ac:dyDescent="0.5">
      <c r="A113" s="297">
        <v>54</v>
      </c>
      <c r="B113" s="222" t="s">
        <v>1287</v>
      </c>
      <c r="C113" s="222" t="s">
        <v>1288</v>
      </c>
      <c r="D113" s="211">
        <v>3327.7</v>
      </c>
      <c r="E113" s="991"/>
      <c r="F113" s="991"/>
      <c r="G113" s="985"/>
      <c r="H113" s="986">
        <v>0</v>
      </c>
      <c r="I113" s="987">
        <v>0</v>
      </c>
      <c r="J113" s="992">
        <v>0</v>
      </c>
      <c r="K113" s="30" t="s">
        <v>1804</v>
      </c>
      <c r="L113" s="31" t="s">
        <v>1830</v>
      </c>
      <c r="M113" s="221">
        <v>3327.7</v>
      </c>
      <c r="N113" s="215"/>
      <c r="O113" s="215"/>
      <c r="P113" s="994"/>
      <c r="Q113" s="989">
        <f>SUM(S113-R113)</f>
        <v>0</v>
      </c>
      <c r="R113" s="989">
        <f>SUM(S113*7/107)</f>
        <v>0</v>
      </c>
      <c r="S113" s="995">
        <f>SUM(D113+J113-M113)</f>
        <v>0</v>
      </c>
      <c r="T113" s="2"/>
    </row>
    <row r="114" spans="1:20" ht="22.5" customHeight="1" x14ac:dyDescent="0.5">
      <c r="A114" s="996">
        <v>55</v>
      </c>
      <c r="B114" s="222" t="s">
        <v>1489</v>
      </c>
      <c r="C114" s="222" t="s">
        <v>567</v>
      </c>
      <c r="D114" s="211">
        <v>588.5</v>
      </c>
      <c r="E114" s="991"/>
      <c r="F114" s="991"/>
      <c r="G114" s="985"/>
      <c r="H114" s="986">
        <v>0</v>
      </c>
      <c r="I114" s="987">
        <v>0</v>
      </c>
      <c r="J114" s="992">
        <v>0</v>
      </c>
      <c r="K114" s="30" t="s">
        <v>1756</v>
      </c>
      <c r="L114" s="31" t="s">
        <v>1831</v>
      </c>
      <c r="M114" s="221">
        <v>588.5</v>
      </c>
      <c r="N114" s="215"/>
      <c r="O114" s="215"/>
      <c r="P114" s="994"/>
      <c r="Q114" s="989">
        <f t="shared" ref="Q114:Q116" si="9">SUM(S114-R114)</f>
        <v>0</v>
      </c>
      <c r="R114" s="989">
        <f t="shared" ref="R114:R116" si="10">SUM(S114*7/107)</f>
        <v>0</v>
      </c>
      <c r="S114" s="995">
        <f t="shared" ref="S114:S116" si="11">SUM(D114+J114-M114)</f>
        <v>0</v>
      </c>
      <c r="T114" s="2"/>
    </row>
    <row r="115" spans="1:20" ht="22.5" customHeight="1" x14ac:dyDescent="0.5">
      <c r="A115" s="996">
        <v>56</v>
      </c>
      <c r="B115" s="222" t="s">
        <v>1490</v>
      </c>
      <c r="C115" s="222" t="s">
        <v>567</v>
      </c>
      <c r="D115" s="211">
        <v>545.70000000000005</v>
      </c>
      <c r="E115" s="991"/>
      <c r="F115" s="991"/>
      <c r="G115" s="985"/>
      <c r="H115" s="986">
        <v>0</v>
      </c>
      <c r="I115" s="987">
        <v>0</v>
      </c>
      <c r="J115" s="992">
        <v>0</v>
      </c>
      <c r="K115" s="30" t="s">
        <v>1769</v>
      </c>
      <c r="L115" s="31" t="s">
        <v>1832</v>
      </c>
      <c r="M115" s="221">
        <v>545.70000000000005</v>
      </c>
      <c r="N115" s="215"/>
      <c r="O115" s="215"/>
      <c r="P115" s="994"/>
      <c r="Q115" s="989">
        <f t="shared" si="9"/>
        <v>0</v>
      </c>
      <c r="R115" s="989">
        <f t="shared" si="10"/>
        <v>0</v>
      </c>
      <c r="S115" s="995">
        <f t="shared" si="11"/>
        <v>0</v>
      </c>
      <c r="T115" s="2"/>
    </row>
    <row r="116" spans="1:20" ht="22.5" customHeight="1" x14ac:dyDescent="0.5">
      <c r="A116" s="996">
        <v>57</v>
      </c>
      <c r="B116" s="222" t="s">
        <v>1692</v>
      </c>
      <c r="C116" s="222"/>
      <c r="D116" s="211">
        <v>4290.7</v>
      </c>
      <c r="E116" s="991"/>
      <c r="F116" s="991"/>
      <c r="G116" s="985"/>
      <c r="H116" s="986">
        <v>0</v>
      </c>
      <c r="I116" s="987">
        <v>0</v>
      </c>
      <c r="J116" s="992">
        <v>0</v>
      </c>
      <c r="K116" s="30" t="s">
        <v>1749</v>
      </c>
      <c r="L116" s="31" t="s">
        <v>1833</v>
      </c>
      <c r="M116" s="221">
        <v>4290.7</v>
      </c>
      <c r="N116" s="215"/>
      <c r="O116" s="215"/>
      <c r="P116" s="994"/>
      <c r="Q116" s="989">
        <f t="shared" si="9"/>
        <v>0</v>
      </c>
      <c r="R116" s="989">
        <f t="shared" si="10"/>
        <v>0</v>
      </c>
      <c r="S116" s="995">
        <f t="shared" si="11"/>
        <v>0</v>
      </c>
      <c r="T116" s="2"/>
    </row>
    <row r="117" spans="1:20" s="60" customFormat="1" ht="22.5" customHeight="1" thickBot="1" x14ac:dyDescent="0.35">
      <c r="A117" s="278"/>
      <c r="B117" s="278" t="s">
        <v>15</v>
      </c>
      <c r="C117" s="279"/>
      <c r="D117" s="280">
        <f>SUM(D46:D116)</f>
        <v>346155.70000000013</v>
      </c>
      <c r="E117" s="281"/>
      <c r="F117" s="281"/>
      <c r="G117" s="282"/>
      <c r="H117" s="280">
        <f>SUM(H46:H116)</f>
        <v>169780</v>
      </c>
      <c r="I117" s="280">
        <f>SUM(I46:I116)</f>
        <v>11884.6</v>
      </c>
      <c r="J117" s="280">
        <f>SUM(J46:J116)</f>
        <v>181664.6</v>
      </c>
      <c r="K117" s="280">
        <f>SUM(K46:K113)</f>
        <v>0</v>
      </c>
      <c r="L117" s="280">
        <f>SUM(L46:L113)</f>
        <v>0</v>
      </c>
      <c r="M117" s="1003">
        <f>SUM(M46:M116)</f>
        <v>375580.70000000013</v>
      </c>
      <c r="N117" s="280">
        <f>SUM(N46:N113)</f>
        <v>0</v>
      </c>
      <c r="O117" s="280">
        <f>SUM(O46:O113)</f>
        <v>0</v>
      </c>
      <c r="P117" s="280">
        <f>SUM(P46:P113)</f>
        <v>0</v>
      </c>
      <c r="Q117" s="280">
        <f>SUM(Q46:Q116)</f>
        <v>142279.99999999997</v>
      </c>
      <c r="R117" s="280">
        <f>SUM(R46:R116)</f>
        <v>9959.6</v>
      </c>
      <c r="S117" s="280">
        <f>SUM(S46:S116)</f>
        <v>152239.6</v>
      </c>
      <c r="T117" s="59"/>
    </row>
    <row r="118" spans="1:20" ht="22.5" customHeight="1" thickTop="1" x14ac:dyDescent="0.3">
      <c r="A118" s="61"/>
      <c r="B118" s="121" t="s">
        <v>232</v>
      </c>
      <c r="C118" s="63"/>
      <c r="D118" s="64"/>
      <c r="E118" s="65"/>
      <c r="F118" s="65"/>
      <c r="G118" s="66"/>
      <c r="H118" s="67"/>
      <c r="I118" s="67"/>
      <c r="J118" s="67"/>
      <c r="K118" s="286"/>
      <c r="L118" s="287"/>
      <c r="M118" s="288"/>
      <c r="N118" s="69"/>
      <c r="O118" s="69"/>
      <c r="P118" s="70"/>
      <c r="Q118" s="71"/>
      <c r="R118" s="71"/>
      <c r="S118" s="289"/>
      <c r="T118" s="2"/>
    </row>
    <row r="119" spans="1:20" ht="22.5" customHeight="1" x14ac:dyDescent="0.5">
      <c r="A119" s="290"/>
      <c r="B119" s="291" t="s">
        <v>233</v>
      </c>
      <c r="C119" s="292"/>
      <c r="D119" s="293"/>
      <c r="E119" s="212"/>
      <c r="F119" s="212"/>
      <c r="G119" s="213"/>
      <c r="H119" s="219"/>
      <c r="I119" s="219"/>
      <c r="J119" s="219"/>
      <c r="K119" s="294"/>
      <c r="L119" s="295"/>
      <c r="M119" s="296"/>
      <c r="N119" s="41"/>
      <c r="O119" s="41"/>
      <c r="P119" s="34"/>
      <c r="Q119" s="114"/>
      <c r="R119" s="114"/>
      <c r="S119" s="36"/>
      <c r="T119" s="2"/>
    </row>
    <row r="120" spans="1:20" ht="22.5" customHeight="1" x14ac:dyDescent="0.5">
      <c r="A120" s="23">
        <v>1</v>
      </c>
      <c r="B120" s="73" t="s">
        <v>234</v>
      </c>
      <c r="C120" s="25" t="s">
        <v>235</v>
      </c>
      <c r="D120" s="43">
        <v>9450</v>
      </c>
      <c r="E120" s="212"/>
      <c r="F120" s="212"/>
      <c r="G120" s="213"/>
      <c r="H120" s="219">
        <v>0</v>
      </c>
      <c r="I120" s="219">
        <v>0</v>
      </c>
      <c r="J120" s="219">
        <v>0</v>
      </c>
      <c r="K120" s="30" t="s">
        <v>1775</v>
      </c>
      <c r="L120" s="31" t="s">
        <v>1834</v>
      </c>
      <c r="M120" s="32">
        <v>9450</v>
      </c>
      <c r="N120" s="215"/>
      <c r="O120" s="215"/>
      <c r="P120" s="216"/>
      <c r="Q120" s="114">
        <f>SUM(D120+J120-M120)</f>
        <v>0</v>
      </c>
      <c r="R120" s="114">
        <v>0</v>
      </c>
      <c r="S120" s="36">
        <f>SUM(Q120)</f>
        <v>0</v>
      </c>
      <c r="T120" s="2" t="s">
        <v>1746</v>
      </c>
    </row>
    <row r="121" spans="1:20" ht="22.5" customHeight="1" x14ac:dyDescent="0.5">
      <c r="A121" s="23">
        <v>2</v>
      </c>
      <c r="B121" s="73" t="s">
        <v>237</v>
      </c>
      <c r="C121" s="25" t="s">
        <v>238</v>
      </c>
      <c r="D121" s="43">
        <v>3150</v>
      </c>
      <c r="E121" s="212"/>
      <c r="F121" s="212"/>
      <c r="G121" s="213"/>
      <c r="H121" s="219">
        <v>0</v>
      </c>
      <c r="I121" s="219">
        <v>0</v>
      </c>
      <c r="J121" s="219">
        <v>0</v>
      </c>
      <c r="K121" s="30" t="s">
        <v>1775</v>
      </c>
      <c r="L121" s="31" t="s">
        <v>1835</v>
      </c>
      <c r="M121" s="32">
        <v>3150</v>
      </c>
      <c r="N121" s="215"/>
      <c r="O121" s="215"/>
      <c r="P121" s="216"/>
      <c r="Q121" s="114">
        <f t="shared" ref="Q121:Q160" si="12">SUM(D121+J121-M121)</f>
        <v>0</v>
      </c>
      <c r="R121" s="114">
        <v>0</v>
      </c>
      <c r="S121" s="36">
        <f t="shared" ref="S121:S160" si="13">SUM(Q121)</f>
        <v>0</v>
      </c>
      <c r="T121" s="2"/>
    </row>
    <row r="122" spans="1:20" ht="22.5" customHeight="1" x14ac:dyDescent="0.5">
      <c r="A122" s="23">
        <v>3</v>
      </c>
      <c r="B122" s="73" t="s">
        <v>240</v>
      </c>
      <c r="C122" s="25" t="s">
        <v>241</v>
      </c>
      <c r="D122" s="43">
        <v>15750</v>
      </c>
      <c r="E122" s="212" t="s">
        <v>1681</v>
      </c>
      <c r="F122" s="212" t="s">
        <v>115</v>
      </c>
      <c r="G122" s="213" t="s">
        <v>115</v>
      </c>
      <c r="H122" s="219">
        <v>31500</v>
      </c>
      <c r="I122" s="219">
        <v>0</v>
      </c>
      <c r="J122" s="219">
        <v>31500</v>
      </c>
      <c r="K122" s="30" t="s">
        <v>1836</v>
      </c>
      <c r="L122" s="31" t="s">
        <v>1837</v>
      </c>
      <c r="M122" s="32">
        <v>15750</v>
      </c>
      <c r="N122" s="297" t="s">
        <v>1793</v>
      </c>
      <c r="O122" s="297" t="s">
        <v>115</v>
      </c>
      <c r="P122" s="216"/>
      <c r="Q122" s="114">
        <f t="shared" si="12"/>
        <v>31500</v>
      </c>
      <c r="R122" s="114">
        <v>0</v>
      </c>
      <c r="S122" s="36">
        <f t="shared" si="13"/>
        <v>31500</v>
      </c>
      <c r="T122" s="2"/>
    </row>
    <row r="123" spans="1:20" ht="22.5" customHeight="1" x14ac:dyDescent="0.5">
      <c r="A123" s="23">
        <v>4</v>
      </c>
      <c r="B123" s="73" t="s">
        <v>240</v>
      </c>
      <c r="C123" s="25" t="s">
        <v>242</v>
      </c>
      <c r="D123" s="43">
        <v>6300</v>
      </c>
      <c r="E123" s="212" t="s">
        <v>1681</v>
      </c>
      <c r="F123" s="212" t="s">
        <v>115</v>
      </c>
      <c r="G123" s="213" t="s">
        <v>115</v>
      </c>
      <c r="H123" s="219">
        <v>12600</v>
      </c>
      <c r="I123" s="219">
        <v>0</v>
      </c>
      <c r="J123" s="219">
        <v>12600</v>
      </c>
      <c r="K123" s="30" t="s">
        <v>1836</v>
      </c>
      <c r="L123" s="31" t="s">
        <v>1837</v>
      </c>
      <c r="M123" s="32">
        <v>6300</v>
      </c>
      <c r="N123" s="297" t="s">
        <v>1793</v>
      </c>
      <c r="O123" s="297" t="s">
        <v>115</v>
      </c>
      <c r="P123" s="216"/>
      <c r="Q123" s="114">
        <f t="shared" si="12"/>
        <v>12600</v>
      </c>
      <c r="R123" s="114">
        <v>0</v>
      </c>
      <c r="S123" s="36">
        <f t="shared" si="13"/>
        <v>12600</v>
      </c>
      <c r="T123" s="2"/>
    </row>
    <row r="124" spans="1:20" ht="22.5" customHeight="1" x14ac:dyDescent="0.5">
      <c r="A124" s="23">
        <v>5</v>
      </c>
      <c r="B124" s="73" t="s">
        <v>198</v>
      </c>
      <c r="C124" s="25" t="s">
        <v>243</v>
      </c>
      <c r="D124" s="43">
        <v>22050</v>
      </c>
      <c r="E124" s="212"/>
      <c r="F124" s="212"/>
      <c r="G124" s="213"/>
      <c r="H124" s="219">
        <v>0</v>
      </c>
      <c r="I124" s="219">
        <v>0</v>
      </c>
      <c r="J124" s="219">
        <v>0</v>
      </c>
      <c r="K124" s="30" t="s">
        <v>1758</v>
      </c>
      <c r="L124" s="31" t="s">
        <v>1838</v>
      </c>
      <c r="M124" s="32">
        <v>22050</v>
      </c>
      <c r="N124" s="297"/>
      <c r="O124" s="297"/>
      <c r="P124" s="216"/>
      <c r="Q124" s="114">
        <f t="shared" si="12"/>
        <v>0</v>
      </c>
      <c r="R124" s="114">
        <v>0</v>
      </c>
      <c r="S124" s="36">
        <f t="shared" si="13"/>
        <v>0</v>
      </c>
      <c r="T124" s="2"/>
    </row>
    <row r="125" spans="1:20" ht="22.5" customHeight="1" x14ac:dyDescent="0.5">
      <c r="A125" s="23">
        <v>6</v>
      </c>
      <c r="B125" s="73" t="s">
        <v>245</v>
      </c>
      <c r="C125" s="25" t="s">
        <v>246</v>
      </c>
      <c r="D125" s="43">
        <v>9450</v>
      </c>
      <c r="E125" s="212"/>
      <c r="F125" s="212"/>
      <c r="G125" s="213"/>
      <c r="H125" s="219">
        <v>0</v>
      </c>
      <c r="I125" s="219">
        <v>0</v>
      </c>
      <c r="J125" s="219">
        <v>0</v>
      </c>
      <c r="K125" s="30" t="s">
        <v>1821</v>
      </c>
      <c r="L125" s="31" t="s">
        <v>1839</v>
      </c>
      <c r="M125" s="32">
        <v>9450</v>
      </c>
      <c r="N125" s="297"/>
      <c r="O125" s="297"/>
      <c r="P125" s="216"/>
      <c r="Q125" s="114">
        <f t="shared" si="12"/>
        <v>0</v>
      </c>
      <c r="R125" s="114">
        <v>0</v>
      </c>
      <c r="S125" s="36">
        <f t="shared" si="13"/>
        <v>0</v>
      </c>
      <c r="T125" s="2"/>
    </row>
    <row r="126" spans="1:20" ht="22.5" customHeight="1" x14ac:dyDescent="0.5">
      <c r="A126" s="23">
        <v>7</v>
      </c>
      <c r="B126" s="73" t="s">
        <v>248</v>
      </c>
      <c r="C126" s="25" t="s">
        <v>249</v>
      </c>
      <c r="D126" s="43">
        <v>6300</v>
      </c>
      <c r="E126" s="212" t="s">
        <v>1561</v>
      </c>
      <c r="F126" s="212" t="s">
        <v>33</v>
      </c>
      <c r="G126" s="213" t="s">
        <v>33</v>
      </c>
      <c r="H126" s="219">
        <v>6300</v>
      </c>
      <c r="I126" s="219">
        <v>0</v>
      </c>
      <c r="J126" s="219">
        <v>6300</v>
      </c>
      <c r="K126" s="30" t="s">
        <v>1840</v>
      </c>
      <c r="L126" s="31" t="s">
        <v>1841</v>
      </c>
      <c r="M126" s="32">
        <v>12600</v>
      </c>
      <c r="N126" s="215"/>
      <c r="O126" s="215"/>
      <c r="P126" s="216"/>
      <c r="Q126" s="114">
        <f t="shared" si="12"/>
        <v>0</v>
      </c>
      <c r="R126" s="114">
        <v>0</v>
      </c>
      <c r="S126" s="36">
        <f t="shared" si="13"/>
        <v>0</v>
      </c>
      <c r="T126" s="2"/>
    </row>
    <row r="127" spans="1:20" ht="22.5" customHeight="1" x14ac:dyDescent="0.5">
      <c r="A127" s="208">
        <v>8</v>
      </c>
      <c r="B127" s="209" t="s">
        <v>250</v>
      </c>
      <c r="C127" s="210" t="s">
        <v>251</v>
      </c>
      <c r="D127" s="298">
        <v>6300</v>
      </c>
      <c r="E127" s="299" t="s">
        <v>1561</v>
      </c>
      <c r="F127" s="299" t="s">
        <v>33</v>
      </c>
      <c r="G127" s="300" t="s">
        <v>33</v>
      </c>
      <c r="H127" s="214">
        <v>6300</v>
      </c>
      <c r="I127" s="219">
        <v>0</v>
      </c>
      <c r="J127" s="219">
        <v>6300</v>
      </c>
      <c r="K127" s="30" t="s">
        <v>1842</v>
      </c>
      <c r="L127" s="31" t="s">
        <v>1843</v>
      </c>
      <c r="M127" s="32">
        <v>6300</v>
      </c>
      <c r="N127" s="215" t="s">
        <v>1760</v>
      </c>
      <c r="O127" s="215" t="s">
        <v>33</v>
      </c>
      <c r="P127" s="216"/>
      <c r="Q127" s="114">
        <f t="shared" si="12"/>
        <v>6300</v>
      </c>
      <c r="R127" s="114">
        <v>0</v>
      </c>
      <c r="S127" s="36">
        <f t="shared" si="13"/>
        <v>6300</v>
      </c>
      <c r="T127" s="218"/>
    </row>
    <row r="128" spans="1:20" ht="22.5" customHeight="1" x14ac:dyDescent="0.5">
      <c r="A128" s="23">
        <v>9</v>
      </c>
      <c r="B128" s="73" t="s">
        <v>253</v>
      </c>
      <c r="C128" s="25" t="s">
        <v>254</v>
      </c>
      <c r="D128" s="43">
        <v>9450</v>
      </c>
      <c r="E128" s="212" t="s">
        <v>1561</v>
      </c>
      <c r="F128" s="212" t="s">
        <v>33</v>
      </c>
      <c r="G128" s="213" t="s">
        <v>33</v>
      </c>
      <c r="H128" s="219">
        <v>9450</v>
      </c>
      <c r="I128" s="219">
        <v>0</v>
      </c>
      <c r="J128" s="219">
        <v>9450</v>
      </c>
      <c r="K128" s="30" t="s">
        <v>1844</v>
      </c>
      <c r="L128" s="31" t="s">
        <v>1845</v>
      </c>
      <c r="M128" s="32">
        <v>18900</v>
      </c>
      <c r="N128" s="215"/>
      <c r="O128" s="215"/>
      <c r="P128" s="216"/>
      <c r="Q128" s="114">
        <f t="shared" si="12"/>
        <v>0</v>
      </c>
      <c r="R128" s="114">
        <v>0</v>
      </c>
      <c r="S128" s="36">
        <f t="shared" si="13"/>
        <v>0</v>
      </c>
    </row>
    <row r="129" spans="1:20" ht="22.5" customHeight="1" x14ac:dyDescent="0.5">
      <c r="A129" s="23"/>
      <c r="B129" s="301" t="s">
        <v>256</v>
      </c>
      <c r="C129" s="25"/>
      <c r="D129" s="43"/>
      <c r="E129" s="302"/>
      <c r="F129" s="302"/>
      <c r="G129" s="303"/>
      <c r="H129" s="304">
        <v>0</v>
      </c>
      <c r="I129" s="304">
        <v>0</v>
      </c>
      <c r="J129" s="304">
        <v>0</v>
      </c>
      <c r="K129" s="30"/>
      <c r="L129" s="31"/>
      <c r="M129" s="32"/>
      <c r="N129" s="297"/>
      <c r="O129" s="297"/>
      <c r="P129" s="216"/>
      <c r="Q129" s="114">
        <f t="shared" si="12"/>
        <v>0</v>
      </c>
      <c r="R129" s="114">
        <v>0</v>
      </c>
      <c r="S129" s="36">
        <f t="shared" si="13"/>
        <v>0</v>
      </c>
    </row>
    <row r="130" spans="1:20" ht="22.5" customHeight="1" x14ac:dyDescent="0.5">
      <c r="A130" s="23">
        <v>10</v>
      </c>
      <c r="B130" s="73" t="s">
        <v>257</v>
      </c>
      <c r="C130" s="25" t="s">
        <v>258</v>
      </c>
      <c r="D130" s="43">
        <v>5600</v>
      </c>
      <c r="E130" s="212"/>
      <c r="F130" s="212"/>
      <c r="G130" s="213"/>
      <c r="H130" s="219">
        <v>0</v>
      </c>
      <c r="I130" s="219">
        <v>0</v>
      </c>
      <c r="J130" s="219">
        <v>0</v>
      </c>
      <c r="K130" s="30" t="s">
        <v>1821</v>
      </c>
      <c r="L130" s="31" t="s">
        <v>1846</v>
      </c>
      <c r="M130" s="32">
        <v>5600</v>
      </c>
      <c r="N130" s="297"/>
      <c r="O130" s="297"/>
      <c r="P130" s="216"/>
      <c r="Q130" s="114">
        <f t="shared" si="12"/>
        <v>0</v>
      </c>
      <c r="R130" s="114">
        <v>0</v>
      </c>
      <c r="S130" s="36">
        <f t="shared" si="13"/>
        <v>0</v>
      </c>
    </row>
    <row r="131" spans="1:20" ht="22.5" customHeight="1" x14ac:dyDescent="0.5">
      <c r="A131" s="23">
        <v>11</v>
      </c>
      <c r="B131" s="73" t="s">
        <v>198</v>
      </c>
      <c r="C131" s="25" t="s">
        <v>260</v>
      </c>
      <c r="D131" s="43">
        <v>2800</v>
      </c>
      <c r="E131" s="212"/>
      <c r="F131" s="212"/>
      <c r="G131" s="213"/>
      <c r="H131" s="219">
        <v>0</v>
      </c>
      <c r="I131" s="219">
        <v>0</v>
      </c>
      <c r="J131" s="219">
        <v>0</v>
      </c>
      <c r="K131" s="30" t="s">
        <v>1758</v>
      </c>
      <c r="L131" s="31" t="s">
        <v>1847</v>
      </c>
      <c r="M131" s="32">
        <v>2800</v>
      </c>
      <c r="N131" s="297"/>
      <c r="O131" s="297"/>
      <c r="P131" s="216"/>
      <c r="Q131" s="114">
        <f t="shared" si="12"/>
        <v>0</v>
      </c>
      <c r="R131" s="114">
        <v>0</v>
      </c>
      <c r="S131" s="36">
        <f t="shared" si="13"/>
        <v>0</v>
      </c>
    </row>
    <row r="132" spans="1:20" ht="22.5" customHeight="1" x14ac:dyDescent="0.5">
      <c r="A132" s="23">
        <v>12</v>
      </c>
      <c r="B132" s="73" t="s">
        <v>261</v>
      </c>
      <c r="C132" s="25" t="s">
        <v>262</v>
      </c>
      <c r="D132" s="43">
        <v>5600</v>
      </c>
      <c r="E132" s="212" t="s">
        <v>1561</v>
      </c>
      <c r="F132" s="212" t="s">
        <v>33</v>
      </c>
      <c r="G132" s="213" t="s">
        <v>33</v>
      </c>
      <c r="H132" s="219">
        <v>5600</v>
      </c>
      <c r="I132" s="219">
        <v>0</v>
      </c>
      <c r="J132" s="219">
        <v>5600</v>
      </c>
      <c r="K132" s="30" t="s">
        <v>1763</v>
      </c>
      <c r="L132" s="31" t="s">
        <v>1848</v>
      </c>
      <c r="M132" s="32">
        <v>11200</v>
      </c>
      <c r="N132" s="215"/>
      <c r="O132" s="215"/>
      <c r="P132" s="216"/>
      <c r="Q132" s="114">
        <f t="shared" si="12"/>
        <v>0</v>
      </c>
      <c r="R132" s="114">
        <v>0</v>
      </c>
      <c r="S132" s="36">
        <f t="shared" si="13"/>
        <v>0</v>
      </c>
    </row>
    <row r="133" spans="1:20" ht="22.5" customHeight="1" x14ac:dyDescent="0.5">
      <c r="A133" s="23">
        <v>13</v>
      </c>
      <c r="B133" s="73" t="s">
        <v>264</v>
      </c>
      <c r="C133" s="25" t="s">
        <v>265</v>
      </c>
      <c r="D133" s="43">
        <v>5600</v>
      </c>
      <c r="E133" s="212" t="s">
        <v>1561</v>
      </c>
      <c r="F133" s="212" t="s">
        <v>33</v>
      </c>
      <c r="G133" s="213" t="s">
        <v>33</v>
      </c>
      <c r="H133" s="219">
        <v>5600</v>
      </c>
      <c r="I133" s="219">
        <v>0</v>
      </c>
      <c r="J133" s="219">
        <v>5600</v>
      </c>
      <c r="K133" s="30" t="s">
        <v>1763</v>
      </c>
      <c r="L133" s="31" t="s">
        <v>1848</v>
      </c>
      <c r="M133" s="32">
        <v>11200</v>
      </c>
      <c r="N133" s="215"/>
      <c r="O133" s="215"/>
      <c r="P133" s="216"/>
      <c r="Q133" s="114">
        <f t="shared" si="12"/>
        <v>0</v>
      </c>
      <c r="R133" s="114">
        <v>0</v>
      </c>
      <c r="S133" s="36">
        <f t="shared" si="13"/>
        <v>0</v>
      </c>
    </row>
    <row r="134" spans="1:20" ht="22.5" customHeight="1" x14ac:dyDescent="0.5">
      <c r="A134" s="23">
        <v>14</v>
      </c>
      <c r="B134" s="73" t="s">
        <v>266</v>
      </c>
      <c r="C134" s="25" t="s">
        <v>267</v>
      </c>
      <c r="D134" s="43">
        <v>5600</v>
      </c>
      <c r="E134" s="212"/>
      <c r="F134" s="212"/>
      <c r="G134" s="213"/>
      <c r="H134" s="219">
        <v>0</v>
      </c>
      <c r="I134" s="219">
        <v>0</v>
      </c>
      <c r="J134" s="219">
        <v>0</v>
      </c>
      <c r="K134" s="30" t="s">
        <v>1821</v>
      </c>
      <c r="L134" s="31" t="s">
        <v>1849</v>
      </c>
      <c r="M134" s="32">
        <v>5600</v>
      </c>
      <c r="N134" s="297"/>
      <c r="O134" s="297"/>
      <c r="P134" s="216"/>
      <c r="Q134" s="114">
        <f t="shared" si="12"/>
        <v>0</v>
      </c>
      <c r="R134" s="114">
        <v>0</v>
      </c>
      <c r="S134" s="36">
        <f t="shared" si="13"/>
        <v>0</v>
      </c>
    </row>
    <row r="135" spans="1:20" ht="22.5" customHeight="1" x14ac:dyDescent="0.5">
      <c r="A135" s="23"/>
      <c r="B135" s="301" t="s">
        <v>269</v>
      </c>
      <c r="C135" s="25"/>
      <c r="D135" s="43"/>
      <c r="E135" s="302"/>
      <c r="F135" s="302"/>
      <c r="G135" s="303"/>
      <c r="H135" s="304">
        <v>0</v>
      </c>
      <c r="I135" s="304">
        <v>0</v>
      </c>
      <c r="J135" s="304">
        <v>0</v>
      </c>
      <c r="K135" s="30"/>
      <c r="L135" s="31"/>
      <c r="M135" s="32"/>
      <c r="N135" s="297"/>
      <c r="O135" s="297"/>
      <c r="P135" s="216"/>
      <c r="Q135" s="114">
        <f t="shared" si="12"/>
        <v>0</v>
      </c>
      <c r="R135" s="114">
        <v>0</v>
      </c>
      <c r="S135" s="36">
        <f t="shared" si="13"/>
        <v>0</v>
      </c>
    </row>
    <row r="136" spans="1:20" ht="22.5" customHeight="1" x14ac:dyDescent="0.5">
      <c r="A136" s="23">
        <v>1</v>
      </c>
      <c r="B136" s="73" t="s">
        <v>270</v>
      </c>
      <c r="C136" s="25" t="s">
        <v>271</v>
      </c>
      <c r="D136" s="43">
        <v>9450</v>
      </c>
      <c r="E136" s="212"/>
      <c r="F136" s="212"/>
      <c r="G136" s="213"/>
      <c r="H136" s="219">
        <v>0</v>
      </c>
      <c r="I136" s="219">
        <v>0</v>
      </c>
      <c r="J136" s="219">
        <v>0</v>
      </c>
      <c r="K136" s="30" t="s">
        <v>1754</v>
      </c>
      <c r="L136" s="31" t="s">
        <v>1850</v>
      </c>
      <c r="M136" s="32">
        <v>9450</v>
      </c>
      <c r="N136" s="307"/>
      <c r="O136" s="307"/>
      <c r="P136" s="308"/>
      <c r="Q136" s="114">
        <f t="shared" si="12"/>
        <v>0</v>
      </c>
      <c r="R136" s="114">
        <v>0</v>
      </c>
      <c r="S136" s="36">
        <f t="shared" si="13"/>
        <v>0</v>
      </c>
    </row>
    <row r="137" spans="1:20" ht="22.5" customHeight="1" x14ac:dyDescent="0.5">
      <c r="A137" s="23">
        <v>2</v>
      </c>
      <c r="B137" s="73" t="s">
        <v>261</v>
      </c>
      <c r="C137" s="25" t="s">
        <v>273</v>
      </c>
      <c r="D137" s="43">
        <v>9450</v>
      </c>
      <c r="E137" s="212" t="s">
        <v>1561</v>
      </c>
      <c r="F137" s="212" t="s">
        <v>33</v>
      </c>
      <c r="G137" s="213" t="s">
        <v>33</v>
      </c>
      <c r="H137" s="219">
        <v>9450</v>
      </c>
      <c r="I137" s="219">
        <v>0</v>
      </c>
      <c r="J137" s="219">
        <v>9450</v>
      </c>
      <c r="K137" s="30" t="s">
        <v>1763</v>
      </c>
      <c r="L137" s="31" t="s">
        <v>1848</v>
      </c>
      <c r="M137" s="32">
        <v>18900</v>
      </c>
      <c r="N137" s="215"/>
      <c r="O137" s="215"/>
      <c r="P137" s="216"/>
      <c r="Q137" s="114">
        <f t="shared" si="12"/>
        <v>0</v>
      </c>
      <c r="R137" s="114">
        <v>0</v>
      </c>
      <c r="S137" s="36">
        <f t="shared" si="13"/>
        <v>0</v>
      </c>
    </row>
    <row r="138" spans="1:20" ht="22.5" customHeight="1" x14ac:dyDescent="0.5">
      <c r="A138" s="23">
        <v>3</v>
      </c>
      <c r="B138" s="73" t="s">
        <v>274</v>
      </c>
      <c r="C138" s="25" t="s">
        <v>275</v>
      </c>
      <c r="D138" s="43">
        <v>3150</v>
      </c>
      <c r="E138" s="212"/>
      <c r="F138" s="212"/>
      <c r="G138" s="213"/>
      <c r="H138" s="219">
        <v>0</v>
      </c>
      <c r="I138" s="219">
        <v>0</v>
      </c>
      <c r="J138" s="219">
        <v>0</v>
      </c>
      <c r="K138" s="30" t="s">
        <v>1851</v>
      </c>
      <c r="L138" s="31" t="s">
        <v>1852</v>
      </c>
      <c r="M138" s="32">
        <v>3150</v>
      </c>
      <c r="N138" s="297"/>
      <c r="O138" s="297"/>
      <c r="P138" s="216"/>
      <c r="Q138" s="114">
        <f t="shared" si="12"/>
        <v>0</v>
      </c>
      <c r="R138" s="114">
        <v>0</v>
      </c>
      <c r="S138" s="36">
        <f t="shared" si="13"/>
        <v>0</v>
      </c>
      <c r="T138" s="2"/>
    </row>
    <row r="139" spans="1:20" ht="22.5" customHeight="1" x14ac:dyDescent="0.5">
      <c r="A139" s="23">
        <v>4</v>
      </c>
      <c r="B139" s="73" t="s">
        <v>277</v>
      </c>
      <c r="C139" s="25" t="s">
        <v>278</v>
      </c>
      <c r="D139" s="43">
        <v>6300</v>
      </c>
      <c r="E139" s="212"/>
      <c r="F139" s="212"/>
      <c r="G139" s="213"/>
      <c r="H139" s="219">
        <v>0</v>
      </c>
      <c r="I139" s="219">
        <v>0</v>
      </c>
      <c r="J139" s="219">
        <v>0</v>
      </c>
      <c r="K139" s="30" t="s">
        <v>1821</v>
      </c>
      <c r="L139" s="31" t="s">
        <v>1853</v>
      </c>
      <c r="M139" s="32">
        <v>6300</v>
      </c>
      <c r="N139" s="297"/>
      <c r="O139" s="297"/>
      <c r="P139" s="216"/>
      <c r="Q139" s="114">
        <f t="shared" si="12"/>
        <v>0</v>
      </c>
      <c r="R139" s="114">
        <v>0</v>
      </c>
      <c r="S139" s="36">
        <f t="shared" si="13"/>
        <v>0</v>
      </c>
      <c r="T139" s="2"/>
    </row>
    <row r="140" spans="1:20" ht="22.5" customHeight="1" x14ac:dyDescent="0.5">
      <c r="A140" s="23"/>
      <c r="B140" s="301" t="s">
        <v>280</v>
      </c>
      <c r="C140" s="25"/>
      <c r="D140" s="43"/>
      <c r="E140" s="302"/>
      <c r="F140" s="302"/>
      <c r="G140" s="303"/>
      <c r="H140" s="304">
        <v>0</v>
      </c>
      <c r="I140" s="304">
        <v>0</v>
      </c>
      <c r="J140" s="304">
        <v>0</v>
      </c>
      <c r="K140" s="30"/>
      <c r="L140" s="31"/>
      <c r="M140" s="32"/>
      <c r="N140" s="297"/>
      <c r="O140" s="297"/>
      <c r="P140" s="216"/>
      <c r="Q140" s="114">
        <f t="shared" si="12"/>
        <v>0</v>
      </c>
      <c r="R140" s="114">
        <v>0</v>
      </c>
      <c r="S140" s="36">
        <f t="shared" si="13"/>
        <v>0</v>
      </c>
      <c r="T140" s="2"/>
    </row>
    <row r="141" spans="1:20" ht="22.5" customHeight="1" x14ac:dyDescent="0.5">
      <c r="A141" s="23">
        <v>1</v>
      </c>
      <c r="B141" s="73" t="s">
        <v>281</v>
      </c>
      <c r="C141" s="25" t="s">
        <v>282</v>
      </c>
      <c r="D141" s="43">
        <v>5600</v>
      </c>
      <c r="E141" s="212" t="s">
        <v>1561</v>
      </c>
      <c r="F141" s="212" t="s">
        <v>33</v>
      </c>
      <c r="G141" s="213" t="s">
        <v>33</v>
      </c>
      <c r="H141" s="219">
        <v>5600</v>
      </c>
      <c r="I141" s="219">
        <v>0</v>
      </c>
      <c r="J141" s="219">
        <v>5600</v>
      </c>
      <c r="K141" s="30" t="s">
        <v>1769</v>
      </c>
      <c r="L141" s="31" t="s">
        <v>1854</v>
      </c>
      <c r="M141" s="32">
        <v>5600</v>
      </c>
      <c r="N141" s="215" t="s">
        <v>1760</v>
      </c>
      <c r="O141" s="215" t="s">
        <v>33</v>
      </c>
      <c r="P141" s="216"/>
      <c r="Q141" s="114">
        <f t="shared" si="12"/>
        <v>5600</v>
      </c>
      <c r="R141" s="114">
        <v>0</v>
      </c>
      <c r="S141" s="36">
        <f t="shared" si="13"/>
        <v>5600</v>
      </c>
      <c r="T141" s="2"/>
    </row>
    <row r="142" spans="1:20" ht="22.5" customHeight="1" x14ac:dyDescent="0.5">
      <c r="A142" s="23">
        <v>2</v>
      </c>
      <c r="B142" s="73" t="s">
        <v>287</v>
      </c>
      <c r="C142" s="25" t="s">
        <v>288</v>
      </c>
      <c r="D142" s="43">
        <v>5600</v>
      </c>
      <c r="E142" s="212"/>
      <c r="F142" s="212"/>
      <c r="G142" s="213"/>
      <c r="H142" s="219">
        <v>0</v>
      </c>
      <c r="I142" s="219">
        <v>0</v>
      </c>
      <c r="J142" s="219">
        <v>0</v>
      </c>
      <c r="K142" s="30" t="s">
        <v>1749</v>
      </c>
      <c r="L142" s="31" t="s">
        <v>1855</v>
      </c>
      <c r="M142" s="32">
        <v>5600</v>
      </c>
      <c r="N142" s="215"/>
      <c r="O142" s="215"/>
      <c r="P142" s="216"/>
      <c r="Q142" s="114">
        <f t="shared" si="12"/>
        <v>0</v>
      </c>
      <c r="R142" s="114">
        <v>0</v>
      </c>
      <c r="S142" s="36">
        <f t="shared" si="13"/>
        <v>0</v>
      </c>
      <c r="T142" s="2"/>
    </row>
    <row r="143" spans="1:20" ht="22.5" customHeight="1" x14ac:dyDescent="0.5">
      <c r="A143" s="23">
        <v>3</v>
      </c>
      <c r="B143" s="73" t="s">
        <v>290</v>
      </c>
      <c r="C143" s="25" t="s">
        <v>291</v>
      </c>
      <c r="D143" s="43">
        <v>5600</v>
      </c>
      <c r="E143" s="212"/>
      <c r="F143" s="212"/>
      <c r="G143" s="213"/>
      <c r="H143" s="219">
        <v>0</v>
      </c>
      <c r="I143" s="219">
        <v>0</v>
      </c>
      <c r="J143" s="219">
        <v>0</v>
      </c>
      <c r="K143" s="30" t="s">
        <v>1754</v>
      </c>
      <c r="L143" s="31" t="s">
        <v>1856</v>
      </c>
      <c r="M143" s="32">
        <v>5600</v>
      </c>
      <c r="N143" s="215"/>
      <c r="O143" s="215"/>
      <c r="P143" s="216"/>
      <c r="Q143" s="114">
        <f t="shared" si="12"/>
        <v>0</v>
      </c>
      <c r="R143" s="114">
        <v>0</v>
      </c>
      <c r="S143" s="36">
        <f t="shared" si="13"/>
        <v>0</v>
      </c>
      <c r="T143" s="2"/>
    </row>
    <row r="144" spans="1:20" ht="22.5" customHeight="1" x14ac:dyDescent="0.5">
      <c r="A144" s="23">
        <v>4</v>
      </c>
      <c r="B144" s="73" t="s">
        <v>293</v>
      </c>
      <c r="C144" s="25" t="s">
        <v>294</v>
      </c>
      <c r="D144" s="43">
        <v>2800</v>
      </c>
      <c r="E144" s="212"/>
      <c r="F144" s="212"/>
      <c r="G144" s="213"/>
      <c r="H144" s="219">
        <v>0</v>
      </c>
      <c r="I144" s="219">
        <v>0</v>
      </c>
      <c r="J144" s="219">
        <v>0</v>
      </c>
      <c r="K144" s="30" t="s">
        <v>1821</v>
      </c>
      <c r="L144" s="31" t="s">
        <v>1857</v>
      </c>
      <c r="M144" s="32">
        <v>2800</v>
      </c>
      <c r="N144" s="215"/>
      <c r="O144" s="215"/>
      <c r="P144" s="216"/>
      <c r="Q144" s="114">
        <f t="shared" si="12"/>
        <v>0</v>
      </c>
      <c r="R144" s="114">
        <v>0</v>
      </c>
      <c r="S144" s="36">
        <f t="shared" si="13"/>
        <v>0</v>
      </c>
      <c r="T144" s="2"/>
    </row>
    <row r="145" spans="1:21" ht="22.5" customHeight="1" x14ac:dyDescent="0.5">
      <c r="A145" s="23">
        <v>5</v>
      </c>
      <c r="B145" s="73" t="s">
        <v>296</v>
      </c>
      <c r="C145" s="25" t="s">
        <v>297</v>
      </c>
      <c r="D145" s="43">
        <v>5600</v>
      </c>
      <c r="E145" s="212"/>
      <c r="F145" s="212"/>
      <c r="G145" s="213"/>
      <c r="H145" s="219">
        <v>0</v>
      </c>
      <c r="I145" s="219">
        <v>0</v>
      </c>
      <c r="J145" s="219">
        <v>0</v>
      </c>
      <c r="K145" s="30" t="s">
        <v>1769</v>
      </c>
      <c r="L145" s="31" t="s">
        <v>1858</v>
      </c>
      <c r="M145" s="32">
        <v>5600</v>
      </c>
      <c r="N145" s="297"/>
      <c r="O145" s="297"/>
      <c r="P145" s="216"/>
      <c r="Q145" s="114">
        <f t="shared" si="12"/>
        <v>0</v>
      </c>
      <c r="R145" s="114">
        <v>0</v>
      </c>
      <c r="S145" s="36">
        <f t="shared" si="13"/>
        <v>0</v>
      </c>
      <c r="T145" s="2"/>
      <c r="U145" s="3">
        <v>700</v>
      </c>
    </row>
    <row r="146" spans="1:21" ht="22.5" customHeight="1" x14ac:dyDescent="0.5">
      <c r="A146" s="23"/>
      <c r="B146" s="301" t="s">
        <v>299</v>
      </c>
      <c r="C146" s="25"/>
      <c r="D146" s="43"/>
      <c r="E146" s="302"/>
      <c r="F146" s="302"/>
      <c r="G146" s="303"/>
      <c r="H146" s="304">
        <v>0</v>
      </c>
      <c r="I146" s="304">
        <v>0</v>
      </c>
      <c r="J146" s="304">
        <v>0</v>
      </c>
      <c r="K146" s="30"/>
      <c r="L146" s="31"/>
      <c r="M146" s="32"/>
      <c r="N146" s="297"/>
      <c r="O146" s="297"/>
      <c r="P146" s="216"/>
      <c r="Q146" s="114">
        <f t="shared" si="12"/>
        <v>0</v>
      </c>
      <c r="R146" s="114">
        <v>0</v>
      </c>
      <c r="S146" s="36">
        <f t="shared" si="13"/>
        <v>0</v>
      </c>
      <c r="T146" s="2"/>
    </row>
    <row r="147" spans="1:21" ht="22.5" customHeight="1" x14ac:dyDescent="0.5">
      <c r="A147" s="208">
        <v>1</v>
      </c>
      <c r="B147" s="209" t="s">
        <v>300</v>
      </c>
      <c r="C147" s="210" t="s">
        <v>301</v>
      </c>
      <c r="D147" s="298">
        <v>5600</v>
      </c>
      <c r="E147" s="299" t="s">
        <v>1561</v>
      </c>
      <c r="F147" s="299" t="s">
        <v>33</v>
      </c>
      <c r="G147" s="300" t="s">
        <v>33</v>
      </c>
      <c r="H147" s="214">
        <v>5600</v>
      </c>
      <c r="I147" s="214">
        <v>0</v>
      </c>
      <c r="J147" s="214">
        <v>5600</v>
      </c>
      <c r="K147" s="30" t="s">
        <v>1778</v>
      </c>
      <c r="L147" s="31" t="s">
        <v>1859</v>
      </c>
      <c r="M147" s="32">
        <v>5600</v>
      </c>
      <c r="N147" s="215" t="s">
        <v>1760</v>
      </c>
      <c r="O147" s="215" t="s">
        <v>33</v>
      </c>
      <c r="P147" s="216"/>
      <c r="Q147" s="114">
        <f t="shared" si="12"/>
        <v>5600</v>
      </c>
      <c r="R147" s="114">
        <v>0</v>
      </c>
      <c r="S147" s="36">
        <f t="shared" si="13"/>
        <v>5600</v>
      </c>
      <c r="T147" s="2"/>
    </row>
    <row r="148" spans="1:21" ht="22.5" customHeight="1" x14ac:dyDescent="0.5">
      <c r="A148" s="208">
        <v>2</v>
      </c>
      <c r="B148" s="209" t="s">
        <v>303</v>
      </c>
      <c r="C148" s="210" t="s">
        <v>304</v>
      </c>
      <c r="D148" s="298">
        <v>2800</v>
      </c>
      <c r="E148" s="299" t="s">
        <v>1561</v>
      </c>
      <c r="F148" s="299" t="s">
        <v>33</v>
      </c>
      <c r="G148" s="300" t="s">
        <v>33</v>
      </c>
      <c r="H148" s="214">
        <v>2800</v>
      </c>
      <c r="I148" s="214">
        <v>0</v>
      </c>
      <c r="J148" s="214">
        <v>2800</v>
      </c>
      <c r="K148" s="30" t="s">
        <v>1778</v>
      </c>
      <c r="L148" s="249" t="s">
        <v>1860</v>
      </c>
      <c r="M148" s="221">
        <v>2800</v>
      </c>
      <c r="N148" s="215" t="s">
        <v>1760</v>
      </c>
      <c r="O148" s="215" t="s">
        <v>33</v>
      </c>
      <c r="P148" s="216"/>
      <c r="Q148" s="114">
        <f t="shared" si="12"/>
        <v>2800</v>
      </c>
      <c r="R148" s="114">
        <v>0</v>
      </c>
      <c r="S148" s="36">
        <f t="shared" si="13"/>
        <v>2800</v>
      </c>
      <c r="T148" s="2"/>
    </row>
    <row r="149" spans="1:21" ht="22.5" customHeight="1" x14ac:dyDescent="0.5">
      <c r="A149" s="208">
        <v>3</v>
      </c>
      <c r="B149" s="209" t="s">
        <v>306</v>
      </c>
      <c r="C149" s="210" t="s">
        <v>307</v>
      </c>
      <c r="D149" s="298">
        <v>5600</v>
      </c>
      <c r="E149" s="299"/>
      <c r="F149" s="299"/>
      <c r="G149" s="300"/>
      <c r="H149" s="214">
        <v>0</v>
      </c>
      <c r="I149" s="214">
        <v>0</v>
      </c>
      <c r="J149" s="214">
        <v>0</v>
      </c>
      <c r="K149" s="30" t="s">
        <v>1769</v>
      </c>
      <c r="L149" s="31" t="s">
        <v>1858</v>
      </c>
      <c r="M149" s="32">
        <v>5600</v>
      </c>
      <c r="N149" s="215"/>
      <c r="O149" s="215"/>
      <c r="P149" s="216"/>
      <c r="Q149" s="114">
        <f t="shared" si="12"/>
        <v>0</v>
      </c>
      <c r="R149" s="114">
        <v>0</v>
      </c>
      <c r="S149" s="36">
        <f t="shared" si="13"/>
        <v>0</v>
      </c>
      <c r="T149" s="218"/>
      <c r="U149" s="309"/>
    </row>
    <row r="150" spans="1:21" ht="22.5" customHeight="1" x14ac:dyDescent="0.5">
      <c r="A150" s="208">
        <v>4</v>
      </c>
      <c r="B150" s="73" t="s">
        <v>308</v>
      </c>
      <c r="C150" s="25" t="s">
        <v>309</v>
      </c>
      <c r="D150" s="43">
        <v>8400</v>
      </c>
      <c r="E150" s="212"/>
      <c r="F150" s="212"/>
      <c r="G150" s="213"/>
      <c r="H150" s="219">
        <v>0</v>
      </c>
      <c r="I150" s="219">
        <v>0</v>
      </c>
      <c r="J150" s="219">
        <v>0</v>
      </c>
      <c r="K150" s="30"/>
      <c r="L150" s="31"/>
      <c r="M150" s="32"/>
      <c r="N150" s="215" t="s">
        <v>1760</v>
      </c>
      <c r="O150" s="215" t="s">
        <v>33</v>
      </c>
      <c r="P150" s="216"/>
      <c r="Q150" s="114">
        <f t="shared" si="12"/>
        <v>8400</v>
      </c>
      <c r="R150" s="114">
        <v>0</v>
      </c>
      <c r="S150" s="36">
        <f t="shared" si="13"/>
        <v>8400</v>
      </c>
    </row>
    <row r="151" spans="1:21" ht="22.5" customHeight="1" x14ac:dyDescent="0.5">
      <c r="A151" s="208">
        <v>5</v>
      </c>
      <c r="B151" s="73" t="s">
        <v>261</v>
      </c>
      <c r="C151" s="25" t="s">
        <v>311</v>
      </c>
      <c r="D151" s="43">
        <v>2800</v>
      </c>
      <c r="E151" s="212" t="s">
        <v>1561</v>
      </c>
      <c r="F151" s="212" t="s">
        <v>33</v>
      </c>
      <c r="G151" s="213" t="s">
        <v>33</v>
      </c>
      <c r="H151" s="219">
        <v>2800</v>
      </c>
      <c r="I151" s="219">
        <v>0</v>
      </c>
      <c r="J151" s="219">
        <v>2800</v>
      </c>
      <c r="K151" s="30" t="s">
        <v>1763</v>
      </c>
      <c r="L151" s="31" t="s">
        <v>1848</v>
      </c>
      <c r="M151" s="32">
        <v>5600</v>
      </c>
      <c r="N151" s="215"/>
      <c r="O151" s="215"/>
      <c r="P151" s="216"/>
      <c r="Q151" s="114">
        <f t="shared" si="12"/>
        <v>0</v>
      </c>
      <c r="R151" s="114">
        <v>0</v>
      </c>
      <c r="S151" s="36">
        <f t="shared" si="13"/>
        <v>0</v>
      </c>
    </row>
    <row r="152" spans="1:21" ht="22.5" customHeight="1" x14ac:dyDescent="0.5">
      <c r="A152" s="148">
        <v>6</v>
      </c>
      <c r="B152" s="310" t="s">
        <v>261</v>
      </c>
      <c r="C152" s="311" t="s">
        <v>312</v>
      </c>
      <c r="D152" s="312">
        <v>2800</v>
      </c>
      <c r="E152" s="27" t="s">
        <v>1561</v>
      </c>
      <c r="F152" s="27" t="s">
        <v>33</v>
      </c>
      <c r="G152" s="75" t="s">
        <v>33</v>
      </c>
      <c r="H152" s="76">
        <v>2800</v>
      </c>
      <c r="I152" s="76">
        <v>0</v>
      </c>
      <c r="J152" s="76">
        <v>2800</v>
      </c>
      <c r="K152" s="30" t="s">
        <v>1763</v>
      </c>
      <c r="L152" s="31" t="s">
        <v>1848</v>
      </c>
      <c r="M152" s="32">
        <v>5600</v>
      </c>
      <c r="N152" s="215"/>
      <c r="O152" s="215"/>
      <c r="P152" s="216"/>
      <c r="Q152" s="114">
        <f t="shared" si="12"/>
        <v>0</v>
      </c>
      <c r="R152" s="114">
        <v>0</v>
      </c>
      <c r="S152" s="36">
        <f t="shared" si="13"/>
        <v>0</v>
      </c>
    </row>
    <row r="153" spans="1:21" ht="22.5" customHeight="1" x14ac:dyDescent="0.5">
      <c r="A153" s="208">
        <v>7</v>
      </c>
      <c r="B153" s="73" t="s">
        <v>313</v>
      </c>
      <c r="C153" s="25" t="s">
        <v>314</v>
      </c>
      <c r="D153" s="43">
        <v>2800</v>
      </c>
      <c r="E153" s="212" t="s">
        <v>1561</v>
      </c>
      <c r="F153" s="212" t="s">
        <v>33</v>
      </c>
      <c r="G153" s="213" t="s">
        <v>33</v>
      </c>
      <c r="H153" s="219">
        <v>2800</v>
      </c>
      <c r="I153" s="219">
        <v>0</v>
      </c>
      <c r="J153" s="219">
        <v>2800</v>
      </c>
      <c r="K153" s="30" t="s">
        <v>1844</v>
      </c>
      <c r="L153" s="31" t="s">
        <v>1861</v>
      </c>
      <c r="M153" s="32">
        <v>5600</v>
      </c>
      <c r="N153" s="215"/>
      <c r="O153" s="215"/>
      <c r="P153" s="216"/>
      <c r="Q153" s="114">
        <f t="shared" si="12"/>
        <v>0</v>
      </c>
      <c r="R153" s="114">
        <v>0</v>
      </c>
      <c r="S153" s="36">
        <f t="shared" si="13"/>
        <v>0</v>
      </c>
    </row>
    <row r="154" spans="1:21" ht="22.5" customHeight="1" x14ac:dyDescent="0.5">
      <c r="A154" s="23"/>
      <c r="B154" s="301" t="s">
        <v>315</v>
      </c>
      <c r="C154" s="25"/>
      <c r="D154" s="43"/>
      <c r="E154" s="302"/>
      <c r="F154" s="302"/>
      <c r="G154" s="303"/>
      <c r="H154" s="304">
        <v>0</v>
      </c>
      <c r="I154" s="304">
        <v>0</v>
      </c>
      <c r="J154" s="304">
        <v>0</v>
      </c>
      <c r="K154" s="30"/>
      <c r="L154" s="31"/>
      <c r="M154" s="32"/>
      <c r="N154" s="297"/>
      <c r="O154" s="297"/>
      <c r="P154" s="216"/>
      <c r="Q154" s="114">
        <f t="shared" si="12"/>
        <v>0</v>
      </c>
      <c r="R154" s="114">
        <v>0</v>
      </c>
      <c r="S154" s="36">
        <f t="shared" si="13"/>
        <v>0</v>
      </c>
    </row>
    <row r="155" spans="1:21" ht="22.5" customHeight="1" x14ac:dyDescent="0.5">
      <c r="A155" s="23">
        <v>1</v>
      </c>
      <c r="B155" s="73" t="s">
        <v>261</v>
      </c>
      <c r="C155" s="25" t="s">
        <v>316</v>
      </c>
      <c r="D155" s="43">
        <v>2800</v>
      </c>
      <c r="E155" s="212" t="s">
        <v>1561</v>
      </c>
      <c r="F155" s="212" t="s">
        <v>33</v>
      </c>
      <c r="G155" s="213" t="s">
        <v>33</v>
      </c>
      <c r="H155" s="219">
        <v>2800</v>
      </c>
      <c r="I155" s="219">
        <v>0</v>
      </c>
      <c r="J155" s="219">
        <v>2800</v>
      </c>
      <c r="K155" s="30" t="s">
        <v>1763</v>
      </c>
      <c r="L155" s="31" t="s">
        <v>1848</v>
      </c>
      <c r="M155" s="32">
        <v>5600</v>
      </c>
      <c r="N155" s="215"/>
      <c r="O155" s="215"/>
      <c r="P155" s="216"/>
      <c r="Q155" s="114">
        <f t="shared" si="12"/>
        <v>0</v>
      </c>
      <c r="R155" s="114">
        <v>0</v>
      </c>
      <c r="S155" s="36">
        <f t="shared" si="13"/>
        <v>0</v>
      </c>
    </row>
    <row r="156" spans="1:21" ht="22.5" customHeight="1" x14ac:dyDescent="0.5">
      <c r="A156" s="23">
        <v>2</v>
      </c>
      <c r="B156" s="73" t="s">
        <v>317</v>
      </c>
      <c r="C156" s="25" t="s">
        <v>318</v>
      </c>
      <c r="D156" s="43">
        <v>2800</v>
      </c>
      <c r="E156" s="212"/>
      <c r="F156" s="212"/>
      <c r="G156" s="213"/>
      <c r="H156" s="313">
        <v>0</v>
      </c>
      <c r="I156" s="219">
        <v>0</v>
      </c>
      <c r="J156" s="313">
        <v>0</v>
      </c>
      <c r="K156" s="30" t="s">
        <v>1821</v>
      </c>
      <c r="L156" s="31" t="s">
        <v>1862</v>
      </c>
      <c r="M156" s="32">
        <v>5600</v>
      </c>
      <c r="N156" s="307" t="s">
        <v>1150</v>
      </c>
      <c r="O156" s="307"/>
      <c r="P156" s="307"/>
      <c r="Q156" s="114">
        <f t="shared" si="12"/>
        <v>-2800</v>
      </c>
      <c r="R156" s="114">
        <v>0</v>
      </c>
      <c r="S156" s="36">
        <f t="shared" si="13"/>
        <v>-2800</v>
      </c>
    </row>
    <row r="157" spans="1:21" ht="22.5" customHeight="1" x14ac:dyDescent="0.5">
      <c r="A157" s="23">
        <v>3</v>
      </c>
      <c r="B157" s="73" t="s">
        <v>320</v>
      </c>
      <c r="C157" s="25" t="s">
        <v>321</v>
      </c>
      <c r="D157" s="43">
        <v>2800</v>
      </c>
      <c r="E157" s="212"/>
      <c r="F157" s="212"/>
      <c r="G157" s="213"/>
      <c r="H157" s="219">
        <v>0</v>
      </c>
      <c r="I157" s="219">
        <v>0</v>
      </c>
      <c r="J157" s="219">
        <v>0</v>
      </c>
      <c r="K157" s="30" t="s">
        <v>1804</v>
      </c>
      <c r="L157" s="31" t="s">
        <v>1863</v>
      </c>
      <c r="M157" s="32">
        <v>2800</v>
      </c>
      <c r="N157" s="307"/>
      <c r="O157" s="307"/>
      <c r="P157" s="308"/>
      <c r="Q157" s="114">
        <f t="shared" si="12"/>
        <v>0</v>
      </c>
      <c r="R157" s="114">
        <v>0</v>
      </c>
      <c r="S157" s="36">
        <f t="shared" si="13"/>
        <v>0</v>
      </c>
    </row>
    <row r="158" spans="1:21" ht="22.5" customHeight="1" x14ac:dyDescent="0.5">
      <c r="A158" s="23">
        <v>4</v>
      </c>
      <c r="B158" s="73" t="s">
        <v>322</v>
      </c>
      <c r="C158" s="25" t="s">
        <v>323</v>
      </c>
      <c r="D158" s="43">
        <v>5600</v>
      </c>
      <c r="E158" s="212" t="s">
        <v>1034</v>
      </c>
      <c r="F158" s="212"/>
      <c r="G158" s="213"/>
      <c r="H158" s="219">
        <v>-11200</v>
      </c>
      <c r="I158" s="219">
        <v>0</v>
      </c>
      <c r="J158" s="219">
        <v>-11200</v>
      </c>
      <c r="K158" s="30" t="s">
        <v>1804</v>
      </c>
      <c r="L158" s="31" t="s">
        <v>1864</v>
      </c>
      <c r="M158" s="32">
        <v>5600</v>
      </c>
      <c r="N158" s="314" t="s">
        <v>1034</v>
      </c>
      <c r="O158" s="315"/>
      <c r="P158" s="315"/>
      <c r="Q158" s="114">
        <f t="shared" si="12"/>
        <v>-11200</v>
      </c>
      <c r="R158" s="114">
        <v>0</v>
      </c>
      <c r="S158" s="36">
        <f>SUM(Q158)</f>
        <v>-11200</v>
      </c>
    </row>
    <row r="159" spans="1:21" ht="22.5" customHeight="1" x14ac:dyDescent="0.5">
      <c r="A159" s="23">
        <v>5</v>
      </c>
      <c r="B159" s="73" t="s">
        <v>293</v>
      </c>
      <c r="C159" s="25" t="s">
        <v>326</v>
      </c>
      <c r="D159" s="43">
        <v>5600</v>
      </c>
      <c r="E159" s="212"/>
      <c r="F159" s="212"/>
      <c r="G159" s="213"/>
      <c r="H159" s="219">
        <v>0</v>
      </c>
      <c r="I159" s="219">
        <v>0</v>
      </c>
      <c r="J159" s="219">
        <v>0</v>
      </c>
      <c r="K159" s="30" t="s">
        <v>1821</v>
      </c>
      <c r="L159" s="31" t="s">
        <v>1857</v>
      </c>
      <c r="M159" s="32">
        <v>5600</v>
      </c>
      <c r="N159" s="215"/>
      <c r="O159" s="215"/>
      <c r="P159" s="216"/>
      <c r="Q159" s="114">
        <f t="shared" si="12"/>
        <v>0</v>
      </c>
      <c r="R159" s="114">
        <v>0</v>
      </c>
      <c r="S159" s="36">
        <f t="shared" si="13"/>
        <v>0</v>
      </c>
    </row>
    <row r="160" spans="1:21" ht="22.5" customHeight="1" x14ac:dyDescent="0.5">
      <c r="A160" s="23">
        <v>6</v>
      </c>
      <c r="B160" s="73" t="s">
        <v>293</v>
      </c>
      <c r="C160" s="25" t="s">
        <v>327</v>
      </c>
      <c r="D160" s="43">
        <v>5600</v>
      </c>
      <c r="E160" s="212"/>
      <c r="F160" s="212"/>
      <c r="G160" s="213"/>
      <c r="H160" s="219">
        <v>0</v>
      </c>
      <c r="I160" s="219">
        <v>0</v>
      </c>
      <c r="J160" s="219">
        <v>0</v>
      </c>
      <c r="K160" s="30" t="s">
        <v>1821</v>
      </c>
      <c r="L160" s="31" t="s">
        <v>1857</v>
      </c>
      <c r="M160" s="32">
        <v>5600</v>
      </c>
      <c r="N160" s="215"/>
      <c r="O160" s="215"/>
      <c r="P160" s="216"/>
      <c r="Q160" s="114">
        <f t="shared" si="12"/>
        <v>0</v>
      </c>
      <c r="R160" s="114">
        <v>0</v>
      </c>
      <c r="S160" s="36">
        <f t="shared" si="13"/>
        <v>0</v>
      </c>
    </row>
    <row r="161" spans="1:19" s="60" customFormat="1" ht="22.5" customHeight="1" thickBot="1" x14ac:dyDescent="0.35">
      <c r="A161" s="317"/>
      <c r="B161" s="317" t="s">
        <v>15</v>
      </c>
      <c r="C161" s="318"/>
      <c r="D161" s="319">
        <f>SUM(D120:D160)</f>
        <v>222950</v>
      </c>
      <c r="E161" s="320"/>
      <c r="F161" s="320"/>
      <c r="G161" s="321"/>
      <c r="H161" s="319">
        <f>SUM(H120:H160)-H158-H156</f>
        <v>112000</v>
      </c>
      <c r="I161" s="319">
        <f t="shared" ref="I161:J161" si="14">SUM(I120:I160)-I158-I156</f>
        <v>0</v>
      </c>
      <c r="J161" s="319">
        <f t="shared" si="14"/>
        <v>112000</v>
      </c>
      <c r="K161" s="322"/>
      <c r="L161" s="322"/>
      <c r="M161" s="1004">
        <f>SUM(M120:M160)</f>
        <v>264950</v>
      </c>
      <c r="N161" s="324"/>
      <c r="O161" s="324"/>
      <c r="P161" s="325"/>
      <c r="Q161" s="323">
        <f>SUM(Q120:Q160)-Q158-Q156</f>
        <v>72800</v>
      </c>
      <c r="R161" s="323">
        <f t="shared" ref="R161" si="15">SUM(R120:R160)-R158-R156</f>
        <v>0</v>
      </c>
      <c r="S161" s="323">
        <f>SUM(S120:S160)-S158-S156</f>
        <v>72800</v>
      </c>
    </row>
    <row r="162" spans="1:19" ht="22.5" customHeight="1" thickTop="1" x14ac:dyDescent="0.5">
      <c r="A162" s="61"/>
      <c r="B162" s="327" t="s">
        <v>328</v>
      </c>
      <c r="C162" s="63"/>
      <c r="D162" s="64"/>
      <c r="E162" s="65"/>
      <c r="F162" s="65"/>
      <c r="G162" s="66"/>
      <c r="H162" s="67"/>
      <c r="I162" s="67"/>
      <c r="J162" s="67"/>
      <c r="K162" s="286"/>
      <c r="L162" s="286"/>
      <c r="M162" s="328"/>
      <c r="N162" s="69"/>
      <c r="O162" s="69"/>
      <c r="P162" s="70"/>
      <c r="Q162" s="71"/>
      <c r="R162" s="71"/>
      <c r="S162" s="72"/>
    </row>
    <row r="163" spans="1:19" ht="22.5" customHeight="1" x14ac:dyDescent="0.5">
      <c r="A163" s="23">
        <v>1</v>
      </c>
      <c r="B163" s="24" t="s">
        <v>329</v>
      </c>
      <c r="C163" s="25" t="s">
        <v>330</v>
      </c>
      <c r="D163" s="43">
        <v>130536.37</v>
      </c>
      <c r="E163" s="212"/>
      <c r="F163" s="212"/>
      <c r="G163" s="213"/>
      <c r="H163" s="219">
        <v>0</v>
      </c>
      <c r="I163" s="329">
        <v>0</v>
      </c>
      <c r="J163" s="329">
        <v>0</v>
      </c>
      <c r="K163" s="30" t="s">
        <v>1758</v>
      </c>
      <c r="L163" s="31" t="s">
        <v>1865</v>
      </c>
      <c r="M163" s="32">
        <v>130536.37</v>
      </c>
      <c r="N163" s="41"/>
      <c r="O163" s="41"/>
      <c r="P163" s="34"/>
      <c r="Q163" s="330">
        <f>SUM(D163+J163-M163)</f>
        <v>0</v>
      </c>
      <c r="R163" s="330">
        <v>0</v>
      </c>
      <c r="S163" s="36">
        <f>SUM(D163+J163-M163)</f>
        <v>0</v>
      </c>
    </row>
    <row r="164" spans="1:19" ht="22.5" customHeight="1" x14ac:dyDescent="0.5">
      <c r="A164" s="23">
        <v>2</v>
      </c>
      <c r="B164" s="24" t="s">
        <v>329</v>
      </c>
      <c r="C164" s="25" t="s">
        <v>331</v>
      </c>
      <c r="D164" s="64">
        <v>96520.67</v>
      </c>
      <c r="E164" s="212"/>
      <c r="F164" s="212"/>
      <c r="G164" s="213"/>
      <c r="H164" s="219">
        <v>0</v>
      </c>
      <c r="I164" s="329">
        <v>0</v>
      </c>
      <c r="J164" s="329">
        <v>0</v>
      </c>
      <c r="K164" s="30" t="s">
        <v>1758</v>
      </c>
      <c r="L164" s="31" t="s">
        <v>1866</v>
      </c>
      <c r="M164" s="32">
        <v>96520.67</v>
      </c>
      <c r="N164" s="41"/>
      <c r="O164" s="41"/>
      <c r="P164" s="34"/>
      <c r="Q164" s="330">
        <f t="shared" ref="Q164:Q170" si="16">SUM(D164+J164-M164)</f>
        <v>0</v>
      </c>
      <c r="R164" s="330">
        <v>0</v>
      </c>
      <c r="S164" s="36">
        <f t="shared" ref="S164:S170" si="17">SUM(D164+J164-M164)</f>
        <v>0</v>
      </c>
    </row>
    <row r="165" spans="1:19" ht="22.5" customHeight="1" x14ac:dyDescent="0.5">
      <c r="A165" s="23">
        <v>3</v>
      </c>
      <c r="B165" s="24" t="s">
        <v>332</v>
      </c>
      <c r="C165" s="25" t="s">
        <v>333</v>
      </c>
      <c r="D165" s="43">
        <v>63810</v>
      </c>
      <c r="E165" s="212"/>
      <c r="F165" s="212"/>
      <c r="G165" s="213"/>
      <c r="H165" s="329">
        <v>0</v>
      </c>
      <c r="I165" s="329">
        <v>0</v>
      </c>
      <c r="J165" s="329">
        <v>0</v>
      </c>
      <c r="K165" s="30" t="s">
        <v>1788</v>
      </c>
      <c r="L165" s="31" t="s">
        <v>1867</v>
      </c>
      <c r="M165" s="32">
        <v>63810</v>
      </c>
      <c r="N165" s="41"/>
      <c r="O165" s="41"/>
      <c r="P165" s="34"/>
      <c r="Q165" s="330">
        <f t="shared" si="16"/>
        <v>0</v>
      </c>
      <c r="R165" s="330">
        <v>0</v>
      </c>
      <c r="S165" s="36">
        <f t="shared" si="17"/>
        <v>0</v>
      </c>
    </row>
    <row r="166" spans="1:19" ht="22.5" customHeight="1" x14ac:dyDescent="0.5">
      <c r="A166" s="331">
        <v>4</v>
      </c>
      <c r="B166" s="332" t="s">
        <v>335</v>
      </c>
      <c r="C166" s="81" t="s">
        <v>336</v>
      </c>
      <c r="D166" s="333">
        <v>60170</v>
      </c>
      <c r="E166" s="234"/>
      <c r="F166" s="234"/>
      <c r="G166" s="228"/>
      <c r="H166" s="334">
        <v>0</v>
      </c>
      <c r="I166" s="334">
        <v>0</v>
      </c>
      <c r="J166" s="334">
        <v>0</v>
      </c>
      <c r="K166" s="335" t="s">
        <v>1814</v>
      </c>
      <c r="L166" s="336" t="s">
        <v>1868</v>
      </c>
      <c r="M166" s="337">
        <v>60170</v>
      </c>
      <c r="N166" s="338"/>
      <c r="O166" s="338"/>
      <c r="P166" s="112"/>
      <c r="Q166" s="330">
        <f t="shared" si="16"/>
        <v>0</v>
      </c>
      <c r="R166" s="339">
        <v>0</v>
      </c>
      <c r="S166" s="36">
        <f t="shared" si="17"/>
        <v>0</v>
      </c>
    </row>
    <row r="167" spans="1:19" ht="22.5" customHeight="1" x14ac:dyDescent="0.5">
      <c r="A167" s="23">
        <v>5</v>
      </c>
      <c r="B167" s="24" t="s">
        <v>338</v>
      </c>
      <c r="C167" s="25" t="s">
        <v>339</v>
      </c>
      <c r="D167" s="341">
        <v>23527.65</v>
      </c>
      <c r="E167" s="212"/>
      <c r="F167" s="212"/>
      <c r="G167" s="213"/>
      <c r="H167" s="219">
        <v>0</v>
      </c>
      <c r="I167" s="329">
        <v>0</v>
      </c>
      <c r="J167" s="329">
        <v>0</v>
      </c>
      <c r="K167" s="335" t="s">
        <v>1758</v>
      </c>
      <c r="L167" s="336" t="s">
        <v>1869</v>
      </c>
      <c r="M167" s="342">
        <v>23527.65</v>
      </c>
      <c r="N167" s="41"/>
      <c r="O167" s="41"/>
      <c r="P167" s="34"/>
      <c r="Q167" s="330">
        <f t="shared" si="16"/>
        <v>0</v>
      </c>
      <c r="R167" s="330">
        <v>0</v>
      </c>
      <c r="S167" s="36">
        <f t="shared" si="17"/>
        <v>0</v>
      </c>
    </row>
    <row r="168" spans="1:19" ht="22.5" customHeight="1" x14ac:dyDescent="0.5">
      <c r="A168" s="61">
        <v>6</v>
      </c>
      <c r="B168" s="343" t="s">
        <v>341</v>
      </c>
      <c r="C168" s="165" t="s">
        <v>342</v>
      </c>
      <c r="D168" s="344">
        <v>20715.32</v>
      </c>
      <c r="E168" s="167" t="s">
        <v>1738</v>
      </c>
      <c r="F168" s="167"/>
      <c r="G168" s="213"/>
      <c r="H168" s="219">
        <v>-434.20999999999913</v>
      </c>
      <c r="I168" s="329">
        <v>0</v>
      </c>
      <c r="J168" s="329">
        <v>-434.20999999999913</v>
      </c>
      <c r="K168" s="345" t="s">
        <v>1751</v>
      </c>
      <c r="L168" s="346" t="s">
        <v>1870</v>
      </c>
      <c r="M168" s="347">
        <v>20281.11</v>
      </c>
      <c r="N168" s="41"/>
      <c r="O168" s="41"/>
      <c r="P168" s="34"/>
      <c r="Q168" s="330">
        <f t="shared" si="16"/>
        <v>0</v>
      </c>
      <c r="R168" s="330">
        <v>0</v>
      </c>
      <c r="S168" s="36">
        <f t="shared" si="17"/>
        <v>0</v>
      </c>
    </row>
    <row r="169" spans="1:19" ht="22.5" customHeight="1" x14ac:dyDescent="0.5">
      <c r="A169" s="331">
        <v>7</v>
      </c>
      <c r="B169" s="332" t="s">
        <v>344</v>
      </c>
      <c r="C169" s="81" t="s">
        <v>345</v>
      </c>
      <c r="D169" s="348">
        <v>21986</v>
      </c>
      <c r="E169" s="349"/>
      <c r="F169" s="886"/>
      <c r="G169" s="213"/>
      <c r="H169" s="219">
        <v>0</v>
      </c>
      <c r="I169" s="329">
        <v>0</v>
      </c>
      <c r="J169" s="329">
        <v>0</v>
      </c>
      <c r="K169" s="182" t="s">
        <v>1751</v>
      </c>
      <c r="L169" s="350" t="s">
        <v>1871</v>
      </c>
      <c r="M169" s="337">
        <v>21986</v>
      </c>
      <c r="N169" s="41"/>
      <c r="O169" s="41"/>
      <c r="P169" s="34"/>
      <c r="Q169" s="330">
        <f t="shared" si="16"/>
        <v>0</v>
      </c>
      <c r="R169" s="339">
        <v>0</v>
      </c>
      <c r="S169" s="36">
        <f t="shared" si="17"/>
        <v>0</v>
      </c>
    </row>
    <row r="170" spans="1:19" s="356" customFormat="1" ht="22.5" customHeight="1" x14ac:dyDescent="0.5">
      <c r="A170" s="253">
        <v>8</v>
      </c>
      <c r="B170" s="24" t="s">
        <v>347</v>
      </c>
      <c r="C170" s="351" t="s">
        <v>348</v>
      </c>
      <c r="D170" s="352">
        <v>20000</v>
      </c>
      <c r="E170" s="353"/>
      <c r="F170" s="887"/>
      <c r="G170" s="228"/>
      <c r="H170" s="329">
        <v>0</v>
      </c>
      <c r="I170" s="329">
        <v>0</v>
      </c>
      <c r="J170" s="329">
        <v>0</v>
      </c>
      <c r="K170" s="30" t="s">
        <v>1769</v>
      </c>
      <c r="L170" s="31" t="s">
        <v>1872</v>
      </c>
      <c r="M170" s="32">
        <v>20000</v>
      </c>
      <c r="N170" s="354"/>
      <c r="O170" s="354"/>
      <c r="P170" s="355"/>
      <c r="Q170" s="330">
        <f t="shared" si="16"/>
        <v>0</v>
      </c>
      <c r="R170" s="330">
        <v>0</v>
      </c>
      <c r="S170" s="36">
        <f t="shared" si="17"/>
        <v>0</v>
      </c>
    </row>
    <row r="171" spans="1:19" s="60" customFormat="1" ht="22.5" customHeight="1" thickBot="1" x14ac:dyDescent="0.35">
      <c r="A171" s="317"/>
      <c r="B171" s="317" t="s">
        <v>15</v>
      </c>
      <c r="C171" s="357"/>
      <c r="D171" s="358">
        <f>SUM(D163:D170)</f>
        <v>437266.01</v>
      </c>
      <c r="E171" s="320"/>
      <c r="F171" s="320"/>
      <c r="G171" s="321"/>
      <c r="H171" s="359">
        <f>SUM(H163:H170)-H168</f>
        <v>0</v>
      </c>
      <c r="I171" s="359">
        <f t="shared" ref="I171:J171" si="18">SUM(I163:I170)-I168</f>
        <v>0</v>
      </c>
      <c r="J171" s="359">
        <f t="shared" si="18"/>
        <v>0</v>
      </c>
      <c r="K171" s="360"/>
      <c r="L171" s="361"/>
      <c r="M171" s="1005">
        <f>SUM(M163:M170)</f>
        <v>436831.8</v>
      </c>
      <c r="N171" s="362"/>
      <c r="O171" s="362"/>
      <c r="P171" s="363"/>
      <c r="Q171" s="364">
        <f>SUM(Q163:Q170)</f>
        <v>0</v>
      </c>
      <c r="R171" s="364">
        <f t="shared" ref="R171:S171" si="19">SUM(R163:R170)</f>
        <v>0</v>
      </c>
      <c r="S171" s="364">
        <f t="shared" si="19"/>
        <v>0</v>
      </c>
    </row>
    <row r="172" spans="1:19" ht="22.5" customHeight="1" thickTop="1" x14ac:dyDescent="0.3">
      <c r="A172" s="115"/>
      <c r="B172" s="164" t="s">
        <v>350</v>
      </c>
      <c r="C172" s="366"/>
      <c r="D172" s="86"/>
      <c r="E172" s="167"/>
      <c r="F172" s="167"/>
      <c r="G172" s="168"/>
      <c r="H172" s="255"/>
      <c r="I172" s="255"/>
      <c r="J172" s="255"/>
      <c r="K172" s="367"/>
      <c r="L172" s="368"/>
      <c r="M172" s="369"/>
      <c r="N172" s="117"/>
      <c r="O172" s="117"/>
      <c r="P172" s="118"/>
      <c r="Q172" s="172"/>
      <c r="R172" s="172"/>
      <c r="S172" s="370"/>
    </row>
    <row r="173" spans="1:19" ht="22.5" customHeight="1" x14ac:dyDescent="0.5">
      <c r="A173" s="23">
        <v>1</v>
      </c>
      <c r="B173" s="290" t="s">
        <v>147</v>
      </c>
      <c r="C173" s="371" t="s">
        <v>351</v>
      </c>
      <c r="D173" s="43">
        <v>1400</v>
      </c>
      <c r="E173" s="212"/>
      <c r="F173" s="212"/>
      <c r="G173" s="213"/>
      <c r="H173" s="219">
        <v>0</v>
      </c>
      <c r="I173" s="219">
        <v>0</v>
      </c>
      <c r="J173" s="219">
        <v>0</v>
      </c>
      <c r="K173" s="30" t="s">
        <v>1788</v>
      </c>
      <c r="L173" s="220" t="s">
        <v>1873</v>
      </c>
      <c r="M173" s="221">
        <v>1400</v>
      </c>
      <c r="N173" s="372"/>
      <c r="O173" s="372"/>
      <c r="P173" s="373"/>
      <c r="Q173" s="114">
        <f t="shared" ref="Q173:Q178" si="20">SUM(D173+J173-M173)</f>
        <v>0</v>
      </c>
      <c r="R173" s="114">
        <v>0</v>
      </c>
      <c r="S173" s="36">
        <f t="shared" ref="S173:S178" si="21">SUM(Q173)</f>
        <v>0</v>
      </c>
    </row>
    <row r="174" spans="1:19" ht="22.5" customHeight="1" x14ac:dyDescent="0.5">
      <c r="A174" s="23">
        <v>2</v>
      </c>
      <c r="B174" s="290" t="s">
        <v>353</v>
      </c>
      <c r="C174" s="371" t="s">
        <v>354</v>
      </c>
      <c r="D174" s="43">
        <v>11000</v>
      </c>
      <c r="E174" s="212"/>
      <c r="F174" s="212"/>
      <c r="G174" s="213"/>
      <c r="H174" s="219">
        <v>0</v>
      </c>
      <c r="I174" s="219">
        <v>0</v>
      </c>
      <c r="J174" s="219">
        <v>0</v>
      </c>
      <c r="K174" s="30"/>
      <c r="L174" s="220"/>
      <c r="M174" s="221"/>
      <c r="N174" s="215" t="s">
        <v>1760</v>
      </c>
      <c r="O174" s="215" t="s">
        <v>33</v>
      </c>
      <c r="P174" s="216" t="s">
        <v>33</v>
      </c>
      <c r="Q174" s="114">
        <f t="shared" si="20"/>
        <v>11000</v>
      </c>
      <c r="R174" s="114">
        <v>0</v>
      </c>
      <c r="S174" s="36">
        <f t="shared" si="21"/>
        <v>11000</v>
      </c>
    </row>
    <row r="175" spans="1:19" ht="22.5" customHeight="1" x14ac:dyDescent="0.5">
      <c r="A175" s="23">
        <v>3</v>
      </c>
      <c r="B175" s="290" t="s">
        <v>355</v>
      </c>
      <c r="C175" s="371" t="s">
        <v>356</v>
      </c>
      <c r="D175" s="43">
        <v>9400</v>
      </c>
      <c r="E175" s="212" t="s">
        <v>1561</v>
      </c>
      <c r="F175" s="212" t="s">
        <v>33</v>
      </c>
      <c r="G175" s="213" t="s">
        <v>33</v>
      </c>
      <c r="H175" s="219">
        <v>9400</v>
      </c>
      <c r="I175" s="219">
        <v>0</v>
      </c>
      <c r="J175" s="219">
        <v>9400</v>
      </c>
      <c r="K175" s="30" t="s">
        <v>1769</v>
      </c>
      <c r="L175" s="220" t="s">
        <v>1874</v>
      </c>
      <c r="M175" s="221">
        <v>9400</v>
      </c>
      <c r="N175" s="215" t="s">
        <v>1760</v>
      </c>
      <c r="O175" s="215" t="s">
        <v>33</v>
      </c>
      <c r="P175" s="216" t="s">
        <v>33</v>
      </c>
      <c r="Q175" s="114">
        <f t="shared" si="20"/>
        <v>9400</v>
      </c>
      <c r="R175" s="114">
        <v>0</v>
      </c>
      <c r="S175" s="36">
        <f t="shared" si="21"/>
        <v>9400</v>
      </c>
    </row>
    <row r="176" spans="1:19" ht="22.5" customHeight="1" x14ac:dyDescent="0.5">
      <c r="A176" s="331">
        <v>5</v>
      </c>
      <c r="B176" s="374" t="s">
        <v>358</v>
      </c>
      <c r="C176" s="375" t="s">
        <v>356</v>
      </c>
      <c r="D176" s="79">
        <v>9810</v>
      </c>
      <c r="E176" s="234" t="s">
        <v>1681</v>
      </c>
      <c r="F176" s="234" t="s">
        <v>115</v>
      </c>
      <c r="G176" s="228" t="s">
        <v>115</v>
      </c>
      <c r="H176" s="219">
        <v>19620</v>
      </c>
      <c r="I176" s="219">
        <v>0</v>
      </c>
      <c r="J176" s="219">
        <v>19620</v>
      </c>
      <c r="K176" s="38" t="s">
        <v>1875</v>
      </c>
      <c r="L176" s="376" t="s">
        <v>1876</v>
      </c>
      <c r="M176" s="246">
        <v>19620</v>
      </c>
      <c r="N176" s="215" t="s">
        <v>1760</v>
      </c>
      <c r="O176" s="937" t="s">
        <v>33</v>
      </c>
      <c r="P176" s="216" t="s">
        <v>33</v>
      </c>
      <c r="Q176" s="114">
        <f t="shared" si="20"/>
        <v>9810</v>
      </c>
      <c r="R176" s="114">
        <v>0</v>
      </c>
      <c r="S176" s="36">
        <f t="shared" si="21"/>
        <v>9810</v>
      </c>
    </row>
    <row r="177" spans="1:19" ht="22.5" customHeight="1" x14ac:dyDescent="0.5">
      <c r="A177" s="377">
        <v>6</v>
      </c>
      <c r="B177" s="378" t="s">
        <v>359</v>
      </c>
      <c r="C177" s="311" t="s">
        <v>360</v>
      </c>
      <c r="D177" s="379">
        <v>6000</v>
      </c>
      <c r="E177" s="380"/>
      <c r="F177" s="380"/>
      <c r="G177" s="75"/>
      <c r="H177" s="76">
        <v>0</v>
      </c>
      <c r="I177" s="219">
        <v>0</v>
      </c>
      <c r="J177" s="76">
        <v>0</v>
      </c>
      <c r="K177" s="38" t="s">
        <v>1788</v>
      </c>
      <c r="L177" s="376" t="s">
        <v>1877</v>
      </c>
      <c r="M177" s="246">
        <v>6000</v>
      </c>
      <c r="N177" s="247"/>
      <c r="O177" s="247"/>
      <c r="P177" s="248"/>
      <c r="Q177" s="114">
        <f t="shared" si="20"/>
        <v>0</v>
      </c>
      <c r="R177" s="114">
        <v>0</v>
      </c>
      <c r="S177" s="36">
        <f t="shared" si="21"/>
        <v>0</v>
      </c>
    </row>
    <row r="178" spans="1:19" ht="22.5" customHeight="1" x14ac:dyDescent="0.5">
      <c r="A178" s="381">
        <v>7</v>
      </c>
      <c r="B178" s="149" t="s">
        <v>281</v>
      </c>
      <c r="C178" s="311" t="s">
        <v>360</v>
      </c>
      <c r="D178" s="382">
        <v>3000</v>
      </c>
      <c r="E178" s="96"/>
      <c r="F178" s="96"/>
      <c r="G178" s="97"/>
      <c r="H178" s="76">
        <v>0</v>
      </c>
      <c r="I178" s="219">
        <v>0</v>
      </c>
      <c r="J178" s="76">
        <v>0</v>
      </c>
      <c r="K178" s="30" t="s">
        <v>1796</v>
      </c>
      <c r="L178" s="31" t="s">
        <v>1878</v>
      </c>
      <c r="M178" s="32">
        <v>3000</v>
      </c>
      <c r="N178" s="215"/>
      <c r="O178" s="215"/>
      <c r="P178" s="216"/>
      <c r="Q178" s="114">
        <f t="shared" si="20"/>
        <v>0</v>
      </c>
      <c r="R178" s="114">
        <v>0</v>
      </c>
      <c r="S178" s="36">
        <f t="shared" si="21"/>
        <v>0</v>
      </c>
    </row>
    <row r="179" spans="1:19" s="60" customFormat="1" ht="22.5" customHeight="1" thickBot="1" x14ac:dyDescent="0.35">
      <c r="A179" s="317"/>
      <c r="B179" s="317" t="s">
        <v>15</v>
      </c>
      <c r="C179" s="357"/>
      <c r="D179" s="383">
        <f>SUM(D173:D178)</f>
        <v>40610</v>
      </c>
      <c r="E179" s="320"/>
      <c r="F179" s="320"/>
      <c r="G179" s="321"/>
      <c r="H179" s="383">
        <f>SUM(H173:H178)</f>
        <v>29020</v>
      </c>
      <c r="I179" s="383">
        <f>SUM(I173:I178)</f>
        <v>0</v>
      </c>
      <c r="J179" s="383">
        <f>SUM(J173:J178)</f>
        <v>29020</v>
      </c>
      <c r="K179" s="384"/>
      <c r="L179" s="384"/>
      <c r="M179" s="359">
        <f>SUM(M173:M178)</f>
        <v>39420</v>
      </c>
      <c r="N179" s="317"/>
      <c r="O179" s="317"/>
      <c r="P179" s="321"/>
      <c r="Q179" s="385">
        <f>SUM(Q173:Q178)</f>
        <v>30210</v>
      </c>
      <c r="R179" s="385">
        <v>0</v>
      </c>
      <c r="S179" s="386">
        <f>SUM(S173:S178)</f>
        <v>30210</v>
      </c>
    </row>
    <row r="180" spans="1:19" ht="22.5" customHeight="1" thickTop="1" x14ac:dyDescent="0.3">
      <c r="A180" s="61"/>
      <c r="B180" s="62" t="s">
        <v>363</v>
      </c>
      <c r="C180" s="63"/>
      <c r="D180" s="64"/>
      <c r="E180" s="65"/>
      <c r="F180" s="65"/>
      <c r="G180" s="66"/>
      <c r="H180" s="67"/>
      <c r="I180" s="67"/>
      <c r="J180" s="67"/>
      <c r="K180" s="286"/>
      <c r="L180" s="286"/>
      <c r="M180" s="328"/>
      <c r="N180" s="69"/>
      <c r="O180" s="69"/>
      <c r="P180" s="70"/>
      <c r="Q180" s="71"/>
      <c r="R180" s="71"/>
      <c r="S180" s="387"/>
    </row>
    <row r="181" spans="1:19" ht="22.5" customHeight="1" x14ac:dyDescent="0.5">
      <c r="A181" s="208">
        <v>1</v>
      </c>
      <c r="B181" s="73" t="s">
        <v>364</v>
      </c>
      <c r="C181" s="25" t="s">
        <v>365</v>
      </c>
      <c r="D181" s="43">
        <v>10000</v>
      </c>
      <c r="E181" s="212" t="s">
        <v>1561</v>
      </c>
      <c r="F181" s="234" t="s">
        <v>33</v>
      </c>
      <c r="G181" s="228" t="s">
        <v>33</v>
      </c>
      <c r="H181" s="219">
        <v>10000</v>
      </c>
      <c r="I181" s="219">
        <v>0</v>
      </c>
      <c r="J181" s="219">
        <v>10000</v>
      </c>
      <c r="K181" s="30" t="s">
        <v>1844</v>
      </c>
      <c r="L181" s="31" t="s">
        <v>1879</v>
      </c>
      <c r="M181" s="32">
        <v>20000</v>
      </c>
      <c r="N181" s="41"/>
      <c r="O181" s="41"/>
      <c r="P181" s="34"/>
      <c r="Q181" s="114">
        <f>SUM(D181+J181-M181)</f>
        <v>0</v>
      </c>
      <c r="R181" s="114">
        <v>0</v>
      </c>
      <c r="S181" s="36">
        <f>SUM(Q181)</f>
        <v>0</v>
      </c>
    </row>
    <row r="182" spans="1:19" ht="22.5" customHeight="1" x14ac:dyDescent="0.5">
      <c r="A182" s="208">
        <v>2</v>
      </c>
      <c r="B182" s="290" t="s">
        <v>367</v>
      </c>
      <c r="C182" s="25" t="s">
        <v>368</v>
      </c>
      <c r="D182" s="388">
        <v>3500</v>
      </c>
      <c r="E182" s="212"/>
      <c r="F182" s="234"/>
      <c r="G182" s="228"/>
      <c r="H182" s="389">
        <v>0</v>
      </c>
      <c r="I182" s="219">
        <v>0</v>
      </c>
      <c r="J182" s="219">
        <v>0</v>
      </c>
      <c r="K182" s="250" t="s">
        <v>1758</v>
      </c>
      <c r="L182" s="251" t="s">
        <v>1880</v>
      </c>
      <c r="M182" s="390">
        <v>3500</v>
      </c>
      <c r="N182" s="41"/>
      <c r="O182" s="41"/>
      <c r="P182" s="34"/>
      <c r="Q182" s="114">
        <f t="shared" ref="Q182:Q187" si="22">SUM(D182+J182-M182)</f>
        <v>0</v>
      </c>
      <c r="R182" s="114">
        <v>0</v>
      </c>
      <c r="S182" s="36">
        <f t="shared" ref="S182:S187" si="23">SUM(Q182)</f>
        <v>0</v>
      </c>
    </row>
    <row r="183" spans="1:19" ht="22.5" customHeight="1" x14ac:dyDescent="0.5">
      <c r="A183" s="391">
        <v>3</v>
      </c>
      <c r="B183" s="392" t="s">
        <v>370</v>
      </c>
      <c r="C183" s="63" t="s">
        <v>371</v>
      </c>
      <c r="D183" s="393">
        <v>12000</v>
      </c>
      <c r="E183" s="394"/>
      <c r="F183" s="888"/>
      <c r="G183" s="395"/>
      <c r="H183" s="396">
        <v>0</v>
      </c>
      <c r="I183" s="397">
        <v>0</v>
      </c>
      <c r="J183" s="67">
        <v>0</v>
      </c>
      <c r="K183" s="30" t="s">
        <v>1771</v>
      </c>
      <c r="L183" s="31" t="s">
        <v>1881</v>
      </c>
      <c r="M183" s="32">
        <v>12000</v>
      </c>
      <c r="N183" s="41"/>
      <c r="O183" s="41"/>
      <c r="P183" s="34"/>
      <c r="Q183" s="114">
        <f t="shared" si="22"/>
        <v>0</v>
      </c>
      <c r="R183" s="114">
        <v>0</v>
      </c>
      <c r="S183" s="36">
        <f t="shared" si="23"/>
        <v>0</v>
      </c>
    </row>
    <row r="184" spans="1:19" ht="22.5" customHeight="1" x14ac:dyDescent="0.3">
      <c r="A184" s="253">
        <v>4</v>
      </c>
      <c r="B184" s="398" t="s">
        <v>373</v>
      </c>
      <c r="C184" s="165" t="s">
        <v>374</v>
      </c>
      <c r="D184" s="166">
        <v>4100</v>
      </c>
      <c r="E184" s="394"/>
      <c r="F184" s="888"/>
      <c r="G184" s="395"/>
      <c r="H184" s="396">
        <v>0</v>
      </c>
      <c r="I184" s="397">
        <v>0</v>
      </c>
      <c r="J184" s="397">
        <v>0</v>
      </c>
      <c r="K184" s="399" t="s">
        <v>1836</v>
      </c>
      <c r="L184" s="400" t="s">
        <v>1882</v>
      </c>
      <c r="M184" s="401">
        <v>4100</v>
      </c>
      <c r="N184" s="41"/>
      <c r="O184" s="41"/>
      <c r="P184" s="34"/>
      <c r="Q184" s="114">
        <f t="shared" si="22"/>
        <v>0</v>
      </c>
      <c r="R184" s="114">
        <v>0</v>
      </c>
      <c r="S184" s="36">
        <f t="shared" si="23"/>
        <v>0</v>
      </c>
    </row>
    <row r="185" spans="1:19" ht="22.5" customHeight="1" x14ac:dyDescent="0.5">
      <c r="A185" s="253">
        <v>5</v>
      </c>
      <c r="B185" s="402" t="s">
        <v>376</v>
      </c>
      <c r="C185" s="403" t="s">
        <v>377</v>
      </c>
      <c r="D185" s="166">
        <v>1850</v>
      </c>
      <c r="E185" s="65"/>
      <c r="F185" s="167"/>
      <c r="G185" s="168"/>
      <c r="H185" s="404">
        <v>0</v>
      </c>
      <c r="I185" s="67">
        <v>0</v>
      </c>
      <c r="J185" s="67">
        <v>0</v>
      </c>
      <c r="K185" s="30" t="s">
        <v>1821</v>
      </c>
      <c r="L185" s="31" t="s">
        <v>1883</v>
      </c>
      <c r="M185" s="32">
        <v>1850</v>
      </c>
      <c r="N185" s="41"/>
      <c r="O185" s="41"/>
      <c r="P185" s="34"/>
      <c r="Q185" s="114">
        <f t="shared" si="22"/>
        <v>0</v>
      </c>
      <c r="R185" s="114">
        <v>0</v>
      </c>
      <c r="S185" s="36">
        <f t="shared" si="23"/>
        <v>0</v>
      </c>
    </row>
    <row r="186" spans="1:19" ht="22.5" customHeight="1" x14ac:dyDescent="0.5">
      <c r="A186" s="253">
        <v>6</v>
      </c>
      <c r="B186" s="378" t="s">
        <v>380</v>
      </c>
      <c r="C186" s="405" t="s">
        <v>381</v>
      </c>
      <c r="D186" s="166">
        <v>0</v>
      </c>
      <c r="E186" s="65"/>
      <c r="F186" s="167"/>
      <c r="G186" s="168"/>
      <c r="H186" s="404">
        <v>0</v>
      </c>
      <c r="I186" s="67">
        <v>0</v>
      </c>
      <c r="J186" s="67">
        <v>0</v>
      </c>
      <c r="K186" s="30"/>
      <c r="L186" s="31"/>
      <c r="M186" s="32"/>
      <c r="N186" s="41"/>
      <c r="O186" s="41"/>
      <c r="P186" s="34"/>
      <c r="Q186" s="114">
        <f t="shared" si="22"/>
        <v>0</v>
      </c>
      <c r="R186" s="114">
        <v>0</v>
      </c>
      <c r="S186" s="36">
        <f t="shared" si="23"/>
        <v>0</v>
      </c>
    </row>
    <row r="187" spans="1:19" ht="22.5" customHeight="1" x14ac:dyDescent="0.5">
      <c r="A187" s="208">
        <v>7</v>
      </c>
      <c r="B187" s="149" t="s">
        <v>383</v>
      </c>
      <c r="C187" s="311" t="s">
        <v>384</v>
      </c>
      <c r="D187" s="166">
        <v>5400</v>
      </c>
      <c r="E187" s="65"/>
      <c r="F187" s="167"/>
      <c r="G187" s="168"/>
      <c r="H187" s="404">
        <v>0</v>
      </c>
      <c r="I187" s="67">
        <v>0</v>
      </c>
      <c r="J187" s="67">
        <v>0</v>
      </c>
      <c r="K187" s="250" t="s">
        <v>1788</v>
      </c>
      <c r="L187" s="251" t="s">
        <v>1884</v>
      </c>
      <c r="M187" s="390">
        <v>5400</v>
      </c>
      <c r="N187" s="41"/>
      <c r="O187" s="41"/>
      <c r="P187" s="34"/>
      <c r="Q187" s="114">
        <f t="shared" si="22"/>
        <v>0</v>
      </c>
      <c r="R187" s="114">
        <v>0</v>
      </c>
      <c r="S187" s="36">
        <f t="shared" si="23"/>
        <v>0</v>
      </c>
    </row>
    <row r="188" spans="1:19" s="60" customFormat="1" ht="22.5" customHeight="1" thickBot="1" x14ac:dyDescent="0.35">
      <c r="A188" s="317"/>
      <c r="B188" s="317" t="s">
        <v>15</v>
      </c>
      <c r="C188" s="318"/>
      <c r="D188" s="383">
        <f>SUM(D181:D187)</f>
        <v>36850</v>
      </c>
      <c r="E188" s="320"/>
      <c r="F188" s="320"/>
      <c r="G188" s="321"/>
      <c r="H188" s="358">
        <f>SUM(H181:H187)</f>
        <v>10000</v>
      </c>
      <c r="I188" s="358">
        <f t="shared" ref="I188:J188" si="24">SUM(I181:I187)</f>
        <v>0</v>
      </c>
      <c r="J188" s="358">
        <f t="shared" si="24"/>
        <v>10000</v>
      </c>
      <c r="K188" s="383"/>
      <c r="L188" s="383">
        <v>0</v>
      </c>
      <c r="M188" s="383">
        <f>SUM(M181:M187)</f>
        <v>46850</v>
      </c>
      <c r="N188" s="407"/>
      <c r="O188" s="407"/>
      <c r="P188" s="321"/>
      <c r="Q188" s="323">
        <f>SUM(Q181:Q187)</f>
        <v>0</v>
      </c>
      <c r="R188" s="323">
        <f>SUM(R181:R187)</f>
        <v>0</v>
      </c>
      <c r="S188" s="323">
        <f>SUM(S181:S187)</f>
        <v>0</v>
      </c>
    </row>
    <row r="189" spans="1:19" ht="22.5" customHeight="1" thickTop="1" x14ac:dyDescent="0.3">
      <c r="A189" s="61"/>
      <c r="B189" s="62" t="s">
        <v>386</v>
      </c>
      <c r="C189" s="63"/>
      <c r="D189" s="64"/>
      <c r="E189" s="65"/>
      <c r="F189" s="65"/>
      <c r="G189" s="66"/>
      <c r="H189" s="67"/>
      <c r="I189" s="67"/>
      <c r="J189" s="67"/>
      <c r="K189" s="68"/>
      <c r="L189" s="68"/>
      <c r="M189" s="64"/>
      <c r="N189" s="69"/>
      <c r="O189" s="69"/>
      <c r="P189" s="70"/>
      <c r="Q189" s="71"/>
      <c r="R189" s="71"/>
      <c r="S189" s="387"/>
    </row>
    <row r="190" spans="1:19" ht="22.5" customHeight="1" x14ac:dyDescent="0.3">
      <c r="A190" s="208">
        <v>1</v>
      </c>
      <c r="B190" s="73" t="s">
        <v>387</v>
      </c>
      <c r="C190" s="25" t="s">
        <v>388</v>
      </c>
      <c r="D190" s="43">
        <v>0</v>
      </c>
      <c r="E190" s="212"/>
      <c r="F190" s="212"/>
      <c r="G190" s="213"/>
      <c r="H190" s="219">
        <v>0</v>
      </c>
      <c r="I190" s="219">
        <v>0</v>
      </c>
      <c r="J190" s="219">
        <v>0</v>
      </c>
      <c r="K190" s="408"/>
      <c r="L190" s="408"/>
      <c r="M190" s="43"/>
      <c r="N190" s="41"/>
      <c r="O190" s="41"/>
      <c r="P190" s="34"/>
      <c r="Q190" s="114">
        <v>0</v>
      </c>
      <c r="R190" s="114">
        <v>0</v>
      </c>
      <c r="S190" s="409">
        <v>0</v>
      </c>
    </row>
    <row r="191" spans="1:19" ht="22.5" customHeight="1" x14ac:dyDescent="0.5">
      <c r="A191" s="208">
        <v>2</v>
      </c>
      <c r="B191" s="290" t="s">
        <v>389</v>
      </c>
      <c r="C191" s="25" t="s">
        <v>390</v>
      </c>
      <c r="D191" s="388">
        <v>3150</v>
      </c>
      <c r="E191" s="212"/>
      <c r="F191" s="234"/>
      <c r="G191" s="228"/>
      <c r="H191" s="666">
        <v>0</v>
      </c>
      <c r="I191" s="219">
        <v>0</v>
      </c>
      <c r="J191" s="219">
        <v>0</v>
      </c>
      <c r="K191" s="335" t="s">
        <v>1788</v>
      </c>
      <c r="L191" s="410" t="s">
        <v>1885</v>
      </c>
      <c r="M191" s="411">
        <v>3150</v>
      </c>
      <c r="N191" s="215"/>
      <c r="O191" s="215"/>
      <c r="P191" s="216"/>
      <c r="Q191" s="114">
        <f>SUM(H191+D191-M191)</f>
        <v>0</v>
      </c>
      <c r="R191" s="114">
        <v>0</v>
      </c>
      <c r="S191" s="409">
        <f>SUM(Q191)</f>
        <v>0</v>
      </c>
    </row>
    <row r="192" spans="1:19" s="60" customFormat="1" ht="22.5" customHeight="1" thickBot="1" x14ac:dyDescent="0.35">
      <c r="A192" s="317"/>
      <c r="B192" s="317" t="s">
        <v>15</v>
      </c>
      <c r="C192" s="318"/>
      <c r="D192" s="383">
        <f>SUM(D190:D191)</f>
        <v>3150</v>
      </c>
      <c r="E192" s="320"/>
      <c r="F192" s="320"/>
      <c r="G192" s="321"/>
      <c r="H192" s="358">
        <f>SUM(H190:H191)</f>
        <v>0</v>
      </c>
      <c r="I192" s="358">
        <f>SUM(I190:I191)</f>
        <v>0</v>
      </c>
      <c r="J192" s="358">
        <f>SUM(J190:J191)</f>
        <v>0</v>
      </c>
      <c r="K192" s="383"/>
      <c r="L192" s="383">
        <v>0</v>
      </c>
      <c r="M192" s="383">
        <f>SUM(M190:M191)</f>
        <v>3150</v>
      </c>
      <c r="N192" s="407"/>
      <c r="O192" s="407"/>
      <c r="P192" s="321"/>
      <c r="Q192" s="323">
        <f>SUM(Q190:Q191)</f>
        <v>0</v>
      </c>
      <c r="R192" s="323">
        <v>0</v>
      </c>
      <c r="S192" s="386">
        <f>SUM(S190:S191)</f>
        <v>0</v>
      </c>
    </row>
    <row r="193" spans="1:20" ht="22.5" customHeight="1" thickTop="1" x14ac:dyDescent="0.3">
      <c r="A193" s="61"/>
      <c r="B193" s="62" t="s">
        <v>392</v>
      </c>
      <c r="C193" s="63"/>
      <c r="D193" s="64"/>
      <c r="E193" s="65"/>
      <c r="F193" s="65"/>
      <c r="G193" s="66"/>
      <c r="H193" s="67"/>
      <c r="I193" s="67"/>
      <c r="J193" s="67"/>
      <c r="K193" s="68"/>
      <c r="L193" s="68"/>
      <c r="M193" s="64"/>
      <c r="N193" s="69"/>
      <c r="O193" s="69"/>
      <c r="P193" s="70"/>
      <c r="Q193" s="71"/>
      <c r="R193" s="71"/>
      <c r="S193" s="72"/>
    </row>
    <row r="194" spans="1:20" ht="22.5" customHeight="1" x14ac:dyDescent="0.3">
      <c r="A194" s="61"/>
      <c r="B194" s="62" t="s">
        <v>1336</v>
      </c>
      <c r="C194" s="63"/>
      <c r="D194" s="64">
        <v>0</v>
      </c>
      <c r="E194" s="65"/>
      <c r="F194" s="167"/>
      <c r="G194" s="168"/>
      <c r="H194" s="67"/>
      <c r="I194" s="67"/>
      <c r="J194" s="67"/>
      <c r="K194" s="68"/>
      <c r="L194" s="68"/>
      <c r="M194" s="64"/>
      <c r="N194" s="69"/>
      <c r="O194" s="117"/>
      <c r="P194" s="118"/>
      <c r="Q194" s="71"/>
      <c r="R194" s="71"/>
      <c r="S194" s="72"/>
    </row>
    <row r="195" spans="1:20" ht="22.5" customHeight="1" x14ac:dyDescent="0.3">
      <c r="A195" s="61"/>
      <c r="B195" s="62" t="s">
        <v>1337</v>
      </c>
      <c r="C195" s="63"/>
      <c r="D195" s="64"/>
      <c r="E195" s="65"/>
      <c r="F195" s="167"/>
      <c r="G195" s="168"/>
      <c r="H195" s="67"/>
      <c r="I195" s="67"/>
      <c r="J195" s="67"/>
      <c r="K195" s="68"/>
      <c r="L195" s="68"/>
      <c r="M195" s="64"/>
      <c r="N195" s="69"/>
      <c r="O195" s="117"/>
      <c r="P195" s="118"/>
      <c r="Q195" s="71"/>
      <c r="R195" s="71"/>
      <c r="S195" s="72"/>
    </row>
    <row r="196" spans="1:20" ht="22.5" customHeight="1" x14ac:dyDescent="0.3">
      <c r="A196" s="61">
        <v>1</v>
      </c>
      <c r="B196" s="838" t="s">
        <v>1380</v>
      </c>
      <c r="C196" s="63" t="s">
        <v>1370</v>
      </c>
      <c r="D196" s="64"/>
      <c r="E196" s="65"/>
      <c r="F196" s="167"/>
      <c r="G196" s="168"/>
      <c r="H196" s="67"/>
      <c r="I196" s="67"/>
      <c r="J196" s="67"/>
      <c r="K196" s="68"/>
      <c r="L196" s="68"/>
      <c r="M196" s="64"/>
      <c r="N196" s="69"/>
      <c r="O196" s="117"/>
      <c r="P196" s="118"/>
      <c r="Q196" s="71"/>
      <c r="R196" s="71"/>
      <c r="S196" s="72"/>
      <c r="T196" s="3" t="s">
        <v>1886</v>
      </c>
    </row>
    <row r="197" spans="1:20" s="60" customFormat="1" ht="22.5" customHeight="1" thickBot="1" x14ac:dyDescent="0.35">
      <c r="A197" s="317"/>
      <c r="B197" s="317" t="s">
        <v>15</v>
      </c>
      <c r="C197" s="318"/>
      <c r="D197" s="383">
        <f t="shared" ref="D197:S197" si="25">SUM(D196:D196)</f>
        <v>0</v>
      </c>
      <c r="E197" s="383">
        <f t="shared" si="25"/>
        <v>0</v>
      </c>
      <c r="F197" s="383">
        <f t="shared" si="25"/>
        <v>0</v>
      </c>
      <c r="G197" s="383">
        <f t="shared" si="25"/>
        <v>0</v>
      </c>
      <c r="H197" s="383">
        <f t="shared" si="25"/>
        <v>0</v>
      </c>
      <c r="I197" s="383">
        <f t="shared" si="25"/>
        <v>0</v>
      </c>
      <c r="J197" s="383">
        <f t="shared" si="25"/>
        <v>0</v>
      </c>
      <c r="K197" s="383">
        <f t="shared" si="25"/>
        <v>0</v>
      </c>
      <c r="L197" s="383">
        <f t="shared" si="25"/>
        <v>0</v>
      </c>
      <c r="M197" s="383">
        <f t="shared" si="25"/>
        <v>0</v>
      </c>
      <c r="N197" s="383">
        <f t="shared" si="25"/>
        <v>0</v>
      </c>
      <c r="O197" s="383">
        <f t="shared" si="25"/>
        <v>0</v>
      </c>
      <c r="P197" s="383">
        <f t="shared" si="25"/>
        <v>0</v>
      </c>
      <c r="Q197" s="383">
        <f t="shared" si="25"/>
        <v>0</v>
      </c>
      <c r="R197" s="383">
        <f t="shared" si="25"/>
        <v>0</v>
      </c>
      <c r="S197" s="383">
        <f t="shared" si="25"/>
        <v>0</v>
      </c>
    </row>
    <row r="198" spans="1:20" ht="22.5" customHeight="1" thickTop="1" x14ac:dyDescent="0.3">
      <c r="A198" s="115"/>
      <c r="B198" s="412" t="s">
        <v>395</v>
      </c>
      <c r="C198" s="165"/>
      <c r="D198" s="86"/>
      <c r="E198" s="413"/>
      <c r="F198" s="413"/>
      <c r="G198" s="414"/>
      <c r="H198" s="415"/>
      <c r="I198" s="415"/>
      <c r="J198" s="415"/>
      <c r="K198" s="170"/>
      <c r="L198" s="171"/>
      <c r="M198" s="86"/>
      <c r="N198" s="115"/>
      <c r="O198" s="115"/>
      <c r="P198" s="414"/>
      <c r="Q198" s="416"/>
      <c r="R198" s="416"/>
      <c r="S198" s="417"/>
    </row>
    <row r="199" spans="1:20" ht="22.5" customHeight="1" x14ac:dyDescent="0.3">
      <c r="A199" s="115"/>
      <c r="B199" s="412"/>
      <c r="C199" s="165"/>
      <c r="D199" s="86"/>
      <c r="E199" s="413"/>
      <c r="F199" s="413"/>
      <c r="G199" s="414"/>
      <c r="H199" s="415"/>
      <c r="I199" s="415"/>
      <c r="J199" s="415"/>
      <c r="K199" s="170"/>
      <c r="L199" s="171"/>
      <c r="M199" s="86"/>
      <c r="N199" s="115"/>
      <c r="O199" s="115"/>
      <c r="P199" s="414"/>
      <c r="Q199" s="416"/>
      <c r="R199" s="416"/>
      <c r="S199" s="417"/>
    </row>
    <row r="200" spans="1:20" ht="22.5" customHeight="1" x14ac:dyDescent="0.3">
      <c r="A200" s="115"/>
      <c r="B200" s="412"/>
      <c r="C200" s="165"/>
      <c r="D200" s="86"/>
      <c r="E200" s="413"/>
      <c r="F200" s="413"/>
      <c r="G200" s="414"/>
      <c r="H200" s="415"/>
      <c r="I200" s="415"/>
      <c r="J200" s="415"/>
      <c r="K200" s="170"/>
      <c r="L200" s="171"/>
      <c r="M200" s="86"/>
      <c r="N200" s="115"/>
      <c r="O200" s="115"/>
      <c r="P200" s="414"/>
      <c r="Q200" s="416"/>
      <c r="R200" s="416"/>
      <c r="S200" s="417"/>
    </row>
    <row r="201" spans="1:20" s="60" customFormat="1" ht="22.2" customHeight="1" thickBot="1" x14ac:dyDescent="0.35">
      <c r="A201" s="418"/>
      <c r="B201" s="419" t="s">
        <v>15</v>
      </c>
      <c r="C201" s="420"/>
      <c r="D201" s="421">
        <v>0</v>
      </c>
      <c r="E201" s="422"/>
      <c r="F201" s="422"/>
      <c r="G201" s="423"/>
      <c r="H201" s="424"/>
      <c r="I201" s="424"/>
      <c r="J201" s="424"/>
      <c r="K201" s="425"/>
      <c r="L201" s="426"/>
      <c r="M201" s="421">
        <v>0</v>
      </c>
      <c r="N201" s="418"/>
      <c r="O201" s="418"/>
      <c r="P201" s="423"/>
      <c r="Q201" s="427">
        <v>0</v>
      </c>
      <c r="R201" s="427">
        <v>0</v>
      </c>
      <c r="S201" s="428">
        <v>0</v>
      </c>
    </row>
    <row r="202" spans="1:20" ht="22.2" customHeight="1" thickTop="1" x14ac:dyDescent="0.3">
      <c r="A202" s="429"/>
      <c r="B202" s="430"/>
      <c r="C202" s="431"/>
      <c r="D202" s="432"/>
      <c r="E202" s="433"/>
      <c r="F202" s="433"/>
      <c r="G202" s="434"/>
      <c r="H202" s="435"/>
      <c r="I202" s="435"/>
      <c r="J202" s="435"/>
      <c r="K202" s="436"/>
      <c r="L202" s="437"/>
      <c r="M202" s="438"/>
      <c r="N202" s="439"/>
      <c r="O202" s="439"/>
      <c r="P202" s="440"/>
      <c r="Q202" s="441"/>
      <c r="R202" s="441"/>
      <c r="S202" s="442"/>
    </row>
    <row r="203" spans="1:20" ht="22.5" customHeight="1" x14ac:dyDescent="0.3">
      <c r="A203" s="61"/>
      <c r="B203" s="164" t="s">
        <v>399</v>
      </c>
      <c r="C203" s="63"/>
      <c r="D203" s="382"/>
      <c r="E203" s="443"/>
      <c r="F203" s="443"/>
      <c r="G203" s="66"/>
      <c r="H203" s="444"/>
      <c r="I203" s="444"/>
      <c r="J203" s="444"/>
      <c r="K203" s="68"/>
      <c r="L203" s="445"/>
      <c r="M203" s="64"/>
      <c r="N203" s="69"/>
      <c r="O203" s="69"/>
      <c r="P203" s="70"/>
      <c r="Q203" s="71"/>
      <c r="R203" s="71"/>
      <c r="S203" s="387"/>
    </row>
    <row r="204" spans="1:20" ht="22.5" customHeight="1" x14ac:dyDescent="0.5">
      <c r="A204" s="23">
        <v>1</v>
      </c>
      <c r="B204" s="290" t="s">
        <v>495</v>
      </c>
      <c r="C204" s="25" t="s">
        <v>496</v>
      </c>
      <c r="D204" s="452"/>
      <c r="E204" s="454" t="s">
        <v>795</v>
      </c>
      <c r="F204" s="454"/>
      <c r="G204" s="213"/>
      <c r="H204" s="219">
        <v>20595.900000000001</v>
      </c>
      <c r="I204" s="219">
        <v>0</v>
      </c>
      <c r="J204" s="219">
        <v>20595.900000000001</v>
      </c>
      <c r="K204" s="449"/>
      <c r="L204" s="450"/>
      <c r="M204" s="451"/>
      <c r="N204" s="41" t="s">
        <v>795</v>
      </c>
      <c r="O204" s="41"/>
      <c r="P204" s="34"/>
      <c r="Q204" s="71">
        <f t="shared" ref="Q204" si="26">SUM(S204)</f>
        <v>20595.900000000001</v>
      </c>
      <c r="R204" s="71">
        <v>0</v>
      </c>
      <c r="S204" s="387">
        <f t="shared" ref="S204" si="27">SUM(D204+J204-M204)</f>
        <v>20595.900000000001</v>
      </c>
    </row>
    <row r="205" spans="1:20" s="60" customFormat="1" ht="22.5" customHeight="1" thickBot="1" x14ac:dyDescent="0.35">
      <c r="A205" s="362"/>
      <c r="B205" s="362" t="s">
        <v>15</v>
      </c>
      <c r="C205" s="455"/>
      <c r="D205" s="456">
        <f>SUM(D204:D204)</f>
        <v>0</v>
      </c>
      <c r="E205" s="362"/>
      <c r="F205" s="362"/>
      <c r="G205" s="363"/>
      <c r="H205" s="456">
        <f>SUM(H203:H204)</f>
        <v>20595.900000000001</v>
      </c>
      <c r="I205" s="456">
        <f>SUM(I203:I204)</f>
        <v>0</v>
      </c>
      <c r="J205" s="456">
        <f>SUM(J203:J204)</f>
        <v>20595.900000000001</v>
      </c>
      <c r="K205" s="457"/>
      <c r="L205" s="458"/>
      <c r="M205" s="458">
        <f>SUM(M203:M204)</f>
        <v>0</v>
      </c>
      <c r="N205" s="362"/>
      <c r="O205" s="362"/>
      <c r="P205" s="363"/>
      <c r="Q205" s="364">
        <f>SUM(Q203:Q204)</f>
        <v>20595.900000000001</v>
      </c>
      <c r="R205" s="364">
        <f>SUM(R203:R204)</f>
        <v>0</v>
      </c>
      <c r="S205" s="364">
        <f>SUM(S203:S204)</f>
        <v>20595.900000000001</v>
      </c>
    </row>
    <row r="206" spans="1:20" s="60" customFormat="1" ht="22.5" customHeight="1" thickTop="1" thickBot="1" x14ac:dyDescent="0.35">
      <c r="A206" s="459"/>
      <c r="B206" s="460" t="s">
        <v>497</v>
      </c>
      <c r="C206" s="461"/>
      <c r="D206" s="462">
        <f>SUM(D12+D27+D31+D35+D40+D44+D117+D161+D171+D179+D188+D192+D197+D201+D205)</f>
        <v>1215035.7800000003</v>
      </c>
      <c r="E206" s="462">
        <f>SUM(E12+E27+E31+E35+E40+E44+E117+E161+E171+E179+E188+E192+E197+E201+E205)</f>
        <v>0</v>
      </c>
      <c r="F206" s="462"/>
      <c r="G206" s="462">
        <f t="shared" ref="G206:N206" si="28">SUM(G12+G27+G31+G35+G40+G44+G117+G161+G171+G179+G188+G192+G197+G201+G205)</f>
        <v>0</v>
      </c>
      <c r="H206" s="462">
        <f t="shared" si="28"/>
        <v>360290.89971962618</v>
      </c>
      <c r="I206" s="462">
        <f t="shared" si="28"/>
        <v>13207.249980373832</v>
      </c>
      <c r="J206" s="462">
        <f t="shared" si="28"/>
        <v>373498.14970000007</v>
      </c>
      <c r="K206" s="462">
        <f t="shared" si="28"/>
        <v>0</v>
      </c>
      <c r="L206" s="462">
        <f t="shared" si="28"/>
        <v>0</v>
      </c>
      <c r="M206" s="462">
        <f t="shared" si="28"/>
        <v>1275838.7200000002</v>
      </c>
      <c r="N206" s="462">
        <f t="shared" si="28"/>
        <v>0</v>
      </c>
      <c r="O206" s="462"/>
      <c r="P206" s="462">
        <f>SUM(P12+P27+P31+P35+P40+P44+P117+P161+P171+P179+P188+P192+P197+P201+P205)</f>
        <v>0</v>
      </c>
      <c r="Q206" s="462">
        <f>SUM(Q12+Q27+Q31+Q35+Q40+Q44+Q117+Q161+Q171+Q179+Q188+Q192+Q197+Q201+Q205)</f>
        <v>302535.89971962618</v>
      </c>
      <c r="R206" s="462">
        <f>SUM(R12+R27+R31+R35+R40+R44+R117+R161+R171+R179+R188+R192+R197+R201+R205)</f>
        <v>12525.099980373832</v>
      </c>
      <c r="S206" s="462">
        <f>SUM(S12+S27+S31+S35+S40+S44+S117+S161+S171+S179+S188+S192+S197+S201+S205)</f>
        <v>315060.99970000004</v>
      </c>
    </row>
    <row r="207" spans="1:20" ht="22.5" customHeight="1" thickTop="1" x14ac:dyDescent="0.3">
      <c r="E207" s="469"/>
      <c r="F207" s="469"/>
      <c r="G207" s="470"/>
      <c r="H207" s="3"/>
      <c r="I207" s="3"/>
      <c r="J207" s="3"/>
      <c r="N207" s="3"/>
      <c r="O207" s="3"/>
      <c r="P207" s="470"/>
      <c r="Q207" s="471"/>
      <c r="R207" s="471"/>
      <c r="S207" s="472"/>
    </row>
    <row r="208" spans="1:20" ht="22.5" customHeight="1" x14ac:dyDescent="0.3">
      <c r="A208" s="1123" t="s">
        <v>671</v>
      </c>
      <c r="B208" s="1124"/>
      <c r="C208" s="1124"/>
      <c r="D208" s="1124"/>
      <c r="E208" s="1124"/>
      <c r="F208" s="1124"/>
      <c r="G208" s="1124"/>
      <c r="H208" s="1124"/>
      <c r="I208" s="1124"/>
      <c r="J208" s="1124"/>
      <c r="K208" s="1124"/>
      <c r="L208" s="1124"/>
      <c r="M208" s="1124"/>
      <c r="N208" s="1124"/>
      <c r="O208" s="1124"/>
      <c r="P208" s="1124"/>
      <c r="Q208" s="1124"/>
      <c r="R208" s="1124"/>
      <c r="S208" s="1125"/>
      <c r="T208" s="2"/>
    </row>
    <row r="209" spans="1:20" ht="22.5" customHeight="1" x14ac:dyDescent="0.3">
      <c r="A209" s="115"/>
      <c r="B209" s="164" t="s">
        <v>499</v>
      </c>
      <c r="C209" s="165"/>
      <c r="D209" s="86"/>
      <c r="E209" s="167"/>
      <c r="F209" s="167"/>
      <c r="G209" s="168"/>
      <c r="H209" s="473"/>
      <c r="I209" s="473"/>
      <c r="J209" s="473"/>
      <c r="K209" s="170"/>
      <c r="L209" s="171"/>
      <c r="M209" s="86"/>
      <c r="N209" s="117"/>
      <c r="O209" s="117"/>
      <c r="P209" s="118"/>
      <c r="Q209" s="474"/>
      <c r="R209" s="474"/>
      <c r="S209" s="370"/>
      <c r="T209" s="2"/>
    </row>
    <row r="210" spans="1:20" ht="22.5" customHeight="1" x14ac:dyDescent="0.3">
      <c r="A210" s="475">
        <v>1</v>
      </c>
      <c r="B210" s="489" t="s">
        <v>1397</v>
      </c>
      <c r="C210" s="498"/>
      <c r="D210" s="499">
        <v>0</v>
      </c>
      <c r="E210" s="500"/>
      <c r="F210" s="889"/>
      <c r="G210" s="501"/>
      <c r="H210" s="481">
        <v>325409.68</v>
      </c>
      <c r="I210" s="482">
        <v>0</v>
      </c>
      <c r="J210" s="481">
        <v>325409.68</v>
      </c>
      <c r="K210" s="492"/>
      <c r="L210" s="492"/>
      <c r="M210" s="493"/>
      <c r="N210" s="484"/>
      <c r="O210" s="892"/>
      <c r="P210" s="494"/>
      <c r="Q210" s="495">
        <v>325409.68</v>
      </c>
      <c r="R210" s="496">
        <v>0</v>
      </c>
      <c r="S210" s="497">
        <v>325409.68</v>
      </c>
      <c r="T210" s="2" t="s">
        <v>1398</v>
      </c>
    </row>
    <row r="211" spans="1:20" ht="22.5" customHeight="1" x14ac:dyDescent="0.3">
      <c r="A211" s="502"/>
      <c r="B211" s="503" t="s">
        <v>1399</v>
      </c>
      <c r="C211" s="504"/>
      <c r="D211" s="505"/>
      <c r="E211" s="506"/>
      <c r="F211" s="890"/>
      <c r="G211" s="507"/>
      <c r="H211" s="508"/>
      <c r="I211" s="508"/>
      <c r="J211" s="508"/>
      <c r="K211" s="492"/>
      <c r="L211" s="492"/>
      <c r="M211" s="298"/>
      <c r="N211" s="509"/>
      <c r="O211" s="893"/>
      <c r="P211" s="510"/>
      <c r="Q211" s="511"/>
      <c r="R211" s="512"/>
      <c r="S211" s="513"/>
      <c r="T211" s="2"/>
    </row>
    <row r="212" spans="1:20" ht="22.5" customHeight="1" x14ac:dyDescent="0.3">
      <c r="A212" s="488"/>
      <c r="B212" s="489" t="s">
        <v>1400</v>
      </c>
      <c r="C212" s="514"/>
      <c r="D212" s="515"/>
      <c r="E212" s="516"/>
      <c r="F212" s="516"/>
      <c r="G212" s="517"/>
      <c r="H212" s="518"/>
      <c r="I212" s="519"/>
      <c r="J212" s="518"/>
      <c r="K212" s="492"/>
      <c r="L212" s="492"/>
      <c r="M212" s="493"/>
      <c r="N212" s="520"/>
      <c r="O212" s="520"/>
      <c r="P212" s="521"/>
      <c r="Q212" s="522"/>
      <c r="R212" s="523"/>
      <c r="S212" s="524"/>
    </row>
    <row r="213" spans="1:20" ht="22.5" customHeight="1" x14ac:dyDescent="0.3">
      <c r="A213" s="488">
        <v>2</v>
      </c>
      <c r="B213" s="525" t="s">
        <v>1401</v>
      </c>
      <c r="C213" s="526"/>
      <c r="D213" s="515">
        <v>0</v>
      </c>
      <c r="E213" s="527"/>
      <c r="F213" s="527"/>
      <c r="G213" s="517"/>
      <c r="H213" s="528">
        <v>108369.18</v>
      </c>
      <c r="I213" s="519">
        <v>0</v>
      </c>
      <c r="J213" s="528">
        <v>108369.18</v>
      </c>
      <c r="K213" s="515"/>
      <c r="L213" s="492"/>
      <c r="M213" s="493"/>
      <c r="N213" s="521"/>
      <c r="O213" s="529"/>
      <c r="P213" s="529"/>
      <c r="Q213" s="530">
        <v>108369.18</v>
      </c>
      <c r="R213" s="531">
        <v>0</v>
      </c>
      <c r="S213" s="532">
        <v>108369.18</v>
      </c>
      <c r="T213" s="3" t="s">
        <v>1398</v>
      </c>
    </row>
    <row r="214" spans="1:20" ht="22.5" customHeight="1" x14ac:dyDescent="0.3">
      <c r="A214" s="488"/>
      <c r="B214" s="525" t="s">
        <v>1402</v>
      </c>
      <c r="C214" s="526"/>
      <c r="D214" s="515"/>
      <c r="E214" s="527"/>
      <c r="F214" s="527"/>
      <c r="G214" s="517"/>
      <c r="H214" s="528"/>
      <c r="I214" s="519"/>
      <c r="J214" s="528"/>
      <c r="K214" s="515"/>
      <c r="L214" s="492"/>
      <c r="M214" s="493"/>
      <c r="N214" s="521"/>
      <c r="O214" s="529"/>
      <c r="P214" s="529"/>
      <c r="Q214" s="530"/>
      <c r="R214" s="531"/>
      <c r="S214" s="532"/>
    </row>
    <row r="215" spans="1:20" ht="22.5" customHeight="1" x14ac:dyDescent="0.3">
      <c r="A215" s="737"/>
      <c r="B215" s="525" t="s">
        <v>1403</v>
      </c>
      <c r="C215" s="526"/>
      <c r="D215" s="927"/>
      <c r="E215" s="517"/>
      <c r="F215" s="517"/>
      <c r="G215" s="517"/>
      <c r="H215" s="928"/>
      <c r="I215" s="929"/>
      <c r="J215" s="928"/>
      <c r="K215" s="927"/>
      <c r="L215" s="930"/>
      <c r="M215" s="931"/>
      <c r="N215" s="521"/>
      <c r="O215" s="521"/>
      <c r="P215" s="521"/>
      <c r="Q215" s="531"/>
      <c r="R215" s="531"/>
      <c r="S215" s="932"/>
    </row>
    <row r="216" spans="1:20" ht="22.5" customHeight="1" x14ac:dyDescent="0.3">
      <c r="A216" s="737">
        <v>3</v>
      </c>
      <c r="B216" s="525" t="s">
        <v>1404</v>
      </c>
      <c r="C216" s="526"/>
      <c r="D216" s="927">
        <v>0</v>
      </c>
      <c r="E216" s="517"/>
      <c r="F216" s="517"/>
      <c r="G216" s="517"/>
      <c r="H216" s="928">
        <v>39949.17</v>
      </c>
      <c r="I216" s="929">
        <v>0</v>
      </c>
      <c r="J216" s="928">
        <v>39949.17</v>
      </c>
      <c r="K216" s="927"/>
      <c r="L216" s="930"/>
      <c r="M216" s="931"/>
      <c r="N216" s="521"/>
      <c r="O216" s="521"/>
      <c r="P216" s="521"/>
      <c r="Q216" s="531">
        <v>39949.17</v>
      </c>
      <c r="R216" s="531">
        <v>0</v>
      </c>
      <c r="S216" s="932">
        <v>39949.17</v>
      </c>
      <c r="T216" s="3" t="s">
        <v>1398</v>
      </c>
    </row>
    <row r="217" spans="1:20" ht="22.5" customHeight="1" x14ac:dyDescent="0.3">
      <c r="A217" s="737"/>
      <c r="B217" s="525" t="s">
        <v>1405</v>
      </c>
      <c r="C217" s="526"/>
      <c r="D217" s="927"/>
      <c r="E217" s="517"/>
      <c r="F217" s="517"/>
      <c r="G217" s="517"/>
      <c r="H217" s="928"/>
      <c r="I217" s="929"/>
      <c r="J217" s="928"/>
      <c r="K217" s="927"/>
      <c r="L217" s="930"/>
      <c r="M217" s="931"/>
      <c r="N217" s="521"/>
      <c r="O217" s="521"/>
      <c r="P217" s="521"/>
      <c r="Q217" s="531"/>
      <c r="R217" s="531"/>
      <c r="S217" s="932"/>
    </row>
    <row r="218" spans="1:20" ht="22.5" customHeight="1" x14ac:dyDescent="0.3">
      <c r="A218" s="737"/>
      <c r="B218" s="525" t="s">
        <v>1406</v>
      </c>
      <c r="C218" s="526"/>
      <c r="D218" s="927"/>
      <c r="E218" s="517"/>
      <c r="F218" s="517"/>
      <c r="G218" s="517"/>
      <c r="H218" s="928"/>
      <c r="I218" s="929"/>
      <c r="J218" s="928"/>
      <c r="K218" s="927"/>
      <c r="L218" s="930"/>
      <c r="M218" s="931"/>
      <c r="N218" s="521"/>
      <c r="O218" s="521"/>
      <c r="P218" s="521"/>
      <c r="Q218" s="531"/>
      <c r="R218" s="531"/>
      <c r="S218" s="932"/>
    </row>
    <row r="219" spans="1:20" ht="22.5" customHeight="1" x14ac:dyDescent="0.3">
      <c r="A219" s="737">
        <v>4</v>
      </c>
      <c r="B219" s="525" t="s">
        <v>1887</v>
      </c>
      <c r="C219" s="526"/>
      <c r="D219" s="927">
        <v>0</v>
      </c>
      <c r="E219" s="517"/>
      <c r="F219" s="517"/>
      <c r="G219" s="517"/>
      <c r="H219" s="928">
        <v>889780.34</v>
      </c>
      <c r="I219" s="929">
        <v>0</v>
      </c>
      <c r="J219" s="928">
        <v>889780.34</v>
      </c>
      <c r="K219" s="927"/>
      <c r="L219" s="930"/>
      <c r="M219" s="931"/>
      <c r="N219" s="521"/>
      <c r="O219" s="521"/>
      <c r="P219" s="521"/>
      <c r="Q219" s="531">
        <v>889780.34</v>
      </c>
      <c r="R219" s="531">
        <v>0</v>
      </c>
      <c r="S219" s="932">
        <v>889780.34</v>
      </c>
    </row>
    <row r="220" spans="1:20" ht="22.5" customHeight="1" x14ac:dyDescent="0.3">
      <c r="A220" s="737"/>
      <c r="B220" s="525" t="s">
        <v>1408</v>
      </c>
      <c r="C220" s="526"/>
      <c r="D220" s="927"/>
      <c r="E220" s="517"/>
      <c r="F220" s="517"/>
      <c r="G220" s="517"/>
      <c r="H220" s="928"/>
      <c r="I220" s="929"/>
      <c r="J220" s="928"/>
      <c r="K220" s="927"/>
      <c r="L220" s="930"/>
      <c r="M220" s="931"/>
      <c r="N220" s="521"/>
      <c r="O220" s="521"/>
      <c r="P220" s="521"/>
      <c r="Q220" s="531"/>
      <c r="R220" s="531"/>
      <c r="S220" s="932"/>
    </row>
    <row r="221" spans="1:20" ht="22.5" customHeight="1" x14ac:dyDescent="0.3">
      <c r="A221" s="737"/>
      <c r="B221" s="525"/>
      <c r="C221" s="526"/>
      <c r="D221" s="927">
        <v>0</v>
      </c>
      <c r="E221" s="517"/>
      <c r="F221" s="517"/>
      <c r="G221" s="517"/>
      <c r="H221" s="928"/>
      <c r="I221" s="929"/>
      <c r="J221" s="928"/>
      <c r="K221" s="927"/>
      <c r="L221" s="930"/>
      <c r="M221" s="931"/>
      <c r="N221" s="521"/>
      <c r="O221" s="521"/>
      <c r="P221" s="521"/>
      <c r="Q221" s="531"/>
      <c r="R221" s="531"/>
      <c r="S221" s="932"/>
    </row>
    <row r="222" spans="1:20" s="60" customFormat="1" ht="22.5" customHeight="1" thickBot="1" x14ac:dyDescent="0.35">
      <c r="A222" s="921"/>
      <c r="B222" s="921" t="s">
        <v>15</v>
      </c>
      <c r="C222" s="922"/>
      <c r="D222" s="923">
        <v>0</v>
      </c>
      <c r="E222" s="924"/>
      <c r="F222" s="924"/>
      <c r="G222" s="925"/>
      <c r="H222" s="926">
        <f>SUM(H210:H221)</f>
        <v>1363508.3699999999</v>
      </c>
      <c r="I222" s="926">
        <f t="shared" ref="I222:S222" si="29">SUM(I210:I221)</f>
        <v>0</v>
      </c>
      <c r="J222" s="926">
        <f>SUM(J210:J221)</f>
        <v>1363508.3699999999</v>
      </c>
      <c r="K222" s="926">
        <f t="shared" si="29"/>
        <v>0</v>
      </c>
      <c r="L222" s="926">
        <f t="shared" si="29"/>
        <v>0</v>
      </c>
      <c r="M222" s="926">
        <f t="shared" si="29"/>
        <v>0</v>
      </c>
      <c r="N222" s="926">
        <f t="shared" si="29"/>
        <v>0</v>
      </c>
      <c r="O222" s="926">
        <f t="shared" si="29"/>
        <v>0</v>
      </c>
      <c r="P222" s="926">
        <f t="shared" si="29"/>
        <v>0</v>
      </c>
      <c r="Q222" s="926">
        <f>SUM(Q210:Q221)</f>
        <v>1363508.3699999999</v>
      </c>
      <c r="R222" s="926">
        <f t="shared" si="29"/>
        <v>0</v>
      </c>
      <c r="S222" s="926">
        <f t="shared" si="29"/>
        <v>1363508.3699999999</v>
      </c>
      <c r="T222" s="59"/>
    </row>
    <row r="223" spans="1:20" ht="22.5" customHeight="1" thickTop="1" x14ac:dyDescent="0.3">
      <c r="A223" s="559"/>
      <c r="B223" s="560" t="s">
        <v>92</v>
      </c>
      <c r="C223" s="561"/>
      <c r="D223" s="562"/>
      <c r="E223" s="563"/>
      <c r="F223" s="563"/>
      <c r="G223" s="564"/>
      <c r="H223" s="565"/>
      <c r="I223" s="565"/>
      <c r="J223" s="565"/>
      <c r="K223" s="566"/>
      <c r="L223" s="566"/>
      <c r="M223" s="562"/>
      <c r="N223" s="567"/>
      <c r="O223" s="567"/>
      <c r="P223" s="568"/>
      <c r="Q223" s="569"/>
      <c r="R223" s="569"/>
      <c r="S223" s="570"/>
      <c r="T223" s="2"/>
    </row>
    <row r="224" spans="1:20" ht="22.5" customHeight="1" x14ac:dyDescent="0.3">
      <c r="A224" s="23">
        <v>1</v>
      </c>
      <c r="B224" s="73" t="s">
        <v>512</v>
      </c>
      <c r="C224" s="25" t="s">
        <v>97</v>
      </c>
      <c r="D224" s="43">
        <v>0</v>
      </c>
      <c r="E224" s="212" t="s">
        <v>513</v>
      </c>
      <c r="F224" s="212"/>
      <c r="G224" s="213" t="s">
        <v>514</v>
      </c>
      <c r="H224" s="219">
        <v>9813.08</v>
      </c>
      <c r="I224" s="219">
        <v>686.91560000000004</v>
      </c>
      <c r="J224" s="219">
        <v>10499.9956</v>
      </c>
      <c r="K224" s="408"/>
      <c r="L224" s="408"/>
      <c r="M224" s="43"/>
      <c r="N224" s="41" t="s">
        <v>513</v>
      </c>
      <c r="O224" s="41"/>
      <c r="P224" s="34" t="s">
        <v>514</v>
      </c>
      <c r="Q224" s="114">
        <v>9813.08</v>
      </c>
      <c r="R224" s="114">
        <v>686.91560000000004</v>
      </c>
      <c r="S224" s="36">
        <v>10499.9956</v>
      </c>
      <c r="T224" s="2"/>
    </row>
    <row r="225" spans="1:22" s="60" customFormat="1" ht="22.5" customHeight="1" thickBot="1" x14ac:dyDescent="0.35">
      <c r="A225" s="548"/>
      <c r="B225" s="548" t="s">
        <v>15</v>
      </c>
      <c r="C225" s="549"/>
      <c r="D225" s="550"/>
      <c r="E225" s="571"/>
      <c r="F225" s="571"/>
      <c r="G225" s="552"/>
      <c r="H225" s="553">
        <v>9813.08</v>
      </c>
      <c r="I225" s="553">
        <v>686.91560000000004</v>
      </c>
      <c r="J225" s="553">
        <v>10499.9956</v>
      </c>
      <c r="K225" s="554"/>
      <c r="L225" s="554"/>
      <c r="M225" s="550"/>
      <c r="N225" s="548"/>
      <c r="O225" s="548"/>
      <c r="P225" s="552"/>
      <c r="Q225" s="557">
        <v>9813.08</v>
      </c>
      <c r="R225" s="557">
        <v>686.91560000000004</v>
      </c>
      <c r="S225" s="558">
        <v>10499.9956</v>
      </c>
      <c r="T225" s="59"/>
    </row>
    <row r="226" spans="1:22" s="60" customFormat="1" ht="22.5" customHeight="1" thickTop="1" thickBot="1" x14ac:dyDescent="0.35">
      <c r="A226" s="572"/>
      <c r="B226" s="572" t="s">
        <v>515</v>
      </c>
      <c r="C226" s="573"/>
      <c r="D226" s="574"/>
      <c r="E226" s="575"/>
      <c r="F226" s="575"/>
      <c r="G226" s="576"/>
      <c r="H226" s="577">
        <v>1332104.04</v>
      </c>
      <c r="I226" s="577">
        <v>686.91560000000004</v>
      </c>
      <c r="J226" s="577">
        <v>1332790.9556</v>
      </c>
      <c r="K226" s="578"/>
      <c r="L226" s="578"/>
      <c r="M226" s="579">
        <v>0</v>
      </c>
      <c r="N226" s="580"/>
      <c r="O226" s="580"/>
      <c r="P226" s="581"/>
      <c r="Q226" s="582">
        <f>SUM(Q222+Q225)</f>
        <v>1373321.45</v>
      </c>
      <c r="R226" s="582">
        <v>686.91560000000004</v>
      </c>
      <c r="S226" s="583">
        <f>SUM(S222+S225)</f>
        <v>1374008.3655999999</v>
      </c>
      <c r="T226" s="59"/>
    </row>
    <row r="227" spans="1:22" ht="22.5" customHeight="1" thickTop="1" x14ac:dyDescent="0.3">
      <c r="E227" s="469"/>
      <c r="F227" s="469"/>
      <c r="G227" s="470"/>
      <c r="H227" s="3"/>
      <c r="I227" s="3"/>
      <c r="J227" s="3"/>
      <c r="K227" s="584"/>
      <c r="L227" s="585"/>
      <c r="N227" s="470"/>
      <c r="O227" s="470"/>
      <c r="P227" s="586"/>
      <c r="Q227" s="471"/>
      <c r="R227" s="471"/>
      <c r="S227" s="472"/>
      <c r="T227" s="2"/>
    </row>
    <row r="228" spans="1:22" s="589" customFormat="1" ht="20.399999999999999" x14ac:dyDescent="0.5">
      <c r="A228" s="1126" t="s">
        <v>1183</v>
      </c>
      <c r="B228" s="1127"/>
      <c r="C228" s="1127"/>
      <c r="D228" s="1127"/>
      <c r="E228" s="1127"/>
      <c r="F228" s="1127"/>
      <c r="G228" s="1127"/>
      <c r="H228" s="1127"/>
      <c r="I228" s="1127"/>
      <c r="J228" s="1127"/>
      <c r="K228" s="1127"/>
      <c r="L228" s="1127"/>
      <c r="M228" s="1127"/>
      <c r="N228" s="1127"/>
      <c r="O228" s="1127"/>
      <c r="P228" s="1127"/>
      <c r="Q228" s="1127"/>
      <c r="R228" s="1127"/>
      <c r="S228" s="1127"/>
      <c r="T228" s="587"/>
      <c r="U228" s="587"/>
      <c r="V228" s="588"/>
    </row>
    <row r="229" spans="1:22" s="599" customFormat="1" x14ac:dyDescent="0.6">
      <c r="A229" s="590">
        <v>1</v>
      </c>
      <c r="B229" s="591" t="s">
        <v>517</v>
      </c>
      <c r="C229" s="591" t="s">
        <v>518</v>
      </c>
      <c r="D229" s="592">
        <v>0</v>
      </c>
      <c r="E229" s="593"/>
      <c r="F229" s="593"/>
      <c r="G229" s="594"/>
      <c r="H229" s="595">
        <v>0</v>
      </c>
      <c r="I229" s="595">
        <v>0</v>
      </c>
      <c r="J229" s="595">
        <v>0</v>
      </c>
      <c r="K229" s="596"/>
      <c r="L229" s="596"/>
      <c r="M229" s="597"/>
      <c r="N229" s="598"/>
      <c r="O229" s="598"/>
      <c r="P229" s="594"/>
      <c r="Q229" s="595">
        <v>0</v>
      </c>
      <c r="R229" s="595">
        <v>0</v>
      </c>
      <c r="S229" s="595">
        <v>0</v>
      </c>
      <c r="V229" s="600"/>
    </row>
    <row r="230" spans="1:22" s="599" customFormat="1" x14ac:dyDescent="0.6">
      <c r="A230" s="601">
        <v>2</v>
      </c>
      <c r="B230" s="602" t="s">
        <v>519</v>
      </c>
      <c r="C230" s="602" t="s">
        <v>520</v>
      </c>
      <c r="D230" s="603">
        <v>0</v>
      </c>
      <c r="E230" s="604"/>
      <c r="F230" s="604"/>
      <c r="G230" s="605"/>
      <c r="H230" s="606"/>
      <c r="I230" s="606"/>
      <c r="J230" s="606"/>
      <c r="K230" s="607"/>
      <c r="L230" s="607"/>
      <c r="M230" s="608"/>
      <c r="N230" s="604"/>
      <c r="O230" s="604"/>
      <c r="P230" s="605"/>
      <c r="Q230" s="609"/>
      <c r="R230" s="609"/>
      <c r="S230" s="609"/>
      <c r="T230" s="599" t="s">
        <v>1886</v>
      </c>
      <c r="V230" s="600"/>
    </row>
    <row r="231" spans="1:22" s="599" customFormat="1" x14ac:dyDescent="0.6">
      <c r="A231" s="61">
        <v>35</v>
      </c>
      <c r="B231" s="290" t="s">
        <v>463</v>
      </c>
      <c r="C231" s="63" t="s">
        <v>464</v>
      </c>
      <c r="D231" s="452"/>
      <c r="E231" s="443"/>
      <c r="F231" s="443"/>
      <c r="G231" s="66"/>
      <c r="H231" s="67"/>
      <c r="I231" s="67"/>
      <c r="J231" s="67"/>
      <c r="K231" s="449"/>
      <c r="L231" s="450"/>
      <c r="M231" s="451"/>
      <c r="N231" s="69"/>
      <c r="O231" s="69"/>
      <c r="P231" s="70"/>
      <c r="Q231" s="71"/>
      <c r="R231" s="71"/>
      <c r="S231" s="387"/>
      <c r="T231" s="599" t="s">
        <v>1886</v>
      </c>
      <c r="V231" s="600"/>
    </row>
    <row r="232" spans="1:22" s="599" customFormat="1" x14ac:dyDescent="0.6">
      <c r="A232" s="646"/>
      <c r="B232" s="647"/>
      <c r="C232" s="647"/>
      <c r="D232" s="648"/>
      <c r="E232" s="649"/>
      <c r="F232" s="649"/>
      <c r="G232" s="650"/>
      <c r="H232" s="651"/>
      <c r="I232" s="651"/>
      <c r="J232" s="651"/>
      <c r="K232" s="1017"/>
      <c r="L232" s="1017"/>
      <c r="M232" s="1018"/>
      <c r="N232" s="649"/>
      <c r="O232" s="649"/>
      <c r="P232" s="650"/>
      <c r="Q232" s="609"/>
      <c r="R232" s="609"/>
      <c r="S232" s="609"/>
      <c r="V232" s="600"/>
    </row>
    <row r="233" spans="1:22" s="599" customFormat="1" x14ac:dyDescent="0.6">
      <c r="A233" s="610">
        <v>3</v>
      </c>
      <c r="B233" s="611" t="s">
        <v>521</v>
      </c>
      <c r="C233" s="611" t="s">
        <v>522</v>
      </c>
      <c r="D233" s="612">
        <v>0</v>
      </c>
      <c r="E233" s="613"/>
      <c r="F233" s="613"/>
      <c r="G233" s="614"/>
      <c r="H233" s="615">
        <v>0</v>
      </c>
      <c r="I233" s="615">
        <v>0</v>
      </c>
      <c r="J233" s="615">
        <v>0</v>
      </c>
      <c r="K233" s="616"/>
      <c r="L233" s="616"/>
      <c r="M233" s="617"/>
      <c r="N233" s="618"/>
      <c r="O233" s="618"/>
      <c r="P233" s="614"/>
      <c r="Q233" s="609">
        <v>0</v>
      </c>
      <c r="R233" s="609">
        <v>0</v>
      </c>
      <c r="S233" s="609">
        <v>0</v>
      </c>
      <c r="V233" s="600"/>
    </row>
    <row r="234" spans="1:22" s="599" customFormat="1" ht="24" thickBot="1" x14ac:dyDescent="0.65">
      <c r="A234" s="619"/>
      <c r="B234" s="620" t="s">
        <v>1184</v>
      </c>
      <c r="C234" s="621"/>
      <c r="D234" s="622">
        <v>0</v>
      </c>
      <c r="E234" s="623"/>
      <c r="F234" s="623"/>
      <c r="G234" s="624"/>
      <c r="H234" s="625">
        <f>SUM(H229:H233)</f>
        <v>0</v>
      </c>
      <c r="I234" s="625">
        <v>0</v>
      </c>
      <c r="J234" s="625">
        <f>SUM(J229:J233)</f>
        <v>0</v>
      </c>
      <c r="K234" s="624"/>
      <c r="L234" s="624"/>
      <c r="M234" s="622">
        <v>0</v>
      </c>
      <c r="N234" s="623"/>
      <c r="O234" s="623"/>
      <c r="P234" s="624"/>
      <c r="Q234" s="626"/>
      <c r="R234" s="626"/>
      <c r="S234" s="626"/>
      <c r="T234" s="627">
        <v>2034140.3755999999</v>
      </c>
      <c r="V234" s="600"/>
    </row>
    <row r="235" spans="1:22" s="636" customFormat="1" ht="24" thickTop="1" x14ac:dyDescent="0.6">
      <c r="A235" s="628"/>
      <c r="B235" s="629"/>
      <c r="C235" s="630"/>
      <c r="D235" s="631"/>
      <c r="E235" s="632"/>
      <c r="F235" s="632"/>
      <c r="G235" s="633"/>
      <c r="H235" s="634"/>
      <c r="I235" s="634"/>
      <c r="J235" s="634"/>
      <c r="K235" s="633"/>
      <c r="L235" s="633"/>
      <c r="M235" s="631"/>
      <c r="N235" s="632"/>
      <c r="O235" s="632"/>
      <c r="P235" s="633"/>
      <c r="Q235" s="635"/>
      <c r="R235" s="635"/>
      <c r="S235" s="635"/>
      <c r="V235" s="637"/>
    </row>
    <row r="236" spans="1:22" s="636" customFormat="1" x14ac:dyDescent="0.6">
      <c r="A236" s="1128" t="s">
        <v>524</v>
      </c>
      <c r="B236" s="1128"/>
      <c r="C236" s="1128"/>
      <c r="D236" s="1128"/>
      <c r="E236" s="1128"/>
      <c r="F236" s="1128"/>
      <c r="G236" s="1128"/>
      <c r="H236" s="1128"/>
      <c r="I236" s="1128"/>
      <c r="J236" s="1128"/>
      <c r="K236" s="1128"/>
      <c r="L236" s="1128"/>
      <c r="M236" s="1128"/>
      <c r="N236" s="1128"/>
      <c r="O236" s="1128"/>
      <c r="P236" s="1128"/>
      <c r="Q236" s="1128"/>
      <c r="R236" s="1128"/>
      <c r="S236" s="1128"/>
      <c r="V236" s="637"/>
    </row>
    <row r="237" spans="1:22" s="599" customFormat="1" x14ac:dyDescent="0.6">
      <c r="A237" s="638">
        <v>1</v>
      </c>
      <c r="B237" s="639" t="s">
        <v>519</v>
      </c>
      <c r="C237" s="639" t="s">
        <v>518</v>
      </c>
      <c r="D237" s="640"/>
      <c r="E237" s="641"/>
      <c r="F237" s="641"/>
      <c r="G237" s="642"/>
      <c r="H237" s="643"/>
      <c r="I237" s="643"/>
      <c r="J237" s="643"/>
      <c r="K237" s="884"/>
      <c r="L237" s="884"/>
      <c r="M237" s="884"/>
      <c r="N237" s="884"/>
      <c r="O237" s="884"/>
      <c r="P237" s="884"/>
      <c r="Q237" s="643"/>
      <c r="R237" s="643"/>
      <c r="S237" s="643"/>
      <c r="T237" s="599" t="s">
        <v>1886</v>
      </c>
      <c r="V237" s="600"/>
    </row>
    <row r="238" spans="1:22" s="599" customFormat="1" x14ac:dyDescent="0.6">
      <c r="A238" s="646">
        <v>2</v>
      </c>
      <c r="B238" s="647" t="s">
        <v>521</v>
      </c>
      <c r="C238" s="647" t="s">
        <v>522</v>
      </c>
      <c r="D238" s="648">
        <v>8400</v>
      </c>
      <c r="E238" s="649"/>
      <c r="F238" s="649"/>
      <c r="G238" s="650"/>
      <c r="H238" s="651">
        <v>1.8189894035458565E-12</v>
      </c>
      <c r="I238" s="615">
        <v>0</v>
      </c>
      <c r="J238" s="615">
        <v>1.8189894035458565E-12</v>
      </c>
      <c r="K238" s="644" t="s">
        <v>1821</v>
      </c>
      <c r="L238" s="644" t="s">
        <v>1888</v>
      </c>
      <c r="M238" s="645">
        <v>8400</v>
      </c>
      <c r="N238" s="641"/>
      <c r="O238" s="641"/>
      <c r="P238" s="642"/>
      <c r="Q238" s="643">
        <f>SUM(D238+J238-M238)</f>
        <v>1.8189894035458565E-12</v>
      </c>
      <c r="R238" s="606">
        <v>0</v>
      </c>
      <c r="S238" s="643">
        <f>SUM(D238+J238-M238)</f>
        <v>1.8189894035458565E-12</v>
      </c>
      <c r="V238" s="600"/>
    </row>
    <row r="239" spans="1:22" s="599" customFormat="1" x14ac:dyDescent="0.6">
      <c r="A239" s="646"/>
      <c r="B239" s="653" t="s">
        <v>534</v>
      </c>
      <c r="C239" s="647"/>
      <c r="D239" s="648"/>
      <c r="E239" s="649"/>
      <c r="F239" s="649"/>
      <c r="G239" s="650"/>
      <c r="H239" s="651"/>
      <c r="I239" s="651"/>
      <c r="J239" s="651"/>
      <c r="K239" s="30"/>
      <c r="L239" s="249"/>
      <c r="M239" s="221"/>
      <c r="N239" s="652"/>
      <c r="O239" s="652"/>
      <c r="P239" s="373"/>
      <c r="Q239" s="651"/>
      <c r="R239" s="651"/>
      <c r="S239" s="651"/>
      <c r="V239" s="600"/>
    </row>
    <row r="240" spans="1:22" s="599" customFormat="1" ht="24" thickBot="1" x14ac:dyDescent="0.65">
      <c r="A240" s="619"/>
      <c r="B240" s="620" t="s">
        <v>535</v>
      </c>
      <c r="C240" s="621"/>
      <c r="D240" s="622">
        <f>SUM(D237:D239)</f>
        <v>8400</v>
      </c>
      <c r="E240" s="623"/>
      <c r="F240" s="623"/>
      <c r="G240" s="624"/>
      <c r="H240" s="625">
        <f>SUM(H237:H239)</f>
        <v>1.8189894035458565E-12</v>
      </c>
      <c r="I240" s="625">
        <f>SUM(I237:I239)-I238</f>
        <v>0</v>
      </c>
      <c r="J240" s="625">
        <f>SUM(J237:J239)</f>
        <v>1.8189894035458565E-12</v>
      </c>
      <c r="K240" s="625"/>
      <c r="L240" s="625"/>
      <c r="M240" s="625">
        <f>SUM(M238:M239)</f>
        <v>8400</v>
      </c>
      <c r="N240" s="625"/>
      <c r="O240" s="625"/>
      <c r="P240" s="625"/>
      <c r="Q240" s="625">
        <f>SUM(Q237:Q239)</f>
        <v>1.8189894035458565E-12</v>
      </c>
      <c r="R240" s="625">
        <f>SUM(R237:R239)</f>
        <v>0</v>
      </c>
      <c r="S240" s="625">
        <f>SUM(S237:S239)</f>
        <v>1.8189894035458565E-12</v>
      </c>
      <c r="V240" s="600"/>
    </row>
    <row r="241" spans="1:20" ht="22.5" customHeight="1" thickTop="1" thickBot="1" x14ac:dyDescent="0.35">
      <c r="A241" s="763"/>
      <c r="B241" s="763"/>
      <c r="C241" s="764"/>
      <c r="D241" s="1026">
        <f>SUM(D206+D240)</f>
        <v>1223435.7800000003</v>
      </c>
      <c r="E241" s="1019"/>
      <c r="F241" s="1019"/>
      <c r="G241" s="1020"/>
      <c r="H241" s="763"/>
      <c r="I241" s="763"/>
      <c r="J241" s="763"/>
      <c r="K241" s="1021"/>
      <c r="L241" s="1022"/>
      <c r="M241" s="1023">
        <f>SUM(M206+M226+M234+M240)</f>
        <v>1284238.7200000002</v>
      </c>
      <c r="N241" s="1020"/>
      <c r="O241" s="1020"/>
      <c r="P241" s="1024"/>
      <c r="Q241" s="1137" t="s">
        <v>536</v>
      </c>
      <c r="R241" s="1137"/>
      <c r="S241" s="1025">
        <f>SUM(S206+S226+S234+S240)</f>
        <v>1689069.3652999999</v>
      </c>
      <c r="T241" s="2"/>
    </row>
    <row r="242" spans="1:20" ht="22.5" customHeight="1" thickTop="1" x14ac:dyDescent="0.5">
      <c r="B242" s="587" t="s">
        <v>537</v>
      </c>
      <c r="C242" s="587"/>
      <c r="D242" s="587"/>
      <c r="E242" s="587"/>
      <c r="F242" s="587"/>
      <c r="G242" s="587"/>
      <c r="H242" s="587"/>
      <c r="I242" s="587"/>
      <c r="J242" s="587"/>
      <c r="K242" s="587"/>
      <c r="N242" s="3"/>
      <c r="O242" s="3"/>
      <c r="P242" s="470"/>
      <c r="Q242" s="471"/>
      <c r="R242" s="471"/>
      <c r="S242" s="472"/>
    </row>
    <row r="243" spans="1:20" x14ac:dyDescent="0.5">
      <c r="B243" s="1129" t="s">
        <v>538</v>
      </c>
      <c r="C243" s="1129"/>
      <c r="D243" s="1129"/>
      <c r="E243" s="1129"/>
      <c r="F243" s="1129"/>
      <c r="G243" s="1129"/>
      <c r="H243" s="1129"/>
      <c r="I243" s="1129"/>
      <c r="J243" s="1129"/>
      <c r="K243" s="1129"/>
      <c r="N243" s="3"/>
      <c r="O243" s="3"/>
      <c r="P243" s="470"/>
      <c r="Q243" s="471"/>
      <c r="R243" s="471"/>
      <c r="S243" s="472"/>
    </row>
    <row r="244" spans="1:20" x14ac:dyDescent="0.5">
      <c r="B244" s="1129" t="s">
        <v>539</v>
      </c>
      <c r="C244" s="1129"/>
      <c r="D244" s="1129"/>
      <c r="E244" s="1129"/>
      <c r="F244" s="1129"/>
      <c r="G244" s="1129"/>
      <c r="H244" s="1129"/>
      <c r="I244" s="1129"/>
      <c r="J244" s="1129"/>
      <c r="K244" s="1129"/>
      <c r="N244" s="3"/>
      <c r="O244" s="3"/>
      <c r="P244" s="470"/>
      <c r="Q244" s="471"/>
      <c r="R244" s="471"/>
      <c r="S244" s="472"/>
    </row>
    <row r="245" spans="1:20" x14ac:dyDescent="0.3">
      <c r="E245" s="469"/>
      <c r="F245" s="469"/>
      <c r="G245" s="470"/>
      <c r="H245" s="3"/>
      <c r="I245" s="3"/>
      <c r="J245" s="3"/>
      <c r="N245" s="3"/>
      <c r="O245" s="3"/>
      <c r="P245" s="470"/>
      <c r="Q245" s="471"/>
      <c r="R245" s="471"/>
      <c r="S245" s="472"/>
    </row>
    <row r="246" spans="1:20" x14ac:dyDescent="0.3">
      <c r="E246" s="469"/>
      <c r="F246" s="469"/>
      <c r="G246" s="470"/>
      <c r="H246" s="3"/>
      <c r="I246" s="3"/>
      <c r="J246" s="3"/>
      <c r="N246" s="3"/>
      <c r="O246" s="3"/>
      <c r="P246" s="470"/>
      <c r="Q246" s="471"/>
      <c r="R246" s="471"/>
      <c r="S246" s="472"/>
    </row>
    <row r="247" spans="1:20" x14ac:dyDescent="0.3">
      <c r="E247" s="469"/>
      <c r="F247" s="469"/>
      <c r="G247" s="470"/>
      <c r="H247" s="3"/>
      <c r="I247" s="3"/>
      <c r="J247" s="3"/>
      <c r="N247" s="3"/>
      <c r="O247" s="3"/>
      <c r="P247" s="470"/>
      <c r="Q247" s="471"/>
      <c r="R247" s="471"/>
      <c r="S247" s="472"/>
    </row>
    <row r="248" spans="1:20" x14ac:dyDescent="0.3">
      <c r="E248" s="469"/>
      <c r="F248" s="469"/>
      <c r="G248" s="470"/>
      <c r="H248" s="3"/>
      <c r="I248" s="3"/>
      <c r="J248" s="3"/>
      <c r="N248" s="3"/>
      <c r="O248" s="3"/>
      <c r="P248" s="470"/>
      <c r="Q248" s="471"/>
      <c r="R248" s="471"/>
      <c r="S248" s="472"/>
    </row>
    <row r="249" spans="1:20" x14ac:dyDescent="0.3">
      <c r="E249" s="469"/>
      <c r="F249" s="469"/>
      <c r="G249" s="470"/>
      <c r="H249" s="3"/>
      <c r="I249" s="3"/>
      <c r="J249" s="3"/>
      <c r="N249" s="3"/>
      <c r="O249" s="3"/>
      <c r="P249" s="470"/>
      <c r="Q249" s="471"/>
      <c r="R249" s="471"/>
      <c r="S249" s="472"/>
    </row>
    <row r="250" spans="1:20" x14ac:dyDescent="0.3">
      <c r="E250" s="469"/>
      <c r="F250" s="469"/>
      <c r="G250" s="470"/>
      <c r="H250" s="3"/>
      <c r="I250" s="3"/>
      <c r="J250" s="3"/>
      <c r="N250" s="3"/>
      <c r="O250" s="3"/>
      <c r="P250" s="470"/>
      <c r="Q250" s="471"/>
      <c r="R250" s="471"/>
      <c r="S250" s="472"/>
    </row>
    <row r="251" spans="1:20" x14ac:dyDescent="0.3">
      <c r="E251" s="469"/>
      <c r="F251" s="469"/>
      <c r="G251" s="470"/>
      <c r="H251" s="3"/>
      <c r="I251" s="3"/>
      <c r="J251" s="3"/>
      <c r="N251" s="3"/>
      <c r="O251" s="3"/>
      <c r="P251" s="470"/>
      <c r="Q251" s="471"/>
      <c r="R251" s="471"/>
      <c r="S251" s="472"/>
    </row>
  </sheetData>
  <mergeCells count="22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44:K244"/>
    <mergeCell ref="E5:E6"/>
    <mergeCell ref="G5:G6"/>
    <mergeCell ref="H5:J5"/>
    <mergeCell ref="N5:N6"/>
    <mergeCell ref="A208:S208"/>
    <mergeCell ref="A228:S228"/>
    <mergeCell ref="A236:S236"/>
    <mergeCell ref="Q241:R241"/>
    <mergeCell ref="B243:K243"/>
    <mergeCell ref="P5:P6"/>
    <mergeCell ref="Q5:S5"/>
  </mergeCells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5838-D6B9-4FC7-B99C-9A5842F12457}">
  <sheetPr>
    <tabColor rgb="FF00B0F0"/>
  </sheetPr>
  <dimension ref="A1:AA161"/>
  <sheetViews>
    <sheetView zoomScale="80" zoomScaleNormal="80" workbookViewId="0">
      <pane ySplit="6" topLeftCell="A152" activePane="bottomLeft" state="frozen"/>
      <selection pane="bottomLeft" activeCell="F157" sqref="F157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2.44140625" style="88" customWidth="1"/>
    <col min="5" max="5" width="18.6640625" style="88" customWidth="1"/>
    <col min="6" max="6" width="16.33203125" style="88" customWidth="1"/>
    <col min="7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8" ht="22.5" customHeight="1" x14ac:dyDescent="0.3">
      <c r="A3" s="1110" t="s">
        <v>1747</v>
      </c>
      <c r="B3" s="1111"/>
      <c r="C3" s="1111"/>
      <c r="D3" s="1111"/>
      <c r="E3" s="1111"/>
      <c r="F3" s="1111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8" ht="22.5" customHeight="1" x14ac:dyDescent="0.3">
      <c r="A5" s="1113"/>
      <c r="B5" s="1113"/>
      <c r="C5" s="1116"/>
      <c r="D5" s="5"/>
      <c r="E5" s="6"/>
      <c r="F5" s="6"/>
    </row>
    <row r="6" spans="1:8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8" ht="22.5" customHeight="1" x14ac:dyDescent="0.3">
      <c r="A7" s="11"/>
      <c r="B7" s="12" t="s">
        <v>19</v>
      </c>
      <c r="C7" s="13"/>
      <c r="D7" s="18"/>
      <c r="E7" s="18"/>
      <c r="F7" s="14"/>
    </row>
    <row r="8" spans="1:8" ht="22.5" customHeight="1" x14ac:dyDescent="0.5">
      <c r="A8" s="23">
        <v>1</v>
      </c>
      <c r="B8" s="24" t="s">
        <v>20</v>
      </c>
      <c r="C8" s="25" t="s">
        <v>21</v>
      </c>
      <c r="D8" s="30" t="s">
        <v>1751</v>
      </c>
      <c r="E8" s="31" t="s">
        <v>1752</v>
      </c>
      <c r="F8" s="32">
        <v>4105.2700000000004</v>
      </c>
    </row>
    <row r="9" spans="1:8" ht="22.5" customHeight="1" x14ac:dyDescent="0.5">
      <c r="A9" s="23">
        <v>2</v>
      </c>
      <c r="B9" s="24" t="s">
        <v>27</v>
      </c>
      <c r="C9" s="25" t="s">
        <v>28</v>
      </c>
      <c r="D9" s="38" t="s">
        <v>1751</v>
      </c>
      <c r="E9" s="39" t="s">
        <v>1753</v>
      </c>
      <c r="F9" s="40">
        <v>802.5</v>
      </c>
    </row>
    <row r="10" spans="1:8" ht="22.5" customHeight="1" x14ac:dyDescent="0.5">
      <c r="A10" s="23">
        <v>3</v>
      </c>
      <c r="B10" s="24" t="s">
        <v>30</v>
      </c>
      <c r="C10" s="25" t="s">
        <v>31</v>
      </c>
      <c r="D10" s="30" t="s">
        <v>1749</v>
      </c>
      <c r="E10" s="31" t="s">
        <v>1750</v>
      </c>
      <c r="F10" s="32">
        <v>1155.5999999999999</v>
      </c>
    </row>
    <row r="11" spans="1:8" s="60" customFormat="1" ht="22.5" customHeight="1" thickBot="1" x14ac:dyDescent="0.35">
      <c r="A11" s="48"/>
      <c r="B11" s="48" t="s">
        <v>15</v>
      </c>
      <c r="C11" s="49"/>
      <c r="D11" s="54"/>
      <c r="E11" s="55"/>
      <c r="F11" s="998">
        <v>6063.3700000000008</v>
      </c>
      <c r="H11" s="683">
        <f>SUM(F8:F10)</f>
        <v>6063.3700000000008</v>
      </c>
    </row>
    <row r="12" spans="1:8" ht="22.5" customHeight="1" thickTop="1" x14ac:dyDescent="0.3">
      <c r="A12" s="61"/>
      <c r="B12" s="62" t="s">
        <v>37</v>
      </c>
      <c r="C12" s="63"/>
      <c r="D12" s="68"/>
      <c r="E12" s="68"/>
      <c r="F12" s="64"/>
    </row>
    <row r="13" spans="1:8" ht="22.5" customHeight="1" x14ac:dyDescent="0.5">
      <c r="A13" s="23">
        <v>1</v>
      </c>
      <c r="B13" s="73" t="s">
        <v>38</v>
      </c>
      <c r="C13" s="25" t="s">
        <v>39</v>
      </c>
      <c r="D13" s="30" t="s">
        <v>1754</v>
      </c>
      <c r="E13" s="31" t="s">
        <v>1755</v>
      </c>
      <c r="F13" s="32">
        <v>1284</v>
      </c>
    </row>
    <row r="14" spans="1:8" ht="22.5" customHeight="1" x14ac:dyDescent="0.5">
      <c r="A14" s="23">
        <v>2</v>
      </c>
      <c r="B14" s="73" t="s">
        <v>42</v>
      </c>
      <c r="C14" s="25" t="s">
        <v>43</v>
      </c>
      <c r="D14" s="30" t="s">
        <v>1756</v>
      </c>
      <c r="E14" s="31" t="s">
        <v>1757</v>
      </c>
      <c r="F14" s="32">
        <v>1797.6</v>
      </c>
    </row>
    <row r="15" spans="1:8" ht="22.5" customHeight="1" x14ac:dyDescent="0.5">
      <c r="A15" s="23">
        <v>3</v>
      </c>
      <c r="B15" s="73" t="s">
        <v>45</v>
      </c>
      <c r="C15" s="25" t="s">
        <v>46</v>
      </c>
      <c r="D15" s="30" t="s">
        <v>1758</v>
      </c>
      <c r="E15" s="31" t="s">
        <v>1759</v>
      </c>
      <c r="F15" s="32">
        <v>1765.5</v>
      </c>
    </row>
    <row r="16" spans="1:8" ht="22.5" customHeight="1" x14ac:dyDescent="0.5">
      <c r="A16" s="23">
        <v>4</v>
      </c>
      <c r="B16" s="73" t="s">
        <v>48</v>
      </c>
      <c r="C16" s="25" t="s">
        <v>49</v>
      </c>
      <c r="D16" s="30" t="s">
        <v>1761</v>
      </c>
      <c r="E16" s="31" t="s">
        <v>1762</v>
      </c>
      <c r="F16" s="32">
        <v>4429.8</v>
      </c>
    </row>
    <row r="17" spans="1:27" ht="22.5" customHeight="1" x14ac:dyDescent="0.5">
      <c r="A17" s="23">
        <v>5</v>
      </c>
      <c r="B17" s="73" t="s">
        <v>51</v>
      </c>
      <c r="C17" s="25" t="s">
        <v>52</v>
      </c>
      <c r="D17" s="30" t="s">
        <v>1763</v>
      </c>
      <c r="E17" s="31" t="s">
        <v>1764</v>
      </c>
      <c r="F17" s="32">
        <v>9774.4500000000007</v>
      </c>
    </row>
    <row r="18" spans="1:27" ht="22.5" customHeight="1" x14ac:dyDescent="0.5">
      <c r="A18" s="23">
        <v>6</v>
      </c>
      <c r="B18" s="73" t="s">
        <v>30</v>
      </c>
      <c r="C18" s="25" t="s">
        <v>31</v>
      </c>
      <c r="D18" s="30" t="s">
        <v>1758</v>
      </c>
      <c r="E18" s="31" t="s">
        <v>1765</v>
      </c>
      <c r="F18" s="32">
        <v>6420</v>
      </c>
    </row>
    <row r="19" spans="1:27" ht="22.5" customHeight="1" x14ac:dyDescent="0.5">
      <c r="A19" s="23">
        <v>7</v>
      </c>
      <c r="B19" s="78" t="s">
        <v>54</v>
      </c>
      <c r="C19" s="25" t="s">
        <v>55</v>
      </c>
      <c r="D19" s="38" t="s">
        <v>1751</v>
      </c>
      <c r="E19" s="39" t="s">
        <v>1766</v>
      </c>
      <c r="F19" s="40">
        <v>1444.5</v>
      </c>
    </row>
    <row r="20" spans="1:27" ht="22.5" customHeight="1" x14ac:dyDescent="0.5">
      <c r="A20" s="23">
        <v>8</v>
      </c>
      <c r="B20" s="78" t="s">
        <v>56</v>
      </c>
      <c r="C20" s="81" t="s">
        <v>57</v>
      </c>
      <c r="D20" s="38" t="s">
        <v>1756</v>
      </c>
      <c r="E20" s="39" t="s">
        <v>1767</v>
      </c>
      <c r="F20" s="40">
        <v>722.25</v>
      </c>
    </row>
    <row r="21" spans="1:27" s="88" customFormat="1" ht="22.5" customHeight="1" x14ac:dyDescent="0.5">
      <c r="A21" s="23">
        <v>9</v>
      </c>
      <c r="B21" s="84" t="s">
        <v>62</v>
      </c>
      <c r="C21" s="85" t="s">
        <v>28</v>
      </c>
      <c r="D21" s="38" t="s">
        <v>1751</v>
      </c>
      <c r="E21" s="39" t="s">
        <v>1768</v>
      </c>
      <c r="F21" s="40">
        <v>856</v>
      </c>
    </row>
    <row r="22" spans="1:27" ht="22.5" customHeight="1" x14ac:dyDescent="0.5">
      <c r="A22" s="23">
        <v>10</v>
      </c>
      <c r="B22" s="89" t="s">
        <v>64</v>
      </c>
      <c r="C22" s="90" t="s">
        <v>65</v>
      </c>
      <c r="D22" s="38" t="s">
        <v>1769</v>
      </c>
      <c r="E22" s="39" t="s">
        <v>1770</v>
      </c>
      <c r="F22" s="40">
        <v>21400</v>
      </c>
    </row>
    <row r="23" spans="1:27" ht="22.5" customHeight="1" x14ac:dyDescent="0.5">
      <c r="A23" s="23">
        <v>11</v>
      </c>
      <c r="B23" s="94" t="s">
        <v>67</v>
      </c>
      <c r="C23" s="95" t="s">
        <v>68</v>
      </c>
      <c r="D23" s="38" t="s">
        <v>1771</v>
      </c>
      <c r="E23" s="39" t="s">
        <v>1772</v>
      </c>
      <c r="F23" s="40">
        <v>3210</v>
      </c>
    </row>
    <row r="24" spans="1:27" ht="22.5" customHeight="1" x14ac:dyDescent="0.5">
      <c r="A24" s="23">
        <v>12</v>
      </c>
      <c r="B24" s="99" t="s">
        <v>70</v>
      </c>
      <c r="C24" s="100" t="s">
        <v>60</v>
      </c>
      <c r="D24" s="101" t="s">
        <v>1758</v>
      </c>
      <c r="E24" s="102" t="s">
        <v>1773</v>
      </c>
      <c r="F24" s="103">
        <v>3210</v>
      </c>
    </row>
    <row r="25" spans="1:27" s="60" customFormat="1" ht="22.5" customHeight="1" thickBot="1" x14ac:dyDescent="0.35">
      <c r="A25" s="48"/>
      <c r="B25" s="48" t="s">
        <v>15</v>
      </c>
      <c r="C25" s="49"/>
      <c r="D25" s="104"/>
      <c r="E25" s="104"/>
      <c r="F25" s="999">
        <v>56314.100000000006</v>
      </c>
      <c r="H25" s="683">
        <f>SUM(F13:F24)</f>
        <v>56314.100000000006</v>
      </c>
    </row>
    <row r="26" spans="1:27" ht="22.5" customHeight="1" thickTop="1" x14ac:dyDescent="0.3">
      <c r="A26" s="61"/>
      <c r="B26" s="62" t="s">
        <v>71</v>
      </c>
      <c r="C26" s="63"/>
      <c r="D26" s="68"/>
      <c r="E26" s="68"/>
      <c r="F26" s="64"/>
    </row>
    <row r="27" spans="1:27" ht="22.5" customHeight="1" x14ac:dyDescent="0.5">
      <c r="A27" s="23">
        <v>1</v>
      </c>
      <c r="B27" s="73" t="s">
        <v>72</v>
      </c>
      <c r="C27" s="25" t="s">
        <v>73</v>
      </c>
      <c r="D27" s="38" t="s">
        <v>1751</v>
      </c>
      <c r="E27" s="39" t="s">
        <v>1774</v>
      </c>
      <c r="F27" s="32">
        <v>5248.35</v>
      </c>
    </row>
    <row r="28" spans="1:27" ht="22.5" customHeight="1" x14ac:dyDescent="0.5">
      <c r="A28" s="115">
        <v>2</v>
      </c>
      <c r="B28" s="4" t="s">
        <v>75</v>
      </c>
      <c r="C28" s="25" t="s">
        <v>76</v>
      </c>
      <c r="D28" s="101" t="s">
        <v>1775</v>
      </c>
      <c r="E28" s="102" t="s">
        <v>1776</v>
      </c>
      <c r="F28" s="103">
        <v>14445</v>
      </c>
    </row>
    <row r="29" spans="1:27" s="60" customFormat="1" ht="22.5" customHeight="1" thickBot="1" x14ac:dyDescent="0.35">
      <c r="A29" s="48"/>
      <c r="B29" s="48" t="s">
        <v>15</v>
      </c>
      <c r="C29" s="49"/>
      <c r="D29" s="50"/>
      <c r="E29" s="50">
        <v>0</v>
      </c>
      <c r="F29" s="998">
        <v>19693.349999999999</v>
      </c>
      <c r="H29" s="683">
        <f>SUM(F27:F28)</f>
        <v>19693.349999999999</v>
      </c>
    </row>
    <row r="30" spans="1:27" ht="22.5" customHeight="1" thickTop="1" x14ac:dyDescent="0.3">
      <c r="A30" s="61"/>
      <c r="B30" s="121" t="s">
        <v>78</v>
      </c>
      <c r="C30" s="63"/>
      <c r="D30" s="68"/>
      <c r="E30" s="68"/>
      <c r="F30" s="64"/>
    </row>
    <row r="31" spans="1:27" s="134" customFormat="1" ht="22.5" customHeight="1" x14ac:dyDescent="0.6">
      <c r="A31" s="122">
        <v>1</v>
      </c>
      <c r="B31" s="123" t="s">
        <v>80</v>
      </c>
      <c r="C31" s="124" t="s">
        <v>65</v>
      </c>
      <c r="D31" s="38" t="s">
        <v>1769</v>
      </c>
      <c r="E31" s="39" t="s">
        <v>1777</v>
      </c>
      <c r="F31" s="40">
        <v>5350</v>
      </c>
      <c r="G31" s="132"/>
      <c r="H31" s="131"/>
      <c r="I31" s="132"/>
      <c r="J31" s="132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</row>
    <row r="32" spans="1:27" s="60" customFormat="1" ht="22.5" customHeight="1" thickBot="1" x14ac:dyDescent="0.35">
      <c r="A32" s="48"/>
      <c r="B32" s="48" t="s">
        <v>15</v>
      </c>
      <c r="C32" s="49"/>
      <c r="D32" s="109"/>
      <c r="E32" s="109"/>
      <c r="F32" s="1000">
        <v>5350</v>
      </c>
      <c r="H32" s="683">
        <f>SUM(F31)</f>
        <v>5350</v>
      </c>
    </row>
    <row r="33" spans="1:8" ht="22.5" customHeight="1" thickTop="1" x14ac:dyDescent="0.3">
      <c r="A33" s="139"/>
      <c r="B33" s="140" t="s">
        <v>81</v>
      </c>
      <c r="C33" s="141"/>
      <c r="D33" s="68"/>
      <c r="E33" s="68"/>
      <c r="F33" s="64"/>
    </row>
    <row r="34" spans="1:8" ht="22.5" customHeight="1" x14ac:dyDescent="0.5">
      <c r="A34" s="148">
        <v>1</v>
      </c>
      <c r="B34" s="149" t="s">
        <v>82</v>
      </c>
      <c r="C34" s="90" t="s">
        <v>1579</v>
      </c>
      <c r="D34" s="30" t="s">
        <v>1778</v>
      </c>
      <c r="E34" s="31" t="s">
        <v>1779</v>
      </c>
      <c r="F34" s="32">
        <v>6955</v>
      </c>
    </row>
    <row r="35" spans="1:8" ht="22.5" customHeight="1" x14ac:dyDescent="0.5">
      <c r="A35" s="970">
        <v>2</v>
      </c>
      <c r="B35" s="971" t="s">
        <v>1582</v>
      </c>
      <c r="C35" s="972" t="s">
        <v>1579</v>
      </c>
      <c r="D35" s="980" t="s">
        <v>1775</v>
      </c>
      <c r="E35" s="981" t="s">
        <v>1780</v>
      </c>
      <c r="F35" s="977">
        <v>10700</v>
      </c>
    </row>
    <row r="36" spans="1:8" s="60" customFormat="1" ht="22.5" customHeight="1" thickBot="1" x14ac:dyDescent="0.35">
      <c r="A36" s="158"/>
      <c r="B36" s="158" t="s">
        <v>15</v>
      </c>
      <c r="C36" s="159"/>
      <c r="D36" s="161"/>
      <c r="E36" s="161"/>
      <c r="F36" s="1001">
        <v>17655</v>
      </c>
      <c r="H36" s="683">
        <f>SUM(F34:F35)</f>
        <v>17655</v>
      </c>
    </row>
    <row r="37" spans="1:8" ht="22.5" customHeight="1" thickTop="1" x14ac:dyDescent="0.3">
      <c r="A37" s="115"/>
      <c r="B37" s="164" t="s">
        <v>85</v>
      </c>
      <c r="C37" s="165"/>
      <c r="D37" s="170"/>
      <c r="E37" s="170"/>
      <c r="F37" s="171"/>
    </row>
    <row r="38" spans="1:8" ht="22.5" customHeight="1" x14ac:dyDescent="0.3">
      <c r="A38" s="174">
        <v>1</v>
      </c>
      <c r="B38" s="175" t="s">
        <v>86</v>
      </c>
      <c r="C38" s="176" t="s">
        <v>87</v>
      </c>
      <c r="D38" s="182" t="s">
        <v>1751</v>
      </c>
      <c r="E38" s="183" t="s">
        <v>1781</v>
      </c>
      <c r="F38" s="184">
        <v>770.4</v>
      </c>
    </row>
    <row r="39" spans="1:8" ht="22.5" customHeight="1" x14ac:dyDescent="0.5">
      <c r="A39" s="174">
        <v>2</v>
      </c>
      <c r="B39" s="189" t="s">
        <v>89</v>
      </c>
      <c r="C39" s="190" t="s">
        <v>90</v>
      </c>
      <c r="D39" s="38" t="s">
        <v>1771</v>
      </c>
      <c r="E39" s="39" t="s">
        <v>1782</v>
      </c>
      <c r="F39" s="40">
        <v>3210</v>
      </c>
    </row>
    <row r="40" spans="1:8" s="60" customFormat="1" ht="22.5" customHeight="1" thickBot="1" x14ac:dyDescent="0.35">
      <c r="A40" s="194"/>
      <c r="B40" s="194" t="s">
        <v>15</v>
      </c>
      <c r="C40" s="195"/>
      <c r="D40" s="198"/>
      <c r="E40" s="199"/>
      <c r="F40" s="1002">
        <v>3980.4</v>
      </c>
      <c r="H40" s="683">
        <f>SUM(F38:F39)</f>
        <v>3980.4</v>
      </c>
    </row>
    <row r="41" spans="1:8" ht="22.5" customHeight="1" thickTop="1" x14ac:dyDescent="0.3">
      <c r="A41" s="61"/>
      <c r="B41" s="62" t="s">
        <v>92</v>
      </c>
      <c r="C41" s="63"/>
      <c r="D41" s="68"/>
      <c r="E41" s="68"/>
      <c r="F41" s="64"/>
    </row>
    <row r="42" spans="1:8" ht="22.5" customHeight="1" x14ac:dyDescent="0.5">
      <c r="A42" s="208">
        <v>1</v>
      </c>
      <c r="B42" s="209" t="s">
        <v>1588</v>
      </c>
      <c r="C42" s="210" t="s">
        <v>1589</v>
      </c>
      <c r="D42" s="30" t="s">
        <v>1751</v>
      </c>
      <c r="E42" s="31" t="s">
        <v>1783</v>
      </c>
      <c r="F42" s="32">
        <v>12904.2</v>
      </c>
    </row>
    <row r="43" spans="1:8" ht="22.5" customHeight="1" x14ac:dyDescent="0.5">
      <c r="A43" s="208">
        <v>2</v>
      </c>
      <c r="B43" s="209" t="s">
        <v>1588</v>
      </c>
      <c r="C43" s="210" t="s">
        <v>1591</v>
      </c>
      <c r="D43" s="30" t="s">
        <v>1751</v>
      </c>
      <c r="E43" s="31" t="s">
        <v>1783</v>
      </c>
      <c r="F43" s="32">
        <v>6441.4</v>
      </c>
    </row>
    <row r="44" spans="1:8" ht="22.5" customHeight="1" x14ac:dyDescent="0.5">
      <c r="A44" s="208">
        <v>3</v>
      </c>
      <c r="B44" s="73" t="s">
        <v>1592</v>
      </c>
      <c r="C44" s="25" t="s">
        <v>1593</v>
      </c>
      <c r="D44" s="30" t="s">
        <v>1769</v>
      </c>
      <c r="E44" s="220" t="s">
        <v>1784</v>
      </c>
      <c r="F44" s="221">
        <v>11887.7</v>
      </c>
    </row>
    <row r="45" spans="1:8" ht="22.5" customHeight="1" x14ac:dyDescent="0.5">
      <c r="A45" s="208">
        <v>4</v>
      </c>
      <c r="B45" s="73" t="s">
        <v>99</v>
      </c>
      <c r="C45" s="25" t="s">
        <v>567</v>
      </c>
      <c r="D45" s="30" t="s">
        <v>1758</v>
      </c>
      <c r="E45" s="31" t="s">
        <v>1785</v>
      </c>
      <c r="F45" s="32">
        <v>4247.8999999999996</v>
      </c>
    </row>
    <row r="46" spans="1:8" ht="22.5" customHeight="1" x14ac:dyDescent="0.5">
      <c r="A46" s="208">
        <v>5</v>
      </c>
      <c r="B46" s="24" t="s">
        <v>99</v>
      </c>
      <c r="C46" s="222" t="s">
        <v>1596</v>
      </c>
      <c r="D46" s="30" t="s">
        <v>1758</v>
      </c>
      <c r="E46" s="31" t="s">
        <v>1785</v>
      </c>
      <c r="F46" s="32">
        <v>203.3</v>
      </c>
    </row>
    <row r="47" spans="1:8" ht="22.5" customHeight="1" x14ac:dyDescent="0.5">
      <c r="A47" s="208">
        <v>6</v>
      </c>
      <c r="B47" s="73" t="s">
        <v>1597</v>
      </c>
      <c r="C47" s="25" t="s">
        <v>1598</v>
      </c>
      <c r="D47" s="30" t="s">
        <v>1763</v>
      </c>
      <c r="E47" s="31" t="s">
        <v>1786</v>
      </c>
      <c r="F47" s="32">
        <v>17665.699999999997</v>
      </c>
    </row>
    <row r="48" spans="1:8" ht="22.5" customHeight="1" x14ac:dyDescent="0.5">
      <c r="A48" s="208">
        <v>7</v>
      </c>
      <c r="B48" s="73" t="s">
        <v>1597</v>
      </c>
      <c r="C48" s="25" t="s">
        <v>1600</v>
      </c>
      <c r="D48" s="30" t="s">
        <v>1763</v>
      </c>
      <c r="E48" s="31" t="s">
        <v>1786</v>
      </c>
      <c r="F48" s="32">
        <v>30024.199999999997</v>
      </c>
    </row>
    <row r="49" spans="1:6" ht="22.5" customHeight="1" x14ac:dyDescent="0.5">
      <c r="A49" s="208">
        <v>8</v>
      </c>
      <c r="B49" s="73" t="s">
        <v>105</v>
      </c>
      <c r="C49" s="25" t="s">
        <v>567</v>
      </c>
      <c r="D49" s="30" t="s">
        <v>1761</v>
      </c>
      <c r="E49" s="31" t="s">
        <v>1787</v>
      </c>
      <c r="F49" s="32">
        <v>28975.599999999999</v>
      </c>
    </row>
    <row r="50" spans="1:6" ht="22.5" customHeight="1" x14ac:dyDescent="0.5">
      <c r="A50" s="208">
        <v>9</v>
      </c>
      <c r="B50" s="73" t="s">
        <v>1602</v>
      </c>
      <c r="C50" s="25" t="s">
        <v>1603</v>
      </c>
      <c r="D50" s="30" t="s">
        <v>1788</v>
      </c>
      <c r="E50" s="31" t="s">
        <v>1789</v>
      </c>
      <c r="F50" s="32">
        <v>535</v>
      </c>
    </row>
    <row r="51" spans="1:6" ht="22.5" customHeight="1" x14ac:dyDescent="0.5">
      <c r="A51" s="208">
        <v>10</v>
      </c>
      <c r="B51" s="209" t="s">
        <v>1605</v>
      </c>
      <c r="C51" s="210" t="s">
        <v>1606</v>
      </c>
      <c r="D51" s="30" t="s">
        <v>1790</v>
      </c>
      <c r="E51" s="31" t="s">
        <v>1791</v>
      </c>
      <c r="F51" s="32">
        <v>75103.3</v>
      </c>
    </row>
    <row r="52" spans="1:6" ht="22.5" customHeight="1" x14ac:dyDescent="0.5">
      <c r="A52" s="208">
        <v>11</v>
      </c>
      <c r="B52" s="73" t="s">
        <v>1608</v>
      </c>
      <c r="C52" s="25" t="s">
        <v>567</v>
      </c>
      <c r="D52" s="30" t="s">
        <v>1751</v>
      </c>
      <c r="E52" s="31" t="s">
        <v>1792</v>
      </c>
      <c r="F52" s="32">
        <v>8806.1</v>
      </c>
    </row>
    <row r="53" spans="1:6" ht="22.5" customHeight="1" x14ac:dyDescent="0.5">
      <c r="A53" s="208">
        <v>12</v>
      </c>
      <c r="B53" s="73" t="s">
        <v>1614</v>
      </c>
      <c r="C53" s="25" t="s">
        <v>567</v>
      </c>
      <c r="D53" s="30" t="s">
        <v>1749</v>
      </c>
      <c r="E53" s="31" t="s">
        <v>1794</v>
      </c>
      <c r="F53" s="32">
        <v>1177</v>
      </c>
    </row>
    <row r="54" spans="1:6" ht="22.5" customHeight="1" x14ac:dyDescent="0.5">
      <c r="A54" s="208">
        <v>13</v>
      </c>
      <c r="B54" s="73" t="s">
        <v>124</v>
      </c>
      <c r="C54" s="83" t="s">
        <v>567</v>
      </c>
      <c r="D54" s="30" t="s">
        <v>1769</v>
      </c>
      <c r="E54" s="31" t="s">
        <v>1795</v>
      </c>
      <c r="F54" s="32">
        <v>9137.7999999999993</v>
      </c>
    </row>
    <row r="55" spans="1:6" ht="22.5" customHeight="1" x14ac:dyDescent="0.5">
      <c r="A55" s="208">
        <v>14</v>
      </c>
      <c r="B55" s="78" t="s">
        <v>1622</v>
      </c>
      <c r="C55" s="210" t="s">
        <v>567</v>
      </c>
      <c r="D55" s="30" t="s">
        <v>1796</v>
      </c>
      <c r="E55" s="31" t="s">
        <v>1797</v>
      </c>
      <c r="F55" s="32">
        <v>6805.2</v>
      </c>
    </row>
    <row r="56" spans="1:6" ht="22.5" customHeight="1" x14ac:dyDescent="0.5">
      <c r="A56" s="208">
        <v>15</v>
      </c>
      <c r="B56" s="78" t="s">
        <v>1624</v>
      </c>
      <c r="C56" s="210" t="s">
        <v>1625</v>
      </c>
      <c r="D56" s="30" t="s">
        <v>1796</v>
      </c>
      <c r="E56" s="31" t="s">
        <v>1797</v>
      </c>
      <c r="F56" s="32">
        <v>16103.5</v>
      </c>
    </row>
    <row r="57" spans="1:6" ht="22.5" customHeight="1" x14ac:dyDescent="0.5">
      <c r="A57" s="208">
        <v>16</v>
      </c>
      <c r="B57" s="78" t="s">
        <v>134</v>
      </c>
      <c r="C57" s="165" t="s">
        <v>567</v>
      </c>
      <c r="D57" s="38" t="s">
        <v>1756</v>
      </c>
      <c r="E57" s="39" t="s">
        <v>1798</v>
      </c>
      <c r="F57" s="40">
        <v>2568</v>
      </c>
    </row>
    <row r="58" spans="1:6" s="229" customFormat="1" ht="22.5" customHeight="1" x14ac:dyDescent="0.5">
      <c r="A58" s="208">
        <v>17</v>
      </c>
      <c r="B58" s="226" t="s">
        <v>1627</v>
      </c>
      <c r="C58" s="227" t="s">
        <v>1610</v>
      </c>
      <c r="D58" s="38" t="s">
        <v>1788</v>
      </c>
      <c r="E58" s="39" t="s">
        <v>1799</v>
      </c>
      <c r="F58" s="40">
        <v>4344.2</v>
      </c>
    </row>
    <row r="59" spans="1:6" ht="22.5" customHeight="1" x14ac:dyDescent="0.5">
      <c r="A59" s="208">
        <v>18</v>
      </c>
      <c r="B59" s="78" t="s">
        <v>54</v>
      </c>
      <c r="C59" s="81" t="s">
        <v>1593</v>
      </c>
      <c r="D59" s="38" t="s">
        <v>1751</v>
      </c>
      <c r="E59" s="39" t="s">
        <v>1800</v>
      </c>
      <c r="F59" s="40">
        <v>15365.2</v>
      </c>
    </row>
    <row r="60" spans="1:6" ht="22.5" customHeight="1" x14ac:dyDescent="0.5">
      <c r="A60" s="208">
        <v>19</v>
      </c>
      <c r="B60" s="78" t="s">
        <v>141</v>
      </c>
      <c r="C60" s="81" t="s">
        <v>1593</v>
      </c>
      <c r="D60" s="38" t="s">
        <v>1751</v>
      </c>
      <c r="E60" s="39" t="s">
        <v>1801</v>
      </c>
      <c r="F60" s="40">
        <v>5039.7</v>
      </c>
    </row>
    <row r="61" spans="1:6" ht="22.5" customHeight="1" x14ac:dyDescent="0.5">
      <c r="A61" s="208">
        <v>20</v>
      </c>
      <c r="B61" s="78" t="s">
        <v>144</v>
      </c>
      <c r="C61" s="81" t="s">
        <v>1288</v>
      </c>
      <c r="D61" s="38" t="s">
        <v>1751</v>
      </c>
      <c r="E61" s="39" t="s">
        <v>1802</v>
      </c>
      <c r="F61" s="40">
        <v>299.60000000000002</v>
      </c>
    </row>
    <row r="62" spans="1:6" ht="22.5" customHeight="1" x14ac:dyDescent="0.5">
      <c r="A62" s="208">
        <v>21</v>
      </c>
      <c r="B62" s="237" t="s">
        <v>149</v>
      </c>
      <c r="C62" s="238" t="s">
        <v>567</v>
      </c>
      <c r="D62" s="38" t="s">
        <v>1751</v>
      </c>
      <c r="E62" s="39" t="s">
        <v>1803</v>
      </c>
      <c r="F62" s="40">
        <v>3167.2</v>
      </c>
    </row>
    <row r="63" spans="1:6" ht="22.5" customHeight="1" x14ac:dyDescent="0.5">
      <c r="A63" s="208">
        <v>22</v>
      </c>
      <c r="B63" s="240" t="s">
        <v>569</v>
      </c>
      <c r="C63" s="83" t="s">
        <v>1596</v>
      </c>
      <c r="D63" s="38" t="s">
        <v>1804</v>
      </c>
      <c r="E63" s="39" t="s">
        <v>1805</v>
      </c>
      <c r="F63" s="40">
        <v>16264</v>
      </c>
    </row>
    <row r="64" spans="1:6" ht="22.5" customHeight="1" x14ac:dyDescent="0.5">
      <c r="A64" s="208">
        <v>23</v>
      </c>
      <c r="B64" s="240" t="s">
        <v>569</v>
      </c>
      <c r="C64" s="83" t="s">
        <v>1589</v>
      </c>
      <c r="D64" s="38" t="s">
        <v>1804</v>
      </c>
      <c r="E64" s="39" t="s">
        <v>1805</v>
      </c>
      <c r="F64" s="40">
        <v>10560.9</v>
      </c>
    </row>
    <row r="65" spans="1:6" ht="22.5" customHeight="1" x14ac:dyDescent="0.5">
      <c r="A65" s="208">
        <v>24</v>
      </c>
      <c r="B65" s="240" t="s">
        <v>157</v>
      </c>
      <c r="C65" s="83" t="s">
        <v>567</v>
      </c>
      <c r="D65" s="38" t="s">
        <v>1749</v>
      </c>
      <c r="E65" s="39" t="s">
        <v>1806</v>
      </c>
      <c r="F65" s="40">
        <v>1669.2</v>
      </c>
    </row>
    <row r="66" spans="1:6" ht="22.5" customHeight="1" x14ac:dyDescent="0.5">
      <c r="A66" s="208">
        <v>25</v>
      </c>
      <c r="B66" s="240" t="s">
        <v>162</v>
      </c>
      <c r="C66" s="83" t="s">
        <v>567</v>
      </c>
      <c r="D66" s="38" t="s">
        <v>1754</v>
      </c>
      <c r="E66" s="39" t="s">
        <v>1807</v>
      </c>
      <c r="F66" s="40">
        <v>1722.7</v>
      </c>
    </row>
    <row r="67" spans="1:6" ht="22.5" customHeight="1" x14ac:dyDescent="0.5">
      <c r="A67" s="208">
        <v>26</v>
      </c>
      <c r="B67" s="209" t="s">
        <v>171</v>
      </c>
      <c r="C67" s="210" t="s">
        <v>567</v>
      </c>
      <c r="D67" s="38" t="s">
        <v>1749</v>
      </c>
      <c r="E67" s="39" t="s">
        <v>1808</v>
      </c>
      <c r="F67" s="40">
        <v>856</v>
      </c>
    </row>
    <row r="68" spans="1:6" ht="22.5" customHeight="1" x14ac:dyDescent="0.5">
      <c r="A68" s="208">
        <v>27</v>
      </c>
      <c r="B68" s="209" t="s">
        <v>1647</v>
      </c>
      <c r="C68" s="210" t="s">
        <v>567</v>
      </c>
      <c r="D68" s="38" t="s">
        <v>1751</v>
      </c>
      <c r="E68" s="39" t="s">
        <v>1809</v>
      </c>
      <c r="F68" s="40">
        <v>1605</v>
      </c>
    </row>
    <row r="69" spans="1:6" ht="22.5" customHeight="1" x14ac:dyDescent="0.5">
      <c r="A69" s="208">
        <v>28</v>
      </c>
      <c r="B69" s="209" t="s">
        <v>1649</v>
      </c>
      <c r="C69" s="210" t="s">
        <v>567</v>
      </c>
      <c r="D69" s="30" t="s">
        <v>1758</v>
      </c>
      <c r="E69" s="31" t="s">
        <v>1810</v>
      </c>
      <c r="F69" s="32">
        <v>4033.9</v>
      </c>
    </row>
    <row r="70" spans="1:6" ht="22.5" customHeight="1" x14ac:dyDescent="0.5">
      <c r="A70" s="208">
        <v>29</v>
      </c>
      <c r="B70" s="209" t="s">
        <v>181</v>
      </c>
      <c r="C70" s="210" t="s">
        <v>567</v>
      </c>
      <c r="D70" s="38" t="s">
        <v>1751</v>
      </c>
      <c r="E70" s="39" t="s">
        <v>1811</v>
      </c>
      <c r="F70" s="40">
        <v>1583.6</v>
      </c>
    </row>
    <row r="71" spans="1:6" ht="22.5" customHeight="1" x14ac:dyDescent="0.5">
      <c r="A71" s="208">
        <v>30</v>
      </c>
      <c r="B71" s="209" t="s">
        <v>1653</v>
      </c>
      <c r="C71" s="210" t="s">
        <v>1654</v>
      </c>
      <c r="D71" s="38" t="s">
        <v>1769</v>
      </c>
      <c r="E71" s="245" t="s">
        <v>1812</v>
      </c>
      <c r="F71" s="246">
        <v>2610.8000000000002</v>
      </c>
    </row>
    <row r="72" spans="1:6" ht="22.5" customHeight="1" x14ac:dyDescent="0.5">
      <c r="A72" s="208">
        <v>31</v>
      </c>
      <c r="B72" s="209" t="s">
        <v>1656</v>
      </c>
      <c r="C72" s="210" t="s">
        <v>1657</v>
      </c>
      <c r="D72" s="38" t="s">
        <v>1769</v>
      </c>
      <c r="E72" s="245" t="s">
        <v>1812</v>
      </c>
      <c r="F72" s="246">
        <v>1936.7</v>
      </c>
    </row>
    <row r="73" spans="1:6" ht="22.5" customHeight="1" x14ac:dyDescent="0.5">
      <c r="A73" s="208">
        <v>32</v>
      </c>
      <c r="B73" s="209" t="s">
        <v>1658</v>
      </c>
      <c r="C73" s="210" t="s">
        <v>567</v>
      </c>
      <c r="D73" s="38" t="s">
        <v>1751</v>
      </c>
      <c r="E73" s="39" t="s">
        <v>1813</v>
      </c>
      <c r="F73" s="246">
        <v>438.7</v>
      </c>
    </row>
    <row r="74" spans="1:6" ht="22.5" customHeight="1" x14ac:dyDescent="0.5">
      <c r="A74" s="208">
        <v>33</v>
      </c>
      <c r="B74" s="209" t="s">
        <v>1660</v>
      </c>
      <c r="C74" s="210" t="s">
        <v>1288</v>
      </c>
      <c r="D74" s="38" t="s">
        <v>1814</v>
      </c>
      <c r="E74" s="39" t="s">
        <v>1815</v>
      </c>
      <c r="F74" s="246">
        <v>9416</v>
      </c>
    </row>
    <row r="75" spans="1:6" ht="22.5" customHeight="1" x14ac:dyDescent="0.5">
      <c r="A75" s="208">
        <v>34</v>
      </c>
      <c r="B75" s="209" t="s">
        <v>195</v>
      </c>
      <c r="C75" s="210" t="s">
        <v>567</v>
      </c>
      <c r="D75" s="38" t="s">
        <v>1751</v>
      </c>
      <c r="E75" s="245" t="s">
        <v>1816</v>
      </c>
      <c r="F75" s="246">
        <v>1754.8</v>
      </c>
    </row>
    <row r="76" spans="1:6" ht="22.5" customHeight="1" x14ac:dyDescent="0.5">
      <c r="A76" s="208">
        <v>35</v>
      </c>
      <c r="B76" s="209" t="s">
        <v>1666</v>
      </c>
      <c r="C76" s="210" t="s">
        <v>567</v>
      </c>
      <c r="D76" s="38" t="s">
        <v>1758</v>
      </c>
      <c r="E76" s="245" t="s">
        <v>1817</v>
      </c>
      <c r="F76" s="246">
        <v>1070</v>
      </c>
    </row>
    <row r="77" spans="1:6" ht="22.5" customHeight="1" x14ac:dyDescent="0.5">
      <c r="A77" s="208">
        <v>36</v>
      </c>
      <c r="B77" s="209" t="s">
        <v>1669</v>
      </c>
      <c r="C77" s="210" t="s">
        <v>567</v>
      </c>
      <c r="D77" s="30" t="s">
        <v>1756</v>
      </c>
      <c r="E77" s="31" t="s">
        <v>1818</v>
      </c>
      <c r="F77" s="221">
        <v>588.5</v>
      </c>
    </row>
    <row r="78" spans="1:6" ht="22.5" customHeight="1" x14ac:dyDescent="0.5">
      <c r="A78" s="208">
        <v>37</v>
      </c>
      <c r="B78" s="209" t="s">
        <v>205</v>
      </c>
      <c r="C78" s="210" t="s">
        <v>567</v>
      </c>
      <c r="D78" s="30" t="s">
        <v>1749</v>
      </c>
      <c r="E78" s="249" t="s">
        <v>1819</v>
      </c>
      <c r="F78" s="221">
        <v>1540.8</v>
      </c>
    </row>
    <row r="79" spans="1:6" ht="22.5" customHeight="1" x14ac:dyDescent="0.5">
      <c r="A79" s="208">
        <v>38</v>
      </c>
      <c r="B79" s="209" t="s">
        <v>208</v>
      </c>
      <c r="C79" s="210" t="s">
        <v>567</v>
      </c>
      <c r="D79" s="250" t="s">
        <v>1749</v>
      </c>
      <c r="E79" s="251" t="s">
        <v>1820</v>
      </c>
      <c r="F79" s="252">
        <v>10903.3</v>
      </c>
    </row>
    <row r="80" spans="1:6" ht="22.5" customHeight="1" x14ac:dyDescent="0.5">
      <c r="A80" s="208">
        <v>39</v>
      </c>
      <c r="B80" s="209" t="s">
        <v>210</v>
      </c>
      <c r="C80" s="210" t="s">
        <v>567</v>
      </c>
      <c r="D80" s="38" t="s">
        <v>1821</v>
      </c>
      <c r="E80" s="39" t="s">
        <v>1822</v>
      </c>
      <c r="F80" s="246">
        <v>10550.2</v>
      </c>
    </row>
    <row r="81" spans="1:8" ht="22.5" customHeight="1" x14ac:dyDescent="0.5">
      <c r="A81" s="208">
        <v>40</v>
      </c>
      <c r="B81" s="209" t="s">
        <v>214</v>
      </c>
      <c r="C81" s="210" t="s">
        <v>567</v>
      </c>
      <c r="D81" s="38" t="s">
        <v>1749</v>
      </c>
      <c r="E81" s="39" t="s">
        <v>1823</v>
      </c>
      <c r="F81" s="246">
        <v>1465.9</v>
      </c>
    </row>
    <row r="82" spans="1:8" ht="22.5" customHeight="1" x14ac:dyDescent="0.5">
      <c r="A82" s="208">
        <v>41</v>
      </c>
      <c r="B82" s="222" t="s">
        <v>224</v>
      </c>
      <c r="C82" s="222" t="s">
        <v>567</v>
      </c>
      <c r="D82" s="30" t="s">
        <v>1824</v>
      </c>
      <c r="E82" s="249" t="s">
        <v>1825</v>
      </c>
      <c r="F82" s="221">
        <v>1241.2</v>
      </c>
    </row>
    <row r="83" spans="1:8" ht="22.5" customHeight="1" x14ac:dyDescent="0.5">
      <c r="A83" s="208">
        <v>42</v>
      </c>
      <c r="B83" s="222" t="s">
        <v>226</v>
      </c>
      <c r="C83" s="222" t="s">
        <v>567</v>
      </c>
      <c r="D83" s="30" t="s">
        <v>1751</v>
      </c>
      <c r="E83" s="249" t="s">
        <v>1826</v>
      </c>
      <c r="F83" s="221">
        <v>3991.1</v>
      </c>
    </row>
    <row r="84" spans="1:8" ht="22.5" customHeight="1" x14ac:dyDescent="0.5">
      <c r="A84" s="208">
        <v>43</v>
      </c>
      <c r="B84" s="222" t="s">
        <v>229</v>
      </c>
      <c r="C84" s="222" t="s">
        <v>567</v>
      </c>
      <c r="D84" s="30" t="s">
        <v>1758</v>
      </c>
      <c r="E84" s="31" t="s">
        <v>1827</v>
      </c>
      <c r="F84" s="221">
        <v>12957.7</v>
      </c>
    </row>
    <row r="85" spans="1:8" ht="22.5" customHeight="1" x14ac:dyDescent="0.5">
      <c r="A85" s="208">
        <v>44</v>
      </c>
      <c r="B85" s="222" t="s">
        <v>566</v>
      </c>
      <c r="C85" s="222" t="s">
        <v>567</v>
      </c>
      <c r="D85" s="30" t="s">
        <v>1756</v>
      </c>
      <c r="E85" s="31" t="s">
        <v>1828</v>
      </c>
      <c r="F85" s="221">
        <v>3402.6</v>
      </c>
    </row>
    <row r="86" spans="1:8" ht="22.5" customHeight="1" x14ac:dyDescent="0.5">
      <c r="A86" s="208">
        <v>45</v>
      </c>
      <c r="B86" s="222" t="s">
        <v>568</v>
      </c>
      <c r="C86" s="222" t="s">
        <v>1288</v>
      </c>
      <c r="D86" s="30" t="s">
        <v>1756</v>
      </c>
      <c r="E86" s="31" t="s">
        <v>1828</v>
      </c>
      <c r="F86" s="221">
        <v>3006.7</v>
      </c>
    </row>
    <row r="87" spans="1:8" ht="22.5" customHeight="1" x14ac:dyDescent="0.5">
      <c r="A87" s="208">
        <v>46</v>
      </c>
      <c r="B87" s="222" t="s">
        <v>705</v>
      </c>
      <c r="C87" s="222" t="s">
        <v>1288</v>
      </c>
      <c r="D87" s="30" t="s">
        <v>1804</v>
      </c>
      <c r="E87" s="31" t="s">
        <v>1829</v>
      </c>
      <c r="F87" s="221">
        <v>856</v>
      </c>
    </row>
    <row r="88" spans="1:8" ht="22.5" customHeight="1" x14ac:dyDescent="0.5">
      <c r="A88" s="208">
        <v>47</v>
      </c>
      <c r="B88" s="222" t="s">
        <v>1287</v>
      </c>
      <c r="C88" s="222" t="s">
        <v>1288</v>
      </c>
      <c r="D88" s="30" t="s">
        <v>1804</v>
      </c>
      <c r="E88" s="31" t="s">
        <v>1830</v>
      </c>
      <c r="F88" s="221">
        <v>3327.7</v>
      </c>
    </row>
    <row r="89" spans="1:8" ht="22.5" customHeight="1" x14ac:dyDescent="0.5">
      <c r="A89" s="208">
        <v>48</v>
      </c>
      <c r="B89" s="222" t="s">
        <v>1489</v>
      </c>
      <c r="C89" s="222" t="s">
        <v>567</v>
      </c>
      <c r="D89" s="30" t="s">
        <v>1756</v>
      </c>
      <c r="E89" s="31" t="s">
        <v>1831</v>
      </c>
      <c r="F89" s="221">
        <v>588.5</v>
      </c>
    </row>
    <row r="90" spans="1:8" ht="22.5" customHeight="1" x14ac:dyDescent="0.5">
      <c r="A90" s="208">
        <v>49</v>
      </c>
      <c r="B90" s="222" t="s">
        <v>1490</v>
      </c>
      <c r="C90" s="222" t="s">
        <v>567</v>
      </c>
      <c r="D90" s="30" t="s">
        <v>1769</v>
      </c>
      <c r="E90" s="31" t="s">
        <v>1832</v>
      </c>
      <c r="F90" s="221">
        <v>545.70000000000005</v>
      </c>
    </row>
    <row r="91" spans="1:8" ht="22.5" customHeight="1" x14ac:dyDescent="0.5">
      <c r="A91" s="208">
        <v>50</v>
      </c>
      <c r="B91" s="222" t="s">
        <v>1692</v>
      </c>
      <c r="C91" s="222"/>
      <c r="D91" s="30" t="s">
        <v>1749</v>
      </c>
      <c r="E91" s="31" t="s">
        <v>1833</v>
      </c>
      <c r="F91" s="221">
        <v>4290.7</v>
      </c>
    </row>
    <row r="92" spans="1:8" s="60" customFormat="1" ht="22.5" customHeight="1" thickBot="1" x14ac:dyDescent="0.35">
      <c r="A92" s="278"/>
      <c r="B92" s="278" t="s">
        <v>15</v>
      </c>
      <c r="C92" s="279"/>
      <c r="D92" s="280">
        <v>0</v>
      </c>
      <c r="E92" s="280">
        <v>0</v>
      </c>
      <c r="F92" s="1003">
        <v>375580.70000000013</v>
      </c>
      <c r="H92" s="683">
        <f>SUM(F42:F91)</f>
        <v>375580.70000000013</v>
      </c>
    </row>
    <row r="93" spans="1:8" ht="22.5" customHeight="1" thickTop="1" x14ac:dyDescent="0.3">
      <c r="A93" s="61"/>
      <c r="B93" s="121" t="s">
        <v>232</v>
      </c>
      <c r="C93" s="63"/>
      <c r="D93" s="286"/>
      <c r="E93" s="287"/>
      <c r="F93" s="288"/>
    </row>
    <row r="94" spans="1:8" ht="22.5" customHeight="1" x14ac:dyDescent="0.5">
      <c r="A94" s="23">
        <v>1</v>
      </c>
      <c r="B94" s="73" t="s">
        <v>234</v>
      </c>
      <c r="C94" s="25" t="s">
        <v>235</v>
      </c>
      <c r="D94" s="30" t="s">
        <v>1775</v>
      </c>
      <c r="E94" s="31" t="s">
        <v>1834</v>
      </c>
      <c r="F94" s="32">
        <v>9450</v>
      </c>
    </row>
    <row r="95" spans="1:8" ht="22.5" customHeight="1" x14ac:dyDescent="0.5">
      <c r="A95" s="23">
        <v>2</v>
      </c>
      <c r="B95" s="73" t="s">
        <v>237</v>
      </c>
      <c r="C95" s="25" t="s">
        <v>238</v>
      </c>
      <c r="D95" s="30" t="s">
        <v>1775</v>
      </c>
      <c r="E95" s="31" t="s">
        <v>1835</v>
      </c>
      <c r="F95" s="32">
        <v>3150</v>
      </c>
    </row>
    <row r="96" spans="1:8" ht="22.5" customHeight="1" x14ac:dyDescent="0.5">
      <c r="A96" s="23">
        <v>3</v>
      </c>
      <c r="B96" s="73" t="s">
        <v>240</v>
      </c>
      <c r="C96" s="25" t="s">
        <v>241</v>
      </c>
      <c r="D96" s="30" t="s">
        <v>1836</v>
      </c>
      <c r="E96" s="31" t="s">
        <v>1837</v>
      </c>
      <c r="F96" s="32">
        <v>15750</v>
      </c>
    </row>
    <row r="97" spans="1:6" ht="22.5" customHeight="1" x14ac:dyDescent="0.5">
      <c r="A97" s="23">
        <v>4</v>
      </c>
      <c r="B97" s="73" t="s">
        <v>240</v>
      </c>
      <c r="C97" s="25" t="s">
        <v>242</v>
      </c>
      <c r="D97" s="30" t="s">
        <v>1836</v>
      </c>
      <c r="E97" s="31" t="s">
        <v>1837</v>
      </c>
      <c r="F97" s="32">
        <v>6300</v>
      </c>
    </row>
    <row r="98" spans="1:6" ht="22.5" customHeight="1" x14ac:dyDescent="0.5">
      <c r="A98" s="23">
        <v>5</v>
      </c>
      <c r="B98" s="73" t="s">
        <v>198</v>
      </c>
      <c r="C98" s="25" t="s">
        <v>243</v>
      </c>
      <c r="D98" s="30" t="s">
        <v>1758</v>
      </c>
      <c r="E98" s="31" t="s">
        <v>1838</v>
      </c>
      <c r="F98" s="32">
        <v>22050</v>
      </c>
    </row>
    <row r="99" spans="1:6" ht="22.5" customHeight="1" x14ac:dyDescent="0.5">
      <c r="A99" s="23">
        <v>6</v>
      </c>
      <c r="B99" s="73" t="s">
        <v>245</v>
      </c>
      <c r="C99" s="25" t="s">
        <v>246</v>
      </c>
      <c r="D99" s="30" t="s">
        <v>1821</v>
      </c>
      <c r="E99" s="31" t="s">
        <v>1839</v>
      </c>
      <c r="F99" s="32">
        <v>9450</v>
      </c>
    </row>
    <row r="100" spans="1:6" ht="22.5" customHeight="1" x14ac:dyDescent="0.5">
      <c r="A100" s="23">
        <v>7</v>
      </c>
      <c r="B100" s="73" t="s">
        <v>248</v>
      </c>
      <c r="C100" s="25" t="s">
        <v>249</v>
      </c>
      <c r="D100" s="30" t="s">
        <v>1840</v>
      </c>
      <c r="E100" s="31" t="s">
        <v>1841</v>
      </c>
      <c r="F100" s="32">
        <v>12600</v>
      </c>
    </row>
    <row r="101" spans="1:6" ht="22.5" customHeight="1" x14ac:dyDescent="0.5">
      <c r="A101" s="23">
        <v>8</v>
      </c>
      <c r="B101" s="209" t="s">
        <v>250</v>
      </c>
      <c r="C101" s="210" t="s">
        <v>251</v>
      </c>
      <c r="D101" s="30" t="s">
        <v>1842</v>
      </c>
      <c r="E101" s="31" t="s">
        <v>1843</v>
      </c>
      <c r="F101" s="32">
        <v>6300</v>
      </c>
    </row>
    <row r="102" spans="1:6" ht="22.5" customHeight="1" x14ac:dyDescent="0.5">
      <c r="A102" s="23">
        <v>9</v>
      </c>
      <c r="B102" s="73" t="s">
        <v>253</v>
      </c>
      <c r="C102" s="25" t="s">
        <v>254</v>
      </c>
      <c r="D102" s="30" t="s">
        <v>1844</v>
      </c>
      <c r="E102" s="31" t="s">
        <v>1845</v>
      </c>
      <c r="F102" s="32">
        <v>18900</v>
      </c>
    </row>
    <row r="103" spans="1:6" ht="22.5" customHeight="1" x14ac:dyDescent="0.5">
      <c r="A103" s="23">
        <v>10</v>
      </c>
      <c r="B103" s="73" t="s">
        <v>257</v>
      </c>
      <c r="C103" s="25" t="s">
        <v>258</v>
      </c>
      <c r="D103" s="30" t="s">
        <v>1821</v>
      </c>
      <c r="E103" s="31" t="s">
        <v>1846</v>
      </c>
      <c r="F103" s="32">
        <v>5600</v>
      </c>
    </row>
    <row r="104" spans="1:6" ht="22.5" customHeight="1" x14ac:dyDescent="0.5">
      <c r="A104" s="23">
        <v>11</v>
      </c>
      <c r="B104" s="73" t="s">
        <v>198</v>
      </c>
      <c r="C104" s="25" t="s">
        <v>260</v>
      </c>
      <c r="D104" s="30" t="s">
        <v>1758</v>
      </c>
      <c r="E104" s="31" t="s">
        <v>1847</v>
      </c>
      <c r="F104" s="32">
        <v>2800</v>
      </c>
    </row>
    <row r="105" spans="1:6" ht="22.5" customHeight="1" x14ac:dyDescent="0.5">
      <c r="A105" s="23">
        <v>12</v>
      </c>
      <c r="B105" s="73" t="s">
        <v>261</v>
      </c>
      <c r="C105" s="25" t="s">
        <v>262</v>
      </c>
      <c r="D105" s="30" t="s">
        <v>1763</v>
      </c>
      <c r="E105" s="31" t="s">
        <v>1848</v>
      </c>
      <c r="F105" s="32">
        <v>11200</v>
      </c>
    </row>
    <row r="106" spans="1:6" ht="22.5" customHeight="1" x14ac:dyDescent="0.5">
      <c r="A106" s="23">
        <v>13</v>
      </c>
      <c r="B106" s="73" t="s">
        <v>264</v>
      </c>
      <c r="C106" s="25" t="s">
        <v>265</v>
      </c>
      <c r="D106" s="30" t="s">
        <v>1763</v>
      </c>
      <c r="E106" s="31" t="s">
        <v>1848</v>
      </c>
      <c r="F106" s="32">
        <v>11200</v>
      </c>
    </row>
    <row r="107" spans="1:6" ht="22.5" customHeight="1" x14ac:dyDescent="0.5">
      <c r="A107" s="23">
        <v>14</v>
      </c>
      <c r="B107" s="73" t="s">
        <v>266</v>
      </c>
      <c r="C107" s="25" t="s">
        <v>267</v>
      </c>
      <c r="D107" s="30" t="s">
        <v>1821</v>
      </c>
      <c r="E107" s="31" t="s">
        <v>1849</v>
      </c>
      <c r="F107" s="32">
        <v>5600</v>
      </c>
    </row>
    <row r="108" spans="1:6" ht="22.5" customHeight="1" x14ac:dyDescent="0.5">
      <c r="A108" s="23">
        <v>15</v>
      </c>
      <c r="B108" s="73" t="s">
        <v>270</v>
      </c>
      <c r="C108" s="25" t="s">
        <v>271</v>
      </c>
      <c r="D108" s="30" t="s">
        <v>1754</v>
      </c>
      <c r="E108" s="31" t="s">
        <v>1850</v>
      </c>
      <c r="F108" s="32">
        <v>9450</v>
      </c>
    </row>
    <row r="109" spans="1:6" ht="22.5" customHeight="1" x14ac:dyDescent="0.5">
      <c r="A109" s="23">
        <v>16</v>
      </c>
      <c r="B109" s="73" t="s">
        <v>261</v>
      </c>
      <c r="C109" s="25" t="s">
        <v>273</v>
      </c>
      <c r="D109" s="30" t="s">
        <v>1763</v>
      </c>
      <c r="E109" s="31" t="s">
        <v>1848</v>
      </c>
      <c r="F109" s="32">
        <v>18900</v>
      </c>
    </row>
    <row r="110" spans="1:6" ht="22.5" customHeight="1" x14ac:dyDescent="0.5">
      <c r="A110" s="23">
        <v>17</v>
      </c>
      <c r="B110" s="73" t="s">
        <v>274</v>
      </c>
      <c r="C110" s="25" t="s">
        <v>275</v>
      </c>
      <c r="D110" s="30" t="s">
        <v>1851</v>
      </c>
      <c r="E110" s="31" t="s">
        <v>1852</v>
      </c>
      <c r="F110" s="32">
        <v>3150</v>
      </c>
    </row>
    <row r="111" spans="1:6" ht="22.5" customHeight="1" x14ac:dyDescent="0.5">
      <c r="A111" s="23">
        <v>18</v>
      </c>
      <c r="B111" s="73" t="s">
        <v>277</v>
      </c>
      <c r="C111" s="25" t="s">
        <v>278</v>
      </c>
      <c r="D111" s="30" t="s">
        <v>1821</v>
      </c>
      <c r="E111" s="31" t="s">
        <v>1853</v>
      </c>
      <c r="F111" s="32">
        <v>6300</v>
      </c>
    </row>
    <row r="112" spans="1:6" ht="22.5" customHeight="1" x14ac:dyDescent="0.5">
      <c r="A112" s="23">
        <v>19</v>
      </c>
      <c r="B112" s="73" t="s">
        <v>281</v>
      </c>
      <c r="C112" s="25" t="s">
        <v>282</v>
      </c>
      <c r="D112" s="30" t="s">
        <v>1769</v>
      </c>
      <c r="E112" s="31" t="s">
        <v>1854</v>
      </c>
      <c r="F112" s="32">
        <v>5600</v>
      </c>
    </row>
    <row r="113" spans="1:8" ht="22.5" customHeight="1" x14ac:dyDescent="0.5">
      <c r="A113" s="23">
        <v>20</v>
      </c>
      <c r="B113" s="73" t="s">
        <v>287</v>
      </c>
      <c r="C113" s="25" t="s">
        <v>288</v>
      </c>
      <c r="D113" s="30" t="s">
        <v>1749</v>
      </c>
      <c r="E113" s="31" t="s">
        <v>1855</v>
      </c>
      <c r="F113" s="32">
        <v>5600</v>
      </c>
    </row>
    <row r="114" spans="1:8" ht="22.5" customHeight="1" x14ac:dyDescent="0.5">
      <c r="A114" s="23">
        <v>21</v>
      </c>
      <c r="B114" s="73" t="s">
        <v>290</v>
      </c>
      <c r="C114" s="25" t="s">
        <v>291</v>
      </c>
      <c r="D114" s="30" t="s">
        <v>1754</v>
      </c>
      <c r="E114" s="31" t="s">
        <v>1856</v>
      </c>
      <c r="F114" s="32">
        <v>5600</v>
      </c>
    </row>
    <row r="115" spans="1:8" ht="22.5" customHeight="1" x14ac:dyDescent="0.5">
      <c r="A115" s="23">
        <v>22</v>
      </c>
      <c r="B115" s="73" t="s">
        <v>293</v>
      </c>
      <c r="C115" s="25" t="s">
        <v>294</v>
      </c>
      <c r="D115" s="30" t="s">
        <v>1821</v>
      </c>
      <c r="E115" s="31" t="s">
        <v>1857</v>
      </c>
      <c r="F115" s="32">
        <v>2800</v>
      </c>
    </row>
    <row r="116" spans="1:8" ht="22.5" customHeight="1" x14ac:dyDescent="0.5">
      <c r="A116" s="23">
        <v>23</v>
      </c>
      <c r="B116" s="73" t="s">
        <v>296</v>
      </c>
      <c r="C116" s="25" t="s">
        <v>297</v>
      </c>
      <c r="D116" s="30" t="s">
        <v>1769</v>
      </c>
      <c r="E116" s="31" t="s">
        <v>1858</v>
      </c>
      <c r="F116" s="32">
        <v>5600</v>
      </c>
    </row>
    <row r="117" spans="1:8" ht="22.5" customHeight="1" x14ac:dyDescent="0.5">
      <c r="A117" s="23">
        <v>24</v>
      </c>
      <c r="B117" s="209" t="s">
        <v>300</v>
      </c>
      <c r="C117" s="210" t="s">
        <v>301</v>
      </c>
      <c r="D117" s="30" t="s">
        <v>1778</v>
      </c>
      <c r="E117" s="31" t="s">
        <v>1859</v>
      </c>
      <c r="F117" s="32">
        <v>5600</v>
      </c>
    </row>
    <row r="118" spans="1:8" ht="22.5" customHeight="1" x14ac:dyDescent="0.5">
      <c r="A118" s="23">
        <v>25</v>
      </c>
      <c r="B118" s="209" t="s">
        <v>303</v>
      </c>
      <c r="C118" s="210" t="s">
        <v>304</v>
      </c>
      <c r="D118" s="30" t="s">
        <v>1778</v>
      </c>
      <c r="E118" s="249" t="s">
        <v>1860</v>
      </c>
      <c r="F118" s="221">
        <v>2800</v>
      </c>
    </row>
    <row r="119" spans="1:8" ht="22.5" customHeight="1" x14ac:dyDescent="0.5">
      <c r="A119" s="23">
        <v>26</v>
      </c>
      <c r="B119" s="209" t="s">
        <v>306</v>
      </c>
      <c r="C119" s="210" t="s">
        <v>307</v>
      </c>
      <c r="D119" s="30" t="s">
        <v>1769</v>
      </c>
      <c r="E119" s="31" t="s">
        <v>1858</v>
      </c>
      <c r="F119" s="32">
        <v>5600</v>
      </c>
    </row>
    <row r="120" spans="1:8" ht="22.5" customHeight="1" x14ac:dyDescent="0.5">
      <c r="A120" s="23">
        <v>27</v>
      </c>
      <c r="B120" s="73" t="s">
        <v>261</v>
      </c>
      <c r="C120" s="25" t="s">
        <v>311</v>
      </c>
      <c r="D120" s="30" t="s">
        <v>1763</v>
      </c>
      <c r="E120" s="31" t="s">
        <v>1848</v>
      </c>
      <c r="F120" s="32">
        <v>5600</v>
      </c>
    </row>
    <row r="121" spans="1:8" ht="22.5" customHeight="1" x14ac:dyDescent="0.5">
      <c r="A121" s="23">
        <v>28</v>
      </c>
      <c r="B121" s="310" t="s">
        <v>261</v>
      </c>
      <c r="C121" s="311" t="s">
        <v>312</v>
      </c>
      <c r="D121" s="30" t="s">
        <v>1763</v>
      </c>
      <c r="E121" s="31" t="s">
        <v>1848</v>
      </c>
      <c r="F121" s="32">
        <v>5600</v>
      </c>
    </row>
    <row r="122" spans="1:8" ht="22.5" customHeight="1" x14ac:dyDescent="0.5">
      <c r="A122" s="23">
        <v>29</v>
      </c>
      <c r="B122" s="73" t="s">
        <v>313</v>
      </c>
      <c r="C122" s="25" t="s">
        <v>314</v>
      </c>
      <c r="D122" s="30" t="s">
        <v>1844</v>
      </c>
      <c r="E122" s="31" t="s">
        <v>1861</v>
      </c>
      <c r="F122" s="32">
        <v>5600</v>
      </c>
    </row>
    <row r="123" spans="1:8" ht="22.5" customHeight="1" x14ac:dyDescent="0.5">
      <c r="A123" s="23">
        <v>30</v>
      </c>
      <c r="B123" s="73" t="s">
        <v>261</v>
      </c>
      <c r="C123" s="25" t="s">
        <v>316</v>
      </c>
      <c r="D123" s="30" t="s">
        <v>1763</v>
      </c>
      <c r="E123" s="31" t="s">
        <v>1848</v>
      </c>
      <c r="F123" s="32">
        <v>5600</v>
      </c>
    </row>
    <row r="124" spans="1:8" ht="22.5" customHeight="1" x14ac:dyDescent="0.5">
      <c r="A124" s="23">
        <v>31</v>
      </c>
      <c r="B124" s="73" t="s">
        <v>317</v>
      </c>
      <c r="C124" s="25" t="s">
        <v>318</v>
      </c>
      <c r="D124" s="30" t="s">
        <v>1821</v>
      </c>
      <c r="E124" s="31" t="s">
        <v>1862</v>
      </c>
      <c r="F124" s="32">
        <v>5600</v>
      </c>
    </row>
    <row r="125" spans="1:8" ht="22.5" customHeight="1" x14ac:dyDescent="0.5">
      <c r="A125" s="23">
        <v>32</v>
      </c>
      <c r="B125" s="73" t="s">
        <v>320</v>
      </c>
      <c r="C125" s="25" t="s">
        <v>321</v>
      </c>
      <c r="D125" s="30" t="s">
        <v>1804</v>
      </c>
      <c r="E125" s="31" t="s">
        <v>1863</v>
      </c>
      <c r="F125" s="32">
        <v>2800</v>
      </c>
    </row>
    <row r="126" spans="1:8" ht="22.5" customHeight="1" x14ac:dyDescent="0.5">
      <c r="A126" s="23">
        <v>33</v>
      </c>
      <c r="B126" s="73" t="s">
        <v>322</v>
      </c>
      <c r="C126" s="25" t="s">
        <v>323</v>
      </c>
      <c r="D126" s="30" t="s">
        <v>1804</v>
      </c>
      <c r="E126" s="31" t="s">
        <v>1864</v>
      </c>
      <c r="F126" s="32">
        <v>5600</v>
      </c>
    </row>
    <row r="127" spans="1:8" ht="22.5" customHeight="1" x14ac:dyDescent="0.5">
      <c r="A127" s="23">
        <v>34</v>
      </c>
      <c r="B127" s="73" t="s">
        <v>293</v>
      </c>
      <c r="C127" s="25" t="s">
        <v>326</v>
      </c>
      <c r="D127" s="30" t="s">
        <v>1821</v>
      </c>
      <c r="E127" s="31" t="s">
        <v>1857</v>
      </c>
      <c r="F127" s="32">
        <v>5600</v>
      </c>
    </row>
    <row r="128" spans="1:8" ht="22.5" customHeight="1" x14ac:dyDescent="0.5">
      <c r="A128" s="23">
        <v>35</v>
      </c>
      <c r="B128" s="73" t="s">
        <v>293</v>
      </c>
      <c r="C128" s="25" t="s">
        <v>327</v>
      </c>
      <c r="D128" s="30" t="s">
        <v>1821</v>
      </c>
      <c r="E128" s="31" t="s">
        <v>1857</v>
      </c>
      <c r="F128" s="32">
        <v>5600</v>
      </c>
      <c r="H128" s="790">
        <f>SUM(F94:F128)</f>
        <v>264950</v>
      </c>
    </row>
    <row r="129" spans="1:8" ht="22.5" customHeight="1" x14ac:dyDescent="0.5">
      <c r="A129" s="23">
        <v>36</v>
      </c>
      <c r="B129" s="24" t="s">
        <v>329</v>
      </c>
      <c r="C129" s="25" t="s">
        <v>330</v>
      </c>
      <c r="D129" s="30" t="s">
        <v>1758</v>
      </c>
      <c r="E129" s="31" t="s">
        <v>1865</v>
      </c>
      <c r="F129" s="32">
        <v>130536.37</v>
      </c>
    </row>
    <row r="130" spans="1:8" ht="22.5" customHeight="1" x14ac:dyDescent="0.5">
      <c r="A130" s="23">
        <v>37</v>
      </c>
      <c r="B130" s="24" t="s">
        <v>329</v>
      </c>
      <c r="C130" s="25" t="s">
        <v>331</v>
      </c>
      <c r="D130" s="30" t="s">
        <v>1758</v>
      </c>
      <c r="E130" s="31" t="s">
        <v>1866</v>
      </c>
      <c r="F130" s="32">
        <v>96520.67</v>
      </c>
    </row>
    <row r="131" spans="1:8" ht="22.5" customHeight="1" x14ac:dyDescent="0.5">
      <c r="A131" s="23">
        <v>38</v>
      </c>
      <c r="B131" s="24" t="s">
        <v>332</v>
      </c>
      <c r="C131" s="25" t="s">
        <v>333</v>
      </c>
      <c r="D131" s="30" t="s">
        <v>1788</v>
      </c>
      <c r="E131" s="31" t="s">
        <v>1867</v>
      </c>
      <c r="F131" s="32">
        <v>63810</v>
      </c>
    </row>
    <row r="132" spans="1:8" ht="22.5" customHeight="1" x14ac:dyDescent="0.5">
      <c r="A132" s="23">
        <v>39</v>
      </c>
      <c r="B132" s="332" t="s">
        <v>335</v>
      </c>
      <c r="C132" s="81" t="s">
        <v>336</v>
      </c>
      <c r="D132" s="335" t="s">
        <v>1814</v>
      </c>
      <c r="E132" s="336" t="s">
        <v>1868</v>
      </c>
      <c r="F132" s="337">
        <v>60170</v>
      </c>
    </row>
    <row r="133" spans="1:8" ht="22.5" customHeight="1" x14ac:dyDescent="0.5">
      <c r="A133" s="23">
        <v>40</v>
      </c>
      <c r="B133" s="24" t="s">
        <v>338</v>
      </c>
      <c r="C133" s="25" t="s">
        <v>339</v>
      </c>
      <c r="D133" s="335" t="s">
        <v>1758</v>
      </c>
      <c r="E133" s="336" t="s">
        <v>1869</v>
      </c>
      <c r="F133" s="342">
        <v>23527.65</v>
      </c>
    </row>
    <row r="134" spans="1:8" ht="22.5" customHeight="1" x14ac:dyDescent="0.5">
      <c r="A134" s="23">
        <v>41</v>
      </c>
      <c r="B134" s="343" t="s">
        <v>341</v>
      </c>
      <c r="C134" s="165" t="s">
        <v>342</v>
      </c>
      <c r="D134" s="345" t="s">
        <v>1751</v>
      </c>
      <c r="E134" s="346" t="s">
        <v>1870</v>
      </c>
      <c r="F134" s="347">
        <v>20281.11</v>
      </c>
    </row>
    <row r="135" spans="1:8" ht="22.5" customHeight="1" x14ac:dyDescent="0.5">
      <c r="A135" s="23">
        <v>42</v>
      </c>
      <c r="B135" s="332" t="s">
        <v>344</v>
      </c>
      <c r="C135" s="81" t="s">
        <v>345</v>
      </c>
      <c r="D135" s="182" t="s">
        <v>1751</v>
      </c>
      <c r="E135" s="350" t="s">
        <v>1871</v>
      </c>
      <c r="F135" s="337">
        <v>21986</v>
      </c>
    </row>
    <row r="136" spans="1:8" s="356" customFormat="1" ht="22.5" customHeight="1" x14ac:dyDescent="0.5">
      <c r="A136" s="23">
        <v>43</v>
      </c>
      <c r="B136" s="24" t="s">
        <v>347</v>
      </c>
      <c r="C136" s="351" t="s">
        <v>348</v>
      </c>
      <c r="D136" s="30" t="s">
        <v>1769</v>
      </c>
      <c r="E136" s="31" t="s">
        <v>1872</v>
      </c>
      <c r="F136" s="32">
        <v>20000</v>
      </c>
      <c r="H136" s="899">
        <f>SUM(F129:F136)</f>
        <v>436831.8</v>
      </c>
    </row>
    <row r="137" spans="1:8" ht="22.5" customHeight="1" x14ac:dyDescent="0.5">
      <c r="A137" s="23">
        <v>44</v>
      </c>
      <c r="B137" s="290" t="s">
        <v>147</v>
      </c>
      <c r="C137" s="371" t="s">
        <v>351</v>
      </c>
      <c r="D137" s="30" t="s">
        <v>1788</v>
      </c>
      <c r="E137" s="220" t="s">
        <v>1873</v>
      </c>
      <c r="F137" s="221">
        <v>1400</v>
      </c>
    </row>
    <row r="138" spans="1:8" ht="22.5" customHeight="1" x14ac:dyDescent="0.5">
      <c r="A138" s="23">
        <v>45</v>
      </c>
      <c r="B138" s="290" t="s">
        <v>355</v>
      </c>
      <c r="C138" s="371" t="s">
        <v>356</v>
      </c>
      <c r="D138" s="30" t="s">
        <v>1769</v>
      </c>
      <c r="E138" s="220" t="s">
        <v>1874</v>
      </c>
      <c r="F138" s="221">
        <v>9400</v>
      </c>
    </row>
    <row r="139" spans="1:8" ht="22.5" customHeight="1" x14ac:dyDescent="0.5">
      <c r="A139" s="23">
        <v>46</v>
      </c>
      <c r="B139" s="374" t="s">
        <v>358</v>
      </c>
      <c r="C139" s="375" t="s">
        <v>356</v>
      </c>
      <c r="D139" s="38" t="s">
        <v>1875</v>
      </c>
      <c r="E139" s="376" t="s">
        <v>1876</v>
      </c>
      <c r="F139" s="246">
        <v>19620</v>
      </c>
    </row>
    <row r="140" spans="1:8" ht="22.5" customHeight="1" x14ac:dyDescent="0.5">
      <c r="A140" s="23">
        <v>47</v>
      </c>
      <c r="B140" s="378" t="s">
        <v>359</v>
      </c>
      <c r="C140" s="311" t="s">
        <v>360</v>
      </c>
      <c r="D140" s="38" t="s">
        <v>1788</v>
      </c>
      <c r="E140" s="376" t="s">
        <v>1877</v>
      </c>
      <c r="F140" s="246">
        <v>6000</v>
      </c>
    </row>
    <row r="141" spans="1:8" ht="22.5" customHeight="1" x14ac:dyDescent="0.5">
      <c r="A141" s="23">
        <v>48</v>
      </c>
      <c r="B141" s="149" t="s">
        <v>281</v>
      </c>
      <c r="C141" s="311" t="s">
        <v>360</v>
      </c>
      <c r="D141" s="30" t="s">
        <v>1796</v>
      </c>
      <c r="E141" s="31" t="s">
        <v>1878</v>
      </c>
      <c r="F141" s="32">
        <v>3000</v>
      </c>
      <c r="H141" s="790">
        <f>SUM(F137:F141)</f>
        <v>39420</v>
      </c>
    </row>
    <row r="142" spans="1:8" ht="22.5" customHeight="1" x14ac:dyDescent="0.5">
      <c r="A142" s="23">
        <v>49</v>
      </c>
      <c r="B142" s="73" t="s">
        <v>364</v>
      </c>
      <c r="C142" s="25" t="s">
        <v>365</v>
      </c>
      <c r="D142" s="30" t="s">
        <v>1844</v>
      </c>
      <c r="E142" s="31" t="s">
        <v>1879</v>
      </c>
      <c r="F142" s="32">
        <v>20000</v>
      </c>
    </row>
    <row r="143" spans="1:8" ht="22.5" customHeight="1" x14ac:dyDescent="0.5">
      <c r="A143" s="23">
        <v>50</v>
      </c>
      <c r="B143" s="290" t="s">
        <v>367</v>
      </c>
      <c r="C143" s="25" t="s">
        <v>368</v>
      </c>
      <c r="D143" s="250" t="s">
        <v>1758</v>
      </c>
      <c r="E143" s="251" t="s">
        <v>1880</v>
      </c>
      <c r="F143" s="390">
        <v>3500</v>
      </c>
    </row>
    <row r="144" spans="1:8" ht="22.5" customHeight="1" x14ac:dyDescent="0.5">
      <c r="A144" s="23">
        <v>51</v>
      </c>
      <c r="B144" s="392" t="s">
        <v>370</v>
      </c>
      <c r="C144" s="63" t="s">
        <v>371</v>
      </c>
      <c r="D144" s="30" t="s">
        <v>1771</v>
      </c>
      <c r="E144" s="31" t="s">
        <v>1881</v>
      </c>
      <c r="F144" s="32">
        <v>12000</v>
      </c>
    </row>
    <row r="145" spans="1:9" ht="22.5" customHeight="1" x14ac:dyDescent="0.3">
      <c r="A145" s="23">
        <v>52</v>
      </c>
      <c r="B145" s="398" t="s">
        <v>373</v>
      </c>
      <c r="C145" s="165" t="s">
        <v>374</v>
      </c>
      <c r="D145" s="399" t="s">
        <v>1836</v>
      </c>
      <c r="E145" s="400" t="s">
        <v>1882</v>
      </c>
      <c r="F145" s="401">
        <v>4100</v>
      </c>
    </row>
    <row r="146" spans="1:9" ht="22.5" customHeight="1" x14ac:dyDescent="0.5">
      <c r="A146" s="23">
        <v>53</v>
      </c>
      <c r="B146" s="402" t="s">
        <v>376</v>
      </c>
      <c r="C146" s="403" t="s">
        <v>377</v>
      </c>
      <c r="D146" s="30" t="s">
        <v>1821</v>
      </c>
      <c r="E146" s="31" t="s">
        <v>1883</v>
      </c>
      <c r="F146" s="32">
        <v>1850</v>
      </c>
    </row>
    <row r="147" spans="1:9" ht="22.5" customHeight="1" x14ac:dyDescent="0.5">
      <c r="A147" s="23">
        <v>54</v>
      </c>
      <c r="B147" s="149" t="s">
        <v>383</v>
      </c>
      <c r="C147" s="311" t="s">
        <v>384</v>
      </c>
      <c r="D147" s="250" t="s">
        <v>1788</v>
      </c>
      <c r="E147" s="251" t="s">
        <v>1884</v>
      </c>
      <c r="F147" s="390">
        <v>5400</v>
      </c>
      <c r="H147" s="790">
        <f>SUM(F142:F147)</f>
        <v>46850</v>
      </c>
    </row>
    <row r="148" spans="1:9" s="60" customFormat="1" ht="22.5" customHeight="1" thickBot="1" x14ac:dyDescent="0.35">
      <c r="A148" s="317"/>
      <c r="B148" s="317" t="s">
        <v>15</v>
      </c>
      <c r="C148" s="318"/>
      <c r="D148" s="383"/>
      <c r="E148" s="383">
        <v>0</v>
      </c>
      <c r="F148" s="383">
        <f>SUM(F94:F147)</f>
        <v>788051.8</v>
      </c>
      <c r="G148" s="683">
        <f>SUM(H128:H147)</f>
        <v>788051.8</v>
      </c>
    </row>
    <row r="149" spans="1:9" ht="22.5" customHeight="1" thickTop="1" x14ac:dyDescent="0.3">
      <c r="A149" s="61"/>
      <c r="B149" s="62" t="s">
        <v>386</v>
      </c>
      <c r="C149" s="63"/>
      <c r="D149" s="68"/>
      <c r="E149" s="68"/>
      <c r="F149" s="64"/>
    </row>
    <row r="150" spans="1:9" ht="22.5" customHeight="1" x14ac:dyDescent="0.3">
      <c r="A150" s="208">
        <v>1</v>
      </c>
      <c r="B150" s="290" t="s">
        <v>389</v>
      </c>
      <c r="C150" s="25" t="s">
        <v>390</v>
      </c>
      <c r="D150" s="335" t="s">
        <v>1788</v>
      </c>
      <c r="E150" s="410" t="s">
        <v>1885</v>
      </c>
      <c r="F150" s="411">
        <v>3150</v>
      </c>
      <c r="H150" s="790">
        <f>SUM(F150)</f>
        <v>3150</v>
      </c>
    </row>
    <row r="151" spans="1:9" s="60" customFormat="1" ht="22.5" customHeight="1" thickBot="1" x14ac:dyDescent="0.35">
      <c r="A151" s="317"/>
      <c r="B151" s="317" t="s">
        <v>15</v>
      </c>
      <c r="C151" s="318"/>
      <c r="D151" s="383"/>
      <c r="E151" s="383">
        <v>0</v>
      </c>
      <c r="F151" s="383">
        <v>3150</v>
      </c>
    </row>
    <row r="152" spans="1:9" s="60" customFormat="1" ht="22.5" customHeight="1" thickTop="1" thickBot="1" x14ac:dyDescent="0.35">
      <c r="A152" s="459"/>
      <c r="B152" s="460" t="s">
        <v>497</v>
      </c>
      <c r="C152" s="461"/>
      <c r="D152" s="462">
        <v>0</v>
      </c>
      <c r="E152" s="462">
        <v>0</v>
      </c>
      <c r="F152" s="462">
        <v>1275838.7200000002</v>
      </c>
      <c r="I152" s="1027">
        <f>SUM(H11:H150)</f>
        <v>1275838.7200000002</v>
      </c>
    </row>
    <row r="153" spans="1:9" ht="22.5" customHeight="1" thickTop="1" x14ac:dyDescent="0.3"/>
    <row r="154" spans="1:9" s="636" customFormat="1" x14ac:dyDescent="0.6">
      <c r="A154" s="628"/>
      <c r="B154" s="629"/>
      <c r="C154" s="630"/>
      <c r="D154" s="633"/>
      <c r="E154" s="633"/>
      <c r="F154" s="631"/>
    </row>
    <row r="155" spans="1:9" s="636" customFormat="1" x14ac:dyDescent="0.6">
      <c r="A155" s="1128" t="s">
        <v>524</v>
      </c>
      <c r="B155" s="1128"/>
      <c r="C155" s="1128"/>
      <c r="D155" s="1128"/>
      <c r="E155" s="1128"/>
      <c r="F155" s="1128"/>
    </row>
    <row r="156" spans="1:9" s="599" customFormat="1" x14ac:dyDescent="0.6">
      <c r="A156" s="646">
        <v>1</v>
      </c>
      <c r="B156" s="647" t="s">
        <v>521</v>
      </c>
      <c r="C156" s="647" t="s">
        <v>522</v>
      </c>
      <c r="D156" s="644" t="s">
        <v>1821</v>
      </c>
      <c r="E156" s="644" t="s">
        <v>1888</v>
      </c>
      <c r="F156" s="645">
        <v>8400</v>
      </c>
    </row>
    <row r="157" spans="1:9" s="599" customFormat="1" ht="24" thickBot="1" x14ac:dyDescent="0.65">
      <c r="A157" s="619"/>
      <c r="B157" s="620" t="s">
        <v>535</v>
      </c>
      <c r="C157" s="621"/>
      <c r="D157" s="625"/>
      <c r="E157" s="625"/>
      <c r="F157" s="625">
        <v>8400</v>
      </c>
      <c r="H157" s="691">
        <f>SUM(F156)</f>
        <v>8400</v>
      </c>
    </row>
    <row r="158" spans="1:9" ht="22.5" customHeight="1" thickTop="1" thickBot="1" x14ac:dyDescent="0.35">
      <c r="A158" s="763"/>
      <c r="B158" s="763"/>
      <c r="C158" s="764"/>
      <c r="D158" s="1021"/>
      <c r="E158" s="1022"/>
      <c r="F158" s="1023">
        <v>1284238.7200000002</v>
      </c>
      <c r="I158" s="908">
        <f>SUM(I152+H157)</f>
        <v>1284238.7200000002</v>
      </c>
    </row>
    <row r="159" spans="1:9" ht="22.5" customHeight="1" thickTop="1" x14ac:dyDescent="0.5">
      <c r="B159" s="587" t="s">
        <v>537</v>
      </c>
      <c r="C159" s="587"/>
      <c r="D159" s="587"/>
    </row>
    <row r="160" spans="1:9" x14ac:dyDescent="0.5">
      <c r="B160" s="1129" t="s">
        <v>538</v>
      </c>
      <c r="C160" s="1129"/>
      <c r="D160" s="1129"/>
    </row>
    <row r="161" spans="2:4" x14ac:dyDescent="0.5">
      <c r="B161" s="1129" t="s">
        <v>539</v>
      </c>
      <c r="C161" s="1129"/>
      <c r="D161" s="1129"/>
    </row>
  </sheetData>
  <mergeCells count="10">
    <mergeCell ref="A155:F155"/>
    <mergeCell ref="B160:D160"/>
    <mergeCell ref="B161:D161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CA3E-EA3E-4CAF-9BBD-AD3718BE09BA}">
  <sheetPr>
    <tabColor rgb="FF00B0F0"/>
  </sheetPr>
  <dimension ref="A1:AB106"/>
  <sheetViews>
    <sheetView zoomScale="80" zoomScaleNormal="80" workbookViewId="0">
      <pane ySplit="6" topLeftCell="A90" activePane="bottomLeft" state="frozen"/>
      <selection pane="bottomLeft" activeCell="G96" sqref="G96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4" width="35.33203125" style="1" customWidth="1"/>
    <col min="5" max="5" width="14.5546875" style="662" customWidth="1"/>
    <col min="6" max="6" width="5.77734375" style="662" customWidth="1"/>
    <col min="7" max="7" width="16.5546875" style="665" customWidth="1"/>
    <col min="8" max="16384" width="27.109375" style="3"/>
  </cols>
  <sheetData>
    <row r="1" spans="1:28" ht="22.5" customHeight="1" x14ac:dyDescent="0.3">
      <c r="A1" s="1108" t="s">
        <v>0</v>
      </c>
      <c r="B1" s="1109"/>
      <c r="C1" s="1109"/>
      <c r="D1" s="1109"/>
      <c r="E1" s="1109"/>
      <c r="F1" s="1109"/>
      <c r="G1" s="1109"/>
    </row>
    <row r="2" spans="1:28" ht="22.5" customHeight="1" x14ac:dyDescent="0.3">
      <c r="A2" s="1108" t="s">
        <v>1</v>
      </c>
      <c r="B2" s="1109"/>
      <c r="C2" s="1109"/>
      <c r="D2" s="1109"/>
      <c r="E2" s="1109"/>
      <c r="F2" s="1109"/>
      <c r="G2" s="1109"/>
    </row>
    <row r="3" spans="1:28" ht="22.5" customHeight="1" x14ac:dyDescent="0.3">
      <c r="A3" s="1110" t="s">
        <v>1747</v>
      </c>
      <c r="B3" s="1111"/>
      <c r="C3" s="1111"/>
      <c r="D3" s="1111"/>
      <c r="E3" s="1111"/>
      <c r="F3" s="1111"/>
      <c r="G3" s="1111"/>
    </row>
    <row r="4" spans="1:28" ht="22.5" customHeight="1" x14ac:dyDescent="0.3">
      <c r="A4" s="1112" t="s">
        <v>3</v>
      </c>
      <c r="B4" s="1112" t="s">
        <v>4</v>
      </c>
      <c r="C4" s="1115" t="s">
        <v>5</v>
      </c>
      <c r="D4" s="909"/>
      <c r="E4" s="1118" t="s">
        <v>9</v>
      </c>
      <c r="F4" s="1119"/>
      <c r="G4" s="1120"/>
    </row>
    <row r="5" spans="1:28" ht="22.5" customHeight="1" x14ac:dyDescent="0.3">
      <c r="A5" s="1113"/>
      <c r="B5" s="1113"/>
      <c r="C5" s="1116"/>
      <c r="D5" s="668"/>
      <c r="E5" s="1121" t="s">
        <v>10</v>
      </c>
      <c r="F5" s="882"/>
      <c r="G5" s="667"/>
    </row>
    <row r="6" spans="1:28" ht="22.5" customHeight="1" x14ac:dyDescent="0.3">
      <c r="A6" s="1114"/>
      <c r="B6" s="1114"/>
      <c r="C6" s="1117"/>
      <c r="D6" s="906"/>
      <c r="E6" s="1122"/>
      <c r="F6" s="883" t="s">
        <v>937</v>
      </c>
      <c r="G6" s="10" t="s">
        <v>15</v>
      </c>
    </row>
    <row r="7" spans="1:28" ht="22.5" customHeight="1" x14ac:dyDescent="0.3">
      <c r="A7" s="61"/>
      <c r="B7" s="62" t="s">
        <v>37</v>
      </c>
      <c r="C7" s="63"/>
      <c r="D7" s="63"/>
      <c r="E7" s="69"/>
      <c r="F7" s="69"/>
      <c r="G7" s="72"/>
    </row>
    <row r="8" spans="1:28" ht="22.5" customHeight="1" x14ac:dyDescent="0.3">
      <c r="A8" s="23">
        <v>1</v>
      </c>
      <c r="B8" s="489" t="s">
        <v>45</v>
      </c>
      <c r="C8" s="741" t="s">
        <v>46</v>
      </c>
      <c r="D8" s="741"/>
      <c r="E8" s="1033" t="s">
        <v>1760</v>
      </c>
      <c r="F8" s="1034" t="s">
        <v>33</v>
      </c>
      <c r="G8" s="316">
        <v>1765.5</v>
      </c>
    </row>
    <row r="9" spans="1:28" ht="22.5" customHeight="1" x14ac:dyDescent="0.3">
      <c r="A9" s="23">
        <v>2</v>
      </c>
      <c r="B9" s="226" t="s">
        <v>59</v>
      </c>
      <c r="C9" s="1035" t="s">
        <v>60</v>
      </c>
      <c r="D9" s="1036"/>
      <c r="E9" s="1037" t="s">
        <v>1760</v>
      </c>
      <c r="F9" s="1037" t="s">
        <v>33</v>
      </c>
      <c r="G9" s="316">
        <v>21400</v>
      </c>
    </row>
    <row r="10" spans="1:28" s="60" customFormat="1" ht="22.5" customHeight="1" thickBot="1" x14ac:dyDescent="0.35">
      <c r="A10" s="48"/>
      <c r="B10" s="48" t="s">
        <v>15</v>
      </c>
      <c r="C10" s="49"/>
      <c r="D10" s="49"/>
      <c r="E10" s="107"/>
      <c r="F10" s="107"/>
      <c r="G10" s="110">
        <v>23165.500000000004</v>
      </c>
      <c r="I10" s="683">
        <f>SUM(G8:G9)</f>
        <v>23165.5</v>
      </c>
    </row>
    <row r="11" spans="1:28" ht="22.5" customHeight="1" thickTop="1" x14ac:dyDescent="0.3">
      <c r="A11" s="61"/>
      <c r="B11" s="121" t="s">
        <v>78</v>
      </c>
      <c r="C11" s="63"/>
      <c r="D11" s="63"/>
      <c r="E11" s="69"/>
      <c r="F11" s="69"/>
      <c r="G11" s="72"/>
    </row>
    <row r="12" spans="1:28" s="134" customFormat="1" ht="22.5" customHeight="1" x14ac:dyDescent="0.6">
      <c r="A12" s="122">
        <v>1</v>
      </c>
      <c r="B12" s="1038" t="s">
        <v>79</v>
      </c>
      <c r="C12" s="1039" t="s">
        <v>60</v>
      </c>
      <c r="D12" s="1039"/>
      <c r="E12" s="1040" t="s">
        <v>1760</v>
      </c>
      <c r="F12" s="1040" t="s">
        <v>33</v>
      </c>
      <c r="G12" s="316">
        <v>5350</v>
      </c>
      <c r="H12" s="132"/>
      <c r="I12" s="131"/>
      <c r="J12" s="132"/>
      <c r="K12" s="132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 spans="1:28" s="60" customFormat="1" ht="22.5" customHeight="1" thickBot="1" x14ac:dyDescent="0.35">
      <c r="A13" s="48"/>
      <c r="B13" s="48" t="s">
        <v>15</v>
      </c>
      <c r="C13" s="49"/>
      <c r="D13" s="49"/>
      <c r="E13" s="119"/>
      <c r="F13" s="119"/>
      <c r="G13" s="138">
        <v>5350</v>
      </c>
      <c r="I13" s="683">
        <f>SUM(G12)</f>
        <v>5350</v>
      </c>
    </row>
    <row r="14" spans="1:28" ht="22.5" customHeight="1" thickTop="1" x14ac:dyDescent="0.3">
      <c r="A14" s="139"/>
      <c r="B14" s="140" t="s">
        <v>81</v>
      </c>
      <c r="C14" s="141"/>
      <c r="D14" s="141"/>
      <c r="E14" s="144"/>
      <c r="F14" s="144"/>
      <c r="G14" s="147"/>
    </row>
    <row r="15" spans="1:28" ht="22.5" customHeight="1" x14ac:dyDescent="0.3">
      <c r="A15" s="970">
        <v>1</v>
      </c>
      <c r="B15" s="1041" t="s">
        <v>1582</v>
      </c>
      <c r="C15" s="1042" t="s">
        <v>1579</v>
      </c>
      <c r="D15" s="1042"/>
      <c r="E15" s="1043" t="s">
        <v>1760</v>
      </c>
      <c r="F15" s="1043" t="s">
        <v>33</v>
      </c>
      <c r="G15" s="1044">
        <v>10700</v>
      </c>
    </row>
    <row r="16" spans="1:28" s="60" customFormat="1" ht="22.5" customHeight="1" thickBot="1" x14ac:dyDescent="0.35">
      <c r="A16" s="158"/>
      <c r="B16" s="158" t="s">
        <v>15</v>
      </c>
      <c r="C16" s="159"/>
      <c r="D16" s="159"/>
      <c r="E16" s="158"/>
      <c r="F16" s="158"/>
      <c r="G16" s="162">
        <v>10700</v>
      </c>
      <c r="I16" s="683">
        <f>SUM(G15)</f>
        <v>10700</v>
      </c>
    </row>
    <row r="17" spans="1:7" ht="22.5" customHeight="1" thickTop="1" x14ac:dyDescent="0.3">
      <c r="A17" s="61"/>
      <c r="B17" s="62" t="s">
        <v>92</v>
      </c>
      <c r="C17" s="63"/>
      <c r="D17" s="63"/>
      <c r="E17" s="61"/>
      <c r="F17" s="61"/>
      <c r="G17" s="207"/>
    </row>
    <row r="18" spans="1:7" ht="22.5" customHeight="1" x14ac:dyDescent="0.5">
      <c r="A18" s="208">
        <v>1</v>
      </c>
      <c r="B18" s="1045" t="s">
        <v>1592</v>
      </c>
      <c r="C18" s="1046" t="s">
        <v>1593</v>
      </c>
      <c r="D18" s="1047"/>
      <c r="E18" s="1048" t="s">
        <v>1760</v>
      </c>
      <c r="F18" s="1048" t="s">
        <v>33</v>
      </c>
      <c r="G18" s="1049">
        <v>9779.7999999999993</v>
      </c>
    </row>
    <row r="19" spans="1:7" ht="22.5" customHeight="1" x14ac:dyDescent="0.5">
      <c r="A19" s="208">
        <v>2</v>
      </c>
      <c r="B19" s="1045" t="s">
        <v>99</v>
      </c>
      <c r="C19" s="1046" t="s">
        <v>567</v>
      </c>
      <c r="D19" s="1047"/>
      <c r="E19" s="1048" t="s">
        <v>1760</v>
      </c>
      <c r="F19" s="1048" t="s">
        <v>33</v>
      </c>
      <c r="G19" s="1049">
        <v>6334.4</v>
      </c>
    </row>
    <row r="20" spans="1:7" ht="22.5" customHeight="1" x14ac:dyDescent="0.5">
      <c r="A20" s="208">
        <v>3</v>
      </c>
      <c r="B20" s="1050" t="s">
        <v>99</v>
      </c>
      <c r="C20" s="1051" t="s">
        <v>1596</v>
      </c>
      <c r="D20" s="1051"/>
      <c r="E20" s="1048" t="s">
        <v>1760</v>
      </c>
      <c r="F20" s="1048" t="s">
        <v>33</v>
      </c>
      <c r="G20" s="1049">
        <v>203.3</v>
      </c>
    </row>
    <row r="21" spans="1:7" ht="22.5" customHeight="1" x14ac:dyDescent="0.5">
      <c r="A21" s="208">
        <v>4</v>
      </c>
      <c r="B21" s="1045" t="s">
        <v>353</v>
      </c>
      <c r="C21" s="1046" t="s">
        <v>1610</v>
      </c>
      <c r="D21" s="1047"/>
      <c r="E21" s="1048" t="s">
        <v>1793</v>
      </c>
      <c r="F21" s="1048" t="s">
        <v>115</v>
      </c>
      <c r="G21" s="1049">
        <v>3712.9000000000015</v>
      </c>
    </row>
    <row r="22" spans="1:7" ht="22.5" customHeight="1" x14ac:dyDescent="0.5">
      <c r="A22" s="208">
        <v>5</v>
      </c>
      <c r="B22" s="1045" t="s">
        <v>1613</v>
      </c>
      <c r="C22" s="1046" t="s">
        <v>1288</v>
      </c>
      <c r="D22" s="1047"/>
      <c r="E22" s="1048" t="s">
        <v>1793</v>
      </c>
      <c r="F22" s="1048" t="s">
        <v>115</v>
      </c>
      <c r="G22" s="1049">
        <v>6687.5000000000009</v>
      </c>
    </row>
    <row r="23" spans="1:7" ht="22.5" customHeight="1" x14ac:dyDescent="0.5">
      <c r="A23" s="208">
        <v>6</v>
      </c>
      <c r="B23" s="1045" t="s">
        <v>1616</v>
      </c>
      <c r="C23" s="1052" t="s">
        <v>1596</v>
      </c>
      <c r="D23" s="1053"/>
      <c r="E23" s="1048" t="s">
        <v>1760</v>
      </c>
      <c r="F23" s="1048" t="s">
        <v>33</v>
      </c>
      <c r="G23" s="1049">
        <v>6355.7999999999984</v>
      </c>
    </row>
    <row r="24" spans="1:7" ht="22.5" customHeight="1" x14ac:dyDescent="0.5">
      <c r="A24" s="208">
        <v>7</v>
      </c>
      <c r="B24" s="1045" t="s">
        <v>1616</v>
      </c>
      <c r="C24" s="1052" t="s">
        <v>567</v>
      </c>
      <c r="D24" s="1053"/>
      <c r="E24" s="1048" t="s">
        <v>1760</v>
      </c>
      <c r="F24" s="1048" t="s">
        <v>33</v>
      </c>
      <c r="G24" s="1049">
        <v>10571.6</v>
      </c>
    </row>
    <row r="25" spans="1:7" ht="22.5" customHeight="1" x14ac:dyDescent="0.5">
      <c r="A25" s="208">
        <v>8</v>
      </c>
      <c r="B25" s="1054" t="s">
        <v>1622</v>
      </c>
      <c r="C25" s="1055" t="s">
        <v>567</v>
      </c>
      <c r="D25" s="1053"/>
      <c r="E25" s="1048" t="s">
        <v>1760</v>
      </c>
      <c r="F25" s="1048" t="s">
        <v>33</v>
      </c>
      <c r="G25" s="1049">
        <v>9843.9999999999964</v>
      </c>
    </row>
    <row r="26" spans="1:7" ht="22.5" customHeight="1" x14ac:dyDescent="0.5">
      <c r="A26" s="208">
        <v>9</v>
      </c>
      <c r="B26" s="1054" t="s">
        <v>1624</v>
      </c>
      <c r="C26" s="1055" t="s">
        <v>1625</v>
      </c>
      <c r="D26" s="1053"/>
      <c r="E26" s="1048" t="s">
        <v>1760</v>
      </c>
      <c r="F26" s="1048" t="s">
        <v>33</v>
      </c>
      <c r="G26" s="1049">
        <v>19163.69999999999</v>
      </c>
    </row>
    <row r="27" spans="1:7" s="229" customFormat="1" ht="22.5" customHeight="1" x14ac:dyDescent="0.5">
      <c r="A27" s="208">
        <v>10</v>
      </c>
      <c r="B27" s="1054" t="s">
        <v>1627</v>
      </c>
      <c r="C27" s="1056" t="s">
        <v>1610</v>
      </c>
      <c r="D27" s="1047"/>
      <c r="E27" s="1048" t="s">
        <v>1760</v>
      </c>
      <c r="F27" s="1048" t="s">
        <v>33</v>
      </c>
      <c r="G27" s="1049">
        <v>4675.9000000000024</v>
      </c>
    </row>
    <row r="28" spans="1:7" ht="22.5" customHeight="1" x14ac:dyDescent="0.5">
      <c r="A28" s="208">
        <v>11</v>
      </c>
      <c r="B28" s="1057" t="s">
        <v>162</v>
      </c>
      <c r="C28" s="1052" t="s">
        <v>567</v>
      </c>
      <c r="D28" s="1053"/>
      <c r="E28" s="1048" t="s">
        <v>1760</v>
      </c>
      <c r="F28" s="1048" t="s">
        <v>33</v>
      </c>
      <c r="G28" s="1049">
        <v>2610.7999999999984</v>
      </c>
    </row>
    <row r="29" spans="1:7" ht="22.5" customHeight="1" x14ac:dyDescent="0.5">
      <c r="A29" s="208">
        <v>12</v>
      </c>
      <c r="B29" s="1058" t="s">
        <v>165</v>
      </c>
      <c r="C29" s="1055" t="s">
        <v>567</v>
      </c>
      <c r="D29" s="1053"/>
      <c r="E29" s="1048" t="s">
        <v>1760</v>
      </c>
      <c r="F29" s="1048" t="s">
        <v>33</v>
      </c>
      <c r="G29" s="1049">
        <v>2172.1</v>
      </c>
    </row>
    <row r="30" spans="1:7" ht="22.5" customHeight="1" x14ac:dyDescent="0.5">
      <c r="A30" s="208">
        <v>13</v>
      </c>
      <c r="B30" s="1059" t="s">
        <v>1643</v>
      </c>
      <c r="C30" s="1060" t="s">
        <v>567</v>
      </c>
      <c r="D30" s="1053"/>
      <c r="E30" s="1048" t="s">
        <v>1793</v>
      </c>
      <c r="F30" s="1048" t="s">
        <v>115</v>
      </c>
      <c r="G30" s="1049">
        <v>5136</v>
      </c>
    </row>
    <row r="31" spans="1:7" ht="22.5" customHeight="1" x14ac:dyDescent="0.5">
      <c r="A31" s="208">
        <v>14</v>
      </c>
      <c r="B31" s="1058" t="s">
        <v>1649</v>
      </c>
      <c r="C31" s="1055" t="s">
        <v>567</v>
      </c>
      <c r="D31" s="1053"/>
      <c r="E31" s="1048" t="s">
        <v>1760</v>
      </c>
      <c r="F31" s="1048" t="s">
        <v>33</v>
      </c>
      <c r="G31" s="1049">
        <v>1990.2000000000003</v>
      </c>
    </row>
    <row r="32" spans="1:7" ht="22.5" customHeight="1" x14ac:dyDescent="0.5">
      <c r="A32" s="208">
        <v>15</v>
      </c>
      <c r="B32" s="1058" t="s">
        <v>1660</v>
      </c>
      <c r="C32" s="1055" t="s">
        <v>1288</v>
      </c>
      <c r="D32" s="1053"/>
      <c r="E32" s="1048" t="s">
        <v>1760</v>
      </c>
      <c r="F32" s="1048" t="s">
        <v>33</v>
      </c>
      <c r="G32" s="1049">
        <v>15921.600000000006</v>
      </c>
    </row>
    <row r="33" spans="1:9" ht="22.5" customHeight="1" x14ac:dyDescent="0.5">
      <c r="A33" s="208">
        <v>16</v>
      </c>
      <c r="B33" s="1058" t="s">
        <v>1662</v>
      </c>
      <c r="C33" s="1055" t="s">
        <v>567</v>
      </c>
      <c r="D33" s="1053"/>
      <c r="E33" s="1048" t="s">
        <v>1760</v>
      </c>
      <c r="F33" s="1048" t="s">
        <v>33</v>
      </c>
      <c r="G33" s="1049">
        <v>1230.5000000000005</v>
      </c>
    </row>
    <row r="34" spans="1:9" ht="22.5" customHeight="1" x14ac:dyDescent="0.5">
      <c r="A34" s="208">
        <v>17</v>
      </c>
      <c r="B34" s="1058" t="s">
        <v>1666</v>
      </c>
      <c r="C34" s="1055" t="s">
        <v>567</v>
      </c>
      <c r="D34" s="1053"/>
      <c r="E34" s="1048" t="s">
        <v>1760</v>
      </c>
      <c r="F34" s="1048" t="s">
        <v>33</v>
      </c>
      <c r="G34" s="1049">
        <v>1337.4999999999995</v>
      </c>
    </row>
    <row r="35" spans="1:9" ht="22.5" customHeight="1" x14ac:dyDescent="0.5">
      <c r="A35" s="208">
        <v>18</v>
      </c>
      <c r="B35" s="1058" t="s">
        <v>200</v>
      </c>
      <c r="C35" s="1055" t="s">
        <v>567</v>
      </c>
      <c r="D35" s="1053"/>
      <c r="E35" s="1048" t="s">
        <v>1477</v>
      </c>
      <c r="F35" s="1061" t="s">
        <v>33</v>
      </c>
      <c r="G35" s="1049">
        <v>12519</v>
      </c>
    </row>
    <row r="36" spans="1:9" ht="22.5" customHeight="1" x14ac:dyDescent="0.5">
      <c r="A36" s="208">
        <v>19</v>
      </c>
      <c r="B36" s="1058" t="s">
        <v>210</v>
      </c>
      <c r="C36" s="1055" t="s">
        <v>567</v>
      </c>
      <c r="D36" s="1053"/>
      <c r="E36" s="1062" t="s">
        <v>1760</v>
      </c>
      <c r="F36" s="1062" t="s">
        <v>33</v>
      </c>
      <c r="G36" s="1049">
        <v>8378.1000000000022</v>
      </c>
    </row>
    <row r="37" spans="1:9" ht="22.5" customHeight="1" x14ac:dyDescent="0.5">
      <c r="A37" s="208">
        <v>20</v>
      </c>
      <c r="B37" s="1063" t="s">
        <v>217</v>
      </c>
      <c r="C37" s="1064" t="s">
        <v>567</v>
      </c>
      <c r="D37" s="1053"/>
      <c r="E37" s="1062" t="s">
        <v>1793</v>
      </c>
      <c r="F37" s="1062" t="s">
        <v>115</v>
      </c>
      <c r="G37" s="1049">
        <v>4397.7000000000007</v>
      </c>
    </row>
    <row r="38" spans="1:9" ht="22.5" customHeight="1" x14ac:dyDescent="0.5">
      <c r="A38" s="208">
        <v>21</v>
      </c>
      <c r="B38" s="1065" t="s">
        <v>1679</v>
      </c>
      <c r="C38" s="1065" t="s">
        <v>567</v>
      </c>
      <c r="D38" s="1065"/>
      <c r="E38" s="1062" t="s">
        <v>1760</v>
      </c>
      <c r="F38" s="1062" t="s">
        <v>33</v>
      </c>
      <c r="G38" s="1066">
        <v>214</v>
      </c>
    </row>
    <row r="39" spans="1:9" ht="22.5" customHeight="1" x14ac:dyDescent="0.5">
      <c r="A39" s="208">
        <v>22</v>
      </c>
      <c r="B39" s="1051" t="s">
        <v>224</v>
      </c>
      <c r="C39" s="1051" t="s">
        <v>567</v>
      </c>
      <c r="D39" s="1051"/>
      <c r="E39" s="1048" t="s">
        <v>1760</v>
      </c>
      <c r="F39" s="1048" t="s">
        <v>33</v>
      </c>
      <c r="G39" s="1067">
        <v>663.40000000000032</v>
      </c>
    </row>
    <row r="40" spans="1:9" ht="22.5" customHeight="1" x14ac:dyDescent="0.5">
      <c r="A40" s="208">
        <v>23</v>
      </c>
      <c r="B40" s="1051" t="s">
        <v>226</v>
      </c>
      <c r="C40" s="1051" t="s">
        <v>567</v>
      </c>
      <c r="D40" s="1051"/>
      <c r="E40" s="1048" t="s">
        <v>1760</v>
      </c>
      <c r="F40" s="1048" t="s">
        <v>33</v>
      </c>
      <c r="G40" s="1067">
        <v>2749.9000000000037</v>
      </c>
    </row>
    <row r="41" spans="1:9" ht="22.5" customHeight="1" x14ac:dyDescent="0.5">
      <c r="A41" s="208">
        <v>24</v>
      </c>
      <c r="B41" s="1051" t="s">
        <v>229</v>
      </c>
      <c r="C41" s="1051" t="s">
        <v>567</v>
      </c>
      <c r="D41" s="1051"/>
      <c r="E41" s="1048" t="s">
        <v>1760</v>
      </c>
      <c r="F41" s="1048" t="s">
        <v>33</v>
      </c>
      <c r="G41" s="1068">
        <v>15589.899999999998</v>
      </c>
    </row>
    <row r="42" spans="1:9" s="60" customFormat="1" ht="22.5" customHeight="1" thickBot="1" x14ac:dyDescent="0.35">
      <c r="A42" s="278"/>
      <c r="B42" s="278" t="s">
        <v>15</v>
      </c>
      <c r="C42" s="279"/>
      <c r="D42" s="279"/>
      <c r="E42" s="280">
        <v>0</v>
      </c>
      <c r="F42" s="280">
        <v>0</v>
      </c>
      <c r="G42" s="280">
        <v>152239.6</v>
      </c>
      <c r="I42" s="683">
        <f>SUM(G18:G41)</f>
        <v>152239.59999999998</v>
      </c>
    </row>
    <row r="43" spans="1:9" ht="22.5" customHeight="1" thickTop="1" x14ac:dyDescent="0.3">
      <c r="A43" s="61"/>
      <c r="B43" s="121" t="s">
        <v>232</v>
      </c>
      <c r="C43" s="63"/>
      <c r="D43" s="63"/>
      <c r="E43" s="69"/>
      <c r="F43" s="69"/>
      <c r="G43" s="289"/>
    </row>
    <row r="44" spans="1:9" ht="22.5" customHeight="1" x14ac:dyDescent="0.5">
      <c r="A44" s="23">
        <v>3</v>
      </c>
      <c r="B44" s="1045" t="s">
        <v>240</v>
      </c>
      <c r="C44" s="1046" t="s">
        <v>241</v>
      </c>
      <c r="D44" s="1047"/>
      <c r="E44" s="1069" t="s">
        <v>1793</v>
      </c>
      <c r="F44" s="1069" t="s">
        <v>115</v>
      </c>
      <c r="G44" s="1070">
        <v>31500</v>
      </c>
    </row>
    <row r="45" spans="1:9" ht="22.5" customHeight="1" x14ac:dyDescent="0.5">
      <c r="A45" s="23">
        <v>4</v>
      </c>
      <c r="B45" s="1045" t="s">
        <v>240</v>
      </c>
      <c r="C45" s="1046" t="s">
        <v>242</v>
      </c>
      <c r="D45" s="1047"/>
      <c r="E45" s="1069" t="s">
        <v>1793</v>
      </c>
      <c r="F45" s="1069" t="s">
        <v>115</v>
      </c>
      <c r="G45" s="1070">
        <v>12600</v>
      </c>
    </row>
    <row r="46" spans="1:9" ht="22.5" customHeight="1" x14ac:dyDescent="0.5">
      <c r="A46" s="208">
        <v>8</v>
      </c>
      <c r="B46" s="1058" t="s">
        <v>250</v>
      </c>
      <c r="C46" s="1055" t="s">
        <v>251</v>
      </c>
      <c r="D46" s="1053"/>
      <c r="E46" s="1048" t="s">
        <v>1760</v>
      </c>
      <c r="F46" s="1048" t="s">
        <v>33</v>
      </c>
      <c r="G46" s="1070">
        <v>6300</v>
      </c>
    </row>
    <row r="47" spans="1:9" ht="22.5" customHeight="1" x14ac:dyDescent="0.5">
      <c r="A47" s="23">
        <v>1</v>
      </c>
      <c r="B47" s="1045" t="s">
        <v>281</v>
      </c>
      <c r="C47" s="1046" t="s">
        <v>282</v>
      </c>
      <c r="D47" s="1047"/>
      <c r="E47" s="1048" t="s">
        <v>1760</v>
      </c>
      <c r="F47" s="1048" t="s">
        <v>33</v>
      </c>
      <c r="G47" s="1070">
        <v>5600</v>
      </c>
    </row>
    <row r="48" spans="1:9" ht="22.5" customHeight="1" x14ac:dyDescent="0.5">
      <c r="A48" s="208">
        <v>1</v>
      </c>
      <c r="B48" s="1058" t="s">
        <v>300</v>
      </c>
      <c r="C48" s="1055" t="s">
        <v>301</v>
      </c>
      <c r="D48" s="1053"/>
      <c r="E48" s="1048" t="s">
        <v>1760</v>
      </c>
      <c r="F48" s="1048" t="s">
        <v>33</v>
      </c>
      <c r="G48" s="1070">
        <v>5600</v>
      </c>
    </row>
    <row r="49" spans="1:10" ht="22.5" customHeight="1" x14ac:dyDescent="0.5">
      <c r="A49" s="208">
        <v>2</v>
      </c>
      <c r="B49" s="1058" t="s">
        <v>303</v>
      </c>
      <c r="C49" s="1055" t="s">
        <v>304</v>
      </c>
      <c r="D49" s="1053"/>
      <c r="E49" s="1048" t="s">
        <v>1760</v>
      </c>
      <c r="F49" s="1048" t="s">
        <v>33</v>
      </c>
      <c r="G49" s="1070">
        <v>2800</v>
      </c>
    </row>
    <row r="50" spans="1:10" ht="22.5" customHeight="1" x14ac:dyDescent="0.5">
      <c r="A50" s="208">
        <v>4</v>
      </c>
      <c r="B50" s="1045" t="s">
        <v>308</v>
      </c>
      <c r="C50" s="1046" t="s">
        <v>309</v>
      </c>
      <c r="D50" s="1047"/>
      <c r="E50" s="1048" t="s">
        <v>1760</v>
      </c>
      <c r="F50" s="1048" t="s">
        <v>33</v>
      </c>
      <c r="G50" s="1070">
        <v>8400</v>
      </c>
      <c r="I50" s="790">
        <f>SUM(G44:G50)</f>
        <v>72800</v>
      </c>
    </row>
    <row r="51" spans="1:10" ht="22.5" customHeight="1" x14ac:dyDescent="0.3">
      <c r="A51" s="23">
        <v>2</v>
      </c>
      <c r="B51" s="1045" t="s">
        <v>317</v>
      </c>
      <c r="C51" s="1046" t="s">
        <v>318</v>
      </c>
      <c r="D51" s="1071">
        <v>2800</v>
      </c>
      <c r="E51" s="1072"/>
      <c r="F51" s="1072"/>
      <c r="G51" s="1070"/>
    </row>
    <row r="52" spans="1:10" ht="22.5" customHeight="1" x14ac:dyDescent="0.3">
      <c r="A52" s="23">
        <v>4</v>
      </c>
      <c r="B52" s="1045" t="s">
        <v>322</v>
      </c>
      <c r="C52" s="1046" t="s">
        <v>323</v>
      </c>
      <c r="D52" s="1071">
        <v>11200</v>
      </c>
      <c r="E52" s="1073"/>
      <c r="F52" s="1074"/>
      <c r="G52" s="1070"/>
    </row>
    <row r="53" spans="1:10" ht="22.5" customHeight="1" x14ac:dyDescent="0.5">
      <c r="A53" s="23">
        <v>2</v>
      </c>
      <c r="B53" s="1075" t="s">
        <v>353</v>
      </c>
      <c r="C53" s="1076" t="s">
        <v>354</v>
      </c>
      <c r="D53" s="1077"/>
      <c r="E53" s="1048" t="s">
        <v>1760</v>
      </c>
      <c r="F53" s="1048" t="s">
        <v>33</v>
      </c>
      <c r="G53" s="1070">
        <v>11000</v>
      </c>
    </row>
    <row r="54" spans="1:10" ht="22.5" customHeight="1" x14ac:dyDescent="0.5">
      <c r="A54" s="23">
        <v>3</v>
      </c>
      <c r="B54" s="1075" t="s">
        <v>355</v>
      </c>
      <c r="C54" s="1076" t="s">
        <v>356</v>
      </c>
      <c r="D54" s="1077"/>
      <c r="E54" s="1048" t="s">
        <v>1760</v>
      </c>
      <c r="F54" s="1048" t="s">
        <v>33</v>
      </c>
      <c r="G54" s="1070">
        <v>9400</v>
      </c>
    </row>
    <row r="55" spans="1:10" ht="22.5" customHeight="1" x14ac:dyDescent="0.5">
      <c r="A55" s="331">
        <v>5</v>
      </c>
      <c r="B55" s="1078" t="s">
        <v>358</v>
      </c>
      <c r="C55" s="1079" t="s">
        <v>356</v>
      </c>
      <c r="D55" s="1077"/>
      <c r="E55" s="1048" t="s">
        <v>1760</v>
      </c>
      <c r="F55" s="1080" t="s">
        <v>33</v>
      </c>
      <c r="G55" s="1070">
        <v>9810</v>
      </c>
      <c r="I55" s="790">
        <f>SUM(G53:G55)</f>
        <v>30210</v>
      </c>
    </row>
    <row r="56" spans="1:10" s="60" customFormat="1" ht="22.5" customHeight="1" thickBot="1" x14ac:dyDescent="0.35">
      <c r="A56" s="317"/>
      <c r="B56" s="317" t="s">
        <v>15</v>
      </c>
      <c r="C56" s="357"/>
      <c r="D56" s="357"/>
      <c r="E56" s="317"/>
      <c r="F56" s="317"/>
      <c r="G56" s="386">
        <f>SUM(G44:G55)</f>
        <v>103010</v>
      </c>
    </row>
    <row r="57" spans="1:10" ht="22.2" customHeight="1" thickTop="1" x14ac:dyDescent="0.3">
      <c r="A57" s="429"/>
      <c r="B57" s="430"/>
      <c r="C57" s="431"/>
      <c r="D57" s="431"/>
      <c r="E57" s="439"/>
      <c r="F57" s="439"/>
      <c r="G57" s="442"/>
    </row>
    <row r="58" spans="1:10" ht="22.5" customHeight="1" x14ac:dyDescent="0.3">
      <c r="A58" s="61"/>
      <c r="B58" s="164" t="s">
        <v>399</v>
      </c>
      <c r="C58" s="63"/>
      <c r="D58" s="63"/>
      <c r="E58" s="69"/>
      <c r="F58" s="69"/>
      <c r="G58" s="387"/>
    </row>
    <row r="59" spans="1:10" ht="22.5" customHeight="1" x14ac:dyDescent="0.3">
      <c r="A59" s="23">
        <v>1</v>
      </c>
      <c r="B59" s="1081" t="s">
        <v>495</v>
      </c>
      <c r="C59" s="741" t="s">
        <v>496</v>
      </c>
      <c r="D59" s="741"/>
      <c r="E59" s="1082" t="s">
        <v>795</v>
      </c>
      <c r="F59" s="1082"/>
      <c r="G59" s="1083">
        <v>20595.900000000001</v>
      </c>
    </row>
    <row r="60" spans="1:10" s="60" customFormat="1" ht="22.5" customHeight="1" thickBot="1" x14ac:dyDescent="0.35">
      <c r="A60" s="362"/>
      <c r="B60" s="362" t="s">
        <v>15</v>
      </c>
      <c r="C60" s="455"/>
      <c r="D60" s="455"/>
      <c r="E60" s="362"/>
      <c r="F60" s="362"/>
      <c r="G60" s="364">
        <v>20595.900000000001</v>
      </c>
      <c r="I60" s="683">
        <f>SUM(G59)</f>
        <v>20595.900000000001</v>
      </c>
    </row>
    <row r="61" spans="1:10" s="60" customFormat="1" ht="22.5" customHeight="1" thickTop="1" thickBot="1" x14ac:dyDescent="0.35">
      <c r="A61" s="459"/>
      <c r="B61" s="460" t="s">
        <v>497</v>
      </c>
      <c r="C61" s="461"/>
      <c r="D61" s="461"/>
      <c r="E61" s="462">
        <v>0</v>
      </c>
      <c r="F61" s="462"/>
      <c r="G61" s="462">
        <v>315060.99970000004</v>
      </c>
      <c r="J61" s="1027">
        <f>SUM(I10:I60)</f>
        <v>315061</v>
      </c>
    </row>
    <row r="62" spans="1:10" ht="22.5" customHeight="1" thickTop="1" x14ac:dyDescent="0.3">
      <c r="E62" s="3"/>
      <c r="F62" s="3"/>
      <c r="G62" s="472"/>
    </row>
    <row r="63" spans="1:10" ht="22.5" customHeight="1" x14ac:dyDescent="0.3">
      <c r="A63" s="1123" t="s">
        <v>671</v>
      </c>
      <c r="B63" s="1124"/>
      <c r="C63" s="1124"/>
      <c r="D63" s="1124"/>
      <c r="E63" s="1124"/>
      <c r="F63" s="1124"/>
      <c r="G63" s="1125"/>
    </row>
    <row r="64" spans="1:10" ht="22.5" customHeight="1" x14ac:dyDescent="0.3">
      <c r="A64" s="115"/>
      <c r="B64" s="164" t="s">
        <v>499</v>
      </c>
      <c r="C64" s="165"/>
      <c r="D64" s="165"/>
      <c r="E64" s="117"/>
      <c r="F64" s="117"/>
      <c r="G64" s="370"/>
    </row>
    <row r="65" spans="1:7" ht="22.5" customHeight="1" x14ac:dyDescent="0.3">
      <c r="A65" s="475">
        <v>1</v>
      </c>
      <c r="B65" s="489" t="s">
        <v>1397</v>
      </c>
      <c r="C65" s="498"/>
      <c r="D65" s="498"/>
      <c r="E65" s="484"/>
      <c r="F65" s="892"/>
      <c r="G65" s="497">
        <v>325409.68</v>
      </c>
    </row>
    <row r="66" spans="1:7" ht="22.5" customHeight="1" x14ac:dyDescent="0.3">
      <c r="A66" s="502"/>
      <c r="B66" s="503" t="s">
        <v>1399</v>
      </c>
      <c r="C66" s="504"/>
      <c r="D66" s="504"/>
      <c r="E66" s="509"/>
      <c r="F66" s="893"/>
      <c r="G66" s="513"/>
    </row>
    <row r="67" spans="1:7" ht="22.5" customHeight="1" x14ac:dyDescent="0.3">
      <c r="A67" s="488"/>
      <c r="B67" s="489" t="s">
        <v>1400</v>
      </c>
      <c r="C67" s="514"/>
      <c r="D67" s="514"/>
      <c r="E67" s="520"/>
      <c r="F67" s="520"/>
      <c r="G67" s="524"/>
    </row>
    <row r="68" spans="1:7" ht="22.5" customHeight="1" x14ac:dyDescent="0.3">
      <c r="A68" s="488">
        <v>2</v>
      </c>
      <c r="B68" s="525" t="s">
        <v>1401</v>
      </c>
      <c r="C68" s="526"/>
      <c r="D68" s="526"/>
      <c r="E68" s="521"/>
      <c r="F68" s="529"/>
      <c r="G68" s="532">
        <v>108369.18</v>
      </c>
    </row>
    <row r="69" spans="1:7" ht="22.5" customHeight="1" x14ac:dyDescent="0.3">
      <c r="A69" s="488"/>
      <c r="B69" s="525" t="s">
        <v>1402</v>
      </c>
      <c r="C69" s="526"/>
      <c r="D69" s="526"/>
      <c r="E69" s="521"/>
      <c r="F69" s="529"/>
      <c r="G69" s="532"/>
    </row>
    <row r="70" spans="1:7" ht="22.5" customHeight="1" x14ac:dyDescent="0.3">
      <c r="A70" s="737"/>
      <c r="B70" s="525" t="s">
        <v>1403</v>
      </c>
      <c r="C70" s="526"/>
      <c r="D70" s="526"/>
      <c r="E70" s="521"/>
      <c r="F70" s="521"/>
      <c r="G70" s="932"/>
    </row>
    <row r="71" spans="1:7" ht="22.5" customHeight="1" x14ac:dyDescent="0.3">
      <c r="A71" s="737">
        <v>3</v>
      </c>
      <c r="B71" s="525" t="s">
        <v>1404</v>
      </c>
      <c r="C71" s="526"/>
      <c r="D71" s="526"/>
      <c r="E71" s="521"/>
      <c r="F71" s="521"/>
      <c r="G71" s="932">
        <v>39949.17</v>
      </c>
    </row>
    <row r="72" spans="1:7" ht="22.5" customHeight="1" x14ac:dyDescent="0.3">
      <c r="A72" s="737"/>
      <c r="B72" s="525" t="s">
        <v>1405</v>
      </c>
      <c r="C72" s="526"/>
      <c r="D72" s="526"/>
      <c r="E72" s="521"/>
      <c r="F72" s="521"/>
      <c r="G72" s="932"/>
    </row>
    <row r="73" spans="1:7" ht="22.5" customHeight="1" x14ac:dyDescent="0.3">
      <c r="A73" s="737"/>
      <c r="B73" s="525" t="s">
        <v>1406</v>
      </c>
      <c r="C73" s="526"/>
      <c r="D73" s="526"/>
      <c r="E73" s="521"/>
      <c r="F73" s="521"/>
      <c r="G73" s="932"/>
    </row>
    <row r="74" spans="1:7" ht="22.5" customHeight="1" x14ac:dyDescent="0.3">
      <c r="A74" s="737">
        <v>4</v>
      </c>
      <c r="B74" s="525" t="s">
        <v>1887</v>
      </c>
      <c r="C74" s="526"/>
      <c r="D74" s="526"/>
      <c r="E74" s="521"/>
      <c r="F74" s="521"/>
      <c r="G74" s="932">
        <v>889780.34</v>
      </c>
    </row>
    <row r="75" spans="1:7" ht="22.5" customHeight="1" x14ac:dyDescent="0.3">
      <c r="A75" s="737"/>
      <c r="B75" s="525" t="s">
        <v>1408</v>
      </c>
      <c r="C75" s="526"/>
      <c r="D75" s="526"/>
      <c r="E75" s="521"/>
      <c r="F75" s="521"/>
      <c r="G75" s="932"/>
    </row>
    <row r="76" spans="1:7" ht="22.5" customHeight="1" x14ac:dyDescent="0.3">
      <c r="A76" s="737"/>
      <c r="B76" s="525"/>
      <c r="C76" s="526"/>
      <c r="D76" s="526"/>
      <c r="E76" s="521"/>
      <c r="F76" s="521"/>
      <c r="G76" s="932"/>
    </row>
    <row r="77" spans="1:7" s="60" customFormat="1" ht="22.5" customHeight="1" thickBot="1" x14ac:dyDescent="0.35">
      <c r="A77" s="921"/>
      <c r="B77" s="921" t="s">
        <v>15</v>
      </c>
      <c r="C77" s="922"/>
      <c r="D77" s="922"/>
      <c r="E77" s="926">
        <v>0</v>
      </c>
      <c r="F77" s="926">
        <v>0</v>
      </c>
      <c r="G77" s="926">
        <v>1363508.3699999999</v>
      </c>
    </row>
    <row r="78" spans="1:7" ht="22.5" customHeight="1" thickTop="1" x14ac:dyDescent="0.3">
      <c r="A78" s="559"/>
      <c r="B78" s="560" t="s">
        <v>92</v>
      </c>
      <c r="C78" s="561"/>
      <c r="D78" s="561"/>
      <c r="E78" s="567"/>
      <c r="F78" s="567"/>
      <c r="G78" s="570"/>
    </row>
    <row r="79" spans="1:7" ht="22.5" customHeight="1" x14ac:dyDescent="0.3">
      <c r="A79" s="23">
        <v>1</v>
      </c>
      <c r="B79" s="73" t="s">
        <v>512</v>
      </c>
      <c r="C79" s="25" t="s">
        <v>97</v>
      </c>
      <c r="D79" s="25"/>
      <c r="E79" s="41" t="s">
        <v>513</v>
      </c>
      <c r="F79" s="41"/>
      <c r="G79" s="36">
        <v>10499.9956</v>
      </c>
    </row>
    <row r="80" spans="1:7" s="60" customFormat="1" ht="22.5" customHeight="1" thickBot="1" x14ac:dyDescent="0.35">
      <c r="A80" s="548"/>
      <c r="B80" s="548" t="s">
        <v>15</v>
      </c>
      <c r="C80" s="549"/>
      <c r="D80" s="549"/>
      <c r="E80" s="548"/>
      <c r="F80" s="548"/>
      <c r="G80" s="558">
        <v>10499.9956</v>
      </c>
    </row>
    <row r="81" spans="1:7" s="60" customFormat="1" ht="22.5" customHeight="1" thickTop="1" thickBot="1" x14ac:dyDescent="0.35">
      <c r="A81" s="572"/>
      <c r="B81" s="572" t="s">
        <v>515</v>
      </c>
      <c r="C81" s="573"/>
      <c r="D81" s="573"/>
      <c r="E81" s="580"/>
      <c r="F81" s="580"/>
      <c r="G81" s="583">
        <v>1374008.3655999999</v>
      </c>
    </row>
    <row r="82" spans="1:7" ht="22.5" customHeight="1" thickTop="1" x14ac:dyDescent="0.3">
      <c r="E82" s="470"/>
      <c r="F82" s="470"/>
      <c r="G82" s="472"/>
    </row>
    <row r="83" spans="1:7" s="589" customFormat="1" ht="20.399999999999999" x14ac:dyDescent="0.5">
      <c r="A83" s="1126" t="s">
        <v>1183</v>
      </c>
      <c r="B83" s="1127"/>
      <c r="C83" s="1127"/>
      <c r="D83" s="1127"/>
      <c r="E83" s="1127"/>
      <c r="F83" s="1127"/>
      <c r="G83" s="1127"/>
    </row>
    <row r="84" spans="1:7" s="599" customFormat="1" x14ac:dyDescent="0.6">
      <c r="A84" s="590">
        <v>1</v>
      </c>
      <c r="B84" s="591" t="s">
        <v>517</v>
      </c>
      <c r="C84" s="591" t="s">
        <v>518</v>
      </c>
      <c r="D84" s="591"/>
      <c r="E84" s="598"/>
      <c r="F84" s="598"/>
      <c r="G84" s="595">
        <v>0</v>
      </c>
    </row>
    <row r="85" spans="1:7" s="599" customFormat="1" x14ac:dyDescent="0.6">
      <c r="A85" s="601">
        <v>2</v>
      </c>
      <c r="B85" s="602" t="s">
        <v>519</v>
      </c>
      <c r="C85" s="602" t="s">
        <v>520</v>
      </c>
      <c r="D85" s="602"/>
      <c r="E85" s="604"/>
      <c r="F85" s="604"/>
      <c r="G85" s="609"/>
    </row>
    <row r="86" spans="1:7" s="599" customFormat="1" x14ac:dyDescent="0.6">
      <c r="A86" s="61">
        <v>35</v>
      </c>
      <c r="B86" s="290" t="s">
        <v>463</v>
      </c>
      <c r="C86" s="63" t="s">
        <v>464</v>
      </c>
      <c r="D86" s="63"/>
      <c r="E86" s="69"/>
      <c r="F86" s="69"/>
      <c r="G86" s="387"/>
    </row>
    <row r="87" spans="1:7" s="599" customFormat="1" x14ac:dyDescent="0.6">
      <c r="A87" s="646"/>
      <c r="B87" s="647"/>
      <c r="C87" s="647"/>
      <c r="D87" s="647"/>
      <c r="E87" s="649"/>
      <c r="F87" s="649"/>
      <c r="G87" s="609"/>
    </row>
    <row r="88" spans="1:7" s="599" customFormat="1" x14ac:dyDescent="0.6">
      <c r="A88" s="610">
        <v>3</v>
      </c>
      <c r="B88" s="611" t="s">
        <v>521</v>
      </c>
      <c r="C88" s="611" t="s">
        <v>522</v>
      </c>
      <c r="D88" s="611"/>
      <c r="E88" s="618"/>
      <c r="F88" s="618"/>
      <c r="G88" s="609">
        <v>0</v>
      </c>
    </row>
    <row r="89" spans="1:7" s="599" customFormat="1" ht="24" thickBot="1" x14ac:dyDescent="0.65">
      <c r="A89" s="619"/>
      <c r="B89" s="620" t="s">
        <v>1184</v>
      </c>
      <c r="C89" s="621"/>
      <c r="D89" s="621"/>
      <c r="E89" s="623"/>
      <c r="F89" s="623"/>
      <c r="G89" s="626"/>
    </row>
    <row r="90" spans="1:7" s="636" customFormat="1" ht="24" thickTop="1" x14ac:dyDescent="0.6">
      <c r="A90" s="628"/>
      <c r="B90" s="629"/>
      <c r="C90" s="630"/>
      <c r="D90" s="630"/>
      <c r="E90" s="632"/>
      <c r="F90" s="632"/>
      <c r="G90" s="635"/>
    </row>
    <row r="91" spans="1:7" s="636" customFormat="1" x14ac:dyDescent="0.6">
      <c r="A91" s="1128" t="s">
        <v>524</v>
      </c>
      <c r="B91" s="1128"/>
      <c r="C91" s="1128"/>
      <c r="D91" s="1128"/>
      <c r="E91" s="1128"/>
      <c r="F91" s="1128"/>
      <c r="G91" s="1128"/>
    </row>
    <row r="92" spans="1:7" s="599" customFormat="1" x14ac:dyDescent="0.6">
      <c r="A92" s="638">
        <v>1</v>
      </c>
      <c r="B92" s="639" t="s">
        <v>519</v>
      </c>
      <c r="C92" s="639" t="s">
        <v>518</v>
      </c>
      <c r="D92" s="639"/>
      <c r="E92" s="884"/>
      <c r="F92" s="884"/>
      <c r="G92" s="643"/>
    </row>
    <row r="93" spans="1:7" s="599" customFormat="1" x14ac:dyDescent="0.6">
      <c r="A93" s="646">
        <v>2</v>
      </c>
      <c r="B93" s="647" t="s">
        <v>521</v>
      </c>
      <c r="C93" s="647" t="s">
        <v>522</v>
      </c>
      <c r="D93" s="647"/>
      <c r="E93" s="641"/>
      <c r="F93" s="641"/>
      <c r="G93" s="643">
        <v>1.8189894035458565E-12</v>
      </c>
    </row>
    <row r="94" spans="1:7" s="599" customFormat="1" x14ac:dyDescent="0.6">
      <c r="A94" s="646"/>
      <c r="B94" s="653" t="s">
        <v>534</v>
      </c>
      <c r="C94" s="647"/>
      <c r="D94" s="647"/>
      <c r="E94" s="652"/>
      <c r="F94" s="652"/>
      <c r="G94" s="651"/>
    </row>
    <row r="95" spans="1:7" s="599" customFormat="1" ht="24" thickBot="1" x14ac:dyDescent="0.65">
      <c r="A95" s="619"/>
      <c r="B95" s="620" t="s">
        <v>535</v>
      </c>
      <c r="C95" s="621"/>
      <c r="D95" s="621"/>
      <c r="E95" s="625"/>
      <c r="F95" s="625"/>
      <c r="G95" s="625">
        <v>1.8189894035458565E-12</v>
      </c>
    </row>
    <row r="96" spans="1:7" ht="22.5" customHeight="1" thickTop="1" thickBot="1" x14ac:dyDescent="0.35">
      <c r="A96" s="763"/>
      <c r="B96" s="763"/>
      <c r="C96" s="764"/>
      <c r="D96" s="764"/>
      <c r="E96" s="1020"/>
      <c r="F96" s="1020"/>
      <c r="G96" s="1025">
        <v>1689069.3652999999</v>
      </c>
    </row>
    <row r="97" spans="2:7" ht="22.5" customHeight="1" thickTop="1" x14ac:dyDescent="0.5">
      <c r="B97" s="587" t="s">
        <v>537</v>
      </c>
      <c r="C97" s="587"/>
      <c r="D97" s="587"/>
      <c r="E97" s="3"/>
      <c r="F97" s="3"/>
      <c r="G97" s="472"/>
    </row>
    <row r="98" spans="2:7" x14ac:dyDescent="0.5">
      <c r="B98" s="1129" t="s">
        <v>538</v>
      </c>
      <c r="C98" s="1129"/>
      <c r="D98" s="907"/>
      <c r="E98" s="3"/>
      <c r="F98" s="3"/>
      <c r="G98" s="472"/>
    </row>
    <row r="99" spans="2:7" x14ac:dyDescent="0.5">
      <c r="B99" s="1129" t="s">
        <v>539</v>
      </c>
      <c r="C99" s="1129"/>
      <c r="D99" s="907"/>
      <c r="E99" s="3"/>
      <c r="F99" s="3"/>
      <c r="G99" s="472"/>
    </row>
    <row r="100" spans="2:7" x14ac:dyDescent="0.3">
      <c r="E100" s="3"/>
      <c r="F100" s="3"/>
      <c r="G100" s="472"/>
    </row>
    <row r="101" spans="2:7" x14ac:dyDescent="0.3">
      <c r="E101" s="3"/>
      <c r="F101" s="3"/>
      <c r="G101" s="472"/>
    </row>
    <row r="102" spans="2:7" x14ac:dyDescent="0.3">
      <c r="E102" s="3"/>
      <c r="F102" s="3"/>
      <c r="G102" s="472"/>
    </row>
    <row r="103" spans="2:7" x14ac:dyDescent="0.3">
      <c r="E103" s="3"/>
      <c r="F103" s="3"/>
      <c r="G103" s="472"/>
    </row>
    <row r="104" spans="2:7" x14ac:dyDescent="0.3">
      <c r="E104" s="3"/>
      <c r="F104" s="3"/>
      <c r="G104" s="472"/>
    </row>
    <row r="105" spans="2:7" x14ac:dyDescent="0.3">
      <c r="E105" s="3"/>
      <c r="F105" s="3"/>
      <c r="G105" s="472"/>
    </row>
    <row r="106" spans="2:7" x14ac:dyDescent="0.3">
      <c r="E106" s="3"/>
      <c r="F106" s="3"/>
      <c r="G106" s="472"/>
    </row>
  </sheetData>
  <mergeCells count="13">
    <mergeCell ref="A63:G63"/>
    <mergeCell ref="A83:G83"/>
    <mergeCell ref="A91:G91"/>
    <mergeCell ref="B98:C98"/>
    <mergeCell ref="B99:C99"/>
    <mergeCell ref="E5:E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  <pageSetup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2654-38E8-47CC-8C7F-C637991AEC03}">
  <sheetPr>
    <tabColor rgb="FF00B0F0"/>
  </sheetPr>
  <dimension ref="A1:AA98"/>
  <sheetViews>
    <sheetView zoomScale="80" zoomScaleNormal="80" workbookViewId="0">
      <pane ySplit="6" topLeftCell="A73" activePane="bottomLeft" state="frozen"/>
      <selection pane="bottomLeft" activeCell="B49" sqref="B49:F49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4.5546875" style="662" customWidth="1"/>
    <col min="5" max="5" width="5.77734375" style="662" customWidth="1"/>
    <col min="6" max="6" width="16.5546875" style="665" customWidth="1"/>
    <col min="7" max="16384" width="27.109375" style="3"/>
  </cols>
  <sheetData>
    <row r="1" spans="1:27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27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27" ht="22.5" customHeight="1" x14ac:dyDescent="0.3">
      <c r="A3" s="1110" t="s">
        <v>1747</v>
      </c>
      <c r="B3" s="1111"/>
      <c r="C3" s="1111"/>
      <c r="D3" s="1111"/>
      <c r="E3" s="1111"/>
      <c r="F3" s="1111"/>
    </row>
    <row r="4" spans="1:27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19"/>
      <c r="F4" s="1120"/>
    </row>
    <row r="5" spans="1:27" ht="22.5" customHeight="1" x14ac:dyDescent="0.3">
      <c r="A5" s="1113"/>
      <c r="B5" s="1113"/>
      <c r="C5" s="1116"/>
      <c r="D5" s="1121" t="s">
        <v>10</v>
      </c>
      <c r="E5" s="882"/>
      <c r="F5" s="667"/>
    </row>
    <row r="6" spans="1:27" ht="22.5" customHeight="1" x14ac:dyDescent="0.3">
      <c r="A6" s="1114"/>
      <c r="B6" s="1114"/>
      <c r="C6" s="1117"/>
      <c r="D6" s="1122"/>
      <c r="E6" s="883" t="s">
        <v>937</v>
      </c>
      <c r="F6" s="10" t="s">
        <v>15</v>
      </c>
    </row>
    <row r="7" spans="1:27" ht="22.5" customHeight="1" x14ac:dyDescent="0.3">
      <c r="A7" s="4"/>
      <c r="B7" s="115" t="s">
        <v>799</v>
      </c>
      <c r="C7" s="668"/>
      <c r="D7" s="784"/>
      <c r="E7" s="784"/>
      <c r="F7" s="173"/>
    </row>
    <row r="8" spans="1:27" ht="22.5" customHeight="1" x14ac:dyDescent="0.3">
      <c r="A8" s="23">
        <v>1</v>
      </c>
      <c r="B8" s="1045" t="s">
        <v>45</v>
      </c>
      <c r="C8" s="1046" t="s">
        <v>46</v>
      </c>
      <c r="D8" s="1084" t="s">
        <v>1760</v>
      </c>
      <c r="E8" s="1085" t="s">
        <v>33</v>
      </c>
      <c r="F8" s="1070">
        <v>1765.5</v>
      </c>
    </row>
    <row r="9" spans="1:27" ht="22.5" customHeight="1" x14ac:dyDescent="0.3">
      <c r="A9" s="23">
        <v>2</v>
      </c>
      <c r="B9" s="1054" t="s">
        <v>59</v>
      </c>
      <c r="C9" s="1052" t="s">
        <v>60</v>
      </c>
      <c r="D9" s="1086" t="s">
        <v>1760</v>
      </c>
      <c r="E9" s="1086" t="s">
        <v>33</v>
      </c>
      <c r="F9" s="1070">
        <v>21400</v>
      </c>
    </row>
    <row r="10" spans="1:27" s="134" customFormat="1" ht="22.5" customHeight="1" x14ac:dyDescent="0.6">
      <c r="A10" s="23">
        <v>3</v>
      </c>
      <c r="B10" s="1087" t="s">
        <v>79</v>
      </c>
      <c r="C10" s="1088" t="s">
        <v>60</v>
      </c>
      <c r="D10" s="1089" t="s">
        <v>1760</v>
      </c>
      <c r="E10" s="1089" t="s">
        <v>33</v>
      </c>
      <c r="F10" s="1070">
        <v>5350</v>
      </c>
      <c r="G10" s="132"/>
      <c r="H10" s="131"/>
      <c r="I10" s="132"/>
      <c r="J10" s="132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</row>
    <row r="11" spans="1:27" ht="22.5" customHeight="1" x14ac:dyDescent="0.3">
      <c r="A11" s="23">
        <v>4</v>
      </c>
      <c r="B11" s="1090" t="s">
        <v>1582</v>
      </c>
      <c r="C11" s="1091" t="s">
        <v>1579</v>
      </c>
      <c r="D11" s="1092" t="s">
        <v>1760</v>
      </c>
      <c r="E11" s="1092" t="s">
        <v>33</v>
      </c>
      <c r="F11" s="1093">
        <v>10700</v>
      </c>
    </row>
    <row r="12" spans="1:27" ht="22.5" customHeight="1" x14ac:dyDescent="0.5">
      <c r="A12" s="23">
        <v>5</v>
      </c>
      <c r="B12" s="1045" t="s">
        <v>1592</v>
      </c>
      <c r="C12" s="1046" t="s">
        <v>1593</v>
      </c>
      <c r="D12" s="1048" t="s">
        <v>1760</v>
      </c>
      <c r="E12" s="1048" t="s">
        <v>33</v>
      </c>
      <c r="F12" s="1049">
        <v>9779.7999999999993</v>
      </c>
    </row>
    <row r="13" spans="1:27" ht="22.5" customHeight="1" x14ac:dyDescent="0.5">
      <c r="A13" s="23">
        <v>6</v>
      </c>
      <c r="B13" s="1045" t="s">
        <v>99</v>
      </c>
      <c r="C13" s="1046" t="s">
        <v>567</v>
      </c>
      <c r="D13" s="1048" t="s">
        <v>1760</v>
      </c>
      <c r="E13" s="1048" t="s">
        <v>33</v>
      </c>
      <c r="F13" s="1049">
        <v>6334.4</v>
      </c>
    </row>
    <row r="14" spans="1:27" ht="22.5" customHeight="1" x14ac:dyDescent="0.5">
      <c r="A14" s="23">
        <v>7</v>
      </c>
      <c r="B14" s="1050" t="s">
        <v>99</v>
      </c>
      <c r="C14" s="1051" t="s">
        <v>1596</v>
      </c>
      <c r="D14" s="1048" t="s">
        <v>1760</v>
      </c>
      <c r="E14" s="1048" t="s">
        <v>33</v>
      </c>
      <c r="F14" s="1049">
        <v>203.3</v>
      </c>
    </row>
    <row r="15" spans="1:27" ht="22.5" customHeight="1" x14ac:dyDescent="0.5">
      <c r="A15" s="23">
        <v>8</v>
      </c>
      <c r="B15" s="1045" t="s">
        <v>1616</v>
      </c>
      <c r="C15" s="1055" t="s">
        <v>1596</v>
      </c>
      <c r="D15" s="1048" t="s">
        <v>1760</v>
      </c>
      <c r="E15" s="1048" t="s">
        <v>33</v>
      </c>
      <c r="F15" s="1049">
        <v>6355.7999999999984</v>
      </c>
    </row>
    <row r="16" spans="1:27" ht="22.5" customHeight="1" x14ac:dyDescent="0.5">
      <c r="A16" s="23">
        <v>9</v>
      </c>
      <c r="B16" s="1045" t="s">
        <v>1616</v>
      </c>
      <c r="C16" s="1055" t="s">
        <v>567</v>
      </c>
      <c r="D16" s="1048" t="s">
        <v>1760</v>
      </c>
      <c r="E16" s="1048" t="s">
        <v>33</v>
      </c>
      <c r="F16" s="1049">
        <v>10571.6</v>
      </c>
    </row>
    <row r="17" spans="1:6" ht="22.5" customHeight="1" x14ac:dyDescent="0.5">
      <c r="A17" s="23">
        <v>10</v>
      </c>
      <c r="B17" s="1045" t="s">
        <v>1622</v>
      </c>
      <c r="C17" s="1052" t="s">
        <v>567</v>
      </c>
      <c r="D17" s="1048" t="s">
        <v>1760</v>
      </c>
      <c r="E17" s="1048" t="s">
        <v>33</v>
      </c>
      <c r="F17" s="1049">
        <v>9843.9999999999964</v>
      </c>
    </row>
    <row r="18" spans="1:6" ht="22.5" customHeight="1" x14ac:dyDescent="0.5">
      <c r="A18" s="23">
        <v>11</v>
      </c>
      <c r="B18" s="1045" t="s">
        <v>1624</v>
      </c>
      <c r="C18" s="1052" t="s">
        <v>1625</v>
      </c>
      <c r="D18" s="1048" t="s">
        <v>1760</v>
      </c>
      <c r="E18" s="1048" t="s">
        <v>33</v>
      </c>
      <c r="F18" s="1049">
        <v>19163.69999999999</v>
      </c>
    </row>
    <row r="19" spans="1:6" ht="22.5" customHeight="1" x14ac:dyDescent="0.5">
      <c r="A19" s="23">
        <v>12</v>
      </c>
      <c r="B19" s="1054" t="s">
        <v>1627</v>
      </c>
      <c r="C19" s="1046" t="s">
        <v>1610</v>
      </c>
      <c r="D19" s="1048" t="s">
        <v>1760</v>
      </c>
      <c r="E19" s="1048" t="s">
        <v>33</v>
      </c>
      <c r="F19" s="1049">
        <v>4675.9000000000024</v>
      </c>
    </row>
    <row r="20" spans="1:6" ht="22.5" customHeight="1" x14ac:dyDescent="0.5">
      <c r="A20" s="23">
        <v>13</v>
      </c>
      <c r="B20" s="1057" t="s">
        <v>162</v>
      </c>
      <c r="C20" s="1055" t="s">
        <v>567</v>
      </c>
      <c r="D20" s="1048" t="s">
        <v>1760</v>
      </c>
      <c r="E20" s="1048" t="s">
        <v>33</v>
      </c>
      <c r="F20" s="1049">
        <v>2610.7999999999984</v>
      </c>
    </row>
    <row r="21" spans="1:6" s="229" customFormat="1" ht="22.5" customHeight="1" x14ac:dyDescent="0.5">
      <c r="A21" s="23">
        <v>14</v>
      </c>
      <c r="B21" s="1057" t="s">
        <v>165</v>
      </c>
      <c r="C21" s="1052" t="s">
        <v>567</v>
      </c>
      <c r="D21" s="1048" t="s">
        <v>1760</v>
      </c>
      <c r="E21" s="1048" t="s">
        <v>33</v>
      </c>
      <c r="F21" s="1049">
        <v>2172.1</v>
      </c>
    </row>
    <row r="22" spans="1:6" ht="22.5" customHeight="1" x14ac:dyDescent="0.5">
      <c r="A22" s="23">
        <v>15</v>
      </c>
      <c r="B22" s="1057" t="s">
        <v>1649</v>
      </c>
      <c r="C22" s="1052" t="s">
        <v>567</v>
      </c>
      <c r="D22" s="1048" t="s">
        <v>1760</v>
      </c>
      <c r="E22" s="1048" t="s">
        <v>33</v>
      </c>
      <c r="F22" s="1049">
        <v>1990.2000000000003</v>
      </c>
    </row>
    <row r="23" spans="1:6" ht="22.5" customHeight="1" x14ac:dyDescent="0.5">
      <c r="A23" s="23">
        <v>16</v>
      </c>
      <c r="B23" s="1058" t="s">
        <v>1660</v>
      </c>
      <c r="C23" s="1055" t="s">
        <v>1288</v>
      </c>
      <c r="D23" s="1048" t="s">
        <v>1760</v>
      </c>
      <c r="E23" s="1048" t="s">
        <v>33</v>
      </c>
      <c r="F23" s="1049">
        <v>15921.600000000006</v>
      </c>
    </row>
    <row r="24" spans="1:6" ht="22.5" customHeight="1" x14ac:dyDescent="0.5">
      <c r="A24" s="23">
        <v>17</v>
      </c>
      <c r="B24" s="1059" t="s">
        <v>1662</v>
      </c>
      <c r="C24" s="1060" t="s">
        <v>567</v>
      </c>
      <c r="D24" s="1048" t="s">
        <v>1760</v>
      </c>
      <c r="E24" s="1048" t="s">
        <v>33</v>
      </c>
      <c r="F24" s="1049">
        <v>1230.5000000000005</v>
      </c>
    </row>
    <row r="25" spans="1:6" ht="22.5" customHeight="1" x14ac:dyDescent="0.5">
      <c r="A25" s="23">
        <v>18</v>
      </c>
      <c r="B25" s="1058" t="s">
        <v>1666</v>
      </c>
      <c r="C25" s="1055" t="s">
        <v>567</v>
      </c>
      <c r="D25" s="1048" t="s">
        <v>1760</v>
      </c>
      <c r="E25" s="1048" t="s">
        <v>33</v>
      </c>
      <c r="F25" s="1049">
        <v>1337.4999999999995</v>
      </c>
    </row>
    <row r="26" spans="1:6" ht="22.5" customHeight="1" x14ac:dyDescent="0.5">
      <c r="A26" s="23">
        <v>19</v>
      </c>
      <c r="B26" s="1058" t="s">
        <v>210</v>
      </c>
      <c r="C26" s="1055" t="s">
        <v>567</v>
      </c>
      <c r="D26" s="1048" t="s">
        <v>1760</v>
      </c>
      <c r="E26" s="1048" t="s">
        <v>33</v>
      </c>
      <c r="F26" s="1049">
        <v>8378.1000000000022</v>
      </c>
    </row>
    <row r="27" spans="1:6" ht="22.5" customHeight="1" x14ac:dyDescent="0.5">
      <c r="A27" s="23">
        <v>20</v>
      </c>
      <c r="B27" s="1094" t="s">
        <v>1679</v>
      </c>
      <c r="C27" s="1094" t="s">
        <v>567</v>
      </c>
      <c r="D27" s="1048" t="s">
        <v>1760</v>
      </c>
      <c r="E27" s="1048" t="s">
        <v>33</v>
      </c>
      <c r="F27" s="1049">
        <v>214</v>
      </c>
    </row>
    <row r="28" spans="1:6" ht="22.5" customHeight="1" x14ac:dyDescent="0.5">
      <c r="A28" s="23">
        <v>21</v>
      </c>
      <c r="B28" s="1094" t="s">
        <v>224</v>
      </c>
      <c r="C28" s="1094" t="s">
        <v>567</v>
      </c>
      <c r="D28" s="1048" t="s">
        <v>1760</v>
      </c>
      <c r="E28" s="1048" t="s">
        <v>33</v>
      </c>
      <c r="F28" s="1049">
        <v>663.40000000000032</v>
      </c>
    </row>
    <row r="29" spans="1:6" ht="22.5" customHeight="1" x14ac:dyDescent="0.5">
      <c r="A29" s="23">
        <v>22</v>
      </c>
      <c r="B29" s="1094" t="s">
        <v>226</v>
      </c>
      <c r="C29" s="1094" t="s">
        <v>567</v>
      </c>
      <c r="D29" s="1062" t="s">
        <v>1760</v>
      </c>
      <c r="E29" s="1062" t="s">
        <v>33</v>
      </c>
      <c r="F29" s="1049">
        <v>2749.9000000000037</v>
      </c>
    </row>
    <row r="30" spans="1:6" ht="22.5" customHeight="1" x14ac:dyDescent="0.5">
      <c r="A30" s="23">
        <v>23</v>
      </c>
      <c r="B30" s="1095" t="s">
        <v>229</v>
      </c>
      <c r="C30" s="1095" t="s">
        <v>567</v>
      </c>
      <c r="D30" s="1062" t="s">
        <v>1760</v>
      </c>
      <c r="E30" s="1062" t="s">
        <v>33</v>
      </c>
      <c r="F30" s="1049">
        <v>15589.899999999998</v>
      </c>
    </row>
    <row r="31" spans="1:6" ht="22.5" customHeight="1" x14ac:dyDescent="0.5">
      <c r="A31" s="23">
        <v>24</v>
      </c>
      <c r="B31" s="1096" t="s">
        <v>250</v>
      </c>
      <c r="C31" s="1097" t="s">
        <v>251</v>
      </c>
      <c r="D31" s="1062" t="s">
        <v>1760</v>
      </c>
      <c r="E31" s="1062" t="s">
        <v>33</v>
      </c>
      <c r="F31" s="1098">
        <v>6300</v>
      </c>
    </row>
    <row r="32" spans="1:6" ht="22.5" customHeight="1" x14ac:dyDescent="0.5">
      <c r="A32" s="23">
        <v>25</v>
      </c>
      <c r="B32" s="1099" t="s">
        <v>281</v>
      </c>
      <c r="C32" s="1100" t="s">
        <v>282</v>
      </c>
      <c r="D32" s="1048" t="s">
        <v>1760</v>
      </c>
      <c r="E32" s="1048" t="s">
        <v>33</v>
      </c>
      <c r="F32" s="1101">
        <v>5600</v>
      </c>
    </row>
    <row r="33" spans="1:8" ht="22.5" customHeight="1" x14ac:dyDescent="0.5">
      <c r="A33" s="23">
        <v>26</v>
      </c>
      <c r="B33" s="1102" t="s">
        <v>300</v>
      </c>
      <c r="C33" s="1103" t="s">
        <v>301</v>
      </c>
      <c r="D33" s="1048" t="s">
        <v>1760</v>
      </c>
      <c r="E33" s="1048" t="s">
        <v>33</v>
      </c>
      <c r="F33" s="1101">
        <v>5600</v>
      </c>
    </row>
    <row r="34" spans="1:8" ht="22.5" customHeight="1" x14ac:dyDescent="0.5">
      <c r="A34" s="23">
        <v>27</v>
      </c>
      <c r="B34" s="1102" t="s">
        <v>303</v>
      </c>
      <c r="C34" s="1103" t="s">
        <v>304</v>
      </c>
      <c r="D34" s="1048" t="s">
        <v>1760</v>
      </c>
      <c r="E34" s="1048" t="s">
        <v>33</v>
      </c>
      <c r="F34" s="1104">
        <v>2800</v>
      </c>
    </row>
    <row r="35" spans="1:8" ht="22.5" customHeight="1" x14ac:dyDescent="0.5">
      <c r="A35" s="23">
        <v>28</v>
      </c>
      <c r="B35" s="1045" t="s">
        <v>308</v>
      </c>
      <c r="C35" s="1046" t="s">
        <v>309</v>
      </c>
      <c r="D35" s="1048" t="s">
        <v>1760</v>
      </c>
      <c r="E35" s="1048" t="s">
        <v>33</v>
      </c>
      <c r="F35" s="1070">
        <v>8400</v>
      </c>
    </row>
    <row r="36" spans="1:8" ht="22.5" customHeight="1" x14ac:dyDescent="0.5">
      <c r="A36" s="23">
        <v>29</v>
      </c>
      <c r="B36" s="1075" t="s">
        <v>353</v>
      </c>
      <c r="C36" s="1076" t="s">
        <v>354</v>
      </c>
      <c r="D36" s="1048" t="s">
        <v>1760</v>
      </c>
      <c r="E36" s="1048" t="s">
        <v>33</v>
      </c>
      <c r="F36" s="1070">
        <v>11000</v>
      </c>
    </row>
    <row r="37" spans="1:8" ht="22.5" customHeight="1" x14ac:dyDescent="0.5">
      <c r="A37" s="23">
        <v>30</v>
      </c>
      <c r="B37" s="1075" t="s">
        <v>355</v>
      </c>
      <c r="C37" s="1076" t="s">
        <v>356</v>
      </c>
      <c r="D37" s="1048" t="s">
        <v>1760</v>
      </c>
      <c r="E37" s="1048" t="s">
        <v>33</v>
      </c>
      <c r="F37" s="1070">
        <v>9400</v>
      </c>
    </row>
    <row r="38" spans="1:8" ht="22.5" customHeight="1" x14ac:dyDescent="0.5">
      <c r="A38" s="23">
        <v>31</v>
      </c>
      <c r="B38" s="1078" t="s">
        <v>358</v>
      </c>
      <c r="C38" s="1079" t="s">
        <v>356</v>
      </c>
      <c r="D38" s="1062" t="s">
        <v>1760</v>
      </c>
      <c r="E38" s="1105" t="s">
        <v>33</v>
      </c>
      <c r="F38" s="1098">
        <v>9810</v>
      </c>
    </row>
    <row r="39" spans="1:8" ht="22.5" customHeight="1" thickBot="1" x14ac:dyDescent="0.55000000000000004">
      <c r="A39" s="905"/>
      <c r="B39" s="834"/>
      <c r="C39" s="936"/>
      <c r="D39" s="781"/>
      <c r="E39" s="945"/>
      <c r="F39" s="840">
        <f>SUM(F8:F38)</f>
        <v>217912</v>
      </c>
    </row>
    <row r="40" spans="1:8" ht="22.5" customHeight="1" thickTop="1" x14ac:dyDescent="0.5">
      <c r="A40" s="61"/>
      <c r="B40" s="61" t="s">
        <v>800</v>
      </c>
      <c r="C40" s="935"/>
      <c r="D40" s="831"/>
      <c r="E40" s="944"/>
      <c r="F40" s="72"/>
    </row>
    <row r="41" spans="1:8" ht="22.5" customHeight="1" x14ac:dyDescent="0.5">
      <c r="A41" s="208">
        <v>1</v>
      </c>
      <c r="B41" s="1045" t="s">
        <v>353</v>
      </c>
      <c r="C41" s="1046" t="s">
        <v>1610</v>
      </c>
      <c r="D41" s="1048" t="s">
        <v>1793</v>
      </c>
      <c r="E41" s="1048" t="s">
        <v>115</v>
      </c>
      <c r="F41" s="1049">
        <v>3712.9000000000015</v>
      </c>
    </row>
    <row r="42" spans="1:8" ht="22.5" customHeight="1" x14ac:dyDescent="0.5">
      <c r="A42" s="208">
        <v>2</v>
      </c>
      <c r="B42" s="1045" t="s">
        <v>1613</v>
      </c>
      <c r="C42" s="1046" t="s">
        <v>1288</v>
      </c>
      <c r="D42" s="1048" t="s">
        <v>1793</v>
      </c>
      <c r="E42" s="1048" t="s">
        <v>115</v>
      </c>
      <c r="F42" s="1049">
        <v>6687.5000000000009</v>
      </c>
    </row>
    <row r="43" spans="1:8" ht="22.5" customHeight="1" x14ac:dyDescent="0.5">
      <c r="A43" s="208">
        <v>3</v>
      </c>
      <c r="B43" s="1058" t="s">
        <v>1643</v>
      </c>
      <c r="C43" s="1055" t="s">
        <v>567</v>
      </c>
      <c r="D43" s="1048" t="s">
        <v>1793</v>
      </c>
      <c r="E43" s="1048" t="s">
        <v>115</v>
      </c>
      <c r="F43" s="1049">
        <v>5136</v>
      </c>
      <c r="H43" s="790">
        <f>SUM(F35:F43)</f>
        <v>272058.40000000002</v>
      </c>
    </row>
    <row r="44" spans="1:8" ht="22.5" customHeight="1" x14ac:dyDescent="0.5">
      <c r="A44" s="208">
        <v>4</v>
      </c>
      <c r="B44" s="1058" t="s">
        <v>217</v>
      </c>
      <c r="C44" s="1055" t="s">
        <v>567</v>
      </c>
      <c r="D44" s="1048" t="s">
        <v>1793</v>
      </c>
      <c r="E44" s="1048" t="s">
        <v>115</v>
      </c>
      <c r="F44" s="1049">
        <v>4397.7000000000007</v>
      </c>
    </row>
    <row r="45" spans="1:8" ht="22.5" customHeight="1" x14ac:dyDescent="0.5">
      <c r="A45" s="23">
        <v>5</v>
      </c>
      <c r="B45" s="1045" t="s">
        <v>240</v>
      </c>
      <c r="C45" s="1046" t="s">
        <v>241</v>
      </c>
      <c r="D45" s="1069" t="s">
        <v>1793</v>
      </c>
      <c r="E45" s="1069" t="s">
        <v>115</v>
      </c>
      <c r="F45" s="1070">
        <v>31500</v>
      </c>
    </row>
    <row r="46" spans="1:8" ht="22.5" customHeight="1" x14ac:dyDescent="0.5">
      <c r="A46" s="331">
        <v>6</v>
      </c>
      <c r="B46" s="1054" t="s">
        <v>240</v>
      </c>
      <c r="C46" s="1056" t="s">
        <v>242</v>
      </c>
      <c r="D46" s="1106" t="s">
        <v>1793</v>
      </c>
      <c r="E46" s="1106" t="s">
        <v>115</v>
      </c>
      <c r="F46" s="1098">
        <v>12600</v>
      </c>
      <c r="H46" s="790">
        <f>SUM(F44:F46)</f>
        <v>48497.7</v>
      </c>
    </row>
    <row r="47" spans="1:8" ht="22.5" customHeight="1" thickBot="1" x14ac:dyDescent="0.55000000000000004">
      <c r="A47" s="905"/>
      <c r="B47" s="839"/>
      <c r="C47" s="835"/>
      <c r="D47" s="1028"/>
      <c r="E47" s="1028"/>
      <c r="F47" s="840">
        <f>SUM(F41:F46)</f>
        <v>64034.100000000006</v>
      </c>
      <c r="H47" s="790"/>
    </row>
    <row r="48" spans="1:8" ht="22.5" customHeight="1" thickTop="1" x14ac:dyDescent="0.5">
      <c r="A48" s="61"/>
      <c r="B48" s="61" t="s">
        <v>801</v>
      </c>
      <c r="C48" s="935"/>
      <c r="D48" s="831"/>
      <c r="E48" s="944"/>
      <c r="F48" s="72"/>
    </row>
    <row r="49" spans="1:9" ht="22.5" customHeight="1" x14ac:dyDescent="0.5">
      <c r="A49" s="837">
        <v>1</v>
      </c>
      <c r="B49" s="1057" t="s">
        <v>200</v>
      </c>
      <c r="C49" s="1052" t="s">
        <v>567</v>
      </c>
      <c r="D49" s="1062" t="s">
        <v>1477</v>
      </c>
      <c r="E49" s="1107" t="s">
        <v>33</v>
      </c>
      <c r="F49" s="1066">
        <v>12519</v>
      </c>
    </row>
    <row r="50" spans="1:9" ht="22.5" customHeight="1" thickBot="1" x14ac:dyDescent="0.55000000000000004">
      <c r="A50" s="833"/>
      <c r="B50" s="785"/>
      <c r="C50" s="786"/>
      <c r="D50" s="781"/>
      <c r="E50" s="782"/>
      <c r="F50" s="789">
        <f>SUM(F49)</f>
        <v>12519</v>
      </c>
    </row>
    <row r="51" spans="1:9" ht="22.5" customHeight="1" thickTop="1" x14ac:dyDescent="0.5">
      <c r="A51" s="115"/>
      <c r="B51" s="115" t="s">
        <v>1744</v>
      </c>
      <c r="C51" s="165"/>
      <c r="D51" s="941"/>
      <c r="E51" s="941"/>
      <c r="F51" s="72"/>
      <c r="H51" s="790"/>
    </row>
    <row r="52" spans="1:9" ht="22.5" customHeight="1" thickBot="1" x14ac:dyDescent="0.35">
      <c r="A52" s="23">
        <v>1</v>
      </c>
      <c r="B52" s="290" t="s">
        <v>495</v>
      </c>
      <c r="C52" s="25" t="s">
        <v>496</v>
      </c>
      <c r="D52" s="41" t="s">
        <v>795</v>
      </c>
      <c r="E52" s="41"/>
      <c r="F52" s="387">
        <v>20595.900000000001</v>
      </c>
    </row>
    <row r="53" spans="1:9" s="60" customFormat="1" ht="22.5" customHeight="1" thickTop="1" thickBot="1" x14ac:dyDescent="0.35">
      <c r="A53" s="1029"/>
      <c r="B53" s="1030"/>
      <c r="C53" s="1031"/>
      <c r="D53" s="1032">
        <v>0</v>
      </c>
      <c r="E53" s="1032"/>
      <c r="F53" s="1032">
        <f>SUM(F52)</f>
        <v>20595.900000000001</v>
      </c>
      <c r="I53" s="1027">
        <f>SUM(H10:H52)</f>
        <v>320556.10000000003</v>
      </c>
    </row>
    <row r="54" spans="1:9" ht="22.5" customHeight="1" thickTop="1" x14ac:dyDescent="0.3">
      <c r="D54" s="3"/>
      <c r="E54" s="3"/>
      <c r="F54" s="472"/>
    </row>
    <row r="55" spans="1:9" ht="22.5" customHeight="1" x14ac:dyDescent="0.3">
      <c r="A55" s="1123" t="s">
        <v>671</v>
      </c>
      <c r="B55" s="1124"/>
      <c r="C55" s="1124"/>
      <c r="D55" s="1124"/>
      <c r="E55" s="1124"/>
      <c r="F55" s="1125"/>
    </row>
    <row r="56" spans="1:9" ht="22.5" customHeight="1" x14ac:dyDescent="0.3">
      <c r="A56" s="115"/>
      <c r="B56" s="164" t="s">
        <v>499</v>
      </c>
      <c r="C56" s="165"/>
      <c r="D56" s="117"/>
      <c r="E56" s="117"/>
      <c r="F56" s="370"/>
    </row>
    <row r="57" spans="1:9" ht="22.5" customHeight="1" x14ac:dyDescent="0.3">
      <c r="A57" s="475">
        <v>1</v>
      </c>
      <c r="B57" s="489" t="s">
        <v>1397</v>
      </c>
      <c r="C57" s="498"/>
      <c r="D57" s="484"/>
      <c r="E57" s="892"/>
      <c r="F57" s="497">
        <v>325409.68</v>
      </c>
    </row>
    <row r="58" spans="1:9" ht="22.5" customHeight="1" x14ac:dyDescent="0.3">
      <c r="A58" s="502"/>
      <c r="B58" s="503" t="s">
        <v>1399</v>
      </c>
      <c r="C58" s="504"/>
      <c r="D58" s="509"/>
      <c r="E58" s="893"/>
      <c r="F58" s="513"/>
    </row>
    <row r="59" spans="1:9" ht="22.5" customHeight="1" x14ac:dyDescent="0.3">
      <c r="A59" s="488"/>
      <c r="B59" s="489" t="s">
        <v>1400</v>
      </c>
      <c r="C59" s="514"/>
      <c r="D59" s="520"/>
      <c r="E59" s="520"/>
      <c r="F59" s="524"/>
    </row>
    <row r="60" spans="1:9" ht="22.5" customHeight="1" x14ac:dyDescent="0.3">
      <c r="A60" s="488">
        <v>2</v>
      </c>
      <c r="B60" s="525" t="s">
        <v>1401</v>
      </c>
      <c r="C60" s="526"/>
      <c r="D60" s="521"/>
      <c r="E60" s="529"/>
      <c r="F60" s="532">
        <v>108369.18</v>
      </c>
    </row>
    <row r="61" spans="1:9" ht="22.5" customHeight="1" x14ac:dyDescent="0.3">
      <c r="A61" s="488"/>
      <c r="B61" s="525" t="s">
        <v>1402</v>
      </c>
      <c r="C61" s="526"/>
      <c r="D61" s="521"/>
      <c r="E61" s="529"/>
      <c r="F61" s="532"/>
    </row>
    <row r="62" spans="1:9" ht="22.5" customHeight="1" x14ac:dyDescent="0.3">
      <c r="A62" s="737"/>
      <c r="B62" s="525" t="s">
        <v>1403</v>
      </c>
      <c r="C62" s="526"/>
      <c r="D62" s="521"/>
      <c r="E62" s="521"/>
      <c r="F62" s="932"/>
    </row>
    <row r="63" spans="1:9" ht="22.5" customHeight="1" x14ac:dyDescent="0.3">
      <c r="A63" s="737">
        <v>3</v>
      </c>
      <c r="B63" s="525" t="s">
        <v>1404</v>
      </c>
      <c r="C63" s="526"/>
      <c r="D63" s="521"/>
      <c r="E63" s="521"/>
      <c r="F63" s="932">
        <v>39949.17</v>
      </c>
    </row>
    <row r="64" spans="1:9" ht="22.5" customHeight="1" x14ac:dyDescent="0.3">
      <c r="A64" s="737"/>
      <c r="B64" s="525" t="s">
        <v>1405</v>
      </c>
      <c r="C64" s="526"/>
      <c r="D64" s="521"/>
      <c r="E64" s="521"/>
      <c r="F64" s="932"/>
    </row>
    <row r="65" spans="1:6" ht="22.5" customHeight="1" x14ac:dyDescent="0.3">
      <c r="A65" s="737"/>
      <c r="B65" s="525" t="s">
        <v>1406</v>
      </c>
      <c r="C65" s="526"/>
      <c r="D65" s="521"/>
      <c r="E65" s="521"/>
      <c r="F65" s="932"/>
    </row>
    <row r="66" spans="1:6" ht="22.5" customHeight="1" x14ac:dyDescent="0.3">
      <c r="A66" s="737">
        <v>4</v>
      </c>
      <c r="B66" s="525" t="s">
        <v>1887</v>
      </c>
      <c r="C66" s="526"/>
      <c r="D66" s="521"/>
      <c r="E66" s="521"/>
      <c r="F66" s="932">
        <v>889780.34</v>
      </c>
    </row>
    <row r="67" spans="1:6" ht="22.5" customHeight="1" x14ac:dyDescent="0.3">
      <c r="A67" s="737"/>
      <c r="B67" s="525" t="s">
        <v>1408</v>
      </c>
      <c r="C67" s="526"/>
      <c r="D67" s="521"/>
      <c r="E67" s="521"/>
      <c r="F67" s="932"/>
    </row>
    <row r="68" spans="1:6" ht="22.5" customHeight="1" x14ac:dyDescent="0.3">
      <c r="A68" s="737"/>
      <c r="B68" s="525"/>
      <c r="C68" s="526"/>
      <c r="D68" s="521"/>
      <c r="E68" s="521"/>
      <c r="F68" s="932"/>
    </row>
    <row r="69" spans="1:6" s="60" customFormat="1" ht="22.5" customHeight="1" thickBot="1" x14ac:dyDescent="0.35">
      <c r="A69" s="921"/>
      <c r="B69" s="921" t="s">
        <v>15</v>
      </c>
      <c r="C69" s="922"/>
      <c r="D69" s="926">
        <v>0</v>
      </c>
      <c r="E69" s="926">
        <v>0</v>
      </c>
      <c r="F69" s="926">
        <v>1363508.3699999999</v>
      </c>
    </row>
    <row r="70" spans="1:6" ht="22.5" customHeight="1" thickTop="1" x14ac:dyDescent="0.3">
      <c r="A70" s="559"/>
      <c r="B70" s="560" t="s">
        <v>92</v>
      </c>
      <c r="C70" s="561"/>
      <c r="D70" s="567"/>
      <c r="E70" s="567"/>
      <c r="F70" s="570"/>
    </row>
    <row r="71" spans="1:6" ht="22.5" customHeight="1" x14ac:dyDescent="0.3">
      <c r="A71" s="23">
        <v>1</v>
      </c>
      <c r="B71" s="73" t="s">
        <v>512</v>
      </c>
      <c r="C71" s="25" t="s">
        <v>97</v>
      </c>
      <c r="D71" s="41" t="s">
        <v>513</v>
      </c>
      <c r="E71" s="41"/>
      <c r="F71" s="36">
        <v>10499.9956</v>
      </c>
    </row>
    <row r="72" spans="1:6" s="60" customFormat="1" ht="22.5" customHeight="1" thickBot="1" x14ac:dyDescent="0.35">
      <c r="A72" s="548"/>
      <c r="B72" s="548" t="s">
        <v>15</v>
      </c>
      <c r="C72" s="549"/>
      <c r="D72" s="548"/>
      <c r="E72" s="548"/>
      <c r="F72" s="558">
        <v>10499.9956</v>
      </c>
    </row>
    <row r="73" spans="1:6" s="60" customFormat="1" ht="22.5" customHeight="1" thickTop="1" thickBot="1" x14ac:dyDescent="0.35">
      <c r="A73" s="572"/>
      <c r="B73" s="572" t="s">
        <v>515</v>
      </c>
      <c r="C73" s="573"/>
      <c r="D73" s="580"/>
      <c r="E73" s="580"/>
      <c r="F73" s="583">
        <v>1374008.3655999999</v>
      </c>
    </row>
    <row r="74" spans="1:6" ht="22.5" customHeight="1" thickTop="1" x14ac:dyDescent="0.3">
      <c r="D74" s="470"/>
      <c r="E74" s="470"/>
      <c r="F74" s="472"/>
    </row>
    <row r="75" spans="1:6" s="589" customFormat="1" ht="20.399999999999999" x14ac:dyDescent="0.5">
      <c r="A75" s="1126" t="s">
        <v>1183</v>
      </c>
      <c r="B75" s="1127"/>
      <c r="C75" s="1127"/>
      <c r="D75" s="1127"/>
      <c r="E75" s="1127"/>
      <c r="F75" s="1127"/>
    </row>
    <row r="76" spans="1:6" s="599" customFormat="1" x14ac:dyDescent="0.6">
      <c r="A76" s="590">
        <v>1</v>
      </c>
      <c r="B76" s="591" t="s">
        <v>517</v>
      </c>
      <c r="C76" s="591" t="s">
        <v>518</v>
      </c>
      <c r="D76" s="598"/>
      <c r="E76" s="598"/>
      <c r="F76" s="595">
        <v>0</v>
      </c>
    </row>
    <row r="77" spans="1:6" s="599" customFormat="1" x14ac:dyDescent="0.6">
      <c r="A77" s="601">
        <v>2</v>
      </c>
      <c r="B77" s="602" t="s">
        <v>519</v>
      </c>
      <c r="C77" s="602" t="s">
        <v>520</v>
      </c>
      <c r="D77" s="604"/>
      <c r="E77" s="604"/>
      <c r="F77" s="609"/>
    </row>
    <row r="78" spans="1:6" s="599" customFormat="1" x14ac:dyDescent="0.6">
      <c r="A78" s="61">
        <v>35</v>
      </c>
      <c r="B78" s="290" t="s">
        <v>463</v>
      </c>
      <c r="C78" s="63" t="s">
        <v>464</v>
      </c>
      <c r="D78" s="69"/>
      <c r="E78" s="69"/>
      <c r="F78" s="387"/>
    </row>
    <row r="79" spans="1:6" s="599" customFormat="1" x14ac:dyDescent="0.6">
      <c r="A79" s="646"/>
      <c r="B79" s="647"/>
      <c r="C79" s="647"/>
      <c r="D79" s="649"/>
      <c r="E79" s="649"/>
      <c r="F79" s="609"/>
    </row>
    <row r="80" spans="1:6" s="599" customFormat="1" x14ac:dyDescent="0.6">
      <c r="A80" s="610">
        <v>3</v>
      </c>
      <c r="B80" s="611" t="s">
        <v>521</v>
      </c>
      <c r="C80" s="611" t="s">
        <v>522</v>
      </c>
      <c r="D80" s="618"/>
      <c r="E80" s="618"/>
      <c r="F80" s="609">
        <v>0</v>
      </c>
    </row>
    <row r="81" spans="1:6" s="599" customFormat="1" ht="24" thickBot="1" x14ac:dyDescent="0.65">
      <c r="A81" s="619"/>
      <c r="B81" s="620" t="s">
        <v>1184</v>
      </c>
      <c r="C81" s="621"/>
      <c r="D81" s="623"/>
      <c r="E81" s="623"/>
      <c r="F81" s="626"/>
    </row>
    <row r="82" spans="1:6" s="636" customFormat="1" ht="24" thickTop="1" x14ac:dyDescent="0.6">
      <c r="A82" s="628"/>
      <c r="B82" s="629"/>
      <c r="C82" s="630"/>
      <c r="D82" s="632"/>
      <c r="E82" s="632"/>
      <c r="F82" s="635"/>
    </row>
    <row r="83" spans="1:6" s="636" customFormat="1" x14ac:dyDescent="0.6">
      <c r="A83" s="1128" t="s">
        <v>524</v>
      </c>
      <c r="B83" s="1128"/>
      <c r="C83" s="1128"/>
      <c r="D83" s="1128"/>
      <c r="E83" s="1128"/>
      <c r="F83" s="1128"/>
    </row>
    <row r="84" spans="1:6" s="599" customFormat="1" x14ac:dyDescent="0.6">
      <c r="A84" s="638">
        <v>1</v>
      </c>
      <c r="B84" s="639" t="s">
        <v>519</v>
      </c>
      <c r="C84" s="639" t="s">
        <v>518</v>
      </c>
      <c r="D84" s="884"/>
      <c r="E84" s="884"/>
      <c r="F84" s="643"/>
    </row>
    <row r="85" spans="1:6" s="599" customFormat="1" x14ac:dyDescent="0.6">
      <c r="A85" s="646">
        <v>2</v>
      </c>
      <c r="B85" s="647" t="s">
        <v>521</v>
      </c>
      <c r="C85" s="647" t="s">
        <v>522</v>
      </c>
      <c r="D85" s="641"/>
      <c r="E85" s="641"/>
      <c r="F85" s="643">
        <v>1.8189894035458565E-12</v>
      </c>
    </row>
    <row r="86" spans="1:6" s="599" customFormat="1" x14ac:dyDescent="0.6">
      <c r="A86" s="646"/>
      <c r="B86" s="653" t="s">
        <v>534</v>
      </c>
      <c r="C86" s="647"/>
      <c r="D86" s="652"/>
      <c r="E86" s="652"/>
      <c r="F86" s="651"/>
    </row>
    <row r="87" spans="1:6" s="599" customFormat="1" ht="24" thickBot="1" x14ac:dyDescent="0.65">
      <c r="A87" s="619"/>
      <c r="B87" s="620" t="s">
        <v>535</v>
      </c>
      <c r="C87" s="621"/>
      <c r="D87" s="625"/>
      <c r="E87" s="625"/>
      <c r="F87" s="625">
        <v>1.8189894035458565E-12</v>
      </c>
    </row>
    <row r="88" spans="1:6" ht="22.5" customHeight="1" thickTop="1" thickBot="1" x14ac:dyDescent="0.35">
      <c r="A88" s="763"/>
      <c r="B88" s="763"/>
      <c r="C88" s="764"/>
      <c r="D88" s="1020"/>
      <c r="E88" s="1020"/>
      <c r="F88" s="1025">
        <v>1689069.3652999999</v>
      </c>
    </row>
    <row r="89" spans="1:6" ht="22.5" customHeight="1" thickTop="1" x14ac:dyDescent="0.5">
      <c r="B89" s="587" t="s">
        <v>537</v>
      </c>
      <c r="C89" s="587"/>
      <c r="D89" s="3"/>
      <c r="E89" s="3"/>
      <c r="F89" s="472"/>
    </row>
    <row r="90" spans="1:6" x14ac:dyDescent="0.5">
      <c r="B90" s="1129" t="s">
        <v>538</v>
      </c>
      <c r="C90" s="1129"/>
      <c r="D90" s="3"/>
      <c r="E90" s="3"/>
      <c r="F90" s="472"/>
    </row>
    <row r="91" spans="1:6" x14ac:dyDescent="0.5">
      <c r="B91" s="1129" t="s">
        <v>539</v>
      </c>
      <c r="C91" s="1129"/>
      <c r="D91" s="3"/>
      <c r="E91" s="3"/>
      <c r="F91" s="472"/>
    </row>
    <row r="92" spans="1:6" x14ac:dyDescent="0.3">
      <c r="D92" s="3"/>
      <c r="E92" s="3"/>
      <c r="F92" s="472"/>
    </row>
    <row r="93" spans="1:6" x14ac:dyDescent="0.3">
      <c r="D93" s="3"/>
      <c r="E93" s="3"/>
      <c r="F93" s="472"/>
    </row>
    <row r="94" spans="1:6" x14ac:dyDescent="0.3">
      <c r="D94" s="3"/>
      <c r="E94" s="3"/>
      <c r="F94" s="472"/>
    </row>
    <row r="95" spans="1:6" x14ac:dyDescent="0.3">
      <c r="D95" s="3"/>
      <c r="E95" s="3"/>
      <c r="F95" s="472"/>
    </row>
    <row r="96" spans="1:6" x14ac:dyDescent="0.3">
      <c r="D96" s="3"/>
      <c r="E96" s="3"/>
      <c r="F96" s="472"/>
    </row>
    <row r="97" spans="4:6" x14ac:dyDescent="0.3">
      <c r="D97" s="3"/>
      <c r="E97" s="3"/>
      <c r="F97" s="472"/>
    </row>
    <row r="98" spans="4:6" x14ac:dyDescent="0.3">
      <c r="D98" s="3"/>
      <c r="E98" s="3"/>
      <c r="F98" s="472"/>
    </row>
  </sheetData>
  <sortState xmlns:xlrd2="http://schemas.microsoft.com/office/spreadsheetml/2017/richdata2" ref="A9:F52">
    <sortCondition ref="E9:E52"/>
  </sortState>
  <mergeCells count="13">
    <mergeCell ref="A55:F55"/>
    <mergeCell ref="A75:F75"/>
    <mergeCell ref="A83:F83"/>
    <mergeCell ref="B90:C90"/>
    <mergeCell ref="B91:C91"/>
    <mergeCell ref="A1:F1"/>
    <mergeCell ref="A2:F2"/>
    <mergeCell ref="A3:F3"/>
    <mergeCell ref="A4:A6"/>
    <mergeCell ref="B4:B6"/>
    <mergeCell ref="C4:C6"/>
    <mergeCell ref="D4:F4"/>
    <mergeCell ref="D5:D6"/>
  </mergeCells>
  <pageMargins left="0.7" right="0.7" top="0.75" bottom="0.75" header="0.3" footer="0.3"/>
  <pageSetup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81E9-1409-41E3-BBAF-A7A09C9D5A34}">
  <sheetPr>
    <tabColor rgb="FF92D050"/>
  </sheetPr>
  <dimension ref="A1:AQ345"/>
  <sheetViews>
    <sheetView topLeftCell="B1" zoomScale="80" zoomScaleNormal="80" workbookViewId="0">
      <pane ySplit="6" topLeftCell="A111" activePane="bottomLeft" state="frozen"/>
      <selection pane="bottomLeft" activeCell="L115" sqref="L115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4.88671875" style="88" customWidth="1"/>
    <col min="5" max="5" width="13.33203125" style="659" customWidth="1"/>
    <col min="6" max="6" width="5.5546875" style="659" customWidth="1"/>
    <col min="7" max="7" width="7.88671875" style="660" customWidth="1"/>
    <col min="8" max="8" width="14.88671875" style="661" customWidth="1"/>
    <col min="9" max="9" width="14.6640625" style="661" customWidth="1"/>
    <col min="10" max="10" width="14.44140625" style="661" customWidth="1"/>
    <col min="11" max="11" width="12.44140625" style="88" customWidth="1"/>
    <col min="12" max="12" width="18.6640625" style="88" customWidth="1"/>
    <col min="13" max="13" width="16.33203125" style="88" customWidth="1"/>
    <col min="14" max="14" width="14.5546875" style="662" customWidth="1"/>
    <col min="15" max="15" width="5.77734375" style="662" customWidth="1"/>
    <col min="16" max="16" width="8" style="663" customWidth="1"/>
    <col min="17" max="17" width="16.33203125" style="664" customWidth="1"/>
    <col min="18" max="18" width="13.88671875" style="664" customWidth="1"/>
    <col min="19" max="19" width="16.5546875" style="665" customWidth="1"/>
    <col min="20" max="16384" width="27.109375" style="3"/>
  </cols>
  <sheetData>
    <row r="1" spans="1:20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09"/>
      <c r="S1" s="1109"/>
      <c r="T1" s="2"/>
    </row>
    <row r="2" spans="1:20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2"/>
    </row>
    <row r="3" spans="1:20" ht="22.5" customHeight="1" x14ac:dyDescent="0.3">
      <c r="A3" s="1110" t="s">
        <v>1547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1111"/>
      <c r="S3" s="1111"/>
      <c r="T3" s="2"/>
    </row>
    <row r="4" spans="1:20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44"/>
      <c r="G4" s="1135"/>
      <c r="H4" s="1135"/>
      <c r="I4" s="1135"/>
      <c r="J4" s="1136"/>
      <c r="K4" s="1145" t="s">
        <v>8</v>
      </c>
      <c r="L4" s="1146"/>
      <c r="M4" s="1147"/>
      <c r="N4" s="1118" t="s">
        <v>9</v>
      </c>
      <c r="O4" s="1119"/>
      <c r="P4" s="1140"/>
      <c r="Q4" s="1140"/>
      <c r="R4" s="1140"/>
      <c r="S4" s="1120"/>
      <c r="T4" s="2"/>
    </row>
    <row r="5" spans="1:20" ht="22.5" customHeight="1" x14ac:dyDescent="0.3">
      <c r="A5" s="1113"/>
      <c r="B5" s="1113"/>
      <c r="C5" s="1116"/>
      <c r="D5" s="1142"/>
      <c r="E5" s="1130" t="s">
        <v>10</v>
      </c>
      <c r="F5" s="880" t="s">
        <v>937</v>
      </c>
      <c r="G5" s="1132" t="s">
        <v>11</v>
      </c>
      <c r="H5" s="1134" t="s">
        <v>12</v>
      </c>
      <c r="I5" s="1135"/>
      <c r="J5" s="1136"/>
      <c r="K5" s="5"/>
      <c r="L5" s="6"/>
      <c r="M5" s="6"/>
      <c r="N5" s="1121" t="s">
        <v>10</v>
      </c>
      <c r="O5" s="882"/>
      <c r="P5" s="1138" t="s">
        <v>11</v>
      </c>
      <c r="Q5" s="1118" t="s">
        <v>12</v>
      </c>
      <c r="R5" s="1140"/>
      <c r="S5" s="1120"/>
      <c r="T5" s="2"/>
    </row>
    <row r="6" spans="1:20" ht="22.5" customHeight="1" x14ac:dyDescent="0.3">
      <c r="A6" s="1114"/>
      <c r="B6" s="1114"/>
      <c r="C6" s="1117"/>
      <c r="D6" s="1143"/>
      <c r="E6" s="1131"/>
      <c r="F6" s="881"/>
      <c r="G6" s="1133"/>
      <c r="H6" s="7" t="s">
        <v>13</v>
      </c>
      <c r="I6" s="7" t="s">
        <v>14</v>
      </c>
      <c r="J6" s="7" t="s">
        <v>15</v>
      </c>
      <c r="K6" s="5" t="s">
        <v>16</v>
      </c>
      <c r="L6" s="8" t="s">
        <v>17</v>
      </c>
      <c r="M6" s="6" t="s">
        <v>13</v>
      </c>
      <c r="N6" s="1122"/>
      <c r="O6" s="883" t="s">
        <v>937</v>
      </c>
      <c r="P6" s="1139"/>
      <c r="Q6" s="9" t="s">
        <v>18</v>
      </c>
      <c r="R6" s="9" t="s">
        <v>14</v>
      </c>
      <c r="S6" s="10" t="s">
        <v>15</v>
      </c>
      <c r="T6" s="2"/>
    </row>
    <row r="7" spans="1:20" ht="22.5" customHeight="1" x14ac:dyDescent="0.3">
      <c r="A7" s="11"/>
      <c r="B7" s="12" t="s">
        <v>19</v>
      </c>
      <c r="C7" s="13"/>
      <c r="D7" s="14"/>
      <c r="E7" s="15"/>
      <c r="F7" s="15"/>
      <c r="G7" s="16"/>
      <c r="H7" s="7"/>
      <c r="I7" s="17"/>
      <c r="J7" s="17"/>
      <c r="K7" s="18"/>
      <c r="L7" s="18"/>
      <c r="M7" s="14"/>
      <c r="N7" s="19"/>
      <c r="O7" s="19"/>
      <c r="P7" s="20"/>
      <c r="Q7" s="21"/>
      <c r="R7" s="21"/>
      <c r="S7" s="22"/>
      <c r="T7" s="2"/>
    </row>
    <row r="8" spans="1:20" ht="22.5" customHeight="1" x14ac:dyDescent="0.6">
      <c r="A8" s="23">
        <v>1</v>
      </c>
      <c r="B8" s="24" t="s">
        <v>20</v>
      </c>
      <c r="C8" s="25" t="s">
        <v>21</v>
      </c>
      <c r="D8" s="26">
        <v>5417.74</v>
      </c>
      <c r="E8" s="27"/>
      <c r="F8" s="27"/>
      <c r="G8" s="28"/>
      <c r="H8" s="29">
        <v>-2.2429906553425609E-3</v>
      </c>
      <c r="I8" s="29">
        <v>-1.5700934587397925E-4</v>
      </c>
      <c r="J8" s="29">
        <v>-2.4000000012165401E-3</v>
      </c>
      <c r="K8" s="30" t="s">
        <v>1548</v>
      </c>
      <c r="L8" s="31" t="s">
        <v>1549</v>
      </c>
      <c r="M8" s="32">
        <v>5417.74</v>
      </c>
      <c r="N8" s="33"/>
      <c r="O8" s="33"/>
      <c r="P8" s="34"/>
      <c r="Q8" s="35">
        <f>SUM(S8-R8)</f>
        <v>-2.2429906553425609E-3</v>
      </c>
      <c r="R8" s="35">
        <f>SUM(S8*7/107)</f>
        <v>-1.5700934587397925E-4</v>
      </c>
      <c r="S8" s="36">
        <f>SUM(D8+J8-M8)</f>
        <v>-2.4000000012165401E-3</v>
      </c>
      <c r="T8" s="47"/>
    </row>
    <row r="9" spans="1:20" ht="22.5" customHeight="1" x14ac:dyDescent="0.6">
      <c r="A9" s="23">
        <v>2</v>
      </c>
      <c r="B9" s="24" t="s">
        <v>24</v>
      </c>
      <c r="C9" s="25" t="s">
        <v>25</v>
      </c>
      <c r="D9" s="26">
        <v>1400.3</v>
      </c>
      <c r="E9" s="27"/>
      <c r="F9" s="27"/>
      <c r="G9" s="28"/>
      <c r="H9" s="29">
        <v>1.962616820449758E-3</v>
      </c>
      <c r="I9" s="29">
        <v>1.3738317743148306E-4</v>
      </c>
      <c r="J9" s="29">
        <v>2.0999999978812411E-3</v>
      </c>
      <c r="K9" s="30" t="s">
        <v>1550</v>
      </c>
      <c r="L9" s="31" t="s">
        <v>1551</v>
      </c>
      <c r="M9" s="32">
        <v>1400.3</v>
      </c>
      <c r="N9" s="33"/>
      <c r="O9" s="33"/>
      <c r="P9" s="34"/>
      <c r="Q9" s="35">
        <f>SUM(S9-R9)</f>
        <v>1.962616820449758E-3</v>
      </c>
      <c r="R9" s="35">
        <f>SUM(S9*7/107)</f>
        <v>1.3738317743148306E-4</v>
      </c>
      <c r="S9" s="36">
        <f>SUM(D9+J9-M9)</f>
        <v>2.0999999978812411E-3</v>
      </c>
      <c r="T9" s="47"/>
    </row>
    <row r="10" spans="1:20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7"/>
      <c r="G10" s="28"/>
      <c r="H10" s="29">
        <v>0</v>
      </c>
      <c r="I10" s="29">
        <v>0</v>
      </c>
      <c r="J10" s="29">
        <v>0</v>
      </c>
      <c r="K10" s="38" t="s">
        <v>1552</v>
      </c>
      <c r="L10" s="39" t="s">
        <v>1553</v>
      </c>
      <c r="M10" s="40">
        <v>802.5</v>
      </c>
      <c r="N10" s="41"/>
      <c r="O10" s="41"/>
      <c r="P10" s="34"/>
      <c r="Q10" s="35">
        <f>SUM(S10-R10)</f>
        <v>0</v>
      </c>
      <c r="R10" s="35">
        <f>SUM(S10*7/107)</f>
        <v>0</v>
      </c>
      <c r="S10" s="36">
        <f>SUM(D10+J10-M10)</f>
        <v>0</v>
      </c>
      <c r="T10" s="2"/>
    </row>
    <row r="11" spans="1:20" ht="22.5" customHeight="1" x14ac:dyDescent="0.6">
      <c r="A11" s="23">
        <v>4</v>
      </c>
      <c r="B11" s="24" t="s">
        <v>30</v>
      </c>
      <c r="C11" s="25" t="s">
        <v>31</v>
      </c>
      <c r="D11" s="43"/>
      <c r="E11" s="894" t="s">
        <v>1427</v>
      </c>
      <c r="F11" s="895" t="s">
        <v>33</v>
      </c>
      <c r="G11" s="895" t="s">
        <v>33</v>
      </c>
      <c r="H11" s="896">
        <v>1080</v>
      </c>
      <c r="I11" s="896">
        <f t="shared" ref="I11" si="0">+H11*0.07</f>
        <v>75.600000000000009</v>
      </c>
      <c r="J11" s="896">
        <f t="shared" ref="J11" si="1">SUM(H11:I11)</f>
        <v>1155.5999999999999</v>
      </c>
      <c r="K11" s="30" t="s">
        <v>1554</v>
      </c>
      <c r="L11" s="31" t="s">
        <v>1555</v>
      </c>
      <c r="M11" s="32">
        <v>1155.5999999999999</v>
      </c>
      <c r="N11" s="33"/>
      <c r="O11" s="33"/>
      <c r="P11" s="34"/>
      <c r="Q11" s="669">
        <f>SUM(S11-R11)</f>
        <v>0</v>
      </c>
      <c r="R11" s="669">
        <f>SUM(S11*7/107)</f>
        <v>0</v>
      </c>
      <c r="S11" s="340">
        <f>SUM(D11+J11-M11)</f>
        <v>0</v>
      </c>
      <c r="T11" s="47"/>
    </row>
    <row r="12" spans="1:20" s="60" customFormat="1" ht="22.5" customHeight="1" thickBot="1" x14ac:dyDescent="0.35">
      <c r="A12" s="48"/>
      <c r="B12" s="48" t="s">
        <v>15</v>
      </c>
      <c r="C12" s="49"/>
      <c r="D12" s="50">
        <f>SUM(D8:D11)</f>
        <v>7620.54</v>
      </c>
      <c r="E12" s="51"/>
      <c r="F12" s="51"/>
      <c r="G12" s="52"/>
      <c r="H12" s="53">
        <f>SUM(H8:H11)</f>
        <v>1079.9997196261652</v>
      </c>
      <c r="I12" s="53">
        <f>SUM(I8:I11)</f>
        <v>75.599980373831571</v>
      </c>
      <c r="J12" s="53">
        <f>SUM(J8:J11)</f>
        <v>1155.5996999999966</v>
      </c>
      <c r="K12" s="54"/>
      <c r="L12" s="55"/>
      <c r="M12" s="998">
        <f>SUM(M8:M11)</f>
        <v>8776.14</v>
      </c>
      <c r="N12" s="48"/>
      <c r="O12" s="48"/>
      <c r="P12" s="56"/>
      <c r="Q12" s="670">
        <f>SUM(S12-R12)</f>
        <v>-2.8037383489280278E-4</v>
      </c>
      <c r="R12" s="670">
        <f>SUM(S12*7/107)</f>
        <v>-1.9626168442496193E-5</v>
      </c>
      <c r="S12" s="671">
        <f>SUM(D12+J12-M12)</f>
        <v>-3.0000000333529897E-4</v>
      </c>
      <c r="T12" s="59"/>
    </row>
    <row r="13" spans="1:20" ht="22.5" customHeight="1" thickTop="1" x14ac:dyDescent="0.3">
      <c r="A13" s="61"/>
      <c r="B13" s="62" t="s">
        <v>37</v>
      </c>
      <c r="C13" s="63"/>
      <c r="D13" s="64"/>
      <c r="E13" s="65"/>
      <c r="F13" s="65"/>
      <c r="G13" s="66"/>
      <c r="H13" s="67"/>
      <c r="I13" s="67"/>
      <c r="J13" s="67"/>
      <c r="K13" s="68"/>
      <c r="L13" s="68"/>
      <c r="M13" s="64"/>
      <c r="N13" s="69"/>
      <c r="O13" s="69"/>
      <c r="P13" s="70"/>
      <c r="Q13" s="71"/>
      <c r="R13" s="71"/>
      <c r="S13" s="72"/>
      <c r="T13" s="2"/>
    </row>
    <row r="14" spans="1:20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4"/>
      <c r="G14" s="75"/>
      <c r="H14" s="76">
        <v>0</v>
      </c>
      <c r="I14" s="76">
        <v>0</v>
      </c>
      <c r="J14" s="76">
        <v>0</v>
      </c>
      <c r="K14" s="30" t="s">
        <v>1556</v>
      </c>
      <c r="L14" s="31" t="s">
        <v>1557</v>
      </c>
      <c r="M14" s="32">
        <v>1284</v>
      </c>
      <c r="N14" s="69"/>
      <c r="O14" s="69"/>
      <c r="P14" s="70"/>
      <c r="Q14" s="35">
        <f>SUM(S14-R14)</f>
        <v>0</v>
      </c>
      <c r="R14" s="42">
        <f>SUM(S14*7/107)</f>
        <v>0</v>
      </c>
      <c r="S14" s="36">
        <f>SUM(D14+J14-M14)</f>
        <v>0</v>
      </c>
      <c r="T14" s="2"/>
    </row>
    <row r="15" spans="1:20" ht="22.5" customHeight="1" x14ac:dyDescent="0.5">
      <c r="A15" s="23">
        <v>2</v>
      </c>
      <c r="B15" s="73" t="s">
        <v>42</v>
      </c>
      <c r="C15" s="25" t="s">
        <v>43</v>
      </c>
      <c r="D15" s="43">
        <v>1797.6</v>
      </c>
      <c r="E15" s="74"/>
      <c r="F15" s="80"/>
      <c r="G15" s="77"/>
      <c r="H15" s="76">
        <v>-4.2499752419295712E-13</v>
      </c>
      <c r="I15" s="76">
        <v>-2.9749826693506995E-14</v>
      </c>
      <c r="J15" s="76">
        <v>-4.5474735088646412E-13</v>
      </c>
      <c r="K15" s="30" t="s">
        <v>1550</v>
      </c>
      <c r="L15" s="31" t="s">
        <v>1558</v>
      </c>
      <c r="M15" s="32">
        <v>1797.6</v>
      </c>
      <c r="N15" s="33"/>
      <c r="O15" s="747"/>
      <c r="P15" s="70"/>
      <c r="Q15" s="35">
        <f t="shared" ref="Q15:Q26" si="2">SUM(S15-R15)</f>
        <v>-4.2499752419295712E-13</v>
      </c>
      <c r="R15" s="42">
        <f t="shared" ref="R15:R26" si="3">SUM(S15*7/107)</f>
        <v>-2.9749826693506995E-14</v>
      </c>
      <c r="S15" s="36">
        <f t="shared" ref="S15:S26" si="4">SUM(D15+J15-M15)</f>
        <v>-4.5474735088646412E-13</v>
      </c>
      <c r="T15" s="2"/>
    </row>
    <row r="16" spans="1:20" ht="22.5" customHeight="1" x14ac:dyDescent="0.5">
      <c r="A16" s="23">
        <v>3</v>
      </c>
      <c r="B16" s="73" t="s">
        <v>45</v>
      </c>
      <c r="C16" s="25" t="s">
        <v>46</v>
      </c>
      <c r="D16" s="43">
        <v>1765.5</v>
      </c>
      <c r="E16" s="74" t="s">
        <v>1427</v>
      </c>
      <c r="F16" s="80" t="s">
        <v>33</v>
      </c>
      <c r="G16" s="77" t="s">
        <v>33</v>
      </c>
      <c r="H16" s="76">
        <v>959.99999999999977</v>
      </c>
      <c r="I16" s="76">
        <v>67.199999999999989</v>
      </c>
      <c r="J16" s="76">
        <v>1027.1999999999998</v>
      </c>
      <c r="K16" s="30" t="s">
        <v>1559</v>
      </c>
      <c r="L16" s="31" t="s">
        <v>1560</v>
      </c>
      <c r="M16" s="32">
        <v>1027.2</v>
      </c>
      <c r="N16" s="33" t="s">
        <v>1561</v>
      </c>
      <c r="O16" s="747" t="s">
        <v>33</v>
      </c>
      <c r="P16" s="70" t="s">
        <v>33</v>
      </c>
      <c r="Q16" s="35">
        <f t="shared" si="2"/>
        <v>1649.9999999999998</v>
      </c>
      <c r="R16" s="42">
        <f t="shared" si="3"/>
        <v>115.49999999999999</v>
      </c>
      <c r="S16" s="36">
        <f t="shared" si="4"/>
        <v>1765.4999999999998</v>
      </c>
      <c r="T16" s="2"/>
    </row>
    <row r="17" spans="1:20" ht="22.5" customHeight="1" x14ac:dyDescent="0.5">
      <c r="A17" s="23">
        <v>4</v>
      </c>
      <c r="B17" s="73" t="s">
        <v>48</v>
      </c>
      <c r="C17" s="25" t="s">
        <v>49</v>
      </c>
      <c r="D17" s="43">
        <v>1829.7</v>
      </c>
      <c r="E17" s="74" t="s">
        <v>1427</v>
      </c>
      <c r="F17" s="80" t="s">
        <v>33</v>
      </c>
      <c r="G17" s="77" t="s">
        <v>33</v>
      </c>
      <c r="H17" s="76">
        <v>2384.9999999999986</v>
      </c>
      <c r="I17" s="76">
        <v>166.9499999999999</v>
      </c>
      <c r="J17" s="76">
        <v>2551.9499999999985</v>
      </c>
      <c r="K17" s="30" t="s">
        <v>1562</v>
      </c>
      <c r="L17" s="31" t="s">
        <v>1563</v>
      </c>
      <c r="M17" s="32">
        <v>2551.9499999999998</v>
      </c>
      <c r="N17" s="33" t="s">
        <v>1561</v>
      </c>
      <c r="O17" s="747" t="s">
        <v>33</v>
      </c>
      <c r="P17" s="70" t="s">
        <v>33</v>
      </c>
      <c r="Q17" s="35">
        <f t="shared" si="2"/>
        <v>1709.9999999999991</v>
      </c>
      <c r="R17" s="42">
        <f t="shared" si="3"/>
        <v>119.69999999999993</v>
      </c>
      <c r="S17" s="36">
        <f t="shared" si="4"/>
        <v>1829.6999999999989</v>
      </c>
      <c r="T17" s="2"/>
    </row>
    <row r="18" spans="1:20" ht="22.5" customHeight="1" x14ac:dyDescent="0.5">
      <c r="A18" s="23">
        <v>5</v>
      </c>
      <c r="B18" s="73" t="s">
        <v>51</v>
      </c>
      <c r="C18" s="25" t="s">
        <v>52</v>
      </c>
      <c r="D18" s="43">
        <v>4766.8500000000004</v>
      </c>
      <c r="E18" s="74" t="s">
        <v>1427</v>
      </c>
      <c r="F18" s="80" t="s">
        <v>33</v>
      </c>
      <c r="G18" s="77" t="s">
        <v>33</v>
      </c>
      <c r="H18" s="76">
        <v>4365.0000000000027</v>
      </c>
      <c r="I18" s="76">
        <v>305.55000000000018</v>
      </c>
      <c r="J18" s="76">
        <v>4670.5500000000029</v>
      </c>
      <c r="K18" s="30" t="s">
        <v>1554</v>
      </c>
      <c r="L18" s="31" t="s">
        <v>1564</v>
      </c>
      <c r="M18" s="32">
        <v>4670.55</v>
      </c>
      <c r="N18" s="33" t="s">
        <v>1561</v>
      </c>
      <c r="O18" s="747" t="s">
        <v>33</v>
      </c>
      <c r="P18" s="70" t="s">
        <v>33</v>
      </c>
      <c r="Q18" s="35">
        <f t="shared" si="2"/>
        <v>4455.0000000000027</v>
      </c>
      <c r="R18" s="42">
        <f t="shared" si="3"/>
        <v>311.85000000000019</v>
      </c>
      <c r="S18" s="36">
        <f t="shared" si="4"/>
        <v>4766.8500000000031</v>
      </c>
      <c r="T18" s="2"/>
    </row>
    <row r="19" spans="1:20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4"/>
      <c r="G19" s="75"/>
      <c r="H19" s="76">
        <v>0</v>
      </c>
      <c r="I19" s="76">
        <v>0</v>
      </c>
      <c r="J19" s="76">
        <v>0</v>
      </c>
      <c r="K19" s="30" t="s">
        <v>1554</v>
      </c>
      <c r="L19" s="31" t="s">
        <v>1565</v>
      </c>
      <c r="M19" s="32">
        <v>6420</v>
      </c>
      <c r="N19" s="69"/>
      <c r="O19" s="69"/>
      <c r="P19" s="70"/>
      <c r="Q19" s="35">
        <f t="shared" si="2"/>
        <v>0</v>
      </c>
      <c r="R19" s="42">
        <f t="shared" si="3"/>
        <v>0</v>
      </c>
      <c r="S19" s="36">
        <f t="shared" si="4"/>
        <v>0</v>
      </c>
      <c r="T19" s="2"/>
    </row>
    <row r="20" spans="1:20" ht="22.5" customHeight="1" x14ac:dyDescent="0.5">
      <c r="A20" s="23">
        <v>7</v>
      </c>
      <c r="B20" s="78" t="s">
        <v>54</v>
      </c>
      <c r="C20" s="25" t="s">
        <v>55</v>
      </c>
      <c r="D20" s="79">
        <v>1637.1</v>
      </c>
      <c r="E20" s="80"/>
      <c r="F20" s="80"/>
      <c r="G20" s="77"/>
      <c r="H20" s="76">
        <v>0</v>
      </c>
      <c r="I20" s="76">
        <v>0</v>
      </c>
      <c r="J20" s="76">
        <v>0</v>
      </c>
      <c r="K20" s="38" t="s">
        <v>1566</v>
      </c>
      <c r="L20" s="39" t="s">
        <v>1567</v>
      </c>
      <c r="M20" s="40">
        <v>1637.1</v>
      </c>
      <c r="N20" s="33"/>
      <c r="O20" s="747"/>
      <c r="P20" s="70"/>
      <c r="Q20" s="35">
        <f t="shared" si="2"/>
        <v>0</v>
      </c>
      <c r="R20" s="42">
        <f t="shared" si="3"/>
        <v>0</v>
      </c>
      <c r="S20" s="36">
        <f t="shared" si="4"/>
        <v>0</v>
      </c>
      <c r="T20" s="2"/>
    </row>
    <row r="21" spans="1:20" ht="22.5" customHeight="1" x14ac:dyDescent="0.5">
      <c r="A21" s="23">
        <v>8</v>
      </c>
      <c r="B21" s="78" t="s">
        <v>56</v>
      </c>
      <c r="C21" s="81" t="s">
        <v>57</v>
      </c>
      <c r="D21" s="79">
        <v>722.25</v>
      </c>
      <c r="E21" s="74"/>
      <c r="F21" s="80"/>
      <c r="G21" s="77"/>
      <c r="H21" s="82">
        <v>0</v>
      </c>
      <c r="I21" s="82">
        <v>0</v>
      </c>
      <c r="J21" s="82">
        <v>0</v>
      </c>
      <c r="K21" s="38" t="s">
        <v>1559</v>
      </c>
      <c r="L21" s="39" t="s">
        <v>1568</v>
      </c>
      <c r="M21" s="40">
        <v>722.25</v>
      </c>
      <c r="N21" s="33"/>
      <c r="O21" s="747"/>
      <c r="P21" s="70"/>
      <c r="Q21" s="35">
        <f t="shared" si="2"/>
        <v>0</v>
      </c>
      <c r="R21" s="42">
        <f t="shared" si="3"/>
        <v>0</v>
      </c>
      <c r="S21" s="36">
        <f t="shared" si="4"/>
        <v>0</v>
      </c>
      <c r="T21" s="2"/>
    </row>
    <row r="22" spans="1:20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4"/>
      <c r="G22" s="75"/>
      <c r="H22" s="76">
        <v>0</v>
      </c>
      <c r="I22" s="76">
        <v>0</v>
      </c>
      <c r="J22" s="76">
        <v>0</v>
      </c>
      <c r="K22" s="38" t="s">
        <v>1569</v>
      </c>
      <c r="L22" s="39" t="s">
        <v>1570</v>
      </c>
      <c r="M22" s="40">
        <v>21400</v>
      </c>
      <c r="N22" s="69"/>
      <c r="O22" s="69"/>
      <c r="P22" s="70"/>
      <c r="Q22" s="35">
        <f t="shared" si="2"/>
        <v>0</v>
      </c>
      <c r="R22" s="42">
        <f t="shared" si="3"/>
        <v>0</v>
      </c>
      <c r="S22" s="36">
        <f t="shared" si="4"/>
        <v>0</v>
      </c>
      <c r="T22" s="2"/>
    </row>
    <row r="23" spans="1:20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4"/>
      <c r="G23" s="75"/>
      <c r="H23" s="76">
        <v>0</v>
      </c>
      <c r="I23" s="76">
        <v>0</v>
      </c>
      <c r="J23" s="76">
        <v>0</v>
      </c>
      <c r="K23" s="38" t="s">
        <v>1552</v>
      </c>
      <c r="L23" s="39" t="s">
        <v>1571</v>
      </c>
      <c r="M23" s="40">
        <v>856</v>
      </c>
      <c r="N23" s="69"/>
      <c r="O23" s="69"/>
      <c r="P23" s="70"/>
      <c r="Q23" s="35">
        <f t="shared" si="2"/>
        <v>0</v>
      </c>
      <c r="R23" s="42">
        <f t="shared" si="3"/>
        <v>0</v>
      </c>
      <c r="S23" s="36">
        <f t="shared" si="4"/>
        <v>0</v>
      </c>
      <c r="T23" s="87"/>
    </row>
    <row r="24" spans="1:20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885"/>
      <c r="G24" s="92"/>
      <c r="H24" s="76">
        <v>0</v>
      </c>
      <c r="I24" s="76">
        <v>0</v>
      </c>
      <c r="J24" s="76">
        <v>0</v>
      </c>
      <c r="K24" s="38" t="s">
        <v>1550</v>
      </c>
      <c r="L24" s="39" t="s">
        <v>1572</v>
      </c>
      <c r="M24" s="40">
        <v>21400</v>
      </c>
      <c r="N24" s="69"/>
      <c r="O24" s="69"/>
      <c r="P24" s="70"/>
      <c r="Q24" s="35">
        <f t="shared" si="2"/>
        <v>0</v>
      </c>
      <c r="R24" s="42">
        <f>SUM(S24*7/107)</f>
        <v>0</v>
      </c>
      <c r="S24" s="36">
        <f t="shared" si="4"/>
        <v>0</v>
      </c>
      <c r="T24" s="93"/>
    </row>
    <row r="25" spans="1:20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6"/>
      <c r="G25" s="97"/>
      <c r="H25" s="98">
        <v>0</v>
      </c>
      <c r="I25" s="98">
        <v>0</v>
      </c>
      <c r="J25" s="98">
        <v>0</v>
      </c>
      <c r="K25" s="38" t="s">
        <v>1569</v>
      </c>
      <c r="L25" s="39" t="s">
        <v>1573</v>
      </c>
      <c r="M25" s="40">
        <v>3210</v>
      </c>
      <c r="N25" s="69"/>
      <c r="O25" s="69"/>
      <c r="P25" s="70"/>
      <c r="Q25" s="35">
        <f t="shared" si="2"/>
        <v>0</v>
      </c>
      <c r="R25" s="42">
        <f t="shared" si="3"/>
        <v>0</v>
      </c>
      <c r="S25" s="36">
        <f t="shared" si="4"/>
        <v>0</v>
      </c>
    </row>
    <row r="26" spans="1:20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6"/>
      <c r="G26" s="97"/>
      <c r="H26" s="98">
        <v>0</v>
      </c>
      <c r="I26" s="98">
        <v>0</v>
      </c>
      <c r="J26" s="98">
        <v>0</v>
      </c>
      <c r="K26" s="101" t="s">
        <v>1569</v>
      </c>
      <c r="L26" s="102" t="s">
        <v>1574</v>
      </c>
      <c r="M26" s="103">
        <v>3210</v>
      </c>
      <c r="N26" s="69"/>
      <c r="O26" s="69"/>
      <c r="P26" s="70"/>
      <c r="Q26" s="35">
        <f t="shared" si="2"/>
        <v>0</v>
      </c>
      <c r="R26" s="42">
        <f t="shared" si="3"/>
        <v>0</v>
      </c>
      <c r="S26" s="36">
        <f t="shared" si="4"/>
        <v>0</v>
      </c>
      <c r="T26" s="93"/>
    </row>
    <row r="27" spans="1:20" s="60" customFormat="1" ht="22.5" customHeight="1" thickBot="1" x14ac:dyDescent="0.35">
      <c r="A27" s="48"/>
      <c r="B27" s="48" t="s">
        <v>15</v>
      </c>
      <c r="C27" s="49"/>
      <c r="D27" s="104">
        <f>SUM(D14:D26)</f>
        <v>70299</v>
      </c>
      <c r="E27" s="105"/>
      <c r="F27" s="105"/>
      <c r="G27" s="56"/>
      <c r="H27" s="106">
        <f>SUM(H14:H26)</f>
        <v>7710.0000000000009</v>
      </c>
      <c r="I27" s="106">
        <f>SUM(I14:I26)</f>
        <v>539.70000000000005</v>
      </c>
      <c r="J27" s="106">
        <f>SUM(J14:J26)</f>
        <v>8249.7000000000007</v>
      </c>
      <c r="K27" s="104"/>
      <c r="L27" s="104"/>
      <c r="M27" s="999">
        <f>SUM(M14:M26)</f>
        <v>70186.649999999994</v>
      </c>
      <c r="N27" s="107"/>
      <c r="O27" s="107"/>
      <c r="P27" s="108"/>
      <c r="Q27" s="109">
        <f>SUM(Q14:Q26)</f>
        <v>7815.0000000000009</v>
      </c>
      <c r="R27" s="109">
        <f>SUM(R14:R26)</f>
        <v>547.05000000000007</v>
      </c>
      <c r="S27" s="110">
        <f>SUM(S14:S26)</f>
        <v>8362.0500000000011</v>
      </c>
    </row>
    <row r="28" spans="1:20" ht="22.5" customHeight="1" thickTop="1" x14ac:dyDescent="0.3">
      <c r="A28" s="61"/>
      <c r="B28" s="62" t="s">
        <v>71</v>
      </c>
      <c r="C28" s="63"/>
      <c r="D28" s="64"/>
      <c r="E28" s="65"/>
      <c r="F28" s="65"/>
      <c r="G28" s="66"/>
      <c r="H28" s="67"/>
      <c r="I28" s="67"/>
      <c r="J28" s="67"/>
      <c r="K28" s="68"/>
      <c r="L28" s="68"/>
      <c r="M28" s="64"/>
      <c r="N28" s="69"/>
      <c r="O28" s="69"/>
      <c r="P28" s="70"/>
      <c r="Q28" s="71"/>
      <c r="R28" s="71"/>
      <c r="S28" s="72"/>
    </row>
    <row r="29" spans="1:20" ht="22.5" customHeight="1" x14ac:dyDescent="0.5">
      <c r="A29" s="23">
        <v>1</v>
      </c>
      <c r="B29" s="73" t="s">
        <v>72</v>
      </c>
      <c r="C29" s="25" t="s">
        <v>73</v>
      </c>
      <c r="D29" s="43">
        <v>4686.6000000000004</v>
      </c>
      <c r="E29" s="74"/>
      <c r="F29" s="80"/>
      <c r="G29" s="77"/>
      <c r="H29" s="76">
        <v>0</v>
      </c>
      <c r="I29" s="76">
        <v>0</v>
      </c>
      <c r="J29" s="76">
        <v>0</v>
      </c>
      <c r="K29" s="38" t="s">
        <v>1550</v>
      </c>
      <c r="L29" s="39" t="s">
        <v>1575</v>
      </c>
      <c r="M29" s="32">
        <v>4686.6000000000004</v>
      </c>
      <c r="N29" s="111"/>
      <c r="O29" s="111"/>
      <c r="P29" s="112"/>
      <c r="Q29" s="113">
        <v>0</v>
      </c>
      <c r="R29" s="114">
        <v>0</v>
      </c>
      <c r="S29" s="36">
        <v>0</v>
      </c>
    </row>
    <row r="30" spans="1:20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116"/>
      <c r="G30" s="97"/>
      <c r="H30" s="76">
        <v>0</v>
      </c>
      <c r="I30" s="76">
        <v>0</v>
      </c>
      <c r="J30" s="76">
        <v>0</v>
      </c>
      <c r="K30" s="101" t="s">
        <v>1562</v>
      </c>
      <c r="L30" s="102" t="s">
        <v>1576</v>
      </c>
      <c r="M30" s="103">
        <v>14445</v>
      </c>
      <c r="N30" s="117"/>
      <c r="O30" s="117"/>
      <c r="P30" s="118"/>
      <c r="Q30" s="113">
        <v>0</v>
      </c>
      <c r="R30" s="114">
        <v>0</v>
      </c>
      <c r="S30" s="36">
        <v>0</v>
      </c>
    </row>
    <row r="31" spans="1:20" s="60" customFormat="1" ht="22.5" customHeight="1" thickBot="1" x14ac:dyDescent="0.35">
      <c r="A31" s="48"/>
      <c r="B31" s="48" t="s">
        <v>15</v>
      </c>
      <c r="C31" s="49"/>
      <c r="D31" s="50">
        <f>SUM(D29:D30)</f>
        <v>19131.599999999999</v>
      </c>
      <c r="E31" s="50">
        <f t="shared" ref="E31:S31" si="5">SUM(E29:E30)</f>
        <v>0</v>
      </c>
      <c r="F31" s="50"/>
      <c r="G31" s="50">
        <f t="shared" si="5"/>
        <v>0</v>
      </c>
      <c r="H31" s="50">
        <f t="shared" si="5"/>
        <v>0</v>
      </c>
      <c r="I31" s="50">
        <f t="shared" si="5"/>
        <v>0</v>
      </c>
      <c r="J31" s="50">
        <f t="shared" si="5"/>
        <v>0</v>
      </c>
      <c r="K31" s="50"/>
      <c r="L31" s="50">
        <f t="shared" si="5"/>
        <v>0</v>
      </c>
      <c r="M31" s="998">
        <f t="shared" si="5"/>
        <v>19131.599999999999</v>
      </c>
      <c r="N31" s="50">
        <f t="shared" si="5"/>
        <v>0</v>
      </c>
      <c r="O31" s="50"/>
      <c r="P31" s="50">
        <f t="shared" si="5"/>
        <v>0</v>
      </c>
      <c r="Q31" s="50">
        <f t="shared" si="5"/>
        <v>0</v>
      </c>
      <c r="R31" s="50">
        <f t="shared" si="5"/>
        <v>0</v>
      </c>
      <c r="S31" s="50">
        <f t="shared" si="5"/>
        <v>0</v>
      </c>
    </row>
    <row r="32" spans="1:20" ht="22.5" customHeight="1" thickTop="1" x14ac:dyDescent="0.3">
      <c r="A32" s="61"/>
      <c r="B32" s="121" t="s">
        <v>78</v>
      </c>
      <c r="C32" s="63"/>
      <c r="D32" s="64"/>
      <c r="E32" s="65"/>
      <c r="F32" s="65"/>
      <c r="G32" s="66"/>
      <c r="H32" s="67"/>
      <c r="I32" s="67"/>
      <c r="J32" s="67"/>
      <c r="K32" s="68"/>
      <c r="L32" s="68"/>
      <c r="M32" s="64"/>
      <c r="N32" s="69"/>
      <c r="O32" s="69"/>
      <c r="P32" s="70"/>
      <c r="Q32" s="71"/>
      <c r="R32" s="71"/>
      <c r="S32" s="72"/>
    </row>
    <row r="33" spans="1:43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5"/>
      <c r="G33" s="126"/>
      <c r="H33" s="76">
        <v>0</v>
      </c>
      <c r="I33" s="127">
        <v>0</v>
      </c>
      <c r="J33" s="76">
        <v>0</v>
      </c>
      <c r="K33" s="38" t="s">
        <v>1569</v>
      </c>
      <c r="L33" s="39" t="s">
        <v>1577</v>
      </c>
      <c r="M33" s="40">
        <v>5350</v>
      </c>
      <c r="N33" s="128"/>
      <c r="O33" s="128"/>
      <c r="P33" s="129"/>
      <c r="Q33" s="113">
        <f>SUM(S33-R33)</f>
        <v>0</v>
      </c>
      <c r="R33" s="114">
        <f>SUM(S33*7/107)</f>
        <v>0</v>
      </c>
      <c r="S33" s="36">
        <f>SUM(D33+J33-M33)</f>
        <v>0</v>
      </c>
      <c r="T33" s="130"/>
      <c r="U33" s="130"/>
      <c r="V33" s="131"/>
      <c r="W33" s="132"/>
      <c r="X33" s="131"/>
      <c r="Y33" s="132"/>
      <c r="Z33" s="132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</row>
    <row r="34" spans="1:43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5"/>
      <c r="G34" s="136"/>
      <c r="H34" s="127">
        <v>0</v>
      </c>
      <c r="I34" s="127">
        <v>0</v>
      </c>
      <c r="J34" s="98">
        <v>0</v>
      </c>
      <c r="K34" s="38" t="s">
        <v>1550</v>
      </c>
      <c r="L34" s="39" t="s">
        <v>1578</v>
      </c>
      <c r="M34" s="40">
        <v>5350</v>
      </c>
      <c r="N34" s="137"/>
      <c r="O34" s="137"/>
      <c r="P34" s="137"/>
      <c r="Q34" s="113">
        <f>SUM(S34-R34)</f>
        <v>0</v>
      </c>
      <c r="R34" s="114">
        <f>SUM(S34*7/107)</f>
        <v>0</v>
      </c>
      <c r="S34" s="36">
        <f>SUM(D34+J34-M34)</f>
        <v>0</v>
      </c>
      <c r="T34" s="130"/>
      <c r="U34" s="130"/>
      <c r="V34" s="131"/>
      <c r="W34" s="132"/>
      <c r="X34" s="131"/>
      <c r="Y34" s="132"/>
      <c r="Z34" s="132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</row>
    <row r="35" spans="1:43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105"/>
      <c r="G35" s="56"/>
      <c r="H35" s="109">
        <f>SUM(H33:H34)</f>
        <v>0</v>
      </c>
      <c r="I35" s="109">
        <f>SUM(I33:I34)</f>
        <v>0</v>
      </c>
      <c r="J35" s="109">
        <f>SUM(J33:J34)</f>
        <v>0</v>
      </c>
      <c r="K35" s="109"/>
      <c r="L35" s="109"/>
      <c r="M35" s="1000">
        <f>SUM(M33:M34)</f>
        <v>10700</v>
      </c>
      <c r="N35" s="119"/>
      <c r="O35" s="119"/>
      <c r="P35" s="108"/>
      <c r="Q35" s="109">
        <f>SUM(Q33:Q34)</f>
        <v>0</v>
      </c>
      <c r="R35" s="109">
        <f>SUM(R33:R34)</f>
        <v>0</v>
      </c>
      <c r="S35" s="138">
        <f>SUM(S33:S34)</f>
        <v>0</v>
      </c>
    </row>
    <row r="36" spans="1:43" ht="22.5" customHeight="1" thickTop="1" x14ac:dyDescent="0.3">
      <c r="A36" s="139"/>
      <c r="B36" s="140" t="s">
        <v>81</v>
      </c>
      <c r="C36" s="141"/>
      <c r="D36" s="91"/>
      <c r="E36" s="142"/>
      <c r="F36" s="142"/>
      <c r="G36" s="92"/>
      <c r="H36" s="143"/>
      <c r="I36" s="143"/>
      <c r="J36" s="143"/>
      <c r="K36" s="68"/>
      <c r="L36" s="68"/>
      <c r="M36" s="64"/>
      <c r="N36" s="144"/>
      <c r="O36" s="144"/>
      <c r="P36" s="145"/>
      <c r="Q36" s="146"/>
      <c r="R36" s="146"/>
      <c r="S36" s="147"/>
    </row>
    <row r="37" spans="1:43" ht="22.5" customHeight="1" x14ac:dyDescent="0.5">
      <c r="A37" s="148">
        <v>1</v>
      </c>
      <c r="B37" s="149" t="s">
        <v>82</v>
      </c>
      <c r="C37" s="90" t="s">
        <v>1579</v>
      </c>
      <c r="D37" s="150">
        <v>6955</v>
      </c>
      <c r="E37" s="151"/>
      <c r="F37" s="151"/>
      <c r="G37" s="152"/>
      <c r="H37" s="153">
        <v>0</v>
      </c>
      <c r="I37" s="153">
        <v>0</v>
      </c>
      <c r="J37" s="153">
        <v>0</v>
      </c>
      <c r="K37" s="30" t="s">
        <v>1580</v>
      </c>
      <c r="L37" s="31" t="s">
        <v>1581</v>
      </c>
      <c r="M37" s="32">
        <v>6955</v>
      </c>
      <c r="N37" s="154"/>
      <c r="O37" s="154"/>
      <c r="P37" s="155"/>
      <c r="Q37" s="156">
        <v>0</v>
      </c>
      <c r="R37" s="156">
        <v>0</v>
      </c>
      <c r="S37" s="157">
        <v>0</v>
      </c>
    </row>
    <row r="38" spans="1:43" ht="22.5" customHeight="1" x14ac:dyDescent="0.5">
      <c r="A38" s="970">
        <v>2</v>
      </c>
      <c r="B38" s="971" t="s">
        <v>1582</v>
      </c>
      <c r="C38" s="972" t="s">
        <v>1579</v>
      </c>
      <c r="D38" s="973">
        <v>10700</v>
      </c>
      <c r="E38" s="974" t="s">
        <v>1427</v>
      </c>
      <c r="F38" s="974" t="s">
        <v>33</v>
      </c>
      <c r="G38" s="975" t="s">
        <v>33</v>
      </c>
      <c r="H38" s="976">
        <v>10000</v>
      </c>
      <c r="I38" s="976">
        <v>700.00000000000011</v>
      </c>
      <c r="J38" s="976">
        <v>10700</v>
      </c>
      <c r="K38" s="980" t="s">
        <v>1550</v>
      </c>
      <c r="L38" s="981" t="s">
        <v>1583</v>
      </c>
      <c r="M38" s="977">
        <v>10700</v>
      </c>
      <c r="N38" s="978" t="s">
        <v>1585</v>
      </c>
      <c r="O38" s="978">
        <v>1</v>
      </c>
      <c r="P38" s="979" t="s">
        <v>33</v>
      </c>
      <c r="Q38" s="156">
        <f>SUM(S38-R38)</f>
        <v>10000</v>
      </c>
      <c r="R38" s="156">
        <f>SUM(S38*7/107)</f>
        <v>700</v>
      </c>
      <c r="S38" s="157">
        <f>SUM(D38+J38-M38)</f>
        <v>10700</v>
      </c>
    </row>
    <row r="39" spans="1:43" ht="22.5" customHeight="1" x14ac:dyDescent="0.5">
      <c r="A39" s="959"/>
      <c r="B39" s="960" t="s">
        <v>1584</v>
      </c>
      <c r="C39" s="85"/>
      <c r="D39" s="961"/>
      <c r="E39" s="962"/>
      <c r="F39" s="962"/>
      <c r="G39" s="963"/>
      <c r="H39" s="964"/>
      <c r="I39" s="964"/>
      <c r="J39" s="964"/>
      <c r="K39" s="672"/>
      <c r="L39" s="673"/>
      <c r="M39" s="965"/>
      <c r="N39" s="966"/>
      <c r="O39" s="966"/>
      <c r="P39" s="967"/>
      <c r="Q39" s="968"/>
      <c r="R39" s="968"/>
      <c r="S39" s="969"/>
    </row>
    <row r="40" spans="1:43" s="60" customFormat="1" ht="22.5" customHeight="1" thickBot="1" x14ac:dyDescent="0.35">
      <c r="A40" s="158"/>
      <c r="B40" s="158" t="s">
        <v>15</v>
      </c>
      <c r="C40" s="159"/>
      <c r="D40" s="160">
        <v>6955</v>
      </c>
      <c r="E40" s="161"/>
      <c r="F40" s="161"/>
      <c r="G40" s="161"/>
      <c r="H40" s="162">
        <f>SUM(H37)</f>
        <v>0</v>
      </c>
      <c r="I40" s="162">
        <f>SUM(I37)</f>
        <v>0</v>
      </c>
      <c r="J40" s="162">
        <f>SUM(J37)</f>
        <v>0</v>
      </c>
      <c r="K40" s="161"/>
      <c r="L40" s="161"/>
      <c r="M40" s="1001">
        <f>SUM(M37:M38)</f>
        <v>17655</v>
      </c>
      <c r="N40" s="158"/>
      <c r="O40" s="158"/>
      <c r="P40" s="161"/>
      <c r="Q40" s="162">
        <f>SUM(Q37:Q39)</f>
        <v>10000</v>
      </c>
      <c r="R40" s="162">
        <f t="shared" ref="R40:S40" si="6">SUM(R37:R39)</f>
        <v>700</v>
      </c>
      <c r="S40" s="162">
        <f t="shared" si="6"/>
        <v>10700</v>
      </c>
    </row>
    <row r="41" spans="1:43" ht="22.5" customHeight="1" thickTop="1" x14ac:dyDescent="0.3">
      <c r="A41" s="115"/>
      <c r="B41" s="164" t="s">
        <v>85</v>
      </c>
      <c r="C41" s="165"/>
      <c r="D41" s="166"/>
      <c r="E41" s="167"/>
      <c r="F41" s="167"/>
      <c r="G41" s="168"/>
      <c r="H41" s="169"/>
      <c r="I41" s="169"/>
      <c r="J41" s="169"/>
      <c r="K41" s="170"/>
      <c r="L41" s="170"/>
      <c r="M41" s="171"/>
      <c r="N41" s="117"/>
      <c r="O41" s="117"/>
      <c r="P41" s="118"/>
      <c r="Q41" s="172"/>
      <c r="R41" s="172"/>
      <c r="S41" s="173"/>
    </row>
    <row r="42" spans="1:43" ht="22.5" customHeight="1" x14ac:dyDescent="0.3">
      <c r="A42" s="174">
        <v>1</v>
      </c>
      <c r="B42" s="175" t="s">
        <v>86</v>
      </c>
      <c r="C42" s="176" t="s">
        <v>87</v>
      </c>
      <c r="D42" s="177">
        <v>866.7</v>
      </c>
      <c r="E42" s="178"/>
      <c r="F42" s="178"/>
      <c r="G42" s="179"/>
      <c r="H42" s="180">
        <v>0</v>
      </c>
      <c r="I42" s="180">
        <v>0</v>
      </c>
      <c r="J42" s="181">
        <v>0</v>
      </c>
      <c r="K42" s="182" t="s">
        <v>1552</v>
      </c>
      <c r="L42" s="183" t="s">
        <v>1586</v>
      </c>
      <c r="M42" s="184">
        <v>866.7</v>
      </c>
      <c r="N42" s="185"/>
      <c r="O42" s="185"/>
      <c r="P42" s="186"/>
      <c r="Q42" s="187">
        <v>0</v>
      </c>
      <c r="R42" s="187">
        <v>0</v>
      </c>
      <c r="S42" s="188">
        <v>0</v>
      </c>
      <c r="T42" s="3" t="s">
        <v>751</v>
      </c>
    </row>
    <row r="43" spans="1:43" ht="22.5" customHeight="1" x14ac:dyDescent="0.5">
      <c r="A43" s="174">
        <v>2</v>
      </c>
      <c r="B43" s="189" t="s">
        <v>89</v>
      </c>
      <c r="C43" s="190" t="s">
        <v>90</v>
      </c>
      <c r="D43" s="191">
        <v>3210</v>
      </c>
      <c r="E43" s="178"/>
      <c r="F43" s="178"/>
      <c r="G43" s="192"/>
      <c r="H43" s="180">
        <v>0</v>
      </c>
      <c r="I43" s="180">
        <v>0</v>
      </c>
      <c r="J43" s="181">
        <v>0</v>
      </c>
      <c r="K43" s="38" t="s">
        <v>1569</v>
      </c>
      <c r="L43" s="39" t="s">
        <v>1587</v>
      </c>
      <c r="M43" s="40">
        <v>3210</v>
      </c>
      <c r="N43" s="111"/>
      <c r="O43" s="891"/>
      <c r="P43" s="193"/>
      <c r="Q43" s="187">
        <v>0</v>
      </c>
      <c r="R43" s="187">
        <v>0</v>
      </c>
      <c r="S43" s="188">
        <v>0</v>
      </c>
    </row>
    <row r="44" spans="1:43" s="60" customFormat="1" ht="22.5" customHeight="1" thickBot="1" x14ac:dyDescent="0.35">
      <c r="A44" s="194"/>
      <c r="B44" s="194" t="s">
        <v>15</v>
      </c>
      <c r="C44" s="195"/>
      <c r="D44" s="53">
        <f>SUM(D42:D43)</f>
        <v>4076.7</v>
      </c>
      <c r="E44" s="196"/>
      <c r="F44" s="196"/>
      <c r="G44" s="197"/>
      <c r="H44" s="109">
        <f>SUM(H42:H43)</f>
        <v>0</v>
      </c>
      <c r="I44" s="109">
        <f>SUM(I42:I43)</f>
        <v>0</v>
      </c>
      <c r="J44" s="109">
        <f>SUM(J42:J43)</f>
        <v>0</v>
      </c>
      <c r="K44" s="198"/>
      <c r="L44" s="199"/>
      <c r="M44" s="1002">
        <f>SUM(M42:M43)</f>
        <v>4076.7</v>
      </c>
      <c r="N44" s="201"/>
      <c r="O44" s="201"/>
      <c r="P44" s="202"/>
      <c r="Q44" s="162">
        <f>SUM(Q42:Q43)</f>
        <v>0</v>
      </c>
      <c r="R44" s="162">
        <f>SUM(R42:R43)</f>
        <v>0</v>
      </c>
      <c r="S44" s="162">
        <f>SUM(S42:S43)</f>
        <v>0</v>
      </c>
      <c r="T44" s="59"/>
    </row>
    <row r="45" spans="1:43" ht="22.5" customHeight="1" thickTop="1" x14ac:dyDescent="0.3">
      <c r="A45" s="61"/>
      <c r="B45" s="62" t="s">
        <v>92</v>
      </c>
      <c r="C45" s="63"/>
      <c r="D45" s="64"/>
      <c r="E45" s="203"/>
      <c r="F45" s="203"/>
      <c r="G45" s="204"/>
      <c r="H45" s="205"/>
      <c r="I45" s="205"/>
      <c r="J45" s="205"/>
      <c r="K45" s="68"/>
      <c r="L45" s="68"/>
      <c r="M45" s="64"/>
      <c r="N45" s="61"/>
      <c r="O45" s="61"/>
      <c r="P45" s="204"/>
      <c r="Q45" s="206"/>
      <c r="R45" s="206"/>
      <c r="S45" s="207"/>
      <c r="T45" s="2"/>
    </row>
    <row r="46" spans="1:43" ht="22.5" customHeight="1" x14ac:dyDescent="0.5">
      <c r="A46" s="208">
        <v>1</v>
      </c>
      <c r="B46" s="209" t="s">
        <v>1588</v>
      </c>
      <c r="C46" s="210" t="s">
        <v>1589</v>
      </c>
      <c r="D46" s="211">
        <v>11277.8</v>
      </c>
      <c r="E46" s="212"/>
      <c r="F46" s="212"/>
      <c r="G46" s="213"/>
      <c r="H46" s="214">
        <v>0</v>
      </c>
      <c r="I46" s="214">
        <v>0</v>
      </c>
      <c r="J46" s="214">
        <v>0</v>
      </c>
      <c r="K46" s="30" t="s">
        <v>1552</v>
      </c>
      <c r="L46" s="31" t="s">
        <v>1590</v>
      </c>
      <c r="M46" s="32">
        <v>11277.8</v>
      </c>
      <c r="N46" s="215"/>
      <c r="O46" s="215"/>
      <c r="P46" s="216"/>
      <c r="Q46" s="113">
        <f>SUM(S46-R46)</f>
        <v>0</v>
      </c>
      <c r="R46" s="113">
        <f>SUM(S46*7/107)</f>
        <v>0</v>
      </c>
      <c r="S46" s="217">
        <f>SUM(D46+J46-M46)</f>
        <v>0</v>
      </c>
      <c r="T46" s="218"/>
    </row>
    <row r="47" spans="1:43" ht="22.5" customHeight="1" x14ac:dyDescent="0.5">
      <c r="A47" s="208"/>
      <c r="B47" s="209" t="s">
        <v>1588</v>
      </c>
      <c r="C47" s="210" t="s">
        <v>1591</v>
      </c>
      <c r="D47" s="211">
        <v>7211.8</v>
      </c>
      <c r="E47" s="212"/>
      <c r="F47" s="212"/>
      <c r="G47" s="213"/>
      <c r="H47" s="214">
        <v>0</v>
      </c>
      <c r="I47" s="214">
        <v>0</v>
      </c>
      <c r="J47" s="214">
        <v>0</v>
      </c>
      <c r="K47" s="30" t="s">
        <v>1552</v>
      </c>
      <c r="L47" s="31" t="s">
        <v>1590</v>
      </c>
      <c r="M47" s="32">
        <v>7211.8</v>
      </c>
      <c r="N47" s="215"/>
      <c r="O47" s="215"/>
      <c r="P47" s="216"/>
      <c r="Q47" s="113">
        <f t="shared" ref="Q47:Q111" si="7">SUM(S47-R47)</f>
        <v>0</v>
      </c>
      <c r="R47" s="113">
        <f t="shared" ref="R47:R111" si="8">SUM(S47*7/107)</f>
        <v>0</v>
      </c>
      <c r="S47" s="217">
        <f t="shared" ref="S47:S111" si="9">SUM(D47+J47-M47)</f>
        <v>0</v>
      </c>
      <c r="T47" s="218"/>
    </row>
    <row r="48" spans="1:43" ht="22.5" customHeight="1" x14ac:dyDescent="0.5">
      <c r="A48" s="208">
        <v>2</v>
      </c>
      <c r="B48" s="73" t="s">
        <v>1592</v>
      </c>
      <c r="C48" s="25" t="s">
        <v>1593</v>
      </c>
      <c r="D48" s="211">
        <v>11887.7</v>
      </c>
      <c r="E48" s="212" t="s">
        <v>1427</v>
      </c>
      <c r="F48" s="212" t="s">
        <v>33</v>
      </c>
      <c r="G48" s="213" t="s">
        <v>33</v>
      </c>
      <c r="H48" s="219">
        <v>12990</v>
      </c>
      <c r="I48" s="214">
        <v>909.30000000000007</v>
      </c>
      <c r="J48" s="219">
        <v>13899.3</v>
      </c>
      <c r="K48" s="30" t="s">
        <v>1559</v>
      </c>
      <c r="L48" s="220" t="s">
        <v>1594</v>
      </c>
      <c r="M48" s="221">
        <v>13899.3</v>
      </c>
      <c r="N48" s="215" t="s">
        <v>1561</v>
      </c>
      <c r="O48" s="215" t="s">
        <v>33</v>
      </c>
      <c r="P48" s="216"/>
      <c r="Q48" s="113">
        <f t="shared" si="7"/>
        <v>11110</v>
      </c>
      <c r="R48" s="113">
        <f t="shared" si="8"/>
        <v>777.7</v>
      </c>
      <c r="S48" s="217">
        <f t="shared" si="9"/>
        <v>11887.7</v>
      </c>
      <c r="T48" s="2"/>
    </row>
    <row r="49" spans="1:20" ht="22.5" customHeight="1" x14ac:dyDescent="0.5">
      <c r="A49" s="208">
        <v>3</v>
      </c>
      <c r="B49" s="73" t="s">
        <v>99</v>
      </c>
      <c r="C49" s="25" t="s">
        <v>567</v>
      </c>
      <c r="D49" s="211">
        <v>4247.8999999999996</v>
      </c>
      <c r="E49" s="212" t="s">
        <v>1427</v>
      </c>
      <c r="F49" s="212" t="s">
        <v>33</v>
      </c>
      <c r="G49" s="213" t="s">
        <v>33</v>
      </c>
      <c r="H49" s="219">
        <v>4770</v>
      </c>
      <c r="I49" s="214">
        <v>333.90000000000003</v>
      </c>
      <c r="J49" s="219">
        <v>5103.8999999999996</v>
      </c>
      <c r="K49" s="30" t="s">
        <v>1554</v>
      </c>
      <c r="L49" s="31" t="s">
        <v>1595</v>
      </c>
      <c r="M49" s="32">
        <v>5103.8999999999996</v>
      </c>
      <c r="N49" s="215" t="s">
        <v>1561</v>
      </c>
      <c r="O49" s="215" t="s">
        <v>33</v>
      </c>
      <c r="P49" s="216"/>
      <c r="Q49" s="113">
        <f t="shared" si="7"/>
        <v>3969.9999999999995</v>
      </c>
      <c r="R49" s="113">
        <f t="shared" si="8"/>
        <v>277.89999999999998</v>
      </c>
      <c r="S49" s="217">
        <f t="shared" si="9"/>
        <v>4247.8999999999996</v>
      </c>
      <c r="T49" s="2"/>
    </row>
    <row r="50" spans="1:20" ht="22.5" customHeight="1" x14ac:dyDescent="0.5">
      <c r="A50" s="208"/>
      <c r="B50" s="24" t="s">
        <v>99</v>
      </c>
      <c r="C50" s="222" t="s">
        <v>1596</v>
      </c>
      <c r="D50" s="211">
        <v>203.3</v>
      </c>
      <c r="E50" s="212" t="s">
        <v>1427</v>
      </c>
      <c r="F50" s="212" t="s">
        <v>33</v>
      </c>
      <c r="G50" s="213" t="s">
        <v>33</v>
      </c>
      <c r="H50" s="219">
        <v>230</v>
      </c>
      <c r="I50" s="214">
        <v>16.100000000000001</v>
      </c>
      <c r="J50" s="219">
        <v>246.1</v>
      </c>
      <c r="K50" s="30" t="s">
        <v>1554</v>
      </c>
      <c r="L50" s="31" t="s">
        <v>1595</v>
      </c>
      <c r="M50" s="32">
        <v>246.1</v>
      </c>
      <c r="N50" s="215" t="s">
        <v>1561</v>
      </c>
      <c r="O50" s="215" t="s">
        <v>33</v>
      </c>
      <c r="P50" s="216"/>
      <c r="Q50" s="113">
        <f t="shared" si="7"/>
        <v>189.99999999999997</v>
      </c>
      <c r="R50" s="113">
        <f t="shared" si="8"/>
        <v>13.299999999999999</v>
      </c>
      <c r="S50" s="217">
        <f t="shared" si="9"/>
        <v>203.29999999999998</v>
      </c>
      <c r="T50" s="2"/>
    </row>
    <row r="51" spans="1:20" ht="22.5" customHeight="1" x14ac:dyDescent="0.5">
      <c r="A51" s="208">
        <v>4</v>
      </c>
      <c r="B51" s="73" t="s">
        <v>1597</v>
      </c>
      <c r="C51" s="25" t="s">
        <v>1598</v>
      </c>
      <c r="D51" s="211">
        <v>6922.9</v>
      </c>
      <c r="E51" s="212" t="s">
        <v>1427</v>
      </c>
      <c r="F51" s="212" t="s">
        <v>33</v>
      </c>
      <c r="G51" s="213" t="s">
        <v>33</v>
      </c>
      <c r="H51" s="219">
        <v>6080.0000000000009</v>
      </c>
      <c r="I51" s="214">
        <v>425.60000000000008</v>
      </c>
      <c r="J51" s="219">
        <v>6505.6000000000013</v>
      </c>
      <c r="K51" s="30" t="s">
        <v>1554</v>
      </c>
      <c r="L51" s="31" t="s">
        <v>1599</v>
      </c>
      <c r="M51" s="32">
        <v>6505.6</v>
      </c>
      <c r="N51" s="215" t="s">
        <v>1561</v>
      </c>
      <c r="O51" s="215" t="s">
        <v>33</v>
      </c>
      <c r="P51" s="216"/>
      <c r="Q51" s="113">
        <f t="shared" si="7"/>
        <v>6470</v>
      </c>
      <c r="R51" s="113">
        <f t="shared" si="8"/>
        <v>452.9</v>
      </c>
      <c r="S51" s="217">
        <f t="shared" si="9"/>
        <v>6922.9</v>
      </c>
      <c r="T51" s="2"/>
    </row>
    <row r="52" spans="1:20" ht="22.5" customHeight="1" x14ac:dyDescent="0.5">
      <c r="A52" s="208"/>
      <c r="B52" s="73" t="s">
        <v>1597</v>
      </c>
      <c r="C52" s="25" t="s">
        <v>1600</v>
      </c>
      <c r="D52" s="211">
        <v>13717.4</v>
      </c>
      <c r="E52" s="212" t="s">
        <v>1427</v>
      </c>
      <c r="F52" s="212" t="s">
        <v>33</v>
      </c>
      <c r="G52" s="213" t="s">
        <v>33</v>
      </c>
      <c r="H52" s="219">
        <v>16880</v>
      </c>
      <c r="I52" s="214">
        <v>1181.6000000000001</v>
      </c>
      <c r="J52" s="219">
        <v>18061.599999999999</v>
      </c>
      <c r="K52" s="30" t="s">
        <v>1554</v>
      </c>
      <c r="L52" s="31" t="s">
        <v>1599</v>
      </c>
      <c r="M52" s="32">
        <v>18061.599999999999</v>
      </c>
      <c r="N52" s="215" t="s">
        <v>1561</v>
      </c>
      <c r="O52" s="215" t="s">
        <v>33</v>
      </c>
      <c r="P52" s="216"/>
      <c r="Q52" s="113">
        <f t="shared" si="7"/>
        <v>12820.000000000002</v>
      </c>
      <c r="R52" s="113">
        <f t="shared" si="8"/>
        <v>897.4000000000002</v>
      </c>
      <c r="S52" s="217">
        <f t="shared" si="9"/>
        <v>13717.400000000001</v>
      </c>
      <c r="T52" s="2"/>
    </row>
    <row r="53" spans="1:20" ht="22.5" customHeight="1" x14ac:dyDescent="0.5">
      <c r="A53" s="208">
        <v>5</v>
      </c>
      <c r="B53" s="73" t="s">
        <v>105</v>
      </c>
      <c r="C53" s="25" t="s">
        <v>567</v>
      </c>
      <c r="D53" s="211">
        <v>13770.9</v>
      </c>
      <c r="E53" s="212" t="s">
        <v>1427</v>
      </c>
      <c r="F53" s="212" t="s">
        <v>33</v>
      </c>
      <c r="G53" s="213" t="s">
        <v>33</v>
      </c>
      <c r="H53" s="219">
        <v>10610.000000000007</v>
      </c>
      <c r="I53" s="214">
        <v>742.70000000000061</v>
      </c>
      <c r="J53" s="219">
        <v>11352.700000000008</v>
      </c>
      <c r="K53" s="30" t="s">
        <v>1562</v>
      </c>
      <c r="L53" s="31" t="s">
        <v>1601</v>
      </c>
      <c r="M53" s="32">
        <v>11352.7</v>
      </c>
      <c r="N53" s="215" t="s">
        <v>1561</v>
      </c>
      <c r="O53" s="215" t="s">
        <v>33</v>
      </c>
      <c r="P53" s="216"/>
      <c r="Q53" s="113">
        <f t="shared" si="7"/>
        <v>12870.000000000005</v>
      </c>
      <c r="R53" s="113">
        <f t="shared" si="8"/>
        <v>900.90000000000032</v>
      </c>
      <c r="S53" s="217">
        <f t="shared" si="9"/>
        <v>13770.900000000005</v>
      </c>
      <c r="T53" s="2"/>
    </row>
    <row r="54" spans="1:20" ht="22.5" customHeight="1" x14ac:dyDescent="0.5">
      <c r="A54" s="208">
        <v>6</v>
      </c>
      <c r="B54" s="73" t="s">
        <v>1602</v>
      </c>
      <c r="C54" s="25" t="s">
        <v>1603</v>
      </c>
      <c r="D54" s="211">
        <v>535</v>
      </c>
      <c r="E54" s="212"/>
      <c r="F54" s="212"/>
      <c r="G54" s="213"/>
      <c r="H54" s="219">
        <v>0</v>
      </c>
      <c r="I54" s="214">
        <v>0</v>
      </c>
      <c r="J54" s="219">
        <v>0</v>
      </c>
      <c r="K54" s="30" t="s">
        <v>1554</v>
      </c>
      <c r="L54" s="31" t="s">
        <v>1604</v>
      </c>
      <c r="M54" s="32">
        <v>535</v>
      </c>
      <c r="N54" s="215"/>
      <c r="O54" s="215"/>
      <c r="P54" s="216"/>
      <c r="Q54" s="113">
        <f t="shared" si="7"/>
        <v>0</v>
      </c>
      <c r="R54" s="113">
        <f t="shared" si="8"/>
        <v>0</v>
      </c>
      <c r="S54" s="217">
        <f t="shared" si="9"/>
        <v>0</v>
      </c>
      <c r="T54" s="2" t="s">
        <v>832</v>
      </c>
    </row>
    <row r="55" spans="1:20" ht="22.5" customHeight="1" x14ac:dyDescent="0.5">
      <c r="A55" s="208">
        <v>7</v>
      </c>
      <c r="B55" s="209" t="s">
        <v>1605</v>
      </c>
      <c r="C55" s="210" t="s">
        <v>1606</v>
      </c>
      <c r="D55" s="211">
        <v>36273</v>
      </c>
      <c r="E55" s="212" t="s">
        <v>1427</v>
      </c>
      <c r="F55" s="212" t="s">
        <v>33</v>
      </c>
      <c r="G55" s="213" t="s">
        <v>33</v>
      </c>
      <c r="H55" s="214">
        <v>42100</v>
      </c>
      <c r="I55" s="214">
        <v>2947.0000000000005</v>
      </c>
      <c r="J55" s="214">
        <v>45047</v>
      </c>
      <c r="K55" s="30" t="s">
        <v>1556</v>
      </c>
      <c r="L55" s="31" t="s">
        <v>1607</v>
      </c>
      <c r="M55" s="32">
        <v>45047</v>
      </c>
      <c r="N55" s="215" t="s">
        <v>1561</v>
      </c>
      <c r="O55" s="215" t="s">
        <v>33</v>
      </c>
      <c r="P55" s="216"/>
      <c r="Q55" s="113">
        <f t="shared" si="7"/>
        <v>33900</v>
      </c>
      <c r="R55" s="113">
        <f t="shared" si="8"/>
        <v>2373</v>
      </c>
      <c r="S55" s="217">
        <f t="shared" si="9"/>
        <v>36273</v>
      </c>
      <c r="T55" s="218"/>
    </row>
    <row r="56" spans="1:20" ht="22.5" customHeight="1" x14ac:dyDescent="0.5">
      <c r="A56" s="208">
        <v>8</v>
      </c>
      <c r="B56" s="73" t="s">
        <v>1608</v>
      </c>
      <c r="C56" s="25" t="s">
        <v>567</v>
      </c>
      <c r="D56" s="211">
        <v>9597.9</v>
      </c>
      <c r="E56" s="212"/>
      <c r="F56" s="212"/>
      <c r="G56" s="213"/>
      <c r="H56" s="219">
        <v>0</v>
      </c>
      <c r="I56" s="214">
        <v>0</v>
      </c>
      <c r="J56" s="219">
        <v>0</v>
      </c>
      <c r="K56" s="30" t="s">
        <v>1552</v>
      </c>
      <c r="L56" s="31" t="s">
        <v>1609</v>
      </c>
      <c r="M56" s="32">
        <v>9597.9</v>
      </c>
      <c r="N56" s="215"/>
      <c r="O56" s="215"/>
      <c r="P56" s="216"/>
      <c r="Q56" s="113">
        <f t="shared" si="7"/>
        <v>0</v>
      </c>
      <c r="R56" s="113">
        <f t="shared" si="8"/>
        <v>0</v>
      </c>
      <c r="S56" s="217">
        <f t="shared" si="9"/>
        <v>0</v>
      </c>
      <c r="T56" s="2"/>
    </row>
    <row r="57" spans="1:20" ht="22.5" customHeight="1" x14ac:dyDescent="0.5">
      <c r="A57" s="208">
        <v>9</v>
      </c>
      <c r="B57" s="73" t="s">
        <v>353</v>
      </c>
      <c r="C57" s="25" t="s">
        <v>1610</v>
      </c>
      <c r="D57" s="211">
        <v>2204.1999999999998</v>
      </c>
      <c r="E57" s="212" t="s">
        <v>1454</v>
      </c>
      <c r="F57" s="212" t="s">
        <v>115</v>
      </c>
      <c r="G57" s="213" t="s">
        <v>115</v>
      </c>
      <c r="H57" s="219">
        <v>3960.0000000000009</v>
      </c>
      <c r="I57" s="214">
        <v>277.2000000000001</v>
      </c>
      <c r="J57" s="219">
        <v>4237.2000000000007</v>
      </c>
      <c r="K57" s="30" t="s">
        <v>1611</v>
      </c>
      <c r="L57" s="31" t="s">
        <v>1612</v>
      </c>
      <c r="M57" s="32">
        <v>4237.2</v>
      </c>
      <c r="N57" s="215" t="s">
        <v>1561</v>
      </c>
      <c r="O57" s="215" t="s">
        <v>33</v>
      </c>
      <c r="P57" s="216"/>
      <c r="Q57" s="113">
        <f t="shared" si="7"/>
        <v>2060.0000000000009</v>
      </c>
      <c r="R57" s="113">
        <f t="shared" si="8"/>
        <v>144.20000000000005</v>
      </c>
      <c r="S57" s="217">
        <f t="shared" si="9"/>
        <v>2204.2000000000007</v>
      </c>
      <c r="T57" s="2"/>
    </row>
    <row r="58" spans="1:20" ht="22.5" customHeight="1" x14ac:dyDescent="0.5">
      <c r="A58" s="208"/>
      <c r="B58" s="73" t="s">
        <v>1613</v>
      </c>
      <c r="C58" s="25" t="s">
        <v>1288</v>
      </c>
      <c r="D58" s="211">
        <v>2985.3</v>
      </c>
      <c r="E58" s="212"/>
      <c r="F58" s="212"/>
      <c r="G58" s="213"/>
      <c r="H58" s="219">
        <v>8.4999504838591423E-13</v>
      </c>
      <c r="I58" s="214">
        <v>5.9499653387014003E-14</v>
      </c>
      <c r="J58" s="219">
        <v>9.0949470177292824E-13</v>
      </c>
      <c r="K58" s="30"/>
      <c r="L58" s="31"/>
      <c r="M58" s="32"/>
      <c r="N58" s="215" t="s">
        <v>1561</v>
      </c>
      <c r="O58" s="215" t="s">
        <v>33</v>
      </c>
      <c r="P58" s="216"/>
      <c r="Q58" s="113">
        <f t="shared" si="7"/>
        <v>2790.0000000000009</v>
      </c>
      <c r="R58" s="113">
        <f t="shared" si="8"/>
        <v>195.30000000000007</v>
      </c>
      <c r="S58" s="217">
        <f t="shared" si="9"/>
        <v>2985.3000000000011</v>
      </c>
      <c r="T58" s="2"/>
    </row>
    <row r="59" spans="1:20" ht="22.5" customHeight="1" x14ac:dyDescent="0.5">
      <c r="A59" s="208">
        <v>10</v>
      </c>
      <c r="B59" s="73" t="s">
        <v>1614</v>
      </c>
      <c r="C59" s="25" t="s">
        <v>567</v>
      </c>
      <c r="D59" s="211">
        <v>1091.4000000000001</v>
      </c>
      <c r="E59" s="212"/>
      <c r="F59" s="212"/>
      <c r="G59" s="213"/>
      <c r="H59" s="219">
        <v>0</v>
      </c>
      <c r="I59" s="214">
        <v>0</v>
      </c>
      <c r="J59" s="219">
        <v>0</v>
      </c>
      <c r="K59" s="30" t="s">
        <v>1552</v>
      </c>
      <c r="L59" s="31" t="s">
        <v>1615</v>
      </c>
      <c r="M59" s="32">
        <v>1091.4000000000001</v>
      </c>
      <c r="N59" s="215"/>
      <c r="O59" s="215"/>
      <c r="P59" s="216"/>
      <c r="Q59" s="113">
        <f t="shared" si="7"/>
        <v>0</v>
      </c>
      <c r="R59" s="113">
        <f t="shared" si="8"/>
        <v>0</v>
      </c>
      <c r="S59" s="217">
        <f t="shared" si="9"/>
        <v>0</v>
      </c>
      <c r="T59" s="2"/>
    </row>
    <row r="60" spans="1:20" ht="22.5" customHeight="1" x14ac:dyDescent="0.5">
      <c r="A60" s="208"/>
      <c r="B60" s="73" t="s">
        <v>1614</v>
      </c>
      <c r="C60" s="25" t="s">
        <v>1596</v>
      </c>
      <c r="D60" s="211"/>
      <c r="E60" s="212"/>
      <c r="F60" s="212"/>
      <c r="G60" s="213"/>
      <c r="H60" s="219">
        <v>8.4999504838591423E-13</v>
      </c>
      <c r="I60" s="214">
        <v>5.9499653387014003E-14</v>
      </c>
      <c r="J60" s="219">
        <v>9.0949470177292824E-13</v>
      </c>
      <c r="K60" s="30"/>
      <c r="L60" s="31"/>
      <c r="M60" s="32"/>
      <c r="N60" s="215"/>
      <c r="O60" s="215"/>
      <c r="P60" s="216"/>
      <c r="Q60" s="113">
        <f t="shared" si="7"/>
        <v>8.4999504838591423E-13</v>
      </c>
      <c r="R60" s="113">
        <f t="shared" si="8"/>
        <v>5.9499653387013991E-14</v>
      </c>
      <c r="S60" s="217">
        <f t="shared" si="9"/>
        <v>9.0949470177292824E-13</v>
      </c>
      <c r="T60" s="2"/>
    </row>
    <row r="61" spans="1:20" ht="22.5" customHeight="1" x14ac:dyDescent="0.5">
      <c r="A61" s="208">
        <v>11</v>
      </c>
      <c r="B61" s="73" t="s">
        <v>1616</v>
      </c>
      <c r="C61" s="83" t="s">
        <v>1596</v>
      </c>
      <c r="D61" s="211">
        <v>3092.3</v>
      </c>
      <c r="E61" s="212" t="s">
        <v>1427</v>
      </c>
      <c r="F61" s="212" t="s">
        <v>33</v>
      </c>
      <c r="G61" s="213" t="s">
        <v>33</v>
      </c>
      <c r="H61" s="219">
        <v>2159.9999999999982</v>
      </c>
      <c r="I61" s="214">
        <v>151.19999999999987</v>
      </c>
      <c r="J61" s="219">
        <v>2311.199999999998</v>
      </c>
      <c r="K61" s="30" t="s">
        <v>1617</v>
      </c>
      <c r="L61" s="31" t="s">
        <v>1618</v>
      </c>
      <c r="M61" s="32">
        <v>5403.5</v>
      </c>
      <c r="N61" s="215"/>
      <c r="O61" s="215"/>
      <c r="P61" s="216"/>
      <c r="Q61" s="113">
        <f t="shared" si="7"/>
        <v>-1.6999900967718285E-12</v>
      </c>
      <c r="R61" s="113">
        <f t="shared" si="8"/>
        <v>-1.1899930677402798E-13</v>
      </c>
      <c r="S61" s="217">
        <f t="shared" si="9"/>
        <v>-1.8189894035458565E-12</v>
      </c>
      <c r="T61" s="223"/>
    </row>
    <row r="62" spans="1:20" ht="22.5" customHeight="1" x14ac:dyDescent="0.5">
      <c r="A62" s="208"/>
      <c r="B62" s="73" t="s">
        <v>1616</v>
      </c>
      <c r="C62" s="83" t="s">
        <v>567</v>
      </c>
      <c r="D62" s="211">
        <v>6623.3</v>
      </c>
      <c r="E62" s="212" t="s">
        <v>1427</v>
      </c>
      <c r="F62" s="212" t="s">
        <v>33</v>
      </c>
      <c r="G62" s="213" t="s">
        <v>33</v>
      </c>
      <c r="H62" s="219">
        <v>6210</v>
      </c>
      <c r="I62" s="214">
        <v>434.70000000000005</v>
      </c>
      <c r="J62" s="219">
        <v>6644.7</v>
      </c>
      <c r="K62" s="30" t="s">
        <v>1617</v>
      </c>
      <c r="L62" s="31" t="s">
        <v>1618</v>
      </c>
      <c r="M62" s="32">
        <v>13268</v>
      </c>
      <c r="N62" s="215"/>
      <c r="O62" s="215"/>
      <c r="P62" s="216"/>
      <c r="Q62" s="113">
        <f t="shared" si="7"/>
        <v>0</v>
      </c>
      <c r="R62" s="113">
        <f t="shared" si="8"/>
        <v>0</v>
      </c>
      <c r="S62" s="217">
        <f t="shared" si="9"/>
        <v>0</v>
      </c>
      <c r="T62" s="223"/>
    </row>
    <row r="63" spans="1:20" ht="22.5" customHeight="1" x14ac:dyDescent="0.5">
      <c r="A63" s="208">
        <v>12</v>
      </c>
      <c r="B63" s="73" t="s">
        <v>124</v>
      </c>
      <c r="C63" s="83" t="s">
        <v>567</v>
      </c>
      <c r="D63" s="211">
        <v>7393.7</v>
      </c>
      <c r="E63" s="212"/>
      <c r="F63" s="212"/>
      <c r="G63" s="213"/>
      <c r="H63" s="219">
        <v>0</v>
      </c>
      <c r="I63" s="214">
        <v>0</v>
      </c>
      <c r="J63" s="219">
        <v>0</v>
      </c>
      <c r="K63" s="30" t="s">
        <v>1566</v>
      </c>
      <c r="L63" s="31" t="s">
        <v>1619</v>
      </c>
      <c r="M63" s="32">
        <v>7393.7</v>
      </c>
      <c r="N63" s="215"/>
      <c r="O63" s="215"/>
      <c r="P63" s="216"/>
      <c r="Q63" s="113">
        <f t="shared" si="7"/>
        <v>0</v>
      </c>
      <c r="R63" s="113">
        <f t="shared" si="8"/>
        <v>0</v>
      </c>
      <c r="S63" s="217">
        <f t="shared" si="9"/>
        <v>0</v>
      </c>
      <c r="T63" s="2"/>
    </row>
    <row r="64" spans="1:20" ht="22.5" customHeight="1" x14ac:dyDescent="0.5">
      <c r="A64" s="208">
        <v>13</v>
      </c>
      <c r="B64" s="78" t="s">
        <v>1620</v>
      </c>
      <c r="C64" s="25" t="s">
        <v>1621</v>
      </c>
      <c r="D64" s="211"/>
      <c r="E64" s="212"/>
      <c r="F64" s="212"/>
      <c r="G64" s="213"/>
      <c r="H64" s="224">
        <v>0</v>
      </c>
      <c r="I64" s="214">
        <v>0</v>
      </c>
      <c r="J64" s="219">
        <v>0</v>
      </c>
      <c r="K64" s="38"/>
      <c r="L64" s="39"/>
      <c r="M64" s="40"/>
      <c r="N64" s="215"/>
      <c r="O64" s="215"/>
      <c r="P64" s="216"/>
      <c r="Q64" s="113">
        <f t="shared" si="7"/>
        <v>0</v>
      </c>
      <c r="R64" s="113">
        <f t="shared" si="8"/>
        <v>0</v>
      </c>
      <c r="S64" s="217">
        <f t="shared" si="9"/>
        <v>0</v>
      </c>
      <c r="T64" s="2"/>
    </row>
    <row r="65" spans="1:20" ht="22.5" customHeight="1" x14ac:dyDescent="0.5">
      <c r="A65" s="208">
        <v>14</v>
      </c>
      <c r="B65" s="78" t="s">
        <v>1622</v>
      </c>
      <c r="C65" s="210" t="s">
        <v>567</v>
      </c>
      <c r="D65" s="211">
        <v>6805.2</v>
      </c>
      <c r="E65" s="212" t="s">
        <v>1427</v>
      </c>
      <c r="F65" s="212" t="s">
        <v>33</v>
      </c>
      <c r="G65" s="213" t="s">
        <v>33</v>
      </c>
      <c r="H65" s="224">
        <v>5430</v>
      </c>
      <c r="I65" s="214">
        <v>380.1</v>
      </c>
      <c r="J65" s="219">
        <v>5810.1</v>
      </c>
      <c r="K65" s="30" t="s">
        <v>1556</v>
      </c>
      <c r="L65" s="31" t="s">
        <v>1623</v>
      </c>
      <c r="M65" s="32">
        <v>5810.1</v>
      </c>
      <c r="N65" s="215" t="s">
        <v>1561</v>
      </c>
      <c r="O65" s="215" t="s">
        <v>33</v>
      </c>
      <c r="P65" s="216"/>
      <c r="Q65" s="113">
        <f t="shared" si="7"/>
        <v>6359.9999999999991</v>
      </c>
      <c r="R65" s="113">
        <f t="shared" si="8"/>
        <v>445.19999999999993</v>
      </c>
      <c r="S65" s="217">
        <f t="shared" si="9"/>
        <v>6805.1999999999989</v>
      </c>
      <c r="T65" s="2"/>
    </row>
    <row r="66" spans="1:20" ht="22.5" customHeight="1" x14ac:dyDescent="0.5">
      <c r="A66" s="208"/>
      <c r="B66" s="78" t="s">
        <v>1624</v>
      </c>
      <c r="C66" s="210" t="s">
        <v>1625</v>
      </c>
      <c r="D66" s="211">
        <v>16103.5</v>
      </c>
      <c r="E66" s="212" t="s">
        <v>1427</v>
      </c>
      <c r="F66" s="212" t="s">
        <v>33</v>
      </c>
      <c r="G66" s="213" t="s">
        <v>33</v>
      </c>
      <c r="H66" s="224">
        <v>9829.9999999999927</v>
      </c>
      <c r="I66" s="214">
        <v>688.09999999999957</v>
      </c>
      <c r="J66" s="219">
        <v>10518.099999999993</v>
      </c>
      <c r="K66" s="30" t="s">
        <v>1556</v>
      </c>
      <c r="L66" s="31" t="s">
        <v>1623</v>
      </c>
      <c r="M66" s="32">
        <v>10518.1</v>
      </c>
      <c r="N66" s="215" t="s">
        <v>1561</v>
      </c>
      <c r="O66" s="215" t="s">
        <v>33</v>
      </c>
      <c r="P66" s="216"/>
      <c r="Q66" s="113">
        <f t="shared" si="7"/>
        <v>15049.999999999991</v>
      </c>
      <c r="R66" s="113">
        <f t="shared" si="8"/>
        <v>1053.4999999999995</v>
      </c>
      <c r="S66" s="217">
        <f t="shared" si="9"/>
        <v>16103.499999999991</v>
      </c>
      <c r="T66" s="2"/>
    </row>
    <row r="67" spans="1:20" ht="22.5" customHeight="1" x14ac:dyDescent="0.5">
      <c r="A67" s="208">
        <v>15</v>
      </c>
      <c r="B67" s="78" t="s">
        <v>134</v>
      </c>
      <c r="C67" s="165" t="s">
        <v>567</v>
      </c>
      <c r="D67" s="211">
        <v>1754.8</v>
      </c>
      <c r="E67" s="212"/>
      <c r="F67" s="212"/>
      <c r="G67" s="213"/>
      <c r="H67" s="224">
        <v>0</v>
      </c>
      <c r="I67" s="214">
        <v>0</v>
      </c>
      <c r="J67" s="219">
        <v>0</v>
      </c>
      <c r="K67" s="38" t="s">
        <v>1559</v>
      </c>
      <c r="L67" s="39" t="s">
        <v>1626</v>
      </c>
      <c r="M67" s="40">
        <v>1754.8</v>
      </c>
      <c r="N67" s="215"/>
      <c r="O67" s="215"/>
      <c r="P67" s="216"/>
      <c r="Q67" s="113">
        <f t="shared" si="7"/>
        <v>0</v>
      </c>
      <c r="R67" s="113">
        <f t="shared" si="8"/>
        <v>0</v>
      </c>
      <c r="S67" s="217">
        <f t="shared" si="9"/>
        <v>0</v>
      </c>
      <c r="T67" s="2"/>
    </row>
    <row r="68" spans="1:20" s="229" customFormat="1" ht="22.5" customHeight="1" x14ac:dyDescent="0.5">
      <c r="A68" s="225">
        <v>16</v>
      </c>
      <c r="B68" s="226" t="s">
        <v>1627</v>
      </c>
      <c r="C68" s="227" t="s">
        <v>1610</v>
      </c>
      <c r="D68" s="211">
        <v>4344.2</v>
      </c>
      <c r="E68" s="212" t="s">
        <v>1427</v>
      </c>
      <c r="F68" s="234" t="s">
        <v>33</v>
      </c>
      <c r="G68" s="228" t="s">
        <v>33</v>
      </c>
      <c r="H68" s="224">
        <v>3990.0000000000018</v>
      </c>
      <c r="I68" s="214">
        <v>279.30000000000018</v>
      </c>
      <c r="J68" s="224">
        <v>4269.300000000002</v>
      </c>
      <c r="K68" s="38" t="s">
        <v>1556</v>
      </c>
      <c r="L68" s="39" t="s">
        <v>1628</v>
      </c>
      <c r="M68" s="40">
        <v>4269.3</v>
      </c>
      <c r="N68" s="215" t="s">
        <v>1561</v>
      </c>
      <c r="O68" s="215" t="s">
        <v>33</v>
      </c>
      <c r="P68" s="216"/>
      <c r="Q68" s="113">
        <f t="shared" si="7"/>
        <v>4060.0000000000014</v>
      </c>
      <c r="R68" s="113">
        <f t="shared" si="8"/>
        <v>284.2000000000001</v>
      </c>
      <c r="S68" s="217">
        <f t="shared" si="9"/>
        <v>4344.2000000000016</v>
      </c>
      <c r="T68" s="47"/>
    </row>
    <row r="69" spans="1:20" s="229" customFormat="1" ht="22.5" customHeight="1" x14ac:dyDescent="0.5">
      <c r="A69" s="225"/>
      <c r="B69" s="226" t="s">
        <v>1629</v>
      </c>
      <c r="C69" s="227" t="s">
        <v>1288</v>
      </c>
      <c r="D69" s="211"/>
      <c r="E69" s="230"/>
      <c r="F69" s="230"/>
      <c r="G69" s="231"/>
      <c r="H69" s="232">
        <v>0</v>
      </c>
      <c r="I69" s="233">
        <v>0</v>
      </c>
      <c r="J69" s="232">
        <v>0</v>
      </c>
      <c r="K69" s="38"/>
      <c r="L69" s="39"/>
      <c r="M69" s="40"/>
      <c r="N69" s="215"/>
      <c r="O69" s="215"/>
      <c r="P69" s="216"/>
      <c r="Q69" s="113">
        <f t="shared" si="7"/>
        <v>0</v>
      </c>
      <c r="R69" s="113">
        <f t="shared" si="8"/>
        <v>0</v>
      </c>
      <c r="S69" s="217">
        <f t="shared" si="9"/>
        <v>0</v>
      </c>
      <c r="T69" s="47"/>
    </row>
    <row r="70" spans="1:20" ht="22.5" customHeight="1" x14ac:dyDescent="0.5">
      <c r="A70" s="208">
        <v>17</v>
      </c>
      <c r="B70" s="78" t="s">
        <v>54</v>
      </c>
      <c r="C70" s="81" t="s">
        <v>1593</v>
      </c>
      <c r="D70" s="211">
        <v>13203.8</v>
      </c>
      <c r="E70" s="212"/>
      <c r="F70" s="234"/>
      <c r="G70" s="228"/>
      <c r="H70" s="224">
        <v>0</v>
      </c>
      <c r="I70" s="214">
        <v>0</v>
      </c>
      <c r="J70" s="224">
        <v>0</v>
      </c>
      <c r="K70" s="38" t="s">
        <v>1566</v>
      </c>
      <c r="L70" s="39" t="s">
        <v>1630</v>
      </c>
      <c r="M70" s="40">
        <v>13203.8</v>
      </c>
      <c r="N70" s="215"/>
      <c r="O70" s="215"/>
      <c r="P70" s="216"/>
      <c r="Q70" s="113">
        <f t="shared" si="7"/>
        <v>0</v>
      </c>
      <c r="R70" s="113">
        <f t="shared" si="8"/>
        <v>0</v>
      </c>
      <c r="S70" s="217">
        <f t="shared" si="9"/>
        <v>0</v>
      </c>
      <c r="T70" s="2"/>
    </row>
    <row r="71" spans="1:20" ht="22.5" customHeight="1" x14ac:dyDescent="0.5">
      <c r="A71" s="208">
        <v>18</v>
      </c>
      <c r="B71" s="78" t="s">
        <v>141</v>
      </c>
      <c r="C71" s="81" t="s">
        <v>1593</v>
      </c>
      <c r="D71" s="211">
        <v>5478.4</v>
      </c>
      <c r="E71" s="234"/>
      <c r="F71" s="234"/>
      <c r="G71" s="228"/>
      <c r="H71" s="224">
        <v>0</v>
      </c>
      <c r="I71" s="214">
        <v>0</v>
      </c>
      <c r="J71" s="224">
        <v>0</v>
      </c>
      <c r="K71" s="38" t="s">
        <v>1548</v>
      </c>
      <c r="L71" s="39" t="s">
        <v>1631</v>
      </c>
      <c r="M71" s="40">
        <v>5478.4</v>
      </c>
      <c r="N71" s="235"/>
      <c r="O71" s="235"/>
      <c r="P71" s="236"/>
      <c r="Q71" s="113">
        <f t="shared" si="7"/>
        <v>0</v>
      </c>
      <c r="R71" s="113">
        <f t="shared" si="8"/>
        <v>0</v>
      </c>
      <c r="S71" s="217">
        <f t="shared" si="9"/>
        <v>0</v>
      </c>
      <c r="T71" s="2"/>
    </row>
    <row r="72" spans="1:20" ht="22.5" customHeight="1" x14ac:dyDescent="0.5">
      <c r="A72" s="208">
        <v>19</v>
      </c>
      <c r="B72" s="78" t="s">
        <v>144</v>
      </c>
      <c r="C72" s="81" t="s">
        <v>1288</v>
      </c>
      <c r="D72" s="211">
        <v>139.1</v>
      </c>
      <c r="E72" s="212" t="s">
        <v>1427</v>
      </c>
      <c r="F72" s="212" t="s">
        <v>33</v>
      </c>
      <c r="G72" s="213" t="s">
        <v>33</v>
      </c>
      <c r="H72" s="224">
        <v>240</v>
      </c>
      <c r="I72" s="214">
        <v>16.8</v>
      </c>
      <c r="J72" s="224">
        <v>256.8</v>
      </c>
      <c r="K72" s="38" t="s">
        <v>1632</v>
      </c>
      <c r="L72" s="39" t="s">
        <v>1633</v>
      </c>
      <c r="M72" s="40">
        <v>395.9</v>
      </c>
      <c r="N72" s="215"/>
      <c r="O72" s="215"/>
      <c r="P72" s="216"/>
      <c r="Q72" s="113">
        <f t="shared" si="7"/>
        <v>0</v>
      </c>
      <c r="R72" s="113">
        <f t="shared" si="8"/>
        <v>0</v>
      </c>
      <c r="S72" s="217">
        <f t="shared" si="9"/>
        <v>0</v>
      </c>
      <c r="T72" s="2"/>
    </row>
    <row r="73" spans="1:20" ht="22.5" customHeight="1" x14ac:dyDescent="0.6">
      <c r="A73" s="208">
        <v>20</v>
      </c>
      <c r="B73" s="73" t="s">
        <v>147</v>
      </c>
      <c r="C73" s="25" t="s">
        <v>1634</v>
      </c>
      <c r="D73" s="211"/>
      <c r="E73" s="234" t="s">
        <v>1427</v>
      </c>
      <c r="F73" s="234" t="s">
        <v>33</v>
      </c>
      <c r="G73" s="228" t="s">
        <v>33</v>
      </c>
      <c r="H73" s="224">
        <v>300</v>
      </c>
      <c r="I73" s="214">
        <v>21.000000000000004</v>
      </c>
      <c r="J73" s="224">
        <v>321</v>
      </c>
      <c r="K73" s="38" t="s">
        <v>1554</v>
      </c>
      <c r="L73" s="39" t="s">
        <v>1635</v>
      </c>
      <c r="M73" s="40">
        <v>321</v>
      </c>
      <c r="N73" s="215"/>
      <c r="O73" s="215"/>
      <c r="P73" s="216"/>
      <c r="Q73" s="113">
        <f t="shared" si="7"/>
        <v>0</v>
      </c>
      <c r="R73" s="113">
        <f t="shared" si="8"/>
        <v>0</v>
      </c>
      <c r="S73" s="217">
        <f t="shared" si="9"/>
        <v>0</v>
      </c>
      <c r="T73" s="898" t="s">
        <v>962</v>
      </c>
    </row>
    <row r="74" spans="1:20" ht="22.5" customHeight="1" x14ac:dyDescent="0.5">
      <c r="A74" s="208"/>
      <c r="B74" s="897" t="s">
        <v>1636</v>
      </c>
      <c r="C74" s="165"/>
      <c r="D74" s="211"/>
      <c r="E74" s="234"/>
      <c r="F74" s="234"/>
      <c r="G74" s="228"/>
      <c r="H74" s="224"/>
      <c r="I74" s="214"/>
      <c r="J74" s="224"/>
      <c r="K74" s="38"/>
      <c r="L74" s="39"/>
      <c r="M74" s="40"/>
      <c r="N74" s="239"/>
      <c r="O74" s="239"/>
      <c r="P74" s="236"/>
      <c r="Q74" s="113"/>
      <c r="R74" s="113"/>
      <c r="S74" s="217"/>
      <c r="T74" s="2"/>
    </row>
    <row r="75" spans="1:20" ht="22.5" customHeight="1" x14ac:dyDescent="0.5">
      <c r="A75" s="208">
        <v>21</v>
      </c>
      <c r="B75" s="237" t="s">
        <v>149</v>
      </c>
      <c r="C75" s="238" t="s">
        <v>567</v>
      </c>
      <c r="D75" s="211">
        <v>2129.3000000000002</v>
      </c>
      <c r="E75" s="234"/>
      <c r="F75" s="234"/>
      <c r="G75" s="228"/>
      <c r="H75" s="224">
        <v>0</v>
      </c>
      <c r="I75" s="214">
        <v>0</v>
      </c>
      <c r="J75" s="224">
        <v>0</v>
      </c>
      <c r="K75" s="38" t="s">
        <v>1637</v>
      </c>
      <c r="L75" s="39" t="s">
        <v>1638</v>
      </c>
      <c r="M75" s="40">
        <v>2129.3000000000002</v>
      </c>
      <c r="N75" s="239"/>
      <c r="O75" s="239"/>
      <c r="P75" s="236"/>
      <c r="Q75" s="113">
        <f t="shared" si="7"/>
        <v>0</v>
      </c>
      <c r="R75" s="113">
        <f t="shared" si="8"/>
        <v>0</v>
      </c>
      <c r="S75" s="217">
        <f t="shared" si="9"/>
        <v>0</v>
      </c>
      <c r="T75" s="2"/>
    </row>
    <row r="76" spans="1:20" ht="22.5" customHeight="1" x14ac:dyDescent="0.5">
      <c r="A76" s="208">
        <v>22</v>
      </c>
      <c r="B76" s="240" t="s">
        <v>569</v>
      </c>
      <c r="C76" s="83" t="s">
        <v>1596</v>
      </c>
      <c r="D76" s="211">
        <v>14231</v>
      </c>
      <c r="E76" s="234"/>
      <c r="F76" s="234"/>
      <c r="G76" s="228"/>
      <c r="H76" s="224"/>
      <c r="I76" s="214">
        <v>0</v>
      </c>
      <c r="J76" s="224">
        <v>0</v>
      </c>
      <c r="K76" s="38" t="s">
        <v>1550</v>
      </c>
      <c r="L76" s="39" t="s">
        <v>1639</v>
      </c>
      <c r="M76" s="40">
        <v>14231</v>
      </c>
      <c r="N76" s="215"/>
      <c r="O76" s="215"/>
      <c r="P76" s="216"/>
      <c r="Q76" s="113">
        <f t="shared" si="7"/>
        <v>0</v>
      </c>
      <c r="R76" s="113">
        <f t="shared" si="8"/>
        <v>0</v>
      </c>
      <c r="S76" s="217">
        <f t="shared" si="9"/>
        <v>0</v>
      </c>
      <c r="T76" s="2"/>
    </row>
    <row r="77" spans="1:20" ht="22.5" customHeight="1" x14ac:dyDescent="0.5">
      <c r="A77" s="208"/>
      <c r="B77" s="240" t="s">
        <v>569</v>
      </c>
      <c r="C77" s="83" t="s">
        <v>1589</v>
      </c>
      <c r="D77" s="211">
        <v>8891.7000000000007</v>
      </c>
      <c r="E77" s="234"/>
      <c r="F77" s="234"/>
      <c r="G77" s="228"/>
      <c r="H77" s="224"/>
      <c r="I77" s="241">
        <v>0</v>
      </c>
      <c r="J77" s="224">
        <v>0</v>
      </c>
      <c r="K77" s="38" t="s">
        <v>1550</v>
      </c>
      <c r="L77" s="39" t="s">
        <v>1639</v>
      </c>
      <c r="M77" s="40">
        <v>8891.7000000000007</v>
      </c>
      <c r="N77" s="215"/>
      <c r="O77" s="215"/>
      <c r="P77" s="216"/>
      <c r="Q77" s="113">
        <f t="shared" si="7"/>
        <v>0</v>
      </c>
      <c r="R77" s="113">
        <f t="shared" si="8"/>
        <v>0</v>
      </c>
      <c r="S77" s="217">
        <f t="shared" si="9"/>
        <v>0</v>
      </c>
      <c r="T77" s="2"/>
    </row>
    <row r="78" spans="1:20" ht="22.5" customHeight="1" x14ac:dyDescent="0.5">
      <c r="A78" s="208">
        <v>23</v>
      </c>
      <c r="B78" s="240" t="s">
        <v>157</v>
      </c>
      <c r="C78" s="83" t="s">
        <v>567</v>
      </c>
      <c r="D78" s="211">
        <v>2107.9</v>
      </c>
      <c r="E78" s="234"/>
      <c r="F78" s="234"/>
      <c r="G78" s="228"/>
      <c r="H78" s="224">
        <v>0</v>
      </c>
      <c r="I78" s="241">
        <v>0</v>
      </c>
      <c r="J78" s="224">
        <v>0</v>
      </c>
      <c r="K78" s="38" t="s">
        <v>1550</v>
      </c>
      <c r="L78" s="39" t="s">
        <v>1640</v>
      </c>
      <c r="M78" s="40">
        <v>2107.9</v>
      </c>
      <c r="N78" s="239"/>
      <c r="O78" s="239"/>
      <c r="P78" s="236"/>
      <c r="Q78" s="113">
        <f t="shared" si="7"/>
        <v>0</v>
      </c>
      <c r="R78" s="113">
        <f t="shared" si="8"/>
        <v>0</v>
      </c>
      <c r="S78" s="217">
        <f t="shared" si="9"/>
        <v>0</v>
      </c>
      <c r="T78" s="2"/>
    </row>
    <row r="79" spans="1:20" ht="22.5" customHeight="1" x14ac:dyDescent="0.5">
      <c r="A79" s="208">
        <v>24</v>
      </c>
      <c r="B79" s="240" t="s">
        <v>160</v>
      </c>
      <c r="C79" s="83" t="s">
        <v>567</v>
      </c>
      <c r="D79" s="211"/>
      <c r="E79" s="212"/>
      <c r="F79" s="234"/>
      <c r="G79" s="228"/>
      <c r="H79" s="224">
        <v>0</v>
      </c>
      <c r="I79" s="241">
        <v>0</v>
      </c>
      <c r="J79" s="224">
        <v>0</v>
      </c>
      <c r="K79" s="38"/>
      <c r="L79" s="39"/>
      <c r="M79" s="40"/>
      <c r="N79" s="215"/>
      <c r="O79" s="215"/>
      <c r="P79" s="216"/>
      <c r="Q79" s="113">
        <f t="shared" si="7"/>
        <v>0</v>
      </c>
      <c r="R79" s="113">
        <f t="shared" si="8"/>
        <v>0</v>
      </c>
      <c r="S79" s="217">
        <f t="shared" si="9"/>
        <v>0</v>
      </c>
      <c r="T79" s="2"/>
    </row>
    <row r="80" spans="1:20" ht="22.5" customHeight="1" x14ac:dyDescent="0.5">
      <c r="A80" s="208">
        <v>25</v>
      </c>
      <c r="B80" s="240" t="s">
        <v>162</v>
      </c>
      <c r="C80" s="83" t="s">
        <v>567</v>
      </c>
      <c r="D80" s="211">
        <v>1722.7</v>
      </c>
      <c r="E80" s="212" t="s">
        <v>1427</v>
      </c>
      <c r="F80" s="234" t="s">
        <v>33</v>
      </c>
      <c r="G80" s="228" t="s">
        <v>33</v>
      </c>
      <c r="H80" s="224">
        <v>2019.9999999999984</v>
      </c>
      <c r="I80" s="241">
        <v>141.39999999999989</v>
      </c>
      <c r="J80" s="224">
        <v>2161.3999999999983</v>
      </c>
      <c r="K80" s="38" t="s">
        <v>1554</v>
      </c>
      <c r="L80" s="39" t="s">
        <v>1641</v>
      </c>
      <c r="M80" s="40">
        <v>2161.4</v>
      </c>
      <c r="N80" s="215" t="s">
        <v>1561</v>
      </c>
      <c r="O80" s="215" t="s">
        <v>33</v>
      </c>
      <c r="P80" s="216"/>
      <c r="Q80" s="113">
        <f t="shared" si="7"/>
        <v>1609.9999999999986</v>
      </c>
      <c r="R80" s="113">
        <f t="shared" si="8"/>
        <v>112.69999999999989</v>
      </c>
      <c r="S80" s="217">
        <f t="shared" si="9"/>
        <v>1722.6999999999985</v>
      </c>
      <c r="T80" s="2"/>
    </row>
    <row r="81" spans="1:20" ht="22.5" customHeight="1" x14ac:dyDescent="0.5">
      <c r="A81" s="208">
        <v>26</v>
      </c>
      <c r="B81" s="209" t="s">
        <v>165</v>
      </c>
      <c r="C81" s="210" t="s">
        <v>567</v>
      </c>
      <c r="D81" s="211">
        <v>599.20000000000005</v>
      </c>
      <c r="E81" s="212"/>
      <c r="F81" s="212"/>
      <c r="G81" s="213"/>
      <c r="H81" s="219">
        <v>0</v>
      </c>
      <c r="I81" s="214">
        <v>0</v>
      </c>
      <c r="J81" s="219">
        <v>0</v>
      </c>
      <c r="K81" s="38" t="s">
        <v>1637</v>
      </c>
      <c r="L81" s="39" t="s">
        <v>1642</v>
      </c>
      <c r="M81" s="40">
        <v>599.20000000000005</v>
      </c>
      <c r="N81" s="215"/>
      <c r="O81" s="215"/>
      <c r="P81" s="216"/>
      <c r="Q81" s="113">
        <f t="shared" si="7"/>
        <v>0</v>
      </c>
      <c r="R81" s="113">
        <f t="shared" si="8"/>
        <v>0</v>
      </c>
      <c r="S81" s="217">
        <f t="shared" si="9"/>
        <v>0</v>
      </c>
      <c r="T81" s="2"/>
    </row>
    <row r="82" spans="1:20" ht="22.5" customHeight="1" x14ac:dyDescent="0.5">
      <c r="A82" s="242">
        <v>27</v>
      </c>
      <c r="B82" s="243" t="s">
        <v>1643</v>
      </c>
      <c r="C82" s="244" t="s">
        <v>567</v>
      </c>
      <c r="D82" s="211">
        <v>2642.9</v>
      </c>
      <c r="E82" s="212" t="s">
        <v>1427</v>
      </c>
      <c r="F82" s="212" t="s">
        <v>33</v>
      </c>
      <c r="G82" s="213" t="s">
        <v>33</v>
      </c>
      <c r="H82" s="219">
        <v>3170</v>
      </c>
      <c r="I82" s="214">
        <v>221.90000000000003</v>
      </c>
      <c r="J82" s="219">
        <v>3391.9</v>
      </c>
      <c r="K82" s="30" t="s">
        <v>1644</v>
      </c>
      <c r="L82" s="31" t="s">
        <v>1645</v>
      </c>
      <c r="M82" s="32">
        <v>3391.9</v>
      </c>
      <c r="N82" s="215" t="s">
        <v>1561</v>
      </c>
      <c r="O82" s="215" t="s">
        <v>33</v>
      </c>
      <c r="P82" s="216"/>
      <c r="Q82" s="113">
        <f t="shared" si="7"/>
        <v>2470</v>
      </c>
      <c r="R82" s="113">
        <f t="shared" si="8"/>
        <v>172.9</v>
      </c>
      <c r="S82" s="217">
        <f t="shared" si="9"/>
        <v>2642.9</v>
      </c>
      <c r="T82" s="2"/>
    </row>
    <row r="83" spans="1:20" ht="22.5" customHeight="1" x14ac:dyDescent="0.5">
      <c r="A83" s="208">
        <v>28</v>
      </c>
      <c r="B83" s="209" t="s">
        <v>171</v>
      </c>
      <c r="C83" s="210" t="s">
        <v>567</v>
      </c>
      <c r="D83" s="211">
        <v>299.60000000000002</v>
      </c>
      <c r="E83" s="212"/>
      <c r="F83" s="212"/>
      <c r="G83" s="213"/>
      <c r="H83" s="219">
        <v>0</v>
      </c>
      <c r="I83" s="214">
        <v>0</v>
      </c>
      <c r="J83" s="219">
        <v>0</v>
      </c>
      <c r="K83" s="38" t="s">
        <v>1548</v>
      </c>
      <c r="L83" s="39" t="s">
        <v>1646</v>
      </c>
      <c r="M83" s="40">
        <v>299.60000000000002</v>
      </c>
      <c r="N83" s="239"/>
      <c r="O83" s="239"/>
      <c r="P83" s="236"/>
      <c r="Q83" s="113">
        <f t="shared" si="7"/>
        <v>0</v>
      </c>
      <c r="R83" s="113">
        <f t="shared" si="8"/>
        <v>0</v>
      </c>
      <c r="S83" s="217">
        <f t="shared" si="9"/>
        <v>0</v>
      </c>
      <c r="T83" s="2"/>
    </row>
    <row r="84" spans="1:20" ht="22.5" customHeight="1" x14ac:dyDescent="0.5">
      <c r="A84" s="208">
        <v>29</v>
      </c>
      <c r="B84" s="209" t="s">
        <v>1647</v>
      </c>
      <c r="C84" s="210" t="s">
        <v>567</v>
      </c>
      <c r="D84" s="211">
        <v>1936.7</v>
      </c>
      <c r="E84" s="212"/>
      <c r="F84" s="212"/>
      <c r="G84" s="213"/>
      <c r="H84" s="219">
        <v>0</v>
      </c>
      <c r="I84" s="214">
        <v>0</v>
      </c>
      <c r="J84" s="219">
        <v>0</v>
      </c>
      <c r="K84" s="38" t="s">
        <v>1548</v>
      </c>
      <c r="L84" s="39" t="s">
        <v>1648</v>
      </c>
      <c r="M84" s="40">
        <v>1936.7</v>
      </c>
      <c r="N84" s="215"/>
      <c r="O84" s="215"/>
      <c r="P84" s="216"/>
      <c r="Q84" s="113">
        <f t="shared" si="7"/>
        <v>0</v>
      </c>
      <c r="R84" s="113">
        <f t="shared" si="8"/>
        <v>0</v>
      </c>
      <c r="S84" s="217">
        <f t="shared" si="9"/>
        <v>0</v>
      </c>
      <c r="T84" s="2"/>
    </row>
    <row r="85" spans="1:20" ht="22.5" customHeight="1" x14ac:dyDescent="0.5">
      <c r="A85" s="208">
        <v>30</v>
      </c>
      <c r="B85" s="209" t="s">
        <v>1649</v>
      </c>
      <c r="C85" s="210" t="s">
        <v>567</v>
      </c>
      <c r="D85" s="211">
        <v>4033.9</v>
      </c>
      <c r="E85" s="212" t="s">
        <v>1427</v>
      </c>
      <c r="F85" s="212" t="s">
        <v>33</v>
      </c>
      <c r="G85" s="213" t="s">
        <v>33</v>
      </c>
      <c r="H85" s="219">
        <v>5340</v>
      </c>
      <c r="I85" s="214">
        <v>373.8</v>
      </c>
      <c r="J85" s="219">
        <v>5713.8</v>
      </c>
      <c r="K85" s="30" t="s">
        <v>1554</v>
      </c>
      <c r="L85" s="31" t="s">
        <v>1650</v>
      </c>
      <c r="M85" s="32">
        <v>5713.8</v>
      </c>
      <c r="N85" s="215" t="s">
        <v>1561</v>
      </c>
      <c r="O85" s="215" t="s">
        <v>33</v>
      </c>
      <c r="P85" s="216"/>
      <c r="Q85" s="113">
        <f t="shared" si="7"/>
        <v>3770.0000000000005</v>
      </c>
      <c r="R85" s="113">
        <f t="shared" si="8"/>
        <v>263.90000000000003</v>
      </c>
      <c r="S85" s="217">
        <f t="shared" si="9"/>
        <v>4033.9000000000005</v>
      </c>
      <c r="T85" s="2"/>
    </row>
    <row r="86" spans="1:20" ht="22.5" customHeight="1" x14ac:dyDescent="0.5">
      <c r="A86" s="208">
        <v>31</v>
      </c>
      <c r="B86" s="209" t="s">
        <v>1651</v>
      </c>
      <c r="C86" s="210" t="s">
        <v>567</v>
      </c>
      <c r="D86" s="211"/>
      <c r="E86" s="212"/>
      <c r="F86" s="212"/>
      <c r="G86" s="213"/>
      <c r="H86" s="219">
        <v>0</v>
      </c>
      <c r="I86" s="214">
        <v>0</v>
      </c>
      <c r="J86" s="219">
        <v>0</v>
      </c>
      <c r="K86" s="38"/>
      <c r="L86" s="39"/>
      <c r="M86" s="40"/>
      <c r="N86" s="215"/>
      <c r="O86" s="215"/>
      <c r="P86" s="216"/>
      <c r="Q86" s="113">
        <f t="shared" si="7"/>
        <v>0</v>
      </c>
      <c r="R86" s="113">
        <f t="shared" si="8"/>
        <v>0</v>
      </c>
      <c r="S86" s="217">
        <f t="shared" si="9"/>
        <v>0</v>
      </c>
      <c r="T86" s="2"/>
    </row>
    <row r="87" spans="1:20" ht="22.5" customHeight="1" x14ac:dyDescent="0.5">
      <c r="A87" s="208">
        <v>32</v>
      </c>
      <c r="B87" s="209" t="s">
        <v>181</v>
      </c>
      <c r="C87" s="210" t="s">
        <v>567</v>
      </c>
      <c r="D87" s="211">
        <v>1786.9</v>
      </c>
      <c r="E87" s="212" t="s">
        <v>1427</v>
      </c>
      <c r="F87" s="212" t="s">
        <v>33</v>
      </c>
      <c r="G87" s="213" t="s">
        <v>33</v>
      </c>
      <c r="H87" s="219">
        <v>620</v>
      </c>
      <c r="I87" s="214">
        <v>43.400000000000006</v>
      </c>
      <c r="J87" s="219">
        <v>663.4</v>
      </c>
      <c r="K87" s="38" t="s">
        <v>1548</v>
      </c>
      <c r="L87" s="39" t="s">
        <v>1652</v>
      </c>
      <c r="M87" s="40">
        <v>2450.3000000000002</v>
      </c>
      <c r="N87" s="215"/>
      <c r="O87" s="215"/>
      <c r="P87" s="216"/>
      <c r="Q87" s="113">
        <f t="shared" si="7"/>
        <v>0</v>
      </c>
      <c r="R87" s="113">
        <f t="shared" si="8"/>
        <v>0</v>
      </c>
      <c r="S87" s="217">
        <f t="shared" si="9"/>
        <v>0</v>
      </c>
      <c r="T87" s="2"/>
    </row>
    <row r="88" spans="1:20" ht="22.5" customHeight="1" x14ac:dyDescent="0.5">
      <c r="A88" s="208">
        <v>33</v>
      </c>
      <c r="B88" s="209" t="s">
        <v>1653</v>
      </c>
      <c r="C88" s="210" t="s">
        <v>1654</v>
      </c>
      <c r="D88" s="211">
        <v>4622.3999999999996</v>
      </c>
      <c r="E88" s="212"/>
      <c r="F88" s="212"/>
      <c r="G88" s="213"/>
      <c r="H88" s="219">
        <v>0</v>
      </c>
      <c r="I88" s="214">
        <v>0</v>
      </c>
      <c r="J88" s="219">
        <v>0</v>
      </c>
      <c r="K88" s="38" t="s">
        <v>1550</v>
      </c>
      <c r="L88" s="245" t="s">
        <v>1655</v>
      </c>
      <c r="M88" s="246">
        <v>4622.3999999999996</v>
      </c>
      <c r="N88" s="215"/>
      <c r="O88" s="215"/>
      <c r="P88" s="216"/>
      <c r="Q88" s="113">
        <f t="shared" si="7"/>
        <v>0</v>
      </c>
      <c r="R88" s="113">
        <f t="shared" si="8"/>
        <v>0</v>
      </c>
      <c r="S88" s="217">
        <f t="shared" si="9"/>
        <v>0</v>
      </c>
      <c r="T88" s="2"/>
    </row>
    <row r="89" spans="1:20" ht="22.5" customHeight="1" x14ac:dyDescent="0.5">
      <c r="A89" s="208"/>
      <c r="B89" s="209" t="s">
        <v>1656</v>
      </c>
      <c r="C89" s="210" t="s">
        <v>1657</v>
      </c>
      <c r="D89" s="211">
        <v>1786.9</v>
      </c>
      <c r="E89" s="212"/>
      <c r="F89" s="212"/>
      <c r="G89" s="213"/>
      <c r="H89" s="219">
        <v>0</v>
      </c>
      <c r="I89" s="214">
        <v>0</v>
      </c>
      <c r="J89" s="219">
        <v>0</v>
      </c>
      <c r="K89" s="38" t="s">
        <v>1550</v>
      </c>
      <c r="L89" s="245" t="s">
        <v>1655</v>
      </c>
      <c r="M89" s="246">
        <v>1786.9</v>
      </c>
      <c r="N89" s="215"/>
      <c r="O89" s="215"/>
      <c r="P89" s="216"/>
      <c r="Q89" s="113">
        <f t="shared" si="7"/>
        <v>0</v>
      </c>
      <c r="R89" s="113">
        <f t="shared" si="8"/>
        <v>0</v>
      </c>
      <c r="S89" s="217">
        <f t="shared" si="9"/>
        <v>0</v>
      </c>
      <c r="T89" s="2"/>
    </row>
    <row r="90" spans="1:20" ht="22.5" customHeight="1" x14ac:dyDescent="0.5">
      <c r="A90" s="208">
        <v>34</v>
      </c>
      <c r="B90" s="209" t="s">
        <v>1658</v>
      </c>
      <c r="C90" s="210" t="s">
        <v>567</v>
      </c>
      <c r="D90" s="211">
        <v>438.7</v>
      </c>
      <c r="E90" s="212"/>
      <c r="F90" s="212"/>
      <c r="G90" s="213"/>
      <c r="H90" s="219">
        <v>0</v>
      </c>
      <c r="I90" s="214">
        <v>0</v>
      </c>
      <c r="J90" s="219">
        <v>0</v>
      </c>
      <c r="K90" s="38" t="s">
        <v>1548</v>
      </c>
      <c r="L90" s="39" t="s">
        <v>1659</v>
      </c>
      <c r="M90" s="246">
        <v>438.7</v>
      </c>
      <c r="N90" s="247"/>
      <c r="O90" s="247"/>
      <c r="P90" s="248"/>
      <c r="Q90" s="113">
        <f t="shared" si="7"/>
        <v>0</v>
      </c>
      <c r="R90" s="113">
        <f t="shared" si="8"/>
        <v>0</v>
      </c>
      <c r="S90" s="217">
        <f t="shared" si="9"/>
        <v>0</v>
      </c>
      <c r="T90" s="2"/>
    </row>
    <row r="91" spans="1:20" ht="22.5" customHeight="1" x14ac:dyDescent="0.5">
      <c r="A91" s="208">
        <v>35</v>
      </c>
      <c r="B91" s="209" t="s">
        <v>1660</v>
      </c>
      <c r="C91" s="210" t="s">
        <v>567</v>
      </c>
      <c r="D91" s="211"/>
      <c r="E91" s="212"/>
      <c r="F91" s="212"/>
      <c r="G91" s="213"/>
      <c r="H91" s="219">
        <v>0</v>
      </c>
      <c r="I91" s="214">
        <v>0</v>
      </c>
      <c r="J91" s="219">
        <v>0</v>
      </c>
      <c r="K91" s="38"/>
      <c r="L91" s="39"/>
      <c r="M91" s="246"/>
      <c r="N91" s="215"/>
      <c r="O91" s="215"/>
      <c r="P91" s="216"/>
      <c r="Q91" s="113">
        <f t="shared" si="7"/>
        <v>0</v>
      </c>
      <c r="R91" s="113">
        <f t="shared" si="8"/>
        <v>0</v>
      </c>
      <c r="S91" s="217">
        <f t="shared" si="9"/>
        <v>0</v>
      </c>
      <c r="T91" s="2"/>
    </row>
    <row r="92" spans="1:20" ht="22.5" customHeight="1" x14ac:dyDescent="0.5">
      <c r="A92" s="208"/>
      <c r="B92" s="209" t="s">
        <v>1660</v>
      </c>
      <c r="C92" s="210" t="s">
        <v>1288</v>
      </c>
      <c r="D92" s="211">
        <v>9416</v>
      </c>
      <c r="E92" s="212" t="s">
        <v>1427</v>
      </c>
      <c r="F92" s="212" t="s">
        <v>33</v>
      </c>
      <c r="G92" s="213" t="s">
        <v>33</v>
      </c>
      <c r="H92" s="219">
        <v>12810.000000000002</v>
      </c>
      <c r="I92" s="214">
        <v>896.70000000000016</v>
      </c>
      <c r="J92" s="219">
        <v>13706.700000000003</v>
      </c>
      <c r="K92" s="38" t="s">
        <v>1548</v>
      </c>
      <c r="L92" s="39" t="s">
        <v>1661</v>
      </c>
      <c r="M92" s="246">
        <v>13706.7</v>
      </c>
      <c r="N92" s="215" t="s">
        <v>1561</v>
      </c>
      <c r="O92" s="215" t="s">
        <v>33</v>
      </c>
      <c r="P92" s="216"/>
      <c r="Q92" s="113">
        <f t="shared" si="7"/>
        <v>8800.0000000000036</v>
      </c>
      <c r="R92" s="113">
        <f t="shared" si="8"/>
        <v>616.00000000000023</v>
      </c>
      <c r="S92" s="217">
        <f t="shared" si="9"/>
        <v>9416.0000000000036</v>
      </c>
      <c r="T92" s="2"/>
    </row>
    <row r="93" spans="1:20" ht="22.5" customHeight="1" x14ac:dyDescent="0.5">
      <c r="A93" s="208">
        <v>36</v>
      </c>
      <c r="B93" s="209" t="s">
        <v>1662</v>
      </c>
      <c r="C93" s="210" t="s">
        <v>567</v>
      </c>
      <c r="D93" s="211">
        <v>856</v>
      </c>
      <c r="E93" s="212" t="s">
        <v>1427</v>
      </c>
      <c r="F93" s="212" t="s">
        <v>33</v>
      </c>
      <c r="G93" s="213" t="s">
        <v>33</v>
      </c>
      <c r="H93" s="219">
        <v>650.00000000000034</v>
      </c>
      <c r="I93" s="214">
        <v>45.500000000000028</v>
      </c>
      <c r="J93" s="219">
        <v>695.50000000000034</v>
      </c>
      <c r="K93" s="38" t="s">
        <v>1663</v>
      </c>
      <c r="L93" s="39" t="s">
        <v>1664</v>
      </c>
      <c r="M93" s="246">
        <v>1551.5</v>
      </c>
      <c r="N93" s="215"/>
      <c r="O93" s="215"/>
      <c r="P93" s="216"/>
      <c r="Q93" s="113">
        <f t="shared" si="7"/>
        <v>4.2499752419295712E-13</v>
      </c>
      <c r="R93" s="113">
        <f t="shared" si="8"/>
        <v>2.9749826693506995E-14</v>
      </c>
      <c r="S93" s="217">
        <f t="shared" si="9"/>
        <v>4.5474735088646412E-13</v>
      </c>
      <c r="T93" s="2"/>
    </row>
    <row r="94" spans="1:20" ht="22.5" customHeight="1" x14ac:dyDescent="0.5">
      <c r="A94" s="208">
        <v>37</v>
      </c>
      <c r="B94" s="209" t="s">
        <v>195</v>
      </c>
      <c r="C94" s="210" t="s">
        <v>567</v>
      </c>
      <c r="D94" s="211">
        <v>963</v>
      </c>
      <c r="E94" s="212"/>
      <c r="F94" s="212"/>
      <c r="G94" s="213"/>
      <c r="H94" s="219">
        <v>0</v>
      </c>
      <c r="I94" s="214">
        <v>0</v>
      </c>
      <c r="J94" s="219">
        <v>0</v>
      </c>
      <c r="K94" s="38" t="s">
        <v>1548</v>
      </c>
      <c r="L94" s="245" t="s">
        <v>1665</v>
      </c>
      <c r="M94" s="246">
        <v>963</v>
      </c>
      <c r="N94" s="247"/>
      <c r="O94" s="247"/>
      <c r="P94" s="248"/>
      <c r="Q94" s="113">
        <f t="shared" si="7"/>
        <v>0</v>
      </c>
      <c r="R94" s="113">
        <f t="shared" si="8"/>
        <v>0</v>
      </c>
      <c r="S94" s="217">
        <f t="shared" si="9"/>
        <v>0</v>
      </c>
      <c r="T94" s="2"/>
    </row>
    <row r="95" spans="1:20" ht="22.5" customHeight="1" x14ac:dyDescent="0.5">
      <c r="A95" s="208">
        <v>38</v>
      </c>
      <c r="B95" s="209" t="s">
        <v>1666</v>
      </c>
      <c r="C95" s="210" t="s">
        <v>1667</v>
      </c>
      <c r="D95" s="211"/>
      <c r="E95" s="212"/>
      <c r="F95" s="212"/>
      <c r="G95" s="213"/>
      <c r="H95" s="219">
        <v>0</v>
      </c>
      <c r="I95" s="214">
        <v>0</v>
      </c>
      <c r="J95" s="219">
        <v>0</v>
      </c>
      <c r="K95" s="38"/>
      <c r="L95" s="245"/>
      <c r="M95" s="246"/>
      <c r="N95" s="215"/>
      <c r="O95" s="215"/>
      <c r="P95" s="216"/>
      <c r="Q95" s="113">
        <f t="shared" si="7"/>
        <v>0</v>
      </c>
      <c r="R95" s="113">
        <f t="shared" si="8"/>
        <v>0</v>
      </c>
      <c r="S95" s="217">
        <f t="shared" si="9"/>
        <v>0</v>
      </c>
      <c r="T95" s="2"/>
    </row>
    <row r="96" spans="1:20" ht="22.5" customHeight="1" x14ac:dyDescent="0.5">
      <c r="A96" s="208"/>
      <c r="B96" s="209" t="s">
        <v>1666</v>
      </c>
      <c r="C96" s="210" t="s">
        <v>567</v>
      </c>
      <c r="D96" s="211">
        <v>1070</v>
      </c>
      <c r="E96" s="212" t="s">
        <v>1427</v>
      </c>
      <c r="F96" s="212" t="s">
        <v>33</v>
      </c>
      <c r="G96" s="213" t="s">
        <v>33</v>
      </c>
      <c r="H96" s="219">
        <v>1279.9999999999998</v>
      </c>
      <c r="I96" s="214">
        <v>89.6</v>
      </c>
      <c r="J96" s="219">
        <v>1369.5999999999997</v>
      </c>
      <c r="K96" s="38" t="s">
        <v>1559</v>
      </c>
      <c r="L96" s="245" t="s">
        <v>1668</v>
      </c>
      <c r="M96" s="246">
        <v>1369.6</v>
      </c>
      <c r="N96" s="215" t="s">
        <v>1561</v>
      </c>
      <c r="O96" s="215" t="s">
        <v>33</v>
      </c>
      <c r="P96" s="216"/>
      <c r="Q96" s="113">
        <f t="shared" si="7"/>
        <v>999.99999999999955</v>
      </c>
      <c r="R96" s="113">
        <f t="shared" si="8"/>
        <v>69.999999999999972</v>
      </c>
      <c r="S96" s="217">
        <f t="shared" si="9"/>
        <v>1069.9999999999995</v>
      </c>
      <c r="T96" s="2"/>
    </row>
    <row r="97" spans="1:20" ht="22.5" customHeight="1" x14ac:dyDescent="0.5">
      <c r="A97" s="208">
        <v>39</v>
      </c>
      <c r="B97" s="209" t="s">
        <v>200</v>
      </c>
      <c r="C97" s="210" t="s">
        <v>567</v>
      </c>
      <c r="D97" s="211"/>
      <c r="E97" s="212" t="s">
        <v>1477</v>
      </c>
      <c r="F97" s="212" t="s">
        <v>33</v>
      </c>
      <c r="G97" s="213" t="s">
        <v>286</v>
      </c>
      <c r="H97" s="219">
        <v>11700</v>
      </c>
      <c r="I97" s="214">
        <v>819.00000000000011</v>
      </c>
      <c r="J97" s="219">
        <v>12519</v>
      </c>
      <c r="K97" s="38"/>
      <c r="L97" s="245"/>
      <c r="M97" s="246"/>
      <c r="N97" s="215" t="s">
        <v>1477</v>
      </c>
      <c r="O97" s="216" t="s">
        <v>33</v>
      </c>
      <c r="P97" s="216"/>
      <c r="Q97" s="113">
        <f t="shared" si="7"/>
        <v>11700</v>
      </c>
      <c r="R97" s="113">
        <f t="shared" si="8"/>
        <v>819</v>
      </c>
      <c r="S97" s="217">
        <f t="shared" si="9"/>
        <v>12519</v>
      </c>
      <c r="T97" s="2"/>
    </row>
    <row r="98" spans="1:20" ht="22.5" customHeight="1" x14ac:dyDescent="0.5">
      <c r="A98" s="208">
        <v>40</v>
      </c>
      <c r="B98" s="209" t="s">
        <v>1669</v>
      </c>
      <c r="C98" s="210" t="s">
        <v>567</v>
      </c>
      <c r="D98" s="211">
        <v>460.1</v>
      </c>
      <c r="E98" s="212"/>
      <c r="F98" s="212"/>
      <c r="G98" s="213"/>
      <c r="H98" s="219">
        <v>0</v>
      </c>
      <c r="I98" s="214">
        <v>0</v>
      </c>
      <c r="J98" s="219">
        <v>0</v>
      </c>
      <c r="K98" s="30" t="s">
        <v>1559</v>
      </c>
      <c r="L98" s="31" t="s">
        <v>1670</v>
      </c>
      <c r="M98" s="221">
        <v>460.1</v>
      </c>
      <c r="N98" s="215"/>
      <c r="O98" s="215"/>
      <c r="P98" s="216"/>
      <c r="Q98" s="113">
        <f t="shared" si="7"/>
        <v>0</v>
      </c>
      <c r="R98" s="113">
        <f t="shared" si="8"/>
        <v>0</v>
      </c>
      <c r="S98" s="217">
        <f t="shared" si="9"/>
        <v>0</v>
      </c>
      <c r="T98" s="2"/>
    </row>
    <row r="99" spans="1:20" ht="22.5" customHeight="1" x14ac:dyDescent="0.5">
      <c r="A99" s="208">
        <v>41</v>
      </c>
      <c r="B99" s="209" t="s">
        <v>205</v>
      </c>
      <c r="C99" s="210" t="s">
        <v>567</v>
      </c>
      <c r="D99" s="211">
        <v>4868.5</v>
      </c>
      <c r="E99" s="212"/>
      <c r="F99" s="212"/>
      <c r="G99" s="213"/>
      <c r="H99" s="219">
        <v>0</v>
      </c>
      <c r="I99" s="214">
        <v>0</v>
      </c>
      <c r="J99" s="219">
        <v>0</v>
      </c>
      <c r="K99" s="30" t="s">
        <v>1548</v>
      </c>
      <c r="L99" s="249" t="s">
        <v>1671</v>
      </c>
      <c r="M99" s="221">
        <v>4868.5</v>
      </c>
      <c r="N99" s="215"/>
      <c r="O99" s="215"/>
      <c r="P99" s="216"/>
      <c r="Q99" s="113">
        <f t="shared" si="7"/>
        <v>0</v>
      </c>
      <c r="R99" s="113">
        <f t="shared" si="8"/>
        <v>0</v>
      </c>
      <c r="S99" s="217">
        <f t="shared" si="9"/>
        <v>0</v>
      </c>
      <c r="T99" s="2"/>
    </row>
    <row r="100" spans="1:20" ht="22.5" customHeight="1" x14ac:dyDescent="0.5">
      <c r="A100" s="208">
        <v>42</v>
      </c>
      <c r="B100" s="209" t="s">
        <v>208</v>
      </c>
      <c r="C100" s="210" t="s">
        <v>567</v>
      </c>
      <c r="D100" s="211">
        <v>17398.2</v>
      </c>
      <c r="E100" s="212" t="s">
        <v>1427</v>
      </c>
      <c r="F100" s="212" t="s">
        <v>33</v>
      </c>
      <c r="G100" s="213" t="s">
        <v>33</v>
      </c>
      <c r="H100" s="219">
        <v>4389.9999999999991</v>
      </c>
      <c r="I100" s="214">
        <v>307.29999999999995</v>
      </c>
      <c r="J100" s="219">
        <v>4697.2999999999993</v>
      </c>
      <c r="K100" s="250" t="s">
        <v>1672</v>
      </c>
      <c r="L100" s="251" t="s">
        <v>1673</v>
      </c>
      <c r="M100" s="252">
        <v>22095.5</v>
      </c>
      <c r="N100" s="215"/>
      <c r="O100" s="215"/>
      <c r="P100" s="216"/>
      <c r="Q100" s="113">
        <f t="shared" si="7"/>
        <v>0</v>
      </c>
      <c r="R100" s="113">
        <f t="shared" si="8"/>
        <v>0</v>
      </c>
      <c r="S100" s="217">
        <f t="shared" si="9"/>
        <v>0</v>
      </c>
      <c r="T100" s="2"/>
    </row>
    <row r="101" spans="1:20" ht="22.5" customHeight="1" x14ac:dyDescent="0.5">
      <c r="A101" s="208">
        <v>43</v>
      </c>
      <c r="B101" s="209" t="s">
        <v>210</v>
      </c>
      <c r="C101" s="210" t="s">
        <v>567</v>
      </c>
      <c r="D101" s="211">
        <v>10550.2</v>
      </c>
      <c r="E101" s="212" t="s">
        <v>1427</v>
      </c>
      <c r="F101" s="212" t="s">
        <v>33</v>
      </c>
      <c r="G101" s="213" t="s">
        <v>33</v>
      </c>
      <c r="H101" s="219">
        <v>5930.0000000000009</v>
      </c>
      <c r="I101" s="214">
        <v>415.10000000000008</v>
      </c>
      <c r="J101" s="219">
        <v>6345.1000000000013</v>
      </c>
      <c r="K101" s="38" t="s">
        <v>1556</v>
      </c>
      <c r="L101" s="39" t="s">
        <v>1674</v>
      </c>
      <c r="M101" s="246">
        <v>6345.1</v>
      </c>
      <c r="N101" s="239" t="s">
        <v>1561</v>
      </c>
      <c r="O101" s="239" t="s">
        <v>33</v>
      </c>
      <c r="P101" s="236"/>
      <c r="Q101" s="113">
        <f t="shared" si="7"/>
        <v>9860.0000000000018</v>
      </c>
      <c r="R101" s="113">
        <f t="shared" si="8"/>
        <v>690.20000000000027</v>
      </c>
      <c r="S101" s="217">
        <f t="shared" si="9"/>
        <v>10550.200000000003</v>
      </c>
      <c r="T101" s="2"/>
    </row>
    <row r="102" spans="1:20" ht="22.5" customHeight="1" x14ac:dyDescent="0.5">
      <c r="A102" s="208">
        <v>44</v>
      </c>
      <c r="B102" s="209" t="s">
        <v>1675</v>
      </c>
      <c r="C102" s="210" t="s">
        <v>1288</v>
      </c>
      <c r="D102" s="211"/>
      <c r="E102" s="212"/>
      <c r="F102" s="212"/>
      <c r="G102" s="213"/>
      <c r="H102" s="219">
        <v>0</v>
      </c>
      <c r="I102" s="214">
        <v>0</v>
      </c>
      <c r="J102" s="219">
        <v>0</v>
      </c>
      <c r="K102" s="38"/>
      <c r="L102" s="39"/>
      <c r="M102" s="246"/>
      <c r="N102" s="239"/>
      <c r="O102" s="239"/>
      <c r="P102" s="236"/>
      <c r="Q102" s="113">
        <f t="shared" si="7"/>
        <v>0</v>
      </c>
      <c r="R102" s="113">
        <f t="shared" si="8"/>
        <v>0</v>
      </c>
      <c r="S102" s="217">
        <f t="shared" si="9"/>
        <v>0</v>
      </c>
      <c r="T102" s="2"/>
    </row>
    <row r="103" spans="1:20" ht="22.5" customHeight="1" x14ac:dyDescent="0.5">
      <c r="A103" s="208">
        <v>45</v>
      </c>
      <c r="B103" s="209" t="s">
        <v>214</v>
      </c>
      <c r="C103" s="210" t="s">
        <v>567</v>
      </c>
      <c r="D103" s="211">
        <v>823.9</v>
      </c>
      <c r="E103" s="212"/>
      <c r="F103" s="212"/>
      <c r="G103" s="213"/>
      <c r="H103" s="219">
        <v>0</v>
      </c>
      <c r="I103" s="214">
        <v>0</v>
      </c>
      <c r="J103" s="219">
        <v>0</v>
      </c>
      <c r="K103" s="38" t="s">
        <v>1548</v>
      </c>
      <c r="L103" s="39" t="s">
        <v>1676</v>
      </c>
      <c r="M103" s="246">
        <v>823.9</v>
      </c>
      <c r="N103" s="239"/>
      <c r="O103" s="239"/>
      <c r="P103" s="236"/>
      <c r="Q103" s="113">
        <f t="shared" si="7"/>
        <v>0</v>
      </c>
      <c r="R103" s="113">
        <f t="shared" si="8"/>
        <v>0</v>
      </c>
      <c r="S103" s="217">
        <f t="shared" si="9"/>
        <v>0</v>
      </c>
      <c r="T103" s="2"/>
    </row>
    <row r="104" spans="1:20" ht="22.5" customHeight="1" x14ac:dyDescent="0.5">
      <c r="A104" s="253">
        <v>46</v>
      </c>
      <c r="B104" s="254" t="s">
        <v>217</v>
      </c>
      <c r="C104" s="238" t="s">
        <v>567</v>
      </c>
      <c r="D104" s="211">
        <v>1840.4</v>
      </c>
      <c r="E104" s="167" t="s">
        <v>1427</v>
      </c>
      <c r="F104" s="167" t="s">
        <v>33</v>
      </c>
      <c r="G104" s="168" t="s">
        <v>33</v>
      </c>
      <c r="H104" s="255">
        <v>3060</v>
      </c>
      <c r="I104" s="256">
        <v>214.20000000000002</v>
      </c>
      <c r="J104" s="255">
        <v>3274.2</v>
      </c>
      <c r="K104" s="38" t="s">
        <v>1677</v>
      </c>
      <c r="L104" s="245" t="s">
        <v>1678</v>
      </c>
      <c r="M104" s="246">
        <v>3274.2</v>
      </c>
      <c r="N104" s="239" t="s">
        <v>1561</v>
      </c>
      <c r="O104" s="239" t="s">
        <v>33</v>
      </c>
      <c r="P104" s="236"/>
      <c r="Q104" s="113">
        <f t="shared" si="7"/>
        <v>1720.0000000000005</v>
      </c>
      <c r="R104" s="113">
        <f t="shared" si="8"/>
        <v>120.40000000000003</v>
      </c>
      <c r="S104" s="217">
        <f t="shared" si="9"/>
        <v>1840.4000000000005</v>
      </c>
      <c r="T104" s="2"/>
    </row>
    <row r="105" spans="1:20" ht="22.5" customHeight="1" x14ac:dyDescent="0.5">
      <c r="A105" s="235">
        <v>47</v>
      </c>
      <c r="B105" s="257" t="s">
        <v>1679</v>
      </c>
      <c r="C105" s="257" t="s">
        <v>567</v>
      </c>
      <c r="D105" s="262">
        <v>214</v>
      </c>
      <c r="E105" s="234"/>
      <c r="F105" s="234"/>
      <c r="G105" s="228"/>
      <c r="H105" s="224">
        <v>0</v>
      </c>
      <c r="I105" s="241">
        <v>0</v>
      </c>
      <c r="J105" s="982">
        <v>0</v>
      </c>
      <c r="K105" s="38"/>
      <c r="L105" s="39"/>
      <c r="M105" s="246"/>
      <c r="N105" s="239" t="s">
        <v>1561</v>
      </c>
      <c r="O105" s="239" t="s">
        <v>33</v>
      </c>
      <c r="P105" s="236"/>
      <c r="Q105" s="983">
        <f t="shared" si="7"/>
        <v>200</v>
      </c>
      <c r="R105" s="983">
        <f t="shared" si="8"/>
        <v>14</v>
      </c>
      <c r="S105" s="761">
        <f t="shared" si="9"/>
        <v>214</v>
      </c>
      <c r="T105" s="2"/>
    </row>
    <row r="106" spans="1:20" ht="22.5" customHeight="1" x14ac:dyDescent="0.5">
      <c r="A106" s="297">
        <v>48</v>
      </c>
      <c r="B106" s="222" t="s">
        <v>1680</v>
      </c>
      <c r="C106" s="222" t="s">
        <v>567</v>
      </c>
      <c r="D106" s="211"/>
      <c r="E106" s="984"/>
      <c r="F106" s="984"/>
      <c r="G106" s="985"/>
      <c r="H106" s="986">
        <v>0</v>
      </c>
      <c r="I106" s="987">
        <v>0</v>
      </c>
      <c r="J106" s="988">
        <v>0</v>
      </c>
      <c r="K106" s="30"/>
      <c r="L106" s="31"/>
      <c r="M106" s="221"/>
      <c r="N106" s="215"/>
      <c r="O106" s="215"/>
      <c r="P106" s="216"/>
      <c r="Q106" s="989">
        <f t="shared" si="7"/>
        <v>0</v>
      </c>
      <c r="R106" s="989">
        <f t="shared" si="8"/>
        <v>0</v>
      </c>
      <c r="S106" s="990">
        <f t="shared" si="9"/>
        <v>0</v>
      </c>
      <c r="T106" s="2"/>
    </row>
    <row r="107" spans="1:20" ht="22.5" customHeight="1" x14ac:dyDescent="0.5">
      <c r="A107" s="297">
        <v>49</v>
      </c>
      <c r="B107" s="222" t="s">
        <v>224</v>
      </c>
      <c r="C107" s="222" t="s">
        <v>567</v>
      </c>
      <c r="D107" s="211">
        <v>620.6</v>
      </c>
      <c r="E107" s="984" t="s">
        <v>1427</v>
      </c>
      <c r="F107" s="984" t="s">
        <v>33</v>
      </c>
      <c r="G107" s="985" t="s">
        <v>33</v>
      </c>
      <c r="H107" s="986">
        <v>580.00000000000011</v>
      </c>
      <c r="I107" s="987">
        <v>40.600000000000009</v>
      </c>
      <c r="J107" s="988">
        <v>620.60000000000014</v>
      </c>
      <c r="K107" s="30"/>
      <c r="L107" s="249"/>
      <c r="M107" s="221"/>
      <c r="N107" s="215" t="s">
        <v>1681</v>
      </c>
      <c r="O107" s="215" t="s">
        <v>115</v>
      </c>
      <c r="P107" s="216"/>
      <c r="Q107" s="989">
        <f t="shared" si="7"/>
        <v>1160.0000000000002</v>
      </c>
      <c r="R107" s="989">
        <f t="shared" si="8"/>
        <v>81.200000000000017</v>
      </c>
      <c r="S107" s="990">
        <f t="shared" si="9"/>
        <v>1241.2000000000003</v>
      </c>
      <c r="T107" s="2"/>
    </row>
    <row r="108" spans="1:20" ht="22.5" customHeight="1" x14ac:dyDescent="0.5">
      <c r="A108" s="297">
        <v>50</v>
      </c>
      <c r="B108" s="222" t="s">
        <v>226</v>
      </c>
      <c r="C108" s="222" t="s">
        <v>567</v>
      </c>
      <c r="D108" s="211">
        <v>3991.1</v>
      </c>
      <c r="E108" s="991" t="s">
        <v>1427</v>
      </c>
      <c r="F108" s="991" t="s">
        <v>33</v>
      </c>
      <c r="G108" s="985" t="s">
        <v>33</v>
      </c>
      <c r="H108" s="986">
        <v>4070.0000000000032</v>
      </c>
      <c r="I108" s="987">
        <v>284.90000000000026</v>
      </c>
      <c r="J108" s="988">
        <v>4354.9000000000033</v>
      </c>
      <c r="K108" s="30" t="s">
        <v>1682</v>
      </c>
      <c r="L108" s="249" t="s">
        <v>1683</v>
      </c>
      <c r="M108" s="221">
        <v>4354.8999999999996</v>
      </c>
      <c r="N108" s="215" t="s">
        <v>1561</v>
      </c>
      <c r="O108" s="215" t="s">
        <v>33</v>
      </c>
      <c r="P108" s="216"/>
      <c r="Q108" s="989">
        <f>SUM(S108-R108)</f>
        <v>3730.0000000000036</v>
      </c>
      <c r="R108" s="989">
        <f t="shared" si="8"/>
        <v>261.10000000000025</v>
      </c>
      <c r="S108" s="990">
        <f>SUM(D108+J108-M108)</f>
        <v>3991.100000000004</v>
      </c>
      <c r="T108" s="2"/>
    </row>
    <row r="109" spans="1:20" ht="22.5" customHeight="1" x14ac:dyDescent="0.5">
      <c r="A109" s="297">
        <v>51</v>
      </c>
      <c r="B109" s="222" t="s">
        <v>229</v>
      </c>
      <c r="C109" s="222" t="s">
        <v>567</v>
      </c>
      <c r="D109" s="211">
        <v>12957.7</v>
      </c>
      <c r="E109" s="991" t="s">
        <v>1427</v>
      </c>
      <c r="F109" s="991" t="s">
        <v>33</v>
      </c>
      <c r="G109" s="985" t="s">
        <v>33</v>
      </c>
      <c r="H109" s="986">
        <v>7720</v>
      </c>
      <c r="I109" s="987">
        <v>540.40000000000009</v>
      </c>
      <c r="J109" s="992">
        <v>8260.4</v>
      </c>
      <c r="K109" s="30" t="s">
        <v>1554</v>
      </c>
      <c r="L109" s="31" t="s">
        <v>1684</v>
      </c>
      <c r="M109" s="221">
        <v>8260.4</v>
      </c>
      <c r="N109" s="215" t="s">
        <v>1561</v>
      </c>
      <c r="O109" s="215" t="s">
        <v>33</v>
      </c>
      <c r="P109" s="993"/>
      <c r="Q109" s="989">
        <f t="shared" si="7"/>
        <v>12109.999999999998</v>
      </c>
      <c r="R109" s="989">
        <f t="shared" si="8"/>
        <v>847.69999999999993</v>
      </c>
      <c r="S109" s="995">
        <f t="shared" si="9"/>
        <v>12957.699999999999</v>
      </c>
      <c r="T109" s="2"/>
    </row>
    <row r="110" spans="1:20" ht="22.5" customHeight="1" x14ac:dyDescent="0.5">
      <c r="A110" s="297">
        <v>52</v>
      </c>
      <c r="B110" s="222" t="s">
        <v>566</v>
      </c>
      <c r="C110" s="222" t="s">
        <v>567</v>
      </c>
      <c r="D110" s="211">
        <v>3402.6</v>
      </c>
      <c r="E110" s="991"/>
      <c r="F110" s="991"/>
      <c r="G110" s="985"/>
      <c r="H110" s="986">
        <v>0</v>
      </c>
      <c r="I110" s="987">
        <v>0</v>
      </c>
      <c r="J110" s="992">
        <v>0</v>
      </c>
      <c r="K110" s="30" t="s">
        <v>1559</v>
      </c>
      <c r="L110" s="31" t="s">
        <v>1685</v>
      </c>
      <c r="M110" s="221">
        <v>3402.6</v>
      </c>
      <c r="N110" s="215"/>
      <c r="O110" s="215"/>
      <c r="P110" s="993"/>
      <c r="Q110" s="989">
        <f t="shared" si="7"/>
        <v>0</v>
      </c>
      <c r="R110" s="989">
        <f t="shared" si="8"/>
        <v>0</v>
      </c>
      <c r="S110" s="995">
        <f t="shared" si="9"/>
        <v>0</v>
      </c>
      <c r="T110" s="2"/>
    </row>
    <row r="111" spans="1:20" ht="22.5" customHeight="1" x14ac:dyDescent="0.5">
      <c r="A111" s="297"/>
      <c r="B111" s="222" t="s">
        <v>568</v>
      </c>
      <c r="C111" s="222" t="s">
        <v>1288</v>
      </c>
      <c r="D111" s="997">
        <v>4354.8999999999996</v>
      </c>
      <c r="E111" s="991"/>
      <c r="F111" s="991"/>
      <c r="G111" s="985"/>
      <c r="H111" s="986">
        <v>0</v>
      </c>
      <c r="I111" s="987">
        <v>0</v>
      </c>
      <c r="J111" s="992">
        <v>0</v>
      </c>
      <c r="K111" s="30" t="s">
        <v>1559</v>
      </c>
      <c r="L111" s="31" t="s">
        <v>1685</v>
      </c>
      <c r="M111" s="221">
        <v>4354.8999999999996</v>
      </c>
      <c r="N111" s="215"/>
      <c r="O111" s="215"/>
      <c r="P111" s="993"/>
      <c r="Q111" s="989">
        <f t="shared" si="7"/>
        <v>0</v>
      </c>
      <c r="R111" s="989">
        <f t="shared" si="8"/>
        <v>0</v>
      </c>
      <c r="S111" s="995">
        <f t="shared" si="9"/>
        <v>0</v>
      </c>
      <c r="T111" s="2"/>
    </row>
    <row r="112" spans="1:20" ht="22.5" customHeight="1" x14ac:dyDescent="0.5">
      <c r="A112" s="996">
        <v>53</v>
      </c>
      <c r="B112" s="222" t="s">
        <v>705</v>
      </c>
      <c r="C112" s="222" t="s">
        <v>1288</v>
      </c>
      <c r="D112" s="997">
        <v>1048.5999999999999</v>
      </c>
      <c r="E112" s="991"/>
      <c r="F112" s="991"/>
      <c r="G112" s="985"/>
      <c r="H112" s="986">
        <v>0</v>
      </c>
      <c r="I112" s="987">
        <v>0</v>
      </c>
      <c r="J112" s="992">
        <v>0</v>
      </c>
      <c r="K112" s="30" t="s">
        <v>1548</v>
      </c>
      <c r="L112" s="31" t="s">
        <v>1686</v>
      </c>
      <c r="M112" s="221">
        <v>1048.5999999999999</v>
      </c>
      <c r="N112" s="215"/>
      <c r="O112" s="215"/>
      <c r="P112" s="994"/>
      <c r="Q112" s="989">
        <f>SUM(S112-R112)</f>
        <v>0</v>
      </c>
      <c r="R112" s="989">
        <f>SUM(S112*7/107)</f>
        <v>0</v>
      </c>
      <c r="S112" s="995">
        <f>SUM(D112+J112-M112)</f>
        <v>0</v>
      </c>
      <c r="T112" s="2"/>
    </row>
    <row r="113" spans="1:20" ht="22.5" customHeight="1" x14ac:dyDescent="0.5">
      <c r="A113" s="297">
        <v>54</v>
      </c>
      <c r="B113" s="222" t="s">
        <v>1287</v>
      </c>
      <c r="C113" s="222" t="s">
        <v>1288</v>
      </c>
      <c r="D113" s="211">
        <v>406.6</v>
      </c>
      <c r="E113" s="991"/>
      <c r="F113" s="991"/>
      <c r="G113" s="985"/>
      <c r="H113" s="986">
        <v>0</v>
      </c>
      <c r="I113" s="987">
        <v>0</v>
      </c>
      <c r="J113" s="992">
        <v>0</v>
      </c>
      <c r="K113" s="30" t="s">
        <v>1548</v>
      </c>
      <c r="L113" s="31" t="s">
        <v>1687</v>
      </c>
      <c r="M113" s="221">
        <v>406.6</v>
      </c>
      <c r="N113" s="215"/>
      <c r="O113" s="215"/>
      <c r="P113" s="994"/>
      <c r="Q113" s="989">
        <f>SUM(S113-R113)</f>
        <v>0</v>
      </c>
      <c r="R113" s="989">
        <f>SUM(S113*7/107)</f>
        <v>0</v>
      </c>
      <c r="S113" s="995">
        <f>SUM(D113+J113-M113)</f>
        <v>0</v>
      </c>
      <c r="T113" s="2"/>
    </row>
    <row r="114" spans="1:20" ht="22.5" customHeight="1" x14ac:dyDescent="0.5">
      <c r="A114" s="996">
        <v>55</v>
      </c>
      <c r="B114" s="222" t="s">
        <v>1489</v>
      </c>
      <c r="C114" s="222" t="s">
        <v>567</v>
      </c>
      <c r="D114" s="211">
        <v>385.2</v>
      </c>
      <c r="E114" s="991" t="s">
        <v>1427</v>
      </c>
      <c r="F114" s="991" t="s">
        <v>33</v>
      </c>
      <c r="G114" s="985" t="s">
        <v>33</v>
      </c>
      <c r="H114" s="986">
        <v>100</v>
      </c>
      <c r="I114" s="987">
        <v>7.0000000000000009</v>
      </c>
      <c r="J114" s="992">
        <v>107</v>
      </c>
      <c r="K114" s="30" t="s">
        <v>1552</v>
      </c>
      <c r="L114" s="31" t="s">
        <v>1688</v>
      </c>
      <c r="M114" s="221">
        <v>492.2</v>
      </c>
      <c r="N114" s="215"/>
      <c r="O114" s="215"/>
      <c r="P114" s="994"/>
      <c r="Q114" s="989">
        <f t="shared" ref="Q114:Q115" si="10">SUM(S114-R114)</f>
        <v>0</v>
      </c>
      <c r="R114" s="989">
        <f t="shared" ref="R114:R115" si="11">SUM(S114*7/107)</f>
        <v>0</v>
      </c>
      <c r="S114" s="995">
        <f t="shared" ref="S114:S115" si="12">SUM(D114+J114-M114)</f>
        <v>0</v>
      </c>
      <c r="T114" s="2"/>
    </row>
    <row r="115" spans="1:20" ht="22.5" customHeight="1" x14ac:dyDescent="0.5">
      <c r="A115" s="996"/>
      <c r="B115" s="222" t="s">
        <v>1689</v>
      </c>
      <c r="C115" s="222"/>
      <c r="D115" s="211"/>
      <c r="E115" s="991"/>
      <c r="F115" s="991"/>
      <c r="G115" s="985"/>
      <c r="H115" s="986"/>
      <c r="I115" s="987"/>
      <c r="J115" s="992"/>
      <c r="K115" s="30"/>
      <c r="L115" s="31"/>
      <c r="M115" s="221"/>
      <c r="N115" s="215"/>
      <c r="O115" s="215"/>
      <c r="P115" s="994"/>
      <c r="Q115" s="989">
        <f t="shared" si="10"/>
        <v>0</v>
      </c>
      <c r="R115" s="989">
        <f t="shared" si="11"/>
        <v>0</v>
      </c>
      <c r="S115" s="995">
        <f t="shared" si="12"/>
        <v>0</v>
      </c>
      <c r="T115" s="2"/>
    </row>
    <row r="116" spans="1:20" ht="22.5" customHeight="1" x14ac:dyDescent="0.5">
      <c r="A116" s="996">
        <v>56</v>
      </c>
      <c r="B116" s="222" t="s">
        <v>1490</v>
      </c>
      <c r="C116" s="222" t="s">
        <v>567</v>
      </c>
      <c r="D116" s="211">
        <v>631.29999999999995</v>
      </c>
      <c r="E116" s="991" t="s">
        <v>1427</v>
      </c>
      <c r="F116" s="991" t="s">
        <v>33</v>
      </c>
      <c r="G116" s="985" t="s">
        <v>33</v>
      </c>
      <c r="H116" s="986">
        <v>600</v>
      </c>
      <c r="I116" s="987">
        <v>42.000000000000007</v>
      </c>
      <c r="J116" s="992">
        <v>642</v>
      </c>
      <c r="K116" s="30" t="s">
        <v>1690</v>
      </c>
      <c r="L116" s="31" t="s">
        <v>1691</v>
      </c>
      <c r="M116" s="221">
        <v>1273.3</v>
      </c>
      <c r="N116" s="215"/>
      <c r="O116" s="215"/>
      <c r="P116" s="994"/>
      <c r="Q116" s="989">
        <f t="shared" ref="Q116:Q117" si="13">SUM(S116-R116)</f>
        <v>0</v>
      </c>
      <c r="R116" s="989">
        <f t="shared" ref="R116:R117" si="14">SUM(S116*7/107)</f>
        <v>0</v>
      </c>
      <c r="S116" s="995">
        <f t="shared" ref="S116:S117" si="15">SUM(D116+J116-M116)</f>
        <v>0</v>
      </c>
      <c r="T116" s="2"/>
    </row>
    <row r="117" spans="1:20" ht="22.5" customHeight="1" x14ac:dyDescent="0.5">
      <c r="A117" s="996"/>
      <c r="B117" s="222" t="s">
        <v>1689</v>
      </c>
      <c r="C117" s="222"/>
      <c r="D117" s="211"/>
      <c r="E117" s="991"/>
      <c r="F117" s="991"/>
      <c r="G117" s="985"/>
      <c r="H117" s="986"/>
      <c r="I117" s="987"/>
      <c r="J117" s="992"/>
      <c r="K117" s="30"/>
      <c r="L117" s="31"/>
      <c r="M117" s="221"/>
      <c r="N117" s="215"/>
      <c r="O117" s="215"/>
      <c r="P117" s="994"/>
      <c r="Q117" s="989">
        <f t="shared" si="13"/>
        <v>0</v>
      </c>
      <c r="R117" s="989">
        <f t="shared" si="14"/>
        <v>0</v>
      </c>
      <c r="S117" s="995">
        <f t="shared" si="15"/>
        <v>0</v>
      </c>
      <c r="T117" s="2"/>
    </row>
    <row r="118" spans="1:20" ht="22.5" customHeight="1" x14ac:dyDescent="0.5">
      <c r="A118" s="996">
        <v>57</v>
      </c>
      <c r="B118" s="222" t="s">
        <v>1692</v>
      </c>
      <c r="C118" s="222"/>
      <c r="D118" s="211">
        <v>1465.9</v>
      </c>
      <c r="E118" s="991"/>
      <c r="F118" s="991"/>
      <c r="G118" s="985"/>
      <c r="H118" s="986"/>
      <c r="I118" s="987"/>
      <c r="J118" s="992"/>
      <c r="K118" s="30" t="s">
        <v>1550</v>
      </c>
      <c r="L118" s="31" t="s">
        <v>1693</v>
      </c>
      <c r="M118" s="221">
        <v>1465.9</v>
      </c>
      <c r="N118" s="215"/>
      <c r="O118" s="215"/>
      <c r="P118" s="994"/>
      <c r="Q118" s="989">
        <f t="shared" ref="Q118" si="16">SUM(S118-R118)</f>
        <v>0</v>
      </c>
      <c r="R118" s="989">
        <f t="shared" ref="R118" si="17">SUM(S118*7/107)</f>
        <v>0</v>
      </c>
      <c r="S118" s="995">
        <f t="shared" ref="S118" si="18">SUM(D118+J118-M118)</f>
        <v>0</v>
      </c>
      <c r="T118" s="2"/>
    </row>
    <row r="119" spans="1:20" s="60" customFormat="1" ht="22.5" customHeight="1" thickBot="1" x14ac:dyDescent="0.35">
      <c r="A119" s="278"/>
      <c r="B119" s="278" t="s">
        <v>15</v>
      </c>
      <c r="C119" s="279"/>
      <c r="D119" s="280">
        <f>SUM(D46:D118)</f>
        <v>311819.40000000002</v>
      </c>
      <c r="E119" s="281"/>
      <c r="F119" s="281"/>
      <c r="G119" s="282"/>
      <c r="H119" s="280">
        <f>SUM(H46:H117)</f>
        <v>189820</v>
      </c>
      <c r="I119" s="280">
        <f>SUM(I46:I117)</f>
        <v>13287.399999999998</v>
      </c>
      <c r="J119" s="280">
        <f>SUM(J46:J117)</f>
        <v>203107.39999999997</v>
      </c>
      <c r="K119" s="280">
        <f>SUM(K46:K113)</f>
        <v>0</v>
      </c>
      <c r="L119" s="280">
        <f>SUM(L46:L113)</f>
        <v>0</v>
      </c>
      <c r="M119" s="1003">
        <f>SUM(M46:M118)</f>
        <v>333262.19999999995</v>
      </c>
      <c r="N119" s="280">
        <f>SUM(N46:N113)</f>
        <v>0</v>
      </c>
      <c r="O119" s="280">
        <f>SUM(O46:O113)</f>
        <v>0</v>
      </c>
      <c r="P119" s="280">
        <f>SUM(P46:P113)</f>
        <v>0</v>
      </c>
      <c r="Q119" s="280">
        <f>SUM(Q46:Q115)</f>
        <v>169780</v>
      </c>
      <c r="R119" s="280">
        <f>SUM(R46:R115)</f>
        <v>11884.6</v>
      </c>
      <c r="S119" s="280">
        <f>SUM(S46:S115)</f>
        <v>181664.6</v>
      </c>
      <c r="T119" s="59"/>
    </row>
    <row r="120" spans="1:20" ht="22.5" customHeight="1" thickTop="1" x14ac:dyDescent="0.3">
      <c r="A120" s="61"/>
      <c r="B120" s="121" t="s">
        <v>232</v>
      </c>
      <c r="C120" s="63"/>
      <c r="D120" s="64"/>
      <c r="E120" s="65"/>
      <c r="F120" s="65"/>
      <c r="G120" s="66"/>
      <c r="H120" s="67"/>
      <c r="I120" s="67"/>
      <c r="J120" s="67"/>
      <c r="K120" s="286"/>
      <c r="L120" s="287"/>
      <c r="M120" s="288"/>
      <c r="N120" s="69"/>
      <c r="O120" s="69"/>
      <c r="P120" s="70"/>
      <c r="Q120" s="71"/>
      <c r="R120" s="71"/>
      <c r="S120" s="289"/>
      <c r="T120" s="2"/>
    </row>
    <row r="121" spans="1:20" ht="22.5" customHeight="1" x14ac:dyDescent="0.5">
      <c r="A121" s="290"/>
      <c r="B121" s="291" t="s">
        <v>233</v>
      </c>
      <c r="C121" s="292"/>
      <c r="D121" s="293"/>
      <c r="E121" s="212"/>
      <c r="F121" s="212"/>
      <c r="G121" s="213"/>
      <c r="H121" s="219"/>
      <c r="I121" s="219"/>
      <c r="J121" s="219"/>
      <c r="K121" s="294"/>
      <c r="L121" s="295"/>
      <c r="M121" s="296"/>
      <c r="N121" s="41"/>
      <c r="O121" s="41"/>
      <c r="P121" s="34"/>
      <c r="Q121" s="114"/>
      <c r="R121" s="114"/>
      <c r="S121" s="36"/>
      <c r="T121" s="2"/>
    </row>
    <row r="122" spans="1:20" ht="22.5" customHeight="1" x14ac:dyDescent="0.5">
      <c r="A122" s="23">
        <v>1</v>
      </c>
      <c r="B122" s="73" t="s">
        <v>234</v>
      </c>
      <c r="C122" s="25" t="s">
        <v>235</v>
      </c>
      <c r="D122" s="43">
        <v>9450</v>
      </c>
      <c r="E122" s="212"/>
      <c r="F122" s="212"/>
      <c r="G122" s="213"/>
      <c r="H122" s="219">
        <v>0</v>
      </c>
      <c r="I122" s="219">
        <v>0</v>
      </c>
      <c r="J122" s="219">
        <v>0</v>
      </c>
      <c r="K122" s="30" t="s">
        <v>1562</v>
      </c>
      <c r="L122" s="31" t="s">
        <v>1745</v>
      </c>
      <c r="M122" s="32">
        <v>9450</v>
      </c>
      <c r="N122" s="215"/>
      <c r="O122" s="215"/>
      <c r="P122" s="216"/>
      <c r="Q122" s="114">
        <f>SUM(D122+J122-M122)</f>
        <v>0</v>
      </c>
      <c r="R122" s="114">
        <v>0</v>
      </c>
      <c r="S122" s="36">
        <f>SUM(Q122)</f>
        <v>0</v>
      </c>
      <c r="T122" s="2" t="s">
        <v>1746</v>
      </c>
    </row>
    <row r="123" spans="1:20" ht="22.5" customHeight="1" x14ac:dyDescent="0.5">
      <c r="A123" s="23">
        <v>2</v>
      </c>
      <c r="B123" s="73" t="s">
        <v>237</v>
      </c>
      <c r="C123" s="25" t="s">
        <v>238</v>
      </c>
      <c r="D123" s="43">
        <v>3150</v>
      </c>
      <c r="E123" s="212"/>
      <c r="F123" s="212"/>
      <c r="G123" s="213"/>
      <c r="H123" s="219">
        <v>0</v>
      </c>
      <c r="I123" s="219">
        <v>0</v>
      </c>
      <c r="J123" s="219">
        <v>0</v>
      </c>
      <c r="K123" s="30" t="s">
        <v>1562</v>
      </c>
      <c r="L123" s="31" t="s">
        <v>1710</v>
      </c>
      <c r="M123" s="32">
        <v>3150</v>
      </c>
      <c r="N123" s="215"/>
      <c r="O123" s="215"/>
      <c r="P123" s="216"/>
      <c r="Q123" s="114">
        <f t="shared" ref="Q123:Q162" si="19">SUM(D123+J123-M123)</f>
        <v>0</v>
      </c>
      <c r="R123" s="114">
        <v>0</v>
      </c>
      <c r="S123" s="36">
        <f t="shared" ref="S123:S162" si="20">SUM(Q123)</f>
        <v>0</v>
      </c>
      <c r="T123" s="2"/>
    </row>
    <row r="124" spans="1:20" ht="22.5" customHeight="1" x14ac:dyDescent="0.5">
      <c r="A124" s="23">
        <v>3</v>
      </c>
      <c r="B124" s="73" t="s">
        <v>240</v>
      </c>
      <c r="C124" s="25" t="s">
        <v>241</v>
      </c>
      <c r="D124" s="43">
        <v>15750</v>
      </c>
      <c r="E124" s="212" t="s">
        <v>1427</v>
      </c>
      <c r="F124" s="212" t="s">
        <v>33</v>
      </c>
      <c r="G124" s="213" t="s">
        <v>33</v>
      </c>
      <c r="H124" s="219">
        <v>15750</v>
      </c>
      <c r="I124" s="219">
        <v>0</v>
      </c>
      <c r="J124" s="219">
        <v>15750</v>
      </c>
      <c r="K124" s="30"/>
      <c r="L124" s="31"/>
      <c r="M124" s="32"/>
      <c r="N124" s="297" t="s">
        <v>1681</v>
      </c>
      <c r="O124" s="297" t="s">
        <v>115</v>
      </c>
      <c r="P124" s="216" t="s">
        <v>115</v>
      </c>
      <c r="Q124" s="114">
        <f t="shared" si="19"/>
        <v>31500</v>
      </c>
      <c r="R124" s="114">
        <v>0</v>
      </c>
      <c r="S124" s="36">
        <f t="shared" si="20"/>
        <v>31500</v>
      </c>
      <c r="T124" s="2"/>
    </row>
    <row r="125" spans="1:20" ht="22.5" customHeight="1" x14ac:dyDescent="0.5">
      <c r="A125" s="23">
        <v>4</v>
      </c>
      <c r="B125" s="73" t="s">
        <v>240</v>
      </c>
      <c r="C125" s="25" t="s">
        <v>242</v>
      </c>
      <c r="D125" s="43">
        <v>6300</v>
      </c>
      <c r="E125" s="212" t="s">
        <v>1427</v>
      </c>
      <c r="F125" s="212" t="s">
        <v>33</v>
      </c>
      <c r="G125" s="213" t="s">
        <v>33</v>
      </c>
      <c r="H125" s="219">
        <v>6300</v>
      </c>
      <c r="I125" s="219">
        <v>0</v>
      </c>
      <c r="J125" s="219">
        <v>6300</v>
      </c>
      <c r="K125" s="30"/>
      <c r="L125" s="31"/>
      <c r="M125" s="32"/>
      <c r="N125" s="297" t="s">
        <v>1681</v>
      </c>
      <c r="O125" s="297" t="s">
        <v>115</v>
      </c>
      <c r="P125" s="216" t="s">
        <v>115</v>
      </c>
      <c r="Q125" s="114">
        <f t="shared" si="19"/>
        <v>12600</v>
      </c>
      <c r="R125" s="114">
        <v>0</v>
      </c>
      <c r="S125" s="36">
        <f t="shared" si="20"/>
        <v>12600</v>
      </c>
      <c r="T125" s="2"/>
    </row>
    <row r="126" spans="1:20" ht="22.5" customHeight="1" x14ac:dyDescent="0.5">
      <c r="A126" s="23">
        <v>5</v>
      </c>
      <c r="B126" s="73" t="s">
        <v>198</v>
      </c>
      <c r="C126" s="25" t="s">
        <v>243</v>
      </c>
      <c r="D126" s="43">
        <v>22050</v>
      </c>
      <c r="E126" s="212"/>
      <c r="F126" s="212"/>
      <c r="G126" s="213"/>
      <c r="H126" s="219">
        <v>0</v>
      </c>
      <c r="I126" s="219">
        <v>0</v>
      </c>
      <c r="J126" s="219">
        <v>0</v>
      </c>
      <c r="K126" s="30" t="s">
        <v>1559</v>
      </c>
      <c r="L126" s="31" t="s">
        <v>1711</v>
      </c>
      <c r="M126" s="32">
        <v>22050</v>
      </c>
      <c r="N126" s="297"/>
      <c r="O126" s="297"/>
      <c r="P126" s="216"/>
      <c r="Q126" s="114">
        <f t="shared" si="19"/>
        <v>0</v>
      </c>
      <c r="R126" s="114">
        <v>0</v>
      </c>
      <c r="S126" s="36">
        <f t="shared" si="20"/>
        <v>0</v>
      </c>
      <c r="T126" s="2"/>
    </row>
    <row r="127" spans="1:20" ht="22.5" customHeight="1" x14ac:dyDescent="0.5">
      <c r="A127" s="23">
        <v>6</v>
      </c>
      <c r="B127" s="73" t="s">
        <v>245</v>
      </c>
      <c r="C127" s="25" t="s">
        <v>246</v>
      </c>
      <c r="D127" s="43">
        <v>9450</v>
      </c>
      <c r="E127" s="212"/>
      <c r="F127" s="212"/>
      <c r="G127" s="213"/>
      <c r="H127" s="219">
        <v>0</v>
      </c>
      <c r="I127" s="219">
        <v>0</v>
      </c>
      <c r="J127" s="219">
        <v>0</v>
      </c>
      <c r="K127" s="30" t="s">
        <v>1556</v>
      </c>
      <c r="L127" s="31" t="s">
        <v>1712</v>
      </c>
      <c r="M127" s="32">
        <v>9450</v>
      </c>
      <c r="N127" s="297"/>
      <c r="O127" s="297"/>
      <c r="P127" s="216"/>
      <c r="Q127" s="114">
        <f t="shared" si="19"/>
        <v>0</v>
      </c>
      <c r="R127" s="114">
        <v>0</v>
      </c>
      <c r="S127" s="36">
        <f t="shared" si="20"/>
        <v>0</v>
      </c>
      <c r="T127" s="2"/>
    </row>
    <row r="128" spans="1:20" ht="22.5" customHeight="1" x14ac:dyDescent="0.5">
      <c r="A128" s="23">
        <v>7</v>
      </c>
      <c r="B128" s="73" t="s">
        <v>248</v>
      </c>
      <c r="C128" s="25" t="s">
        <v>249</v>
      </c>
      <c r="D128" s="43">
        <v>6300</v>
      </c>
      <c r="E128" s="212" t="s">
        <v>1454</v>
      </c>
      <c r="F128" s="212" t="s">
        <v>115</v>
      </c>
      <c r="G128" s="213" t="s">
        <v>115</v>
      </c>
      <c r="H128" s="219">
        <v>12600</v>
      </c>
      <c r="I128" s="219">
        <v>0</v>
      </c>
      <c r="J128" s="219">
        <v>12600</v>
      </c>
      <c r="K128" s="30" t="s">
        <v>1554</v>
      </c>
      <c r="L128" s="31" t="s">
        <v>1713</v>
      </c>
      <c r="M128" s="32">
        <v>12600</v>
      </c>
      <c r="N128" s="215" t="s">
        <v>1561</v>
      </c>
      <c r="O128" s="215" t="s">
        <v>33</v>
      </c>
      <c r="P128" s="216" t="s">
        <v>33</v>
      </c>
      <c r="Q128" s="114">
        <f t="shared" si="19"/>
        <v>6300</v>
      </c>
      <c r="R128" s="114">
        <v>0</v>
      </c>
      <c r="S128" s="36">
        <f t="shared" si="20"/>
        <v>6300</v>
      </c>
      <c r="T128" s="2"/>
    </row>
    <row r="129" spans="1:20" ht="22.5" customHeight="1" x14ac:dyDescent="0.5">
      <c r="A129" s="208">
        <v>8</v>
      </c>
      <c r="B129" s="209" t="s">
        <v>250</v>
      </c>
      <c r="C129" s="210" t="s">
        <v>251</v>
      </c>
      <c r="D129" s="298">
        <v>6300</v>
      </c>
      <c r="E129" s="299" t="s">
        <v>1427</v>
      </c>
      <c r="F129" s="299" t="s">
        <v>33</v>
      </c>
      <c r="G129" s="300" t="s">
        <v>33</v>
      </c>
      <c r="H129" s="214">
        <v>6300</v>
      </c>
      <c r="I129" s="219">
        <v>0</v>
      </c>
      <c r="J129" s="219">
        <v>6300</v>
      </c>
      <c r="K129" s="30" t="s">
        <v>1611</v>
      </c>
      <c r="L129" s="31" t="s">
        <v>1714</v>
      </c>
      <c r="M129" s="32">
        <v>6300</v>
      </c>
      <c r="N129" s="215" t="s">
        <v>1561</v>
      </c>
      <c r="O129" s="215" t="s">
        <v>33</v>
      </c>
      <c r="P129" s="216" t="s">
        <v>33</v>
      </c>
      <c r="Q129" s="114">
        <f t="shared" si="19"/>
        <v>6300</v>
      </c>
      <c r="R129" s="114">
        <v>0</v>
      </c>
      <c r="S129" s="36">
        <f t="shared" si="20"/>
        <v>6300</v>
      </c>
      <c r="T129" s="218"/>
    </row>
    <row r="130" spans="1:20" ht="22.5" customHeight="1" x14ac:dyDescent="0.5">
      <c r="A130" s="23">
        <v>9</v>
      </c>
      <c r="B130" s="73" t="s">
        <v>253</v>
      </c>
      <c r="C130" s="25" t="s">
        <v>254</v>
      </c>
      <c r="D130" s="43">
        <v>9450</v>
      </c>
      <c r="E130" s="212"/>
      <c r="F130" s="212"/>
      <c r="G130" s="213"/>
      <c r="H130" s="219">
        <v>0</v>
      </c>
      <c r="I130" s="219">
        <v>0</v>
      </c>
      <c r="J130" s="219">
        <v>0</v>
      </c>
      <c r="K130" s="30"/>
      <c r="L130" s="31"/>
      <c r="M130" s="32"/>
      <c r="N130" s="215" t="s">
        <v>1561</v>
      </c>
      <c r="O130" s="215" t="s">
        <v>33</v>
      </c>
      <c r="P130" s="216" t="s">
        <v>33</v>
      </c>
      <c r="Q130" s="114">
        <f t="shared" si="19"/>
        <v>9450</v>
      </c>
      <c r="R130" s="114">
        <v>0</v>
      </c>
      <c r="S130" s="36">
        <f t="shared" si="20"/>
        <v>9450</v>
      </c>
    </row>
    <row r="131" spans="1:20" ht="22.5" customHeight="1" x14ac:dyDescent="0.5">
      <c r="A131" s="23"/>
      <c r="B131" s="301" t="s">
        <v>256</v>
      </c>
      <c r="C131" s="25"/>
      <c r="D131" s="43"/>
      <c r="E131" s="302"/>
      <c r="F131" s="302"/>
      <c r="G131" s="303"/>
      <c r="H131" s="304">
        <v>0</v>
      </c>
      <c r="I131" s="304">
        <v>0</v>
      </c>
      <c r="J131" s="304">
        <v>0</v>
      </c>
      <c r="K131" s="30"/>
      <c r="L131" s="31"/>
      <c r="M131" s="32"/>
      <c r="N131" s="297"/>
      <c r="O131" s="297"/>
      <c r="P131" s="216"/>
      <c r="Q131" s="114">
        <f t="shared" si="19"/>
        <v>0</v>
      </c>
      <c r="R131" s="114">
        <v>0</v>
      </c>
      <c r="S131" s="36">
        <f t="shared" si="20"/>
        <v>0</v>
      </c>
    </row>
    <row r="132" spans="1:20" ht="22.5" customHeight="1" x14ac:dyDescent="0.5">
      <c r="A132" s="23">
        <v>10</v>
      </c>
      <c r="B132" s="73" t="s">
        <v>257</v>
      </c>
      <c r="C132" s="25" t="s">
        <v>258</v>
      </c>
      <c r="D132" s="43">
        <v>5600</v>
      </c>
      <c r="E132" s="212"/>
      <c r="F132" s="212"/>
      <c r="G132" s="213"/>
      <c r="H132" s="219">
        <v>0</v>
      </c>
      <c r="I132" s="219">
        <v>0</v>
      </c>
      <c r="J132" s="219">
        <v>0</v>
      </c>
      <c r="K132" s="30" t="s">
        <v>1556</v>
      </c>
      <c r="L132" s="31" t="s">
        <v>1715</v>
      </c>
      <c r="M132" s="32">
        <v>5600</v>
      </c>
      <c r="N132" s="297"/>
      <c r="O132" s="297"/>
      <c r="P132" s="216"/>
      <c r="Q132" s="114">
        <f t="shared" si="19"/>
        <v>0</v>
      </c>
      <c r="R132" s="114">
        <v>0</v>
      </c>
      <c r="S132" s="36">
        <f t="shared" si="20"/>
        <v>0</v>
      </c>
    </row>
    <row r="133" spans="1:20" ht="22.5" customHeight="1" x14ac:dyDescent="0.5">
      <c r="A133" s="23">
        <v>11</v>
      </c>
      <c r="B133" s="73" t="s">
        <v>198</v>
      </c>
      <c r="C133" s="25" t="s">
        <v>260</v>
      </c>
      <c r="D133" s="43">
        <v>2800</v>
      </c>
      <c r="E133" s="212"/>
      <c r="F133" s="212"/>
      <c r="G133" s="213"/>
      <c r="H133" s="219">
        <v>0</v>
      </c>
      <c r="I133" s="219">
        <v>0</v>
      </c>
      <c r="J133" s="219">
        <v>0</v>
      </c>
      <c r="K133" s="30" t="s">
        <v>1559</v>
      </c>
      <c r="L133" s="31" t="s">
        <v>1711</v>
      </c>
      <c r="M133" s="32">
        <v>2800</v>
      </c>
      <c r="N133" s="297"/>
      <c r="O133" s="297"/>
      <c r="P133" s="216"/>
      <c r="Q133" s="114">
        <f t="shared" si="19"/>
        <v>0</v>
      </c>
      <c r="R133" s="114">
        <v>0</v>
      </c>
      <c r="S133" s="36">
        <f t="shared" si="20"/>
        <v>0</v>
      </c>
    </row>
    <row r="134" spans="1:20" ht="22.5" customHeight="1" x14ac:dyDescent="0.5">
      <c r="A134" s="23">
        <v>12</v>
      </c>
      <c r="B134" s="73" t="s">
        <v>261</v>
      </c>
      <c r="C134" s="25" t="s">
        <v>262</v>
      </c>
      <c r="D134" s="43">
        <v>5600</v>
      </c>
      <c r="E134" s="212" t="s">
        <v>1427</v>
      </c>
      <c r="F134" s="212" t="s">
        <v>33</v>
      </c>
      <c r="G134" s="213" t="s">
        <v>33</v>
      </c>
      <c r="H134" s="219">
        <v>5600</v>
      </c>
      <c r="I134" s="219">
        <v>0</v>
      </c>
      <c r="J134" s="219">
        <v>5600</v>
      </c>
      <c r="K134" s="30" t="s">
        <v>1554</v>
      </c>
      <c r="L134" s="31" t="s">
        <v>1716</v>
      </c>
      <c r="M134" s="32">
        <v>5600</v>
      </c>
      <c r="N134" s="215" t="s">
        <v>1561</v>
      </c>
      <c r="O134" s="215" t="s">
        <v>33</v>
      </c>
      <c r="P134" s="216" t="s">
        <v>33</v>
      </c>
      <c r="Q134" s="114">
        <f t="shared" si="19"/>
        <v>5600</v>
      </c>
      <c r="R134" s="114">
        <v>0</v>
      </c>
      <c r="S134" s="36">
        <f t="shared" si="20"/>
        <v>5600</v>
      </c>
    </row>
    <row r="135" spans="1:20" ht="22.5" customHeight="1" x14ac:dyDescent="0.5">
      <c r="A135" s="23">
        <v>13</v>
      </c>
      <c r="B135" s="73" t="s">
        <v>264</v>
      </c>
      <c r="C135" s="25" t="s">
        <v>265</v>
      </c>
      <c r="D135" s="43">
        <v>5600</v>
      </c>
      <c r="E135" s="212" t="s">
        <v>1427</v>
      </c>
      <c r="F135" s="212" t="s">
        <v>33</v>
      </c>
      <c r="G135" s="213" t="s">
        <v>33</v>
      </c>
      <c r="H135" s="219">
        <v>5600</v>
      </c>
      <c r="I135" s="219">
        <v>0</v>
      </c>
      <c r="J135" s="219">
        <v>5600</v>
      </c>
      <c r="K135" s="30" t="s">
        <v>1554</v>
      </c>
      <c r="L135" s="31" t="s">
        <v>1716</v>
      </c>
      <c r="M135" s="32">
        <v>5600</v>
      </c>
      <c r="N135" s="215" t="s">
        <v>1561</v>
      </c>
      <c r="O135" s="215" t="s">
        <v>33</v>
      </c>
      <c r="P135" s="216" t="s">
        <v>33</v>
      </c>
      <c r="Q135" s="114">
        <f t="shared" si="19"/>
        <v>5600</v>
      </c>
      <c r="R135" s="114">
        <v>0</v>
      </c>
      <c r="S135" s="36">
        <f t="shared" si="20"/>
        <v>5600</v>
      </c>
    </row>
    <row r="136" spans="1:20" ht="22.5" customHeight="1" x14ac:dyDescent="0.5">
      <c r="A136" s="23">
        <v>14</v>
      </c>
      <c r="B136" s="73" t="s">
        <v>266</v>
      </c>
      <c r="C136" s="25" t="s">
        <v>267</v>
      </c>
      <c r="D136" s="43">
        <v>5600</v>
      </c>
      <c r="E136" s="212"/>
      <c r="F136" s="212"/>
      <c r="G136" s="213"/>
      <c r="H136" s="219">
        <v>0</v>
      </c>
      <c r="I136" s="219">
        <v>0</v>
      </c>
      <c r="J136" s="219">
        <v>0</v>
      </c>
      <c r="K136" s="30" t="s">
        <v>1556</v>
      </c>
      <c r="L136" s="31" t="s">
        <v>1717</v>
      </c>
      <c r="M136" s="32">
        <v>5600</v>
      </c>
      <c r="N136" s="297"/>
      <c r="O136" s="297"/>
      <c r="P136" s="216"/>
      <c r="Q136" s="114">
        <f t="shared" si="19"/>
        <v>0</v>
      </c>
      <c r="R136" s="114">
        <v>0</v>
      </c>
      <c r="S136" s="36">
        <f t="shared" si="20"/>
        <v>0</v>
      </c>
    </row>
    <row r="137" spans="1:20" ht="22.5" customHeight="1" x14ac:dyDescent="0.5">
      <c r="A137" s="23"/>
      <c r="B137" s="301" t="s">
        <v>269</v>
      </c>
      <c r="C137" s="25"/>
      <c r="D137" s="43"/>
      <c r="E137" s="302"/>
      <c r="F137" s="302"/>
      <c r="G137" s="303"/>
      <c r="H137" s="304">
        <v>0</v>
      </c>
      <c r="I137" s="304">
        <v>0</v>
      </c>
      <c r="J137" s="304">
        <v>0</v>
      </c>
      <c r="K137" s="30"/>
      <c r="L137" s="31"/>
      <c r="M137" s="32"/>
      <c r="N137" s="297"/>
      <c r="O137" s="297"/>
      <c r="P137" s="216"/>
      <c r="Q137" s="114">
        <f t="shared" si="19"/>
        <v>0</v>
      </c>
      <c r="R137" s="114">
        <v>0</v>
      </c>
      <c r="S137" s="36">
        <f t="shared" si="20"/>
        <v>0</v>
      </c>
    </row>
    <row r="138" spans="1:20" ht="22.5" customHeight="1" x14ac:dyDescent="0.5">
      <c r="A138" s="23">
        <v>1</v>
      </c>
      <c r="B138" s="73" t="s">
        <v>270</v>
      </c>
      <c r="C138" s="25" t="s">
        <v>271</v>
      </c>
      <c r="D138" s="43">
        <v>9450</v>
      </c>
      <c r="E138" s="212"/>
      <c r="F138" s="212"/>
      <c r="G138" s="213"/>
      <c r="H138" s="219">
        <v>0</v>
      </c>
      <c r="I138" s="219">
        <v>0</v>
      </c>
      <c r="J138" s="219">
        <v>0</v>
      </c>
      <c r="K138" s="30" t="s">
        <v>1554</v>
      </c>
      <c r="L138" s="31" t="s">
        <v>1718</v>
      </c>
      <c r="M138" s="32">
        <v>9450</v>
      </c>
      <c r="N138" s="307"/>
      <c r="O138" s="307"/>
      <c r="P138" s="308"/>
      <c r="Q138" s="114">
        <f t="shared" si="19"/>
        <v>0</v>
      </c>
      <c r="R138" s="114">
        <v>0</v>
      </c>
      <c r="S138" s="36">
        <f t="shared" si="20"/>
        <v>0</v>
      </c>
    </row>
    <row r="139" spans="1:20" ht="22.5" customHeight="1" x14ac:dyDescent="0.5">
      <c r="A139" s="23">
        <v>2</v>
      </c>
      <c r="B139" s="73" t="s">
        <v>261</v>
      </c>
      <c r="C139" s="25" t="s">
        <v>273</v>
      </c>
      <c r="D139" s="43">
        <v>9450</v>
      </c>
      <c r="E139" s="212" t="s">
        <v>1427</v>
      </c>
      <c r="F139" s="212" t="s">
        <v>33</v>
      </c>
      <c r="G139" s="213" t="s">
        <v>33</v>
      </c>
      <c r="H139" s="219">
        <v>9450</v>
      </c>
      <c r="I139" s="219">
        <v>0</v>
      </c>
      <c r="J139" s="219">
        <v>9450</v>
      </c>
      <c r="K139" s="30" t="s">
        <v>1554</v>
      </c>
      <c r="L139" s="31" t="s">
        <v>1716</v>
      </c>
      <c r="M139" s="32">
        <v>9450</v>
      </c>
      <c r="N139" s="215" t="s">
        <v>1561</v>
      </c>
      <c r="O139" s="215" t="s">
        <v>33</v>
      </c>
      <c r="P139" s="216" t="s">
        <v>33</v>
      </c>
      <c r="Q139" s="114">
        <f t="shared" si="19"/>
        <v>9450</v>
      </c>
      <c r="R139" s="114">
        <v>0</v>
      </c>
      <c r="S139" s="36">
        <f t="shared" si="20"/>
        <v>9450</v>
      </c>
    </row>
    <row r="140" spans="1:20" ht="22.5" customHeight="1" x14ac:dyDescent="0.5">
      <c r="A140" s="23">
        <v>3</v>
      </c>
      <c r="B140" s="73" t="s">
        <v>274</v>
      </c>
      <c r="C140" s="25" t="s">
        <v>275</v>
      </c>
      <c r="D140" s="43">
        <v>3150</v>
      </c>
      <c r="E140" s="212"/>
      <c r="F140" s="212"/>
      <c r="G140" s="213"/>
      <c r="H140" s="219">
        <v>0</v>
      </c>
      <c r="I140" s="219">
        <v>0</v>
      </c>
      <c r="J140" s="219">
        <v>0</v>
      </c>
      <c r="K140" s="30" t="s">
        <v>1569</v>
      </c>
      <c r="L140" s="31" t="s">
        <v>1719</v>
      </c>
      <c r="M140" s="32">
        <v>3150</v>
      </c>
      <c r="N140" s="297"/>
      <c r="O140" s="297"/>
      <c r="P140" s="216"/>
      <c r="Q140" s="114">
        <f t="shared" si="19"/>
        <v>0</v>
      </c>
      <c r="R140" s="114">
        <v>0</v>
      </c>
      <c r="S140" s="36">
        <f t="shared" si="20"/>
        <v>0</v>
      </c>
      <c r="T140" s="2"/>
    </row>
    <row r="141" spans="1:20" ht="22.5" customHeight="1" x14ac:dyDescent="0.5">
      <c r="A141" s="23">
        <v>4</v>
      </c>
      <c r="B141" s="73" t="s">
        <v>277</v>
      </c>
      <c r="C141" s="25" t="s">
        <v>278</v>
      </c>
      <c r="D141" s="43">
        <v>6300</v>
      </c>
      <c r="E141" s="212"/>
      <c r="F141" s="212"/>
      <c r="G141" s="213"/>
      <c r="H141" s="219">
        <v>0</v>
      </c>
      <c r="I141" s="219">
        <v>0</v>
      </c>
      <c r="J141" s="219">
        <v>0</v>
      </c>
      <c r="K141" s="30" t="s">
        <v>1701</v>
      </c>
      <c r="L141" s="31" t="s">
        <v>1720</v>
      </c>
      <c r="M141" s="32">
        <v>6300</v>
      </c>
      <c r="N141" s="297"/>
      <c r="O141" s="297"/>
      <c r="P141" s="216"/>
      <c r="Q141" s="114">
        <f t="shared" si="19"/>
        <v>0</v>
      </c>
      <c r="R141" s="114">
        <v>0</v>
      </c>
      <c r="S141" s="36">
        <f t="shared" si="20"/>
        <v>0</v>
      </c>
      <c r="T141" s="2"/>
    </row>
    <row r="142" spans="1:20" ht="22.5" customHeight="1" x14ac:dyDescent="0.5">
      <c r="A142" s="23"/>
      <c r="B142" s="301" t="s">
        <v>280</v>
      </c>
      <c r="C142" s="25"/>
      <c r="D142" s="43"/>
      <c r="E142" s="302"/>
      <c r="F142" s="302"/>
      <c r="G142" s="303"/>
      <c r="H142" s="304">
        <v>0</v>
      </c>
      <c r="I142" s="304">
        <v>0</v>
      </c>
      <c r="J142" s="304">
        <v>0</v>
      </c>
      <c r="K142" s="30"/>
      <c r="L142" s="31"/>
      <c r="M142" s="32"/>
      <c r="N142" s="297"/>
      <c r="O142" s="297"/>
      <c r="P142" s="216"/>
      <c r="Q142" s="114">
        <f t="shared" si="19"/>
        <v>0</v>
      </c>
      <c r="R142" s="114">
        <v>0</v>
      </c>
      <c r="S142" s="36">
        <f t="shared" si="20"/>
        <v>0</v>
      </c>
      <c r="T142" s="2"/>
    </row>
    <row r="143" spans="1:20" ht="22.5" customHeight="1" x14ac:dyDescent="0.5">
      <c r="A143" s="23">
        <v>1</v>
      </c>
      <c r="B143" s="73" t="s">
        <v>281</v>
      </c>
      <c r="C143" s="25" t="s">
        <v>282</v>
      </c>
      <c r="D143" s="43">
        <v>5600</v>
      </c>
      <c r="E143" s="212" t="s">
        <v>1427</v>
      </c>
      <c r="F143" s="212" t="s">
        <v>33</v>
      </c>
      <c r="G143" s="213" t="s">
        <v>33</v>
      </c>
      <c r="H143" s="219">
        <v>5600</v>
      </c>
      <c r="I143" s="219">
        <v>0</v>
      </c>
      <c r="J143" s="219">
        <v>5600</v>
      </c>
      <c r="K143" s="30" t="s">
        <v>1554</v>
      </c>
      <c r="L143" s="31" t="s">
        <v>1721</v>
      </c>
      <c r="M143" s="32">
        <v>5600</v>
      </c>
      <c r="N143" s="215" t="s">
        <v>1561</v>
      </c>
      <c r="O143" s="215" t="s">
        <v>33</v>
      </c>
      <c r="P143" s="216" t="s">
        <v>33</v>
      </c>
      <c r="Q143" s="114">
        <f t="shared" si="19"/>
        <v>5600</v>
      </c>
      <c r="R143" s="114">
        <v>0</v>
      </c>
      <c r="S143" s="36">
        <f t="shared" si="20"/>
        <v>5600</v>
      </c>
      <c r="T143" s="2"/>
    </row>
    <row r="144" spans="1:20" ht="22.5" customHeight="1" x14ac:dyDescent="0.5">
      <c r="A144" s="23">
        <v>2</v>
      </c>
      <c r="B144" s="73" t="s">
        <v>287</v>
      </c>
      <c r="C144" s="25" t="s">
        <v>288</v>
      </c>
      <c r="D144" s="43">
        <v>5600</v>
      </c>
      <c r="E144" s="212"/>
      <c r="F144" s="212"/>
      <c r="G144" s="213"/>
      <c r="H144" s="219">
        <v>0</v>
      </c>
      <c r="I144" s="219">
        <v>0</v>
      </c>
      <c r="J144" s="219">
        <v>0</v>
      </c>
      <c r="K144" s="30" t="s">
        <v>1552</v>
      </c>
      <c r="L144" s="31" t="s">
        <v>1722</v>
      </c>
      <c r="M144" s="32">
        <v>5600</v>
      </c>
      <c r="N144" s="215"/>
      <c r="O144" s="215"/>
      <c r="P144" s="216"/>
      <c r="Q144" s="114">
        <f t="shared" si="19"/>
        <v>0</v>
      </c>
      <c r="R144" s="114">
        <v>0</v>
      </c>
      <c r="S144" s="36">
        <f t="shared" si="20"/>
        <v>0</v>
      </c>
      <c r="T144" s="2"/>
    </row>
    <row r="145" spans="1:21" ht="22.5" customHeight="1" x14ac:dyDescent="0.5">
      <c r="A145" s="23">
        <v>3</v>
      </c>
      <c r="B145" s="73" t="s">
        <v>290</v>
      </c>
      <c r="C145" s="25" t="s">
        <v>291</v>
      </c>
      <c r="D145" s="43">
        <v>5600</v>
      </c>
      <c r="E145" s="212"/>
      <c r="F145" s="212"/>
      <c r="G145" s="213"/>
      <c r="H145" s="219">
        <v>0</v>
      </c>
      <c r="I145" s="219">
        <v>0</v>
      </c>
      <c r="J145" s="219">
        <v>0</v>
      </c>
      <c r="K145" s="30" t="s">
        <v>1556</v>
      </c>
      <c r="L145" s="31" t="s">
        <v>1723</v>
      </c>
      <c r="M145" s="32">
        <v>5600</v>
      </c>
      <c r="N145" s="215"/>
      <c r="O145" s="215"/>
      <c r="P145" s="216"/>
      <c r="Q145" s="114">
        <f t="shared" si="19"/>
        <v>0</v>
      </c>
      <c r="R145" s="114">
        <v>0</v>
      </c>
      <c r="S145" s="36">
        <f t="shared" si="20"/>
        <v>0</v>
      </c>
      <c r="T145" s="2"/>
    </row>
    <row r="146" spans="1:21" ht="22.5" customHeight="1" x14ac:dyDescent="0.5">
      <c r="A146" s="23">
        <v>4</v>
      </c>
      <c r="B146" s="73" t="s">
        <v>293</v>
      </c>
      <c r="C146" s="25" t="s">
        <v>294</v>
      </c>
      <c r="D146" s="43">
        <v>2800</v>
      </c>
      <c r="E146" s="212"/>
      <c r="F146" s="212"/>
      <c r="G146" s="213"/>
      <c r="H146" s="219">
        <v>0</v>
      </c>
      <c r="I146" s="219">
        <v>0</v>
      </c>
      <c r="J146" s="219">
        <v>0</v>
      </c>
      <c r="K146" s="30" t="s">
        <v>1556</v>
      </c>
      <c r="L146" s="31" t="s">
        <v>1724</v>
      </c>
      <c r="M146" s="32">
        <v>2800</v>
      </c>
      <c r="N146" s="215"/>
      <c r="O146" s="215"/>
      <c r="P146" s="216"/>
      <c r="Q146" s="114">
        <f t="shared" si="19"/>
        <v>0</v>
      </c>
      <c r="R146" s="114">
        <v>0</v>
      </c>
      <c r="S146" s="36">
        <f t="shared" si="20"/>
        <v>0</v>
      </c>
      <c r="T146" s="2"/>
    </row>
    <row r="147" spans="1:21" ht="22.5" customHeight="1" x14ac:dyDescent="0.5">
      <c r="A147" s="23">
        <v>5</v>
      </c>
      <c r="B147" s="73" t="s">
        <v>296</v>
      </c>
      <c r="C147" s="25" t="s">
        <v>297</v>
      </c>
      <c r="D147" s="43">
        <v>5600</v>
      </c>
      <c r="E147" s="212"/>
      <c r="F147" s="212"/>
      <c r="G147" s="213"/>
      <c r="H147" s="219">
        <v>0</v>
      </c>
      <c r="I147" s="219">
        <v>0</v>
      </c>
      <c r="J147" s="219">
        <v>0</v>
      </c>
      <c r="K147" s="30" t="s">
        <v>1566</v>
      </c>
      <c r="L147" s="31" t="s">
        <v>1725</v>
      </c>
      <c r="M147" s="32">
        <v>5600</v>
      </c>
      <c r="N147" s="297"/>
      <c r="O147" s="297"/>
      <c r="P147" s="216"/>
      <c r="Q147" s="114">
        <f t="shared" si="19"/>
        <v>0</v>
      </c>
      <c r="R147" s="114">
        <v>0</v>
      </c>
      <c r="S147" s="36">
        <f t="shared" si="20"/>
        <v>0</v>
      </c>
      <c r="T147" s="2"/>
      <c r="U147" s="3">
        <v>700</v>
      </c>
    </row>
    <row r="148" spans="1:21" ht="22.5" customHeight="1" x14ac:dyDescent="0.5">
      <c r="A148" s="23"/>
      <c r="B148" s="301" t="s">
        <v>299</v>
      </c>
      <c r="C148" s="25"/>
      <c r="D148" s="43"/>
      <c r="E148" s="302"/>
      <c r="F148" s="302"/>
      <c r="G148" s="303"/>
      <c r="H148" s="304">
        <v>0</v>
      </c>
      <c r="I148" s="304">
        <v>0</v>
      </c>
      <c r="J148" s="304">
        <v>0</v>
      </c>
      <c r="K148" s="30"/>
      <c r="L148" s="31"/>
      <c r="M148" s="32"/>
      <c r="N148" s="297"/>
      <c r="O148" s="297"/>
      <c r="P148" s="216"/>
      <c r="Q148" s="114">
        <f t="shared" si="19"/>
        <v>0</v>
      </c>
      <c r="R148" s="114">
        <v>0</v>
      </c>
      <c r="S148" s="36">
        <f t="shared" si="20"/>
        <v>0</v>
      </c>
      <c r="T148" s="2"/>
    </row>
    <row r="149" spans="1:21" ht="22.5" customHeight="1" x14ac:dyDescent="0.5">
      <c r="A149" s="208">
        <v>1</v>
      </c>
      <c r="B149" s="209" t="s">
        <v>300</v>
      </c>
      <c r="C149" s="210" t="s">
        <v>301</v>
      </c>
      <c r="D149" s="298">
        <v>5600</v>
      </c>
      <c r="E149" s="299" t="s">
        <v>1427</v>
      </c>
      <c r="F149" s="299" t="s">
        <v>33</v>
      </c>
      <c r="G149" s="300" t="s">
        <v>33</v>
      </c>
      <c r="H149" s="214">
        <v>5600</v>
      </c>
      <c r="I149" s="214">
        <v>0</v>
      </c>
      <c r="J149" s="214">
        <v>5600</v>
      </c>
      <c r="K149" s="30" t="s">
        <v>1548</v>
      </c>
      <c r="L149" s="31" t="s">
        <v>1726</v>
      </c>
      <c r="M149" s="32">
        <v>5600</v>
      </c>
      <c r="N149" s="215" t="s">
        <v>1561</v>
      </c>
      <c r="O149" s="215" t="s">
        <v>33</v>
      </c>
      <c r="P149" s="216" t="s">
        <v>33</v>
      </c>
      <c r="Q149" s="114">
        <f t="shared" si="19"/>
        <v>5600</v>
      </c>
      <c r="R149" s="114">
        <v>0</v>
      </c>
      <c r="S149" s="36">
        <f t="shared" si="20"/>
        <v>5600</v>
      </c>
      <c r="T149" s="2"/>
    </row>
    <row r="150" spans="1:21" ht="22.5" customHeight="1" x14ac:dyDescent="0.5">
      <c r="A150" s="208">
        <v>2</v>
      </c>
      <c r="B150" s="209" t="s">
        <v>303</v>
      </c>
      <c r="C150" s="210" t="s">
        <v>304</v>
      </c>
      <c r="D150" s="298">
        <v>2800</v>
      </c>
      <c r="E150" s="299"/>
      <c r="F150" s="299"/>
      <c r="G150" s="300"/>
      <c r="H150" s="214">
        <v>0</v>
      </c>
      <c r="I150" s="214">
        <v>0</v>
      </c>
      <c r="J150" s="214">
        <v>0</v>
      </c>
      <c r="K150" s="30"/>
      <c r="L150" s="249"/>
      <c r="M150" s="221"/>
      <c r="N150" s="215" t="s">
        <v>1561</v>
      </c>
      <c r="O150" s="215" t="s">
        <v>33</v>
      </c>
      <c r="P150" s="216" t="s">
        <v>33</v>
      </c>
      <c r="Q150" s="114">
        <f t="shared" si="19"/>
        <v>2800</v>
      </c>
      <c r="R150" s="114">
        <v>0</v>
      </c>
      <c r="S150" s="36">
        <f t="shared" si="20"/>
        <v>2800</v>
      </c>
      <c r="T150" s="2"/>
    </row>
    <row r="151" spans="1:21" ht="22.5" customHeight="1" x14ac:dyDescent="0.5">
      <c r="A151" s="208">
        <v>3</v>
      </c>
      <c r="B151" s="209" t="s">
        <v>306</v>
      </c>
      <c r="C151" s="210" t="s">
        <v>307</v>
      </c>
      <c r="D151" s="298">
        <v>5600</v>
      </c>
      <c r="E151" s="299"/>
      <c r="F151" s="299"/>
      <c r="G151" s="300"/>
      <c r="H151" s="214">
        <v>0</v>
      </c>
      <c r="I151" s="214">
        <v>0</v>
      </c>
      <c r="J151" s="214">
        <v>0</v>
      </c>
      <c r="K151" s="30" t="s">
        <v>1566</v>
      </c>
      <c r="L151" s="31" t="s">
        <v>1725</v>
      </c>
      <c r="M151" s="32">
        <v>5600</v>
      </c>
      <c r="N151" s="215"/>
      <c r="O151" s="215"/>
      <c r="P151" s="216"/>
      <c r="Q151" s="114">
        <f t="shared" si="19"/>
        <v>0</v>
      </c>
      <c r="R151" s="114">
        <v>0</v>
      </c>
      <c r="S151" s="36">
        <f t="shared" si="20"/>
        <v>0</v>
      </c>
      <c r="T151" s="218"/>
      <c r="U151" s="309"/>
    </row>
    <row r="152" spans="1:21" ht="22.5" customHeight="1" x14ac:dyDescent="0.5">
      <c r="A152" s="208">
        <v>4</v>
      </c>
      <c r="B152" s="73" t="s">
        <v>308</v>
      </c>
      <c r="C152" s="25" t="s">
        <v>309</v>
      </c>
      <c r="D152" s="43">
        <v>8400</v>
      </c>
      <c r="E152" s="212"/>
      <c r="F152" s="212"/>
      <c r="G152" s="213"/>
      <c r="H152" s="219">
        <v>0</v>
      </c>
      <c r="I152" s="219">
        <v>0</v>
      </c>
      <c r="J152" s="219">
        <v>0</v>
      </c>
      <c r="K152" s="30" t="s">
        <v>1556</v>
      </c>
      <c r="L152" s="31" t="s">
        <v>1727</v>
      </c>
      <c r="M152" s="32">
        <v>8400</v>
      </c>
      <c r="N152" s="215"/>
      <c r="O152" s="215"/>
      <c r="P152" s="216"/>
      <c r="Q152" s="114">
        <f t="shared" si="19"/>
        <v>0</v>
      </c>
      <c r="R152" s="114">
        <v>0</v>
      </c>
      <c r="S152" s="36">
        <f t="shared" si="20"/>
        <v>0</v>
      </c>
    </row>
    <row r="153" spans="1:21" ht="22.5" customHeight="1" x14ac:dyDescent="0.5">
      <c r="A153" s="208">
        <v>5</v>
      </c>
      <c r="B153" s="73" t="s">
        <v>261</v>
      </c>
      <c r="C153" s="25" t="s">
        <v>311</v>
      </c>
      <c r="D153" s="43">
        <v>2800</v>
      </c>
      <c r="E153" s="212" t="s">
        <v>1427</v>
      </c>
      <c r="F153" s="212" t="s">
        <v>33</v>
      </c>
      <c r="G153" s="213" t="s">
        <v>33</v>
      </c>
      <c r="H153" s="219">
        <v>2800</v>
      </c>
      <c r="I153" s="219">
        <v>0</v>
      </c>
      <c r="J153" s="219">
        <v>2800</v>
      </c>
      <c r="K153" s="30" t="s">
        <v>1554</v>
      </c>
      <c r="L153" s="31" t="s">
        <v>1716</v>
      </c>
      <c r="M153" s="32">
        <v>2800</v>
      </c>
      <c r="N153" s="215" t="s">
        <v>1561</v>
      </c>
      <c r="O153" s="215" t="s">
        <v>33</v>
      </c>
      <c r="P153" s="216" t="s">
        <v>33</v>
      </c>
      <c r="Q153" s="114">
        <f t="shared" si="19"/>
        <v>2800</v>
      </c>
      <c r="R153" s="114">
        <v>0</v>
      </c>
      <c r="S153" s="36">
        <f t="shared" si="20"/>
        <v>2800</v>
      </c>
    </row>
    <row r="154" spans="1:21" ht="22.5" customHeight="1" x14ac:dyDescent="0.5">
      <c r="A154" s="148">
        <v>6</v>
      </c>
      <c r="B154" s="310" t="s">
        <v>261</v>
      </c>
      <c r="C154" s="311" t="s">
        <v>312</v>
      </c>
      <c r="D154" s="312">
        <v>2800</v>
      </c>
      <c r="E154" s="27" t="s">
        <v>1427</v>
      </c>
      <c r="F154" s="27" t="s">
        <v>33</v>
      </c>
      <c r="G154" s="75" t="s">
        <v>33</v>
      </c>
      <c r="H154" s="76">
        <v>2800</v>
      </c>
      <c r="I154" s="76">
        <v>0</v>
      </c>
      <c r="J154" s="76">
        <v>2800</v>
      </c>
      <c r="K154" s="30" t="s">
        <v>1554</v>
      </c>
      <c r="L154" s="31" t="s">
        <v>1716</v>
      </c>
      <c r="M154" s="32">
        <v>2800</v>
      </c>
      <c r="N154" s="215" t="s">
        <v>1561</v>
      </c>
      <c r="O154" s="215" t="s">
        <v>33</v>
      </c>
      <c r="P154" s="216" t="s">
        <v>33</v>
      </c>
      <c r="Q154" s="114">
        <f t="shared" si="19"/>
        <v>2800</v>
      </c>
      <c r="R154" s="114">
        <v>0</v>
      </c>
      <c r="S154" s="36">
        <f t="shared" si="20"/>
        <v>2800</v>
      </c>
    </row>
    <row r="155" spans="1:21" ht="22.5" customHeight="1" x14ac:dyDescent="0.5">
      <c r="A155" s="208">
        <v>7</v>
      </c>
      <c r="B155" s="73" t="s">
        <v>313</v>
      </c>
      <c r="C155" s="25" t="s">
        <v>314</v>
      </c>
      <c r="D155" s="43">
        <v>2800</v>
      </c>
      <c r="E155" s="212"/>
      <c r="F155" s="212"/>
      <c r="G155" s="213"/>
      <c r="H155" s="219">
        <v>0</v>
      </c>
      <c r="I155" s="219">
        <v>0</v>
      </c>
      <c r="J155" s="219">
        <v>0</v>
      </c>
      <c r="K155" s="30"/>
      <c r="L155" s="31"/>
      <c r="M155" s="32"/>
      <c r="N155" s="215" t="s">
        <v>1561</v>
      </c>
      <c r="O155" s="215" t="s">
        <v>33</v>
      </c>
      <c r="P155" s="216" t="s">
        <v>33</v>
      </c>
      <c r="Q155" s="114">
        <f t="shared" si="19"/>
        <v>2800</v>
      </c>
      <c r="R155" s="114">
        <v>0</v>
      </c>
      <c r="S155" s="36">
        <f t="shared" si="20"/>
        <v>2800</v>
      </c>
    </row>
    <row r="156" spans="1:21" ht="22.5" customHeight="1" x14ac:dyDescent="0.5">
      <c r="A156" s="23"/>
      <c r="B156" s="301" t="s">
        <v>315</v>
      </c>
      <c r="C156" s="25"/>
      <c r="D156" s="43"/>
      <c r="E156" s="302"/>
      <c r="F156" s="302"/>
      <c r="G156" s="303"/>
      <c r="H156" s="304">
        <v>0</v>
      </c>
      <c r="I156" s="304">
        <v>0</v>
      </c>
      <c r="J156" s="304">
        <v>0</v>
      </c>
      <c r="K156" s="30"/>
      <c r="L156" s="31"/>
      <c r="M156" s="32"/>
      <c r="N156" s="297"/>
      <c r="O156" s="297"/>
      <c r="P156" s="216"/>
      <c r="Q156" s="114">
        <f t="shared" si="19"/>
        <v>0</v>
      </c>
      <c r="R156" s="114">
        <v>0</v>
      </c>
      <c r="S156" s="36">
        <f t="shared" si="20"/>
        <v>0</v>
      </c>
    </row>
    <row r="157" spans="1:21" ht="22.5" customHeight="1" x14ac:dyDescent="0.5">
      <c r="A157" s="23">
        <v>1</v>
      </c>
      <c r="B157" s="73" t="s">
        <v>261</v>
      </c>
      <c r="C157" s="25" t="s">
        <v>316</v>
      </c>
      <c r="D157" s="43">
        <v>2800</v>
      </c>
      <c r="E157" s="212" t="s">
        <v>1427</v>
      </c>
      <c r="F157" s="212" t="s">
        <v>33</v>
      </c>
      <c r="G157" s="213" t="s">
        <v>33</v>
      </c>
      <c r="H157" s="219">
        <v>2800</v>
      </c>
      <c r="I157" s="219">
        <v>0</v>
      </c>
      <c r="J157" s="219">
        <v>2800</v>
      </c>
      <c r="K157" s="30" t="s">
        <v>1554</v>
      </c>
      <c r="L157" s="31" t="s">
        <v>1716</v>
      </c>
      <c r="M157" s="32">
        <v>2800</v>
      </c>
      <c r="N157" s="215" t="s">
        <v>1561</v>
      </c>
      <c r="O157" s="215" t="s">
        <v>33</v>
      </c>
      <c r="P157" s="216" t="s">
        <v>33</v>
      </c>
      <c r="Q157" s="114">
        <f t="shared" si="19"/>
        <v>2800</v>
      </c>
      <c r="R157" s="114">
        <v>0</v>
      </c>
      <c r="S157" s="36">
        <f t="shared" si="20"/>
        <v>2800</v>
      </c>
    </row>
    <row r="158" spans="1:21" ht="22.5" customHeight="1" x14ac:dyDescent="0.5">
      <c r="A158" s="23">
        <v>2</v>
      </c>
      <c r="B158" s="73" t="s">
        <v>317</v>
      </c>
      <c r="C158" s="25" t="s">
        <v>318</v>
      </c>
      <c r="D158" s="43">
        <v>2800</v>
      </c>
      <c r="E158" s="212" t="s">
        <v>1150</v>
      </c>
      <c r="F158" s="212"/>
      <c r="G158" s="213"/>
      <c r="H158" s="313">
        <v>-2800</v>
      </c>
      <c r="I158" s="219">
        <v>0</v>
      </c>
      <c r="J158" s="313">
        <v>-2800</v>
      </c>
      <c r="K158" s="30"/>
      <c r="L158" s="31"/>
      <c r="M158" s="32"/>
      <c r="N158" s="307"/>
      <c r="O158" s="307"/>
      <c r="P158" s="307"/>
      <c r="Q158" s="114">
        <f t="shared" si="19"/>
        <v>0</v>
      </c>
      <c r="R158" s="114">
        <v>0</v>
      </c>
      <c r="S158" s="36">
        <f t="shared" si="20"/>
        <v>0</v>
      </c>
    </row>
    <row r="159" spans="1:21" ht="22.5" customHeight="1" x14ac:dyDescent="0.5">
      <c r="A159" s="23">
        <v>3</v>
      </c>
      <c r="B159" s="73" t="s">
        <v>320</v>
      </c>
      <c r="C159" s="25" t="s">
        <v>321</v>
      </c>
      <c r="D159" s="43">
        <v>2800</v>
      </c>
      <c r="E159" s="212"/>
      <c r="F159" s="212"/>
      <c r="G159" s="213"/>
      <c r="H159" s="219">
        <v>0</v>
      </c>
      <c r="I159" s="219">
        <v>0</v>
      </c>
      <c r="J159" s="219">
        <v>0</v>
      </c>
      <c r="K159" s="30" t="s">
        <v>1550</v>
      </c>
      <c r="L159" s="31" t="s">
        <v>1728</v>
      </c>
      <c r="M159" s="32">
        <v>2800</v>
      </c>
      <c r="N159" s="307"/>
      <c r="O159" s="307"/>
      <c r="P159" s="308"/>
      <c r="Q159" s="114">
        <f t="shared" si="19"/>
        <v>0</v>
      </c>
      <c r="R159" s="114">
        <v>0</v>
      </c>
      <c r="S159" s="36">
        <f t="shared" si="20"/>
        <v>0</v>
      </c>
    </row>
    <row r="160" spans="1:21" ht="22.5" customHeight="1" x14ac:dyDescent="0.5">
      <c r="A160" s="23">
        <v>4</v>
      </c>
      <c r="B160" s="73" t="s">
        <v>322</v>
      </c>
      <c r="C160" s="25" t="s">
        <v>323</v>
      </c>
      <c r="D160" s="43">
        <v>5600</v>
      </c>
      <c r="E160" s="212" t="s">
        <v>1034</v>
      </c>
      <c r="F160" s="212"/>
      <c r="G160" s="213"/>
      <c r="H160" s="219">
        <v>-11200</v>
      </c>
      <c r="I160" s="219">
        <v>0</v>
      </c>
      <c r="J160" s="219">
        <v>-11200</v>
      </c>
      <c r="K160" s="30" t="s">
        <v>1559</v>
      </c>
      <c r="L160" s="31" t="s">
        <v>1729</v>
      </c>
      <c r="M160" s="32">
        <v>5600</v>
      </c>
      <c r="N160" s="314" t="s">
        <v>1034</v>
      </c>
      <c r="O160" s="315"/>
      <c r="P160" s="315"/>
      <c r="Q160" s="114">
        <f t="shared" si="19"/>
        <v>-11200</v>
      </c>
      <c r="R160" s="114">
        <v>0</v>
      </c>
      <c r="S160" s="36">
        <f t="shared" si="20"/>
        <v>-11200</v>
      </c>
    </row>
    <row r="161" spans="1:19" ht="22.5" customHeight="1" x14ac:dyDescent="0.5">
      <c r="A161" s="23">
        <v>5</v>
      </c>
      <c r="B161" s="73" t="s">
        <v>293</v>
      </c>
      <c r="C161" s="25" t="s">
        <v>326</v>
      </c>
      <c r="D161" s="43">
        <v>5600</v>
      </c>
      <c r="E161" s="212"/>
      <c r="F161" s="212"/>
      <c r="G161" s="213"/>
      <c r="H161" s="219">
        <v>0</v>
      </c>
      <c r="I161" s="219">
        <v>0</v>
      </c>
      <c r="J161" s="219">
        <v>0</v>
      </c>
      <c r="K161" s="30" t="s">
        <v>1556</v>
      </c>
      <c r="L161" s="31" t="s">
        <v>1724</v>
      </c>
      <c r="M161" s="32">
        <v>5600</v>
      </c>
      <c r="N161" s="215"/>
      <c r="O161" s="215"/>
      <c r="P161" s="216"/>
      <c r="Q161" s="114">
        <f t="shared" si="19"/>
        <v>0</v>
      </c>
      <c r="R161" s="114">
        <v>0</v>
      </c>
      <c r="S161" s="36">
        <f t="shared" si="20"/>
        <v>0</v>
      </c>
    </row>
    <row r="162" spans="1:19" ht="22.5" customHeight="1" x14ac:dyDescent="0.5">
      <c r="A162" s="23">
        <v>6</v>
      </c>
      <c r="B162" s="73" t="s">
        <v>293</v>
      </c>
      <c r="C162" s="25" t="s">
        <v>327</v>
      </c>
      <c r="D162" s="43">
        <v>5600</v>
      </c>
      <c r="E162" s="212"/>
      <c r="F162" s="212"/>
      <c r="G162" s="213"/>
      <c r="H162" s="219">
        <v>0</v>
      </c>
      <c r="I162" s="219">
        <v>0</v>
      </c>
      <c r="J162" s="219">
        <v>0</v>
      </c>
      <c r="K162" s="30" t="s">
        <v>1556</v>
      </c>
      <c r="L162" s="31" t="s">
        <v>1724</v>
      </c>
      <c r="M162" s="32">
        <v>5600</v>
      </c>
      <c r="N162" s="215"/>
      <c r="O162" s="215"/>
      <c r="P162" s="216"/>
      <c r="Q162" s="114">
        <f t="shared" si="19"/>
        <v>0</v>
      </c>
      <c r="R162" s="114">
        <v>0</v>
      </c>
      <c r="S162" s="36">
        <f t="shared" si="20"/>
        <v>0</v>
      </c>
    </row>
    <row r="163" spans="1:19" s="60" customFormat="1" ht="22.5" customHeight="1" thickBot="1" x14ac:dyDescent="0.35">
      <c r="A163" s="317"/>
      <c r="B163" s="317" t="s">
        <v>15</v>
      </c>
      <c r="C163" s="318"/>
      <c r="D163" s="319">
        <f>SUM(D122:D162)</f>
        <v>222950</v>
      </c>
      <c r="E163" s="320"/>
      <c r="F163" s="320"/>
      <c r="G163" s="321"/>
      <c r="H163" s="319">
        <f>SUM(H122:H162)-H160-H158</f>
        <v>81200</v>
      </c>
      <c r="I163" s="319">
        <f t="shared" ref="I163:J163" si="21">SUM(I122:I162)-I160-I158</f>
        <v>0</v>
      </c>
      <c r="J163" s="319">
        <f t="shared" si="21"/>
        <v>81200</v>
      </c>
      <c r="K163" s="322"/>
      <c r="L163" s="322"/>
      <c r="M163" s="1004">
        <f>SUM(M122:M162)</f>
        <v>189350</v>
      </c>
      <c r="N163" s="324"/>
      <c r="O163" s="324"/>
      <c r="P163" s="325"/>
      <c r="Q163" s="323">
        <f>SUM(Q122:Q162)-Q160</f>
        <v>112000</v>
      </c>
      <c r="R163" s="323">
        <f>SUM(R122:R162)-R160-R158</f>
        <v>0</v>
      </c>
      <c r="S163" s="323">
        <f>SUM(S122:S162)-S160</f>
        <v>112000</v>
      </c>
    </row>
    <row r="164" spans="1:19" ht="22.5" customHeight="1" thickTop="1" x14ac:dyDescent="0.5">
      <c r="A164" s="61"/>
      <c r="B164" s="327" t="s">
        <v>328</v>
      </c>
      <c r="C164" s="63"/>
      <c r="D164" s="64"/>
      <c r="E164" s="65"/>
      <c r="F164" s="65"/>
      <c r="G164" s="66"/>
      <c r="H164" s="67"/>
      <c r="I164" s="67"/>
      <c r="J164" s="67"/>
      <c r="K164" s="286"/>
      <c r="L164" s="286"/>
      <c r="M164" s="328"/>
      <c r="N164" s="69"/>
      <c r="O164" s="69"/>
      <c r="P164" s="70"/>
      <c r="Q164" s="71"/>
      <c r="R164" s="71"/>
      <c r="S164" s="72"/>
    </row>
    <row r="165" spans="1:19" ht="22.5" customHeight="1" x14ac:dyDescent="0.5">
      <c r="A165" s="23">
        <v>1</v>
      </c>
      <c r="B165" s="24" t="s">
        <v>329</v>
      </c>
      <c r="C165" s="25" t="s">
        <v>330</v>
      </c>
      <c r="D165" s="43">
        <v>130536.37</v>
      </c>
      <c r="E165" s="212"/>
      <c r="F165" s="212"/>
      <c r="G165" s="213"/>
      <c r="H165" s="219">
        <v>0</v>
      </c>
      <c r="I165" s="329">
        <v>0</v>
      </c>
      <c r="J165" s="329">
        <v>0</v>
      </c>
      <c r="K165" s="30" t="s">
        <v>1569</v>
      </c>
      <c r="L165" s="31" t="s">
        <v>1730</v>
      </c>
      <c r="M165" s="32">
        <v>130536.37</v>
      </c>
      <c r="N165" s="41"/>
      <c r="O165" s="41"/>
      <c r="P165" s="34"/>
      <c r="Q165" s="330">
        <f>SUM(D165+J165-M165)</f>
        <v>0</v>
      </c>
      <c r="R165" s="330">
        <v>0</v>
      </c>
      <c r="S165" s="36">
        <f>SUM(D165+J165-M165)</f>
        <v>0</v>
      </c>
    </row>
    <row r="166" spans="1:19" ht="22.5" customHeight="1" x14ac:dyDescent="0.5">
      <c r="A166" s="23">
        <v>2</v>
      </c>
      <c r="B166" s="24" t="s">
        <v>329</v>
      </c>
      <c r="C166" s="25" t="s">
        <v>331</v>
      </c>
      <c r="D166" s="64">
        <v>96520.67</v>
      </c>
      <c r="E166" s="212"/>
      <c r="F166" s="212"/>
      <c r="G166" s="213"/>
      <c r="H166" s="219">
        <v>0</v>
      </c>
      <c r="I166" s="329">
        <v>0</v>
      </c>
      <c r="J166" s="329">
        <v>0</v>
      </c>
      <c r="K166" s="30" t="s">
        <v>1569</v>
      </c>
      <c r="L166" s="31" t="s">
        <v>1731</v>
      </c>
      <c r="M166" s="32">
        <v>96520.67</v>
      </c>
      <c r="N166" s="41"/>
      <c r="O166" s="41"/>
      <c r="P166" s="34"/>
      <c r="Q166" s="330">
        <f t="shared" ref="Q166:Q172" si="22">SUM(D166+J166-M166)</f>
        <v>0</v>
      </c>
      <c r="R166" s="330">
        <v>0</v>
      </c>
      <c r="S166" s="36">
        <f t="shared" ref="S166:S172" si="23">SUM(D166+J166-M166)</f>
        <v>0</v>
      </c>
    </row>
    <row r="167" spans="1:19" ht="22.5" customHeight="1" x14ac:dyDescent="0.5">
      <c r="A167" s="23">
        <v>3</v>
      </c>
      <c r="B167" s="24" t="s">
        <v>332</v>
      </c>
      <c r="C167" s="25" t="s">
        <v>333</v>
      </c>
      <c r="D167" s="43">
        <v>63810</v>
      </c>
      <c r="E167" s="212"/>
      <c r="F167" s="212"/>
      <c r="G167" s="213"/>
      <c r="H167" s="329">
        <v>0</v>
      </c>
      <c r="I167" s="329">
        <v>0</v>
      </c>
      <c r="J167" s="329">
        <v>0</v>
      </c>
      <c r="K167" s="30" t="s">
        <v>1554</v>
      </c>
      <c r="L167" s="31" t="s">
        <v>1732</v>
      </c>
      <c r="M167" s="32">
        <v>63810</v>
      </c>
      <c r="N167" s="41"/>
      <c r="O167" s="41"/>
      <c r="P167" s="34"/>
      <c r="Q167" s="330">
        <f t="shared" si="22"/>
        <v>0</v>
      </c>
      <c r="R167" s="330">
        <v>0</v>
      </c>
      <c r="S167" s="36">
        <f t="shared" si="23"/>
        <v>0</v>
      </c>
    </row>
    <row r="168" spans="1:19" ht="22.5" customHeight="1" x14ac:dyDescent="0.5">
      <c r="A168" s="331">
        <v>4</v>
      </c>
      <c r="B168" s="332" t="s">
        <v>335</v>
      </c>
      <c r="C168" s="81" t="s">
        <v>336</v>
      </c>
      <c r="D168" s="333">
        <v>60170</v>
      </c>
      <c r="E168" s="234"/>
      <c r="F168" s="234"/>
      <c r="G168" s="228"/>
      <c r="H168" s="334">
        <v>0</v>
      </c>
      <c r="I168" s="334">
        <v>0</v>
      </c>
      <c r="J168" s="334">
        <v>0</v>
      </c>
      <c r="K168" s="335" t="s">
        <v>1733</v>
      </c>
      <c r="L168" s="336" t="s">
        <v>1734</v>
      </c>
      <c r="M168" s="337">
        <v>60170</v>
      </c>
      <c r="N168" s="338"/>
      <c r="O168" s="338"/>
      <c r="P168" s="112"/>
      <c r="Q168" s="330">
        <f t="shared" si="22"/>
        <v>0</v>
      </c>
      <c r="R168" s="339">
        <v>0</v>
      </c>
      <c r="S168" s="36">
        <f t="shared" si="23"/>
        <v>0</v>
      </c>
    </row>
    <row r="169" spans="1:19" ht="22.5" customHeight="1" x14ac:dyDescent="0.5">
      <c r="A169" s="23">
        <v>5</v>
      </c>
      <c r="B169" s="24" t="s">
        <v>338</v>
      </c>
      <c r="C169" s="25" t="s">
        <v>339</v>
      </c>
      <c r="D169" s="341">
        <v>23527.65</v>
      </c>
      <c r="E169" s="212"/>
      <c r="F169" s="212"/>
      <c r="G169" s="213"/>
      <c r="H169" s="219">
        <v>0</v>
      </c>
      <c r="I169" s="329">
        <v>0</v>
      </c>
      <c r="J169" s="329">
        <v>0</v>
      </c>
      <c r="K169" s="335" t="s">
        <v>1554</v>
      </c>
      <c r="L169" s="336" t="s">
        <v>1735</v>
      </c>
      <c r="M169" s="342">
        <v>23527.65</v>
      </c>
      <c r="N169" s="41"/>
      <c r="O169" s="41"/>
      <c r="P169" s="34"/>
      <c r="Q169" s="330">
        <f t="shared" si="22"/>
        <v>0</v>
      </c>
      <c r="R169" s="330">
        <v>0</v>
      </c>
      <c r="S169" s="36">
        <f t="shared" si="23"/>
        <v>0</v>
      </c>
    </row>
    <row r="170" spans="1:19" ht="22.5" customHeight="1" x14ac:dyDescent="0.5">
      <c r="A170" s="61">
        <v>6</v>
      </c>
      <c r="B170" s="343" t="s">
        <v>341</v>
      </c>
      <c r="C170" s="165" t="s">
        <v>342</v>
      </c>
      <c r="D170" s="344">
        <v>20715.32</v>
      </c>
      <c r="E170" s="167"/>
      <c r="F170" s="167"/>
      <c r="G170" s="213"/>
      <c r="H170" s="219">
        <v>0</v>
      </c>
      <c r="I170" s="329">
        <v>0</v>
      </c>
      <c r="J170" s="329">
        <v>0</v>
      </c>
      <c r="K170" s="345" t="s">
        <v>1736</v>
      </c>
      <c r="L170" s="346" t="s">
        <v>1737</v>
      </c>
      <c r="M170" s="347">
        <v>21149.53</v>
      </c>
      <c r="N170" s="41" t="s">
        <v>1738</v>
      </c>
      <c r="O170" s="41"/>
      <c r="P170" s="34"/>
      <c r="Q170" s="330">
        <f t="shared" si="22"/>
        <v>-434.20999999999913</v>
      </c>
      <c r="R170" s="330">
        <v>0</v>
      </c>
      <c r="S170" s="36">
        <f t="shared" si="23"/>
        <v>-434.20999999999913</v>
      </c>
    </row>
    <row r="171" spans="1:19" ht="22.5" customHeight="1" x14ac:dyDescent="0.5">
      <c r="A171" s="331">
        <v>7</v>
      </c>
      <c r="B171" s="332" t="s">
        <v>344</v>
      </c>
      <c r="C171" s="81" t="s">
        <v>345</v>
      </c>
      <c r="D171" s="348">
        <v>21986</v>
      </c>
      <c r="E171" s="349"/>
      <c r="F171" s="886"/>
      <c r="G171" s="213"/>
      <c r="H171" s="219">
        <v>0</v>
      </c>
      <c r="I171" s="329">
        <v>0</v>
      </c>
      <c r="J171" s="329">
        <v>0</v>
      </c>
      <c r="K171" s="182" t="s">
        <v>1552</v>
      </c>
      <c r="L171" s="350" t="s">
        <v>1739</v>
      </c>
      <c r="M171" s="337">
        <v>21986</v>
      </c>
      <c r="N171" s="41"/>
      <c r="O171" s="41"/>
      <c r="P171" s="34"/>
      <c r="Q171" s="330">
        <f t="shared" si="22"/>
        <v>0</v>
      </c>
      <c r="R171" s="339">
        <v>0</v>
      </c>
      <c r="S171" s="36">
        <f t="shared" si="23"/>
        <v>0</v>
      </c>
    </row>
    <row r="172" spans="1:19" s="356" customFormat="1" ht="22.5" customHeight="1" x14ac:dyDescent="0.5">
      <c r="A172" s="253">
        <v>8</v>
      </c>
      <c r="B172" s="24" t="s">
        <v>347</v>
      </c>
      <c r="C172" s="351" t="s">
        <v>348</v>
      </c>
      <c r="D172" s="352">
        <v>20000</v>
      </c>
      <c r="E172" s="353"/>
      <c r="F172" s="887"/>
      <c r="G172" s="228"/>
      <c r="H172" s="329">
        <v>0</v>
      </c>
      <c r="I172" s="329">
        <v>0</v>
      </c>
      <c r="J172" s="329">
        <v>0</v>
      </c>
      <c r="K172" s="30" t="s">
        <v>1550</v>
      </c>
      <c r="L172" s="31" t="s">
        <v>1740</v>
      </c>
      <c r="M172" s="32">
        <v>20000</v>
      </c>
      <c r="N172" s="354"/>
      <c r="O172" s="354"/>
      <c r="P172" s="355"/>
      <c r="Q172" s="330">
        <f t="shared" si="22"/>
        <v>0</v>
      </c>
      <c r="R172" s="330">
        <v>0</v>
      </c>
      <c r="S172" s="36">
        <f t="shared" si="23"/>
        <v>0</v>
      </c>
    </row>
    <row r="173" spans="1:19" s="60" customFormat="1" ht="22.5" customHeight="1" thickBot="1" x14ac:dyDescent="0.35">
      <c r="A173" s="317"/>
      <c r="B173" s="317" t="s">
        <v>15</v>
      </c>
      <c r="C173" s="357"/>
      <c r="D173" s="358">
        <f>SUM(D165:D172)</f>
        <v>437266.01</v>
      </c>
      <c r="E173" s="320"/>
      <c r="F173" s="320"/>
      <c r="G173" s="321"/>
      <c r="H173" s="359">
        <f>SUM(H165:H172)</f>
        <v>0</v>
      </c>
      <c r="I173" s="359">
        <f>SUM(I165:I172)</f>
        <v>0</v>
      </c>
      <c r="J173" s="359">
        <f>SUM(J165:J172)</f>
        <v>0</v>
      </c>
      <c r="K173" s="360"/>
      <c r="L173" s="361"/>
      <c r="M173" s="1005">
        <f>SUM(M165:M172)</f>
        <v>437700.22</v>
      </c>
      <c r="N173" s="362"/>
      <c r="O173" s="362"/>
      <c r="P173" s="363"/>
      <c r="Q173" s="364">
        <f>SUM(Q165:Q172)-Q170</f>
        <v>0</v>
      </c>
      <c r="R173" s="364">
        <f>SUM(R165:R172)</f>
        <v>0</v>
      </c>
      <c r="S173" s="364">
        <f>SUM(S165:S172)-S170</f>
        <v>0</v>
      </c>
    </row>
    <row r="174" spans="1:19" ht="22.5" customHeight="1" thickTop="1" x14ac:dyDescent="0.3">
      <c r="A174" s="115"/>
      <c r="B174" s="164" t="s">
        <v>350</v>
      </c>
      <c r="C174" s="366"/>
      <c r="D174" s="86"/>
      <c r="E174" s="167"/>
      <c r="F174" s="167"/>
      <c r="G174" s="168"/>
      <c r="H174" s="255"/>
      <c r="I174" s="255"/>
      <c r="J174" s="255"/>
      <c r="K174" s="367"/>
      <c r="L174" s="368"/>
      <c r="M174" s="369"/>
      <c r="N174" s="117"/>
      <c r="O174" s="117"/>
      <c r="P174" s="118"/>
      <c r="Q174" s="172"/>
      <c r="R174" s="172"/>
      <c r="S174" s="370"/>
    </row>
    <row r="175" spans="1:19" ht="22.5" customHeight="1" x14ac:dyDescent="0.5">
      <c r="A175" s="23">
        <v>1</v>
      </c>
      <c r="B175" s="290" t="s">
        <v>147</v>
      </c>
      <c r="C175" s="371" t="s">
        <v>351</v>
      </c>
      <c r="D175" s="43">
        <v>1400</v>
      </c>
      <c r="E175" s="212"/>
      <c r="F175" s="212"/>
      <c r="G175" s="213"/>
      <c r="H175" s="219">
        <v>0</v>
      </c>
      <c r="I175" s="219">
        <v>0</v>
      </c>
      <c r="J175" s="219">
        <v>0</v>
      </c>
      <c r="K175" s="30" t="s">
        <v>1554</v>
      </c>
      <c r="L175" s="220" t="s">
        <v>1705</v>
      </c>
      <c r="M175" s="221">
        <v>1400</v>
      </c>
      <c r="N175" s="372"/>
      <c r="O175" s="372"/>
      <c r="P175" s="373"/>
      <c r="Q175" s="114">
        <f t="shared" ref="Q175:Q180" si="24">SUM(D175+J175-M175)</f>
        <v>0</v>
      </c>
      <c r="R175" s="114">
        <v>0</v>
      </c>
      <c r="S175" s="36">
        <f t="shared" ref="S175:S180" si="25">SUM(Q175)</f>
        <v>0</v>
      </c>
    </row>
    <row r="176" spans="1:19" ht="22.5" customHeight="1" x14ac:dyDescent="0.5">
      <c r="A176" s="23">
        <v>2</v>
      </c>
      <c r="B176" s="290" t="s">
        <v>353</v>
      </c>
      <c r="C176" s="371" t="s">
        <v>354</v>
      </c>
      <c r="D176" s="43">
        <v>11000</v>
      </c>
      <c r="E176" s="212" t="s">
        <v>1427</v>
      </c>
      <c r="F176" s="212" t="s">
        <v>33</v>
      </c>
      <c r="G176" s="213" t="s">
        <v>33</v>
      </c>
      <c r="H176" s="219">
        <v>11000</v>
      </c>
      <c r="I176" s="219">
        <v>0</v>
      </c>
      <c r="J176" s="219">
        <v>11000</v>
      </c>
      <c r="K176" s="30" t="s">
        <v>1611</v>
      </c>
      <c r="L176" s="220" t="s">
        <v>1706</v>
      </c>
      <c r="M176" s="221">
        <v>22000</v>
      </c>
      <c r="N176" s="215"/>
      <c r="O176" s="215"/>
      <c r="P176" s="216"/>
      <c r="Q176" s="114">
        <f t="shared" si="24"/>
        <v>0</v>
      </c>
      <c r="R176" s="114">
        <v>0</v>
      </c>
      <c r="S176" s="36">
        <f t="shared" si="25"/>
        <v>0</v>
      </c>
    </row>
    <row r="177" spans="1:19" ht="22.5" customHeight="1" x14ac:dyDescent="0.5">
      <c r="A177" s="23">
        <v>3</v>
      </c>
      <c r="B177" s="290" t="s">
        <v>355</v>
      </c>
      <c r="C177" s="371" t="s">
        <v>356</v>
      </c>
      <c r="D177" s="43">
        <v>9400</v>
      </c>
      <c r="E177" s="212" t="s">
        <v>1427</v>
      </c>
      <c r="F177" s="212" t="s">
        <v>33</v>
      </c>
      <c r="G177" s="213" t="s">
        <v>33</v>
      </c>
      <c r="H177" s="219">
        <v>9400</v>
      </c>
      <c r="I177" s="219">
        <v>0</v>
      </c>
      <c r="J177" s="219">
        <v>9400</v>
      </c>
      <c r="K177" s="30" t="s">
        <v>1559</v>
      </c>
      <c r="L177" s="220" t="s">
        <v>1707</v>
      </c>
      <c r="M177" s="221">
        <v>9400</v>
      </c>
      <c r="N177" s="215" t="s">
        <v>1561</v>
      </c>
      <c r="O177" s="215" t="s">
        <v>33</v>
      </c>
      <c r="P177" s="216" t="s">
        <v>33</v>
      </c>
      <c r="Q177" s="114">
        <f t="shared" si="24"/>
        <v>9400</v>
      </c>
      <c r="R177" s="114">
        <v>0</v>
      </c>
      <c r="S177" s="36">
        <f t="shared" si="25"/>
        <v>9400</v>
      </c>
    </row>
    <row r="178" spans="1:19" ht="22.5" customHeight="1" x14ac:dyDescent="0.5">
      <c r="A178" s="331">
        <v>5</v>
      </c>
      <c r="B178" s="374" t="s">
        <v>358</v>
      </c>
      <c r="C178" s="375" t="s">
        <v>356</v>
      </c>
      <c r="D178" s="79">
        <v>9810</v>
      </c>
      <c r="E178" s="234" t="s">
        <v>1427</v>
      </c>
      <c r="F178" s="234" t="s">
        <v>33</v>
      </c>
      <c r="G178" s="228" t="s">
        <v>33</v>
      </c>
      <c r="H178" s="219">
        <v>9810</v>
      </c>
      <c r="I178" s="219">
        <v>0</v>
      </c>
      <c r="J178" s="219">
        <v>9810</v>
      </c>
      <c r="K178" s="38"/>
      <c r="L178" s="376"/>
      <c r="M178" s="246"/>
      <c r="N178" s="215" t="s">
        <v>1681</v>
      </c>
      <c r="O178" s="937" t="s">
        <v>115</v>
      </c>
      <c r="P178" s="216" t="s">
        <v>115</v>
      </c>
      <c r="Q178" s="114">
        <f t="shared" si="24"/>
        <v>19620</v>
      </c>
      <c r="R178" s="114">
        <v>0</v>
      </c>
      <c r="S178" s="36">
        <f t="shared" si="25"/>
        <v>19620</v>
      </c>
    </row>
    <row r="179" spans="1:19" ht="22.5" customHeight="1" x14ac:dyDescent="0.5">
      <c r="A179" s="377">
        <v>6</v>
      </c>
      <c r="B179" s="378" t="s">
        <v>359</v>
      </c>
      <c r="C179" s="311" t="s">
        <v>360</v>
      </c>
      <c r="D179" s="379">
        <v>6000</v>
      </c>
      <c r="E179" s="380"/>
      <c r="F179" s="380"/>
      <c r="G179" s="75"/>
      <c r="H179" s="76">
        <v>0</v>
      </c>
      <c r="I179" s="219">
        <v>0</v>
      </c>
      <c r="J179" s="76">
        <v>0</v>
      </c>
      <c r="K179" s="38" t="s">
        <v>1554</v>
      </c>
      <c r="L179" s="376" t="s">
        <v>1708</v>
      </c>
      <c r="M179" s="246">
        <v>6000</v>
      </c>
      <c r="N179" s="247"/>
      <c r="O179" s="247"/>
      <c r="P179" s="248"/>
      <c r="Q179" s="114">
        <f t="shared" si="24"/>
        <v>0</v>
      </c>
      <c r="R179" s="114">
        <v>0</v>
      </c>
      <c r="S179" s="36">
        <f t="shared" si="25"/>
        <v>0</v>
      </c>
    </row>
    <row r="180" spans="1:19" ht="22.5" customHeight="1" x14ac:dyDescent="0.5">
      <c r="A180" s="381">
        <v>7</v>
      </c>
      <c r="B180" s="149" t="s">
        <v>281</v>
      </c>
      <c r="C180" s="311" t="s">
        <v>360</v>
      </c>
      <c r="D180" s="382">
        <v>3000</v>
      </c>
      <c r="E180" s="96"/>
      <c r="F180" s="96"/>
      <c r="G180" s="97"/>
      <c r="H180" s="76">
        <v>0</v>
      </c>
      <c r="I180" s="219">
        <v>0</v>
      </c>
      <c r="J180" s="76">
        <v>0</v>
      </c>
      <c r="K180" s="30" t="s">
        <v>1554</v>
      </c>
      <c r="L180" s="31" t="s">
        <v>1709</v>
      </c>
      <c r="M180" s="32">
        <v>3000</v>
      </c>
      <c r="N180" s="215"/>
      <c r="O180" s="215"/>
      <c r="P180" s="216"/>
      <c r="Q180" s="114">
        <f t="shared" si="24"/>
        <v>0</v>
      </c>
      <c r="R180" s="114">
        <v>0</v>
      </c>
      <c r="S180" s="36">
        <f t="shared" si="25"/>
        <v>0</v>
      </c>
    </row>
    <row r="181" spans="1:19" s="60" customFormat="1" ht="22.5" customHeight="1" thickBot="1" x14ac:dyDescent="0.35">
      <c r="A181" s="317"/>
      <c r="B181" s="317" t="s">
        <v>15</v>
      </c>
      <c r="C181" s="357"/>
      <c r="D181" s="383">
        <f>SUM(D175:D180)</f>
        <v>40610</v>
      </c>
      <c r="E181" s="320"/>
      <c r="F181" s="320"/>
      <c r="G181" s="321"/>
      <c r="H181" s="383">
        <f>SUM(H175:H180)</f>
        <v>30210</v>
      </c>
      <c r="I181" s="383">
        <f>SUM(I175:I180)</f>
        <v>0</v>
      </c>
      <c r="J181" s="383">
        <f>SUM(J175:J180)</f>
        <v>30210</v>
      </c>
      <c r="K181" s="384"/>
      <c r="L181" s="384"/>
      <c r="M181" s="359">
        <f>SUM(M175:M180)</f>
        <v>41800</v>
      </c>
      <c r="N181" s="317"/>
      <c r="O181" s="317"/>
      <c r="P181" s="321"/>
      <c r="Q181" s="385">
        <f>SUM(Q175:Q180)</f>
        <v>29020</v>
      </c>
      <c r="R181" s="385">
        <v>0</v>
      </c>
      <c r="S181" s="386">
        <f>SUM(S175:S180)</f>
        <v>29020</v>
      </c>
    </row>
    <row r="182" spans="1:19" ht="22.5" customHeight="1" thickTop="1" x14ac:dyDescent="0.3">
      <c r="A182" s="61"/>
      <c r="B182" s="62" t="s">
        <v>363</v>
      </c>
      <c r="C182" s="63"/>
      <c r="D182" s="64"/>
      <c r="E182" s="65"/>
      <c r="F182" s="65"/>
      <c r="G182" s="66"/>
      <c r="H182" s="67"/>
      <c r="I182" s="67"/>
      <c r="J182" s="67"/>
      <c r="K182" s="286"/>
      <c r="L182" s="286"/>
      <c r="M182" s="328"/>
      <c r="N182" s="69"/>
      <c r="O182" s="69"/>
      <c r="P182" s="70"/>
      <c r="Q182" s="71"/>
      <c r="R182" s="71"/>
      <c r="S182" s="387"/>
    </row>
    <row r="183" spans="1:19" ht="22.5" customHeight="1" x14ac:dyDescent="0.5">
      <c r="A183" s="208">
        <v>1</v>
      </c>
      <c r="B183" s="73" t="s">
        <v>364</v>
      </c>
      <c r="C183" s="25" t="s">
        <v>365</v>
      </c>
      <c r="D183" s="43">
        <v>10000</v>
      </c>
      <c r="E183" s="212"/>
      <c r="F183" s="234"/>
      <c r="G183" s="228"/>
      <c r="H183" s="219">
        <v>0</v>
      </c>
      <c r="I183" s="219">
        <v>0</v>
      </c>
      <c r="J183" s="219">
        <v>0</v>
      </c>
      <c r="K183" s="30"/>
      <c r="L183" s="31"/>
      <c r="M183" s="32"/>
      <c r="N183" s="41" t="s">
        <v>1561</v>
      </c>
      <c r="O183" s="41" t="s">
        <v>33</v>
      </c>
      <c r="P183" s="34" t="s">
        <v>33</v>
      </c>
      <c r="Q183" s="114">
        <f>SUM(D183+J183-M183)</f>
        <v>10000</v>
      </c>
      <c r="R183" s="114">
        <v>0</v>
      </c>
      <c r="S183" s="36">
        <f>SUM(Q183)</f>
        <v>10000</v>
      </c>
    </row>
    <row r="184" spans="1:19" ht="22.5" customHeight="1" x14ac:dyDescent="0.5">
      <c r="A184" s="208">
        <v>2</v>
      </c>
      <c r="B184" s="290" t="s">
        <v>367</v>
      </c>
      <c r="C184" s="25" t="s">
        <v>368</v>
      </c>
      <c r="D184" s="388">
        <v>3500</v>
      </c>
      <c r="E184" s="212"/>
      <c r="F184" s="234"/>
      <c r="G184" s="228"/>
      <c r="H184" s="389">
        <v>0</v>
      </c>
      <c r="I184" s="219">
        <v>0</v>
      </c>
      <c r="J184" s="219">
        <v>0</v>
      </c>
      <c r="K184" s="250" t="s">
        <v>1559</v>
      </c>
      <c r="L184" s="251" t="s">
        <v>1699</v>
      </c>
      <c r="M184" s="390">
        <v>3500</v>
      </c>
      <c r="N184" s="41"/>
      <c r="O184" s="41"/>
      <c r="P184" s="34"/>
      <c r="Q184" s="114">
        <f t="shared" ref="Q184:Q189" si="26">SUM(D184+J184-M184)</f>
        <v>0</v>
      </c>
      <c r="R184" s="114">
        <v>0</v>
      </c>
      <c r="S184" s="36">
        <f t="shared" ref="S184:S189" si="27">SUM(Q184)</f>
        <v>0</v>
      </c>
    </row>
    <row r="185" spans="1:19" ht="22.5" customHeight="1" x14ac:dyDescent="0.5">
      <c r="A185" s="391">
        <v>3</v>
      </c>
      <c r="B185" s="392" t="s">
        <v>370</v>
      </c>
      <c r="C185" s="63" t="s">
        <v>371</v>
      </c>
      <c r="D185" s="393">
        <v>12000</v>
      </c>
      <c r="E185" s="394"/>
      <c r="F185" s="888"/>
      <c r="G185" s="395"/>
      <c r="H185" s="396">
        <v>0</v>
      </c>
      <c r="I185" s="397">
        <v>0</v>
      </c>
      <c r="J185" s="67">
        <v>0</v>
      </c>
      <c r="K185" s="30" t="s">
        <v>1569</v>
      </c>
      <c r="L185" s="31" t="s">
        <v>1700</v>
      </c>
      <c r="M185" s="32">
        <v>12000</v>
      </c>
      <c r="N185" s="41"/>
      <c r="O185" s="41"/>
      <c r="P185" s="34"/>
      <c r="Q185" s="114">
        <f t="shared" si="26"/>
        <v>0</v>
      </c>
      <c r="R185" s="114">
        <v>0</v>
      </c>
      <c r="S185" s="36">
        <f t="shared" si="27"/>
        <v>0</v>
      </c>
    </row>
    <row r="186" spans="1:19" ht="22.5" customHeight="1" x14ac:dyDescent="0.3">
      <c r="A186" s="253">
        <v>4</v>
      </c>
      <c r="B186" s="398" t="s">
        <v>373</v>
      </c>
      <c r="C186" s="165" t="s">
        <v>374</v>
      </c>
      <c r="D186" s="166">
        <v>4100</v>
      </c>
      <c r="E186" s="394"/>
      <c r="F186" s="888"/>
      <c r="G186" s="395"/>
      <c r="H186" s="396">
        <v>0</v>
      </c>
      <c r="I186" s="397">
        <v>0</v>
      </c>
      <c r="J186" s="397">
        <v>0</v>
      </c>
      <c r="K186" s="399" t="s">
        <v>1701</v>
      </c>
      <c r="L186" s="400" t="s">
        <v>1702</v>
      </c>
      <c r="M186" s="401">
        <v>4100</v>
      </c>
      <c r="N186" s="41"/>
      <c r="O186" s="41"/>
      <c r="P186" s="34"/>
      <c r="Q186" s="114">
        <f t="shared" si="26"/>
        <v>0</v>
      </c>
      <c r="R186" s="114">
        <v>0</v>
      </c>
      <c r="S186" s="36">
        <f t="shared" si="27"/>
        <v>0</v>
      </c>
    </row>
    <row r="187" spans="1:19" ht="22.5" customHeight="1" x14ac:dyDescent="0.5">
      <c r="A187" s="253">
        <v>5</v>
      </c>
      <c r="B187" s="402" t="s">
        <v>376</v>
      </c>
      <c r="C187" s="403" t="s">
        <v>377</v>
      </c>
      <c r="D187" s="166">
        <v>1850</v>
      </c>
      <c r="E187" s="65"/>
      <c r="F187" s="167"/>
      <c r="G187" s="168"/>
      <c r="H187" s="404">
        <v>0</v>
      </c>
      <c r="I187" s="67">
        <v>0</v>
      </c>
      <c r="J187" s="67">
        <v>0</v>
      </c>
      <c r="K187" s="30" t="s">
        <v>1554</v>
      </c>
      <c r="L187" s="31" t="s">
        <v>1703</v>
      </c>
      <c r="M187" s="32">
        <v>1850</v>
      </c>
      <c r="N187" s="41"/>
      <c r="O187" s="41"/>
      <c r="P187" s="34"/>
      <c r="Q187" s="114">
        <f t="shared" si="26"/>
        <v>0</v>
      </c>
      <c r="R187" s="114">
        <v>0</v>
      </c>
      <c r="S187" s="36">
        <f t="shared" si="27"/>
        <v>0</v>
      </c>
    </row>
    <row r="188" spans="1:19" ht="22.5" customHeight="1" x14ac:dyDescent="0.5">
      <c r="A188" s="253">
        <v>6</v>
      </c>
      <c r="B188" s="378" t="s">
        <v>380</v>
      </c>
      <c r="C188" s="405" t="s">
        <v>381</v>
      </c>
      <c r="D188" s="166">
        <v>0</v>
      </c>
      <c r="E188" s="65"/>
      <c r="F188" s="167"/>
      <c r="G188" s="168"/>
      <c r="H188" s="404">
        <v>0</v>
      </c>
      <c r="I188" s="67">
        <v>0</v>
      </c>
      <c r="J188" s="67">
        <v>0</v>
      </c>
      <c r="K188" s="30"/>
      <c r="L188" s="31"/>
      <c r="M188" s="32"/>
      <c r="N188" s="41"/>
      <c r="O188" s="41"/>
      <c r="P188" s="34"/>
      <c r="Q188" s="114">
        <f t="shared" si="26"/>
        <v>0</v>
      </c>
      <c r="R188" s="114">
        <v>0</v>
      </c>
      <c r="S188" s="36">
        <f t="shared" si="27"/>
        <v>0</v>
      </c>
    </row>
    <row r="189" spans="1:19" ht="22.5" customHeight="1" x14ac:dyDescent="0.5">
      <c r="A189" s="208">
        <v>7</v>
      </c>
      <c r="B189" s="149" t="s">
        <v>383</v>
      </c>
      <c r="C189" s="311" t="s">
        <v>384</v>
      </c>
      <c r="D189" s="166">
        <v>5400</v>
      </c>
      <c r="E189" s="65"/>
      <c r="F189" s="167"/>
      <c r="G189" s="168"/>
      <c r="H189" s="404">
        <v>0</v>
      </c>
      <c r="I189" s="67">
        <v>0</v>
      </c>
      <c r="J189" s="67">
        <v>0</v>
      </c>
      <c r="K189" s="250" t="s">
        <v>1701</v>
      </c>
      <c r="L189" s="251" t="s">
        <v>1704</v>
      </c>
      <c r="M189" s="390">
        <v>5400</v>
      </c>
      <c r="N189" s="41"/>
      <c r="O189" s="41"/>
      <c r="P189" s="34"/>
      <c r="Q189" s="114">
        <f t="shared" si="26"/>
        <v>0</v>
      </c>
      <c r="R189" s="114">
        <v>0</v>
      </c>
      <c r="S189" s="36">
        <f t="shared" si="27"/>
        <v>0</v>
      </c>
    </row>
    <row r="190" spans="1:19" s="60" customFormat="1" ht="22.5" customHeight="1" thickBot="1" x14ac:dyDescent="0.35">
      <c r="A190" s="317"/>
      <c r="B190" s="317" t="s">
        <v>15</v>
      </c>
      <c r="C190" s="318"/>
      <c r="D190" s="383">
        <v>38350</v>
      </c>
      <c r="E190" s="320"/>
      <c r="F190" s="320"/>
      <c r="G190" s="321"/>
      <c r="H190" s="358">
        <f>SUM(H186:H189)</f>
        <v>0</v>
      </c>
      <c r="I190" s="358">
        <f>SUM(I186:I189)</f>
        <v>0</v>
      </c>
      <c r="J190" s="358">
        <f>SUM(J186:J189)</f>
        <v>0</v>
      </c>
      <c r="K190" s="383"/>
      <c r="L190" s="383">
        <v>0</v>
      </c>
      <c r="M190" s="383">
        <f>SUM(M183:M189)</f>
        <v>26850</v>
      </c>
      <c r="N190" s="407"/>
      <c r="O190" s="407"/>
      <c r="P190" s="321"/>
      <c r="Q190" s="323">
        <f>SUM(Q183:Q189)</f>
        <v>10000</v>
      </c>
      <c r="R190" s="323">
        <f>SUM(R183:R189)</f>
        <v>0</v>
      </c>
      <c r="S190" s="323">
        <f>SUM(S183:S189)</f>
        <v>10000</v>
      </c>
    </row>
    <row r="191" spans="1:19" ht="22.5" customHeight="1" thickTop="1" x14ac:dyDescent="0.3">
      <c r="A191" s="61"/>
      <c r="B191" s="62" t="s">
        <v>386</v>
      </c>
      <c r="C191" s="63"/>
      <c r="D191" s="64"/>
      <c r="E191" s="65"/>
      <c r="F191" s="65"/>
      <c r="G191" s="66"/>
      <c r="H191" s="67"/>
      <c r="I191" s="67"/>
      <c r="J191" s="67"/>
      <c r="K191" s="68"/>
      <c r="L191" s="68"/>
      <c r="M191" s="64"/>
      <c r="N191" s="69"/>
      <c r="O191" s="69"/>
      <c r="P191" s="70"/>
      <c r="Q191" s="71"/>
      <c r="R191" s="71"/>
      <c r="S191" s="387"/>
    </row>
    <row r="192" spans="1:19" ht="22.5" customHeight="1" x14ac:dyDescent="0.3">
      <c r="A192" s="208">
        <v>1</v>
      </c>
      <c r="B192" s="73" t="s">
        <v>387</v>
      </c>
      <c r="C192" s="25" t="s">
        <v>388</v>
      </c>
      <c r="D192" s="43">
        <v>0</v>
      </c>
      <c r="E192" s="212"/>
      <c r="F192" s="212"/>
      <c r="G192" s="213"/>
      <c r="H192" s="219">
        <v>0</v>
      </c>
      <c r="I192" s="219">
        <v>0</v>
      </c>
      <c r="J192" s="219">
        <v>0</v>
      </c>
      <c r="K192" s="408"/>
      <c r="L192" s="408"/>
      <c r="M192" s="43"/>
      <c r="N192" s="41"/>
      <c r="O192" s="41"/>
      <c r="P192" s="34"/>
      <c r="Q192" s="114">
        <v>0</v>
      </c>
      <c r="R192" s="114">
        <v>0</v>
      </c>
      <c r="S192" s="409">
        <v>0</v>
      </c>
    </row>
    <row r="193" spans="1:19" ht="22.5" customHeight="1" x14ac:dyDescent="0.5">
      <c r="A193" s="208">
        <v>2</v>
      </c>
      <c r="B193" s="290" t="s">
        <v>389</v>
      </c>
      <c r="C193" s="25" t="s">
        <v>390</v>
      </c>
      <c r="D193" s="388">
        <v>3150</v>
      </c>
      <c r="E193" s="212"/>
      <c r="F193" s="234"/>
      <c r="G193" s="228"/>
      <c r="H193" s="666">
        <v>0</v>
      </c>
      <c r="I193" s="219">
        <v>0</v>
      </c>
      <c r="J193" s="219">
        <v>0</v>
      </c>
      <c r="K193" s="335" t="s">
        <v>1554</v>
      </c>
      <c r="L193" s="410" t="s">
        <v>1698</v>
      </c>
      <c r="M193" s="411">
        <v>3150</v>
      </c>
      <c r="N193" s="215"/>
      <c r="O193" s="215"/>
      <c r="P193" s="216"/>
      <c r="Q193" s="114">
        <f>SUM(H193+D193-M193)</f>
        <v>0</v>
      </c>
      <c r="R193" s="114">
        <v>0</v>
      </c>
      <c r="S193" s="409">
        <f>SUM(Q193)</f>
        <v>0</v>
      </c>
    </row>
    <row r="194" spans="1:19" s="60" customFormat="1" ht="22.5" customHeight="1" thickBot="1" x14ac:dyDescent="0.35">
      <c r="A194" s="317"/>
      <c r="B194" s="317" t="s">
        <v>15</v>
      </c>
      <c r="C194" s="318"/>
      <c r="D194" s="383">
        <f>SUM(D192:D193)</f>
        <v>3150</v>
      </c>
      <c r="E194" s="320"/>
      <c r="F194" s="320"/>
      <c r="G194" s="321"/>
      <c r="H194" s="358">
        <f>SUM(H192:H193)</f>
        <v>0</v>
      </c>
      <c r="I194" s="358">
        <f>SUM(I192:I193)</f>
        <v>0</v>
      </c>
      <c r="J194" s="358">
        <f>SUM(J192:J193)</f>
        <v>0</v>
      </c>
      <c r="K194" s="383"/>
      <c r="L194" s="383">
        <v>0</v>
      </c>
      <c r="M194" s="383">
        <f>SUM(M192:M193)</f>
        <v>3150</v>
      </c>
      <c r="N194" s="407"/>
      <c r="O194" s="407"/>
      <c r="P194" s="321"/>
      <c r="Q194" s="323">
        <f>SUM(Q192:Q193)</f>
        <v>0</v>
      </c>
      <c r="R194" s="323">
        <v>0</v>
      </c>
      <c r="S194" s="386">
        <f>SUM(S192:S193)</f>
        <v>0</v>
      </c>
    </row>
    <row r="195" spans="1:19" ht="22.5" customHeight="1" thickTop="1" x14ac:dyDescent="0.3">
      <c r="A195" s="61"/>
      <c r="B195" s="62" t="s">
        <v>392</v>
      </c>
      <c r="C195" s="63"/>
      <c r="D195" s="64"/>
      <c r="E195" s="65"/>
      <c r="F195" s="65"/>
      <c r="G195" s="66"/>
      <c r="H195" s="67"/>
      <c r="I195" s="67"/>
      <c r="J195" s="67"/>
      <c r="K195" s="68"/>
      <c r="L195" s="68"/>
      <c r="M195" s="64"/>
      <c r="N195" s="69"/>
      <c r="O195" s="69"/>
      <c r="P195" s="70"/>
      <c r="Q195" s="71"/>
      <c r="R195" s="71"/>
      <c r="S195" s="72"/>
    </row>
    <row r="196" spans="1:19" ht="22.5" customHeight="1" x14ac:dyDescent="0.3">
      <c r="A196" s="61"/>
      <c r="B196" s="62" t="s">
        <v>1336</v>
      </c>
      <c r="C196" s="63"/>
      <c r="D196" s="64">
        <v>0</v>
      </c>
      <c r="E196" s="65"/>
      <c r="F196" s="167"/>
      <c r="G196" s="168"/>
      <c r="H196" s="67"/>
      <c r="I196" s="67"/>
      <c r="J196" s="67"/>
      <c r="K196" s="68"/>
      <c r="L196" s="68"/>
      <c r="M196" s="64"/>
      <c r="N196" s="69"/>
      <c r="O196" s="117"/>
      <c r="P196" s="118"/>
      <c r="Q196" s="71"/>
      <c r="R196" s="71"/>
      <c r="S196" s="72"/>
    </row>
    <row r="197" spans="1:19" ht="22.5" customHeight="1" x14ac:dyDescent="0.3">
      <c r="A197" s="61"/>
      <c r="B197" s="62" t="s">
        <v>1337</v>
      </c>
      <c r="C197" s="63"/>
      <c r="D197" s="64"/>
      <c r="E197" s="65"/>
      <c r="F197" s="167"/>
      <c r="G197" s="168"/>
      <c r="H197" s="67"/>
      <c r="I197" s="67"/>
      <c r="J197" s="67"/>
      <c r="K197" s="68"/>
      <c r="L197" s="68"/>
      <c r="M197" s="64"/>
      <c r="N197" s="69"/>
      <c r="O197" s="117"/>
      <c r="P197" s="118"/>
      <c r="Q197" s="71"/>
      <c r="R197" s="71"/>
      <c r="S197" s="72"/>
    </row>
    <row r="198" spans="1:19" ht="22.5" customHeight="1" x14ac:dyDescent="0.3">
      <c r="A198" s="61">
        <v>1</v>
      </c>
      <c r="B198" s="838" t="s">
        <v>1338</v>
      </c>
      <c r="C198" s="63" t="s">
        <v>1339</v>
      </c>
      <c r="D198" s="64"/>
      <c r="E198" s="65"/>
      <c r="F198" s="167"/>
      <c r="G198" s="168"/>
      <c r="H198" s="67">
        <v>0</v>
      </c>
      <c r="I198" s="67">
        <v>0</v>
      </c>
      <c r="J198" s="67">
        <v>0</v>
      </c>
      <c r="K198" s="68"/>
      <c r="L198" s="68"/>
      <c r="M198" s="64"/>
      <c r="N198" s="69"/>
      <c r="O198" s="117"/>
      <c r="P198" s="118"/>
      <c r="Q198" s="71">
        <v>0</v>
      </c>
      <c r="R198" s="71">
        <v>0</v>
      </c>
      <c r="S198" s="72">
        <v>0</v>
      </c>
    </row>
    <row r="199" spans="1:19" ht="22.5" customHeight="1" x14ac:dyDescent="0.3">
      <c r="A199" s="61">
        <v>2</v>
      </c>
      <c r="B199" s="838" t="s">
        <v>237</v>
      </c>
      <c r="C199" s="63" t="s">
        <v>1341</v>
      </c>
      <c r="D199" s="64"/>
      <c r="E199" s="65"/>
      <c r="F199" s="167"/>
      <c r="G199" s="168"/>
      <c r="H199" s="67">
        <v>0</v>
      </c>
      <c r="I199" s="67">
        <v>0</v>
      </c>
      <c r="J199" s="67">
        <v>0</v>
      </c>
      <c r="K199" s="68"/>
      <c r="L199" s="68"/>
      <c r="M199" s="64"/>
      <c r="N199" s="69"/>
      <c r="O199" s="117"/>
      <c r="P199" s="118"/>
      <c r="Q199" s="71">
        <v>0</v>
      </c>
      <c r="R199" s="71">
        <v>0</v>
      </c>
      <c r="S199" s="72">
        <v>0</v>
      </c>
    </row>
    <row r="200" spans="1:19" ht="22.5" customHeight="1" x14ac:dyDescent="0.3">
      <c r="A200" s="61">
        <v>3</v>
      </c>
      <c r="B200" s="838" t="s">
        <v>240</v>
      </c>
      <c r="C200" s="63" t="s">
        <v>1343</v>
      </c>
      <c r="D200" s="64"/>
      <c r="E200" s="65"/>
      <c r="F200" s="167"/>
      <c r="G200" s="168"/>
      <c r="H200" s="67">
        <v>0</v>
      </c>
      <c r="I200" s="67">
        <v>0</v>
      </c>
      <c r="J200" s="67">
        <v>0</v>
      </c>
      <c r="K200" s="68"/>
      <c r="L200" s="68"/>
      <c r="M200" s="64"/>
      <c r="N200" s="69"/>
      <c r="O200" s="117"/>
      <c r="P200" s="118"/>
      <c r="Q200" s="71">
        <v>0</v>
      </c>
      <c r="R200" s="71">
        <v>0</v>
      </c>
      <c r="S200" s="72">
        <v>0</v>
      </c>
    </row>
    <row r="201" spans="1:19" ht="22.5" customHeight="1" x14ac:dyDescent="0.3">
      <c r="A201" s="61">
        <v>4</v>
      </c>
      <c r="B201" s="838" t="s">
        <v>1345</v>
      </c>
      <c r="C201" s="63" t="s">
        <v>1346</v>
      </c>
      <c r="D201" s="64"/>
      <c r="E201" s="65"/>
      <c r="F201" s="167"/>
      <c r="G201" s="168"/>
      <c r="H201" s="67">
        <v>0</v>
      </c>
      <c r="I201" s="67">
        <v>0</v>
      </c>
      <c r="J201" s="67">
        <v>0</v>
      </c>
      <c r="K201" s="68"/>
      <c r="L201" s="68"/>
      <c r="M201" s="64"/>
      <c r="N201" s="69"/>
      <c r="O201" s="117"/>
      <c r="P201" s="118"/>
      <c r="Q201" s="71">
        <v>0</v>
      </c>
      <c r="R201" s="71">
        <v>0</v>
      </c>
      <c r="S201" s="72">
        <v>0</v>
      </c>
    </row>
    <row r="202" spans="1:19" ht="22.5" customHeight="1" x14ac:dyDescent="0.3">
      <c r="A202" s="61">
        <v>5</v>
      </c>
      <c r="B202" s="838" t="s">
        <v>198</v>
      </c>
      <c r="C202" s="63" t="s">
        <v>1347</v>
      </c>
      <c r="D202" s="64"/>
      <c r="E202" s="65"/>
      <c r="F202" s="167"/>
      <c r="G202" s="168"/>
      <c r="H202" s="67">
        <v>0</v>
      </c>
      <c r="I202" s="67">
        <v>0</v>
      </c>
      <c r="J202" s="67">
        <v>0</v>
      </c>
      <c r="K202" s="68"/>
      <c r="L202" s="68"/>
      <c r="M202" s="64"/>
      <c r="N202" s="69"/>
      <c r="O202" s="117"/>
      <c r="P202" s="118"/>
      <c r="Q202" s="71">
        <v>0</v>
      </c>
      <c r="R202" s="71">
        <v>0</v>
      </c>
      <c r="S202" s="72">
        <v>0</v>
      </c>
    </row>
    <row r="203" spans="1:19" ht="22.5" customHeight="1" x14ac:dyDescent="0.3">
      <c r="A203" s="61">
        <v>6</v>
      </c>
      <c r="B203" s="838" t="s">
        <v>245</v>
      </c>
      <c r="C203" s="63" t="s">
        <v>1349</v>
      </c>
      <c r="D203" s="64"/>
      <c r="E203" s="65"/>
      <c r="F203" s="167"/>
      <c r="G203" s="168"/>
      <c r="H203" s="67">
        <v>0</v>
      </c>
      <c r="I203" s="67">
        <v>0</v>
      </c>
      <c r="J203" s="67">
        <v>0</v>
      </c>
      <c r="K203" s="68"/>
      <c r="L203" s="68"/>
      <c r="M203" s="64"/>
      <c r="N203" s="69"/>
      <c r="O203" s="117"/>
      <c r="P203" s="118"/>
      <c r="Q203" s="71">
        <v>0</v>
      </c>
      <c r="R203" s="71">
        <v>0</v>
      </c>
      <c r="S203" s="72">
        <v>0</v>
      </c>
    </row>
    <row r="204" spans="1:19" ht="22.5" customHeight="1" x14ac:dyDescent="0.3">
      <c r="A204" s="61">
        <v>7</v>
      </c>
      <c r="B204" s="838" t="s">
        <v>240</v>
      </c>
      <c r="C204" s="63" t="s">
        <v>1351</v>
      </c>
      <c r="D204" s="64"/>
      <c r="E204" s="65"/>
      <c r="F204" s="167"/>
      <c r="G204" s="168"/>
      <c r="H204" s="67">
        <v>0</v>
      </c>
      <c r="I204" s="67">
        <v>0</v>
      </c>
      <c r="J204" s="67">
        <v>0</v>
      </c>
      <c r="K204" s="68"/>
      <c r="L204" s="68"/>
      <c r="M204" s="64"/>
      <c r="N204" s="69"/>
      <c r="O204" s="117"/>
      <c r="P204" s="118"/>
      <c r="Q204" s="71">
        <v>0</v>
      </c>
      <c r="R204" s="71">
        <v>0</v>
      </c>
      <c r="S204" s="72">
        <v>0</v>
      </c>
    </row>
    <row r="205" spans="1:19" ht="22.5" customHeight="1" x14ac:dyDescent="0.3">
      <c r="A205" s="61">
        <v>8</v>
      </c>
      <c r="B205" s="838" t="s">
        <v>1352</v>
      </c>
      <c r="C205" s="63" t="s">
        <v>1353</v>
      </c>
      <c r="D205" s="64"/>
      <c r="E205" s="65"/>
      <c r="F205" s="167"/>
      <c r="G205" s="168"/>
      <c r="H205" s="67">
        <v>0</v>
      </c>
      <c r="I205" s="67">
        <v>0</v>
      </c>
      <c r="J205" s="67">
        <v>0</v>
      </c>
      <c r="K205" s="68"/>
      <c r="L205" s="68"/>
      <c r="M205" s="64"/>
      <c r="N205" s="69"/>
      <c r="O205" s="117"/>
      <c r="P205" s="118"/>
      <c r="Q205" s="71">
        <v>0</v>
      </c>
      <c r="R205" s="71">
        <v>0</v>
      </c>
      <c r="S205" s="72">
        <v>0</v>
      </c>
    </row>
    <row r="206" spans="1:19" ht="22.5" customHeight="1" x14ac:dyDescent="0.3">
      <c r="A206" s="61">
        <v>9</v>
      </c>
      <c r="B206" s="838" t="s">
        <v>1354</v>
      </c>
      <c r="C206" s="63" t="s">
        <v>1355</v>
      </c>
      <c r="D206" s="64"/>
      <c r="E206" s="65"/>
      <c r="F206" s="167"/>
      <c r="G206" s="168"/>
      <c r="H206" s="67">
        <v>0</v>
      </c>
      <c r="I206" s="67">
        <v>0</v>
      </c>
      <c r="J206" s="67">
        <v>0</v>
      </c>
      <c r="K206" s="68"/>
      <c r="L206" s="68"/>
      <c r="M206" s="64"/>
      <c r="N206" s="69"/>
      <c r="O206" s="117"/>
      <c r="P206" s="118"/>
      <c r="Q206" s="71">
        <v>0</v>
      </c>
      <c r="R206" s="71">
        <v>0</v>
      </c>
      <c r="S206" s="72">
        <v>0</v>
      </c>
    </row>
    <row r="207" spans="1:19" ht="22.5" customHeight="1" x14ac:dyDescent="0.3">
      <c r="A207" s="61">
        <v>10</v>
      </c>
      <c r="B207" s="838" t="s">
        <v>313</v>
      </c>
      <c r="C207" s="63" t="s">
        <v>1356</v>
      </c>
      <c r="D207" s="64"/>
      <c r="E207" s="65"/>
      <c r="F207" s="167"/>
      <c r="G207" s="168"/>
      <c r="H207" s="67">
        <v>0</v>
      </c>
      <c r="I207" s="67">
        <v>0</v>
      </c>
      <c r="J207" s="67">
        <v>0</v>
      </c>
      <c r="K207" s="68"/>
      <c r="L207" s="68"/>
      <c r="M207" s="64"/>
      <c r="N207" s="69"/>
      <c r="O207" s="117"/>
      <c r="P207" s="118"/>
      <c r="Q207" s="71">
        <v>0</v>
      </c>
      <c r="R207" s="71">
        <v>0</v>
      </c>
      <c r="S207" s="72">
        <v>0</v>
      </c>
    </row>
    <row r="208" spans="1:19" ht="22.5" customHeight="1" x14ac:dyDescent="0.3">
      <c r="A208" s="61">
        <v>11</v>
      </c>
      <c r="B208" s="838" t="s">
        <v>257</v>
      </c>
      <c r="C208" s="63" t="s">
        <v>1358</v>
      </c>
      <c r="D208" s="64"/>
      <c r="E208" s="65"/>
      <c r="F208" s="167"/>
      <c r="G208" s="168"/>
      <c r="H208" s="67">
        <v>0</v>
      </c>
      <c r="I208" s="67">
        <v>0</v>
      </c>
      <c r="J208" s="67">
        <v>0</v>
      </c>
      <c r="K208" s="68"/>
      <c r="L208" s="68"/>
      <c r="M208" s="64"/>
      <c r="N208" s="69"/>
      <c r="O208" s="117"/>
      <c r="P208" s="118"/>
      <c r="Q208" s="71">
        <v>0</v>
      </c>
      <c r="R208" s="71">
        <v>0</v>
      </c>
      <c r="S208" s="72">
        <v>0</v>
      </c>
    </row>
    <row r="209" spans="1:20" ht="22.5" customHeight="1" x14ac:dyDescent="0.3">
      <c r="A209" s="61">
        <v>12</v>
      </c>
      <c r="B209" s="838" t="s">
        <v>198</v>
      </c>
      <c r="C209" s="63" t="s">
        <v>1360</v>
      </c>
      <c r="D209" s="64"/>
      <c r="E209" s="65"/>
      <c r="F209" s="167"/>
      <c r="G209" s="168"/>
      <c r="H209" s="67">
        <v>0</v>
      </c>
      <c r="I209" s="67">
        <v>0</v>
      </c>
      <c r="J209" s="67">
        <v>0</v>
      </c>
      <c r="K209" s="68"/>
      <c r="L209" s="68"/>
      <c r="M209" s="64"/>
      <c r="N209" s="69"/>
      <c r="O209" s="117"/>
      <c r="P209" s="118"/>
      <c r="Q209" s="71">
        <v>0</v>
      </c>
      <c r="R209" s="71">
        <v>0</v>
      </c>
      <c r="S209" s="72">
        <v>0</v>
      </c>
      <c r="T209" s="3" t="s">
        <v>1361</v>
      </c>
    </row>
    <row r="210" spans="1:20" ht="22.5" customHeight="1" x14ac:dyDescent="0.3">
      <c r="A210" s="61">
        <v>13</v>
      </c>
      <c r="B210" s="838" t="s">
        <v>1362</v>
      </c>
      <c r="C210" s="63" t="s">
        <v>1363</v>
      </c>
      <c r="D210" s="64"/>
      <c r="E210" s="65"/>
      <c r="F210" s="167"/>
      <c r="G210" s="168"/>
      <c r="H210" s="67">
        <v>0</v>
      </c>
      <c r="I210" s="67">
        <v>0</v>
      </c>
      <c r="J210" s="67">
        <v>0</v>
      </c>
      <c r="K210" s="68"/>
      <c r="L210" s="68"/>
      <c r="M210" s="64"/>
      <c r="N210" s="69"/>
      <c r="O210" s="117"/>
      <c r="P210" s="118"/>
      <c r="Q210" s="71">
        <v>0</v>
      </c>
      <c r="R210" s="71">
        <v>0</v>
      </c>
      <c r="S210" s="72">
        <v>0</v>
      </c>
    </row>
    <row r="211" spans="1:20" ht="22.5" customHeight="1" x14ac:dyDescent="0.3">
      <c r="A211" s="61">
        <v>14</v>
      </c>
      <c r="B211" s="838" t="s">
        <v>261</v>
      </c>
      <c r="C211" s="63" t="s">
        <v>1365</v>
      </c>
      <c r="D211" s="64"/>
      <c r="E211" s="65"/>
      <c r="F211" s="167"/>
      <c r="G211" s="168"/>
      <c r="H211" s="67">
        <v>0</v>
      </c>
      <c r="I211" s="67">
        <v>0</v>
      </c>
      <c r="J211" s="67">
        <v>0</v>
      </c>
      <c r="K211" s="68"/>
      <c r="L211" s="68"/>
      <c r="M211" s="64"/>
      <c r="N211" s="69"/>
      <c r="O211" s="117"/>
      <c r="P211" s="118"/>
      <c r="Q211" s="71">
        <v>0</v>
      </c>
      <c r="R211" s="71">
        <v>0</v>
      </c>
      <c r="S211" s="72">
        <v>0</v>
      </c>
    </row>
    <row r="212" spans="1:20" ht="22.5" customHeight="1" x14ac:dyDescent="0.3">
      <c r="A212" s="61">
        <v>15</v>
      </c>
      <c r="B212" s="838" t="s">
        <v>266</v>
      </c>
      <c r="C212" s="63" t="s">
        <v>1366</v>
      </c>
      <c r="D212" s="64"/>
      <c r="E212" s="65"/>
      <c r="F212" s="167"/>
      <c r="G212" s="168"/>
      <c r="H212" s="67">
        <v>0</v>
      </c>
      <c r="I212" s="67">
        <v>0</v>
      </c>
      <c r="J212" s="67">
        <v>0</v>
      </c>
      <c r="K212" s="68"/>
      <c r="L212" s="68"/>
      <c r="M212" s="64"/>
      <c r="N212" s="69"/>
      <c r="O212" s="117"/>
      <c r="P212" s="118"/>
      <c r="Q212" s="71">
        <v>0</v>
      </c>
      <c r="R212" s="71">
        <v>0</v>
      </c>
      <c r="S212" s="72">
        <v>0</v>
      </c>
    </row>
    <row r="213" spans="1:20" ht="22.5" customHeight="1" x14ac:dyDescent="0.3">
      <c r="A213" s="61"/>
      <c r="B213" s="838" t="s">
        <v>1368</v>
      </c>
      <c r="C213" s="63"/>
      <c r="D213" s="64"/>
      <c r="E213" s="65"/>
      <c r="F213" s="167"/>
      <c r="G213" s="168"/>
      <c r="H213" s="67"/>
      <c r="I213" s="67"/>
      <c r="J213" s="67"/>
      <c r="K213" s="68"/>
      <c r="L213" s="68"/>
      <c r="M213" s="64"/>
      <c r="N213" s="69"/>
      <c r="O213" s="117"/>
      <c r="P213" s="118"/>
      <c r="Q213" s="71"/>
      <c r="R213" s="71"/>
      <c r="S213" s="72"/>
    </row>
    <row r="214" spans="1:20" ht="22.5" customHeight="1" x14ac:dyDescent="0.3">
      <c r="A214" s="61">
        <v>17</v>
      </c>
      <c r="B214" s="838" t="s">
        <v>270</v>
      </c>
      <c r="C214" s="63" t="s">
        <v>1339</v>
      </c>
      <c r="D214" s="64"/>
      <c r="E214" s="65"/>
      <c r="F214" s="167"/>
      <c r="G214" s="168"/>
      <c r="H214" s="67">
        <v>0</v>
      </c>
      <c r="I214" s="67">
        <v>0</v>
      </c>
      <c r="J214" s="67">
        <v>0</v>
      </c>
      <c r="K214" s="68"/>
      <c r="L214" s="68"/>
      <c r="M214" s="64"/>
      <c r="N214" s="69"/>
      <c r="O214" s="117"/>
      <c r="P214" s="118"/>
      <c r="Q214" s="71">
        <v>0</v>
      </c>
      <c r="R214" s="71">
        <v>0</v>
      </c>
      <c r="S214" s="72">
        <v>0</v>
      </c>
    </row>
    <row r="215" spans="1:20" ht="22.5" customHeight="1" x14ac:dyDescent="0.3">
      <c r="A215" s="61">
        <v>18</v>
      </c>
      <c r="B215" s="838" t="s">
        <v>261</v>
      </c>
      <c r="C215" s="63" t="s">
        <v>1369</v>
      </c>
      <c r="D215" s="64"/>
      <c r="E215" s="65"/>
      <c r="F215" s="167"/>
      <c r="G215" s="168"/>
      <c r="H215" s="67">
        <v>0</v>
      </c>
      <c r="I215" s="67">
        <v>0</v>
      </c>
      <c r="J215" s="67">
        <v>0</v>
      </c>
      <c r="K215" s="68"/>
      <c r="L215" s="68"/>
      <c r="M215" s="64"/>
      <c r="N215" s="69"/>
      <c r="O215" s="117"/>
      <c r="P215" s="118"/>
      <c r="Q215" s="71">
        <v>0</v>
      </c>
      <c r="R215" s="71">
        <v>0</v>
      </c>
      <c r="S215" s="72">
        <v>0</v>
      </c>
    </row>
    <row r="216" spans="1:20" ht="22.5" customHeight="1" x14ac:dyDescent="0.3">
      <c r="A216" s="61">
        <v>19</v>
      </c>
      <c r="B216" s="838" t="s">
        <v>274</v>
      </c>
      <c r="C216" s="63" t="s">
        <v>1370</v>
      </c>
      <c r="D216" s="64"/>
      <c r="E216" s="65"/>
      <c r="F216" s="167"/>
      <c r="G216" s="168"/>
      <c r="H216" s="67">
        <v>0</v>
      </c>
      <c r="I216" s="67">
        <v>0</v>
      </c>
      <c r="J216" s="67">
        <v>0</v>
      </c>
      <c r="K216" s="68"/>
      <c r="L216" s="68"/>
      <c r="M216" s="64"/>
      <c r="N216" s="69"/>
      <c r="O216" s="117"/>
      <c r="P216" s="118"/>
      <c r="Q216" s="71">
        <v>0</v>
      </c>
      <c r="R216" s="71">
        <v>0</v>
      </c>
      <c r="S216" s="72">
        <v>0</v>
      </c>
    </row>
    <row r="217" spans="1:20" ht="22.5" customHeight="1" x14ac:dyDescent="0.3">
      <c r="A217" s="61">
        <v>20</v>
      </c>
      <c r="B217" s="838" t="s">
        <v>277</v>
      </c>
      <c r="C217" s="63" t="s">
        <v>1372</v>
      </c>
      <c r="D217" s="64"/>
      <c r="E217" s="65"/>
      <c r="F217" s="167"/>
      <c r="G217" s="168"/>
      <c r="H217" s="67">
        <v>0</v>
      </c>
      <c r="I217" s="67">
        <v>0</v>
      </c>
      <c r="J217" s="67">
        <v>0</v>
      </c>
      <c r="K217" s="68"/>
      <c r="L217" s="68"/>
      <c r="M217" s="64"/>
      <c r="N217" s="69"/>
      <c r="O217" s="117"/>
      <c r="P217" s="118"/>
      <c r="Q217" s="71">
        <v>0</v>
      </c>
      <c r="R217" s="71">
        <v>0</v>
      </c>
      <c r="S217" s="72">
        <v>0</v>
      </c>
    </row>
    <row r="218" spans="1:20" ht="22.5" customHeight="1" x14ac:dyDescent="0.3">
      <c r="A218" s="61"/>
      <c r="B218" s="838" t="s">
        <v>1373</v>
      </c>
      <c r="C218" s="63"/>
      <c r="D218" s="64"/>
      <c r="E218" s="65"/>
      <c r="F218" s="167"/>
      <c r="G218" s="168"/>
      <c r="H218" s="67">
        <v>0</v>
      </c>
      <c r="I218" s="67">
        <v>0</v>
      </c>
      <c r="J218" s="67">
        <v>0</v>
      </c>
      <c r="K218" s="68"/>
      <c r="L218" s="68"/>
      <c r="M218" s="64"/>
      <c r="N218" s="69"/>
      <c r="O218" s="117"/>
      <c r="P218" s="118"/>
      <c r="Q218" s="71">
        <v>0</v>
      </c>
      <c r="R218" s="71">
        <v>0</v>
      </c>
      <c r="S218" s="72">
        <v>0</v>
      </c>
    </row>
    <row r="219" spans="1:20" ht="22.5" customHeight="1" x14ac:dyDescent="0.3">
      <c r="A219" s="61">
        <v>22</v>
      </c>
      <c r="B219" s="838" t="s">
        <v>281</v>
      </c>
      <c r="C219" s="63" t="s">
        <v>1374</v>
      </c>
      <c r="D219" s="64"/>
      <c r="E219" s="65"/>
      <c r="F219" s="167"/>
      <c r="G219" s="168"/>
      <c r="H219" s="67">
        <v>0</v>
      </c>
      <c r="I219" s="67">
        <v>0</v>
      </c>
      <c r="J219" s="67">
        <v>0</v>
      </c>
      <c r="K219" s="68"/>
      <c r="L219" s="68"/>
      <c r="M219" s="64"/>
      <c r="N219" s="69"/>
      <c r="O219" s="117"/>
      <c r="P219" s="118"/>
      <c r="Q219" s="71">
        <v>0</v>
      </c>
      <c r="R219" s="71">
        <v>0</v>
      </c>
      <c r="S219" s="72">
        <v>0</v>
      </c>
      <c r="T219" s="3" t="s">
        <v>1697</v>
      </c>
    </row>
    <row r="220" spans="1:20" ht="22.5" customHeight="1" x14ac:dyDescent="0.3">
      <c r="A220" s="61">
        <v>23</v>
      </c>
      <c r="B220" s="838" t="s">
        <v>1375</v>
      </c>
      <c r="C220" s="63" t="s">
        <v>1376</v>
      </c>
      <c r="D220" s="64"/>
      <c r="E220" s="65"/>
      <c r="F220" s="167"/>
      <c r="G220" s="168"/>
      <c r="H220" s="67">
        <v>0</v>
      </c>
      <c r="I220" s="67">
        <v>0</v>
      </c>
      <c r="J220" s="67">
        <v>0</v>
      </c>
      <c r="K220" s="68"/>
      <c r="L220" s="68"/>
      <c r="M220" s="64"/>
      <c r="N220" s="69"/>
      <c r="O220" s="117"/>
      <c r="P220" s="118"/>
      <c r="Q220" s="71">
        <v>0</v>
      </c>
      <c r="R220" s="71">
        <v>0</v>
      </c>
      <c r="S220" s="72">
        <v>0</v>
      </c>
    </row>
    <row r="221" spans="1:20" ht="22.5" customHeight="1" x14ac:dyDescent="0.3">
      <c r="A221" s="61">
        <v>24</v>
      </c>
      <c r="B221" s="838" t="s">
        <v>1378</v>
      </c>
      <c r="C221" s="63" t="s">
        <v>1379</v>
      </c>
      <c r="D221" s="64"/>
      <c r="E221" s="65"/>
      <c r="F221" s="167"/>
      <c r="G221" s="168"/>
      <c r="H221" s="67">
        <v>0</v>
      </c>
      <c r="I221" s="67">
        <v>0</v>
      </c>
      <c r="J221" s="67">
        <v>0</v>
      </c>
      <c r="K221" s="68"/>
      <c r="L221" s="68"/>
      <c r="M221" s="64"/>
      <c r="N221" s="69"/>
      <c r="O221" s="117"/>
      <c r="P221" s="118"/>
      <c r="Q221" s="71">
        <v>0</v>
      </c>
      <c r="R221" s="71">
        <v>0</v>
      </c>
      <c r="S221" s="72">
        <v>0</v>
      </c>
    </row>
    <row r="222" spans="1:20" ht="22.5" customHeight="1" x14ac:dyDescent="0.3">
      <c r="A222" s="61">
        <v>25</v>
      </c>
      <c r="B222" s="838" t="s">
        <v>1380</v>
      </c>
      <c r="C222" s="63" t="s">
        <v>1370</v>
      </c>
      <c r="D222" s="64"/>
      <c r="E222" s="65" t="s">
        <v>1336</v>
      </c>
      <c r="F222" s="167"/>
      <c r="G222" s="168"/>
      <c r="H222" s="67">
        <v>1266.8800000000001</v>
      </c>
      <c r="I222" s="67">
        <v>0</v>
      </c>
      <c r="J222" s="67">
        <v>1266.8800000000001</v>
      </c>
      <c r="K222" s="68"/>
      <c r="L222" s="68"/>
      <c r="M222" s="64"/>
      <c r="N222" s="69" t="s">
        <v>1336</v>
      </c>
      <c r="O222" s="117"/>
      <c r="P222" s="118"/>
      <c r="Q222" s="71">
        <v>1266.8800000000001</v>
      </c>
      <c r="R222" s="71">
        <v>0</v>
      </c>
      <c r="S222" s="72">
        <v>1266.8800000000001</v>
      </c>
    </row>
    <row r="223" spans="1:20" ht="22.5" customHeight="1" x14ac:dyDescent="0.3">
      <c r="A223" s="61">
        <v>26</v>
      </c>
      <c r="B223" s="838" t="s">
        <v>293</v>
      </c>
      <c r="C223" s="63" t="s">
        <v>1381</v>
      </c>
      <c r="D223" s="64"/>
      <c r="E223" s="65"/>
      <c r="F223" s="167"/>
      <c r="G223" s="168"/>
      <c r="H223" s="67">
        <v>0</v>
      </c>
      <c r="I223" s="67">
        <v>0</v>
      </c>
      <c r="J223" s="67">
        <v>0</v>
      </c>
      <c r="K223" s="68"/>
      <c r="L223" s="68"/>
      <c r="M223" s="64"/>
      <c r="N223" s="69"/>
      <c r="O223" s="117"/>
      <c r="P223" s="118"/>
      <c r="Q223" s="71">
        <v>0</v>
      </c>
      <c r="R223" s="71">
        <v>0</v>
      </c>
      <c r="S223" s="72">
        <v>0</v>
      </c>
    </row>
    <row r="224" spans="1:20" ht="22.5" customHeight="1" x14ac:dyDescent="0.3">
      <c r="A224" s="61">
        <v>27</v>
      </c>
      <c r="B224" s="838" t="s">
        <v>296</v>
      </c>
      <c r="C224" s="63" t="s">
        <v>1383</v>
      </c>
      <c r="D224" s="64"/>
      <c r="E224" s="65"/>
      <c r="F224" s="167"/>
      <c r="G224" s="168"/>
      <c r="H224" s="67">
        <v>0</v>
      </c>
      <c r="I224" s="67">
        <v>0</v>
      </c>
      <c r="J224" s="67">
        <v>0</v>
      </c>
      <c r="K224" s="68"/>
      <c r="L224" s="68"/>
      <c r="M224" s="64"/>
      <c r="N224" s="69"/>
      <c r="O224" s="117"/>
      <c r="P224" s="118"/>
      <c r="Q224" s="71">
        <v>0</v>
      </c>
      <c r="R224" s="71">
        <v>0</v>
      </c>
      <c r="S224" s="72">
        <v>0</v>
      </c>
    </row>
    <row r="225" spans="1:19" ht="22.5" customHeight="1" x14ac:dyDescent="0.3">
      <c r="A225" s="61"/>
      <c r="B225" s="838" t="s">
        <v>1385</v>
      </c>
      <c r="C225" s="63"/>
      <c r="D225" s="64"/>
      <c r="E225" s="65"/>
      <c r="F225" s="167"/>
      <c r="G225" s="168"/>
      <c r="H225" s="67"/>
      <c r="I225" s="67"/>
      <c r="J225" s="67"/>
      <c r="K225" s="68"/>
      <c r="L225" s="68"/>
      <c r="M225" s="64"/>
      <c r="N225" s="69"/>
      <c r="O225" s="117"/>
      <c r="P225" s="118"/>
      <c r="Q225" s="71"/>
      <c r="R225" s="71"/>
      <c r="S225" s="72"/>
    </row>
    <row r="226" spans="1:19" ht="22.5" customHeight="1" x14ac:dyDescent="0.3">
      <c r="A226" s="61">
        <v>29</v>
      </c>
      <c r="B226" s="838" t="s">
        <v>300</v>
      </c>
      <c r="C226" s="63" t="s">
        <v>1374</v>
      </c>
      <c r="D226" s="64"/>
      <c r="E226" s="65"/>
      <c r="F226" s="167"/>
      <c r="G226" s="168"/>
      <c r="H226" s="67">
        <v>0</v>
      </c>
      <c r="I226" s="67">
        <v>0</v>
      </c>
      <c r="J226" s="67">
        <v>0</v>
      </c>
      <c r="K226" s="68"/>
      <c r="L226" s="68"/>
      <c r="M226" s="64"/>
      <c r="N226" s="69"/>
      <c r="O226" s="117"/>
      <c r="P226" s="118"/>
      <c r="Q226" s="71">
        <v>0</v>
      </c>
      <c r="R226" s="71">
        <v>0</v>
      </c>
      <c r="S226" s="72">
        <v>0</v>
      </c>
    </row>
    <row r="227" spans="1:19" ht="22.5" customHeight="1" x14ac:dyDescent="0.3">
      <c r="A227" s="61">
        <v>30</v>
      </c>
      <c r="B227" s="838" t="s">
        <v>303</v>
      </c>
      <c r="C227" s="63" t="s">
        <v>1387</v>
      </c>
      <c r="D227" s="64"/>
      <c r="E227" s="65"/>
      <c r="F227" s="167"/>
      <c r="G227" s="168"/>
      <c r="H227" s="67">
        <v>0</v>
      </c>
      <c r="I227" s="67">
        <v>0</v>
      </c>
      <c r="J227" s="67">
        <v>0</v>
      </c>
      <c r="K227" s="68"/>
      <c r="L227" s="68"/>
      <c r="M227" s="64"/>
      <c r="N227" s="69"/>
      <c r="O227" s="117"/>
      <c r="P227" s="118"/>
      <c r="Q227" s="71">
        <v>0</v>
      </c>
      <c r="R227" s="71">
        <v>0</v>
      </c>
      <c r="S227" s="72">
        <v>0</v>
      </c>
    </row>
    <row r="228" spans="1:19" ht="22.5" customHeight="1" x14ac:dyDescent="0.3">
      <c r="A228" s="61">
        <v>31</v>
      </c>
      <c r="B228" s="838" t="s">
        <v>296</v>
      </c>
      <c r="C228" s="63" t="s">
        <v>1388</v>
      </c>
      <c r="D228" s="64"/>
      <c r="E228" s="65"/>
      <c r="F228" s="167"/>
      <c r="G228" s="168"/>
      <c r="H228" s="67">
        <v>0</v>
      </c>
      <c r="I228" s="67">
        <v>0</v>
      </c>
      <c r="J228" s="67">
        <v>0</v>
      </c>
      <c r="K228" s="68"/>
      <c r="L228" s="68"/>
      <c r="M228" s="64"/>
      <c r="N228" s="69"/>
      <c r="O228" s="117"/>
      <c r="P228" s="118"/>
      <c r="Q228" s="71">
        <v>0</v>
      </c>
      <c r="R228" s="71">
        <v>0</v>
      </c>
      <c r="S228" s="72">
        <v>0</v>
      </c>
    </row>
    <row r="229" spans="1:19" ht="22.5" customHeight="1" x14ac:dyDescent="0.3">
      <c r="A229" s="61">
        <v>32</v>
      </c>
      <c r="B229" s="838" t="s">
        <v>308</v>
      </c>
      <c r="C229" s="63" t="s">
        <v>1389</v>
      </c>
      <c r="D229" s="64"/>
      <c r="E229" s="65"/>
      <c r="F229" s="167"/>
      <c r="G229" s="168"/>
      <c r="H229" s="67">
        <v>0</v>
      </c>
      <c r="I229" s="67">
        <v>0</v>
      </c>
      <c r="J229" s="67">
        <v>0</v>
      </c>
      <c r="K229" s="68"/>
      <c r="L229" s="68"/>
      <c r="M229" s="64"/>
      <c r="N229" s="69"/>
      <c r="O229" s="117"/>
      <c r="P229" s="118"/>
      <c r="Q229" s="71">
        <v>0</v>
      </c>
      <c r="R229" s="71">
        <v>0</v>
      </c>
      <c r="S229" s="72">
        <v>0</v>
      </c>
    </row>
    <row r="230" spans="1:19" ht="22.5" customHeight="1" x14ac:dyDescent="0.3">
      <c r="A230" s="61">
        <v>33</v>
      </c>
      <c r="B230" s="838" t="s">
        <v>261</v>
      </c>
      <c r="C230" s="63" t="s">
        <v>1381</v>
      </c>
      <c r="D230" s="64"/>
      <c r="E230" s="65"/>
      <c r="F230" s="167"/>
      <c r="G230" s="168"/>
      <c r="H230" s="67">
        <v>0</v>
      </c>
      <c r="I230" s="67">
        <v>0</v>
      </c>
      <c r="J230" s="67">
        <v>0</v>
      </c>
      <c r="K230" s="68"/>
      <c r="L230" s="68"/>
      <c r="M230" s="64"/>
      <c r="N230" s="69"/>
      <c r="O230" s="117"/>
      <c r="P230" s="118"/>
      <c r="Q230" s="71">
        <v>0</v>
      </c>
      <c r="R230" s="71">
        <v>0</v>
      </c>
      <c r="S230" s="72">
        <v>0</v>
      </c>
    </row>
    <row r="231" spans="1:19" ht="22.5" customHeight="1" x14ac:dyDescent="0.3">
      <c r="A231" s="61">
        <v>34</v>
      </c>
      <c r="B231" s="838" t="s">
        <v>261</v>
      </c>
      <c r="C231" s="63" t="s">
        <v>1390</v>
      </c>
      <c r="D231" s="64"/>
      <c r="E231" s="65"/>
      <c r="F231" s="167"/>
      <c r="G231" s="168"/>
      <c r="H231" s="67">
        <v>0</v>
      </c>
      <c r="I231" s="67">
        <v>0</v>
      </c>
      <c r="J231" s="67">
        <v>0</v>
      </c>
      <c r="K231" s="68"/>
      <c r="L231" s="68"/>
      <c r="M231" s="64"/>
      <c r="N231" s="69"/>
      <c r="O231" s="117"/>
      <c r="P231" s="118"/>
      <c r="Q231" s="71">
        <v>0</v>
      </c>
      <c r="R231" s="71">
        <v>0</v>
      </c>
      <c r="S231" s="72">
        <v>0</v>
      </c>
    </row>
    <row r="232" spans="1:19" ht="22.5" customHeight="1" x14ac:dyDescent="0.3">
      <c r="A232" s="61">
        <v>35</v>
      </c>
      <c r="B232" s="838" t="s">
        <v>313</v>
      </c>
      <c r="C232" s="63" t="s">
        <v>1391</v>
      </c>
      <c r="D232" s="64"/>
      <c r="E232" s="65"/>
      <c r="F232" s="167"/>
      <c r="G232" s="168"/>
      <c r="H232" s="67">
        <v>0</v>
      </c>
      <c r="I232" s="67">
        <v>0</v>
      </c>
      <c r="J232" s="67">
        <v>0</v>
      </c>
      <c r="K232" s="68"/>
      <c r="L232" s="68"/>
      <c r="M232" s="64"/>
      <c r="N232" s="69"/>
      <c r="O232" s="117"/>
      <c r="P232" s="118"/>
      <c r="Q232" s="71">
        <v>0</v>
      </c>
      <c r="R232" s="71">
        <v>0</v>
      </c>
      <c r="S232" s="72">
        <v>0</v>
      </c>
    </row>
    <row r="233" spans="1:19" ht="22.5" customHeight="1" x14ac:dyDescent="0.3">
      <c r="A233" s="61"/>
      <c r="B233" s="838" t="s">
        <v>1392</v>
      </c>
      <c r="C233" s="63"/>
      <c r="D233" s="64"/>
      <c r="E233" s="65"/>
      <c r="F233" s="167"/>
      <c r="G233" s="168"/>
      <c r="H233" s="67"/>
      <c r="I233" s="67"/>
      <c r="J233" s="67"/>
      <c r="K233" s="68"/>
      <c r="L233" s="68"/>
      <c r="M233" s="64"/>
      <c r="N233" s="69"/>
      <c r="O233" s="117"/>
      <c r="P233" s="118"/>
      <c r="Q233" s="71"/>
      <c r="R233" s="71"/>
      <c r="S233" s="72"/>
    </row>
    <row r="234" spans="1:19" ht="22.5" customHeight="1" x14ac:dyDescent="0.3">
      <c r="A234" s="61">
        <v>37</v>
      </c>
      <c r="B234" s="838" t="s">
        <v>261</v>
      </c>
      <c r="C234" s="63" t="s">
        <v>1393</v>
      </c>
      <c r="D234" s="64"/>
      <c r="E234" s="65"/>
      <c r="F234" s="167"/>
      <c r="G234" s="168"/>
      <c r="H234" s="67">
        <v>0</v>
      </c>
      <c r="I234" s="67">
        <v>0</v>
      </c>
      <c r="J234" s="67">
        <v>0</v>
      </c>
      <c r="K234" s="68"/>
      <c r="L234" s="68"/>
      <c r="M234" s="64"/>
      <c r="N234" s="69"/>
      <c r="O234" s="117"/>
      <c r="P234" s="118"/>
      <c r="Q234" s="71">
        <v>0</v>
      </c>
      <c r="R234" s="71">
        <v>0</v>
      </c>
      <c r="S234" s="72">
        <v>0</v>
      </c>
    </row>
    <row r="235" spans="1:19" ht="22.5" customHeight="1" x14ac:dyDescent="0.3">
      <c r="A235" s="61">
        <v>38</v>
      </c>
      <c r="B235" s="838" t="s">
        <v>149</v>
      </c>
      <c r="C235" s="63" t="s">
        <v>1394</v>
      </c>
      <c r="D235" s="64"/>
      <c r="E235" s="65"/>
      <c r="F235" s="167"/>
      <c r="G235" s="168"/>
      <c r="H235" s="67">
        <v>0</v>
      </c>
      <c r="I235" s="67">
        <v>0</v>
      </c>
      <c r="J235" s="67">
        <v>0</v>
      </c>
      <c r="K235" s="68"/>
      <c r="L235" s="68"/>
      <c r="M235" s="64"/>
      <c r="N235" s="69"/>
      <c r="O235" s="117"/>
      <c r="P235" s="118"/>
      <c r="Q235" s="71">
        <v>0</v>
      </c>
      <c r="R235" s="71">
        <v>0</v>
      </c>
      <c r="S235" s="72">
        <v>0</v>
      </c>
    </row>
    <row r="236" spans="1:19" ht="22.5" customHeight="1" x14ac:dyDescent="0.3">
      <c r="A236" s="61">
        <v>39</v>
      </c>
      <c r="B236" s="838" t="s">
        <v>320</v>
      </c>
      <c r="C236" s="63" t="s">
        <v>1387</v>
      </c>
      <c r="D236" s="64"/>
      <c r="E236" s="65"/>
      <c r="F236" s="167"/>
      <c r="G236" s="168"/>
      <c r="H236" s="67">
        <v>0</v>
      </c>
      <c r="I236" s="67">
        <v>0</v>
      </c>
      <c r="J236" s="67">
        <v>0</v>
      </c>
      <c r="K236" s="68"/>
      <c r="L236" s="68"/>
      <c r="M236" s="64"/>
      <c r="N236" s="69"/>
      <c r="O236" s="117"/>
      <c r="P236" s="118"/>
      <c r="Q236" s="71">
        <v>0</v>
      </c>
      <c r="R236" s="71">
        <v>0</v>
      </c>
      <c r="S236" s="72">
        <v>0</v>
      </c>
    </row>
    <row r="237" spans="1:19" ht="22.5" customHeight="1" x14ac:dyDescent="0.3">
      <c r="A237" s="61">
        <v>40</v>
      </c>
      <c r="B237" s="838" t="s">
        <v>322</v>
      </c>
      <c r="C237" s="63" t="s">
        <v>1388</v>
      </c>
      <c r="D237" s="64"/>
      <c r="E237" s="65"/>
      <c r="F237" s="167"/>
      <c r="G237" s="168"/>
      <c r="H237" s="67">
        <v>0</v>
      </c>
      <c r="I237" s="67">
        <v>0</v>
      </c>
      <c r="J237" s="67">
        <v>0</v>
      </c>
      <c r="K237" s="68"/>
      <c r="L237" s="68"/>
      <c r="M237" s="64"/>
      <c r="N237" s="69"/>
      <c r="O237" s="117"/>
      <c r="P237" s="118"/>
      <c r="Q237" s="71">
        <v>0</v>
      </c>
      <c r="R237" s="71">
        <v>0</v>
      </c>
      <c r="S237" s="72">
        <v>0</v>
      </c>
    </row>
    <row r="238" spans="1:19" ht="22.5" customHeight="1" x14ac:dyDescent="0.3">
      <c r="A238" s="61">
        <v>41</v>
      </c>
      <c r="B238" s="838" t="s">
        <v>293</v>
      </c>
      <c r="C238" s="63" t="s">
        <v>1346</v>
      </c>
      <c r="D238" s="64"/>
      <c r="E238" s="65"/>
      <c r="F238" s="167"/>
      <c r="G238" s="168"/>
      <c r="H238" s="67">
        <v>0</v>
      </c>
      <c r="I238" s="67">
        <v>0</v>
      </c>
      <c r="J238" s="67">
        <v>0</v>
      </c>
      <c r="K238" s="68"/>
      <c r="L238" s="68"/>
      <c r="M238" s="64"/>
      <c r="N238" s="69"/>
      <c r="O238" s="117"/>
      <c r="P238" s="118"/>
      <c r="Q238" s="71">
        <v>0</v>
      </c>
      <c r="R238" s="71">
        <v>0</v>
      </c>
      <c r="S238" s="72">
        <v>0</v>
      </c>
    </row>
    <row r="239" spans="1:19" ht="22.5" customHeight="1" x14ac:dyDescent="0.3">
      <c r="A239" s="61">
        <v>42</v>
      </c>
      <c r="B239" s="838" t="s">
        <v>293</v>
      </c>
      <c r="C239" s="63" t="s">
        <v>1372</v>
      </c>
      <c r="D239" s="64"/>
      <c r="E239" s="65"/>
      <c r="F239" s="167"/>
      <c r="G239" s="168"/>
      <c r="H239" s="67">
        <v>0</v>
      </c>
      <c r="I239" s="67">
        <v>0</v>
      </c>
      <c r="J239" s="67">
        <v>0</v>
      </c>
      <c r="K239" s="68"/>
      <c r="L239" s="68"/>
      <c r="M239" s="64"/>
      <c r="N239" s="69"/>
      <c r="O239" s="117"/>
      <c r="P239" s="118"/>
      <c r="Q239" s="71">
        <v>0</v>
      </c>
      <c r="R239" s="71">
        <v>0</v>
      </c>
      <c r="S239" s="72">
        <v>0</v>
      </c>
    </row>
    <row r="240" spans="1:19" s="60" customFormat="1" ht="22.5" customHeight="1" thickBot="1" x14ac:dyDescent="0.35">
      <c r="A240" s="317"/>
      <c r="B240" s="317" t="s">
        <v>15</v>
      </c>
      <c r="C240" s="318"/>
      <c r="D240" s="383">
        <f>SUM(D198:D239)</f>
        <v>0</v>
      </c>
      <c r="E240" s="383">
        <f t="shared" ref="E240:S240" si="28">SUM(E198:E239)</f>
        <v>0</v>
      </c>
      <c r="F240" s="383">
        <f t="shared" si="28"/>
        <v>0</v>
      </c>
      <c r="G240" s="383">
        <f t="shared" si="28"/>
        <v>0</v>
      </c>
      <c r="H240" s="383">
        <f t="shared" si="28"/>
        <v>1266.8800000000001</v>
      </c>
      <c r="I240" s="383">
        <f t="shared" si="28"/>
        <v>0</v>
      </c>
      <c r="J240" s="383">
        <f t="shared" si="28"/>
        <v>1266.8800000000001</v>
      </c>
      <c r="K240" s="383">
        <f t="shared" si="28"/>
        <v>0</v>
      </c>
      <c r="L240" s="383">
        <f t="shared" si="28"/>
        <v>0</v>
      </c>
      <c r="M240" s="383">
        <f t="shared" si="28"/>
        <v>0</v>
      </c>
      <c r="N240" s="383">
        <f t="shared" si="28"/>
        <v>0</v>
      </c>
      <c r="O240" s="383">
        <f t="shared" si="28"/>
        <v>0</v>
      </c>
      <c r="P240" s="383">
        <f t="shared" si="28"/>
        <v>0</v>
      </c>
      <c r="Q240" s="383">
        <f t="shared" si="28"/>
        <v>1266.8800000000001</v>
      </c>
      <c r="R240" s="383">
        <f t="shared" si="28"/>
        <v>0</v>
      </c>
      <c r="S240" s="383">
        <f t="shared" si="28"/>
        <v>1266.8800000000001</v>
      </c>
    </row>
    <row r="241" spans="1:19" ht="22.5" customHeight="1" thickTop="1" x14ac:dyDescent="0.3">
      <c r="A241" s="115"/>
      <c r="B241" s="412" t="s">
        <v>395</v>
      </c>
      <c r="C241" s="165"/>
      <c r="D241" s="86"/>
      <c r="E241" s="413"/>
      <c r="F241" s="413"/>
      <c r="G241" s="414"/>
      <c r="H241" s="415"/>
      <c r="I241" s="415"/>
      <c r="J241" s="415"/>
      <c r="K241" s="170"/>
      <c r="L241" s="171"/>
      <c r="M241" s="86"/>
      <c r="N241" s="115"/>
      <c r="O241" s="115"/>
      <c r="P241" s="414"/>
      <c r="Q241" s="416"/>
      <c r="R241" s="416"/>
      <c r="S241" s="417"/>
    </row>
    <row r="242" spans="1:19" ht="22.5" customHeight="1" x14ac:dyDescent="0.3">
      <c r="A242" s="115"/>
      <c r="B242" s="412"/>
      <c r="C242" s="165"/>
      <c r="D242" s="86"/>
      <c r="E242" s="413"/>
      <c r="F242" s="413"/>
      <c r="G242" s="414"/>
      <c r="H242" s="415"/>
      <c r="I242" s="415"/>
      <c r="J242" s="415"/>
      <c r="K242" s="170"/>
      <c r="L242" s="171"/>
      <c r="M242" s="86"/>
      <c r="N242" s="115"/>
      <c r="O242" s="115"/>
      <c r="P242" s="414"/>
      <c r="Q242" s="416"/>
      <c r="R242" s="416"/>
      <c r="S242" s="417"/>
    </row>
    <row r="243" spans="1:19" ht="22.5" customHeight="1" x14ac:dyDescent="0.3">
      <c r="A243" s="115"/>
      <c r="B243" s="412"/>
      <c r="C243" s="165"/>
      <c r="D243" s="86"/>
      <c r="E243" s="413"/>
      <c r="F243" s="413"/>
      <c r="G243" s="414"/>
      <c r="H243" s="415"/>
      <c r="I243" s="415"/>
      <c r="J243" s="415"/>
      <c r="K243" s="170"/>
      <c r="L243" s="171"/>
      <c r="M243" s="86"/>
      <c r="N243" s="115"/>
      <c r="O243" s="115"/>
      <c r="P243" s="414"/>
      <c r="Q243" s="416"/>
      <c r="R243" s="416"/>
      <c r="S243" s="417"/>
    </row>
    <row r="244" spans="1:19" s="60" customFormat="1" ht="22.2" customHeight="1" thickBot="1" x14ac:dyDescent="0.35">
      <c r="A244" s="418"/>
      <c r="B244" s="419" t="s">
        <v>15</v>
      </c>
      <c r="C244" s="420"/>
      <c r="D244" s="421">
        <v>0</v>
      </c>
      <c r="E244" s="422"/>
      <c r="F244" s="422"/>
      <c r="G244" s="423"/>
      <c r="H244" s="424"/>
      <c r="I244" s="424"/>
      <c r="J244" s="424"/>
      <c r="K244" s="425"/>
      <c r="L244" s="426"/>
      <c r="M244" s="421">
        <v>0</v>
      </c>
      <c r="N244" s="418"/>
      <c r="O244" s="418"/>
      <c r="P244" s="423"/>
      <c r="Q244" s="427">
        <v>0</v>
      </c>
      <c r="R244" s="427">
        <v>0</v>
      </c>
      <c r="S244" s="428">
        <v>0</v>
      </c>
    </row>
    <row r="245" spans="1:19" ht="22.5" customHeight="1" thickTop="1" x14ac:dyDescent="0.3">
      <c r="A245" s="429"/>
      <c r="B245" s="430"/>
      <c r="C245" s="431"/>
      <c r="D245" s="432"/>
      <c r="E245" s="433"/>
      <c r="F245" s="433"/>
      <c r="G245" s="434"/>
      <c r="H245" s="435"/>
      <c r="I245" s="435"/>
      <c r="J245" s="435"/>
      <c r="K245" s="436"/>
      <c r="L245" s="437"/>
      <c r="M245" s="438"/>
      <c r="N245" s="439"/>
      <c r="O245" s="439"/>
      <c r="P245" s="440"/>
      <c r="Q245" s="441"/>
      <c r="R245" s="441"/>
      <c r="S245" s="442"/>
    </row>
    <row r="246" spans="1:19" ht="22.5" customHeight="1" x14ac:dyDescent="0.3">
      <c r="A246" s="61"/>
      <c r="B246" s="4" t="s">
        <v>396</v>
      </c>
      <c r="C246" s="63"/>
      <c r="D246" s="382"/>
      <c r="E246" s="443"/>
      <c r="F246" s="443"/>
      <c r="G246" s="66"/>
      <c r="H246" s="444"/>
      <c r="I246" s="444"/>
      <c r="J246" s="444"/>
      <c r="K246" s="68"/>
      <c r="L246" s="445"/>
      <c r="M246" s="64"/>
      <c r="N246" s="69"/>
      <c r="O246" s="69"/>
      <c r="P246" s="70"/>
      <c r="Q246" s="71"/>
      <c r="R246" s="71"/>
      <c r="S246" s="387"/>
    </row>
    <row r="247" spans="1:19" ht="22.5" customHeight="1" x14ac:dyDescent="0.5">
      <c r="A247" s="446">
        <v>1</v>
      </c>
      <c r="B247" s="447" t="s">
        <v>398</v>
      </c>
      <c r="C247" s="63"/>
      <c r="D247" s="382"/>
      <c r="E247" s="443"/>
      <c r="F247" s="443"/>
      <c r="G247" s="66"/>
      <c r="H247" s="448">
        <v>0</v>
      </c>
      <c r="I247" s="448">
        <v>0</v>
      </c>
      <c r="J247" s="448">
        <v>0</v>
      </c>
      <c r="K247" s="449"/>
      <c r="L247" s="450"/>
      <c r="M247" s="451"/>
      <c r="N247" s="69"/>
      <c r="O247" s="69"/>
      <c r="P247" s="70"/>
      <c r="Q247" s="71">
        <f>SUM(S247)</f>
        <v>0</v>
      </c>
      <c r="R247" s="71">
        <v>0</v>
      </c>
      <c r="S247" s="387">
        <f>SUM(D247+J247-M247)</f>
        <v>0</v>
      </c>
    </row>
    <row r="248" spans="1:19" ht="22.5" customHeight="1" x14ac:dyDescent="0.3">
      <c r="A248" s="61"/>
      <c r="B248" s="164" t="s">
        <v>399</v>
      </c>
      <c r="C248" s="63"/>
      <c r="D248" s="382"/>
      <c r="E248" s="443"/>
      <c r="F248" s="443"/>
      <c r="G248" s="66"/>
      <c r="H248" s="444"/>
      <c r="I248" s="444"/>
      <c r="J248" s="444"/>
      <c r="K248" s="68"/>
      <c r="L248" s="445"/>
      <c r="M248" s="64"/>
      <c r="N248" s="69"/>
      <c r="O248" s="69"/>
      <c r="P248" s="70"/>
      <c r="Q248" s="71"/>
      <c r="R248" s="71"/>
      <c r="S248" s="387"/>
    </row>
    <row r="249" spans="1:19" ht="22.5" customHeight="1" x14ac:dyDescent="0.5">
      <c r="A249" s="61">
        <v>1</v>
      </c>
      <c r="B249" s="290" t="s">
        <v>400</v>
      </c>
      <c r="C249" s="25" t="s">
        <v>333</v>
      </c>
      <c r="D249" s="452"/>
      <c r="E249" s="443"/>
      <c r="F249" s="443"/>
      <c r="G249" s="66"/>
      <c r="H249" s="67">
        <v>0</v>
      </c>
      <c r="I249" s="67">
        <v>0</v>
      </c>
      <c r="J249" s="67">
        <v>0</v>
      </c>
      <c r="K249" s="449"/>
      <c r="L249" s="450"/>
      <c r="M249" s="451"/>
      <c r="N249" s="69"/>
      <c r="O249" s="69"/>
      <c r="P249" s="70"/>
      <c r="Q249" s="71">
        <f t="shared" ref="Q249:Q297" si="29">SUM(S249)</f>
        <v>0</v>
      </c>
      <c r="R249" s="71">
        <v>0</v>
      </c>
      <c r="S249" s="387">
        <f t="shared" ref="S249:S297" si="30">SUM(D249+J249-M249)</f>
        <v>0</v>
      </c>
    </row>
    <row r="250" spans="1:19" ht="22.5" customHeight="1" x14ac:dyDescent="0.5">
      <c r="A250" s="61">
        <v>2</v>
      </c>
      <c r="B250" s="290" t="s">
        <v>401</v>
      </c>
      <c r="C250" s="81" t="s">
        <v>336</v>
      </c>
      <c r="D250" s="452"/>
      <c r="E250" s="443"/>
      <c r="F250" s="443"/>
      <c r="G250" s="66"/>
      <c r="H250" s="67">
        <v>0</v>
      </c>
      <c r="I250" s="67">
        <v>0</v>
      </c>
      <c r="J250" s="67">
        <v>0</v>
      </c>
      <c r="K250" s="449"/>
      <c r="L250" s="450"/>
      <c r="M250" s="451"/>
      <c r="N250" s="69"/>
      <c r="O250" s="69"/>
      <c r="P250" s="70"/>
      <c r="Q250" s="71">
        <f t="shared" si="29"/>
        <v>0</v>
      </c>
      <c r="R250" s="71">
        <v>0</v>
      </c>
      <c r="S250" s="387">
        <f t="shared" si="30"/>
        <v>0</v>
      </c>
    </row>
    <row r="251" spans="1:19" ht="22.5" customHeight="1" x14ac:dyDescent="0.5">
      <c r="A251" s="61">
        <v>3</v>
      </c>
      <c r="B251" s="290" t="s">
        <v>403</v>
      </c>
      <c r="C251" s="25" t="s">
        <v>339</v>
      </c>
      <c r="D251" s="452"/>
      <c r="E251" s="443"/>
      <c r="F251" s="443"/>
      <c r="G251" s="66"/>
      <c r="H251" s="67">
        <v>0</v>
      </c>
      <c r="I251" s="67">
        <v>0</v>
      </c>
      <c r="J251" s="67">
        <v>0</v>
      </c>
      <c r="K251" s="449"/>
      <c r="L251" s="450"/>
      <c r="M251" s="451"/>
      <c r="N251" s="69"/>
      <c r="O251" s="69"/>
      <c r="P251" s="70"/>
      <c r="Q251" s="71">
        <f t="shared" si="29"/>
        <v>0</v>
      </c>
      <c r="R251" s="71">
        <v>0</v>
      </c>
      <c r="S251" s="387">
        <f t="shared" si="30"/>
        <v>0</v>
      </c>
    </row>
    <row r="252" spans="1:19" ht="22.5" customHeight="1" x14ac:dyDescent="0.5">
      <c r="A252" s="61">
        <v>4</v>
      </c>
      <c r="B252" s="290" t="s">
        <v>405</v>
      </c>
      <c r="C252" s="25" t="s">
        <v>406</v>
      </c>
      <c r="D252" s="452"/>
      <c r="E252" s="443"/>
      <c r="F252" s="443"/>
      <c r="G252" s="66"/>
      <c r="H252" s="67">
        <v>0</v>
      </c>
      <c r="I252" s="67">
        <v>0</v>
      </c>
      <c r="J252" s="67">
        <v>0</v>
      </c>
      <c r="K252" s="449"/>
      <c r="L252" s="450"/>
      <c r="M252" s="451"/>
      <c r="N252" s="69"/>
      <c r="O252" s="69"/>
      <c r="P252" s="70"/>
      <c r="Q252" s="71">
        <f t="shared" si="29"/>
        <v>0</v>
      </c>
      <c r="R252" s="71">
        <v>0</v>
      </c>
      <c r="S252" s="387">
        <f t="shared" si="30"/>
        <v>0</v>
      </c>
    </row>
    <row r="253" spans="1:19" ht="22.5" customHeight="1" x14ac:dyDescent="0.5">
      <c r="A253" s="61">
        <v>5</v>
      </c>
      <c r="B253" s="290" t="s">
        <v>407</v>
      </c>
      <c r="C253" s="63" t="s">
        <v>331</v>
      </c>
      <c r="D253" s="452"/>
      <c r="E253" s="443"/>
      <c r="F253" s="443"/>
      <c r="G253" s="66"/>
      <c r="H253" s="67">
        <v>0</v>
      </c>
      <c r="I253" s="67">
        <v>0</v>
      </c>
      <c r="J253" s="67">
        <v>0</v>
      </c>
      <c r="K253" s="449"/>
      <c r="L253" s="450"/>
      <c r="M253" s="451"/>
      <c r="N253" s="69"/>
      <c r="O253" s="69"/>
      <c r="P253" s="70"/>
      <c r="Q253" s="71">
        <f t="shared" si="29"/>
        <v>0</v>
      </c>
      <c r="R253" s="71">
        <v>0</v>
      </c>
      <c r="S253" s="387">
        <f t="shared" si="30"/>
        <v>0</v>
      </c>
    </row>
    <row r="254" spans="1:19" ht="22.5" customHeight="1" x14ac:dyDescent="0.5">
      <c r="A254" s="61">
        <v>6</v>
      </c>
      <c r="B254" s="290" t="s">
        <v>408</v>
      </c>
      <c r="C254" s="63" t="s">
        <v>331</v>
      </c>
      <c r="D254" s="452"/>
      <c r="E254" s="443"/>
      <c r="F254" s="443"/>
      <c r="G254" s="66"/>
      <c r="H254" s="67">
        <v>0</v>
      </c>
      <c r="I254" s="67">
        <v>0</v>
      </c>
      <c r="J254" s="67">
        <v>0</v>
      </c>
      <c r="K254" s="449"/>
      <c r="L254" s="450"/>
      <c r="M254" s="451"/>
      <c r="N254" s="69"/>
      <c r="O254" s="69"/>
      <c r="P254" s="70"/>
      <c r="Q254" s="71">
        <f t="shared" si="29"/>
        <v>0</v>
      </c>
      <c r="R254" s="71">
        <v>0</v>
      </c>
      <c r="S254" s="387">
        <f t="shared" si="30"/>
        <v>0</v>
      </c>
    </row>
    <row r="255" spans="1:19" ht="22.5" customHeight="1" x14ac:dyDescent="0.5">
      <c r="A255" s="61">
        <v>7</v>
      </c>
      <c r="B255" s="290" t="s">
        <v>410</v>
      </c>
      <c r="C255" s="63" t="s">
        <v>411</v>
      </c>
      <c r="D255" s="452"/>
      <c r="E255" s="443"/>
      <c r="F255" s="443"/>
      <c r="G255" s="66"/>
      <c r="H255" s="67">
        <v>0</v>
      </c>
      <c r="I255" s="67">
        <v>0</v>
      </c>
      <c r="J255" s="67">
        <v>0</v>
      </c>
      <c r="K255" s="449"/>
      <c r="L255" s="450"/>
      <c r="M255" s="451"/>
      <c r="N255" s="69"/>
      <c r="O255" s="69"/>
      <c r="P255" s="70"/>
      <c r="Q255" s="71">
        <f t="shared" si="29"/>
        <v>0</v>
      </c>
      <c r="R255" s="71">
        <v>0</v>
      </c>
      <c r="S255" s="387">
        <f t="shared" si="30"/>
        <v>0</v>
      </c>
    </row>
    <row r="256" spans="1:19" ht="22.5" customHeight="1" x14ac:dyDescent="0.5">
      <c r="A256" s="61">
        <v>8</v>
      </c>
      <c r="B256" s="290" t="s">
        <v>413</v>
      </c>
      <c r="C256" s="63"/>
      <c r="D256" s="452"/>
      <c r="E256" s="443"/>
      <c r="F256" s="443"/>
      <c r="G256" s="66"/>
      <c r="H256" s="67">
        <v>0</v>
      </c>
      <c r="I256" s="67">
        <v>0</v>
      </c>
      <c r="J256" s="67">
        <v>0</v>
      </c>
      <c r="K256" s="449"/>
      <c r="L256" s="450"/>
      <c r="M256" s="451"/>
      <c r="N256" s="69"/>
      <c r="O256" s="69"/>
      <c r="P256" s="70"/>
      <c r="Q256" s="71">
        <f t="shared" si="29"/>
        <v>0</v>
      </c>
      <c r="R256" s="71">
        <v>0</v>
      </c>
      <c r="S256" s="387">
        <f t="shared" si="30"/>
        <v>0</v>
      </c>
    </row>
    <row r="257" spans="1:20" ht="22.5" customHeight="1" x14ac:dyDescent="0.5">
      <c r="A257" s="61">
        <v>9</v>
      </c>
      <c r="B257" s="290" t="s">
        <v>414</v>
      </c>
      <c r="C257" s="63" t="s">
        <v>415</v>
      </c>
      <c r="D257" s="452"/>
      <c r="E257" s="443"/>
      <c r="F257" s="443"/>
      <c r="G257" s="66"/>
      <c r="H257" s="67">
        <v>0</v>
      </c>
      <c r="I257" s="67">
        <v>0</v>
      </c>
      <c r="J257" s="67">
        <v>0</v>
      </c>
      <c r="K257" s="449"/>
      <c r="L257" s="450"/>
      <c r="M257" s="451"/>
      <c r="N257" s="69"/>
      <c r="O257" s="69"/>
      <c r="P257" s="70"/>
      <c r="Q257" s="71">
        <f t="shared" si="29"/>
        <v>0</v>
      </c>
      <c r="R257" s="71">
        <v>0</v>
      </c>
      <c r="S257" s="387">
        <f t="shared" si="30"/>
        <v>0</v>
      </c>
    </row>
    <row r="258" spans="1:20" ht="22.5" customHeight="1" x14ac:dyDescent="0.5">
      <c r="A258" s="61">
        <v>10</v>
      </c>
      <c r="B258" s="290" t="s">
        <v>359</v>
      </c>
      <c r="C258" s="63" t="s">
        <v>417</v>
      </c>
      <c r="D258" s="452"/>
      <c r="E258" s="443"/>
      <c r="F258" s="443"/>
      <c r="G258" s="66"/>
      <c r="H258" s="67">
        <v>0</v>
      </c>
      <c r="I258" s="67">
        <v>0</v>
      </c>
      <c r="J258" s="67">
        <v>0</v>
      </c>
      <c r="K258" s="449"/>
      <c r="L258" s="450"/>
      <c r="M258" s="451"/>
      <c r="N258" s="69"/>
      <c r="O258" s="69"/>
      <c r="P258" s="70"/>
      <c r="Q258" s="71">
        <f t="shared" si="29"/>
        <v>0</v>
      </c>
      <c r="R258" s="71">
        <v>0</v>
      </c>
      <c r="S258" s="387">
        <f t="shared" si="30"/>
        <v>0</v>
      </c>
    </row>
    <row r="259" spans="1:20" ht="22.5" customHeight="1" x14ac:dyDescent="0.5">
      <c r="A259" s="61">
        <v>11</v>
      </c>
      <c r="B259" s="290" t="s">
        <v>397</v>
      </c>
      <c r="C259" s="63" t="s">
        <v>417</v>
      </c>
      <c r="D259" s="452"/>
      <c r="E259" s="443"/>
      <c r="F259" s="443"/>
      <c r="G259" s="66"/>
      <c r="H259" s="67">
        <v>0</v>
      </c>
      <c r="I259" s="67">
        <v>0</v>
      </c>
      <c r="J259" s="67">
        <v>0</v>
      </c>
      <c r="K259" s="449"/>
      <c r="L259" s="450"/>
      <c r="M259" s="451"/>
      <c r="N259" s="69"/>
      <c r="O259" s="69"/>
      <c r="P259" s="70"/>
      <c r="Q259" s="71">
        <f t="shared" si="29"/>
        <v>0</v>
      </c>
      <c r="R259" s="71">
        <v>0</v>
      </c>
      <c r="S259" s="387">
        <f t="shared" si="30"/>
        <v>0</v>
      </c>
    </row>
    <row r="260" spans="1:20" ht="22.5" customHeight="1" x14ac:dyDescent="0.5">
      <c r="A260" s="61">
        <v>12</v>
      </c>
      <c r="B260" s="290" t="s">
        <v>358</v>
      </c>
      <c r="C260" s="63" t="s">
        <v>417</v>
      </c>
      <c r="D260" s="452"/>
      <c r="E260" s="443"/>
      <c r="F260" s="443"/>
      <c r="G260" s="66"/>
      <c r="H260" s="67">
        <v>0</v>
      </c>
      <c r="I260" s="67">
        <v>0</v>
      </c>
      <c r="J260" s="67">
        <v>0</v>
      </c>
      <c r="K260" s="449"/>
      <c r="L260" s="450"/>
      <c r="M260" s="451"/>
      <c r="N260" s="69"/>
      <c r="O260" s="69"/>
      <c r="P260" s="70"/>
      <c r="Q260" s="71">
        <f t="shared" si="29"/>
        <v>0</v>
      </c>
      <c r="R260" s="71">
        <v>0</v>
      </c>
      <c r="S260" s="387">
        <f t="shared" si="30"/>
        <v>0</v>
      </c>
    </row>
    <row r="261" spans="1:20" ht="22.5" customHeight="1" x14ac:dyDescent="0.5">
      <c r="A261" s="61">
        <v>13</v>
      </c>
      <c r="B261" s="290" t="s">
        <v>419</v>
      </c>
      <c r="C261" s="63" t="s">
        <v>417</v>
      </c>
      <c r="D261" s="452"/>
      <c r="E261" s="443"/>
      <c r="F261" s="443"/>
      <c r="G261" s="66"/>
      <c r="H261" s="67">
        <v>0</v>
      </c>
      <c r="I261" s="67">
        <v>0</v>
      </c>
      <c r="J261" s="67">
        <v>0</v>
      </c>
      <c r="K261" s="30"/>
      <c r="L261" s="249"/>
      <c r="M261" s="451"/>
      <c r="N261" s="69"/>
      <c r="O261" s="69"/>
      <c r="P261" s="70"/>
      <c r="Q261" s="71">
        <f t="shared" si="29"/>
        <v>0</v>
      </c>
      <c r="R261" s="71">
        <v>0</v>
      </c>
      <c r="S261" s="387">
        <f t="shared" si="30"/>
        <v>0</v>
      </c>
      <c r="T261" s="3" t="s">
        <v>420</v>
      </c>
    </row>
    <row r="262" spans="1:20" ht="22.5" customHeight="1" x14ac:dyDescent="0.5">
      <c r="A262" s="61">
        <v>14</v>
      </c>
      <c r="B262" s="290" t="s">
        <v>353</v>
      </c>
      <c r="C262" s="63" t="s">
        <v>417</v>
      </c>
      <c r="D262" s="452"/>
      <c r="E262" s="443"/>
      <c r="F262" s="443"/>
      <c r="G262" s="66"/>
      <c r="H262" s="67">
        <v>0</v>
      </c>
      <c r="I262" s="67">
        <v>0</v>
      </c>
      <c r="J262" s="67">
        <v>0</v>
      </c>
      <c r="K262" s="449"/>
      <c r="L262" s="450"/>
      <c r="M262" s="451"/>
      <c r="N262" s="69"/>
      <c r="O262" s="69"/>
      <c r="P262" s="70"/>
      <c r="Q262" s="71">
        <f t="shared" si="29"/>
        <v>0</v>
      </c>
      <c r="R262" s="71">
        <v>0</v>
      </c>
      <c r="S262" s="387">
        <f t="shared" si="30"/>
        <v>0</v>
      </c>
    </row>
    <row r="263" spans="1:20" ht="22.5" customHeight="1" x14ac:dyDescent="0.5">
      <c r="A263" s="61">
        <v>15</v>
      </c>
      <c r="B263" s="290" t="s">
        <v>398</v>
      </c>
      <c r="C263" s="63" t="s">
        <v>417</v>
      </c>
      <c r="D263" s="452"/>
      <c r="E263" s="443"/>
      <c r="F263" s="443"/>
      <c r="G263" s="66"/>
      <c r="H263" s="67">
        <v>0</v>
      </c>
      <c r="I263" s="67">
        <v>0</v>
      </c>
      <c r="J263" s="67">
        <v>0</v>
      </c>
      <c r="K263" s="449"/>
      <c r="L263" s="450"/>
      <c r="M263" s="451"/>
      <c r="N263" s="69"/>
      <c r="O263" s="69"/>
      <c r="P263" s="70"/>
      <c r="Q263" s="71">
        <f t="shared" si="29"/>
        <v>0</v>
      </c>
      <c r="R263" s="71">
        <v>0</v>
      </c>
      <c r="S263" s="387">
        <f t="shared" si="30"/>
        <v>0</v>
      </c>
    </row>
    <row r="264" spans="1:20" ht="22.5" customHeight="1" x14ac:dyDescent="0.5">
      <c r="A264" s="61">
        <v>16</v>
      </c>
      <c r="B264" s="290" t="s">
        <v>421</v>
      </c>
      <c r="C264" s="63" t="s">
        <v>422</v>
      </c>
      <c r="D264" s="452"/>
      <c r="E264" s="443"/>
      <c r="F264" s="443"/>
      <c r="G264" s="66"/>
      <c r="H264" s="67">
        <v>0</v>
      </c>
      <c r="I264" s="67">
        <v>0</v>
      </c>
      <c r="J264" s="67">
        <v>0</v>
      </c>
      <c r="K264" s="449"/>
      <c r="L264" s="450"/>
      <c r="M264" s="451"/>
      <c r="N264" s="69"/>
      <c r="O264" s="69"/>
      <c r="P264" s="70"/>
      <c r="Q264" s="71">
        <f t="shared" si="29"/>
        <v>0</v>
      </c>
      <c r="R264" s="71">
        <v>0</v>
      </c>
      <c r="S264" s="387">
        <f t="shared" si="30"/>
        <v>0</v>
      </c>
    </row>
    <row r="265" spans="1:20" ht="22.5" customHeight="1" x14ac:dyDescent="0.5">
      <c r="A265" s="61">
        <v>17</v>
      </c>
      <c r="B265" s="290" t="s">
        <v>423</v>
      </c>
      <c r="C265" s="63" t="s">
        <v>424</v>
      </c>
      <c r="D265" s="452"/>
      <c r="E265" s="443"/>
      <c r="F265" s="443"/>
      <c r="G265" s="66"/>
      <c r="H265" s="67">
        <v>0</v>
      </c>
      <c r="I265" s="67">
        <v>0</v>
      </c>
      <c r="J265" s="67">
        <v>0</v>
      </c>
      <c r="K265" s="449"/>
      <c r="L265" s="450"/>
      <c r="M265" s="451"/>
      <c r="N265" s="69"/>
      <c r="O265" s="69"/>
      <c r="P265" s="70"/>
      <c r="Q265" s="71">
        <f t="shared" si="29"/>
        <v>0</v>
      </c>
      <c r="R265" s="71">
        <v>0</v>
      </c>
      <c r="S265" s="387">
        <f t="shared" si="30"/>
        <v>0</v>
      </c>
    </row>
    <row r="266" spans="1:20" ht="22.5" customHeight="1" x14ac:dyDescent="0.5">
      <c r="A266" s="61">
        <v>18</v>
      </c>
      <c r="B266" s="290" t="s">
        <v>425</v>
      </c>
      <c r="C266" s="63" t="s">
        <v>426</v>
      </c>
      <c r="D266" s="452"/>
      <c r="E266" s="443"/>
      <c r="F266" s="443"/>
      <c r="G266" s="66"/>
      <c r="H266" s="67">
        <v>0</v>
      </c>
      <c r="I266" s="67">
        <v>0</v>
      </c>
      <c r="J266" s="67">
        <v>0</v>
      </c>
      <c r="K266" s="449"/>
      <c r="L266" s="450"/>
      <c r="M266" s="451"/>
      <c r="N266" s="69"/>
      <c r="O266" s="69"/>
      <c r="P266" s="70"/>
      <c r="Q266" s="71">
        <f t="shared" si="29"/>
        <v>0</v>
      </c>
      <c r="R266" s="71">
        <v>0</v>
      </c>
      <c r="S266" s="387">
        <f t="shared" si="30"/>
        <v>0</v>
      </c>
    </row>
    <row r="267" spans="1:20" ht="22.5" customHeight="1" x14ac:dyDescent="0.5">
      <c r="A267" s="61">
        <v>19</v>
      </c>
      <c r="B267" s="290" t="s">
        <v>428</v>
      </c>
      <c r="C267" s="63" t="s">
        <v>429</v>
      </c>
      <c r="D267" s="452"/>
      <c r="E267" s="443"/>
      <c r="F267" s="443"/>
      <c r="G267" s="66"/>
      <c r="H267" s="67">
        <v>0</v>
      </c>
      <c r="I267" s="67">
        <v>0</v>
      </c>
      <c r="J267" s="67">
        <v>0</v>
      </c>
      <c r="K267" s="449"/>
      <c r="L267" s="450"/>
      <c r="M267" s="451"/>
      <c r="N267" s="69"/>
      <c r="O267" s="69"/>
      <c r="P267" s="70"/>
      <c r="Q267" s="71">
        <f t="shared" si="29"/>
        <v>0</v>
      </c>
      <c r="R267" s="71">
        <v>0</v>
      </c>
      <c r="S267" s="387">
        <f t="shared" si="30"/>
        <v>0</v>
      </c>
    </row>
    <row r="268" spans="1:20" ht="22.5" customHeight="1" x14ac:dyDescent="0.5">
      <c r="A268" s="61">
        <v>20</v>
      </c>
      <c r="B268" s="290" t="s">
        <v>431</v>
      </c>
      <c r="C268" s="63" t="s">
        <v>432</v>
      </c>
      <c r="D268" s="452"/>
      <c r="E268" s="443"/>
      <c r="F268" s="443"/>
      <c r="G268" s="66"/>
      <c r="H268" s="67">
        <v>0</v>
      </c>
      <c r="I268" s="67">
        <v>0</v>
      </c>
      <c r="J268" s="67">
        <v>0</v>
      </c>
      <c r="K268" s="449"/>
      <c r="L268" s="450"/>
      <c r="M268" s="451"/>
      <c r="N268" s="69"/>
      <c r="O268" s="69"/>
      <c r="P268" s="70"/>
      <c r="Q268" s="71">
        <f t="shared" si="29"/>
        <v>0</v>
      </c>
      <c r="R268" s="71">
        <v>0</v>
      </c>
      <c r="S268" s="387">
        <f t="shared" si="30"/>
        <v>0</v>
      </c>
    </row>
    <row r="269" spans="1:20" ht="22.5" customHeight="1" x14ac:dyDescent="0.5">
      <c r="A269" s="61">
        <v>21</v>
      </c>
      <c r="B269" s="290" t="s">
        <v>433</v>
      </c>
      <c r="C269" s="63" t="s">
        <v>434</v>
      </c>
      <c r="D269" s="452"/>
      <c r="E269" s="443"/>
      <c r="F269" s="443"/>
      <c r="G269" s="66"/>
      <c r="H269" s="67">
        <v>0</v>
      </c>
      <c r="I269" s="67">
        <v>0</v>
      </c>
      <c r="J269" s="67">
        <v>0</v>
      </c>
      <c r="K269" s="449"/>
      <c r="L269" s="450"/>
      <c r="M269" s="451"/>
      <c r="N269" s="69"/>
      <c r="O269" s="69"/>
      <c r="P269" s="70"/>
      <c r="Q269" s="71">
        <f t="shared" si="29"/>
        <v>0</v>
      </c>
      <c r="R269" s="71">
        <v>0</v>
      </c>
      <c r="S269" s="387">
        <f t="shared" si="30"/>
        <v>0</v>
      </c>
    </row>
    <row r="270" spans="1:20" ht="22.5" customHeight="1" x14ac:dyDescent="0.5">
      <c r="A270" s="61">
        <v>22</v>
      </c>
      <c r="B270" s="290" t="s">
        <v>435</v>
      </c>
      <c r="C270" s="63" t="s">
        <v>436</v>
      </c>
      <c r="D270" s="452"/>
      <c r="E270" s="443"/>
      <c r="F270" s="443"/>
      <c r="G270" s="66"/>
      <c r="H270" s="67">
        <v>0</v>
      </c>
      <c r="I270" s="67">
        <v>0</v>
      </c>
      <c r="J270" s="67">
        <v>0</v>
      </c>
      <c r="K270" s="449"/>
      <c r="L270" s="450"/>
      <c r="M270" s="451"/>
      <c r="N270" s="69"/>
      <c r="O270" s="69"/>
      <c r="P270" s="70"/>
      <c r="Q270" s="71">
        <f t="shared" si="29"/>
        <v>0</v>
      </c>
      <c r="R270" s="71">
        <v>0</v>
      </c>
      <c r="S270" s="387">
        <f t="shared" si="30"/>
        <v>0</v>
      </c>
    </row>
    <row r="271" spans="1:20" ht="22.5" customHeight="1" x14ac:dyDescent="0.5">
      <c r="A271" s="61">
        <v>23</v>
      </c>
      <c r="B271" s="290" t="s">
        <v>437</v>
      </c>
      <c r="C271" s="63" t="s">
        <v>438</v>
      </c>
      <c r="D271" s="452"/>
      <c r="E271" s="443"/>
      <c r="F271" s="443"/>
      <c r="G271" s="66"/>
      <c r="H271" s="67">
        <v>0</v>
      </c>
      <c r="I271" s="67">
        <v>0</v>
      </c>
      <c r="J271" s="67">
        <v>0</v>
      </c>
      <c r="K271" s="449"/>
      <c r="L271" s="450"/>
      <c r="M271" s="451"/>
      <c r="N271" s="69"/>
      <c r="O271" s="69"/>
      <c r="P271" s="70"/>
      <c r="Q271" s="71">
        <f t="shared" si="29"/>
        <v>0</v>
      </c>
      <c r="R271" s="71">
        <v>0</v>
      </c>
      <c r="S271" s="387">
        <f t="shared" si="30"/>
        <v>0</v>
      </c>
    </row>
    <row r="272" spans="1:20" ht="22.5" customHeight="1" x14ac:dyDescent="0.5">
      <c r="A272" s="61">
        <v>24</v>
      </c>
      <c r="B272" s="290" t="s">
        <v>439</v>
      </c>
      <c r="C272" s="63" t="s">
        <v>440</v>
      </c>
      <c r="D272" s="452"/>
      <c r="E272" s="443"/>
      <c r="F272" s="443"/>
      <c r="G272" s="66"/>
      <c r="H272" s="67">
        <v>0</v>
      </c>
      <c r="I272" s="67">
        <v>0</v>
      </c>
      <c r="J272" s="67">
        <v>0</v>
      </c>
      <c r="K272" s="449"/>
      <c r="L272" s="450"/>
      <c r="M272" s="451"/>
      <c r="N272" s="69"/>
      <c r="O272" s="69"/>
      <c r="P272" s="70"/>
      <c r="Q272" s="71">
        <f t="shared" si="29"/>
        <v>0</v>
      </c>
      <c r="R272" s="71">
        <v>0</v>
      </c>
      <c r="S272" s="387">
        <f t="shared" si="30"/>
        <v>0</v>
      </c>
    </row>
    <row r="273" spans="1:19" ht="22.5" customHeight="1" x14ac:dyDescent="0.5">
      <c r="A273" s="61">
        <v>25</v>
      </c>
      <c r="B273" s="453" t="s">
        <v>441</v>
      </c>
      <c r="C273" s="63" t="s">
        <v>442</v>
      </c>
      <c r="D273" s="452"/>
      <c r="E273" s="443"/>
      <c r="F273" s="443"/>
      <c r="G273" s="66"/>
      <c r="H273" s="67">
        <v>0</v>
      </c>
      <c r="I273" s="67">
        <v>0</v>
      </c>
      <c r="J273" s="67">
        <v>0</v>
      </c>
      <c r="K273" s="449"/>
      <c r="L273" s="450"/>
      <c r="M273" s="451"/>
      <c r="N273" s="69"/>
      <c r="O273" s="69"/>
      <c r="P273" s="70"/>
      <c r="Q273" s="71">
        <f t="shared" si="29"/>
        <v>0</v>
      </c>
      <c r="R273" s="71">
        <v>0</v>
      </c>
      <c r="S273" s="387">
        <f t="shared" si="30"/>
        <v>0</v>
      </c>
    </row>
    <row r="274" spans="1:19" ht="22.5" customHeight="1" x14ac:dyDescent="0.5">
      <c r="A274" s="61">
        <v>26</v>
      </c>
      <c r="B274" s="290" t="s">
        <v>443</v>
      </c>
      <c r="C274" s="63" t="s">
        <v>444</v>
      </c>
      <c r="D274" s="452"/>
      <c r="E274" s="443"/>
      <c r="F274" s="443"/>
      <c r="G274" s="66"/>
      <c r="H274" s="67">
        <v>0</v>
      </c>
      <c r="I274" s="67">
        <v>0</v>
      </c>
      <c r="J274" s="67">
        <v>0</v>
      </c>
      <c r="K274" s="449"/>
      <c r="L274" s="450"/>
      <c r="M274" s="451"/>
      <c r="N274" s="69"/>
      <c r="O274" s="69"/>
      <c r="P274" s="70"/>
      <c r="Q274" s="71">
        <f t="shared" si="29"/>
        <v>0</v>
      </c>
      <c r="R274" s="71">
        <v>0</v>
      </c>
      <c r="S274" s="387">
        <f t="shared" si="30"/>
        <v>0</v>
      </c>
    </row>
    <row r="275" spans="1:19" ht="22.5" customHeight="1" x14ac:dyDescent="0.5">
      <c r="A275" s="61">
        <v>27</v>
      </c>
      <c r="B275" s="290" t="s">
        <v>445</v>
      </c>
      <c r="C275" s="63" t="s">
        <v>446</v>
      </c>
      <c r="D275" s="452"/>
      <c r="E275" s="443"/>
      <c r="F275" s="443"/>
      <c r="G275" s="66"/>
      <c r="H275" s="67">
        <v>0</v>
      </c>
      <c r="I275" s="67">
        <v>0</v>
      </c>
      <c r="J275" s="67">
        <v>0</v>
      </c>
      <c r="K275" s="449"/>
      <c r="L275" s="450"/>
      <c r="M275" s="451"/>
      <c r="N275" s="69"/>
      <c r="O275" s="69"/>
      <c r="P275" s="70"/>
      <c r="Q275" s="71">
        <f t="shared" si="29"/>
        <v>0</v>
      </c>
      <c r="R275" s="71">
        <v>0</v>
      </c>
      <c r="S275" s="387">
        <f t="shared" si="30"/>
        <v>0</v>
      </c>
    </row>
    <row r="276" spans="1:19" ht="22.5" customHeight="1" x14ac:dyDescent="0.5">
      <c r="A276" s="61">
        <v>28</v>
      </c>
      <c r="B276" s="290" t="s">
        <v>447</v>
      </c>
      <c r="C276" s="63" t="s">
        <v>448</v>
      </c>
      <c r="D276" s="452"/>
      <c r="E276" s="443"/>
      <c r="F276" s="443"/>
      <c r="G276" s="66"/>
      <c r="H276" s="67">
        <v>0</v>
      </c>
      <c r="I276" s="67">
        <v>0</v>
      </c>
      <c r="J276" s="67">
        <v>0</v>
      </c>
      <c r="K276" s="449"/>
      <c r="L276" s="450"/>
      <c r="M276" s="451"/>
      <c r="N276" s="69"/>
      <c r="O276" s="69"/>
      <c r="P276" s="70"/>
      <c r="Q276" s="71">
        <f t="shared" si="29"/>
        <v>0</v>
      </c>
      <c r="R276" s="71">
        <v>0</v>
      </c>
      <c r="S276" s="387">
        <f t="shared" si="30"/>
        <v>0</v>
      </c>
    </row>
    <row r="277" spans="1:19" ht="22.5" customHeight="1" x14ac:dyDescent="0.5">
      <c r="A277" s="61">
        <v>29</v>
      </c>
      <c r="B277" s="290" t="s">
        <v>449</v>
      </c>
      <c r="C277" s="63" t="s">
        <v>450</v>
      </c>
      <c r="D277" s="452"/>
      <c r="E277" s="443"/>
      <c r="F277" s="443"/>
      <c r="G277" s="66"/>
      <c r="H277" s="67">
        <v>0</v>
      </c>
      <c r="I277" s="67">
        <v>0</v>
      </c>
      <c r="J277" s="67">
        <v>0</v>
      </c>
      <c r="K277" s="449"/>
      <c r="L277" s="450"/>
      <c r="M277" s="451"/>
      <c r="N277" s="69"/>
      <c r="O277" s="69"/>
      <c r="P277" s="70"/>
      <c r="Q277" s="71">
        <f t="shared" si="29"/>
        <v>0</v>
      </c>
      <c r="R277" s="71">
        <v>0</v>
      </c>
      <c r="S277" s="387">
        <f t="shared" si="30"/>
        <v>0</v>
      </c>
    </row>
    <row r="278" spans="1:19" ht="22.5" customHeight="1" x14ac:dyDescent="0.5">
      <c r="A278" s="61">
        <v>30</v>
      </c>
      <c r="B278" s="290" t="s">
        <v>451</v>
      </c>
      <c r="C278" s="63" t="s">
        <v>452</v>
      </c>
      <c r="D278" s="452"/>
      <c r="E278" s="443"/>
      <c r="F278" s="443"/>
      <c r="G278" s="66"/>
      <c r="H278" s="67">
        <v>0</v>
      </c>
      <c r="I278" s="67">
        <v>0</v>
      </c>
      <c r="J278" s="67">
        <v>0</v>
      </c>
      <c r="K278" s="449"/>
      <c r="L278" s="450"/>
      <c r="M278" s="451"/>
      <c r="N278" s="69"/>
      <c r="O278" s="69"/>
      <c r="P278" s="70"/>
      <c r="Q278" s="71">
        <f t="shared" si="29"/>
        <v>0</v>
      </c>
      <c r="R278" s="71">
        <v>0</v>
      </c>
      <c r="S278" s="387">
        <f t="shared" si="30"/>
        <v>0</v>
      </c>
    </row>
    <row r="279" spans="1:19" ht="22.5" customHeight="1" x14ac:dyDescent="0.5">
      <c r="A279" s="61">
        <v>31</v>
      </c>
      <c r="B279" s="290" t="s">
        <v>454</v>
      </c>
      <c r="C279" s="63" t="s">
        <v>455</v>
      </c>
      <c r="D279" s="452"/>
      <c r="E279" s="443"/>
      <c r="F279" s="443"/>
      <c r="G279" s="66"/>
      <c r="H279" s="67">
        <v>0</v>
      </c>
      <c r="I279" s="67">
        <v>0</v>
      </c>
      <c r="J279" s="67">
        <v>0</v>
      </c>
      <c r="K279" s="449"/>
      <c r="L279" s="450"/>
      <c r="M279" s="451"/>
      <c r="N279" s="69"/>
      <c r="O279" s="69"/>
      <c r="P279" s="70"/>
      <c r="Q279" s="71">
        <f t="shared" si="29"/>
        <v>0</v>
      </c>
      <c r="R279" s="71">
        <v>0</v>
      </c>
      <c r="S279" s="387">
        <f t="shared" si="30"/>
        <v>0</v>
      </c>
    </row>
    <row r="280" spans="1:19" ht="22.5" customHeight="1" x14ac:dyDescent="0.5">
      <c r="A280" s="61">
        <v>32</v>
      </c>
      <c r="B280" s="290" t="s">
        <v>456</v>
      </c>
      <c r="C280" s="63" t="s">
        <v>457</v>
      </c>
      <c r="D280" s="452"/>
      <c r="E280" s="443"/>
      <c r="F280" s="443"/>
      <c r="G280" s="66"/>
      <c r="H280" s="67">
        <v>0</v>
      </c>
      <c r="I280" s="67">
        <v>0</v>
      </c>
      <c r="J280" s="67">
        <v>0</v>
      </c>
      <c r="K280" s="449"/>
      <c r="L280" s="450"/>
      <c r="M280" s="451"/>
      <c r="N280" s="69"/>
      <c r="O280" s="69"/>
      <c r="P280" s="70"/>
      <c r="Q280" s="71">
        <f t="shared" si="29"/>
        <v>0</v>
      </c>
      <c r="R280" s="71">
        <v>0</v>
      </c>
      <c r="S280" s="387">
        <f t="shared" si="30"/>
        <v>0</v>
      </c>
    </row>
    <row r="281" spans="1:19" ht="22.5" customHeight="1" x14ac:dyDescent="0.5">
      <c r="A281" s="61">
        <v>33</v>
      </c>
      <c r="B281" s="290" t="s">
        <v>458</v>
      </c>
      <c r="C281" s="63" t="s">
        <v>459</v>
      </c>
      <c r="D281" s="452"/>
      <c r="E281" s="443"/>
      <c r="F281" s="443"/>
      <c r="G281" s="66"/>
      <c r="H281" s="67">
        <v>0</v>
      </c>
      <c r="I281" s="67">
        <v>0</v>
      </c>
      <c r="J281" s="67">
        <v>0</v>
      </c>
      <c r="K281" s="449"/>
      <c r="L281" s="450"/>
      <c r="M281" s="451"/>
      <c r="N281" s="69"/>
      <c r="O281" s="69"/>
      <c r="P281" s="70"/>
      <c r="Q281" s="71">
        <f t="shared" si="29"/>
        <v>0</v>
      </c>
      <c r="R281" s="71">
        <v>0</v>
      </c>
      <c r="S281" s="387">
        <f t="shared" si="30"/>
        <v>0</v>
      </c>
    </row>
    <row r="282" spans="1:19" ht="22.5" customHeight="1" x14ac:dyDescent="0.5">
      <c r="A282" s="61">
        <v>34</v>
      </c>
      <c r="B282" s="290" t="s">
        <v>460</v>
      </c>
      <c r="C282" s="63" t="s">
        <v>461</v>
      </c>
      <c r="D282" s="452"/>
      <c r="E282" s="443"/>
      <c r="F282" s="443"/>
      <c r="G282" s="66"/>
      <c r="H282" s="67">
        <v>0</v>
      </c>
      <c r="I282" s="67">
        <v>0</v>
      </c>
      <c r="J282" s="67">
        <v>0</v>
      </c>
      <c r="K282" s="449"/>
      <c r="L282" s="450"/>
      <c r="M282" s="451"/>
      <c r="N282" s="69"/>
      <c r="O282" s="69"/>
      <c r="P282" s="70"/>
      <c r="Q282" s="71">
        <f t="shared" si="29"/>
        <v>0</v>
      </c>
      <c r="R282" s="71">
        <v>0</v>
      </c>
      <c r="S282" s="387">
        <f t="shared" si="30"/>
        <v>0</v>
      </c>
    </row>
    <row r="283" spans="1:19" ht="22.5" customHeight="1" x14ac:dyDescent="0.5">
      <c r="A283" s="61">
        <v>36</v>
      </c>
      <c r="B283" s="290" t="s">
        <v>465</v>
      </c>
      <c r="C283" s="63" t="s">
        <v>466</v>
      </c>
      <c r="D283" s="452"/>
      <c r="E283" s="443"/>
      <c r="F283" s="443"/>
      <c r="G283" s="66"/>
      <c r="H283" s="67">
        <v>0</v>
      </c>
      <c r="I283" s="67">
        <v>0</v>
      </c>
      <c r="J283" s="67">
        <v>0</v>
      </c>
      <c r="K283" s="449"/>
      <c r="L283" s="450"/>
      <c r="M283" s="451"/>
      <c r="N283" s="69"/>
      <c r="O283" s="69"/>
      <c r="P283" s="70"/>
      <c r="Q283" s="71">
        <f t="shared" si="29"/>
        <v>0</v>
      </c>
      <c r="R283" s="71">
        <v>0</v>
      </c>
      <c r="S283" s="387">
        <f t="shared" si="30"/>
        <v>0</v>
      </c>
    </row>
    <row r="284" spans="1:19" ht="22.5" customHeight="1" x14ac:dyDescent="0.5">
      <c r="A284" s="61">
        <v>37</v>
      </c>
      <c r="B284" s="290" t="s">
        <v>467</v>
      </c>
      <c r="C284" s="63" t="s">
        <v>468</v>
      </c>
      <c r="D284" s="452"/>
      <c r="E284" s="443"/>
      <c r="F284" s="443"/>
      <c r="G284" s="66"/>
      <c r="H284" s="67">
        <v>0</v>
      </c>
      <c r="I284" s="67">
        <v>0</v>
      </c>
      <c r="J284" s="67">
        <v>0</v>
      </c>
      <c r="K284" s="449"/>
      <c r="L284" s="450"/>
      <c r="M284" s="451"/>
      <c r="N284" s="69"/>
      <c r="O284" s="69"/>
      <c r="P284" s="70"/>
      <c r="Q284" s="71">
        <f t="shared" si="29"/>
        <v>0</v>
      </c>
      <c r="R284" s="71">
        <v>0</v>
      </c>
      <c r="S284" s="387">
        <f t="shared" si="30"/>
        <v>0</v>
      </c>
    </row>
    <row r="285" spans="1:19" ht="22.5" customHeight="1" x14ac:dyDescent="0.5">
      <c r="A285" s="61">
        <v>38</v>
      </c>
      <c r="B285" s="290" t="s">
        <v>469</v>
      </c>
      <c r="C285" s="63" t="s">
        <v>470</v>
      </c>
      <c r="D285" s="452"/>
      <c r="E285" s="443"/>
      <c r="F285" s="443"/>
      <c r="G285" s="66"/>
      <c r="H285" s="67">
        <v>0</v>
      </c>
      <c r="I285" s="67">
        <v>0</v>
      </c>
      <c r="J285" s="67">
        <v>0</v>
      </c>
      <c r="K285" s="449"/>
      <c r="L285" s="450"/>
      <c r="M285" s="451"/>
      <c r="N285" s="69"/>
      <c r="O285" s="69"/>
      <c r="P285" s="70"/>
      <c r="Q285" s="71">
        <f t="shared" si="29"/>
        <v>0</v>
      </c>
      <c r="R285" s="71">
        <v>0</v>
      </c>
      <c r="S285" s="387">
        <f t="shared" si="30"/>
        <v>0</v>
      </c>
    </row>
    <row r="286" spans="1:19" ht="22.5" customHeight="1" x14ac:dyDescent="0.5">
      <c r="A286" s="61">
        <v>39</v>
      </c>
      <c r="B286" s="290" t="s">
        <v>471</v>
      </c>
      <c r="C286" s="63" t="s">
        <v>472</v>
      </c>
      <c r="D286" s="452"/>
      <c r="E286" s="443"/>
      <c r="F286" s="443"/>
      <c r="G286" s="66"/>
      <c r="H286" s="67">
        <v>0</v>
      </c>
      <c r="I286" s="67">
        <v>0</v>
      </c>
      <c r="J286" s="67">
        <v>0</v>
      </c>
      <c r="K286" s="449"/>
      <c r="L286" s="450"/>
      <c r="M286" s="451"/>
      <c r="N286" s="69"/>
      <c r="O286" s="69"/>
      <c r="P286" s="70"/>
      <c r="Q286" s="71">
        <f t="shared" si="29"/>
        <v>0</v>
      </c>
      <c r="R286" s="71">
        <v>0</v>
      </c>
      <c r="S286" s="387">
        <f t="shared" si="30"/>
        <v>0</v>
      </c>
    </row>
    <row r="287" spans="1:19" ht="22.5" customHeight="1" x14ac:dyDescent="0.5">
      <c r="A287" s="61">
        <v>40</v>
      </c>
      <c r="B287" s="290" t="s">
        <v>473</v>
      </c>
      <c r="C287" s="63" t="s">
        <v>474</v>
      </c>
      <c r="D287" s="452"/>
      <c r="E287" s="443"/>
      <c r="F287" s="443"/>
      <c r="G287" s="66"/>
      <c r="H287" s="67">
        <v>0</v>
      </c>
      <c r="I287" s="67">
        <v>0</v>
      </c>
      <c r="J287" s="67">
        <v>0</v>
      </c>
      <c r="K287" s="449"/>
      <c r="L287" s="450"/>
      <c r="M287" s="451"/>
      <c r="N287" s="69"/>
      <c r="O287" s="69"/>
      <c r="P287" s="70"/>
      <c r="Q287" s="71">
        <f t="shared" si="29"/>
        <v>0</v>
      </c>
      <c r="R287" s="71">
        <v>0</v>
      </c>
      <c r="S287" s="387">
        <f t="shared" si="30"/>
        <v>0</v>
      </c>
    </row>
    <row r="288" spans="1:19" ht="22.5" customHeight="1" x14ac:dyDescent="0.5">
      <c r="A288" s="61">
        <v>41</v>
      </c>
      <c r="B288" s="290" t="s">
        <v>475</v>
      </c>
      <c r="C288" s="63" t="s">
        <v>476</v>
      </c>
      <c r="D288" s="452"/>
      <c r="E288" s="443"/>
      <c r="F288" s="443"/>
      <c r="G288" s="66"/>
      <c r="H288" s="67">
        <v>0</v>
      </c>
      <c r="I288" s="67">
        <v>0</v>
      </c>
      <c r="J288" s="67">
        <v>0</v>
      </c>
      <c r="K288" s="449"/>
      <c r="L288" s="450"/>
      <c r="M288" s="451"/>
      <c r="N288" s="69"/>
      <c r="O288" s="69"/>
      <c r="P288" s="70"/>
      <c r="Q288" s="71">
        <f t="shared" si="29"/>
        <v>0</v>
      </c>
      <c r="R288" s="71">
        <v>0</v>
      </c>
      <c r="S288" s="387">
        <f t="shared" si="30"/>
        <v>0</v>
      </c>
    </row>
    <row r="289" spans="1:20" ht="22.5" customHeight="1" x14ac:dyDescent="0.5">
      <c r="A289" s="61">
        <v>42</v>
      </c>
      <c r="B289" s="290" t="s">
        <v>477</v>
      </c>
      <c r="C289" s="63" t="s">
        <v>478</v>
      </c>
      <c r="D289" s="452"/>
      <c r="E289" s="443"/>
      <c r="F289" s="443"/>
      <c r="G289" s="66"/>
      <c r="H289" s="67">
        <v>0</v>
      </c>
      <c r="I289" s="67">
        <v>0</v>
      </c>
      <c r="J289" s="67">
        <v>0</v>
      </c>
      <c r="K289" s="449"/>
      <c r="L289" s="450"/>
      <c r="M289" s="451"/>
      <c r="N289" s="69"/>
      <c r="O289" s="69"/>
      <c r="P289" s="70"/>
      <c r="Q289" s="71">
        <f t="shared" si="29"/>
        <v>0</v>
      </c>
      <c r="R289" s="71">
        <v>0</v>
      </c>
      <c r="S289" s="387">
        <f t="shared" si="30"/>
        <v>0</v>
      </c>
    </row>
    <row r="290" spans="1:20" ht="22.5" customHeight="1" x14ac:dyDescent="0.5">
      <c r="A290" s="61">
        <v>43</v>
      </c>
      <c r="B290" s="290" t="s">
        <v>479</v>
      </c>
      <c r="C290" s="63" t="s">
        <v>480</v>
      </c>
      <c r="D290" s="452"/>
      <c r="E290" s="443"/>
      <c r="F290" s="443"/>
      <c r="G290" s="66"/>
      <c r="H290" s="67">
        <v>0</v>
      </c>
      <c r="I290" s="67">
        <v>0</v>
      </c>
      <c r="J290" s="67">
        <v>0</v>
      </c>
      <c r="K290" s="449"/>
      <c r="L290" s="450"/>
      <c r="M290" s="451"/>
      <c r="N290" s="69"/>
      <c r="O290" s="69"/>
      <c r="P290" s="70"/>
      <c r="Q290" s="71">
        <f t="shared" si="29"/>
        <v>0</v>
      </c>
      <c r="R290" s="71">
        <v>0</v>
      </c>
      <c r="S290" s="387">
        <f t="shared" si="30"/>
        <v>0</v>
      </c>
    </row>
    <row r="291" spans="1:20" ht="22.5" customHeight="1" x14ac:dyDescent="0.5">
      <c r="A291" s="61">
        <v>44</v>
      </c>
      <c r="B291" s="290" t="s">
        <v>482</v>
      </c>
      <c r="C291" s="63" t="s">
        <v>483</v>
      </c>
      <c r="D291" s="452"/>
      <c r="E291" s="443"/>
      <c r="F291" s="443"/>
      <c r="G291" s="66"/>
      <c r="H291" s="67">
        <v>0</v>
      </c>
      <c r="I291" s="67">
        <v>0</v>
      </c>
      <c r="J291" s="67">
        <v>0</v>
      </c>
      <c r="K291" s="449"/>
      <c r="L291" s="450"/>
      <c r="M291" s="451"/>
      <c r="N291" s="69"/>
      <c r="O291" s="69"/>
      <c r="P291" s="70"/>
      <c r="Q291" s="71">
        <f t="shared" si="29"/>
        <v>0</v>
      </c>
      <c r="R291" s="71">
        <v>0</v>
      </c>
      <c r="S291" s="387">
        <f t="shared" si="30"/>
        <v>0</v>
      </c>
    </row>
    <row r="292" spans="1:20" ht="22.5" customHeight="1" x14ac:dyDescent="0.5">
      <c r="A292" s="61">
        <v>45</v>
      </c>
      <c r="B292" s="290" t="s">
        <v>484</v>
      </c>
      <c r="C292" s="63" t="s">
        <v>485</v>
      </c>
      <c r="D292" s="452"/>
      <c r="E292" s="443"/>
      <c r="F292" s="443"/>
      <c r="G292" s="66"/>
      <c r="H292" s="67">
        <v>0</v>
      </c>
      <c r="I292" s="67">
        <v>0</v>
      </c>
      <c r="J292" s="67">
        <v>0</v>
      </c>
      <c r="K292" s="449"/>
      <c r="L292" s="450"/>
      <c r="M292" s="451"/>
      <c r="N292" s="69"/>
      <c r="O292" s="69"/>
      <c r="P292" s="70"/>
      <c r="Q292" s="71">
        <f t="shared" si="29"/>
        <v>0</v>
      </c>
      <c r="R292" s="71">
        <v>0</v>
      </c>
      <c r="S292" s="387">
        <f t="shared" si="30"/>
        <v>0</v>
      </c>
    </row>
    <row r="293" spans="1:20" ht="22.5" customHeight="1" x14ac:dyDescent="0.5">
      <c r="A293" s="23">
        <v>46</v>
      </c>
      <c r="B293" s="290" t="s">
        <v>486</v>
      </c>
      <c r="C293" s="25" t="s">
        <v>487</v>
      </c>
      <c r="D293" s="452"/>
      <c r="E293" s="454"/>
      <c r="F293" s="454"/>
      <c r="G293" s="213"/>
      <c r="H293" s="219">
        <v>0</v>
      </c>
      <c r="I293" s="219">
        <v>0</v>
      </c>
      <c r="J293" s="219">
        <v>0</v>
      </c>
      <c r="K293" s="449"/>
      <c r="L293" s="450"/>
      <c r="M293" s="451"/>
      <c r="N293" s="41"/>
      <c r="O293" s="41"/>
      <c r="P293" s="34"/>
      <c r="Q293" s="71">
        <f t="shared" si="29"/>
        <v>0</v>
      </c>
      <c r="R293" s="71">
        <v>0</v>
      </c>
      <c r="S293" s="387">
        <f t="shared" si="30"/>
        <v>0</v>
      </c>
    </row>
    <row r="294" spans="1:20" ht="22.5" customHeight="1" x14ac:dyDescent="0.5">
      <c r="A294" s="61">
        <v>47</v>
      </c>
      <c r="B294" s="392" t="s">
        <v>489</v>
      </c>
      <c r="C294" s="63" t="s">
        <v>490</v>
      </c>
      <c r="D294" s="452"/>
      <c r="E294" s="443"/>
      <c r="F294" s="443"/>
      <c r="G294" s="66"/>
      <c r="H294" s="67">
        <v>0</v>
      </c>
      <c r="I294" s="67">
        <v>0</v>
      </c>
      <c r="J294" s="67">
        <v>0</v>
      </c>
      <c r="K294" s="449"/>
      <c r="L294" s="450"/>
      <c r="M294" s="451"/>
      <c r="N294" s="69"/>
      <c r="O294" s="69"/>
      <c r="P294" s="70"/>
      <c r="Q294" s="71">
        <f t="shared" si="29"/>
        <v>0</v>
      </c>
      <c r="R294" s="71">
        <v>0</v>
      </c>
      <c r="S294" s="387">
        <f t="shared" si="30"/>
        <v>0</v>
      </c>
    </row>
    <row r="295" spans="1:20" ht="22.5" customHeight="1" x14ac:dyDescent="0.5">
      <c r="A295" s="23">
        <v>48</v>
      </c>
      <c r="B295" s="290" t="s">
        <v>491</v>
      </c>
      <c r="C295" s="25" t="s">
        <v>492</v>
      </c>
      <c r="D295" s="452"/>
      <c r="E295" s="454"/>
      <c r="F295" s="454"/>
      <c r="G295" s="213"/>
      <c r="H295" s="219">
        <v>0</v>
      </c>
      <c r="I295" s="219">
        <v>0</v>
      </c>
      <c r="J295" s="219">
        <v>0</v>
      </c>
      <c r="K295" s="449"/>
      <c r="L295" s="450"/>
      <c r="M295" s="451"/>
      <c r="N295" s="41"/>
      <c r="O295" s="41"/>
      <c r="P295" s="34"/>
      <c r="Q295" s="71">
        <f t="shared" si="29"/>
        <v>0</v>
      </c>
      <c r="R295" s="71">
        <v>0</v>
      </c>
      <c r="S295" s="387">
        <f t="shared" si="30"/>
        <v>0</v>
      </c>
    </row>
    <row r="296" spans="1:20" ht="22.5" customHeight="1" x14ac:dyDescent="0.5">
      <c r="A296" s="23">
        <v>49</v>
      </c>
      <c r="B296" s="290" t="s">
        <v>493</v>
      </c>
      <c r="C296" s="25" t="s">
        <v>494</v>
      </c>
      <c r="D296" s="452"/>
      <c r="E296" s="454"/>
      <c r="F296" s="454"/>
      <c r="G296" s="213"/>
      <c r="H296" s="219">
        <v>0</v>
      </c>
      <c r="I296" s="219">
        <v>0</v>
      </c>
      <c r="J296" s="219">
        <v>0</v>
      </c>
      <c r="K296" s="449"/>
      <c r="L296" s="450"/>
      <c r="M296" s="451"/>
      <c r="N296" s="41"/>
      <c r="O296" s="41"/>
      <c r="P296" s="34"/>
      <c r="Q296" s="71">
        <f t="shared" si="29"/>
        <v>0</v>
      </c>
      <c r="R296" s="71">
        <v>0</v>
      </c>
      <c r="S296" s="387">
        <f t="shared" si="30"/>
        <v>0</v>
      </c>
    </row>
    <row r="297" spans="1:20" ht="22.5" customHeight="1" x14ac:dyDescent="0.5">
      <c r="A297" s="23">
        <v>50</v>
      </c>
      <c r="B297" s="290" t="s">
        <v>495</v>
      </c>
      <c r="C297" s="25" t="s">
        <v>496</v>
      </c>
      <c r="D297" s="452"/>
      <c r="E297" s="454" t="s">
        <v>795</v>
      </c>
      <c r="F297" s="454"/>
      <c r="G297" s="213"/>
      <c r="H297" s="219">
        <v>20595.900000000001</v>
      </c>
      <c r="I297" s="219">
        <v>0</v>
      </c>
      <c r="J297" s="219">
        <v>20595.900000000001</v>
      </c>
      <c r="K297" s="449"/>
      <c r="L297" s="450"/>
      <c r="M297" s="451"/>
      <c r="N297" s="41" t="s">
        <v>795</v>
      </c>
      <c r="O297" s="41"/>
      <c r="P297" s="34"/>
      <c r="Q297" s="71">
        <f t="shared" si="29"/>
        <v>20595.900000000001</v>
      </c>
      <c r="R297" s="71">
        <v>0</v>
      </c>
      <c r="S297" s="387">
        <f t="shared" si="30"/>
        <v>20595.900000000001</v>
      </c>
    </row>
    <row r="298" spans="1:20" s="60" customFormat="1" ht="22.5" customHeight="1" thickBot="1" x14ac:dyDescent="0.35">
      <c r="A298" s="362"/>
      <c r="B298" s="362" t="s">
        <v>15</v>
      </c>
      <c r="C298" s="455"/>
      <c r="D298" s="456">
        <v>0</v>
      </c>
      <c r="E298" s="362"/>
      <c r="F298" s="362"/>
      <c r="G298" s="363"/>
      <c r="H298" s="456">
        <f>SUM(H247:H297)</f>
        <v>20595.900000000001</v>
      </c>
      <c r="I298" s="456">
        <f>SUM(I247:I297)</f>
        <v>0</v>
      </c>
      <c r="J298" s="456">
        <f>SUM(J247:J297)</f>
        <v>20595.900000000001</v>
      </c>
      <c r="K298" s="457"/>
      <c r="L298" s="458"/>
      <c r="M298" s="458">
        <f>SUM(M247:M297)</f>
        <v>0</v>
      </c>
      <c r="N298" s="362"/>
      <c r="O298" s="362"/>
      <c r="P298" s="363"/>
      <c r="Q298" s="364">
        <f>SUM(Q247:Q297)</f>
        <v>20595.900000000001</v>
      </c>
      <c r="R298" s="364">
        <f>SUM(R247:R297)</f>
        <v>0</v>
      </c>
      <c r="S298" s="364">
        <f>SUM(S247:S297)</f>
        <v>20595.900000000001</v>
      </c>
    </row>
    <row r="299" spans="1:20" s="60" customFormat="1" ht="22.5" customHeight="1" thickTop="1" thickBot="1" x14ac:dyDescent="0.35">
      <c r="A299" s="459"/>
      <c r="B299" s="460" t="s">
        <v>497</v>
      </c>
      <c r="C299" s="461"/>
      <c r="D299" s="462">
        <f>SUM(D12+D27+D31+D35+D40+D44+D119+D163+D173+D181+D190+D194+D240+D244+D298)</f>
        <v>1172928.25</v>
      </c>
      <c r="E299" s="462">
        <f>SUM(E12+E27+E31+E35+E40+E44+E119+E163+E173+E181+E190+E194+E240+E244+E298)</f>
        <v>0</v>
      </c>
      <c r="F299" s="462"/>
      <c r="G299" s="462">
        <f t="shared" ref="G299:N299" si="31">SUM(G12+G27+G31+G35+G40+G44+G119+G163+G173+G181+G190+G194+G240+G244+G298)</f>
        <v>0</v>
      </c>
      <c r="H299" s="462">
        <f t="shared" si="31"/>
        <v>331882.77971962618</v>
      </c>
      <c r="I299" s="462">
        <f t="shared" si="31"/>
        <v>13902.699980373829</v>
      </c>
      <c r="J299" s="462">
        <f t="shared" si="31"/>
        <v>345785.47970000003</v>
      </c>
      <c r="K299" s="462">
        <f t="shared" si="31"/>
        <v>0</v>
      </c>
      <c r="L299" s="462">
        <f t="shared" si="31"/>
        <v>0</v>
      </c>
      <c r="M299" s="462">
        <f t="shared" si="31"/>
        <v>1162638.5099999998</v>
      </c>
      <c r="N299" s="462">
        <f t="shared" si="31"/>
        <v>0</v>
      </c>
      <c r="O299" s="462"/>
      <c r="P299" s="462">
        <f>SUM(P12+P27+P31+P35+P40+P44+P119+P163+P173+P181+P190+P194+P240+P244+P298)</f>
        <v>0</v>
      </c>
      <c r="Q299" s="462">
        <f>SUM(Q12+Q27+Q31+Q35+Q40+Q44+Q119+Q163+Q173+Q181+Q190+Q194+Q240+Q244+Q298)</f>
        <v>360477.77971962618</v>
      </c>
      <c r="R299" s="462">
        <f>SUM(R12+R27+R31+R35+R40+R44+R119+R163+R173+R181+R190+R194+R240+R244+R298)</f>
        <v>13131.649980373832</v>
      </c>
      <c r="S299" s="462">
        <f>SUM(S12+S27+S31+S35+S40+S44+S119+S163+S173+S181+S190+S194+S240+S244+S298)</f>
        <v>373609.42970000004</v>
      </c>
    </row>
    <row r="300" spans="1:20" ht="22.5" customHeight="1" thickTop="1" x14ac:dyDescent="0.3">
      <c r="E300" s="469"/>
      <c r="F300" s="469"/>
      <c r="G300" s="470"/>
      <c r="H300" s="3"/>
      <c r="I300" s="3"/>
      <c r="J300" s="3"/>
      <c r="N300" s="3"/>
      <c r="O300" s="3"/>
      <c r="P300" s="470"/>
      <c r="Q300" s="471"/>
      <c r="R300" s="471"/>
      <c r="S300" s="472"/>
    </row>
    <row r="301" spans="1:20" ht="22.5" customHeight="1" x14ac:dyDescent="0.3">
      <c r="A301" s="1123" t="s">
        <v>671</v>
      </c>
      <c r="B301" s="1124"/>
      <c r="C301" s="1124"/>
      <c r="D301" s="1124"/>
      <c r="E301" s="1124"/>
      <c r="F301" s="1124"/>
      <c r="G301" s="1124"/>
      <c r="H301" s="1124"/>
      <c r="I301" s="1124"/>
      <c r="J301" s="1124"/>
      <c r="K301" s="1124"/>
      <c r="L301" s="1124"/>
      <c r="M301" s="1124"/>
      <c r="N301" s="1124"/>
      <c r="O301" s="1124"/>
      <c r="P301" s="1124"/>
      <c r="Q301" s="1124"/>
      <c r="R301" s="1124"/>
      <c r="S301" s="1125"/>
      <c r="T301" s="2"/>
    </row>
    <row r="302" spans="1:20" ht="22.5" customHeight="1" x14ac:dyDescent="0.3">
      <c r="A302" s="115"/>
      <c r="B302" s="164" t="s">
        <v>499</v>
      </c>
      <c r="C302" s="165"/>
      <c r="D302" s="86"/>
      <c r="E302" s="167"/>
      <c r="F302" s="167"/>
      <c r="G302" s="168"/>
      <c r="H302" s="473"/>
      <c r="I302" s="473"/>
      <c r="J302" s="473"/>
      <c r="K302" s="170"/>
      <c r="L302" s="171"/>
      <c r="M302" s="86"/>
      <c r="N302" s="117"/>
      <c r="O302" s="117"/>
      <c r="P302" s="118"/>
      <c r="Q302" s="474"/>
      <c r="R302" s="474"/>
      <c r="S302" s="370"/>
      <c r="T302" s="2"/>
    </row>
    <row r="303" spans="1:20" ht="22.5" customHeight="1" x14ac:dyDescent="0.3">
      <c r="A303" s="475">
        <v>1</v>
      </c>
      <c r="B303" s="489" t="s">
        <v>1397</v>
      </c>
      <c r="C303" s="498"/>
      <c r="D303" s="499">
        <v>0</v>
      </c>
      <c r="E303" s="500"/>
      <c r="F303" s="889"/>
      <c r="G303" s="501"/>
      <c r="H303" s="481">
        <v>325409.68</v>
      </c>
      <c r="I303" s="482">
        <v>0</v>
      </c>
      <c r="J303" s="481">
        <v>325409.68</v>
      </c>
      <c r="K303" s="492"/>
      <c r="L303" s="492"/>
      <c r="M303" s="493"/>
      <c r="N303" s="484"/>
      <c r="O303" s="892"/>
      <c r="P303" s="494"/>
      <c r="Q303" s="495">
        <v>325409.68</v>
      </c>
      <c r="R303" s="496">
        <v>0</v>
      </c>
      <c r="S303" s="497">
        <v>325409.68</v>
      </c>
      <c r="T303" s="2" t="s">
        <v>1398</v>
      </c>
    </row>
    <row r="304" spans="1:20" ht="22.5" customHeight="1" x14ac:dyDescent="0.3">
      <c r="A304" s="502"/>
      <c r="B304" s="503" t="s">
        <v>1399</v>
      </c>
      <c r="C304" s="504"/>
      <c r="D304" s="505"/>
      <c r="E304" s="506"/>
      <c r="F304" s="890"/>
      <c r="G304" s="507"/>
      <c r="H304" s="508"/>
      <c r="I304" s="508"/>
      <c r="J304" s="508"/>
      <c r="K304" s="492"/>
      <c r="L304" s="492"/>
      <c r="M304" s="298"/>
      <c r="N304" s="509"/>
      <c r="O304" s="893"/>
      <c r="P304" s="510"/>
      <c r="Q304" s="511"/>
      <c r="R304" s="512"/>
      <c r="S304" s="513"/>
      <c r="T304" s="2"/>
    </row>
    <row r="305" spans="1:20" ht="22.5" customHeight="1" x14ac:dyDescent="0.3">
      <c r="A305" s="488"/>
      <c r="B305" s="489" t="s">
        <v>1400</v>
      </c>
      <c r="C305" s="514"/>
      <c r="D305" s="515"/>
      <c r="E305" s="516">
        <v>436596</v>
      </c>
      <c r="F305" s="516"/>
      <c r="G305" s="517"/>
      <c r="H305" s="518"/>
      <c r="I305" s="519"/>
      <c r="J305" s="518"/>
      <c r="K305" s="492"/>
      <c r="L305" s="492"/>
      <c r="M305" s="493"/>
      <c r="N305" s="520"/>
      <c r="O305" s="520"/>
      <c r="P305" s="521"/>
      <c r="Q305" s="522"/>
      <c r="R305" s="523"/>
      <c r="S305" s="524"/>
    </row>
    <row r="306" spans="1:20" ht="22.5" customHeight="1" x14ac:dyDescent="0.3">
      <c r="A306" s="488">
        <v>2</v>
      </c>
      <c r="B306" s="525" t="s">
        <v>1401</v>
      </c>
      <c r="C306" s="526"/>
      <c r="D306" s="515">
        <v>0</v>
      </c>
      <c r="E306" s="527"/>
      <c r="F306" s="527"/>
      <c r="G306" s="517"/>
      <c r="H306" s="528">
        <v>108369.18</v>
      </c>
      <c r="I306" s="519">
        <v>0</v>
      </c>
      <c r="J306" s="528">
        <v>108369.18</v>
      </c>
      <c r="K306" s="515"/>
      <c r="L306" s="492"/>
      <c r="M306" s="493"/>
      <c r="N306" s="521"/>
      <c r="O306" s="529"/>
      <c r="P306" s="529"/>
      <c r="Q306" s="530">
        <v>108369.18</v>
      </c>
      <c r="R306" s="531">
        <v>0</v>
      </c>
      <c r="S306" s="532">
        <v>108369.18</v>
      </c>
      <c r="T306" s="3" t="s">
        <v>1398</v>
      </c>
    </row>
    <row r="307" spans="1:20" ht="22.5" customHeight="1" x14ac:dyDescent="0.3">
      <c r="A307" s="488"/>
      <c r="B307" s="525" t="s">
        <v>1402</v>
      </c>
      <c r="C307" s="526"/>
      <c r="D307" s="515"/>
      <c r="E307" s="527"/>
      <c r="F307" s="527"/>
      <c r="G307" s="517"/>
      <c r="H307" s="528"/>
      <c r="I307" s="519"/>
      <c r="J307" s="528"/>
      <c r="K307" s="515"/>
      <c r="L307" s="492"/>
      <c r="M307" s="493"/>
      <c r="N307" s="521"/>
      <c r="O307" s="529"/>
      <c r="P307" s="529"/>
      <c r="Q307" s="530"/>
      <c r="R307" s="531"/>
      <c r="S307" s="532"/>
    </row>
    <row r="308" spans="1:20" ht="22.5" customHeight="1" x14ac:dyDescent="0.3">
      <c r="A308" s="737"/>
      <c r="B308" s="525" t="s">
        <v>1403</v>
      </c>
      <c r="C308" s="526"/>
      <c r="D308" s="927"/>
      <c r="E308" s="517"/>
      <c r="F308" s="517"/>
      <c r="G308" s="517"/>
      <c r="H308" s="928"/>
      <c r="I308" s="929"/>
      <c r="J308" s="928"/>
      <c r="K308" s="927"/>
      <c r="L308" s="930"/>
      <c r="M308" s="931"/>
      <c r="N308" s="521"/>
      <c r="O308" s="521"/>
      <c r="P308" s="521"/>
      <c r="Q308" s="531"/>
      <c r="R308" s="531"/>
      <c r="S308" s="932"/>
    </row>
    <row r="309" spans="1:20" ht="22.5" customHeight="1" x14ac:dyDescent="0.3">
      <c r="A309" s="737">
        <v>3</v>
      </c>
      <c r="B309" s="525" t="s">
        <v>1404</v>
      </c>
      <c r="C309" s="526"/>
      <c r="D309" s="927">
        <v>0</v>
      </c>
      <c r="E309" s="517"/>
      <c r="F309" s="517"/>
      <c r="G309" s="517"/>
      <c r="H309" s="928">
        <v>39949.17</v>
      </c>
      <c r="I309" s="929">
        <v>0</v>
      </c>
      <c r="J309" s="928">
        <v>39949.17</v>
      </c>
      <c r="K309" s="927"/>
      <c r="L309" s="930"/>
      <c r="M309" s="931"/>
      <c r="N309" s="521"/>
      <c r="O309" s="521"/>
      <c r="P309" s="521"/>
      <c r="Q309" s="531">
        <v>39949.17</v>
      </c>
      <c r="R309" s="531">
        <v>0</v>
      </c>
      <c r="S309" s="932">
        <v>39949.17</v>
      </c>
      <c r="T309" s="3" t="s">
        <v>1398</v>
      </c>
    </row>
    <row r="310" spans="1:20" ht="22.5" customHeight="1" x14ac:dyDescent="0.3">
      <c r="A310" s="737"/>
      <c r="B310" s="525" t="s">
        <v>1405</v>
      </c>
      <c r="C310" s="526"/>
      <c r="D310" s="927"/>
      <c r="E310" s="517"/>
      <c r="F310" s="517"/>
      <c r="G310" s="517"/>
      <c r="H310" s="928"/>
      <c r="I310" s="929"/>
      <c r="J310" s="928"/>
      <c r="K310" s="927"/>
      <c r="L310" s="930"/>
      <c r="M310" s="931"/>
      <c r="N310" s="521"/>
      <c r="O310" s="521"/>
      <c r="P310" s="521"/>
      <c r="Q310" s="531"/>
      <c r="R310" s="531"/>
      <c r="S310" s="932"/>
    </row>
    <row r="311" spans="1:20" ht="22.5" customHeight="1" x14ac:dyDescent="0.3">
      <c r="A311" s="737"/>
      <c r="B311" s="525" t="s">
        <v>1406</v>
      </c>
      <c r="C311" s="526"/>
      <c r="D311" s="927"/>
      <c r="E311" s="517"/>
      <c r="F311" s="517"/>
      <c r="G311" s="517"/>
      <c r="H311" s="928"/>
      <c r="I311" s="929"/>
      <c r="J311" s="928"/>
      <c r="K311" s="927"/>
      <c r="L311" s="930"/>
      <c r="M311" s="931"/>
      <c r="N311" s="521"/>
      <c r="O311" s="521"/>
      <c r="P311" s="521"/>
      <c r="Q311" s="531"/>
      <c r="R311" s="531"/>
      <c r="S311" s="932"/>
    </row>
    <row r="312" spans="1:20" ht="22.5" customHeight="1" x14ac:dyDescent="0.3">
      <c r="A312" s="737">
        <v>4</v>
      </c>
      <c r="B312" s="525" t="s">
        <v>1407</v>
      </c>
      <c r="C312" s="526"/>
      <c r="D312" s="927">
        <v>0</v>
      </c>
      <c r="E312" s="517"/>
      <c r="F312" s="517"/>
      <c r="G312" s="517"/>
      <c r="H312" s="928">
        <v>796450.34</v>
      </c>
      <c r="I312" s="929">
        <v>0</v>
      </c>
      <c r="J312" s="928">
        <v>796450.34</v>
      </c>
      <c r="K312" s="927"/>
      <c r="L312" s="930"/>
      <c r="M312" s="931"/>
      <c r="N312" s="521"/>
      <c r="O312" s="521"/>
      <c r="P312" s="521"/>
      <c r="Q312" s="531">
        <v>796450.34</v>
      </c>
      <c r="R312" s="531">
        <v>0</v>
      </c>
      <c r="S312" s="932">
        <v>796450.34</v>
      </c>
    </row>
    <row r="313" spans="1:20" ht="22.5" customHeight="1" x14ac:dyDescent="0.3">
      <c r="A313" s="737"/>
      <c r="B313" s="525" t="s">
        <v>1408</v>
      </c>
      <c r="C313" s="526"/>
      <c r="D313" s="927"/>
      <c r="E313" s="517"/>
      <c r="F313" s="517"/>
      <c r="G313" s="517"/>
      <c r="H313" s="928"/>
      <c r="I313" s="929"/>
      <c r="J313" s="928"/>
      <c r="K313" s="927"/>
      <c r="L313" s="930"/>
      <c r="M313" s="931"/>
      <c r="N313" s="521"/>
      <c r="O313" s="521"/>
      <c r="P313" s="521"/>
      <c r="Q313" s="531"/>
      <c r="R313" s="531"/>
      <c r="S313" s="932"/>
    </row>
    <row r="314" spans="1:20" ht="22.5" customHeight="1" x14ac:dyDescent="0.3">
      <c r="A314" s="737"/>
      <c r="B314" s="525" t="s">
        <v>1409</v>
      </c>
      <c r="C314" s="526"/>
      <c r="D314" s="927">
        <v>0</v>
      </c>
      <c r="E314" s="517"/>
      <c r="F314" s="517"/>
      <c r="G314" s="517"/>
      <c r="H314" s="928">
        <v>93330</v>
      </c>
      <c r="I314" s="929">
        <v>0</v>
      </c>
      <c r="J314" s="928">
        <v>93330</v>
      </c>
      <c r="K314" s="927"/>
      <c r="L314" s="930"/>
      <c r="M314" s="931"/>
      <c r="N314" s="521"/>
      <c r="O314" s="521"/>
      <c r="P314" s="521"/>
      <c r="Q314" s="531">
        <v>93330</v>
      </c>
      <c r="R314" s="531">
        <v>0</v>
      </c>
      <c r="S314" s="932">
        <v>93330</v>
      </c>
    </row>
    <row r="315" spans="1:20" s="60" customFormat="1" ht="22.5" customHeight="1" thickBot="1" x14ac:dyDescent="0.35">
      <c r="A315" s="921"/>
      <c r="B315" s="921" t="s">
        <v>15</v>
      </c>
      <c r="C315" s="922"/>
      <c r="D315" s="923">
        <v>0</v>
      </c>
      <c r="E315" s="924"/>
      <c r="F315" s="924"/>
      <c r="G315" s="925"/>
      <c r="H315" s="926">
        <f t="shared" ref="H315:S315" si="32">SUM(H303:H314)</f>
        <v>1363508.3699999999</v>
      </c>
      <c r="I315" s="926">
        <f t="shared" si="32"/>
        <v>0</v>
      </c>
      <c r="J315" s="926">
        <f t="shared" si="32"/>
        <v>1363508.3699999999</v>
      </c>
      <c r="K315" s="926">
        <f t="shared" si="32"/>
        <v>0</v>
      </c>
      <c r="L315" s="926">
        <f t="shared" si="32"/>
        <v>0</v>
      </c>
      <c r="M315" s="926">
        <f t="shared" si="32"/>
        <v>0</v>
      </c>
      <c r="N315" s="926">
        <f t="shared" si="32"/>
        <v>0</v>
      </c>
      <c r="O315" s="926">
        <f t="shared" si="32"/>
        <v>0</v>
      </c>
      <c r="P315" s="926">
        <f t="shared" si="32"/>
        <v>0</v>
      </c>
      <c r="Q315" s="926">
        <f t="shared" si="32"/>
        <v>1363508.3699999999</v>
      </c>
      <c r="R315" s="926">
        <f t="shared" si="32"/>
        <v>0</v>
      </c>
      <c r="S315" s="926">
        <f t="shared" si="32"/>
        <v>1363508.3699999999</v>
      </c>
      <c r="T315" s="59"/>
    </row>
    <row r="316" spans="1:20" ht="22.5" customHeight="1" thickTop="1" x14ac:dyDescent="0.3">
      <c r="A316" s="559"/>
      <c r="B316" s="560" t="s">
        <v>92</v>
      </c>
      <c r="C316" s="561"/>
      <c r="D316" s="562"/>
      <c r="E316" s="563"/>
      <c r="F316" s="563"/>
      <c r="G316" s="564"/>
      <c r="H316" s="565"/>
      <c r="I316" s="565"/>
      <c r="J316" s="565"/>
      <c r="K316" s="566"/>
      <c r="L316" s="566"/>
      <c r="M316" s="562"/>
      <c r="N316" s="567"/>
      <c r="O316" s="567"/>
      <c r="P316" s="568"/>
      <c r="Q316" s="569"/>
      <c r="R316" s="569"/>
      <c r="S316" s="570"/>
      <c r="T316" s="2"/>
    </row>
    <row r="317" spans="1:20" ht="22.5" customHeight="1" x14ac:dyDescent="0.3">
      <c r="A317" s="23">
        <v>1</v>
      </c>
      <c r="B317" s="73" t="s">
        <v>512</v>
      </c>
      <c r="C317" s="25" t="s">
        <v>97</v>
      </c>
      <c r="D317" s="43">
        <v>0</v>
      </c>
      <c r="E317" s="212" t="s">
        <v>513</v>
      </c>
      <c r="F317" s="212"/>
      <c r="G317" s="213" t="s">
        <v>514</v>
      </c>
      <c r="H317" s="219">
        <v>9813.08</v>
      </c>
      <c r="I317" s="219">
        <v>686.91560000000004</v>
      </c>
      <c r="J317" s="219">
        <v>10499.9956</v>
      </c>
      <c r="K317" s="408"/>
      <c r="L317" s="408"/>
      <c r="M317" s="43"/>
      <c r="N317" s="41" t="s">
        <v>513</v>
      </c>
      <c r="O317" s="41"/>
      <c r="P317" s="34" t="s">
        <v>514</v>
      </c>
      <c r="Q317" s="114">
        <v>9813.08</v>
      </c>
      <c r="R317" s="114">
        <v>686.91560000000004</v>
      </c>
      <c r="S317" s="36">
        <v>10499.9956</v>
      </c>
      <c r="T317" s="2"/>
    </row>
    <row r="318" spans="1:20" s="60" customFormat="1" ht="22.5" customHeight="1" thickBot="1" x14ac:dyDescent="0.35">
      <c r="A318" s="548"/>
      <c r="B318" s="548" t="s">
        <v>15</v>
      </c>
      <c r="C318" s="549"/>
      <c r="D318" s="550"/>
      <c r="E318" s="571"/>
      <c r="F318" s="571"/>
      <c r="G318" s="552"/>
      <c r="H318" s="553">
        <v>9813.08</v>
      </c>
      <c r="I318" s="553">
        <v>686.91560000000004</v>
      </c>
      <c r="J318" s="553">
        <v>10499.9956</v>
      </c>
      <c r="K318" s="554"/>
      <c r="L318" s="554"/>
      <c r="M318" s="550"/>
      <c r="N318" s="548"/>
      <c r="O318" s="548"/>
      <c r="P318" s="552"/>
      <c r="Q318" s="557">
        <v>9813.08</v>
      </c>
      <c r="R318" s="557">
        <v>686.91560000000004</v>
      </c>
      <c r="S318" s="558">
        <v>10499.9956</v>
      </c>
      <c r="T318" s="59"/>
    </row>
    <row r="319" spans="1:20" s="60" customFormat="1" ht="22.5" customHeight="1" thickTop="1" thickBot="1" x14ac:dyDescent="0.35">
      <c r="A319" s="572"/>
      <c r="B319" s="572" t="s">
        <v>515</v>
      </c>
      <c r="C319" s="573"/>
      <c r="D319" s="574"/>
      <c r="E319" s="575"/>
      <c r="F319" s="575"/>
      <c r="G319" s="576"/>
      <c r="H319" s="577">
        <v>1332104.04</v>
      </c>
      <c r="I319" s="577">
        <v>686.91560000000004</v>
      </c>
      <c r="J319" s="577">
        <v>1332790.9556</v>
      </c>
      <c r="K319" s="578"/>
      <c r="L319" s="578"/>
      <c r="M319" s="579">
        <v>0</v>
      </c>
      <c r="N319" s="580"/>
      <c r="O319" s="580"/>
      <c r="P319" s="581"/>
      <c r="Q319" s="582">
        <f>SUM(Q315+Q318)</f>
        <v>1373321.45</v>
      </c>
      <c r="R319" s="582">
        <v>686.91560000000004</v>
      </c>
      <c r="S319" s="583">
        <f>SUM(S315+S318)</f>
        <v>1374008.3655999999</v>
      </c>
      <c r="T319" s="59"/>
    </row>
    <row r="320" spans="1:20" ht="22.5" customHeight="1" thickTop="1" x14ac:dyDescent="0.3">
      <c r="E320" s="469"/>
      <c r="F320" s="469"/>
      <c r="G320" s="470"/>
      <c r="H320" s="3"/>
      <c r="I320" s="3"/>
      <c r="J320" s="3"/>
      <c r="K320" s="584"/>
      <c r="L320" s="585"/>
      <c r="N320" s="470"/>
      <c r="O320" s="470"/>
      <c r="P320" s="586"/>
      <c r="Q320" s="471"/>
      <c r="R320" s="471"/>
      <c r="S320" s="472"/>
      <c r="T320" s="2"/>
    </row>
    <row r="321" spans="1:22" s="589" customFormat="1" ht="20.399999999999999" x14ac:dyDescent="0.5">
      <c r="A321" s="1126" t="s">
        <v>1183</v>
      </c>
      <c r="B321" s="1127"/>
      <c r="C321" s="1127"/>
      <c r="D321" s="1127"/>
      <c r="E321" s="1127"/>
      <c r="F321" s="1127"/>
      <c r="G321" s="1127"/>
      <c r="H321" s="1127"/>
      <c r="I321" s="1127"/>
      <c r="J321" s="1127"/>
      <c r="K321" s="1127"/>
      <c r="L321" s="1127"/>
      <c r="M321" s="1127"/>
      <c r="N321" s="1127"/>
      <c r="O321" s="1127"/>
      <c r="P321" s="1127"/>
      <c r="Q321" s="1127"/>
      <c r="R321" s="1127"/>
      <c r="S321" s="1127"/>
      <c r="T321" s="587"/>
      <c r="U321" s="587"/>
      <c r="V321" s="588"/>
    </row>
    <row r="322" spans="1:22" s="599" customFormat="1" x14ac:dyDescent="0.6">
      <c r="A322" s="590">
        <v>1</v>
      </c>
      <c r="B322" s="591" t="s">
        <v>517</v>
      </c>
      <c r="C322" s="591" t="s">
        <v>518</v>
      </c>
      <c r="D322" s="592">
        <v>0</v>
      </c>
      <c r="E322" s="593"/>
      <c r="F322" s="593"/>
      <c r="G322" s="594"/>
      <c r="H322" s="595">
        <v>0</v>
      </c>
      <c r="I322" s="595">
        <v>0</v>
      </c>
      <c r="J322" s="595">
        <v>0</v>
      </c>
      <c r="K322" s="596"/>
      <c r="L322" s="596"/>
      <c r="M322" s="597"/>
      <c r="N322" s="598"/>
      <c r="O322" s="598"/>
      <c r="P322" s="594"/>
      <c r="Q322" s="595">
        <v>0</v>
      </c>
      <c r="R322" s="595">
        <v>0</v>
      </c>
      <c r="S322" s="595">
        <v>0</v>
      </c>
      <c r="V322" s="600"/>
    </row>
    <row r="323" spans="1:22" s="599" customFormat="1" x14ac:dyDescent="0.6">
      <c r="A323" s="601">
        <v>2</v>
      </c>
      <c r="B323" s="602" t="s">
        <v>519</v>
      </c>
      <c r="C323" s="602" t="s">
        <v>520</v>
      </c>
      <c r="D323" s="603">
        <v>0</v>
      </c>
      <c r="E323" s="604"/>
      <c r="F323" s="604"/>
      <c r="G323" s="605"/>
      <c r="H323" s="606">
        <v>54000</v>
      </c>
      <c r="I323" s="606">
        <v>0</v>
      </c>
      <c r="J323" s="606">
        <v>54000</v>
      </c>
      <c r="K323" s="607"/>
      <c r="L323" s="607"/>
      <c r="M323" s="608"/>
      <c r="N323" s="604"/>
      <c r="O323" s="604"/>
      <c r="P323" s="605"/>
      <c r="Q323" s="609">
        <v>54000</v>
      </c>
      <c r="R323" s="609">
        <v>0</v>
      </c>
      <c r="S323" s="609">
        <v>54000</v>
      </c>
      <c r="V323" s="600"/>
    </row>
    <row r="324" spans="1:22" s="599" customFormat="1" x14ac:dyDescent="0.6">
      <c r="A324" s="61">
        <v>35</v>
      </c>
      <c r="B324" s="290" t="s">
        <v>463</v>
      </c>
      <c r="C324" s="63" t="s">
        <v>464</v>
      </c>
      <c r="D324" s="452"/>
      <c r="E324" s="443" t="s">
        <v>795</v>
      </c>
      <c r="F324" s="443"/>
      <c r="G324" s="66"/>
      <c r="H324" s="67">
        <v>1064.44</v>
      </c>
      <c r="I324" s="67">
        <v>0</v>
      </c>
      <c r="J324" s="67">
        <v>1064.44</v>
      </c>
      <c r="K324" s="449"/>
      <c r="L324" s="450"/>
      <c r="M324" s="451"/>
      <c r="N324" s="69" t="s">
        <v>795</v>
      </c>
      <c r="O324" s="69"/>
      <c r="P324" s="70"/>
      <c r="Q324" s="71">
        <f>SUM(S324)</f>
        <v>1064.44</v>
      </c>
      <c r="R324" s="71">
        <v>0</v>
      </c>
      <c r="S324" s="387">
        <f>SUM(D324+J324-M324)</f>
        <v>1064.44</v>
      </c>
      <c r="V324" s="600"/>
    </row>
    <row r="325" spans="1:22" s="599" customFormat="1" x14ac:dyDescent="0.6">
      <c r="A325" s="646"/>
      <c r="B325" s="647"/>
      <c r="C325" s="647"/>
      <c r="D325" s="648"/>
      <c r="E325" s="649"/>
      <c r="F325" s="649"/>
      <c r="G325" s="650"/>
      <c r="H325" s="651"/>
      <c r="I325" s="651"/>
      <c r="J325" s="651"/>
      <c r="K325" s="1017"/>
      <c r="L325" s="1017"/>
      <c r="M325" s="1018"/>
      <c r="N325" s="649"/>
      <c r="O325" s="649"/>
      <c r="P325" s="650"/>
      <c r="Q325" s="609"/>
      <c r="R325" s="609"/>
      <c r="S325" s="609"/>
      <c r="V325" s="600"/>
    </row>
    <row r="326" spans="1:22" s="599" customFormat="1" x14ac:dyDescent="0.6">
      <c r="A326" s="610">
        <v>3</v>
      </c>
      <c r="B326" s="611" t="s">
        <v>521</v>
      </c>
      <c r="C326" s="611" t="s">
        <v>522</v>
      </c>
      <c r="D326" s="612">
        <v>0</v>
      </c>
      <c r="E326" s="613"/>
      <c r="F326" s="613"/>
      <c r="G326" s="614"/>
      <c r="H326" s="615">
        <v>0</v>
      </c>
      <c r="I326" s="615">
        <v>0</v>
      </c>
      <c r="J326" s="615">
        <v>0</v>
      </c>
      <c r="K326" s="616"/>
      <c r="L326" s="616"/>
      <c r="M326" s="617"/>
      <c r="N326" s="618"/>
      <c r="O326" s="618"/>
      <c r="P326" s="614"/>
      <c r="Q326" s="609">
        <v>0</v>
      </c>
      <c r="R326" s="609">
        <v>0</v>
      </c>
      <c r="S326" s="609">
        <v>0</v>
      </c>
      <c r="V326" s="600"/>
    </row>
    <row r="327" spans="1:22" s="599" customFormat="1" ht="24" thickBot="1" x14ac:dyDescent="0.65">
      <c r="A327" s="619"/>
      <c r="B327" s="620" t="s">
        <v>1184</v>
      </c>
      <c r="C327" s="621"/>
      <c r="D327" s="622">
        <v>0</v>
      </c>
      <c r="E327" s="623"/>
      <c r="F327" s="623"/>
      <c r="G327" s="624"/>
      <c r="H327" s="625">
        <v>54000</v>
      </c>
      <c r="I327" s="625">
        <v>0</v>
      </c>
      <c r="J327" s="625">
        <v>54000</v>
      </c>
      <c r="K327" s="624"/>
      <c r="L327" s="624"/>
      <c r="M327" s="622">
        <v>0</v>
      </c>
      <c r="N327" s="623"/>
      <c r="O327" s="623"/>
      <c r="P327" s="624"/>
      <c r="Q327" s="626">
        <v>54000</v>
      </c>
      <c r="R327" s="626">
        <v>0</v>
      </c>
      <c r="S327" s="626">
        <v>54000</v>
      </c>
      <c r="T327" s="627">
        <v>2034140.3755999999</v>
      </c>
      <c r="V327" s="600"/>
    </row>
    <row r="328" spans="1:22" s="636" customFormat="1" ht="24" thickTop="1" x14ac:dyDescent="0.6">
      <c r="A328" s="628"/>
      <c r="B328" s="629"/>
      <c r="C328" s="630"/>
      <c r="D328" s="631"/>
      <c r="E328" s="632"/>
      <c r="F328" s="632"/>
      <c r="G328" s="633"/>
      <c r="H328" s="634"/>
      <c r="I328" s="634"/>
      <c r="J328" s="634"/>
      <c r="K328" s="633"/>
      <c r="L328" s="633"/>
      <c r="M328" s="631"/>
      <c r="N328" s="632"/>
      <c r="O328" s="632"/>
      <c r="P328" s="633"/>
      <c r="Q328" s="635"/>
      <c r="R328" s="635"/>
      <c r="S328" s="635"/>
      <c r="V328" s="637"/>
    </row>
    <row r="329" spans="1:22" s="636" customFormat="1" x14ac:dyDescent="0.6">
      <c r="A329" s="1128" t="s">
        <v>524</v>
      </c>
      <c r="B329" s="1128"/>
      <c r="C329" s="1128"/>
      <c r="D329" s="1128"/>
      <c r="E329" s="1128"/>
      <c r="F329" s="1128"/>
      <c r="G329" s="1128"/>
      <c r="H329" s="1128"/>
      <c r="I329" s="1128"/>
      <c r="J329" s="1128"/>
      <c r="K329" s="1128"/>
      <c r="L329" s="1128"/>
      <c r="M329" s="1128"/>
      <c r="N329" s="1128"/>
      <c r="O329" s="1128"/>
      <c r="P329" s="1128"/>
      <c r="Q329" s="1128"/>
      <c r="R329" s="1128"/>
      <c r="S329" s="1128"/>
      <c r="V329" s="637"/>
    </row>
    <row r="330" spans="1:22" s="599" customFormat="1" x14ac:dyDescent="0.6">
      <c r="A330" s="638">
        <v>1</v>
      </c>
      <c r="B330" s="639" t="s">
        <v>519</v>
      </c>
      <c r="C330" s="639" t="s">
        <v>518</v>
      </c>
      <c r="D330" s="640">
        <v>5600</v>
      </c>
      <c r="E330" s="641" t="s">
        <v>1412</v>
      </c>
      <c r="F330" s="641"/>
      <c r="G330" s="642">
        <v>17</v>
      </c>
      <c r="H330" s="643">
        <v>95200</v>
      </c>
      <c r="I330" s="643">
        <v>0</v>
      </c>
      <c r="J330" s="643">
        <v>95200</v>
      </c>
      <c r="K330" s="884"/>
      <c r="L330" s="884"/>
      <c r="M330" s="884"/>
      <c r="N330" s="884" t="s">
        <v>1694</v>
      </c>
      <c r="O330" s="884" t="s">
        <v>1695</v>
      </c>
      <c r="P330" s="884" t="s">
        <v>1695</v>
      </c>
      <c r="Q330" s="643">
        <f>SUM(D330+J330-M330)</f>
        <v>100800</v>
      </c>
      <c r="R330" s="643">
        <v>0</v>
      </c>
      <c r="S330" s="643">
        <f>SUM(D330+J330-M330)</f>
        <v>100800</v>
      </c>
      <c r="V330" s="600"/>
    </row>
    <row r="331" spans="1:22" s="599" customFormat="1" x14ac:dyDescent="0.6">
      <c r="A331" s="646">
        <v>2</v>
      </c>
      <c r="B331" s="647" t="s">
        <v>521</v>
      </c>
      <c r="C331" s="647" t="s">
        <v>522</v>
      </c>
      <c r="D331" s="648">
        <v>8400</v>
      </c>
      <c r="E331" s="649"/>
      <c r="F331" s="649"/>
      <c r="G331" s="650"/>
      <c r="H331" s="651">
        <v>1.8189894035458565E-12</v>
      </c>
      <c r="I331" s="615">
        <v>0</v>
      </c>
      <c r="J331" s="615">
        <v>1.8189894035458565E-12</v>
      </c>
      <c r="K331" s="644" t="s">
        <v>1677</v>
      </c>
      <c r="L331" s="644" t="s">
        <v>1696</v>
      </c>
      <c r="M331" s="645">
        <v>8400</v>
      </c>
      <c r="N331" s="641"/>
      <c r="O331" s="641"/>
      <c r="P331" s="642"/>
      <c r="Q331" s="643">
        <f>SUM(D331+J331-M331)</f>
        <v>1.8189894035458565E-12</v>
      </c>
      <c r="R331" s="606">
        <v>0</v>
      </c>
      <c r="S331" s="643">
        <f>SUM(D331+J331-M331)</f>
        <v>1.8189894035458565E-12</v>
      </c>
      <c r="V331" s="600"/>
    </row>
    <row r="332" spans="1:22" s="599" customFormat="1" x14ac:dyDescent="0.6">
      <c r="A332" s="646"/>
      <c r="B332" s="653" t="s">
        <v>534</v>
      </c>
      <c r="C332" s="647"/>
      <c r="D332" s="648"/>
      <c r="E332" s="649"/>
      <c r="F332" s="649"/>
      <c r="G332" s="650"/>
      <c r="H332" s="651"/>
      <c r="I332" s="651"/>
      <c r="J332" s="651"/>
      <c r="K332" s="30"/>
      <c r="L332" s="249"/>
      <c r="M332" s="221"/>
      <c r="N332" s="652"/>
      <c r="O332" s="652"/>
      <c r="P332" s="373"/>
      <c r="Q332" s="651"/>
      <c r="R332" s="651"/>
      <c r="S332" s="651"/>
      <c r="V332" s="600"/>
    </row>
    <row r="333" spans="1:22" s="599" customFormat="1" ht="24" thickBot="1" x14ac:dyDescent="0.65">
      <c r="A333" s="619"/>
      <c r="B333" s="620" t="s">
        <v>535</v>
      </c>
      <c r="C333" s="621"/>
      <c r="D333" s="622">
        <v>14000</v>
      </c>
      <c r="E333" s="623"/>
      <c r="F333" s="623"/>
      <c r="G333" s="624"/>
      <c r="H333" s="625">
        <f>SUM(H330:H332)-H331</f>
        <v>95200</v>
      </c>
      <c r="I333" s="625">
        <f>SUM(I330:I332)-I331</f>
        <v>0</v>
      </c>
      <c r="J333" s="625">
        <f>SUM(J330:J332)-J331</f>
        <v>95200</v>
      </c>
      <c r="K333" s="625"/>
      <c r="L333" s="625"/>
      <c r="M333" s="625">
        <f>SUM(M331:M332)</f>
        <v>8400</v>
      </c>
      <c r="N333" s="625"/>
      <c r="O333" s="625"/>
      <c r="P333" s="625"/>
      <c r="Q333" s="625">
        <f>SUM(Q330:Q332)</f>
        <v>100800</v>
      </c>
      <c r="R333" s="625">
        <f>SUM(R330:R332)</f>
        <v>0</v>
      </c>
      <c r="S333" s="625">
        <f>SUM(S330:S332)</f>
        <v>100800</v>
      </c>
      <c r="V333" s="600"/>
    </row>
    <row r="334" spans="1:22" ht="22.5" customHeight="1" thickTop="1" x14ac:dyDescent="0.3">
      <c r="E334" s="469"/>
      <c r="F334" s="469"/>
      <c r="G334" s="470"/>
      <c r="H334" s="3"/>
      <c r="I334" s="3"/>
      <c r="J334" s="3"/>
      <c r="K334" s="584"/>
      <c r="L334" s="585"/>
      <c r="N334" s="470"/>
      <c r="O334" s="470"/>
      <c r="P334" s="586"/>
      <c r="Q334" s="471"/>
      <c r="R334" s="471"/>
      <c r="S334" s="472"/>
      <c r="T334" s="2"/>
    </row>
    <row r="335" spans="1:22" ht="22.5" customHeight="1" thickBot="1" x14ac:dyDescent="0.35">
      <c r="E335" s="469"/>
      <c r="F335" s="469"/>
      <c r="G335" s="470"/>
      <c r="H335" s="3"/>
      <c r="I335" s="3"/>
      <c r="J335" s="3"/>
      <c r="K335" s="584"/>
      <c r="L335" s="585"/>
      <c r="M335" s="657">
        <f>SUM(M299+M319+M327+M333)</f>
        <v>1171038.5099999998</v>
      </c>
      <c r="N335" s="470"/>
      <c r="O335" s="470"/>
      <c r="P335" s="586"/>
      <c r="Q335" s="1148" t="s">
        <v>536</v>
      </c>
      <c r="R335" s="1148"/>
      <c r="S335" s="658">
        <f>SUM(S299+S319+S327+S333)+0.01</f>
        <v>1902417.8052999999</v>
      </c>
      <c r="T335" s="2"/>
    </row>
    <row r="336" spans="1:22" ht="22.5" customHeight="1" thickTop="1" x14ac:dyDescent="0.5">
      <c r="B336" s="587" t="s">
        <v>537</v>
      </c>
      <c r="C336" s="587"/>
      <c r="D336" s="587"/>
      <c r="E336" s="587"/>
      <c r="F336" s="587"/>
      <c r="G336" s="587"/>
      <c r="H336" s="587"/>
      <c r="I336" s="587"/>
      <c r="J336" s="587"/>
      <c r="K336" s="587"/>
      <c r="N336" s="3"/>
      <c r="O336" s="3"/>
      <c r="P336" s="470"/>
      <c r="Q336" s="471"/>
      <c r="R336" s="471"/>
      <c r="S336" s="472"/>
    </row>
    <row r="337" spans="2:19" x14ac:dyDescent="0.5">
      <c r="B337" s="1129" t="s">
        <v>538</v>
      </c>
      <c r="C337" s="1129"/>
      <c r="D337" s="1129"/>
      <c r="E337" s="1129"/>
      <c r="F337" s="1129"/>
      <c r="G337" s="1129"/>
      <c r="H337" s="1129"/>
      <c r="I337" s="1129"/>
      <c r="J337" s="1129"/>
      <c r="K337" s="1129"/>
      <c r="N337" s="3"/>
      <c r="O337" s="3"/>
      <c r="P337" s="470"/>
      <c r="Q337" s="471"/>
      <c r="R337" s="471"/>
      <c r="S337" s="472"/>
    </row>
    <row r="338" spans="2:19" x14ac:dyDescent="0.5">
      <c r="B338" s="1129" t="s">
        <v>539</v>
      </c>
      <c r="C338" s="1129"/>
      <c r="D338" s="1129"/>
      <c r="E338" s="1129"/>
      <c r="F338" s="1129"/>
      <c r="G338" s="1129"/>
      <c r="H338" s="1129"/>
      <c r="I338" s="1129"/>
      <c r="J338" s="1129"/>
      <c r="K338" s="1129"/>
      <c r="N338" s="3"/>
      <c r="O338" s="3"/>
      <c r="P338" s="470"/>
      <c r="Q338" s="471"/>
      <c r="R338" s="471"/>
      <c r="S338" s="472"/>
    </row>
    <row r="339" spans="2:19" x14ac:dyDescent="0.3">
      <c r="E339" s="469"/>
      <c r="F339" s="469"/>
      <c r="G339" s="470"/>
      <c r="H339" s="3"/>
      <c r="I339" s="3"/>
      <c r="J339" s="3"/>
      <c r="N339" s="3"/>
      <c r="O339" s="3"/>
      <c r="P339" s="470"/>
      <c r="Q339" s="471"/>
      <c r="R339" s="471"/>
      <c r="S339" s="472"/>
    </row>
    <row r="340" spans="2:19" x14ac:dyDescent="0.3">
      <c r="E340" s="469"/>
      <c r="F340" s="469"/>
      <c r="G340" s="470"/>
      <c r="H340" s="3"/>
      <c r="I340" s="3"/>
      <c r="J340" s="3"/>
      <c r="N340" s="3"/>
      <c r="O340" s="3"/>
      <c r="P340" s="470"/>
      <c r="Q340" s="471"/>
      <c r="R340" s="471"/>
      <c r="S340" s="472"/>
    </row>
    <row r="341" spans="2:19" x14ac:dyDescent="0.3">
      <c r="E341" s="469"/>
      <c r="F341" s="469"/>
      <c r="G341" s="470"/>
      <c r="H341" s="3"/>
      <c r="I341" s="3"/>
      <c r="J341" s="3"/>
      <c r="N341" s="3"/>
      <c r="O341" s="3"/>
      <c r="P341" s="470"/>
      <c r="Q341" s="471"/>
      <c r="R341" s="471"/>
      <c r="S341" s="472"/>
    </row>
    <row r="342" spans="2:19" x14ac:dyDescent="0.3">
      <c r="E342" s="469"/>
      <c r="F342" s="469"/>
      <c r="G342" s="470"/>
      <c r="H342" s="3"/>
      <c r="I342" s="3"/>
      <c r="J342" s="3"/>
      <c r="N342" s="3"/>
      <c r="O342" s="3"/>
      <c r="P342" s="470"/>
      <c r="Q342" s="471"/>
      <c r="R342" s="471"/>
      <c r="S342" s="472"/>
    </row>
    <row r="343" spans="2:19" x14ac:dyDescent="0.3">
      <c r="E343" s="469"/>
      <c r="F343" s="469"/>
      <c r="G343" s="470"/>
      <c r="H343" s="3"/>
      <c r="I343" s="3"/>
      <c r="J343" s="3"/>
      <c r="N343" s="3"/>
      <c r="O343" s="3"/>
      <c r="P343" s="470"/>
      <c r="Q343" s="471"/>
      <c r="R343" s="471"/>
      <c r="S343" s="472"/>
    </row>
    <row r="344" spans="2:19" x14ac:dyDescent="0.3">
      <c r="E344" s="469"/>
      <c r="F344" s="469"/>
      <c r="G344" s="470"/>
      <c r="H344" s="3"/>
      <c r="I344" s="3"/>
      <c r="J344" s="3"/>
      <c r="N344" s="3"/>
      <c r="O344" s="3"/>
      <c r="P344" s="470"/>
      <c r="Q344" s="471"/>
      <c r="R344" s="471"/>
      <c r="S344" s="472"/>
    </row>
    <row r="345" spans="2:19" x14ac:dyDescent="0.3">
      <c r="E345" s="469"/>
      <c r="F345" s="469"/>
      <c r="G345" s="470"/>
      <c r="H345" s="3"/>
      <c r="I345" s="3"/>
      <c r="J345" s="3"/>
      <c r="N345" s="3"/>
      <c r="O345" s="3"/>
      <c r="P345" s="470"/>
      <c r="Q345" s="471"/>
      <c r="R345" s="471"/>
      <c r="S345" s="472"/>
    </row>
  </sheetData>
  <mergeCells count="22">
    <mergeCell ref="B338:K338"/>
    <mergeCell ref="E5:E6"/>
    <mergeCell ref="G5:G6"/>
    <mergeCell ref="H5:J5"/>
    <mergeCell ref="N5:N6"/>
    <mergeCell ref="A301:S301"/>
    <mergeCell ref="A321:S321"/>
    <mergeCell ref="A329:S329"/>
    <mergeCell ref="Q335:R335"/>
    <mergeCell ref="B337:K337"/>
    <mergeCell ref="P5:P6"/>
    <mergeCell ref="Q5:S5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7" right="0.7" top="0.75" bottom="0.75" header="0.3" footer="0.3"/>
  <pageSetup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CFF9-4CE5-444C-9F15-D765FDEEC39F}">
  <sheetPr>
    <tabColor rgb="FF92D050"/>
  </sheetPr>
  <dimension ref="A1:AB167"/>
  <sheetViews>
    <sheetView zoomScale="80" zoomScaleNormal="80" workbookViewId="0">
      <pane ySplit="6" topLeftCell="A93" activePane="bottomLeft" state="frozen"/>
      <selection pane="bottomLeft" activeCell="H105" sqref="H105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2.44140625" style="88" customWidth="1"/>
    <col min="5" max="5" width="18.6640625" style="88" customWidth="1"/>
    <col min="6" max="6" width="16.33203125" style="88" customWidth="1"/>
    <col min="7" max="7" width="7.109375" style="3" customWidth="1"/>
    <col min="8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8" ht="22.5" customHeight="1" x14ac:dyDescent="0.3">
      <c r="A3" s="1110" t="s">
        <v>1547</v>
      </c>
      <c r="B3" s="1111"/>
      <c r="C3" s="1111"/>
      <c r="D3" s="1111"/>
      <c r="E3" s="1111"/>
      <c r="F3" s="1111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8" ht="22.5" customHeight="1" x14ac:dyDescent="0.3">
      <c r="A5" s="1113"/>
      <c r="B5" s="1113"/>
      <c r="C5" s="1116"/>
      <c r="D5" s="5"/>
      <c r="E5" s="6"/>
      <c r="F5" s="6"/>
    </row>
    <row r="6" spans="1:8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8" ht="22.5" customHeight="1" x14ac:dyDescent="0.3">
      <c r="A7" s="11"/>
      <c r="B7" s="12" t="s">
        <v>19</v>
      </c>
      <c r="C7" s="13"/>
      <c r="D7" s="18"/>
      <c r="E7" s="18"/>
      <c r="F7" s="14"/>
    </row>
    <row r="8" spans="1:8" ht="22.5" customHeight="1" x14ac:dyDescent="0.5">
      <c r="A8" s="23">
        <v>1</v>
      </c>
      <c r="B8" s="24" t="s">
        <v>20</v>
      </c>
      <c r="C8" s="25" t="s">
        <v>21</v>
      </c>
      <c r="D8" s="30" t="s">
        <v>1548</v>
      </c>
      <c r="E8" s="31" t="s">
        <v>1549</v>
      </c>
      <c r="F8" s="32">
        <v>5417.74</v>
      </c>
    </row>
    <row r="9" spans="1:8" ht="22.5" customHeight="1" x14ac:dyDescent="0.5">
      <c r="A9" s="23">
        <v>2</v>
      </c>
      <c r="B9" s="24" t="s">
        <v>24</v>
      </c>
      <c r="C9" s="25" t="s">
        <v>25</v>
      </c>
      <c r="D9" s="30" t="s">
        <v>1550</v>
      </c>
      <c r="E9" s="31" t="s">
        <v>1551</v>
      </c>
      <c r="F9" s="32">
        <v>1400.3</v>
      </c>
    </row>
    <row r="10" spans="1:8" ht="22.5" customHeight="1" x14ac:dyDescent="0.5">
      <c r="A10" s="23">
        <v>3</v>
      </c>
      <c r="B10" s="24" t="s">
        <v>27</v>
      </c>
      <c r="C10" s="25" t="s">
        <v>28</v>
      </c>
      <c r="D10" s="38" t="s">
        <v>1552</v>
      </c>
      <c r="E10" s="39" t="s">
        <v>1553</v>
      </c>
      <c r="F10" s="40">
        <v>802.5</v>
      </c>
    </row>
    <row r="11" spans="1:8" ht="22.5" customHeight="1" x14ac:dyDescent="0.5">
      <c r="A11" s="23">
        <v>4</v>
      </c>
      <c r="B11" s="24" t="s">
        <v>30</v>
      </c>
      <c r="C11" s="25" t="s">
        <v>31</v>
      </c>
      <c r="D11" s="30" t="s">
        <v>1554</v>
      </c>
      <c r="E11" s="31" t="s">
        <v>1555</v>
      </c>
      <c r="F11" s="32">
        <v>1155.5999999999999</v>
      </c>
    </row>
    <row r="12" spans="1:8" s="60" customFormat="1" ht="22.5" customHeight="1" thickBot="1" x14ac:dyDescent="0.35">
      <c r="A12" s="48"/>
      <c r="B12" s="48" t="s">
        <v>15</v>
      </c>
      <c r="C12" s="49"/>
      <c r="D12" s="54"/>
      <c r="E12" s="55"/>
      <c r="F12" s="998">
        <v>8776.14</v>
      </c>
      <c r="H12" s="683">
        <f>SUM(F8:F11)</f>
        <v>8776.14</v>
      </c>
    </row>
    <row r="13" spans="1:8" ht="22.5" customHeight="1" thickTop="1" x14ac:dyDescent="0.3">
      <c r="A13" s="61"/>
      <c r="B13" s="62" t="s">
        <v>37</v>
      </c>
      <c r="C13" s="63"/>
      <c r="D13" s="68"/>
      <c r="E13" s="68"/>
      <c r="F13" s="64"/>
    </row>
    <row r="14" spans="1:8" ht="22.5" customHeight="1" x14ac:dyDescent="0.5">
      <c r="A14" s="23">
        <v>1</v>
      </c>
      <c r="B14" s="73" t="s">
        <v>38</v>
      </c>
      <c r="C14" s="25" t="s">
        <v>39</v>
      </c>
      <c r="D14" s="30" t="s">
        <v>1556</v>
      </c>
      <c r="E14" s="31" t="s">
        <v>1557</v>
      </c>
      <c r="F14" s="32">
        <v>1284</v>
      </c>
    </row>
    <row r="15" spans="1:8" ht="22.5" customHeight="1" x14ac:dyDescent="0.5">
      <c r="A15" s="23">
        <v>2</v>
      </c>
      <c r="B15" s="73" t="s">
        <v>42</v>
      </c>
      <c r="C15" s="25" t="s">
        <v>43</v>
      </c>
      <c r="D15" s="30" t="s">
        <v>1550</v>
      </c>
      <c r="E15" s="31" t="s">
        <v>1558</v>
      </c>
      <c r="F15" s="32">
        <v>1797.6</v>
      </c>
    </row>
    <row r="16" spans="1:8" ht="22.5" customHeight="1" x14ac:dyDescent="0.5">
      <c r="A16" s="23">
        <v>3</v>
      </c>
      <c r="B16" s="73" t="s">
        <v>45</v>
      </c>
      <c r="C16" s="25" t="s">
        <v>46</v>
      </c>
      <c r="D16" s="30" t="s">
        <v>1559</v>
      </c>
      <c r="E16" s="31" t="s">
        <v>1560</v>
      </c>
      <c r="F16" s="32">
        <v>1027.2</v>
      </c>
    </row>
    <row r="17" spans="1:8" ht="22.5" customHeight="1" x14ac:dyDescent="0.5">
      <c r="A17" s="23">
        <v>4</v>
      </c>
      <c r="B17" s="73" t="s">
        <v>48</v>
      </c>
      <c r="C17" s="25" t="s">
        <v>49</v>
      </c>
      <c r="D17" s="30" t="s">
        <v>1562</v>
      </c>
      <c r="E17" s="31" t="s">
        <v>1563</v>
      </c>
      <c r="F17" s="32">
        <v>2551.9499999999998</v>
      </c>
    </row>
    <row r="18" spans="1:8" ht="22.5" customHeight="1" x14ac:dyDescent="0.5">
      <c r="A18" s="23">
        <v>5</v>
      </c>
      <c r="B18" s="73" t="s">
        <v>51</v>
      </c>
      <c r="C18" s="25" t="s">
        <v>52</v>
      </c>
      <c r="D18" s="30" t="s">
        <v>1554</v>
      </c>
      <c r="E18" s="31" t="s">
        <v>1564</v>
      </c>
      <c r="F18" s="32">
        <v>4670.55</v>
      </c>
    </row>
    <row r="19" spans="1:8" ht="22.5" customHeight="1" x14ac:dyDescent="0.5">
      <c r="A19" s="23">
        <v>6</v>
      </c>
      <c r="B19" s="73" t="s">
        <v>30</v>
      </c>
      <c r="C19" s="25" t="s">
        <v>31</v>
      </c>
      <c r="D19" s="30" t="s">
        <v>1554</v>
      </c>
      <c r="E19" s="31" t="s">
        <v>1565</v>
      </c>
      <c r="F19" s="32">
        <v>6420</v>
      </c>
    </row>
    <row r="20" spans="1:8" ht="22.5" customHeight="1" x14ac:dyDescent="0.5">
      <c r="A20" s="23">
        <v>7</v>
      </c>
      <c r="B20" s="78" t="s">
        <v>54</v>
      </c>
      <c r="C20" s="25" t="s">
        <v>55</v>
      </c>
      <c r="D20" s="38" t="s">
        <v>1566</v>
      </c>
      <c r="E20" s="39" t="s">
        <v>1567</v>
      </c>
      <c r="F20" s="40">
        <v>1637.1</v>
      </c>
    </row>
    <row r="21" spans="1:8" ht="22.5" customHeight="1" x14ac:dyDescent="0.5">
      <c r="A21" s="23">
        <v>8</v>
      </c>
      <c r="B21" s="78" t="s">
        <v>56</v>
      </c>
      <c r="C21" s="81" t="s">
        <v>57</v>
      </c>
      <c r="D21" s="38" t="s">
        <v>1559</v>
      </c>
      <c r="E21" s="39" t="s">
        <v>1568</v>
      </c>
      <c r="F21" s="40">
        <v>722.25</v>
      </c>
    </row>
    <row r="22" spans="1:8" ht="22.5" customHeight="1" x14ac:dyDescent="0.5">
      <c r="A22" s="23">
        <v>9</v>
      </c>
      <c r="B22" s="78" t="s">
        <v>59</v>
      </c>
      <c r="C22" s="83" t="s">
        <v>60</v>
      </c>
      <c r="D22" s="38" t="s">
        <v>1569</v>
      </c>
      <c r="E22" s="39" t="s">
        <v>1570</v>
      </c>
      <c r="F22" s="40">
        <v>21400</v>
      </c>
    </row>
    <row r="23" spans="1:8" s="88" customFormat="1" ht="22.5" customHeight="1" x14ac:dyDescent="0.5">
      <c r="A23" s="23">
        <v>10</v>
      </c>
      <c r="B23" s="84" t="s">
        <v>62</v>
      </c>
      <c r="C23" s="85" t="s">
        <v>28</v>
      </c>
      <c r="D23" s="38" t="s">
        <v>1552</v>
      </c>
      <c r="E23" s="39" t="s">
        <v>1571</v>
      </c>
      <c r="F23" s="40">
        <v>856</v>
      </c>
    </row>
    <row r="24" spans="1:8" ht="22.5" customHeight="1" x14ac:dyDescent="0.5">
      <c r="A24" s="23">
        <v>11</v>
      </c>
      <c r="B24" s="89" t="s">
        <v>64</v>
      </c>
      <c r="C24" s="90" t="s">
        <v>65</v>
      </c>
      <c r="D24" s="38" t="s">
        <v>1550</v>
      </c>
      <c r="E24" s="39" t="s">
        <v>1572</v>
      </c>
      <c r="F24" s="40">
        <v>21400</v>
      </c>
    </row>
    <row r="25" spans="1:8" ht="22.5" customHeight="1" x14ac:dyDescent="0.5">
      <c r="A25" s="23">
        <v>12</v>
      </c>
      <c r="B25" s="94" t="s">
        <v>67</v>
      </c>
      <c r="C25" s="95" t="s">
        <v>68</v>
      </c>
      <c r="D25" s="38" t="s">
        <v>1569</v>
      </c>
      <c r="E25" s="39" t="s">
        <v>1573</v>
      </c>
      <c r="F25" s="40">
        <v>3210</v>
      </c>
    </row>
    <row r="26" spans="1:8" ht="22.5" customHeight="1" x14ac:dyDescent="0.5">
      <c r="A26" s="23">
        <v>13</v>
      </c>
      <c r="B26" s="99" t="s">
        <v>70</v>
      </c>
      <c r="C26" s="100" t="s">
        <v>60</v>
      </c>
      <c r="D26" s="101" t="s">
        <v>1569</v>
      </c>
      <c r="E26" s="102" t="s">
        <v>1574</v>
      </c>
      <c r="F26" s="103">
        <v>3210</v>
      </c>
    </row>
    <row r="27" spans="1:8" s="60" customFormat="1" ht="22.5" customHeight="1" thickBot="1" x14ac:dyDescent="0.35">
      <c r="A27" s="48"/>
      <c r="B27" s="48" t="s">
        <v>15</v>
      </c>
      <c r="C27" s="49"/>
      <c r="D27" s="104"/>
      <c r="E27" s="104"/>
      <c r="F27" s="999">
        <v>70186.649999999994</v>
      </c>
      <c r="H27" s="683">
        <f>SUM(F14:F26)</f>
        <v>70186.649999999994</v>
      </c>
    </row>
    <row r="28" spans="1:8" ht="22.5" customHeight="1" thickTop="1" x14ac:dyDescent="0.3">
      <c r="A28" s="61"/>
      <c r="B28" s="62" t="s">
        <v>71</v>
      </c>
      <c r="C28" s="63"/>
      <c r="D28" s="68"/>
      <c r="E28" s="68"/>
      <c r="F28" s="64"/>
    </row>
    <row r="29" spans="1:8" ht="22.5" customHeight="1" x14ac:dyDescent="0.5">
      <c r="A29" s="23">
        <v>1</v>
      </c>
      <c r="B29" s="73" t="s">
        <v>72</v>
      </c>
      <c r="C29" s="25" t="s">
        <v>73</v>
      </c>
      <c r="D29" s="38" t="s">
        <v>1550</v>
      </c>
      <c r="E29" s="39" t="s">
        <v>1575</v>
      </c>
      <c r="F29" s="32">
        <v>4686.6000000000004</v>
      </c>
    </row>
    <row r="30" spans="1:8" ht="22.5" customHeight="1" x14ac:dyDescent="0.5">
      <c r="A30" s="115">
        <v>2</v>
      </c>
      <c r="B30" s="4" t="s">
        <v>75</v>
      </c>
      <c r="C30" s="25" t="s">
        <v>76</v>
      </c>
      <c r="D30" s="101" t="s">
        <v>1562</v>
      </c>
      <c r="E30" s="102" t="s">
        <v>1576</v>
      </c>
      <c r="F30" s="103">
        <v>14445</v>
      </c>
    </row>
    <row r="31" spans="1:8" s="60" customFormat="1" ht="22.5" customHeight="1" thickBot="1" x14ac:dyDescent="0.35">
      <c r="A31" s="48"/>
      <c r="B31" s="48" t="s">
        <v>15</v>
      </c>
      <c r="C31" s="49"/>
      <c r="D31" s="50"/>
      <c r="E31" s="50">
        <v>0</v>
      </c>
      <c r="F31" s="998">
        <v>19131.599999999999</v>
      </c>
      <c r="H31" s="683">
        <f>SUM(F29:F30)</f>
        <v>19131.599999999999</v>
      </c>
    </row>
    <row r="32" spans="1:8" ht="22.5" customHeight="1" thickTop="1" x14ac:dyDescent="0.3">
      <c r="A32" s="61"/>
      <c r="B32" s="121" t="s">
        <v>78</v>
      </c>
      <c r="C32" s="63"/>
      <c r="D32" s="68"/>
      <c r="E32" s="68"/>
      <c r="F32" s="64"/>
    </row>
    <row r="33" spans="1:28" s="134" customFormat="1" ht="22.5" customHeight="1" x14ac:dyDescent="0.6">
      <c r="A33" s="122">
        <v>1</v>
      </c>
      <c r="B33" s="123" t="s">
        <v>79</v>
      </c>
      <c r="C33" s="124" t="s">
        <v>60</v>
      </c>
      <c r="D33" s="38" t="s">
        <v>1569</v>
      </c>
      <c r="E33" s="39" t="s">
        <v>1577</v>
      </c>
      <c r="F33" s="40">
        <v>5350</v>
      </c>
      <c r="G33" s="131"/>
      <c r="H33" s="132"/>
      <c r="I33" s="131"/>
      <c r="J33" s="132"/>
      <c r="K33" s="132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</row>
    <row r="34" spans="1:28" s="134" customFormat="1" ht="22.5" customHeight="1" x14ac:dyDescent="0.6">
      <c r="A34" s="122">
        <v>2</v>
      </c>
      <c r="B34" s="123" t="s">
        <v>80</v>
      </c>
      <c r="C34" s="124" t="s">
        <v>65</v>
      </c>
      <c r="D34" s="38" t="s">
        <v>1550</v>
      </c>
      <c r="E34" s="39" t="s">
        <v>1578</v>
      </c>
      <c r="F34" s="40">
        <v>5350</v>
      </c>
      <c r="G34" s="131"/>
      <c r="H34" s="132"/>
      <c r="I34" s="131"/>
      <c r="J34" s="132"/>
      <c r="K34" s="132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</row>
    <row r="35" spans="1:28" s="60" customFormat="1" ht="22.5" customHeight="1" thickBot="1" x14ac:dyDescent="0.35">
      <c r="A35" s="48"/>
      <c r="B35" s="48" t="s">
        <v>15</v>
      </c>
      <c r="C35" s="49"/>
      <c r="D35" s="109"/>
      <c r="E35" s="109"/>
      <c r="F35" s="1000">
        <v>10700</v>
      </c>
      <c r="H35" s="683">
        <f>SUM(F33:F34)</f>
        <v>10700</v>
      </c>
    </row>
    <row r="36" spans="1:28" ht="22.5" customHeight="1" thickTop="1" x14ac:dyDescent="0.3">
      <c r="A36" s="139"/>
      <c r="B36" s="140" t="s">
        <v>81</v>
      </c>
      <c r="C36" s="141"/>
      <c r="D36" s="68"/>
      <c r="E36" s="68"/>
      <c r="F36" s="64"/>
    </row>
    <row r="37" spans="1:28" ht="22.5" customHeight="1" x14ac:dyDescent="0.5">
      <c r="A37" s="148">
        <v>1</v>
      </c>
      <c r="B37" s="149" t="s">
        <v>82</v>
      </c>
      <c r="C37" s="90" t="s">
        <v>1579</v>
      </c>
      <c r="D37" s="30" t="s">
        <v>1580</v>
      </c>
      <c r="E37" s="31" t="s">
        <v>1581</v>
      </c>
      <c r="F37" s="32">
        <v>6955</v>
      </c>
    </row>
    <row r="38" spans="1:28" ht="22.5" customHeight="1" x14ac:dyDescent="0.5">
      <c r="A38" s="970">
        <v>2</v>
      </c>
      <c r="B38" s="971" t="s">
        <v>1582</v>
      </c>
      <c r="C38" s="972" t="s">
        <v>1579</v>
      </c>
      <c r="D38" s="980" t="s">
        <v>1550</v>
      </c>
      <c r="E38" s="981" t="s">
        <v>1583</v>
      </c>
      <c r="F38" s="977">
        <v>10700</v>
      </c>
    </row>
    <row r="39" spans="1:28" s="60" customFormat="1" ht="22.5" customHeight="1" thickBot="1" x14ac:dyDescent="0.35">
      <c r="A39" s="158"/>
      <c r="B39" s="158" t="s">
        <v>15</v>
      </c>
      <c r="C39" s="159"/>
      <c r="D39" s="161"/>
      <c r="E39" s="161"/>
      <c r="F39" s="1001">
        <v>17655</v>
      </c>
      <c r="H39" s="683">
        <f>SUM(F37:F38)</f>
        <v>17655</v>
      </c>
    </row>
    <row r="40" spans="1:28" ht="22.5" customHeight="1" thickTop="1" x14ac:dyDescent="0.3">
      <c r="A40" s="115"/>
      <c r="B40" s="164" t="s">
        <v>85</v>
      </c>
      <c r="C40" s="165"/>
      <c r="D40" s="170"/>
      <c r="E40" s="170"/>
      <c r="F40" s="171"/>
    </row>
    <row r="41" spans="1:28" ht="22.5" customHeight="1" x14ac:dyDescent="0.3">
      <c r="A41" s="174">
        <v>1</v>
      </c>
      <c r="B41" s="175" t="s">
        <v>86</v>
      </c>
      <c r="C41" s="176" t="s">
        <v>87</v>
      </c>
      <c r="D41" s="182" t="s">
        <v>1552</v>
      </c>
      <c r="E41" s="183" t="s">
        <v>1586</v>
      </c>
      <c r="F41" s="184">
        <v>866.7</v>
      </c>
    </row>
    <row r="42" spans="1:28" ht="22.5" customHeight="1" x14ac:dyDescent="0.5">
      <c r="A42" s="174">
        <v>2</v>
      </c>
      <c r="B42" s="189" t="s">
        <v>89</v>
      </c>
      <c r="C42" s="190" t="s">
        <v>90</v>
      </c>
      <c r="D42" s="38" t="s">
        <v>1569</v>
      </c>
      <c r="E42" s="39" t="s">
        <v>1587</v>
      </c>
      <c r="F42" s="40">
        <v>3210</v>
      </c>
    </row>
    <row r="43" spans="1:28" s="60" customFormat="1" ht="22.5" customHeight="1" thickBot="1" x14ac:dyDescent="0.35">
      <c r="A43" s="194"/>
      <c r="B43" s="194" t="s">
        <v>15</v>
      </c>
      <c r="C43" s="195"/>
      <c r="D43" s="198"/>
      <c r="E43" s="199"/>
      <c r="F43" s="1002">
        <v>4076.7</v>
      </c>
      <c r="H43" s="683">
        <f>SUM(F41:F42)</f>
        <v>4076.7</v>
      </c>
    </row>
    <row r="44" spans="1:28" ht="22.5" customHeight="1" thickTop="1" x14ac:dyDescent="0.3">
      <c r="A44" s="61"/>
      <c r="B44" s="62" t="s">
        <v>92</v>
      </c>
      <c r="C44" s="63"/>
      <c r="D44" s="68"/>
      <c r="E44" s="68"/>
      <c r="F44" s="64"/>
    </row>
    <row r="45" spans="1:28" ht="22.5" customHeight="1" x14ac:dyDescent="0.5">
      <c r="A45" s="208">
        <v>1</v>
      </c>
      <c r="B45" s="209" t="s">
        <v>1588</v>
      </c>
      <c r="C45" s="210" t="s">
        <v>1589</v>
      </c>
      <c r="D45" s="30" t="s">
        <v>1552</v>
      </c>
      <c r="E45" s="31" t="s">
        <v>1590</v>
      </c>
      <c r="F45" s="32">
        <v>11277.8</v>
      </c>
    </row>
    <row r="46" spans="1:28" ht="22.5" customHeight="1" x14ac:dyDescent="0.5">
      <c r="A46" s="208"/>
      <c r="B46" s="209" t="s">
        <v>1588</v>
      </c>
      <c r="C46" s="210" t="s">
        <v>1591</v>
      </c>
      <c r="D46" s="30" t="s">
        <v>1552</v>
      </c>
      <c r="E46" s="31" t="s">
        <v>1590</v>
      </c>
      <c r="F46" s="32">
        <v>7211.8</v>
      </c>
    </row>
    <row r="47" spans="1:28" ht="22.5" customHeight="1" x14ac:dyDescent="0.5">
      <c r="A47" s="208">
        <v>2</v>
      </c>
      <c r="B47" s="73" t="s">
        <v>1592</v>
      </c>
      <c r="C47" s="25" t="s">
        <v>1593</v>
      </c>
      <c r="D47" s="30" t="s">
        <v>1559</v>
      </c>
      <c r="E47" s="220" t="s">
        <v>1594</v>
      </c>
      <c r="F47" s="221">
        <v>13899.3</v>
      </c>
    </row>
    <row r="48" spans="1:28" ht="22.5" customHeight="1" x14ac:dyDescent="0.5">
      <c r="A48" s="208">
        <v>3</v>
      </c>
      <c r="B48" s="73" t="s">
        <v>99</v>
      </c>
      <c r="C48" s="25" t="s">
        <v>567</v>
      </c>
      <c r="D48" s="30" t="s">
        <v>1554</v>
      </c>
      <c r="E48" s="31" t="s">
        <v>1595</v>
      </c>
      <c r="F48" s="32">
        <v>5103.8999999999996</v>
      </c>
    </row>
    <row r="49" spans="1:6" ht="22.5" customHeight="1" x14ac:dyDescent="0.5">
      <c r="A49" s="208"/>
      <c r="B49" s="24" t="s">
        <v>99</v>
      </c>
      <c r="C49" s="222" t="s">
        <v>1596</v>
      </c>
      <c r="D49" s="30" t="s">
        <v>1554</v>
      </c>
      <c r="E49" s="31" t="s">
        <v>1595</v>
      </c>
      <c r="F49" s="32">
        <v>246.1</v>
      </c>
    </row>
    <row r="50" spans="1:6" ht="22.5" customHeight="1" x14ac:dyDescent="0.5">
      <c r="A50" s="208">
        <v>4</v>
      </c>
      <c r="B50" s="73" t="s">
        <v>1597</v>
      </c>
      <c r="C50" s="25" t="s">
        <v>1598</v>
      </c>
      <c r="D50" s="30" t="s">
        <v>1554</v>
      </c>
      <c r="E50" s="31" t="s">
        <v>1599</v>
      </c>
      <c r="F50" s="32">
        <v>6505.6</v>
      </c>
    </row>
    <row r="51" spans="1:6" ht="22.5" customHeight="1" x14ac:dyDescent="0.5">
      <c r="A51" s="208"/>
      <c r="B51" s="73" t="s">
        <v>1597</v>
      </c>
      <c r="C51" s="25" t="s">
        <v>1600</v>
      </c>
      <c r="D51" s="30" t="s">
        <v>1554</v>
      </c>
      <c r="E51" s="31" t="s">
        <v>1599</v>
      </c>
      <c r="F51" s="32">
        <v>18061.599999999999</v>
      </c>
    </row>
    <row r="52" spans="1:6" ht="22.5" customHeight="1" x14ac:dyDescent="0.5">
      <c r="A52" s="208">
        <v>5</v>
      </c>
      <c r="B52" s="73" t="s">
        <v>105</v>
      </c>
      <c r="C52" s="25" t="s">
        <v>567</v>
      </c>
      <c r="D52" s="30" t="s">
        <v>1562</v>
      </c>
      <c r="E52" s="31" t="s">
        <v>1601</v>
      </c>
      <c r="F52" s="32">
        <v>11352.7</v>
      </c>
    </row>
    <row r="53" spans="1:6" ht="22.5" customHeight="1" x14ac:dyDescent="0.5">
      <c r="A53" s="208">
        <v>6</v>
      </c>
      <c r="B53" s="73" t="s">
        <v>1602</v>
      </c>
      <c r="C53" s="25" t="s">
        <v>1603</v>
      </c>
      <c r="D53" s="30" t="s">
        <v>1554</v>
      </c>
      <c r="E53" s="31" t="s">
        <v>1604</v>
      </c>
      <c r="F53" s="32">
        <v>535</v>
      </c>
    </row>
    <row r="54" spans="1:6" ht="22.5" customHeight="1" x14ac:dyDescent="0.5">
      <c r="A54" s="208">
        <v>7</v>
      </c>
      <c r="B54" s="209" t="s">
        <v>1605</v>
      </c>
      <c r="C54" s="210" t="s">
        <v>1606</v>
      </c>
      <c r="D54" s="30" t="s">
        <v>1556</v>
      </c>
      <c r="E54" s="31" t="s">
        <v>1607</v>
      </c>
      <c r="F54" s="32">
        <v>45047</v>
      </c>
    </row>
    <row r="55" spans="1:6" ht="22.5" customHeight="1" x14ac:dyDescent="0.5">
      <c r="A55" s="208">
        <v>8</v>
      </c>
      <c r="B55" s="73" t="s">
        <v>1608</v>
      </c>
      <c r="C55" s="25" t="s">
        <v>567</v>
      </c>
      <c r="D55" s="30" t="s">
        <v>1552</v>
      </c>
      <c r="E55" s="31" t="s">
        <v>1609</v>
      </c>
      <c r="F55" s="32">
        <v>9597.9</v>
      </c>
    </row>
    <row r="56" spans="1:6" ht="22.5" customHeight="1" x14ac:dyDescent="0.5">
      <c r="A56" s="208">
        <v>9</v>
      </c>
      <c r="B56" s="73" t="s">
        <v>353</v>
      </c>
      <c r="C56" s="25" t="s">
        <v>1610</v>
      </c>
      <c r="D56" s="30" t="s">
        <v>1611</v>
      </c>
      <c r="E56" s="31" t="s">
        <v>1612</v>
      </c>
      <c r="F56" s="32">
        <v>4237.2</v>
      </c>
    </row>
    <row r="57" spans="1:6" ht="22.5" customHeight="1" x14ac:dyDescent="0.5">
      <c r="A57" s="208">
        <v>10</v>
      </c>
      <c r="B57" s="73" t="s">
        <v>1614</v>
      </c>
      <c r="C57" s="25" t="s">
        <v>567</v>
      </c>
      <c r="D57" s="30" t="s">
        <v>1552</v>
      </c>
      <c r="E57" s="31" t="s">
        <v>1615</v>
      </c>
      <c r="F57" s="32">
        <v>1091.4000000000001</v>
      </c>
    </row>
    <row r="58" spans="1:6" ht="22.5" customHeight="1" x14ac:dyDescent="0.5">
      <c r="A58" s="208">
        <v>11</v>
      </c>
      <c r="B58" s="73" t="s">
        <v>1616</v>
      </c>
      <c r="C58" s="83" t="s">
        <v>1596</v>
      </c>
      <c r="D58" s="30" t="s">
        <v>1617</v>
      </c>
      <c r="E58" s="31" t="s">
        <v>1618</v>
      </c>
      <c r="F58" s="32">
        <v>5403.5</v>
      </c>
    </row>
    <row r="59" spans="1:6" ht="22.5" customHeight="1" x14ac:dyDescent="0.5">
      <c r="A59" s="208"/>
      <c r="B59" s="73" t="s">
        <v>1616</v>
      </c>
      <c r="C59" s="83" t="s">
        <v>567</v>
      </c>
      <c r="D59" s="30" t="s">
        <v>1617</v>
      </c>
      <c r="E59" s="31" t="s">
        <v>1618</v>
      </c>
      <c r="F59" s="32">
        <v>13268</v>
      </c>
    </row>
    <row r="60" spans="1:6" ht="22.5" customHeight="1" x14ac:dyDescent="0.5">
      <c r="A60" s="208">
        <v>12</v>
      </c>
      <c r="B60" s="73" t="s">
        <v>124</v>
      </c>
      <c r="C60" s="83" t="s">
        <v>567</v>
      </c>
      <c r="D60" s="30" t="s">
        <v>1566</v>
      </c>
      <c r="E60" s="31" t="s">
        <v>1619</v>
      </c>
      <c r="F60" s="32">
        <v>7393.7</v>
      </c>
    </row>
    <row r="61" spans="1:6" ht="22.5" customHeight="1" x14ac:dyDescent="0.5">
      <c r="A61" s="208">
        <v>14</v>
      </c>
      <c r="B61" s="78" t="s">
        <v>1622</v>
      </c>
      <c r="C61" s="210" t="s">
        <v>567</v>
      </c>
      <c r="D61" s="30" t="s">
        <v>1556</v>
      </c>
      <c r="E61" s="31" t="s">
        <v>1623</v>
      </c>
      <c r="F61" s="32">
        <v>5810.1</v>
      </c>
    </row>
    <row r="62" spans="1:6" ht="22.5" customHeight="1" x14ac:dyDescent="0.5">
      <c r="A62" s="208"/>
      <c r="B62" s="78" t="s">
        <v>1624</v>
      </c>
      <c r="C62" s="210" t="s">
        <v>1625</v>
      </c>
      <c r="D62" s="30" t="s">
        <v>1556</v>
      </c>
      <c r="E62" s="31" t="s">
        <v>1623</v>
      </c>
      <c r="F62" s="32">
        <v>10518.1</v>
      </c>
    </row>
    <row r="63" spans="1:6" ht="22.5" customHeight="1" x14ac:dyDescent="0.5">
      <c r="A63" s="208">
        <v>15</v>
      </c>
      <c r="B63" s="78" t="s">
        <v>134</v>
      </c>
      <c r="C63" s="165" t="s">
        <v>567</v>
      </c>
      <c r="D63" s="38" t="s">
        <v>1559</v>
      </c>
      <c r="E63" s="39" t="s">
        <v>1626</v>
      </c>
      <c r="F63" s="40">
        <v>1754.8</v>
      </c>
    </row>
    <row r="64" spans="1:6" s="229" customFormat="1" ht="22.5" customHeight="1" x14ac:dyDescent="0.5">
      <c r="A64" s="225">
        <v>16</v>
      </c>
      <c r="B64" s="226" t="s">
        <v>1627</v>
      </c>
      <c r="C64" s="227" t="s">
        <v>1610</v>
      </c>
      <c r="D64" s="38" t="s">
        <v>1556</v>
      </c>
      <c r="E64" s="39" t="s">
        <v>1628</v>
      </c>
      <c r="F64" s="40">
        <v>4269.3</v>
      </c>
    </row>
    <row r="65" spans="1:6" ht="22.5" customHeight="1" x14ac:dyDescent="0.5">
      <c r="A65" s="208">
        <v>17</v>
      </c>
      <c r="B65" s="78" t="s">
        <v>54</v>
      </c>
      <c r="C65" s="81" t="s">
        <v>1593</v>
      </c>
      <c r="D65" s="38" t="s">
        <v>1566</v>
      </c>
      <c r="E65" s="39" t="s">
        <v>1630</v>
      </c>
      <c r="F65" s="40">
        <v>13203.8</v>
      </c>
    </row>
    <row r="66" spans="1:6" ht="22.5" customHeight="1" x14ac:dyDescent="0.5">
      <c r="A66" s="208">
        <v>18</v>
      </c>
      <c r="B66" s="78" t="s">
        <v>141</v>
      </c>
      <c r="C66" s="81" t="s">
        <v>1593</v>
      </c>
      <c r="D66" s="38" t="s">
        <v>1548</v>
      </c>
      <c r="E66" s="39" t="s">
        <v>1631</v>
      </c>
      <c r="F66" s="40">
        <v>5478.4</v>
      </c>
    </row>
    <row r="67" spans="1:6" ht="22.5" customHeight="1" x14ac:dyDescent="0.5">
      <c r="A67" s="208">
        <v>19</v>
      </c>
      <c r="B67" s="78" t="s">
        <v>144</v>
      </c>
      <c r="C67" s="81" t="s">
        <v>1288</v>
      </c>
      <c r="D67" s="38" t="s">
        <v>1632</v>
      </c>
      <c r="E67" s="39" t="s">
        <v>1633</v>
      </c>
      <c r="F67" s="40">
        <v>395.9</v>
      </c>
    </row>
    <row r="68" spans="1:6" ht="22.5" customHeight="1" x14ac:dyDescent="0.5">
      <c r="A68" s="208">
        <v>20</v>
      </c>
      <c r="B68" s="73" t="s">
        <v>147</v>
      </c>
      <c r="C68" s="25" t="s">
        <v>1634</v>
      </c>
      <c r="D68" s="38" t="s">
        <v>1554</v>
      </c>
      <c r="E68" s="39" t="s">
        <v>1635</v>
      </c>
      <c r="F68" s="40">
        <v>321</v>
      </c>
    </row>
    <row r="69" spans="1:6" ht="22.5" customHeight="1" x14ac:dyDescent="0.5">
      <c r="A69" s="208">
        <v>21</v>
      </c>
      <c r="B69" s="237" t="s">
        <v>149</v>
      </c>
      <c r="C69" s="238" t="s">
        <v>567</v>
      </c>
      <c r="D69" s="38" t="s">
        <v>1637</v>
      </c>
      <c r="E69" s="39" t="s">
        <v>1638</v>
      </c>
      <c r="F69" s="40">
        <v>2129.3000000000002</v>
      </c>
    </row>
    <row r="70" spans="1:6" ht="22.5" customHeight="1" x14ac:dyDescent="0.5">
      <c r="A70" s="208">
        <v>22</v>
      </c>
      <c r="B70" s="240" t="s">
        <v>569</v>
      </c>
      <c r="C70" s="83" t="s">
        <v>1596</v>
      </c>
      <c r="D70" s="38" t="s">
        <v>1550</v>
      </c>
      <c r="E70" s="39" t="s">
        <v>1639</v>
      </c>
      <c r="F70" s="40">
        <v>14231</v>
      </c>
    </row>
    <row r="71" spans="1:6" ht="22.5" customHeight="1" x14ac:dyDescent="0.5">
      <c r="A71" s="208"/>
      <c r="B71" s="240" t="s">
        <v>569</v>
      </c>
      <c r="C71" s="83" t="s">
        <v>1589</v>
      </c>
      <c r="D71" s="38" t="s">
        <v>1550</v>
      </c>
      <c r="E71" s="39" t="s">
        <v>1639</v>
      </c>
      <c r="F71" s="40">
        <v>8891.7000000000007</v>
      </c>
    </row>
    <row r="72" spans="1:6" ht="22.5" customHeight="1" x14ac:dyDescent="0.5">
      <c r="A72" s="208">
        <v>23</v>
      </c>
      <c r="B72" s="240" t="s">
        <v>157</v>
      </c>
      <c r="C72" s="83" t="s">
        <v>567</v>
      </c>
      <c r="D72" s="38" t="s">
        <v>1550</v>
      </c>
      <c r="E72" s="39" t="s">
        <v>1640</v>
      </c>
      <c r="F72" s="40">
        <v>2107.9</v>
      </c>
    </row>
    <row r="73" spans="1:6" ht="22.5" customHeight="1" x14ac:dyDescent="0.5">
      <c r="A73" s="208">
        <v>25</v>
      </c>
      <c r="B73" s="240" t="s">
        <v>162</v>
      </c>
      <c r="C73" s="83" t="s">
        <v>567</v>
      </c>
      <c r="D73" s="38" t="s">
        <v>1554</v>
      </c>
      <c r="E73" s="39" t="s">
        <v>1641</v>
      </c>
      <c r="F73" s="40">
        <v>2161.4</v>
      </c>
    </row>
    <row r="74" spans="1:6" ht="22.5" customHeight="1" x14ac:dyDescent="0.5">
      <c r="A74" s="208">
        <v>26</v>
      </c>
      <c r="B74" s="209" t="s">
        <v>165</v>
      </c>
      <c r="C74" s="210" t="s">
        <v>567</v>
      </c>
      <c r="D74" s="38" t="s">
        <v>1637</v>
      </c>
      <c r="E74" s="39" t="s">
        <v>1642</v>
      </c>
      <c r="F74" s="40">
        <v>599.20000000000005</v>
      </c>
    </row>
    <row r="75" spans="1:6" ht="22.5" customHeight="1" x14ac:dyDescent="0.5">
      <c r="A75" s="242">
        <v>27</v>
      </c>
      <c r="B75" s="243" t="s">
        <v>1643</v>
      </c>
      <c r="C75" s="244" t="s">
        <v>567</v>
      </c>
      <c r="D75" s="30" t="s">
        <v>1644</v>
      </c>
      <c r="E75" s="31" t="s">
        <v>1645</v>
      </c>
      <c r="F75" s="32">
        <v>3391.9</v>
      </c>
    </row>
    <row r="76" spans="1:6" ht="22.5" customHeight="1" x14ac:dyDescent="0.5">
      <c r="A76" s="208">
        <v>28</v>
      </c>
      <c r="B76" s="209" t="s">
        <v>171</v>
      </c>
      <c r="C76" s="210" t="s">
        <v>567</v>
      </c>
      <c r="D76" s="38" t="s">
        <v>1548</v>
      </c>
      <c r="E76" s="39" t="s">
        <v>1646</v>
      </c>
      <c r="F76" s="40">
        <v>299.60000000000002</v>
      </c>
    </row>
    <row r="77" spans="1:6" ht="22.5" customHeight="1" x14ac:dyDescent="0.5">
      <c r="A77" s="208">
        <v>29</v>
      </c>
      <c r="B77" s="209" t="s">
        <v>1647</v>
      </c>
      <c r="C77" s="210" t="s">
        <v>567</v>
      </c>
      <c r="D77" s="38" t="s">
        <v>1548</v>
      </c>
      <c r="E77" s="39" t="s">
        <v>1648</v>
      </c>
      <c r="F77" s="40">
        <v>1936.7</v>
      </c>
    </row>
    <row r="78" spans="1:6" ht="22.5" customHeight="1" x14ac:dyDescent="0.5">
      <c r="A78" s="208">
        <v>30</v>
      </c>
      <c r="B78" s="209" t="s">
        <v>1649</v>
      </c>
      <c r="C78" s="210" t="s">
        <v>567</v>
      </c>
      <c r="D78" s="30" t="s">
        <v>1554</v>
      </c>
      <c r="E78" s="31" t="s">
        <v>1650</v>
      </c>
      <c r="F78" s="32">
        <v>5713.8</v>
      </c>
    </row>
    <row r="79" spans="1:6" ht="22.5" customHeight="1" x14ac:dyDescent="0.5">
      <c r="A79" s="208">
        <v>32</v>
      </c>
      <c r="B79" s="209" t="s">
        <v>181</v>
      </c>
      <c r="C79" s="210" t="s">
        <v>567</v>
      </c>
      <c r="D79" s="38" t="s">
        <v>1548</v>
      </c>
      <c r="E79" s="39" t="s">
        <v>1652</v>
      </c>
      <c r="F79" s="40">
        <v>2450.3000000000002</v>
      </c>
    </row>
    <row r="80" spans="1:6" ht="22.5" customHeight="1" x14ac:dyDescent="0.5">
      <c r="A80" s="208">
        <v>33</v>
      </c>
      <c r="B80" s="209" t="s">
        <v>1653</v>
      </c>
      <c r="C80" s="210" t="s">
        <v>1654</v>
      </c>
      <c r="D80" s="38" t="s">
        <v>1550</v>
      </c>
      <c r="E80" s="245" t="s">
        <v>1655</v>
      </c>
      <c r="F80" s="246">
        <v>4622.3999999999996</v>
      </c>
    </row>
    <row r="81" spans="1:6" ht="22.5" customHeight="1" x14ac:dyDescent="0.5">
      <c r="A81" s="208"/>
      <c r="B81" s="209" t="s">
        <v>1656</v>
      </c>
      <c r="C81" s="210" t="s">
        <v>1657</v>
      </c>
      <c r="D81" s="38" t="s">
        <v>1550</v>
      </c>
      <c r="E81" s="245" t="s">
        <v>1655</v>
      </c>
      <c r="F81" s="246">
        <v>1786.9</v>
      </c>
    </row>
    <row r="82" spans="1:6" ht="22.5" customHeight="1" x14ac:dyDescent="0.5">
      <c r="A82" s="208">
        <v>34</v>
      </c>
      <c r="B82" s="209" t="s">
        <v>1658</v>
      </c>
      <c r="C82" s="210" t="s">
        <v>567</v>
      </c>
      <c r="D82" s="38" t="s">
        <v>1548</v>
      </c>
      <c r="E82" s="39" t="s">
        <v>1659</v>
      </c>
      <c r="F82" s="246">
        <v>438.7</v>
      </c>
    </row>
    <row r="83" spans="1:6" ht="22.5" customHeight="1" x14ac:dyDescent="0.5">
      <c r="A83" s="208"/>
      <c r="B83" s="209" t="s">
        <v>1660</v>
      </c>
      <c r="C83" s="210" t="s">
        <v>1288</v>
      </c>
      <c r="D83" s="38" t="s">
        <v>1548</v>
      </c>
      <c r="E83" s="39" t="s">
        <v>1661</v>
      </c>
      <c r="F83" s="246">
        <v>13706.7</v>
      </c>
    </row>
    <row r="84" spans="1:6" ht="22.5" customHeight="1" x14ac:dyDescent="0.5">
      <c r="A84" s="208">
        <v>36</v>
      </c>
      <c r="B84" s="209" t="s">
        <v>1662</v>
      </c>
      <c r="C84" s="210" t="s">
        <v>567</v>
      </c>
      <c r="D84" s="38" t="s">
        <v>1663</v>
      </c>
      <c r="E84" s="39" t="s">
        <v>1664</v>
      </c>
      <c r="F84" s="246">
        <v>1551.5</v>
      </c>
    </row>
    <row r="85" spans="1:6" ht="22.5" customHeight="1" x14ac:dyDescent="0.5">
      <c r="A85" s="208">
        <v>37</v>
      </c>
      <c r="B85" s="209" t="s">
        <v>195</v>
      </c>
      <c r="C85" s="210" t="s">
        <v>567</v>
      </c>
      <c r="D85" s="38" t="s">
        <v>1548</v>
      </c>
      <c r="E85" s="245" t="s">
        <v>1665</v>
      </c>
      <c r="F85" s="246">
        <v>963</v>
      </c>
    </row>
    <row r="86" spans="1:6" ht="22.5" customHeight="1" x14ac:dyDescent="0.5">
      <c r="A86" s="208"/>
      <c r="B86" s="209" t="s">
        <v>1666</v>
      </c>
      <c r="C86" s="210" t="s">
        <v>567</v>
      </c>
      <c r="D86" s="38" t="s">
        <v>1559</v>
      </c>
      <c r="E86" s="245" t="s">
        <v>1668</v>
      </c>
      <c r="F86" s="246">
        <v>1369.6</v>
      </c>
    </row>
    <row r="87" spans="1:6" ht="22.5" customHeight="1" x14ac:dyDescent="0.5">
      <c r="A87" s="208">
        <v>40</v>
      </c>
      <c r="B87" s="209" t="s">
        <v>1669</v>
      </c>
      <c r="C87" s="210" t="s">
        <v>567</v>
      </c>
      <c r="D87" s="30" t="s">
        <v>1559</v>
      </c>
      <c r="E87" s="31" t="s">
        <v>1670</v>
      </c>
      <c r="F87" s="221">
        <v>460.1</v>
      </c>
    </row>
    <row r="88" spans="1:6" ht="22.5" customHeight="1" x14ac:dyDescent="0.5">
      <c r="A88" s="208">
        <v>41</v>
      </c>
      <c r="B88" s="209" t="s">
        <v>205</v>
      </c>
      <c r="C88" s="210" t="s">
        <v>567</v>
      </c>
      <c r="D88" s="30" t="s">
        <v>1548</v>
      </c>
      <c r="E88" s="249" t="s">
        <v>1671</v>
      </c>
      <c r="F88" s="221">
        <v>4868.5</v>
      </c>
    </row>
    <row r="89" spans="1:6" ht="22.5" customHeight="1" x14ac:dyDescent="0.5">
      <c r="A89" s="208">
        <v>42</v>
      </c>
      <c r="B89" s="209" t="s">
        <v>208</v>
      </c>
      <c r="C89" s="210" t="s">
        <v>567</v>
      </c>
      <c r="D89" s="250" t="s">
        <v>1672</v>
      </c>
      <c r="E89" s="251" t="s">
        <v>1673</v>
      </c>
      <c r="F89" s="252">
        <v>22095.5</v>
      </c>
    </row>
    <row r="90" spans="1:6" ht="22.5" customHeight="1" x14ac:dyDescent="0.5">
      <c r="A90" s="208">
        <v>43</v>
      </c>
      <c r="B90" s="209" t="s">
        <v>210</v>
      </c>
      <c r="C90" s="210" t="s">
        <v>567</v>
      </c>
      <c r="D90" s="38" t="s">
        <v>1556</v>
      </c>
      <c r="E90" s="39" t="s">
        <v>1674</v>
      </c>
      <c r="F90" s="246">
        <v>6345.1</v>
      </c>
    </row>
    <row r="91" spans="1:6" ht="22.5" customHeight="1" x14ac:dyDescent="0.5">
      <c r="A91" s="208">
        <v>45</v>
      </c>
      <c r="B91" s="209" t="s">
        <v>214</v>
      </c>
      <c r="C91" s="210" t="s">
        <v>567</v>
      </c>
      <c r="D91" s="38" t="s">
        <v>1548</v>
      </c>
      <c r="E91" s="39" t="s">
        <v>1676</v>
      </c>
      <c r="F91" s="246">
        <v>823.9</v>
      </c>
    </row>
    <row r="92" spans="1:6" ht="22.5" customHeight="1" x14ac:dyDescent="0.5">
      <c r="A92" s="253">
        <v>46</v>
      </c>
      <c r="B92" s="254" t="s">
        <v>217</v>
      </c>
      <c r="C92" s="238" t="s">
        <v>567</v>
      </c>
      <c r="D92" s="38" t="s">
        <v>1677</v>
      </c>
      <c r="E92" s="245" t="s">
        <v>1678</v>
      </c>
      <c r="F92" s="246">
        <v>3274.2</v>
      </c>
    </row>
    <row r="93" spans="1:6" ht="22.5" customHeight="1" x14ac:dyDescent="0.5">
      <c r="A93" s="297">
        <v>50</v>
      </c>
      <c r="B93" s="222" t="s">
        <v>226</v>
      </c>
      <c r="C93" s="222" t="s">
        <v>567</v>
      </c>
      <c r="D93" s="30" t="s">
        <v>1682</v>
      </c>
      <c r="E93" s="249" t="s">
        <v>1683</v>
      </c>
      <c r="F93" s="221">
        <v>4354.8999999999996</v>
      </c>
    </row>
    <row r="94" spans="1:6" ht="22.5" customHeight="1" x14ac:dyDescent="0.5">
      <c r="A94" s="297">
        <v>51</v>
      </c>
      <c r="B94" s="222" t="s">
        <v>229</v>
      </c>
      <c r="C94" s="222" t="s">
        <v>567</v>
      </c>
      <c r="D94" s="30" t="s">
        <v>1554</v>
      </c>
      <c r="E94" s="31" t="s">
        <v>1684</v>
      </c>
      <c r="F94" s="221">
        <v>8260.4</v>
      </c>
    </row>
    <row r="95" spans="1:6" ht="22.5" customHeight="1" x14ac:dyDescent="0.5">
      <c r="A95" s="297">
        <v>52</v>
      </c>
      <c r="B95" s="222" t="s">
        <v>566</v>
      </c>
      <c r="C95" s="222" t="s">
        <v>567</v>
      </c>
      <c r="D95" s="30" t="s">
        <v>1559</v>
      </c>
      <c r="E95" s="31" t="s">
        <v>1685</v>
      </c>
      <c r="F95" s="221">
        <v>3402.6</v>
      </c>
    </row>
    <row r="96" spans="1:6" ht="22.5" customHeight="1" x14ac:dyDescent="0.5">
      <c r="A96" s="297"/>
      <c r="B96" s="222" t="s">
        <v>568</v>
      </c>
      <c r="C96" s="222" t="s">
        <v>1288</v>
      </c>
      <c r="D96" s="30" t="s">
        <v>1559</v>
      </c>
      <c r="E96" s="31" t="s">
        <v>1685</v>
      </c>
      <c r="F96" s="221">
        <v>4354.8999999999996</v>
      </c>
    </row>
    <row r="97" spans="1:8" ht="22.5" customHeight="1" x14ac:dyDescent="0.5">
      <c r="A97" s="996">
        <v>53</v>
      </c>
      <c r="B97" s="222" t="s">
        <v>705</v>
      </c>
      <c r="C97" s="222" t="s">
        <v>1288</v>
      </c>
      <c r="D97" s="30" t="s">
        <v>1548</v>
      </c>
      <c r="E97" s="31" t="s">
        <v>1686</v>
      </c>
      <c r="F97" s="221">
        <v>1048.5999999999999</v>
      </c>
    </row>
    <row r="98" spans="1:8" ht="22.5" customHeight="1" x14ac:dyDescent="0.5">
      <c r="A98" s="297">
        <v>54</v>
      </c>
      <c r="B98" s="222" t="s">
        <v>1287</v>
      </c>
      <c r="C98" s="222" t="s">
        <v>1288</v>
      </c>
      <c r="D98" s="30" t="s">
        <v>1548</v>
      </c>
      <c r="E98" s="31" t="s">
        <v>1687</v>
      </c>
      <c r="F98" s="221">
        <v>406.6</v>
      </c>
    </row>
    <row r="99" spans="1:8" ht="22.5" customHeight="1" x14ac:dyDescent="0.5">
      <c r="A99" s="996">
        <v>55</v>
      </c>
      <c r="B99" s="222" t="s">
        <v>1489</v>
      </c>
      <c r="C99" s="222" t="s">
        <v>567</v>
      </c>
      <c r="D99" s="30" t="s">
        <v>1552</v>
      </c>
      <c r="E99" s="31" t="s">
        <v>1688</v>
      </c>
      <c r="F99" s="221">
        <v>492.2</v>
      </c>
    </row>
    <row r="100" spans="1:8" ht="22.5" customHeight="1" x14ac:dyDescent="0.5">
      <c r="A100" s="996">
        <v>56</v>
      </c>
      <c r="B100" s="222" t="s">
        <v>1490</v>
      </c>
      <c r="C100" s="222" t="s">
        <v>567</v>
      </c>
      <c r="D100" s="30" t="s">
        <v>1690</v>
      </c>
      <c r="E100" s="31" t="s">
        <v>1691</v>
      </c>
      <c r="F100" s="221">
        <v>1273.3</v>
      </c>
    </row>
    <row r="101" spans="1:8" ht="22.5" customHeight="1" x14ac:dyDescent="0.5">
      <c r="A101" s="996">
        <v>57</v>
      </c>
      <c r="B101" s="222" t="s">
        <v>1692</v>
      </c>
      <c r="C101" s="222"/>
      <c r="D101" s="30" t="s">
        <v>1550</v>
      </c>
      <c r="E101" s="31" t="s">
        <v>1693</v>
      </c>
      <c r="F101" s="221">
        <v>1465.9</v>
      </c>
    </row>
    <row r="102" spans="1:8" s="60" customFormat="1" ht="22.5" customHeight="1" thickBot="1" x14ac:dyDescent="0.35">
      <c r="A102" s="278"/>
      <c r="B102" s="278" t="s">
        <v>15</v>
      </c>
      <c r="C102" s="279"/>
      <c r="D102" s="280">
        <v>0</v>
      </c>
      <c r="E102" s="280">
        <v>0</v>
      </c>
      <c r="F102" s="1003">
        <v>333262.19999999995</v>
      </c>
      <c r="H102" s="683">
        <f>SUM(F45:F101)</f>
        <v>333262.19999999995</v>
      </c>
    </row>
    <row r="103" spans="1:8" ht="22.5" customHeight="1" thickTop="1" x14ac:dyDescent="0.3">
      <c r="A103" s="61"/>
      <c r="B103" s="121" t="s">
        <v>232</v>
      </c>
      <c r="C103" s="63"/>
      <c r="D103" s="286"/>
      <c r="E103" s="287"/>
      <c r="F103" s="288"/>
    </row>
    <row r="104" spans="1:8" ht="22.5" customHeight="1" x14ac:dyDescent="0.5">
      <c r="A104" s="23">
        <v>1</v>
      </c>
      <c r="B104" s="73" t="s">
        <v>234</v>
      </c>
      <c r="C104" s="25" t="s">
        <v>235</v>
      </c>
      <c r="D104" s="30" t="s">
        <v>1562</v>
      </c>
      <c r="E104" s="31" t="s">
        <v>1745</v>
      </c>
      <c r="F104" s="32">
        <v>9450</v>
      </c>
    </row>
    <row r="105" spans="1:8" ht="22.5" customHeight="1" x14ac:dyDescent="0.5">
      <c r="A105" s="23">
        <v>2</v>
      </c>
      <c r="B105" s="73" t="s">
        <v>237</v>
      </c>
      <c r="C105" s="25" t="s">
        <v>238</v>
      </c>
      <c r="D105" s="30" t="s">
        <v>1562</v>
      </c>
      <c r="E105" s="31" t="s">
        <v>1710</v>
      </c>
      <c r="F105" s="32">
        <v>3150</v>
      </c>
    </row>
    <row r="106" spans="1:8" ht="22.5" customHeight="1" x14ac:dyDescent="0.5">
      <c r="A106" s="23">
        <v>3</v>
      </c>
      <c r="B106" s="73" t="s">
        <v>198</v>
      </c>
      <c r="C106" s="25" t="s">
        <v>243</v>
      </c>
      <c r="D106" s="30" t="s">
        <v>1559</v>
      </c>
      <c r="E106" s="31" t="s">
        <v>1711</v>
      </c>
      <c r="F106" s="32">
        <v>22050</v>
      </c>
    </row>
    <row r="107" spans="1:8" ht="22.5" customHeight="1" x14ac:dyDescent="0.5">
      <c r="A107" s="23">
        <v>4</v>
      </c>
      <c r="B107" s="73" t="s">
        <v>245</v>
      </c>
      <c r="C107" s="25" t="s">
        <v>246</v>
      </c>
      <c r="D107" s="30" t="s">
        <v>1556</v>
      </c>
      <c r="E107" s="31" t="s">
        <v>1712</v>
      </c>
      <c r="F107" s="32">
        <v>9450</v>
      </c>
    </row>
    <row r="108" spans="1:8" ht="22.5" customHeight="1" x14ac:dyDescent="0.5">
      <c r="A108" s="23">
        <v>5</v>
      </c>
      <c r="B108" s="73" t="s">
        <v>248</v>
      </c>
      <c r="C108" s="25" t="s">
        <v>249</v>
      </c>
      <c r="D108" s="30" t="s">
        <v>1554</v>
      </c>
      <c r="E108" s="31" t="s">
        <v>1713</v>
      </c>
      <c r="F108" s="32">
        <v>12600</v>
      </c>
    </row>
    <row r="109" spans="1:8" ht="22.5" customHeight="1" x14ac:dyDescent="0.5">
      <c r="A109" s="23">
        <v>6</v>
      </c>
      <c r="B109" s="209" t="s">
        <v>250</v>
      </c>
      <c r="C109" s="210" t="s">
        <v>251</v>
      </c>
      <c r="D109" s="30" t="s">
        <v>1611</v>
      </c>
      <c r="E109" s="31" t="s">
        <v>1714</v>
      </c>
      <c r="F109" s="32">
        <v>6300</v>
      </c>
    </row>
    <row r="110" spans="1:8" ht="22.5" customHeight="1" x14ac:dyDescent="0.5">
      <c r="A110" s="23">
        <v>7</v>
      </c>
      <c r="B110" s="73" t="s">
        <v>257</v>
      </c>
      <c r="C110" s="25" t="s">
        <v>258</v>
      </c>
      <c r="D110" s="30" t="s">
        <v>1556</v>
      </c>
      <c r="E110" s="31" t="s">
        <v>1715</v>
      </c>
      <c r="F110" s="32">
        <v>5600</v>
      </c>
    </row>
    <row r="111" spans="1:8" ht="22.5" customHeight="1" x14ac:dyDescent="0.5">
      <c r="A111" s="23">
        <v>8</v>
      </c>
      <c r="B111" s="73" t="s">
        <v>198</v>
      </c>
      <c r="C111" s="25" t="s">
        <v>260</v>
      </c>
      <c r="D111" s="30" t="s">
        <v>1559</v>
      </c>
      <c r="E111" s="31" t="s">
        <v>1711</v>
      </c>
      <c r="F111" s="32">
        <v>2800</v>
      </c>
    </row>
    <row r="112" spans="1:8" ht="22.5" customHeight="1" x14ac:dyDescent="0.5">
      <c r="A112" s="23">
        <v>9</v>
      </c>
      <c r="B112" s="73" t="s">
        <v>261</v>
      </c>
      <c r="C112" s="25" t="s">
        <v>262</v>
      </c>
      <c r="D112" s="30" t="s">
        <v>1554</v>
      </c>
      <c r="E112" s="31" t="s">
        <v>1716</v>
      </c>
      <c r="F112" s="32">
        <v>5600</v>
      </c>
    </row>
    <row r="113" spans="1:6" ht="22.5" customHeight="1" x14ac:dyDescent="0.5">
      <c r="A113" s="23">
        <v>10</v>
      </c>
      <c r="B113" s="73" t="s">
        <v>264</v>
      </c>
      <c r="C113" s="25" t="s">
        <v>265</v>
      </c>
      <c r="D113" s="30" t="s">
        <v>1554</v>
      </c>
      <c r="E113" s="31" t="s">
        <v>1716</v>
      </c>
      <c r="F113" s="32">
        <v>5600</v>
      </c>
    </row>
    <row r="114" spans="1:6" ht="22.5" customHeight="1" x14ac:dyDescent="0.5">
      <c r="A114" s="23">
        <v>11</v>
      </c>
      <c r="B114" s="73" t="s">
        <v>266</v>
      </c>
      <c r="C114" s="25" t="s">
        <v>267</v>
      </c>
      <c r="D114" s="30" t="s">
        <v>1556</v>
      </c>
      <c r="E114" s="31" t="s">
        <v>1717</v>
      </c>
      <c r="F114" s="32">
        <v>5600</v>
      </c>
    </row>
    <row r="115" spans="1:6" ht="22.5" customHeight="1" x14ac:dyDescent="0.5">
      <c r="A115" s="23">
        <v>12</v>
      </c>
      <c r="B115" s="73" t="s">
        <v>270</v>
      </c>
      <c r="C115" s="25" t="s">
        <v>271</v>
      </c>
      <c r="D115" s="30" t="s">
        <v>1554</v>
      </c>
      <c r="E115" s="31" t="s">
        <v>1718</v>
      </c>
      <c r="F115" s="32">
        <v>9450</v>
      </c>
    </row>
    <row r="116" spans="1:6" ht="22.5" customHeight="1" x14ac:dyDescent="0.5">
      <c r="A116" s="23">
        <v>13</v>
      </c>
      <c r="B116" s="73" t="s">
        <v>261</v>
      </c>
      <c r="C116" s="25" t="s">
        <v>273</v>
      </c>
      <c r="D116" s="30" t="s">
        <v>1554</v>
      </c>
      <c r="E116" s="31" t="s">
        <v>1716</v>
      </c>
      <c r="F116" s="32">
        <v>9450</v>
      </c>
    </row>
    <row r="117" spans="1:6" ht="22.5" customHeight="1" x14ac:dyDescent="0.5">
      <c r="A117" s="23">
        <v>14</v>
      </c>
      <c r="B117" s="73" t="s">
        <v>274</v>
      </c>
      <c r="C117" s="25" t="s">
        <v>275</v>
      </c>
      <c r="D117" s="30" t="s">
        <v>1569</v>
      </c>
      <c r="E117" s="31" t="s">
        <v>1719</v>
      </c>
      <c r="F117" s="32">
        <v>3150</v>
      </c>
    </row>
    <row r="118" spans="1:6" ht="22.5" customHeight="1" x14ac:dyDescent="0.5">
      <c r="A118" s="23">
        <v>15</v>
      </c>
      <c r="B118" s="73" t="s">
        <v>277</v>
      </c>
      <c r="C118" s="25" t="s">
        <v>278</v>
      </c>
      <c r="D118" s="30" t="s">
        <v>1701</v>
      </c>
      <c r="E118" s="31" t="s">
        <v>1720</v>
      </c>
      <c r="F118" s="32">
        <v>6300</v>
      </c>
    </row>
    <row r="119" spans="1:6" ht="22.5" customHeight="1" x14ac:dyDescent="0.5">
      <c r="A119" s="23">
        <v>16</v>
      </c>
      <c r="B119" s="73" t="s">
        <v>281</v>
      </c>
      <c r="C119" s="25" t="s">
        <v>282</v>
      </c>
      <c r="D119" s="30" t="s">
        <v>1554</v>
      </c>
      <c r="E119" s="31" t="s">
        <v>1721</v>
      </c>
      <c r="F119" s="32">
        <v>5600</v>
      </c>
    </row>
    <row r="120" spans="1:6" ht="22.5" customHeight="1" x14ac:dyDescent="0.5">
      <c r="A120" s="23">
        <v>17</v>
      </c>
      <c r="B120" s="73" t="s">
        <v>287</v>
      </c>
      <c r="C120" s="25" t="s">
        <v>288</v>
      </c>
      <c r="D120" s="30" t="s">
        <v>1552</v>
      </c>
      <c r="E120" s="31" t="s">
        <v>1722</v>
      </c>
      <c r="F120" s="32">
        <v>5600</v>
      </c>
    </row>
    <row r="121" spans="1:6" ht="22.5" customHeight="1" x14ac:dyDescent="0.5">
      <c r="A121" s="23">
        <v>18</v>
      </c>
      <c r="B121" s="73" t="s">
        <v>290</v>
      </c>
      <c r="C121" s="25" t="s">
        <v>291</v>
      </c>
      <c r="D121" s="30" t="s">
        <v>1556</v>
      </c>
      <c r="E121" s="31" t="s">
        <v>1723</v>
      </c>
      <c r="F121" s="32">
        <v>5600</v>
      </c>
    </row>
    <row r="122" spans="1:6" ht="22.5" customHeight="1" x14ac:dyDescent="0.5">
      <c r="A122" s="23">
        <v>19</v>
      </c>
      <c r="B122" s="73" t="s">
        <v>293</v>
      </c>
      <c r="C122" s="25" t="s">
        <v>294</v>
      </c>
      <c r="D122" s="30" t="s">
        <v>1556</v>
      </c>
      <c r="E122" s="31" t="s">
        <v>1724</v>
      </c>
      <c r="F122" s="32">
        <v>2800</v>
      </c>
    </row>
    <row r="123" spans="1:6" ht="22.5" customHeight="1" x14ac:dyDescent="0.5">
      <c r="A123" s="23">
        <v>20</v>
      </c>
      <c r="B123" s="73" t="s">
        <v>296</v>
      </c>
      <c r="C123" s="25" t="s">
        <v>297</v>
      </c>
      <c r="D123" s="30" t="s">
        <v>1566</v>
      </c>
      <c r="E123" s="31" t="s">
        <v>1725</v>
      </c>
      <c r="F123" s="32">
        <v>5600</v>
      </c>
    </row>
    <row r="124" spans="1:6" ht="22.5" customHeight="1" x14ac:dyDescent="0.5">
      <c r="A124" s="23">
        <v>21</v>
      </c>
      <c r="B124" s="209" t="s">
        <v>300</v>
      </c>
      <c r="C124" s="210" t="s">
        <v>301</v>
      </c>
      <c r="D124" s="30" t="s">
        <v>1548</v>
      </c>
      <c r="E124" s="31" t="s">
        <v>1726</v>
      </c>
      <c r="F124" s="32">
        <v>5600</v>
      </c>
    </row>
    <row r="125" spans="1:6" ht="22.5" customHeight="1" x14ac:dyDescent="0.5">
      <c r="A125" s="23">
        <v>22</v>
      </c>
      <c r="B125" s="209" t="s">
        <v>306</v>
      </c>
      <c r="C125" s="210" t="s">
        <v>307</v>
      </c>
      <c r="D125" s="30" t="s">
        <v>1566</v>
      </c>
      <c r="E125" s="31" t="s">
        <v>1725</v>
      </c>
      <c r="F125" s="32">
        <v>5600</v>
      </c>
    </row>
    <row r="126" spans="1:6" ht="22.5" customHeight="1" x14ac:dyDescent="0.5">
      <c r="A126" s="23">
        <v>23</v>
      </c>
      <c r="B126" s="73" t="s">
        <v>308</v>
      </c>
      <c r="C126" s="25" t="s">
        <v>309</v>
      </c>
      <c r="D126" s="30" t="s">
        <v>1556</v>
      </c>
      <c r="E126" s="31" t="s">
        <v>1727</v>
      </c>
      <c r="F126" s="32">
        <v>8400</v>
      </c>
    </row>
    <row r="127" spans="1:6" ht="22.5" customHeight="1" x14ac:dyDescent="0.5">
      <c r="A127" s="23">
        <v>24</v>
      </c>
      <c r="B127" s="73" t="s">
        <v>261</v>
      </c>
      <c r="C127" s="25" t="s">
        <v>311</v>
      </c>
      <c r="D127" s="30" t="s">
        <v>1554</v>
      </c>
      <c r="E127" s="31" t="s">
        <v>1716</v>
      </c>
      <c r="F127" s="32">
        <v>2800</v>
      </c>
    </row>
    <row r="128" spans="1:6" ht="22.5" customHeight="1" x14ac:dyDescent="0.5">
      <c r="A128" s="23">
        <v>25</v>
      </c>
      <c r="B128" s="310" t="s">
        <v>261</v>
      </c>
      <c r="C128" s="311" t="s">
        <v>312</v>
      </c>
      <c r="D128" s="30" t="s">
        <v>1554</v>
      </c>
      <c r="E128" s="31" t="s">
        <v>1716</v>
      </c>
      <c r="F128" s="32">
        <v>2800</v>
      </c>
    </row>
    <row r="129" spans="1:6" ht="22.5" customHeight="1" x14ac:dyDescent="0.5">
      <c r="A129" s="23">
        <v>26</v>
      </c>
      <c r="B129" s="73" t="s">
        <v>261</v>
      </c>
      <c r="C129" s="25" t="s">
        <v>316</v>
      </c>
      <c r="D129" s="30" t="s">
        <v>1554</v>
      </c>
      <c r="E129" s="31" t="s">
        <v>1716</v>
      </c>
      <c r="F129" s="32">
        <v>2800</v>
      </c>
    </row>
    <row r="130" spans="1:6" ht="22.5" customHeight="1" x14ac:dyDescent="0.5">
      <c r="A130" s="23">
        <v>27</v>
      </c>
      <c r="B130" s="73" t="s">
        <v>320</v>
      </c>
      <c r="C130" s="25" t="s">
        <v>321</v>
      </c>
      <c r="D130" s="30" t="s">
        <v>1550</v>
      </c>
      <c r="E130" s="31" t="s">
        <v>1728</v>
      </c>
      <c r="F130" s="32">
        <v>2800</v>
      </c>
    </row>
    <row r="131" spans="1:6" ht="22.5" customHeight="1" x14ac:dyDescent="0.5">
      <c r="A131" s="23">
        <v>28</v>
      </c>
      <c r="B131" s="73" t="s">
        <v>322</v>
      </c>
      <c r="C131" s="25" t="s">
        <v>323</v>
      </c>
      <c r="D131" s="30" t="s">
        <v>1559</v>
      </c>
      <c r="E131" s="31" t="s">
        <v>1729</v>
      </c>
      <c r="F131" s="32">
        <v>5600</v>
      </c>
    </row>
    <row r="132" spans="1:6" ht="22.5" customHeight="1" x14ac:dyDescent="0.5">
      <c r="A132" s="23">
        <v>29</v>
      </c>
      <c r="B132" s="73" t="s">
        <v>293</v>
      </c>
      <c r="C132" s="25" t="s">
        <v>326</v>
      </c>
      <c r="D132" s="30" t="s">
        <v>1556</v>
      </c>
      <c r="E132" s="31" t="s">
        <v>1724</v>
      </c>
      <c r="F132" s="32">
        <v>5600</v>
      </c>
    </row>
    <row r="133" spans="1:6" ht="22.5" customHeight="1" x14ac:dyDescent="0.5">
      <c r="A133" s="23">
        <v>30</v>
      </c>
      <c r="B133" s="73" t="s">
        <v>293</v>
      </c>
      <c r="C133" s="25" t="s">
        <v>327</v>
      </c>
      <c r="D133" s="30" t="s">
        <v>1556</v>
      </c>
      <c r="E133" s="31" t="s">
        <v>1724</v>
      </c>
      <c r="F133" s="32">
        <v>5600</v>
      </c>
    </row>
    <row r="134" spans="1:6" ht="22.5" customHeight="1" x14ac:dyDescent="0.5">
      <c r="A134" s="23">
        <v>31</v>
      </c>
      <c r="B134" s="24" t="s">
        <v>329</v>
      </c>
      <c r="C134" s="25" t="s">
        <v>330</v>
      </c>
      <c r="D134" s="30" t="s">
        <v>1569</v>
      </c>
      <c r="E134" s="31" t="s">
        <v>1730</v>
      </c>
      <c r="F134" s="32">
        <v>130536.37</v>
      </c>
    </row>
    <row r="135" spans="1:6" ht="22.5" customHeight="1" x14ac:dyDescent="0.5">
      <c r="A135" s="23">
        <v>32</v>
      </c>
      <c r="B135" s="24" t="s">
        <v>329</v>
      </c>
      <c r="C135" s="25" t="s">
        <v>331</v>
      </c>
      <c r="D135" s="30" t="s">
        <v>1569</v>
      </c>
      <c r="E135" s="31" t="s">
        <v>1731</v>
      </c>
      <c r="F135" s="32">
        <v>96520.67</v>
      </c>
    </row>
    <row r="136" spans="1:6" ht="22.5" customHeight="1" x14ac:dyDescent="0.5">
      <c r="A136" s="23">
        <v>33</v>
      </c>
      <c r="B136" s="24" t="s">
        <v>332</v>
      </c>
      <c r="C136" s="25" t="s">
        <v>333</v>
      </c>
      <c r="D136" s="30" t="s">
        <v>1554</v>
      </c>
      <c r="E136" s="31" t="s">
        <v>1732</v>
      </c>
      <c r="F136" s="32">
        <v>63810</v>
      </c>
    </row>
    <row r="137" spans="1:6" ht="22.5" customHeight="1" x14ac:dyDescent="0.5">
      <c r="A137" s="23">
        <v>34</v>
      </c>
      <c r="B137" s="332" t="s">
        <v>335</v>
      </c>
      <c r="C137" s="81" t="s">
        <v>336</v>
      </c>
      <c r="D137" s="335" t="s">
        <v>1733</v>
      </c>
      <c r="E137" s="336" t="s">
        <v>1734</v>
      </c>
      <c r="F137" s="337">
        <v>60170</v>
      </c>
    </row>
    <row r="138" spans="1:6" ht="22.5" customHeight="1" x14ac:dyDescent="0.5">
      <c r="A138" s="23">
        <v>35</v>
      </c>
      <c r="B138" s="24" t="s">
        <v>338</v>
      </c>
      <c r="C138" s="25" t="s">
        <v>339</v>
      </c>
      <c r="D138" s="335" t="s">
        <v>1554</v>
      </c>
      <c r="E138" s="336" t="s">
        <v>1735</v>
      </c>
      <c r="F138" s="342">
        <v>23527.65</v>
      </c>
    </row>
    <row r="139" spans="1:6" ht="22.5" customHeight="1" x14ac:dyDescent="0.5">
      <c r="A139" s="23">
        <v>36</v>
      </c>
      <c r="B139" s="343" t="s">
        <v>341</v>
      </c>
      <c r="C139" s="165" t="s">
        <v>342</v>
      </c>
      <c r="D139" s="345" t="s">
        <v>1736</v>
      </c>
      <c r="E139" s="346" t="s">
        <v>1737</v>
      </c>
      <c r="F139" s="347">
        <v>21149.53</v>
      </c>
    </row>
    <row r="140" spans="1:6" ht="22.5" customHeight="1" x14ac:dyDescent="0.5">
      <c r="A140" s="23">
        <v>37</v>
      </c>
      <c r="B140" s="332" t="s">
        <v>344</v>
      </c>
      <c r="C140" s="81" t="s">
        <v>345</v>
      </c>
      <c r="D140" s="182" t="s">
        <v>1552</v>
      </c>
      <c r="E140" s="350" t="s">
        <v>1739</v>
      </c>
      <c r="F140" s="337">
        <v>21986</v>
      </c>
    </row>
    <row r="141" spans="1:6" s="356" customFormat="1" ht="22.5" customHeight="1" x14ac:dyDescent="0.5">
      <c r="A141" s="23">
        <v>38</v>
      </c>
      <c r="B141" s="24" t="s">
        <v>347</v>
      </c>
      <c r="C141" s="351" t="s">
        <v>348</v>
      </c>
      <c r="D141" s="30" t="s">
        <v>1550</v>
      </c>
      <c r="E141" s="31" t="s">
        <v>1740</v>
      </c>
      <c r="F141" s="32">
        <v>20000</v>
      </c>
    </row>
    <row r="142" spans="1:6" ht="22.5" customHeight="1" x14ac:dyDescent="0.5">
      <c r="A142" s="23">
        <v>39</v>
      </c>
      <c r="B142" s="290" t="s">
        <v>147</v>
      </c>
      <c r="C142" s="371" t="s">
        <v>351</v>
      </c>
      <c r="D142" s="30" t="s">
        <v>1554</v>
      </c>
      <c r="E142" s="220" t="s">
        <v>1705</v>
      </c>
      <c r="F142" s="221">
        <v>1400</v>
      </c>
    </row>
    <row r="143" spans="1:6" ht="22.5" customHeight="1" x14ac:dyDescent="0.5">
      <c r="A143" s="23">
        <v>40</v>
      </c>
      <c r="B143" s="290" t="s">
        <v>353</v>
      </c>
      <c r="C143" s="371" t="s">
        <v>354</v>
      </c>
      <c r="D143" s="30" t="s">
        <v>1611</v>
      </c>
      <c r="E143" s="220" t="s">
        <v>1706</v>
      </c>
      <c r="F143" s="221">
        <v>22000</v>
      </c>
    </row>
    <row r="144" spans="1:6" ht="22.5" customHeight="1" x14ac:dyDescent="0.5">
      <c r="A144" s="23">
        <v>41</v>
      </c>
      <c r="B144" s="290" t="s">
        <v>355</v>
      </c>
      <c r="C144" s="371" t="s">
        <v>356</v>
      </c>
      <c r="D144" s="30" t="s">
        <v>1559</v>
      </c>
      <c r="E144" s="220" t="s">
        <v>1707</v>
      </c>
      <c r="F144" s="221">
        <v>9400</v>
      </c>
    </row>
    <row r="145" spans="1:9" ht="22.5" customHeight="1" x14ac:dyDescent="0.5">
      <c r="A145" s="23">
        <v>42</v>
      </c>
      <c r="B145" s="378" t="s">
        <v>359</v>
      </c>
      <c r="C145" s="311" t="s">
        <v>360</v>
      </c>
      <c r="D145" s="38" t="s">
        <v>1554</v>
      </c>
      <c r="E145" s="376" t="s">
        <v>1708</v>
      </c>
      <c r="F145" s="246">
        <v>6000</v>
      </c>
    </row>
    <row r="146" spans="1:9" ht="22.5" customHeight="1" x14ac:dyDescent="0.5">
      <c r="A146" s="23">
        <v>43</v>
      </c>
      <c r="B146" s="149" t="s">
        <v>281</v>
      </c>
      <c r="C146" s="311" t="s">
        <v>360</v>
      </c>
      <c r="D146" s="30" t="s">
        <v>1554</v>
      </c>
      <c r="E146" s="31" t="s">
        <v>1709</v>
      </c>
      <c r="F146" s="32">
        <v>3000</v>
      </c>
    </row>
    <row r="147" spans="1:9" ht="22.5" customHeight="1" x14ac:dyDescent="0.5">
      <c r="A147" s="23">
        <v>44</v>
      </c>
      <c r="B147" s="290" t="s">
        <v>367</v>
      </c>
      <c r="C147" s="25" t="s">
        <v>368</v>
      </c>
      <c r="D147" s="250" t="s">
        <v>1559</v>
      </c>
      <c r="E147" s="251" t="s">
        <v>1699</v>
      </c>
      <c r="F147" s="390">
        <v>3500</v>
      </c>
    </row>
    <row r="148" spans="1:9" ht="22.5" customHeight="1" x14ac:dyDescent="0.5">
      <c r="A148" s="23">
        <v>45</v>
      </c>
      <c r="B148" s="392" t="s">
        <v>370</v>
      </c>
      <c r="C148" s="63" t="s">
        <v>371</v>
      </c>
      <c r="D148" s="30" t="s">
        <v>1569</v>
      </c>
      <c r="E148" s="31" t="s">
        <v>1700</v>
      </c>
      <c r="F148" s="32">
        <v>12000</v>
      </c>
    </row>
    <row r="149" spans="1:9" ht="22.5" customHeight="1" x14ac:dyDescent="0.3">
      <c r="A149" s="23">
        <v>46</v>
      </c>
      <c r="B149" s="398" t="s">
        <v>373</v>
      </c>
      <c r="C149" s="165" t="s">
        <v>374</v>
      </c>
      <c r="D149" s="399" t="s">
        <v>1701</v>
      </c>
      <c r="E149" s="400" t="s">
        <v>1702</v>
      </c>
      <c r="F149" s="401">
        <v>4100</v>
      </c>
    </row>
    <row r="150" spans="1:9" ht="22.5" customHeight="1" x14ac:dyDescent="0.5">
      <c r="A150" s="23">
        <v>47</v>
      </c>
      <c r="B150" s="402" t="s">
        <v>376</v>
      </c>
      <c r="C150" s="403" t="s">
        <v>377</v>
      </c>
      <c r="D150" s="30" t="s">
        <v>1554</v>
      </c>
      <c r="E150" s="31" t="s">
        <v>1703</v>
      </c>
      <c r="F150" s="32">
        <v>1850</v>
      </c>
    </row>
    <row r="151" spans="1:9" ht="22.5" customHeight="1" x14ac:dyDescent="0.5">
      <c r="A151" s="23">
        <v>48</v>
      </c>
      <c r="B151" s="149" t="s">
        <v>383</v>
      </c>
      <c r="C151" s="311" t="s">
        <v>384</v>
      </c>
      <c r="D151" s="250" t="s">
        <v>1701</v>
      </c>
      <c r="E151" s="251" t="s">
        <v>1704</v>
      </c>
      <c r="F151" s="390">
        <v>5400</v>
      </c>
    </row>
    <row r="152" spans="1:9" s="60" customFormat="1" ht="22.5" customHeight="1" thickBot="1" x14ac:dyDescent="0.35">
      <c r="A152" s="317"/>
      <c r="B152" s="317" t="s">
        <v>15</v>
      </c>
      <c r="C152" s="318"/>
      <c r="D152" s="383"/>
      <c r="E152" s="383">
        <v>0</v>
      </c>
      <c r="F152" s="383">
        <f>SUM(F104:F151)</f>
        <v>695700.22000000009</v>
      </c>
      <c r="H152" s="683">
        <f>SUM(F104:F151)</f>
        <v>695700.22000000009</v>
      </c>
    </row>
    <row r="153" spans="1:9" ht="22.5" customHeight="1" thickTop="1" x14ac:dyDescent="0.3">
      <c r="A153" s="61"/>
      <c r="B153" s="62" t="s">
        <v>386</v>
      </c>
      <c r="C153" s="63"/>
      <c r="D153" s="68"/>
      <c r="E153" s="68"/>
      <c r="F153" s="64"/>
    </row>
    <row r="154" spans="1:9" ht="22.5" customHeight="1" x14ac:dyDescent="0.3">
      <c r="A154" s="208">
        <v>1</v>
      </c>
      <c r="B154" s="290" t="s">
        <v>389</v>
      </c>
      <c r="C154" s="25" t="s">
        <v>390</v>
      </c>
      <c r="D154" s="335" t="s">
        <v>1554</v>
      </c>
      <c r="E154" s="410" t="s">
        <v>1698</v>
      </c>
      <c r="F154" s="411">
        <v>3150</v>
      </c>
    </row>
    <row r="155" spans="1:9" s="60" customFormat="1" ht="22.5" customHeight="1" thickBot="1" x14ac:dyDescent="0.35">
      <c r="A155" s="317"/>
      <c r="B155" s="317" t="s">
        <v>15</v>
      </c>
      <c r="C155" s="318"/>
      <c r="D155" s="383"/>
      <c r="E155" s="383">
        <v>0</v>
      </c>
      <c r="F155" s="383">
        <v>3150</v>
      </c>
      <c r="H155" s="683">
        <f>SUM(E154:G154)</f>
        <v>3150</v>
      </c>
    </row>
    <row r="156" spans="1:9" ht="22.5" customHeight="1" thickTop="1" thickBot="1" x14ac:dyDescent="0.35">
      <c r="A156" s="429"/>
      <c r="B156" s="430"/>
      <c r="C156" s="431"/>
      <c r="D156" s="436"/>
      <c r="E156" s="437"/>
      <c r="F156" s="438"/>
    </row>
    <row r="157" spans="1:9" s="60" customFormat="1" ht="22.5" customHeight="1" thickTop="1" thickBot="1" x14ac:dyDescent="0.35">
      <c r="A157" s="459"/>
      <c r="B157" s="460" t="s">
        <v>497</v>
      </c>
      <c r="C157" s="461"/>
      <c r="D157" s="462">
        <v>0</v>
      </c>
      <c r="E157" s="462">
        <v>0</v>
      </c>
      <c r="F157" s="462">
        <v>1162638.5099999998</v>
      </c>
      <c r="I157" s="683">
        <f>SUM(H12:H155)</f>
        <v>1162638.51</v>
      </c>
    </row>
    <row r="158" spans="1:9" ht="22.5" customHeight="1" thickTop="1" x14ac:dyDescent="0.3"/>
    <row r="159" spans="1:9" s="636" customFormat="1" x14ac:dyDescent="0.6">
      <c r="A159" s="628"/>
      <c r="B159" s="629"/>
      <c r="C159" s="630"/>
      <c r="D159" s="633"/>
      <c r="E159" s="633"/>
      <c r="F159" s="631"/>
      <c r="G159" s="637"/>
    </row>
    <row r="160" spans="1:9" s="636" customFormat="1" x14ac:dyDescent="0.6">
      <c r="A160" s="1128" t="s">
        <v>524</v>
      </c>
      <c r="B160" s="1128"/>
      <c r="C160" s="1128"/>
      <c r="D160" s="1128"/>
      <c r="E160" s="1128"/>
      <c r="F160" s="1128"/>
      <c r="G160" s="637"/>
    </row>
    <row r="161" spans="1:9" s="599" customFormat="1" x14ac:dyDescent="0.6">
      <c r="A161" s="646">
        <v>1</v>
      </c>
      <c r="B161" s="647" t="s">
        <v>521</v>
      </c>
      <c r="C161" s="647" t="s">
        <v>522</v>
      </c>
      <c r="D161" s="644" t="s">
        <v>1677</v>
      </c>
      <c r="E161" s="644" t="s">
        <v>1696</v>
      </c>
      <c r="F161" s="645">
        <v>8400</v>
      </c>
      <c r="G161" s="600"/>
    </row>
    <row r="162" spans="1:9" s="599" customFormat="1" ht="24" thickBot="1" x14ac:dyDescent="0.65">
      <c r="A162" s="619"/>
      <c r="B162" s="620" t="s">
        <v>535</v>
      </c>
      <c r="C162" s="621"/>
      <c r="D162" s="625"/>
      <c r="E162" s="625"/>
      <c r="F162" s="625">
        <v>8400</v>
      </c>
      <c r="G162" s="600"/>
      <c r="H162" s="691">
        <f>SUM(F161)</f>
        <v>8400</v>
      </c>
      <c r="I162" s="872">
        <f>SUM(I157+H162)</f>
        <v>1171038.51</v>
      </c>
    </row>
    <row r="163" spans="1:9" ht="22.5" customHeight="1" thickTop="1" x14ac:dyDescent="0.3">
      <c r="D163" s="584"/>
      <c r="E163" s="585"/>
    </row>
    <row r="164" spans="1:9" ht="22.5" customHeight="1" x14ac:dyDescent="0.3">
      <c r="D164" s="584"/>
      <c r="E164" s="585"/>
      <c r="F164" s="1006">
        <v>1171038.5099999998</v>
      </c>
    </row>
    <row r="165" spans="1:9" ht="22.5" customHeight="1" x14ac:dyDescent="0.5">
      <c r="B165" s="587" t="s">
        <v>537</v>
      </c>
      <c r="C165" s="587"/>
      <c r="D165" s="587"/>
    </row>
    <row r="166" spans="1:9" x14ac:dyDescent="0.5">
      <c r="B166" s="1129" t="s">
        <v>538</v>
      </c>
      <c r="C166" s="1129"/>
      <c r="D166" s="1129"/>
    </row>
    <row r="167" spans="1:9" x14ac:dyDescent="0.5">
      <c r="B167" s="1129" t="s">
        <v>539</v>
      </c>
      <c r="C167" s="1129"/>
      <c r="D167" s="1129"/>
    </row>
  </sheetData>
  <mergeCells count="10">
    <mergeCell ref="A160:F160"/>
    <mergeCell ref="B166:D166"/>
    <mergeCell ref="B167:D167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scale="4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810C-3C13-47A5-9D30-4BE57D8AD22B}">
  <sheetPr>
    <tabColor rgb="FF92D050"/>
  </sheetPr>
  <dimension ref="A1:L111"/>
  <sheetViews>
    <sheetView zoomScale="80" zoomScaleNormal="80" workbookViewId="0">
      <pane ySplit="6" topLeftCell="A80" activePane="bottomLeft" state="frozen"/>
      <selection pane="bottomLeft" activeCell="E91" sqref="E91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35.33203125" style="696" customWidth="1"/>
    <col min="5" max="5" width="14.5546875" style="662" customWidth="1"/>
    <col min="6" max="6" width="5.77734375" style="662" customWidth="1"/>
    <col min="7" max="7" width="16.5546875" style="665" customWidth="1"/>
    <col min="8" max="8" width="10.6640625" style="3" customWidth="1"/>
    <col min="9" max="9" width="27.109375" style="3"/>
    <col min="10" max="10" width="27.109375" style="684"/>
    <col min="11" max="16384" width="27.109375" style="3"/>
  </cols>
  <sheetData>
    <row r="1" spans="1:10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2"/>
    </row>
    <row r="2" spans="1:10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2"/>
    </row>
    <row r="3" spans="1:10" ht="22.5" customHeight="1" x14ac:dyDescent="0.3">
      <c r="A3" s="1110" t="s">
        <v>1547</v>
      </c>
      <c r="B3" s="1111"/>
      <c r="C3" s="1111"/>
      <c r="D3" s="1111"/>
      <c r="E3" s="1111"/>
      <c r="F3" s="1111"/>
      <c r="G3" s="1111"/>
      <c r="H3" s="2"/>
    </row>
    <row r="4" spans="1:10" ht="22.5" customHeight="1" x14ac:dyDescent="0.3">
      <c r="A4" s="1112" t="s">
        <v>3</v>
      </c>
      <c r="B4" s="1112" t="s">
        <v>4</v>
      </c>
      <c r="C4" s="1115" t="s">
        <v>5</v>
      </c>
      <c r="D4" s="796"/>
      <c r="E4" s="1118" t="s">
        <v>9</v>
      </c>
      <c r="F4" s="1119"/>
      <c r="G4" s="1120"/>
      <c r="H4" s="2"/>
    </row>
    <row r="5" spans="1:10" ht="22.5" customHeight="1" x14ac:dyDescent="0.3">
      <c r="A5" s="1113"/>
      <c r="B5" s="1113"/>
      <c r="C5" s="1116"/>
      <c r="D5" s="694" t="s">
        <v>618</v>
      </c>
      <c r="E5" s="1121" t="s">
        <v>10</v>
      </c>
      <c r="F5" s="882"/>
      <c r="G5" s="667"/>
      <c r="H5" s="2"/>
    </row>
    <row r="6" spans="1:10" ht="22.5" customHeight="1" x14ac:dyDescent="0.3">
      <c r="A6" s="1114"/>
      <c r="B6" s="1114"/>
      <c r="C6" s="1117"/>
      <c r="D6" s="695"/>
      <c r="E6" s="1122"/>
      <c r="F6" s="883" t="s">
        <v>937</v>
      </c>
      <c r="G6" s="10" t="s">
        <v>15</v>
      </c>
      <c r="H6" s="2"/>
    </row>
    <row r="7" spans="1:10" ht="22.5" customHeight="1" x14ac:dyDescent="0.3">
      <c r="A7" s="61"/>
      <c r="B7" s="62" t="s">
        <v>37</v>
      </c>
      <c r="C7" s="63"/>
      <c r="D7" s="798"/>
      <c r="E7" s="69"/>
      <c r="F7" s="69"/>
      <c r="G7" s="72"/>
      <c r="H7" s="2"/>
    </row>
    <row r="8" spans="1:10" ht="22.5" customHeight="1" x14ac:dyDescent="0.3">
      <c r="A8" s="23">
        <v>1</v>
      </c>
      <c r="B8" s="73" t="s">
        <v>45</v>
      </c>
      <c r="C8" s="25" t="s">
        <v>46</v>
      </c>
      <c r="D8" s="799"/>
      <c r="E8" s="33" t="s">
        <v>1561</v>
      </c>
      <c r="F8" s="747" t="s">
        <v>33</v>
      </c>
      <c r="G8" s="36">
        <v>1765.4999999999998</v>
      </c>
      <c r="H8" s="2"/>
    </row>
    <row r="9" spans="1:10" ht="22.5" customHeight="1" x14ac:dyDescent="0.3">
      <c r="A9" s="23">
        <v>2</v>
      </c>
      <c r="B9" s="73" t="s">
        <v>48</v>
      </c>
      <c r="C9" s="25" t="s">
        <v>49</v>
      </c>
      <c r="D9" s="799"/>
      <c r="E9" s="33" t="s">
        <v>1561</v>
      </c>
      <c r="F9" s="747" t="s">
        <v>33</v>
      </c>
      <c r="G9" s="36">
        <v>1829.6999999999989</v>
      </c>
      <c r="H9" s="2"/>
    </row>
    <row r="10" spans="1:10" ht="22.5" customHeight="1" x14ac:dyDescent="0.3">
      <c r="A10" s="23">
        <v>3</v>
      </c>
      <c r="B10" s="73" t="s">
        <v>51</v>
      </c>
      <c r="C10" s="25" t="s">
        <v>52</v>
      </c>
      <c r="D10" s="799"/>
      <c r="E10" s="33" t="s">
        <v>1561</v>
      </c>
      <c r="F10" s="747" t="s">
        <v>33</v>
      </c>
      <c r="G10" s="36">
        <v>4766.8500000000031</v>
      </c>
      <c r="H10" s="2"/>
    </row>
    <row r="11" spans="1:10" s="60" customFormat="1" ht="22.5" customHeight="1" thickBot="1" x14ac:dyDescent="0.35">
      <c r="A11" s="48"/>
      <c r="B11" s="48" t="s">
        <v>15</v>
      </c>
      <c r="C11" s="49"/>
      <c r="D11" s="800"/>
      <c r="E11" s="107"/>
      <c r="F11" s="107"/>
      <c r="G11" s="110">
        <v>8362.0500000000011</v>
      </c>
      <c r="I11" s="683">
        <f>SUM(G8:G10)</f>
        <v>8362.0500000000029</v>
      </c>
      <c r="J11" s="685"/>
    </row>
    <row r="12" spans="1:10" ht="22.5" customHeight="1" thickTop="1" x14ac:dyDescent="0.3">
      <c r="A12" s="139"/>
      <c r="B12" s="140" t="s">
        <v>81</v>
      </c>
      <c r="C12" s="141"/>
      <c r="D12" s="1007"/>
      <c r="E12" s="144"/>
      <c r="F12" s="144"/>
      <c r="G12" s="147"/>
    </row>
    <row r="13" spans="1:10" ht="22.5" customHeight="1" x14ac:dyDescent="0.3">
      <c r="A13" s="970">
        <v>1</v>
      </c>
      <c r="B13" s="971" t="s">
        <v>1582</v>
      </c>
      <c r="C13" s="972" t="s">
        <v>1579</v>
      </c>
      <c r="D13" s="902"/>
      <c r="E13" s="978" t="s">
        <v>1585</v>
      </c>
      <c r="F13" s="978">
        <v>1</v>
      </c>
      <c r="G13" s="157">
        <v>10700</v>
      </c>
    </row>
    <row r="14" spans="1:10" s="60" customFormat="1" ht="22.5" customHeight="1" thickBot="1" x14ac:dyDescent="0.35">
      <c r="A14" s="158"/>
      <c r="B14" s="158" t="s">
        <v>15</v>
      </c>
      <c r="C14" s="159"/>
      <c r="D14" s="1008"/>
      <c r="E14" s="158"/>
      <c r="F14" s="158"/>
      <c r="G14" s="162">
        <v>10700</v>
      </c>
      <c r="I14" s="683">
        <f>SUM(G13)</f>
        <v>10700</v>
      </c>
      <c r="J14" s="685"/>
    </row>
    <row r="15" spans="1:10" ht="22.5" customHeight="1" thickTop="1" x14ac:dyDescent="0.3">
      <c r="A15" s="61"/>
      <c r="B15" s="62" t="s">
        <v>92</v>
      </c>
      <c r="C15" s="63"/>
      <c r="D15" s="798"/>
      <c r="E15" s="61"/>
      <c r="F15" s="61"/>
      <c r="G15" s="207"/>
      <c r="H15" s="2"/>
    </row>
    <row r="16" spans="1:10" ht="22.5" customHeight="1" x14ac:dyDescent="0.5">
      <c r="A16" s="208">
        <v>2</v>
      </c>
      <c r="B16" s="73" t="s">
        <v>1592</v>
      </c>
      <c r="C16" s="25" t="s">
        <v>1593</v>
      </c>
      <c r="D16" s="801"/>
      <c r="E16" s="215" t="s">
        <v>1561</v>
      </c>
      <c r="F16" s="215" t="s">
        <v>33</v>
      </c>
      <c r="G16" s="217">
        <v>11887.7</v>
      </c>
      <c r="H16" s="2"/>
    </row>
    <row r="17" spans="1:10" ht="22.5" customHeight="1" x14ac:dyDescent="0.5">
      <c r="A17" s="208">
        <v>3</v>
      </c>
      <c r="B17" s="73" t="s">
        <v>99</v>
      </c>
      <c r="C17" s="25" t="s">
        <v>567</v>
      </c>
      <c r="D17" s="801"/>
      <c r="E17" s="215" t="s">
        <v>1561</v>
      </c>
      <c r="F17" s="215" t="s">
        <v>33</v>
      </c>
      <c r="G17" s="217">
        <v>4247.8999999999996</v>
      </c>
      <c r="H17" s="2"/>
    </row>
    <row r="18" spans="1:10" ht="22.5" customHeight="1" x14ac:dyDescent="0.5">
      <c r="A18" s="208"/>
      <c r="B18" s="24" t="s">
        <v>99</v>
      </c>
      <c r="C18" s="222" t="s">
        <v>1596</v>
      </c>
      <c r="D18" s="802"/>
      <c r="E18" s="215" t="s">
        <v>1561</v>
      </c>
      <c r="F18" s="215" t="s">
        <v>33</v>
      </c>
      <c r="G18" s="217">
        <v>203.29999999999998</v>
      </c>
      <c r="H18" s="2"/>
    </row>
    <row r="19" spans="1:10" ht="22.5" customHeight="1" x14ac:dyDescent="0.5">
      <c r="A19" s="208">
        <v>4</v>
      </c>
      <c r="B19" s="73" t="s">
        <v>1597</v>
      </c>
      <c r="C19" s="25" t="s">
        <v>1598</v>
      </c>
      <c r="D19" s="801"/>
      <c r="E19" s="215" t="s">
        <v>1561</v>
      </c>
      <c r="F19" s="215" t="s">
        <v>33</v>
      </c>
      <c r="G19" s="217">
        <v>6922.9</v>
      </c>
      <c r="H19" s="2"/>
    </row>
    <row r="20" spans="1:10" ht="22.5" customHeight="1" x14ac:dyDescent="0.5">
      <c r="A20" s="208"/>
      <c r="B20" s="73" t="s">
        <v>1597</v>
      </c>
      <c r="C20" s="25" t="s">
        <v>1600</v>
      </c>
      <c r="D20" s="801"/>
      <c r="E20" s="215" t="s">
        <v>1561</v>
      </c>
      <c r="F20" s="215" t="s">
        <v>33</v>
      </c>
      <c r="G20" s="217">
        <v>13717.400000000001</v>
      </c>
      <c r="H20" s="2"/>
    </row>
    <row r="21" spans="1:10" ht="22.5" customHeight="1" x14ac:dyDescent="0.5">
      <c r="A21" s="208">
        <v>5</v>
      </c>
      <c r="B21" s="73" t="s">
        <v>105</v>
      </c>
      <c r="C21" s="25" t="s">
        <v>567</v>
      </c>
      <c r="D21" s="801"/>
      <c r="E21" s="215" t="s">
        <v>1561</v>
      </c>
      <c r="F21" s="215" t="s">
        <v>33</v>
      </c>
      <c r="G21" s="217">
        <v>13770.900000000005</v>
      </c>
      <c r="H21" s="2"/>
    </row>
    <row r="22" spans="1:10" ht="22.5" customHeight="1" x14ac:dyDescent="0.5">
      <c r="A22" s="208">
        <v>7</v>
      </c>
      <c r="B22" s="209" t="s">
        <v>1605</v>
      </c>
      <c r="C22" s="210" t="s">
        <v>1606</v>
      </c>
      <c r="D22" s="803"/>
      <c r="E22" s="215" t="s">
        <v>1561</v>
      </c>
      <c r="F22" s="215" t="s">
        <v>33</v>
      </c>
      <c r="G22" s="217">
        <v>36273</v>
      </c>
      <c r="H22" s="218"/>
    </row>
    <row r="23" spans="1:10" ht="22.5" customHeight="1" x14ac:dyDescent="0.5">
      <c r="A23" s="208">
        <v>9</v>
      </c>
      <c r="B23" s="73" t="s">
        <v>353</v>
      </c>
      <c r="C23" s="25" t="s">
        <v>1610</v>
      </c>
      <c r="D23" s="801"/>
      <c r="E23" s="215" t="s">
        <v>1561</v>
      </c>
      <c r="F23" s="215" t="s">
        <v>33</v>
      </c>
      <c r="G23" s="217">
        <v>2204.2000000000007</v>
      </c>
      <c r="H23" s="2"/>
    </row>
    <row r="24" spans="1:10" ht="22.5" customHeight="1" x14ac:dyDescent="0.5">
      <c r="A24" s="208"/>
      <c r="B24" s="73" t="s">
        <v>1613</v>
      </c>
      <c r="C24" s="25" t="s">
        <v>1288</v>
      </c>
      <c r="D24" s="801"/>
      <c r="E24" s="215" t="s">
        <v>1561</v>
      </c>
      <c r="F24" s="215" t="s">
        <v>33</v>
      </c>
      <c r="G24" s="217">
        <v>2985.3000000000011</v>
      </c>
      <c r="H24" s="2"/>
    </row>
    <row r="25" spans="1:10" ht="22.5" customHeight="1" x14ac:dyDescent="0.5">
      <c r="A25" s="208">
        <v>14</v>
      </c>
      <c r="B25" s="78" t="s">
        <v>1622</v>
      </c>
      <c r="C25" s="210" t="s">
        <v>567</v>
      </c>
      <c r="D25" s="803"/>
      <c r="E25" s="215" t="s">
        <v>1561</v>
      </c>
      <c r="F25" s="215" t="s">
        <v>33</v>
      </c>
      <c r="G25" s="217">
        <v>6805.1999999999989</v>
      </c>
      <c r="H25" s="2"/>
    </row>
    <row r="26" spans="1:10" ht="22.5" customHeight="1" x14ac:dyDescent="0.5">
      <c r="A26" s="208"/>
      <c r="B26" s="78" t="s">
        <v>1624</v>
      </c>
      <c r="C26" s="210" t="s">
        <v>1625</v>
      </c>
      <c r="D26" s="803"/>
      <c r="E26" s="215" t="s">
        <v>1561</v>
      </c>
      <c r="F26" s="215" t="s">
        <v>33</v>
      </c>
      <c r="G26" s="217">
        <v>16103.499999999991</v>
      </c>
      <c r="H26" s="2"/>
    </row>
    <row r="27" spans="1:10" s="229" customFormat="1" ht="22.5" customHeight="1" x14ac:dyDescent="0.5">
      <c r="A27" s="225">
        <v>16</v>
      </c>
      <c r="B27" s="226" t="s">
        <v>1627</v>
      </c>
      <c r="C27" s="227" t="s">
        <v>1610</v>
      </c>
      <c r="D27" s="804"/>
      <c r="E27" s="215" t="s">
        <v>1561</v>
      </c>
      <c r="F27" s="215" t="s">
        <v>33</v>
      </c>
      <c r="G27" s="217">
        <v>4344.2000000000016</v>
      </c>
      <c r="H27" s="47"/>
      <c r="J27" s="687"/>
    </row>
    <row r="28" spans="1:10" ht="22.5" customHeight="1" x14ac:dyDescent="0.5">
      <c r="A28" s="208">
        <v>25</v>
      </c>
      <c r="B28" s="240" t="s">
        <v>162</v>
      </c>
      <c r="C28" s="83" t="s">
        <v>567</v>
      </c>
      <c r="D28" s="803"/>
      <c r="E28" s="215" t="s">
        <v>1561</v>
      </c>
      <c r="F28" s="215" t="s">
        <v>33</v>
      </c>
      <c r="G28" s="217">
        <v>1722.6999999999985</v>
      </c>
      <c r="H28" s="2"/>
    </row>
    <row r="29" spans="1:10" ht="22.5" customHeight="1" x14ac:dyDescent="0.5">
      <c r="A29" s="242">
        <v>27</v>
      </c>
      <c r="B29" s="243" t="s">
        <v>1643</v>
      </c>
      <c r="C29" s="244" t="s">
        <v>567</v>
      </c>
      <c r="D29" s="803"/>
      <c r="E29" s="215" t="s">
        <v>1561</v>
      </c>
      <c r="F29" s="215" t="s">
        <v>33</v>
      </c>
      <c r="G29" s="217">
        <v>2642.9</v>
      </c>
      <c r="H29" s="2"/>
    </row>
    <row r="30" spans="1:10" ht="22.5" customHeight="1" x14ac:dyDescent="0.5">
      <c r="A30" s="208">
        <v>30</v>
      </c>
      <c r="B30" s="209" t="s">
        <v>1649</v>
      </c>
      <c r="C30" s="210" t="s">
        <v>567</v>
      </c>
      <c r="D30" s="803"/>
      <c r="E30" s="215" t="s">
        <v>1561</v>
      </c>
      <c r="F30" s="215" t="s">
        <v>33</v>
      </c>
      <c r="G30" s="217">
        <v>4033.9000000000005</v>
      </c>
      <c r="H30" s="2"/>
    </row>
    <row r="31" spans="1:10" ht="22.5" customHeight="1" x14ac:dyDescent="0.5">
      <c r="A31" s="208"/>
      <c r="B31" s="209" t="s">
        <v>1660</v>
      </c>
      <c r="C31" s="210" t="s">
        <v>1288</v>
      </c>
      <c r="D31" s="803"/>
      <c r="E31" s="215" t="s">
        <v>1561</v>
      </c>
      <c r="F31" s="215" t="s">
        <v>33</v>
      </c>
      <c r="G31" s="217">
        <v>9416.0000000000036</v>
      </c>
      <c r="H31" s="2"/>
    </row>
    <row r="32" spans="1:10" ht="22.5" customHeight="1" x14ac:dyDescent="0.5">
      <c r="A32" s="208"/>
      <c r="B32" s="209" t="s">
        <v>1666</v>
      </c>
      <c r="C32" s="210" t="s">
        <v>567</v>
      </c>
      <c r="D32" s="803"/>
      <c r="E32" s="215" t="s">
        <v>1561</v>
      </c>
      <c r="F32" s="215" t="s">
        <v>33</v>
      </c>
      <c r="G32" s="217">
        <v>1069.9999999999995</v>
      </c>
      <c r="H32" s="2"/>
    </row>
    <row r="33" spans="1:10" ht="22.5" customHeight="1" x14ac:dyDescent="0.5">
      <c r="A33" s="208">
        <v>39</v>
      </c>
      <c r="B33" s="209" t="s">
        <v>200</v>
      </c>
      <c r="C33" s="210" t="s">
        <v>567</v>
      </c>
      <c r="D33" s="803"/>
      <c r="E33" s="215" t="s">
        <v>1477</v>
      </c>
      <c r="F33" s="216" t="s">
        <v>33</v>
      </c>
      <c r="G33" s="217">
        <v>12519</v>
      </c>
      <c r="H33" s="2"/>
    </row>
    <row r="34" spans="1:10" ht="22.5" customHeight="1" x14ac:dyDescent="0.5">
      <c r="A34" s="208">
        <v>43</v>
      </c>
      <c r="B34" s="209" t="s">
        <v>210</v>
      </c>
      <c r="C34" s="210" t="s">
        <v>567</v>
      </c>
      <c r="D34" s="803"/>
      <c r="E34" s="239" t="s">
        <v>1561</v>
      </c>
      <c r="F34" s="239" t="s">
        <v>33</v>
      </c>
      <c r="G34" s="217">
        <v>10550.200000000003</v>
      </c>
      <c r="H34" s="2"/>
    </row>
    <row r="35" spans="1:10" ht="22.5" customHeight="1" x14ac:dyDescent="0.5">
      <c r="A35" s="253">
        <v>46</v>
      </c>
      <c r="B35" s="254" t="s">
        <v>217</v>
      </c>
      <c r="C35" s="238" t="s">
        <v>567</v>
      </c>
      <c r="D35" s="803"/>
      <c r="E35" s="239" t="s">
        <v>1561</v>
      </c>
      <c r="F35" s="239" t="s">
        <v>33</v>
      </c>
      <c r="G35" s="217">
        <v>1840.4000000000005</v>
      </c>
      <c r="H35" s="2"/>
    </row>
    <row r="36" spans="1:10" ht="22.5" customHeight="1" x14ac:dyDescent="0.5">
      <c r="A36" s="235">
        <v>47</v>
      </c>
      <c r="B36" s="257" t="s">
        <v>1679</v>
      </c>
      <c r="C36" s="257" t="s">
        <v>567</v>
      </c>
      <c r="D36" s="805"/>
      <c r="E36" s="239" t="s">
        <v>1561</v>
      </c>
      <c r="F36" s="239" t="s">
        <v>33</v>
      </c>
      <c r="G36" s="761">
        <v>214</v>
      </c>
      <c r="H36" s="2"/>
    </row>
    <row r="37" spans="1:10" ht="22.5" customHeight="1" x14ac:dyDescent="0.5">
      <c r="A37" s="297">
        <v>49</v>
      </c>
      <c r="B37" s="222" t="s">
        <v>224</v>
      </c>
      <c r="C37" s="222" t="s">
        <v>567</v>
      </c>
      <c r="D37" s="802"/>
      <c r="E37" s="215" t="s">
        <v>1681</v>
      </c>
      <c r="F37" s="215" t="s">
        <v>115</v>
      </c>
      <c r="G37" s="990">
        <v>1241.2000000000003</v>
      </c>
      <c r="H37" s="2"/>
    </row>
    <row r="38" spans="1:10" ht="22.5" customHeight="1" x14ac:dyDescent="0.5">
      <c r="A38" s="297">
        <v>50</v>
      </c>
      <c r="B38" s="222" t="s">
        <v>226</v>
      </c>
      <c r="C38" s="222" t="s">
        <v>567</v>
      </c>
      <c r="D38" s="802"/>
      <c r="E38" s="215" t="s">
        <v>1561</v>
      </c>
      <c r="F38" s="215" t="s">
        <v>33</v>
      </c>
      <c r="G38" s="990">
        <v>3991.100000000004</v>
      </c>
      <c r="H38" s="2"/>
    </row>
    <row r="39" spans="1:10" ht="22.5" customHeight="1" x14ac:dyDescent="0.5">
      <c r="A39" s="297">
        <v>51</v>
      </c>
      <c r="B39" s="222" t="s">
        <v>229</v>
      </c>
      <c r="C39" s="222" t="s">
        <v>567</v>
      </c>
      <c r="D39" s="802"/>
      <c r="E39" s="215" t="s">
        <v>1561</v>
      </c>
      <c r="F39" s="215" t="s">
        <v>33</v>
      </c>
      <c r="G39" s="995">
        <v>12957.699999999999</v>
      </c>
      <c r="H39" s="2"/>
    </row>
    <row r="40" spans="1:10" s="60" customFormat="1" ht="22.5" customHeight="1" thickBot="1" x14ac:dyDescent="0.35">
      <c r="A40" s="278"/>
      <c r="B40" s="278" t="s">
        <v>15</v>
      </c>
      <c r="C40" s="279"/>
      <c r="D40" s="808"/>
      <c r="E40" s="280">
        <v>0</v>
      </c>
      <c r="F40" s="280">
        <v>0</v>
      </c>
      <c r="G40" s="280">
        <v>181664.6</v>
      </c>
      <c r="H40" s="59"/>
      <c r="I40" s="683">
        <f>SUM(G16:G39)</f>
        <v>181664.6</v>
      </c>
      <c r="J40" s="685"/>
    </row>
    <row r="41" spans="1:10" ht="22.5" customHeight="1" thickTop="1" x14ac:dyDescent="0.3">
      <c r="A41" s="61"/>
      <c r="B41" s="121" t="s">
        <v>232</v>
      </c>
      <c r="C41" s="63"/>
      <c r="D41" s="798"/>
      <c r="E41" s="69"/>
      <c r="F41" s="69"/>
      <c r="G41" s="289"/>
      <c r="H41" s="2"/>
    </row>
    <row r="42" spans="1:10" ht="22.5" customHeight="1" x14ac:dyDescent="0.5">
      <c r="A42" s="23">
        <v>1</v>
      </c>
      <c r="B42" s="73" t="s">
        <v>240</v>
      </c>
      <c r="C42" s="25" t="s">
        <v>241</v>
      </c>
      <c r="D42" s="801"/>
      <c r="E42" s="297" t="s">
        <v>1681</v>
      </c>
      <c r="F42" s="297" t="s">
        <v>115</v>
      </c>
      <c r="G42" s="36">
        <v>31500</v>
      </c>
      <c r="H42" s="2"/>
    </row>
    <row r="43" spans="1:10" ht="22.5" customHeight="1" x14ac:dyDescent="0.5">
      <c r="A43" s="23">
        <v>2</v>
      </c>
      <c r="B43" s="73" t="s">
        <v>240</v>
      </c>
      <c r="C43" s="25" t="s">
        <v>242</v>
      </c>
      <c r="D43" s="801"/>
      <c r="E43" s="297" t="s">
        <v>1681</v>
      </c>
      <c r="F43" s="297" t="s">
        <v>115</v>
      </c>
      <c r="G43" s="36">
        <v>12600</v>
      </c>
      <c r="H43" s="2"/>
    </row>
    <row r="44" spans="1:10" ht="22.5" customHeight="1" x14ac:dyDescent="0.5">
      <c r="A44" s="23">
        <v>3</v>
      </c>
      <c r="B44" s="73" t="s">
        <v>248</v>
      </c>
      <c r="C44" s="25" t="s">
        <v>249</v>
      </c>
      <c r="D44" s="801"/>
      <c r="E44" s="215" t="s">
        <v>1561</v>
      </c>
      <c r="F44" s="215" t="s">
        <v>33</v>
      </c>
      <c r="G44" s="36">
        <v>6300</v>
      </c>
      <c r="H44" s="2"/>
    </row>
    <row r="45" spans="1:10" ht="22.5" customHeight="1" x14ac:dyDescent="0.5">
      <c r="A45" s="23">
        <v>4</v>
      </c>
      <c r="B45" s="209" t="s">
        <v>250</v>
      </c>
      <c r="C45" s="210" t="s">
        <v>251</v>
      </c>
      <c r="D45" s="803"/>
      <c r="E45" s="215" t="s">
        <v>1561</v>
      </c>
      <c r="F45" s="215" t="s">
        <v>33</v>
      </c>
      <c r="G45" s="36">
        <v>6300</v>
      </c>
      <c r="H45" s="218"/>
    </row>
    <row r="46" spans="1:10" ht="22.5" customHeight="1" x14ac:dyDescent="0.5">
      <c r="A46" s="23">
        <v>5</v>
      </c>
      <c r="B46" s="73" t="s">
        <v>253</v>
      </c>
      <c r="C46" s="25" t="s">
        <v>254</v>
      </c>
      <c r="D46" s="801"/>
      <c r="E46" s="215" t="s">
        <v>1561</v>
      </c>
      <c r="F46" s="215" t="s">
        <v>33</v>
      </c>
      <c r="G46" s="36">
        <v>9450</v>
      </c>
    </row>
    <row r="47" spans="1:10" ht="22.5" customHeight="1" x14ac:dyDescent="0.5">
      <c r="A47" s="23">
        <v>6</v>
      </c>
      <c r="B47" s="73" t="s">
        <v>261</v>
      </c>
      <c r="C47" s="25" t="s">
        <v>262</v>
      </c>
      <c r="D47" s="801"/>
      <c r="E47" s="215" t="s">
        <v>1561</v>
      </c>
      <c r="F47" s="215" t="s">
        <v>33</v>
      </c>
      <c r="G47" s="36">
        <v>5600</v>
      </c>
    </row>
    <row r="48" spans="1:10" ht="22.5" customHeight="1" x14ac:dyDescent="0.5">
      <c r="A48" s="23">
        <v>7</v>
      </c>
      <c r="B48" s="73" t="s">
        <v>264</v>
      </c>
      <c r="C48" s="25" t="s">
        <v>265</v>
      </c>
      <c r="D48" s="801"/>
      <c r="E48" s="215" t="s">
        <v>1561</v>
      </c>
      <c r="F48" s="215" t="s">
        <v>33</v>
      </c>
      <c r="G48" s="36">
        <v>5600</v>
      </c>
    </row>
    <row r="49" spans="1:10" ht="22.5" customHeight="1" x14ac:dyDescent="0.5">
      <c r="A49" s="23">
        <v>8</v>
      </c>
      <c r="B49" s="73" t="s">
        <v>261</v>
      </c>
      <c r="C49" s="25" t="s">
        <v>273</v>
      </c>
      <c r="D49" s="801"/>
      <c r="E49" s="215" t="s">
        <v>1561</v>
      </c>
      <c r="F49" s="215" t="s">
        <v>33</v>
      </c>
      <c r="G49" s="36">
        <v>9450</v>
      </c>
    </row>
    <row r="50" spans="1:10" ht="22.5" customHeight="1" x14ac:dyDescent="0.5">
      <c r="A50" s="23">
        <v>9</v>
      </c>
      <c r="B50" s="73" t="s">
        <v>281</v>
      </c>
      <c r="C50" s="25" t="s">
        <v>282</v>
      </c>
      <c r="D50" s="801"/>
      <c r="E50" s="215" t="s">
        <v>1561</v>
      </c>
      <c r="F50" s="215" t="s">
        <v>33</v>
      </c>
      <c r="G50" s="36">
        <v>5600</v>
      </c>
      <c r="H50" s="2"/>
    </row>
    <row r="51" spans="1:10" ht="22.5" customHeight="1" x14ac:dyDescent="0.5">
      <c r="A51" s="23">
        <v>10</v>
      </c>
      <c r="B51" s="209" t="s">
        <v>300</v>
      </c>
      <c r="C51" s="210" t="s">
        <v>301</v>
      </c>
      <c r="D51" s="803"/>
      <c r="E51" s="215" t="s">
        <v>1561</v>
      </c>
      <c r="F51" s="215" t="s">
        <v>33</v>
      </c>
      <c r="G51" s="36">
        <v>5600</v>
      </c>
      <c r="H51" s="2"/>
    </row>
    <row r="52" spans="1:10" ht="22.5" customHeight="1" x14ac:dyDescent="0.5">
      <c r="A52" s="23">
        <v>11</v>
      </c>
      <c r="B52" s="209" t="s">
        <v>303</v>
      </c>
      <c r="C52" s="210" t="s">
        <v>304</v>
      </c>
      <c r="D52" s="803"/>
      <c r="E52" s="215" t="s">
        <v>1561</v>
      </c>
      <c r="F52" s="215" t="s">
        <v>33</v>
      </c>
      <c r="G52" s="36">
        <v>2800</v>
      </c>
      <c r="H52" s="2"/>
    </row>
    <row r="53" spans="1:10" ht="22.5" customHeight="1" x14ac:dyDescent="0.5">
      <c r="A53" s="23">
        <v>12</v>
      </c>
      <c r="B53" s="73" t="s">
        <v>261</v>
      </c>
      <c r="C53" s="25" t="s">
        <v>311</v>
      </c>
      <c r="D53" s="801"/>
      <c r="E53" s="215" t="s">
        <v>1561</v>
      </c>
      <c r="F53" s="215" t="s">
        <v>33</v>
      </c>
      <c r="G53" s="36">
        <v>2800</v>
      </c>
    </row>
    <row r="54" spans="1:10" ht="22.5" customHeight="1" x14ac:dyDescent="0.5">
      <c r="A54" s="23">
        <v>13</v>
      </c>
      <c r="B54" s="310" t="s">
        <v>261</v>
      </c>
      <c r="C54" s="311" t="s">
        <v>312</v>
      </c>
      <c r="D54" s="811"/>
      <c r="E54" s="215" t="s">
        <v>1561</v>
      </c>
      <c r="F54" s="215" t="s">
        <v>33</v>
      </c>
      <c r="G54" s="36">
        <v>2800</v>
      </c>
    </row>
    <row r="55" spans="1:10" ht="22.5" customHeight="1" x14ac:dyDescent="0.5">
      <c r="A55" s="23">
        <v>14</v>
      </c>
      <c r="B55" s="73" t="s">
        <v>313</v>
      </c>
      <c r="C55" s="25" t="s">
        <v>314</v>
      </c>
      <c r="D55" s="801"/>
      <c r="E55" s="215" t="s">
        <v>1561</v>
      </c>
      <c r="F55" s="215" t="s">
        <v>33</v>
      </c>
      <c r="G55" s="36">
        <v>2800</v>
      </c>
    </row>
    <row r="56" spans="1:10" ht="22.5" customHeight="1" x14ac:dyDescent="0.5">
      <c r="A56" s="23">
        <v>15</v>
      </c>
      <c r="B56" s="73" t="s">
        <v>261</v>
      </c>
      <c r="C56" s="25" t="s">
        <v>316</v>
      </c>
      <c r="D56" s="801"/>
      <c r="E56" s="215" t="s">
        <v>1561</v>
      </c>
      <c r="F56" s="215" t="s">
        <v>33</v>
      </c>
      <c r="G56" s="36">
        <v>2800</v>
      </c>
    </row>
    <row r="57" spans="1:10" ht="22.5" customHeight="1" x14ac:dyDescent="0.3">
      <c r="A57" s="23">
        <v>16</v>
      </c>
      <c r="B57" s="73" t="s">
        <v>322</v>
      </c>
      <c r="C57" s="25" t="s">
        <v>323</v>
      </c>
      <c r="D57" s="801">
        <v>11200</v>
      </c>
      <c r="E57" s="314"/>
      <c r="F57" s="315"/>
      <c r="G57" s="36"/>
    </row>
    <row r="58" spans="1:10" ht="22.5" customHeight="1" x14ac:dyDescent="0.5">
      <c r="A58" s="23">
        <v>17</v>
      </c>
      <c r="B58" s="343" t="s">
        <v>341</v>
      </c>
      <c r="C58" s="165" t="s">
        <v>342</v>
      </c>
      <c r="D58" s="810">
        <v>434.21</v>
      </c>
      <c r="E58" s="41"/>
      <c r="F58" s="41"/>
      <c r="G58" s="36"/>
    </row>
    <row r="59" spans="1:10" ht="22.5" customHeight="1" x14ac:dyDescent="0.5">
      <c r="A59" s="23">
        <v>18</v>
      </c>
      <c r="B59" s="290" t="s">
        <v>355</v>
      </c>
      <c r="C59" s="371" t="s">
        <v>356</v>
      </c>
      <c r="D59" s="801"/>
      <c r="E59" s="215" t="s">
        <v>1561</v>
      </c>
      <c r="F59" s="215" t="s">
        <v>33</v>
      </c>
      <c r="G59" s="36">
        <v>9400</v>
      </c>
    </row>
    <row r="60" spans="1:10" ht="22.5" customHeight="1" x14ac:dyDescent="0.5">
      <c r="A60" s="23">
        <v>19</v>
      </c>
      <c r="B60" s="374" t="s">
        <v>358</v>
      </c>
      <c r="C60" s="375" t="s">
        <v>356</v>
      </c>
      <c r="D60" s="801"/>
      <c r="E60" s="215" t="s">
        <v>1681</v>
      </c>
      <c r="F60" s="937" t="s">
        <v>115</v>
      </c>
      <c r="G60" s="36">
        <v>19620</v>
      </c>
    </row>
    <row r="61" spans="1:10" ht="22.5" customHeight="1" x14ac:dyDescent="0.3">
      <c r="A61" s="23">
        <v>20</v>
      </c>
      <c r="B61" s="73" t="s">
        <v>364</v>
      </c>
      <c r="C61" s="25" t="s">
        <v>365</v>
      </c>
      <c r="D61" s="799"/>
      <c r="E61" s="41" t="s">
        <v>1561</v>
      </c>
      <c r="F61" s="41" t="s">
        <v>33</v>
      </c>
      <c r="G61" s="36">
        <v>10000</v>
      </c>
    </row>
    <row r="62" spans="1:10" s="60" customFormat="1" ht="22.5" customHeight="1" thickBot="1" x14ac:dyDescent="0.35">
      <c r="A62" s="317"/>
      <c r="B62" s="317" t="s">
        <v>15</v>
      </c>
      <c r="C62" s="318"/>
      <c r="D62" s="809"/>
      <c r="E62" s="407"/>
      <c r="F62" s="407"/>
      <c r="G62" s="323">
        <f>SUM(G42:G61)</f>
        <v>151020</v>
      </c>
      <c r="I62" s="683">
        <f>SUM(G42:G61)</f>
        <v>151020</v>
      </c>
      <c r="J62" s="685"/>
    </row>
    <row r="63" spans="1:10" ht="22.5" customHeight="1" thickTop="1" x14ac:dyDescent="0.3">
      <c r="A63" s="61"/>
      <c r="B63" s="62" t="s">
        <v>392</v>
      </c>
      <c r="C63" s="63"/>
      <c r="D63" s="798"/>
      <c r="E63" s="69"/>
      <c r="F63" s="69"/>
      <c r="G63" s="72"/>
    </row>
    <row r="64" spans="1:10" ht="22.5" customHeight="1" x14ac:dyDescent="0.3">
      <c r="A64" s="61"/>
      <c r="B64" s="62" t="s">
        <v>1336</v>
      </c>
      <c r="C64" s="63"/>
      <c r="D64" s="798"/>
      <c r="E64" s="69"/>
      <c r="F64" s="117"/>
      <c r="G64" s="72"/>
    </row>
    <row r="65" spans="1:11" ht="22.5" customHeight="1" x14ac:dyDescent="0.3">
      <c r="A65" s="61">
        <v>1</v>
      </c>
      <c r="B65" s="838" t="s">
        <v>1380</v>
      </c>
      <c r="C65" s="63" t="s">
        <v>1370</v>
      </c>
      <c r="D65" s="798"/>
      <c r="E65" s="69" t="s">
        <v>1336</v>
      </c>
      <c r="F65" s="117"/>
      <c r="G65" s="72">
        <v>1266.8800000000001</v>
      </c>
    </row>
    <row r="66" spans="1:11" s="60" customFormat="1" ht="22.5" customHeight="1" thickBot="1" x14ac:dyDescent="0.35">
      <c r="A66" s="317"/>
      <c r="B66" s="317" t="s">
        <v>15</v>
      </c>
      <c r="C66" s="318"/>
      <c r="D66" s="809"/>
      <c r="E66" s="383">
        <v>0</v>
      </c>
      <c r="F66" s="383">
        <v>0</v>
      </c>
      <c r="G66" s="383">
        <v>1266.8800000000001</v>
      </c>
      <c r="I66" s="683">
        <f>SUM(G65)</f>
        <v>1266.8800000000001</v>
      </c>
      <c r="J66" s="685"/>
    </row>
    <row r="67" spans="1:11" ht="22.5" customHeight="1" thickTop="1" x14ac:dyDescent="0.3">
      <c r="A67" s="61"/>
      <c r="B67" s="164" t="s">
        <v>399</v>
      </c>
      <c r="C67" s="63"/>
      <c r="D67" s="798"/>
      <c r="E67" s="69"/>
      <c r="F67" s="69"/>
      <c r="G67" s="387"/>
    </row>
    <row r="68" spans="1:11" ht="22.5" customHeight="1" x14ac:dyDescent="0.3">
      <c r="A68" s="61">
        <v>35</v>
      </c>
      <c r="B68" s="290" t="s">
        <v>463</v>
      </c>
      <c r="C68" s="63" t="s">
        <v>464</v>
      </c>
      <c r="D68" s="798"/>
      <c r="E68" s="69" t="s">
        <v>795</v>
      </c>
      <c r="F68" s="69"/>
      <c r="G68" s="387">
        <v>1064.44</v>
      </c>
    </row>
    <row r="69" spans="1:11" ht="22.5" customHeight="1" x14ac:dyDescent="0.3">
      <c r="A69" s="23">
        <v>50</v>
      </c>
      <c r="B69" s="290" t="s">
        <v>495</v>
      </c>
      <c r="C69" s="25" t="s">
        <v>496</v>
      </c>
      <c r="D69" s="799"/>
      <c r="E69" s="41" t="s">
        <v>795</v>
      </c>
      <c r="F69" s="41"/>
      <c r="G69" s="387">
        <v>20595.900000000001</v>
      </c>
    </row>
    <row r="70" spans="1:11" s="60" customFormat="1" ht="22.5" customHeight="1" thickBot="1" x14ac:dyDescent="0.35">
      <c r="A70" s="362"/>
      <c r="B70" s="362" t="s">
        <v>15</v>
      </c>
      <c r="C70" s="455"/>
      <c r="D70" s="812"/>
      <c r="E70" s="362"/>
      <c r="F70" s="362"/>
      <c r="G70" s="364">
        <v>21660.34</v>
      </c>
      <c r="I70" s="683">
        <f>SUM(G68:G69)</f>
        <v>21660.34</v>
      </c>
      <c r="J70" s="685"/>
    </row>
    <row r="71" spans="1:11" s="60" customFormat="1" ht="22.5" customHeight="1" thickTop="1" thickBot="1" x14ac:dyDescent="0.35">
      <c r="A71" s="459"/>
      <c r="B71" s="460" t="s">
        <v>497</v>
      </c>
      <c r="C71" s="461"/>
      <c r="D71" s="813"/>
      <c r="E71" s="462">
        <v>0</v>
      </c>
      <c r="F71" s="462"/>
      <c r="G71" s="462">
        <v>374673.86970000004</v>
      </c>
      <c r="J71" s="689">
        <f>SUM(I10:I70)</f>
        <v>374673.87000000005</v>
      </c>
      <c r="K71" s="60" t="s">
        <v>670</v>
      </c>
    </row>
    <row r="72" spans="1:11" ht="22.5" customHeight="1" thickTop="1" x14ac:dyDescent="0.3">
      <c r="E72" s="3"/>
      <c r="F72" s="3"/>
      <c r="G72" s="472"/>
    </row>
    <row r="73" spans="1:11" ht="22.5" customHeight="1" x14ac:dyDescent="0.3">
      <c r="A73" s="1123" t="s">
        <v>671</v>
      </c>
      <c r="B73" s="1124"/>
      <c r="C73" s="1124"/>
      <c r="D73" s="1124"/>
      <c r="E73" s="1124"/>
      <c r="F73" s="1124"/>
      <c r="G73" s="1125"/>
      <c r="H73" s="2"/>
    </row>
    <row r="74" spans="1:11" ht="22.5" customHeight="1" x14ac:dyDescent="0.3">
      <c r="A74" s="115"/>
      <c r="B74" s="164" t="s">
        <v>499</v>
      </c>
      <c r="C74" s="165"/>
      <c r="D74" s="810"/>
      <c r="E74" s="117"/>
      <c r="F74" s="117"/>
      <c r="G74" s="370"/>
      <c r="H74" s="2"/>
    </row>
    <row r="75" spans="1:11" ht="22.5" customHeight="1" x14ac:dyDescent="0.3">
      <c r="A75" s="475">
        <v>1</v>
      </c>
      <c r="B75" s="489" t="s">
        <v>1397</v>
      </c>
      <c r="C75" s="498"/>
      <c r="D75" s="698"/>
      <c r="E75" s="484"/>
      <c r="F75" s="892"/>
      <c r="G75" s="497">
        <v>325409.68</v>
      </c>
      <c r="H75" s="2" t="s">
        <v>1398</v>
      </c>
    </row>
    <row r="76" spans="1:11" ht="22.5" customHeight="1" x14ac:dyDescent="0.3">
      <c r="A76" s="502"/>
      <c r="B76" s="503" t="s">
        <v>1399</v>
      </c>
      <c r="C76" s="504"/>
      <c r="D76" s="815"/>
      <c r="E76" s="509"/>
      <c r="F76" s="893"/>
      <c r="G76" s="513"/>
      <c r="H76" s="2"/>
    </row>
    <row r="77" spans="1:11" ht="22.5" customHeight="1" x14ac:dyDescent="0.3">
      <c r="A77" s="488"/>
      <c r="B77" s="489" t="s">
        <v>1400</v>
      </c>
      <c r="C77" s="514"/>
      <c r="D77" s="699"/>
      <c r="E77" s="520"/>
      <c r="F77" s="520"/>
      <c r="G77" s="524"/>
    </row>
    <row r="78" spans="1:11" ht="22.5" customHeight="1" x14ac:dyDescent="0.3">
      <c r="A78" s="488">
        <v>2</v>
      </c>
      <c r="B78" s="525" t="s">
        <v>1401</v>
      </c>
      <c r="C78" s="526"/>
      <c r="D78" s="816"/>
      <c r="E78" s="521"/>
      <c r="F78" s="529"/>
      <c r="G78" s="532">
        <v>108369.18</v>
      </c>
      <c r="H78" s="3" t="s">
        <v>1398</v>
      </c>
    </row>
    <row r="79" spans="1:11" ht="22.5" customHeight="1" x14ac:dyDescent="0.3">
      <c r="A79" s="488"/>
      <c r="B79" s="525" t="s">
        <v>1402</v>
      </c>
      <c r="C79" s="526"/>
      <c r="D79" s="816"/>
      <c r="E79" s="521"/>
      <c r="F79" s="529"/>
      <c r="G79" s="532"/>
    </row>
    <row r="80" spans="1:11" ht="22.5" customHeight="1" x14ac:dyDescent="0.3">
      <c r="A80" s="737"/>
      <c r="B80" s="525" t="s">
        <v>1403</v>
      </c>
      <c r="C80" s="526"/>
      <c r="D80" s="816"/>
      <c r="E80" s="521"/>
      <c r="F80" s="521"/>
      <c r="G80" s="932"/>
    </row>
    <row r="81" spans="1:12" ht="22.5" customHeight="1" x14ac:dyDescent="0.3">
      <c r="A81" s="737">
        <v>3</v>
      </c>
      <c r="B81" s="525" t="s">
        <v>1404</v>
      </c>
      <c r="C81" s="526"/>
      <c r="D81" s="816"/>
      <c r="E81" s="521"/>
      <c r="F81" s="521"/>
      <c r="G81" s="932">
        <v>39949.17</v>
      </c>
      <c r="H81" s="3" t="s">
        <v>1398</v>
      </c>
    </row>
    <row r="82" spans="1:12" ht="22.5" customHeight="1" x14ac:dyDescent="0.3">
      <c r="A82" s="737"/>
      <c r="B82" s="525" t="s">
        <v>1405</v>
      </c>
      <c r="C82" s="526"/>
      <c r="D82" s="816"/>
      <c r="E82" s="521"/>
      <c r="F82" s="521"/>
      <c r="G82" s="932"/>
    </row>
    <row r="83" spans="1:12" ht="22.5" customHeight="1" x14ac:dyDescent="0.3">
      <c r="A83" s="737"/>
      <c r="B83" s="525" t="s">
        <v>1406</v>
      </c>
      <c r="C83" s="526"/>
      <c r="D83" s="816"/>
      <c r="E83" s="521"/>
      <c r="F83" s="521"/>
      <c r="G83" s="932"/>
    </row>
    <row r="84" spans="1:12" ht="22.5" customHeight="1" x14ac:dyDescent="0.3">
      <c r="A84" s="737">
        <v>4</v>
      </c>
      <c r="B84" s="525" t="s">
        <v>1407</v>
      </c>
      <c r="C84" s="526"/>
      <c r="D84" s="816"/>
      <c r="E84" s="521"/>
      <c r="F84" s="521"/>
      <c r="G84" s="932">
        <v>796450.34</v>
      </c>
    </row>
    <row r="85" spans="1:12" ht="22.5" customHeight="1" x14ac:dyDescent="0.3">
      <c r="A85" s="737"/>
      <c r="B85" s="525" t="s">
        <v>1408</v>
      </c>
      <c r="C85" s="526"/>
      <c r="D85" s="816"/>
      <c r="E85" s="521"/>
      <c r="F85" s="521"/>
      <c r="G85" s="932"/>
    </row>
    <row r="86" spans="1:12" ht="22.5" customHeight="1" x14ac:dyDescent="0.3">
      <c r="A86" s="737"/>
      <c r="B86" s="525" t="s">
        <v>1409</v>
      </c>
      <c r="C86" s="526"/>
      <c r="D86" s="816"/>
      <c r="E86" s="521"/>
      <c r="F86" s="521"/>
      <c r="G86" s="932">
        <v>93330</v>
      </c>
    </row>
    <row r="87" spans="1:12" s="60" customFormat="1" ht="22.5" customHeight="1" thickBot="1" x14ac:dyDescent="0.35">
      <c r="A87" s="921"/>
      <c r="B87" s="921" t="s">
        <v>15</v>
      </c>
      <c r="C87" s="922"/>
      <c r="D87" s="934"/>
      <c r="E87" s="926">
        <v>0</v>
      </c>
      <c r="F87" s="926">
        <v>0</v>
      </c>
      <c r="G87" s="926">
        <v>1363508.3699999999</v>
      </c>
      <c r="H87" s="59"/>
      <c r="I87" s="683">
        <f>SUM(G75:G86)</f>
        <v>1363508.3699999999</v>
      </c>
      <c r="J87" s="685"/>
    </row>
    <row r="88" spans="1:12" ht="22.5" customHeight="1" thickTop="1" x14ac:dyDescent="0.3">
      <c r="A88" s="559"/>
      <c r="B88" s="560" t="s">
        <v>92</v>
      </c>
      <c r="C88" s="561"/>
      <c r="D88" s="819"/>
      <c r="E88" s="567"/>
      <c r="F88" s="567"/>
      <c r="G88" s="570"/>
      <c r="H88" s="2"/>
    </row>
    <row r="89" spans="1:12" ht="22.5" customHeight="1" x14ac:dyDescent="0.3">
      <c r="A89" s="23">
        <v>1</v>
      </c>
      <c r="B89" s="73" t="s">
        <v>512</v>
      </c>
      <c r="C89" s="25" t="s">
        <v>97</v>
      </c>
      <c r="D89" s="799"/>
      <c r="E89" s="41" t="s">
        <v>513</v>
      </c>
      <c r="F89" s="41"/>
      <c r="G89" s="36">
        <v>10499.9956</v>
      </c>
      <c r="H89" s="2"/>
    </row>
    <row r="90" spans="1:12" s="60" customFormat="1" ht="22.5" customHeight="1" thickBot="1" x14ac:dyDescent="0.35">
      <c r="A90" s="548"/>
      <c r="B90" s="548" t="s">
        <v>15</v>
      </c>
      <c r="C90" s="549"/>
      <c r="D90" s="818"/>
      <c r="E90" s="548"/>
      <c r="F90" s="548"/>
      <c r="G90" s="558">
        <v>10499.9956</v>
      </c>
      <c r="H90" s="59"/>
      <c r="I90" s="683">
        <f>SUM(G89)</f>
        <v>10499.9956</v>
      </c>
      <c r="J90" s="685"/>
    </row>
    <row r="91" spans="1:12" s="60" customFormat="1" ht="22.5" customHeight="1" thickTop="1" thickBot="1" x14ac:dyDescent="0.35">
      <c r="A91" s="572"/>
      <c r="B91" s="572" t="s">
        <v>515</v>
      </c>
      <c r="C91" s="573"/>
      <c r="D91" s="820"/>
      <c r="E91" s="580"/>
      <c r="F91" s="580"/>
      <c r="G91" s="583">
        <v>1374008.3655999999</v>
      </c>
      <c r="H91" s="59"/>
      <c r="J91" s="689">
        <f>SUM(I87:I90)</f>
        <v>1374008.3655999999</v>
      </c>
    </row>
    <row r="92" spans="1:12" ht="22.5" customHeight="1" thickTop="1" x14ac:dyDescent="0.3">
      <c r="E92" s="470"/>
      <c r="F92" s="470"/>
      <c r="G92" s="472"/>
      <c r="H92" s="2"/>
    </row>
    <row r="93" spans="1:12" s="589" customFormat="1" ht="20.399999999999999" x14ac:dyDescent="0.5">
      <c r="A93" s="1126" t="s">
        <v>1183</v>
      </c>
      <c r="B93" s="1127"/>
      <c r="C93" s="1127"/>
      <c r="D93" s="1127"/>
      <c r="E93" s="1127"/>
      <c r="F93" s="1127"/>
      <c r="G93" s="1127"/>
      <c r="H93" s="587"/>
      <c r="I93" s="587"/>
      <c r="J93" s="588"/>
    </row>
    <row r="94" spans="1:12" s="599" customFormat="1" x14ac:dyDescent="0.6">
      <c r="A94" s="601">
        <v>1</v>
      </c>
      <c r="B94" s="602" t="s">
        <v>519</v>
      </c>
      <c r="C94" s="602" t="s">
        <v>520</v>
      </c>
      <c r="D94" s="821"/>
      <c r="E94" s="604"/>
      <c r="F94" s="604"/>
      <c r="G94" s="609">
        <v>54000</v>
      </c>
      <c r="J94" s="600"/>
    </row>
    <row r="95" spans="1:12" s="599" customFormat="1" ht="24" thickBot="1" x14ac:dyDescent="0.65">
      <c r="A95" s="619"/>
      <c r="B95" s="620" t="s">
        <v>1184</v>
      </c>
      <c r="C95" s="621"/>
      <c r="D95" s="822"/>
      <c r="E95" s="623"/>
      <c r="F95" s="623"/>
      <c r="G95" s="626">
        <v>54000</v>
      </c>
      <c r="H95" s="627">
        <v>2034140.3755999999</v>
      </c>
      <c r="I95" s="731">
        <f>SUM(G94)</f>
        <v>54000</v>
      </c>
      <c r="J95" s="600"/>
      <c r="K95" s="873">
        <f>SUM(J71+J91+I95)</f>
        <v>1802682.2356</v>
      </c>
      <c r="L95" s="599" t="s">
        <v>1542</v>
      </c>
    </row>
    <row r="96" spans="1:12" s="636" customFormat="1" ht="24" thickTop="1" x14ac:dyDescent="0.6">
      <c r="A96" s="628"/>
      <c r="B96" s="629"/>
      <c r="C96" s="630"/>
      <c r="D96" s="823"/>
      <c r="E96" s="632"/>
      <c r="F96" s="632"/>
      <c r="G96" s="635"/>
      <c r="J96" s="637"/>
    </row>
    <row r="97" spans="1:10" s="636" customFormat="1" x14ac:dyDescent="0.6">
      <c r="A97" s="1128" t="s">
        <v>524</v>
      </c>
      <c r="B97" s="1128"/>
      <c r="C97" s="1128"/>
      <c r="D97" s="1128"/>
      <c r="E97" s="1128"/>
      <c r="F97" s="1128"/>
      <c r="G97" s="1128"/>
      <c r="J97" s="637"/>
    </row>
    <row r="98" spans="1:10" s="599" customFormat="1" x14ac:dyDescent="0.6">
      <c r="A98" s="638">
        <v>1</v>
      </c>
      <c r="B98" s="639" t="s">
        <v>519</v>
      </c>
      <c r="C98" s="639" t="s">
        <v>518</v>
      </c>
      <c r="D98" s="824"/>
      <c r="E98" s="884" t="s">
        <v>1694</v>
      </c>
      <c r="F98" s="884" t="s">
        <v>1695</v>
      </c>
      <c r="G98" s="643">
        <v>100800</v>
      </c>
      <c r="J98" s="600"/>
    </row>
    <row r="99" spans="1:10" s="599" customFormat="1" ht="24" thickBot="1" x14ac:dyDescent="0.65">
      <c r="A99" s="619"/>
      <c r="B99" s="620" t="s">
        <v>535</v>
      </c>
      <c r="C99" s="621"/>
      <c r="D99" s="822"/>
      <c r="E99" s="625"/>
      <c r="F99" s="625"/>
      <c r="G99" s="625">
        <v>100800</v>
      </c>
      <c r="I99" s="731">
        <f>SUM(G98)</f>
        <v>100800</v>
      </c>
      <c r="J99" s="600"/>
    </row>
    <row r="100" spans="1:10" ht="22.5" customHeight="1" thickTop="1" x14ac:dyDescent="0.3">
      <c r="E100" s="470"/>
      <c r="F100" s="470"/>
      <c r="G100" s="472"/>
      <c r="H100" s="2"/>
      <c r="J100" s="684">
        <f>SUM(I95:I99)</f>
        <v>154800</v>
      </c>
    </row>
    <row r="101" spans="1:10" ht="22.5" customHeight="1" thickBot="1" x14ac:dyDescent="0.35">
      <c r="E101" s="470"/>
      <c r="F101" s="470"/>
      <c r="G101" s="658">
        <v>1903482.2452999998</v>
      </c>
      <c r="H101" s="2"/>
      <c r="J101" s="1009">
        <f>SUM(J71:J100)</f>
        <v>1903482.2356</v>
      </c>
    </row>
    <row r="102" spans="1:10" ht="22.5" customHeight="1" thickTop="1" x14ac:dyDescent="0.5">
      <c r="B102" s="587" t="s">
        <v>537</v>
      </c>
      <c r="C102" s="587"/>
      <c r="D102" s="826"/>
      <c r="E102" s="3"/>
      <c r="F102" s="3"/>
      <c r="G102" s="472"/>
    </row>
    <row r="103" spans="1:10" x14ac:dyDescent="0.5">
      <c r="B103" s="1129" t="s">
        <v>538</v>
      </c>
      <c r="C103" s="1129"/>
      <c r="D103" s="827"/>
      <c r="E103" s="3"/>
      <c r="F103" s="3"/>
      <c r="G103" s="472"/>
    </row>
    <row r="104" spans="1:10" x14ac:dyDescent="0.5">
      <c r="B104" s="1129" t="s">
        <v>539</v>
      </c>
      <c r="C104" s="1129"/>
      <c r="D104" s="827"/>
      <c r="E104" s="3"/>
      <c r="F104" s="3"/>
      <c r="G104" s="472"/>
    </row>
    <row r="105" spans="1:10" x14ac:dyDescent="0.3">
      <c r="E105" s="3"/>
      <c r="F105" s="3"/>
      <c r="G105" s="472"/>
    </row>
    <row r="106" spans="1:10" x14ac:dyDescent="0.3">
      <c r="E106" s="3"/>
      <c r="F106" s="3"/>
      <c r="G106" s="472"/>
    </row>
    <row r="107" spans="1:10" x14ac:dyDescent="0.3">
      <c r="E107" s="3"/>
      <c r="F107" s="3"/>
      <c r="G107" s="472"/>
    </row>
    <row r="108" spans="1:10" x14ac:dyDescent="0.3">
      <c r="E108" s="3"/>
      <c r="F108" s="3"/>
      <c r="G108" s="472"/>
    </row>
    <row r="109" spans="1:10" x14ac:dyDescent="0.3">
      <c r="E109" s="3"/>
      <c r="F109" s="3"/>
      <c r="G109" s="472"/>
    </row>
    <row r="110" spans="1:10" x14ac:dyDescent="0.3">
      <c r="E110" s="3"/>
      <c r="F110" s="3"/>
      <c r="G110" s="472"/>
    </row>
    <row r="111" spans="1:10" x14ac:dyDescent="0.3">
      <c r="E111" s="3"/>
      <c r="F111" s="3"/>
      <c r="G111" s="472"/>
    </row>
  </sheetData>
  <mergeCells count="13">
    <mergeCell ref="A73:G73"/>
    <mergeCell ref="A93:G93"/>
    <mergeCell ref="A97:G97"/>
    <mergeCell ref="B103:C103"/>
    <mergeCell ref="B104:C104"/>
    <mergeCell ref="E5:E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  <pageSetup scale="4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DCED-7F76-46D5-BE8E-7248EC0F2244}">
  <sheetPr>
    <tabColor rgb="FF92D050"/>
  </sheetPr>
  <dimension ref="A1:I103"/>
  <sheetViews>
    <sheetView zoomScale="80" zoomScaleNormal="80" workbookViewId="0">
      <pane ySplit="6" topLeftCell="A43" activePane="bottomLeft" state="frozen"/>
      <selection pane="bottomLeft" activeCell="B51" sqref="B51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9.88671875" style="662" customWidth="1"/>
    <col min="5" max="5" width="10.6640625" style="662" customWidth="1"/>
    <col min="6" max="6" width="16.5546875" style="665" customWidth="1"/>
    <col min="7" max="7" width="10.6640625" style="3" customWidth="1"/>
    <col min="8" max="8" width="27.109375" style="3"/>
    <col min="9" max="9" width="27.109375" style="684"/>
    <col min="10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7" ht="22.5" customHeight="1" x14ac:dyDescent="0.3">
      <c r="A3" s="1110" t="s">
        <v>1547</v>
      </c>
      <c r="B3" s="1111"/>
      <c r="C3" s="1111"/>
      <c r="D3" s="1111"/>
      <c r="E3" s="1111"/>
      <c r="F3" s="1111"/>
      <c r="G3" s="2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19"/>
      <c r="F4" s="1120"/>
      <c r="G4" s="2"/>
    </row>
    <row r="5" spans="1:7" ht="22.5" customHeight="1" x14ac:dyDescent="0.3">
      <c r="A5" s="1113"/>
      <c r="B5" s="1113"/>
      <c r="C5" s="1116"/>
      <c r="D5" s="1121" t="s">
        <v>10</v>
      </c>
      <c r="E5" s="882"/>
      <c r="F5" s="667"/>
      <c r="G5" s="2"/>
    </row>
    <row r="6" spans="1:7" ht="22.5" customHeight="1" x14ac:dyDescent="0.3">
      <c r="A6" s="1114"/>
      <c r="B6" s="1114"/>
      <c r="C6" s="1117"/>
      <c r="D6" s="1122"/>
      <c r="E6" s="883" t="s">
        <v>937</v>
      </c>
      <c r="F6" s="10" t="s">
        <v>15</v>
      </c>
      <c r="G6" s="2"/>
    </row>
    <row r="7" spans="1:7" ht="22.5" customHeight="1" x14ac:dyDescent="0.3">
      <c r="A7" s="4"/>
      <c r="B7" s="115" t="s">
        <v>799</v>
      </c>
      <c r="C7" s="668"/>
      <c r="D7" s="784"/>
      <c r="E7" s="784"/>
      <c r="F7" s="173"/>
      <c r="G7" s="2"/>
    </row>
    <row r="8" spans="1:7" ht="22.5" customHeight="1" x14ac:dyDescent="0.3">
      <c r="A8" s="148">
        <v>1</v>
      </c>
      <c r="B8" s="149" t="s">
        <v>1582</v>
      </c>
      <c r="C8" s="90" t="s">
        <v>1579</v>
      </c>
      <c r="D8" s="154" t="s">
        <v>1585</v>
      </c>
      <c r="E8" s="978">
        <v>1</v>
      </c>
      <c r="F8" s="157">
        <v>10700</v>
      </c>
      <c r="G8" s="2"/>
    </row>
    <row r="9" spans="1:7" ht="22.5" customHeight="1" x14ac:dyDescent="0.3">
      <c r="A9" s="148">
        <v>2</v>
      </c>
      <c r="B9" s="73" t="s">
        <v>45</v>
      </c>
      <c r="C9" s="25" t="s">
        <v>46</v>
      </c>
      <c r="D9" s="33" t="s">
        <v>1561</v>
      </c>
      <c r="E9" s="747" t="s">
        <v>33</v>
      </c>
      <c r="F9" s="36">
        <v>1765.4999999999998</v>
      </c>
      <c r="G9" s="2"/>
    </row>
    <row r="10" spans="1:7" ht="22.5" customHeight="1" x14ac:dyDescent="0.3">
      <c r="A10" s="148">
        <v>3</v>
      </c>
      <c r="B10" s="73" t="s">
        <v>48</v>
      </c>
      <c r="C10" s="25" t="s">
        <v>49</v>
      </c>
      <c r="D10" s="33" t="s">
        <v>1561</v>
      </c>
      <c r="E10" s="747" t="s">
        <v>33</v>
      </c>
      <c r="F10" s="36">
        <v>1829.6999999999989</v>
      </c>
      <c r="G10" s="2"/>
    </row>
    <row r="11" spans="1:7" ht="22.5" customHeight="1" x14ac:dyDescent="0.3">
      <c r="A11" s="148">
        <v>4</v>
      </c>
      <c r="B11" s="838" t="s">
        <v>51</v>
      </c>
      <c r="C11" s="63" t="s">
        <v>52</v>
      </c>
      <c r="D11" s="747" t="s">
        <v>1561</v>
      </c>
      <c r="E11" s="747" t="s">
        <v>33</v>
      </c>
      <c r="F11" s="36">
        <v>4766.8500000000031</v>
      </c>
    </row>
    <row r="12" spans="1:7" ht="22.5" customHeight="1" x14ac:dyDescent="0.5">
      <c r="A12" s="148">
        <v>5</v>
      </c>
      <c r="B12" s="73" t="s">
        <v>1592</v>
      </c>
      <c r="C12" s="25" t="s">
        <v>1593</v>
      </c>
      <c r="D12" s="215" t="s">
        <v>1561</v>
      </c>
      <c r="E12" s="215" t="s">
        <v>33</v>
      </c>
      <c r="F12" s="217">
        <v>11887.7</v>
      </c>
      <c r="G12" s="2"/>
    </row>
    <row r="13" spans="1:7" ht="22.5" customHeight="1" x14ac:dyDescent="0.5">
      <c r="A13" s="148">
        <v>6</v>
      </c>
      <c r="B13" s="73" t="s">
        <v>99</v>
      </c>
      <c r="C13" s="25" t="s">
        <v>567</v>
      </c>
      <c r="D13" s="215" t="s">
        <v>1561</v>
      </c>
      <c r="E13" s="215" t="s">
        <v>33</v>
      </c>
      <c r="F13" s="217">
        <v>4247.8999999999996</v>
      </c>
      <c r="G13" s="2"/>
    </row>
    <row r="14" spans="1:7" ht="22.5" customHeight="1" x14ac:dyDescent="0.5">
      <c r="A14" s="148">
        <v>7</v>
      </c>
      <c r="B14" s="24" t="s">
        <v>99</v>
      </c>
      <c r="C14" s="222" t="s">
        <v>1596</v>
      </c>
      <c r="D14" s="215" t="s">
        <v>1561</v>
      </c>
      <c r="E14" s="215" t="s">
        <v>33</v>
      </c>
      <c r="F14" s="217">
        <v>203.29999999999998</v>
      </c>
      <c r="G14" s="2"/>
    </row>
    <row r="15" spans="1:7" ht="22.5" customHeight="1" x14ac:dyDescent="0.5">
      <c r="A15" s="148">
        <v>8</v>
      </c>
      <c r="B15" s="73" t="s">
        <v>1597</v>
      </c>
      <c r="C15" s="25" t="s">
        <v>1598</v>
      </c>
      <c r="D15" s="215" t="s">
        <v>1561</v>
      </c>
      <c r="E15" s="215" t="s">
        <v>33</v>
      </c>
      <c r="F15" s="217">
        <v>6922.9</v>
      </c>
      <c r="G15" s="2"/>
    </row>
    <row r="16" spans="1:7" ht="22.5" customHeight="1" x14ac:dyDescent="0.5">
      <c r="A16" s="148">
        <v>9</v>
      </c>
      <c r="B16" s="73" t="s">
        <v>1597</v>
      </c>
      <c r="C16" s="25" t="s">
        <v>1600</v>
      </c>
      <c r="D16" s="215" t="s">
        <v>1561</v>
      </c>
      <c r="E16" s="215" t="s">
        <v>33</v>
      </c>
      <c r="F16" s="217">
        <v>13717.400000000001</v>
      </c>
      <c r="G16" s="2"/>
    </row>
    <row r="17" spans="1:9" ht="22.5" customHeight="1" x14ac:dyDescent="0.5">
      <c r="A17" s="148">
        <v>10</v>
      </c>
      <c r="B17" s="73" t="s">
        <v>105</v>
      </c>
      <c r="C17" s="25" t="s">
        <v>567</v>
      </c>
      <c r="D17" s="215" t="s">
        <v>1561</v>
      </c>
      <c r="E17" s="215" t="s">
        <v>33</v>
      </c>
      <c r="F17" s="217">
        <v>13770.900000000005</v>
      </c>
      <c r="G17" s="2"/>
    </row>
    <row r="18" spans="1:9" ht="22.5" customHeight="1" x14ac:dyDescent="0.5">
      <c r="A18" s="148">
        <v>11</v>
      </c>
      <c r="B18" s="209" t="s">
        <v>1605</v>
      </c>
      <c r="C18" s="210" t="s">
        <v>1606</v>
      </c>
      <c r="D18" s="215" t="s">
        <v>1561</v>
      </c>
      <c r="E18" s="215" t="s">
        <v>33</v>
      </c>
      <c r="F18" s="217">
        <v>36273</v>
      </c>
      <c r="G18" s="218"/>
    </row>
    <row r="19" spans="1:9" ht="22.5" customHeight="1" x14ac:dyDescent="0.5">
      <c r="A19" s="148">
        <v>12</v>
      </c>
      <c r="B19" s="73" t="s">
        <v>353</v>
      </c>
      <c r="C19" s="25" t="s">
        <v>1610</v>
      </c>
      <c r="D19" s="215" t="s">
        <v>1561</v>
      </c>
      <c r="E19" s="215" t="s">
        <v>33</v>
      </c>
      <c r="F19" s="217">
        <v>2204.2000000000007</v>
      </c>
      <c r="G19" s="2"/>
    </row>
    <row r="20" spans="1:9" ht="22.5" customHeight="1" x14ac:dyDescent="0.5">
      <c r="A20" s="148">
        <v>13</v>
      </c>
      <c r="B20" s="73" t="s">
        <v>1613</v>
      </c>
      <c r="C20" s="25" t="s">
        <v>1288</v>
      </c>
      <c r="D20" s="215" t="s">
        <v>1561</v>
      </c>
      <c r="E20" s="215" t="s">
        <v>33</v>
      </c>
      <c r="F20" s="217">
        <v>2985.3000000000011</v>
      </c>
      <c r="G20" s="2"/>
    </row>
    <row r="21" spans="1:9" ht="22.5" customHeight="1" x14ac:dyDescent="0.5">
      <c r="A21" s="148">
        <v>14</v>
      </c>
      <c r="B21" s="78" t="s">
        <v>1622</v>
      </c>
      <c r="C21" s="210" t="s">
        <v>567</v>
      </c>
      <c r="D21" s="215" t="s">
        <v>1561</v>
      </c>
      <c r="E21" s="215" t="s">
        <v>33</v>
      </c>
      <c r="F21" s="217">
        <v>6805.1999999999989</v>
      </c>
      <c r="G21" s="2"/>
    </row>
    <row r="22" spans="1:9" ht="22.5" customHeight="1" x14ac:dyDescent="0.5">
      <c r="A22" s="148">
        <v>15</v>
      </c>
      <c r="B22" s="78" t="s">
        <v>1624</v>
      </c>
      <c r="C22" s="210" t="s">
        <v>1625</v>
      </c>
      <c r="D22" s="215" t="s">
        <v>1561</v>
      </c>
      <c r="E22" s="215" t="s">
        <v>33</v>
      </c>
      <c r="F22" s="217">
        <v>16103.499999999991</v>
      </c>
      <c r="G22" s="2"/>
    </row>
    <row r="23" spans="1:9" s="229" customFormat="1" ht="22.5" customHeight="1" x14ac:dyDescent="0.5">
      <c r="A23" s="148">
        <v>16</v>
      </c>
      <c r="B23" s="226" t="s">
        <v>1627</v>
      </c>
      <c r="C23" s="227" t="s">
        <v>1610</v>
      </c>
      <c r="D23" s="215" t="s">
        <v>1561</v>
      </c>
      <c r="E23" s="215" t="s">
        <v>33</v>
      </c>
      <c r="F23" s="217">
        <v>4344.2000000000016</v>
      </c>
      <c r="G23" s="47"/>
      <c r="I23" s="687"/>
    </row>
    <row r="24" spans="1:9" ht="22.5" customHeight="1" x14ac:dyDescent="0.5">
      <c r="A24" s="148">
        <v>17</v>
      </c>
      <c r="B24" s="240" t="s">
        <v>162</v>
      </c>
      <c r="C24" s="83" t="s">
        <v>567</v>
      </c>
      <c r="D24" s="215" t="s">
        <v>1561</v>
      </c>
      <c r="E24" s="215" t="s">
        <v>33</v>
      </c>
      <c r="F24" s="217">
        <v>1722.6999999999985</v>
      </c>
      <c r="G24" s="2"/>
    </row>
    <row r="25" spans="1:9" ht="22.5" customHeight="1" x14ac:dyDescent="0.5">
      <c r="A25" s="148">
        <v>18</v>
      </c>
      <c r="B25" s="243" t="s">
        <v>1643</v>
      </c>
      <c r="C25" s="244" t="s">
        <v>567</v>
      </c>
      <c r="D25" s="215" t="s">
        <v>1561</v>
      </c>
      <c r="E25" s="215" t="s">
        <v>33</v>
      </c>
      <c r="F25" s="217">
        <v>2642.9</v>
      </c>
      <c r="G25" s="2"/>
    </row>
    <row r="26" spans="1:9" ht="22.5" customHeight="1" x14ac:dyDescent="0.5">
      <c r="A26" s="148">
        <v>19</v>
      </c>
      <c r="B26" s="209" t="s">
        <v>1649</v>
      </c>
      <c r="C26" s="210" t="s">
        <v>567</v>
      </c>
      <c r="D26" s="215" t="s">
        <v>1561</v>
      </c>
      <c r="E26" s="215" t="s">
        <v>33</v>
      </c>
      <c r="F26" s="217">
        <v>4033.9000000000005</v>
      </c>
      <c r="G26" s="2"/>
    </row>
    <row r="27" spans="1:9" ht="22.5" customHeight="1" x14ac:dyDescent="0.5">
      <c r="A27" s="148">
        <v>20</v>
      </c>
      <c r="B27" s="209" t="s">
        <v>1660</v>
      </c>
      <c r="C27" s="210" t="s">
        <v>1288</v>
      </c>
      <c r="D27" s="215" t="s">
        <v>1561</v>
      </c>
      <c r="E27" s="215" t="s">
        <v>33</v>
      </c>
      <c r="F27" s="217">
        <v>9416.0000000000036</v>
      </c>
      <c r="G27" s="2"/>
    </row>
    <row r="28" spans="1:9" ht="22.5" customHeight="1" x14ac:dyDescent="0.5">
      <c r="A28" s="148">
        <v>21</v>
      </c>
      <c r="B28" s="209" t="s">
        <v>1666</v>
      </c>
      <c r="C28" s="210" t="s">
        <v>567</v>
      </c>
      <c r="D28" s="215" t="s">
        <v>1561</v>
      </c>
      <c r="E28" s="215" t="s">
        <v>33</v>
      </c>
      <c r="F28" s="217">
        <v>1069.9999999999995</v>
      </c>
      <c r="G28" s="2"/>
    </row>
    <row r="29" spans="1:9" ht="22.5" customHeight="1" x14ac:dyDescent="0.5">
      <c r="A29" s="148">
        <v>22</v>
      </c>
      <c r="B29" s="209" t="s">
        <v>200</v>
      </c>
      <c r="C29" s="210" t="s">
        <v>567</v>
      </c>
      <c r="D29" s="215" t="s">
        <v>1477</v>
      </c>
      <c r="E29" s="216" t="s">
        <v>33</v>
      </c>
      <c r="F29" s="217">
        <v>12519</v>
      </c>
      <c r="G29" s="2"/>
    </row>
    <row r="30" spans="1:9" ht="22.5" customHeight="1" x14ac:dyDescent="0.5">
      <c r="A30" s="148">
        <v>23</v>
      </c>
      <c r="B30" s="209" t="s">
        <v>210</v>
      </c>
      <c r="C30" s="210" t="s">
        <v>567</v>
      </c>
      <c r="D30" s="239" t="s">
        <v>1561</v>
      </c>
      <c r="E30" s="239" t="s">
        <v>33</v>
      </c>
      <c r="F30" s="217">
        <v>10550.200000000003</v>
      </c>
      <c r="G30" s="2"/>
    </row>
    <row r="31" spans="1:9" ht="22.5" customHeight="1" x14ac:dyDescent="0.5">
      <c r="A31" s="148">
        <v>24</v>
      </c>
      <c r="B31" s="254" t="s">
        <v>217</v>
      </c>
      <c r="C31" s="238" t="s">
        <v>567</v>
      </c>
      <c r="D31" s="239" t="s">
        <v>1561</v>
      </c>
      <c r="E31" s="239" t="s">
        <v>33</v>
      </c>
      <c r="F31" s="217">
        <v>1840.4000000000005</v>
      </c>
      <c r="G31" s="2"/>
    </row>
    <row r="32" spans="1:9" ht="22.5" customHeight="1" x14ac:dyDescent="0.5">
      <c r="A32" s="148">
        <v>25</v>
      </c>
      <c r="B32" s="257" t="s">
        <v>1679</v>
      </c>
      <c r="C32" s="257" t="s">
        <v>567</v>
      </c>
      <c r="D32" s="239" t="s">
        <v>1561</v>
      </c>
      <c r="E32" s="239" t="s">
        <v>33</v>
      </c>
      <c r="F32" s="761">
        <v>214</v>
      </c>
      <c r="G32" s="2"/>
    </row>
    <row r="33" spans="1:7" ht="22.5" customHeight="1" x14ac:dyDescent="0.5">
      <c r="A33" s="148">
        <v>26</v>
      </c>
      <c r="B33" s="222" t="s">
        <v>226</v>
      </c>
      <c r="C33" s="222" t="s">
        <v>567</v>
      </c>
      <c r="D33" s="215" t="s">
        <v>1561</v>
      </c>
      <c r="E33" s="215" t="s">
        <v>33</v>
      </c>
      <c r="F33" s="990">
        <v>3991.100000000004</v>
      </c>
      <c r="G33" s="2"/>
    </row>
    <row r="34" spans="1:7" ht="22.5" customHeight="1" x14ac:dyDescent="0.5">
      <c r="A34" s="148">
        <v>27</v>
      </c>
      <c r="B34" s="222" t="s">
        <v>229</v>
      </c>
      <c r="C34" s="222" t="s">
        <v>567</v>
      </c>
      <c r="D34" s="215" t="s">
        <v>1561</v>
      </c>
      <c r="E34" s="215" t="s">
        <v>33</v>
      </c>
      <c r="F34" s="990">
        <v>12957.699999999999</v>
      </c>
      <c r="G34" s="2"/>
    </row>
    <row r="35" spans="1:7" ht="22.5" customHeight="1" x14ac:dyDescent="0.5">
      <c r="A35" s="148">
        <v>28</v>
      </c>
      <c r="B35" s="735" t="s">
        <v>248</v>
      </c>
      <c r="C35" s="1010" t="s">
        <v>249</v>
      </c>
      <c r="D35" s="215" t="s">
        <v>1561</v>
      </c>
      <c r="E35" s="215" t="s">
        <v>33</v>
      </c>
      <c r="F35" s="1011">
        <v>6300</v>
      </c>
      <c r="G35" s="2"/>
    </row>
    <row r="36" spans="1:7" ht="22.5" customHeight="1" x14ac:dyDescent="0.5">
      <c r="A36" s="148">
        <v>29</v>
      </c>
      <c r="B36" s="209" t="s">
        <v>250</v>
      </c>
      <c r="C36" s="210" t="s">
        <v>251</v>
      </c>
      <c r="D36" s="215" t="s">
        <v>1561</v>
      </c>
      <c r="E36" s="215" t="s">
        <v>33</v>
      </c>
      <c r="F36" s="36">
        <v>6300</v>
      </c>
      <c r="G36" s="2"/>
    </row>
    <row r="37" spans="1:7" ht="22.5" customHeight="1" x14ac:dyDescent="0.5">
      <c r="A37" s="148">
        <v>30</v>
      </c>
      <c r="B37" s="73" t="s">
        <v>253</v>
      </c>
      <c r="C37" s="25" t="s">
        <v>254</v>
      </c>
      <c r="D37" s="215" t="s">
        <v>1561</v>
      </c>
      <c r="E37" s="215" t="s">
        <v>33</v>
      </c>
      <c r="F37" s="36">
        <v>9450</v>
      </c>
      <c r="G37" s="2"/>
    </row>
    <row r="38" spans="1:7" ht="22.5" customHeight="1" x14ac:dyDescent="0.5">
      <c r="A38" s="148">
        <v>31</v>
      </c>
      <c r="B38" s="73" t="s">
        <v>261</v>
      </c>
      <c r="C38" s="25" t="s">
        <v>262</v>
      </c>
      <c r="D38" s="215" t="s">
        <v>1561</v>
      </c>
      <c r="E38" s="215" t="s">
        <v>33</v>
      </c>
      <c r="F38" s="36">
        <v>5600</v>
      </c>
      <c r="G38" s="2"/>
    </row>
    <row r="39" spans="1:7" ht="22.5" customHeight="1" x14ac:dyDescent="0.5">
      <c r="A39" s="148">
        <v>32</v>
      </c>
      <c r="B39" s="73" t="s">
        <v>264</v>
      </c>
      <c r="C39" s="25" t="s">
        <v>265</v>
      </c>
      <c r="D39" s="215" t="s">
        <v>1561</v>
      </c>
      <c r="E39" s="215" t="s">
        <v>33</v>
      </c>
      <c r="F39" s="36">
        <v>5600</v>
      </c>
      <c r="G39" s="218"/>
    </row>
    <row r="40" spans="1:7" ht="22.5" customHeight="1" x14ac:dyDescent="0.5">
      <c r="A40" s="148">
        <v>33</v>
      </c>
      <c r="B40" s="73" t="s">
        <v>261</v>
      </c>
      <c r="C40" s="25" t="s">
        <v>273</v>
      </c>
      <c r="D40" s="215" t="s">
        <v>1561</v>
      </c>
      <c r="E40" s="215" t="s">
        <v>33</v>
      </c>
      <c r="F40" s="36">
        <v>9450</v>
      </c>
    </row>
    <row r="41" spans="1:7" ht="22.5" customHeight="1" x14ac:dyDescent="0.5">
      <c r="A41" s="148">
        <v>34</v>
      </c>
      <c r="B41" s="73" t="s">
        <v>281</v>
      </c>
      <c r="C41" s="25" t="s">
        <v>282</v>
      </c>
      <c r="D41" s="215" t="s">
        <v>1561</v>
      </c>
      <c r="E41" s="215" t="s">
        <v>33</v>
      </c>
      <c r="F41" s="36">
        <v>5600</v>
      </c>
    </row>
    <row r="42" spans="1:7" ht="22.5" customHeight="1" x14ac:dyDescent="0.5">
      <c r="A42" s="148">
        <v>35</v>
      </c>
      <c r="B42" s="209" t="s">
        <v>300</v>
      </c>
      <c r="C42" s="210" t="s">
        <v>301</v>
      </c>
      <c r="D42" s="215" t="s">
        <v>1561</v>
      </c>
      <c r="E42" s="215" t="s">
        <v>33</v>
      </c>
      <c r="F42" s="36">
        <v>5600</v>
      </c>
    </row>
    <row r="43" spans="1:7" ht="22.5" customHeight="1" x14ac:dyDescent="0.5">
      <c r="A43" s="148">
        <v>36</v>
      </c>
      <c r="B43" s="209" t="s">
        <v>303</v>
      </c>
      <c r="C43" s="210" t="s">
        <v>304</v>
      </c>
      <c r="D43" s="215" t="s">
        <v>1561</v>
      </c>
      <c r="E43" s="215" t="s">
        <v>33</v>
      </c>
      <c r="F43" s="36">
        <v>2800</v>
      </c>
    </row>
    <row r="44" spans="1:7" ht="22.5" customHeight="1" x14ac:dyDescent="0.5">
      <c r="A44" s="148">
        <v>37</v>
      </c>
      <c r="B44" s="73" t="s">
        <v>261</v>
      </c>
      <c r="C44" s="25" t="s">
        <v>311</v>
      </c>
      <c r="D44" s="215" t="s">
        <v>1561</v>
      </c>
      <c r="E44" s="215" t="s">
        <v>33</v>
      </c>
      <c r="F44" s="36">
        <v>2800</v>
      </c>
      <c r="G44" s="2"/>
    </row>
    <row r="45" spans="1:7" ht="22.5" customHeight="1" x14ac:dyDescent="0.5">
      <c r="A45" s="148">
        <v>38</v>
      </c>
      <c r="B45" s="310" t="s">
        <v>261</v>
      </c>
      <c r="C45" s="311" t="s">
        <v>312</v>
      </c>
      <c r="D45" s="215" t="s">
        <v>1561</v>
      </c>
      <c r="E45" s="215" t="s">
        <v>33</v>
      </c>
      <c r="F45" s="36">
        <v>2800</v>
      </c>
      <c r="G45" s="2"/>
    </row>
    <row r="46" spans="1:7" ht="22.5" customHeight="1" x14ac:dyDescent="0.5">
      <c r="A46" s="148">
        <v>39</v>
      </c>
      <c r="B46" s="73" t="s">
        <v>313</v>
      </c>
      <c r="C46" s="25" t="s">
        <v>314</v>
      </c>
      <c r="D46" s="215" t="s">
        <v>1561</v>
      </c>
      <c r="E46" s="215" t="s">
        <v>33</v>
      </c>
      <c r="F46" s="36">
        <v>2800</v>
      </c>
      <c r="G46" s="2"/>
    </row>
    <row r="47" spans="1:7" ht="22.5" customHeight="1" x14ac:dyDescent="0.5">
      <c r="A47" s="148">
        <v>40</v>
      </c>
      <c r="B47" s="73" t="s">
        <v>261</v>
      </c>
      <c r="C47" s="25" t="s">
        <v>316</v>
      </c>
      <c r="D47" s="215" t="s">
        <v>1561</v>
      </c>
      <c r="E47" s="215" t="s">
        <v>33</v>
      </c>
      <c r="F47" s="36">
        <v>2800</v>
      </c>
    </row>
    <row r="48" spans="1:7" ht="22.5" customHeight="1" x14ac:dyDescent="0.5">
      <c r="A48" s="148">
        <v>41</v>
      </c>
      <c r="B48" s="290" t="s">
        <v>355</v>
      </c>
      <c r="C48" s="371" t="s">
        <v>356</v>
      </c>
      <c r="D48" s="215" t="s">
        <v>1561</v>
      </c>
      <c r="E48" s="215" t="s">
        <v>33</v>
      </c>
      <c r="F48" s="36">
        <v>9400</v>
      </c>
    </row>
    <row r="49" spans="1:9" ht="22.5" customHeight="1" x14ac:dyDescent="0.3">
      <c r="A49" s="148">
        <v>42</v>
      </c>
      <c r="B49" s="78" t="s">
        <v>364</v>
      </c>
      <c r="C49" s="81" t="s">
        <v>365</v>
      </c>
      <c r="D49" s="759" t="s">
        <v>1561</v>
      </c>
      <c r="E49" s="759" t="s">
        <v>33</v>
      </c>
      <c r="F49" s="340">
        <v>10000</v>
      </c>
    </row>
    <row r="50" spans="1:9" ht="22.5" customHeight="1" thickBot="1" x14ac:dyDescent="0.35">
      <c r="A50" s="905"/>
      <c r="B50" s="839"/>
      <c r="C50" s="835"/>
      <c r="D50" s="766"/>
      <c r="E50" s="766"/>
      <c r="F50" s="840">
        <f>SUM(F8:F49)</f>
        <v>286785.45000000007</v>
      </c>
    </row>
    <row r="51" spans="1:9" ht="22.5" customHeight="1" thickTop="1" x14ac:dyDescent="0.3">
      <c r="A51" s="61"/>
      <c r="B51" s="61" t="s">
        <v>800</v>
      </c>
      <c r="C51" s="63"/>
      <c r="D51" s="1012"/>
      <c r="E51" s="1012"/>
      <c r="F51" s="72"/>
    </row>
    <row r="52" spans="1:9" ht="22.5" customHeight="1" x14ac:dyDescent="0.5">
      <c r="A52" s="733">
        <v>1</v>
      </c>
      <c r="B52" s="736" t="s">
        <v>224</v>
      </c>
      <c r="C52" s="736" t="s">
        <v>567</v>
      </c>
      <c r="D52" s="215" t="s">
        <v>1681</v>
      </c>
      <c r="E52" s="215" t="s">
        <v>115</v>
      </c>
      <c r="F52" s="217">
        <v>1241.2000000000003</v>
      </c>
    </row>
    <row r="53" spans="1:9" ht="22.5" customHeight="1" x14ac:dyDescent="0.5">
      <c r="A53" s="23">
        <v>2</v>
      </c>
      <c r="B53" s="73" t="s">
        <v>240</v>
      </c>
      <c r="C53" s="25" t="s">
        <v>241</v>
      </c>
      <c r="D53" s="297" t="s">
        <v>1681</v>
      </c>
      <c r="E53" s="297" t="s">
        <v>115</v>
      </c>
      <c r="F53" s="36">
        <v>31500</v>
      </c>
    </row>
    <row r="54" spans="1:9" ht="22.5" customHeight="1" x14ac:dyDescent="0.5">
      <c r="A54" s="23">
        <v>3</v>
      </c>
      <c r="B54" s="78" t="s">
        <v>240</v>
      </c>
      <c r="C54" s="81" t="s">
        <v>242</v>
      </c>
      <c r="D54" s="297" t="s">
        <v>1681</v>
      </c>
      <c r="E54" s="297" t="s">
        <v>115</v>
      </c>
      <c r="F54" s="36">
        <v>12600</v>
      </c>
    </row>
    <row r="55" spans="1:9" ht="22.5" customHeight="1" x14ac:dyDescent="0.5">
      <c r="A55" s="331">
        <v>4</v>
      </c>
      <c r="B55" s="374" t="s">
        <v>358</v>
      </c>
      <c r="C55" s="375" t="s">
        <v>356</v>
      </c>
      <c r="D55" s="1014" t="s">
        <v>1681</v>
      </c>
      <c r="E55" s="1015" t="s">
        <v>115</v>
      </c>
      <c r="F55" s="340">
        <v>19620</v>
      </c>
    </row>
    <row r="56" spans="1:9" ht="22.5" customHeight="1" thickBot="1" x14ac:dyDescent="0.55000000000000004">
      <c r="A56" s="905"/>
      <c r="B56" s="834"/>
      <c r="C56" s="936"/>
      <c r="D56" s="787"/>
      <c r="E56" s="1016"/>
      <c r="F56" s="840">
        <f>SUM(F52:F55)</f>
        <v>64961.2</v>
      </c>
    </row>
    <row r="57" spans="1:9" ht="22.5" customHeight="1" thickTop="1" x14ac:dyDescent="0.5">
      <c r="A57" s="61"/>
      <c r="B57" s="392" t="s">
        <v>1743</v>
      </c>
      <c r="C57" s="935"/>
      <c r="D57" s="745"/>
      <c r="E57" s="1013"/>
      <c r="F57" s="72"/>
    </row>
    <row r="58" spans="1:9" ht="22.5" customHeight="1" x14ac:dyDescent="0.3">
      <c r="A58" s="115">
        <v>1</v>
      </c>
      <c r="B58" s="4" t="s">
        <v>1380</v>
      </c>
      <c r="C58" s="165" t="s">
        <v>1370</v>
      </c>
      <c r="D58" s="117" t="s">
        <v>1741</v>
      </c>
      <c r="E58" s="117"/>
      <c r="F58" s="370">
        <v>1266.8800000000001</v>
      </c>
    </row>
    <row r="59" spans="1:9" ht="22.5" customHeight="1" thickBot="1" x14ac:dyDescent="0.35">
      <c r="A59" s="905"/>
      <c r="B59" s="839"/>
      <c r="C59" s="835"/>
      <c r="D59" s="862"/>
      <c r="E59" s="862"/>
      <c r="F59" s="840">
        <f>SUM(F58)</f>
        <v>1266.8800000000001</v>
      </c>
    </row>
    <row r="60" spans="1:9" ht="22.5" customHeight="1" thickTop="1" x14ac:dyDescent="0.3">
      <c r="A60" s="61"/>
      <c r="B60" s="838" t="s">
        <v>1744</v>
      </c>
      <c r="C60" s="63"/>
      <c r="D60" s="69"/>
      <c r="E60" s="117"/>
      <c r="F60" s="72"/>
    </row>
    <row r="61" spans="1:9" ht="22.5" customHeight="1" x14ac:dyDescent="0.3">
      <c r="A61" s="61">
        <v>1</v>
      </c>
      <c r="B61" s="290" t="s">
        <v>463</v>
      </c>
      <c r="C61" s="63" t="s">
        <v>464</v>
      </c>
      <c r="D61" s="69" t="s">
        <v>1742</v>
      </c>
      <c r="E61" s="69"/>
      <c r="F61" s="387">
        <v>1064.44</v>
      </c>
    </row>
    <row r="62" spans="1:9" ht="22.5" customHeight="1" x14ac:dyDescent="0.3">
      <c r="A62" s="23">
        <v>2</v>
      </c>
      <c r="B62" s="290" t="s">
        <v>495</v>
      </c>
      <c r="C62" s="25" t="s">
        <v>496</v>
      </c>
      <c r="D62" s="41" t="s">
        <v>1742</v>
      </c>
      <c r="E62" s="41"/>
      <c r="F62" s="387">
        <v>20595.900000000001</v>
      </c>
    </row>
    <row r="63" spans="1:9" s="60" customFormat="1" ht="22.5" customHeight="1" thickBot="1" x14ac:dyDescent="0.35">
      <c r="A63" s="362"/>
      <c r="B63" s="362" t="s">
        <v>15</v>
      </c>
      <c r="C63" s="455"/>
      <c r="D63" s="362"/>
      <c r="E63" s="362"/>
      <c r="F63" s="364">
        <f>SUM(F61:F62)</f>
        <v>21660.34</v>
      </c>
      <c r="H63" s="683"/>
      <c r="I63" s="685"/>
    </row>
    <row r="64" spans="1:9" ht="22.5" customHeight="1" thickTop="1" x14ac:dyDescent="0.3">
      <c r="D64" s="3"/>
      <c r="E64" s="3"/>
      <c r="F64" s="472"/>
    </row>
    <row r="65" spans="1:9" ht="22.5" customHeight="1" x14ac:dyDescent="0.3">
      <c r="A65" s="1123" t="s">
        <v>671</v>
      </c>
      <c r="B65" s="1124"/>
      <c r="C65" s="1124"/>
      <c r="D65" s="1124"/>
      <c r="E65" s="1124"/>
      <c r="F65" s="1125"/>
      <c r="G65" s="2"/>
    </row>
    <row r="66" spans="1:9" ht="22.5" customHeight="1" x14ac:dyDescent="0.3">
      <c r="A66" s="115"/>
      <c r="B66" s="164" t="s">
        <v>499</v>
      </c>
      <c r="C66" s="165"/>
      <c r="D66" s="117"/>
      <c r="E66" s="117"/>
      <c r="F66" s="370"/>
      <c r="G66" s="2"/>
    </row>
    <row r="67" spans="1:9" ht="22.5" customHeight="1" x14ac:dyDescent="0.3">
      <c r="A67" s="475">
        <v>1</v>
      </c>
      <c r="B67" s="489" t="s">
        <v>1397</v>
      </c>
      <c r="C67" s="498"/>
      <c r="D67" s="484"/>
      <c r="E67" s="892"/>
      <c r="F67" s="497">
        <v>325409.68</v>
      </c>
      <c r="G67" s="2" t="s">
        <v>1398</v>
      </c>
    </row>
    <row r="68" spans="1:9" ht="22.5" customHeight="1" x14ac:dyDescent="0.3">
      <c r="A68" s="502"/>
      <c r="B68" s="503" t="s">
        <v>1399</v>
      </c>
      <c r="C68" s="504"/>
      <c r="D68" s="509"/>
      <c r="E68" s="893"/>
      <c r="F68" s="513"/>
      <c r="G68" s="2"/>
    </row>
    <row r="69" spans="1:9" ht="22.5" customHeight="1" x14ac:dyDescent="0.3">
      <c r="A69" s="488"/>
      <c r="B69" s="489" t="s">
        <v>1400</v>
      </c>
      <c r="C69" s="514"/>
      <c r="D69" s="520"/>
      <c r="E69" s="520"/>
      <c r="F69" s="524"/>
    </row>
    <row r="70" spans="1:9" ht="22.5" customHeight="1" x14ac:dyDescent="0.3">
      <c r="A70" s="488">
        <v>2</v>
      </c>
      <c r="B70" s="525" t="s">
        <v>1401</v>
      </c>
      <c r="C70" s="526"/>
      <c r="D70" s="521"/>
      <c r="E70" s="529"/>
      <c r="F70" s="532">
        <v>108369.18</v>
      </c>
      <c r="G70" s="3" t="s">
        <v>1398</v>
      </c>
    </row>
    <row r="71" spans="1:9" ht="22.5" customHeight="1" x14ac:dyDescent="0.3">
      <c r="A71" s="488"/>
      <c r="B71" s="525" t="s">
        <v>1402</v>
      </c>
      <c r="C71" s="526"/>
      <c r="D71" s="521"/>
      <c r="E71" s="529"/>
      <c r="F71" s="532"/>
    </row>
    <row r="72" spans="1:9" ht="22.5" customHeight="1" x14ac:dyDescent="0.3">
      <c r="A72" s="737"/>
      <c r="B72" s="525" t="s">
        <v>1403</v>
      </c>
      <c r="C72" s="526"/>
      <c r="D72" s="521"/>
      <c r="E72" s="521"/>
      <c r="F72" s="932"/>
    </row>
    <row r="73" spans="1:9" ht="22.5" customHeight="1" x14ac:dyDescent="0.3">
      <c r="A73" s="737">
        <v>3</v>
      </c>
      <c r="B73" s="525" t="s">
        <v>1404</v>
      </c>
      <c r="C73" s="526"/>
      <c r="D73" s="521"/>
      <c r="E73" s="521"/>
      <c r="F73" s="932">
        <v>39949.17</v>
      </c>
      <c r="G73" s="3" t="s">
        <v>1398</v>
      </c>
    </row>
    <row r="74" spans="1:9" ht="22.5" customHeight="1" x14ac:dyDescent="0.3">
      <c r="A74" s="737"/>
      <c r="B74" s="525" t="s">
        <v>1405</v>
      </c>
      <c r="C74" s="526"/>
      <c r="D74" s="521"/>
      <c r="E74" s="521"/>
      <c r="F74" s="932"/>
    </row>
    <row r="75" spans="1:9" ht="22.5" customHeight="1" x14ac:dyDescent="0.3">
      <c r="A75" s="737"/>
      <c r="B75" s="525" t="s">
        <v>1406</v>
      </c>
      <c r="C75" s="526"/>
      <c r="D75" s="521"/>
      <c r="E75" s="521"/>
      <c r="F75" s="932"/>
    </row>
    <row r="76" spans="1:9" ht="22.5" customHeight="1" x14ac:dyDescent="0.3">
      <c r="A76" s="737">
        <v>4</v>
      </c>
      <c r="B76" s="525" t="s">
        <v>1407</v>
      </c>
      <c r="C76" s="526"/>
      <c r="D76" s="521"/>
      <c r="E76" s="521"/>
      <c r="F76" s="932">
        <v>796450.34</v>
      </c>
    </row>
    <row r="77" spans="1:9" ht="22.5" customHeight="1" x14ac:dyDescent="0.3">
      <c r="A77" s="737"/>
      <c r="B77" s="525" t="s">
        <v>1408</v>
      </c>
      <c r="C77" s="526"/>
      <c r="D77" s="521"/>
      <c r="E77" s="521"/>
      <c r="F77" s="932"/>
    </row>
    <row r="78" spans="1:9" ht="22.5" customHeight="1" x14ac:dyDescent="0.3">
      <c r="A78" s="737"/>
      <c r="B78" s="525" t="s">
        <v>1409</v>
      </c>
      <c r="C78" s="526"/>
      <c r="D78" s="521"/>
      <c r="E78" s="521"/>
      <c r="F78" s="932">
        <v>93330</v>
      </c>
    </row>
    <row r="79" spans="1:9" s="60" customFormat="1" ht="22.5" customHeight="1" thickBot="1" x14ac:dyDescent="0.35">
      <c r="A79" s="921"/>
      <c r="B79" s="921" t="s">
        <v>15</v>
      </c>
      <c r="C79" s="922"/>
      <c r="D79" s="926">
        <v>0</v>
      </c>
      <c r="E79" s="926">
        <v>0</v>
      </c>
      <c r="F79" s="926">
        <v>1363508.3699999999</v>
      </c>
      <c r="G79" s="59"/>
      <c r="H79" s="683">
        <v>1363508.3699999999</v>
      </c>
      <c r="I79" s="685"/>
    </row>
    <row r="80" spans="1:9" ht="22.5" customHeight="1" thickTop="1" x14ac:dyDescent="0.3">
      <c r="A80" s="559"/>
      <c r="B80" s="560" t="s">
        <v>92</v>
      </c>
      <c r="C80" s="561"/>
      <c r="D80" s="567"/>
      <c r="E80" s="567"/>
      <c r="F80" s="570"/>
      <c r="G80" s="2"/>
    </row>
    <row r="81" spans="1:9" ht="22.5" customHeight="1" x14ac:dyDescent="0.3">
      <c r="A81" s="23">
        <v>1</v>
      </c>
      <c r="B81" s="73" t="s">
        <v>512</v>
      </c>
      <c r="C81" s="25" t="s">
        <v>97</v>
      </c>
      <c r="D81" s="41" t="s">
        <v>513</v>
      </c>
      <c r="E81" s="41"/>
      <c r="F81" s="36">
        <v>10499.9956</v>
      </c>
      <c r="G81" s="2"/>
    </row>
    <row r="82" spans="1:9" s="60" customFormat="1" ht="22.5" customHeight="1" thickBot="1" x14ac:dyDescent="0.35">
      <c r="A82" s="548"/>
      <c r="B82" s="548" t="s">
        <v>15</v>
      </c>
      <c r="C82" s="549"/>
      <c r="D82" s="548"/>
      <c r="E82" s="548"/>
      <c r="F82" s="558">
        <v>10499.9956</v>
      </c>
      <c r="G82" s="59"/>
      <c r="H82" s="683">
        <v>10499.9956</v>
      </c>
      <c r="I82" s="685"/>
    </row>
    <row r="83" spans="1:9" s="60" customFormat="1" ht="22.5" customHeight="1" thickTop="1" thickBot="1" x14ac:dyDescent="0.35">
      <c r="A83" s="572"/>
      <c r="B83" s="572" t="s">
        <v>515</v>
      </c>
      <c r="C83" s="573"/>
      <c r="D83" s="580"/>
      <c r="E83" s="580"/>
      <c r="F83" s="583">
        <v>1374008.3655999999</v>
      </c>
      <c r="G83" s="59"/>
      <c r="I83" s="689">
        <v>1374008.3655999999</v>
      </c>
    </row>
    <row r="84" spans="1:9" ht="22.5" customHeight="1" thickTop="1" x14ac:dyDescent="0.3">
      <c r="D84" s="470"/>
      <c r="E84" s="470"/>
      <c r="F84" s="472"/>
      <c r="G84" s="2"/>
    </row>
    <row r="85" spans="1:9" s="589" customFormat="1" ht="20.399999999999999" x14ac:dyDescent="0.5">
      <c r="A85" s="1126" t="s">
        <v>1183</v>
      </c>
      <c r="B85" s="1127"/>
      <c r="C85" s="1127"/>
      <c r="D85" s="1127"/>
      <c r="E85" s="1127"/>
      <c r="F85" s="1127"/>
      <c r="G85" s="587"/>
      <c r="H85" s="587"/>
      <c r="I85" s="588"/>
    </row>
    <row r="86" spans="1:9" s="599" customFormat="1" x14ac:dyDescent="0.6">
      <c r="A86" s="601">
        <v>1</v>
      </c>
      <c r="B86" s="602" t="s">
        <v>519</v>
      </c>
      <c r="C86" s="602" t="s">
        <v>520</v>
      </c>
      <c r="D86" s="604"/>
      <c r="E86" s="604"/>
      <c r="F86" s="609">
        <v>54000</v>
      </c>
      <c r="I86" s="600"/>
    </row>
    <row r="87" spans="1:9" s="599" customFormat="1" ht="24" thickBot="1" x14ac:dyDescent="0.65">
      <c r="A87" s="619"/>
      <c r="B87" s="620" t="s">
        <v>1184</v>
      </c>
      <c r="C87" s="621"/>
      <c r="D87" s="623"/>
      <c r="E87" s="623"/>
      <c r="F87" s="626">
        <v>54000</v>
      </c>
      <c r="G87" s="627">
        <v>2034140.3755999999</v>
      </c>
      <c r="H87" s="731">
        <v>54000</v>
      </c>
      <c r="I87" s="600"/>
    </row>
    <row r="88" spans="1:9" s="636" customFormat="1" ht="24" thickTop="1" x14ac:dyDescent="0.6">
      <c r="A88" s="628"/>
      <c r="B88" s="629"/>
      <c r="C88" s="630"/>
      <c r="D88" s="632"/>
      <c r="E88" s="632"/>
      <c r="F88" s="635"/>
      <c r="I88" s="637"/>
    </row>
    <row r="89" spans="1:9" s="636" customFormat="1" x14ac:dyDescent="0.6">
      <c r="A89" s="1128" t="s">
        <v>524</v>
      </c>
      <c r="B89" s="1128"/>
      <c r="C89" s="1128"/>
      <c r="D89" s="1128"/>
      <c r="E89" s="1128"/>
      <c r="F89" s="1128"/>
      <c r="I89" s="637"/>
    </row>
    <row r="90" spans="1:9" s="599" customFormat="1" x14ac:dyDescent="0.6">
      <c r="A90" s="638">
        <v>1</v>
      </c>
      <c r="B90" s="639" t="s">
        <v>519</v>
      </c>
      <c r="C90" s="639" t="s">
        <v>518</v>
      </c>
      <c r="D90" s="884" t="s">
        <v>1694</v>
      </c>
      <c r="E90" s="884" t="s">
        <v>1695</v>
      </c>
      <c r="F90" s="643">
        <v>100800</v>
      </c>
      <c r="I90" s="600"/>
    </row>
    <row r="91" spans="1:9" s="599" customFormat="1" ht="24" thickBot="1" x14ac:dyDescent="0.65">
      <c r="A91" s="619"/>
      <c r="B91" s="620" t="s">
        <v>535</v>
      </c>
      <c r="C91" s="621"/>
      <c r="D91" s="625"/>
      <c r="E91" s="625"/>
      <c r="F91" s="625">
        <v>100800</v>
      </c>
      <c r="H91" s="731">
        <v>100800</v>
      </c>
      <c r="I91" s="600"/>
    </row>
    <row r="92" spans="1:9" ht="22.5" customHeight="1" thickTop="1" x14ac:dyDescent="0.3">
      <c r="D92" s="470"/>
      <c r="E92" s="470"/>
      <c r="F92" s="472"/>
      <c r="G92" s="2"/>
      <c r="I92" s="684">
        <v>154800</v>
      </c>
    </row>
    <row r="93" spans="1:9" ht="22.5" customHeight="1" thickBot="1" x14ac:dyDescent="0.35">
      <c r="D93" s="470"/>
      <c r="E93" s="470"/>
      <c r="F93" s="658">
        <v>1903482.2452999998</v>
      </c>
      <c r="G93" s="2"/>
      <c r="I93" s="1009">
        <v>1903482.2356</v>
      </c>
    </row>
    <row r="94" spans="1:9" ht="22.5" customHeight="1" thickTop="1" x14ac:dyDescent="0.5">
      <c r="B94" s="587" t="s">
        <v>537</v>
      </c>
      <c r="C94" s="587"/>
      <c r="D94" s="3"/>
      <c r="E94" s="3"/>
      <c r="F94" s="472"/>
    </row>
    <row r="95" spans="1:9" x14ac:dyDescent="0.5">
      <c r="B95" s="1129" t="s">
        <v>538</v>
      </c>
      <c r="C95" s="1129"/>
      <c r="D95" s="3"/>
      <c r="E95" s="3"/>
      <c r="F95" s="472"/>
    </row>
    <row r="96" spans="1:9" x14ac:dyDescent="0.5">
      <c r="B96" s="1129" t="s">
        <v>539</v>
      </c>
      <c r="C96" s="1129"/>
      <c r="D96" s="3"/>
      <c r="E96" s="3"/>
      <c r="F96" s="472"/>
    </row>
    <row r="97" spans="4:6" x14ac:dyDescent="0.3">
      <c r="D97" s="3"/>
      <c r="E97" s="3"/>
      <c r="F97" s="472"/>
    </row>
    <row r="98" spans="4:6" x14ac:dyDescent="0.3">
      <c r="D98" s="3"/>
      <c r="E98" s="3"/>
      <c r="F98" s="472"/>
    </row>
    <row r="99" spans="4:6" x14ac:dyDescent="0.3">
      <c r="D99" s="3"/>
      <c r="E99" s="3"/>
      <c r="F99" s="472"/>
    </row>
    <row r="100" spans="4:6" x14ac:dyDescent="0.3">
      <c r="D100" s="3"/>
      <c r="E100" s="3"/>
      <c r="F100" s="472"/>
    </row>
    <row r="101" spans="4:6" x14ac:dyDescent="0.3">
      <c r="D101" s="3"/>
      <c r="E101" s="3"/>
      <c r="F101" s="472"/>
    </row>
    <row r="102" spans="4:6" x14ac:dyDescent="0.3">
      <c r="D102" s="3"/>
      <c r="E102" s="3"/>
      <c r="F102" s="472"/>
    </row>
    <row r="103" spans="4:6" x14ac:dyDescent="0.3">
      <c r="D103" s="3"/>
      <c r="E103" s="3"/>
      <c r="F103" s="472"/>
    </row>
  </sheetData>
  <sortState xmlns:xlrd2="http://schemas.microsoft.com/office/spreadsheetml/2017/richdata2" ref="A8:F62">
    <sortCondition ref="E8:E62"/>
  </sortState>
  <mergeCells count="13">
    <mergeCell ref="A65:F65"/>
    <mergeCell ref="A85:F85"/>
    <mergeCell ref="A89:F89"/>
    <mergeCell ref="B95:C95"/>
    <mergeCell ref="B96:C96"/>
    <mergeCell ref="A1:F1"/>
    <mergeCell ref="A2:F2"/>
    <mergeCell ref="A3:F3"/>
    <mergeCell ref="A4:A6"/>
    <mergeCell ref="B4:B6"/>
    <mergeCell ref="C4:C6"/>
    <mergeCell ref="D4:F4"/>
    <mergeCell ref="D5:D6"/>
  </mergeCells>
  <pageMargins left="0.7" right="0.7" top="0.75" bottom="0.75" header="0.3" footer="0.3"/>
  <pageSetup scale="4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F0EF-39C9-4A14-9961-3DE37079E532}">
  <sheetPr>
    <tabColor rgb="FFFFC000"/>
  </sheetPr>
  <dimension ref="A1:AQ339"/>
  <sheetViews>
    <sheetView zoomScale="80" zoomScaleNormal="80" workbookViewId="0">
      <pane ySplit="6" topLeftCell="A178" activePane="bottomLeft" state="frozen"/>
      <selection pane="bottomLeft" activeCell="B190" sqref="B190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4.88671875" style="88" customWidth="1"/>
    <col min="5" max="5" width="13.33203125" style="659" customWidth="1"/>
    <col min="6" max="6" width="5.5546875" style="659" customWidth="1"/>
    <col min="7" max="7" width="7.88671875" style="660" customWidth="1"/>
    <col min="8" max="8" width="14.88671875" style="661" customWidth="1"/>
    <col min="9" max="9" width="14.6640625" style="661" customWidth="1"/>
    <col min="10" max="10" width="14.44140625" style="661" customWidth="1"/>
    <col min="11" max="11" width="12.44140625" style="88" customWidth="1"/>
    <col min="12" max="12" width="18.6640625" style="88" customWidth="1"/>
    <col min="13" max="13" width="16.33203125" style="88" customWidth="1"/>
    <col min="14" max="14" width="14.5546875" style="662" customWidth="1"/>
    <col min="15" max="15" width="5.77734375" style="662" customWidth="1"/>
    <col min="16" max="16" width="8" style="663" customWidth="1"/>
    <col min="17" max="17" width="16.33203125" style="664" customWidth="1"/>
    <col min="18" max="18" width="13.88671875" style="664" customWidth="1"/>
    <col min="19" max="19" width="16.5546875" style="665" customWidth="1"/>
    <col min="20" max="16384" width="27.109375" style="3"/>
  </cols>
  <sheetData>
    <row r="1" spans="1:20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09"/>
      <c r="S1" s="1109"/>
      <c r="T1" s="2"/>
    </row>
    <row r="2" spans="1:20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2"/>
    </row>
    <row r="3" spans="1:20" ht="22.5" customHeight="1" x14ac:dyDescent="0.3">
      <c r="A3" s="1110" t="s">
        <v>1411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1111"/>
      <c r="S3" s="1111"/>
      <c r="T3" s="2"/>
    </row>
    <row r="4" spans="1:20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44"/>
      <c r="G4" s="1135"/>
      <c r="H4" s="1135"/>
      <c r="I4" s="1135"/>
      <c r="J4" s="1136"/>
      <c r="K4" s="1145" t="s">
        <v>8</v>
      </c>
      <c r="L4" s="1146"/>
      <c r="M4" s="1147"/>
      <c r="N4" s="1118" t="s">
        <v>9</v>
      </c>
      <c r="O4" s="1119"/>
      <c r="P4" s="1140"/>
      <c r="Q4" s="1140"/>
      <c r="R4" s="1140"/>
      <c r="S4" s="1120"/>
      <c r="T4" s="2"/>
    </row>
    <row r="5" spans="1:20" ht="22.5" customHeight="1" x14ac:dyDescent="0.3">
      <c r="A5" s="1113"/>
      <c r="B5" s="1113"/>
      <c r="C5" s="1116"/>
      <c r="D5" s="1142"/>
      <c r="E5" s="1130" t="s">
        <v>10</v>
      </c>
      <c r="F5" s="880" t="s">
        <v>937</v>
      </c>
      <c r="G5" s="1132" t="s">
        <v>11</v>
      </c>
      <c r="H5" s="1134" t="s">
        <v>12</v>
      </c>
      <c r="I5" s="1135"/>
      <c r="J5" s="1136"/>
      <c r="K5" s="5"/>
      <c r="L5" s="6"/>
      <c r="M5" s="6"/>
      <c r="N5" s="1121" t="s">
        <v>10</v>
      </c>
      <c r="O5" s="882"/>
      <c r="P5" s="1138" t="s">
        <v>11</v>
      </c>
      <c r="Q5" s="1118" t="s">
        <v>12</v>
      </c>
      <c r="R5" s="1140"/>
      <c r="S5" s="1120"/>
      <c r="T5" s="2"/>
    </row>
    <row r="6" spans="1:20" ht="22.5" customHeight="1" x14ac:dyDescent="0.3">
      <c r="A6" s="1114"/>
      <c r="B6" s="1114"/>
      <c r="C6" s="1117"/>
      <c r="D6" s="1143"/>
      <c r="E6" s="1131"/>
      <c r="F6" s="881"/>
      <c r="G6" s="1133"/>
      <c r="H6" s="7" t="s">
        <v>13</v>
      </c>
      <c r="I6" s="7" t="s">
        <v>14</v>
      </c>
      <c r="J6" s="7" t="s">
        <v>15</v>
      </c>
      <c r="K6" s="5" t="s">
        <v>16</v>
      </c>
      <c r="L6" s="8" t="s">
        <v>17</v>
      </c>
      <c r="M6" s="6" t="s">
        <v>13</v>
      </c>
      <c r="N6" s="1122"/>
      <c r="O6" s="883" t="s">
        <v>937</v>
      </c>
      <c r="P6" s="1139"/>
      <c r="Q6" s="9" t="s">
        <v>18</v>
      </c>
      <c r="R6" s="9" t="s">
        <v>14</v>
      </c>
      <c r="S6" s="10" t="s">
        <v>15</v>
      </c>
      <c r="T6" s="2"/>
    </row>
    <row r="7" spans="1:20" ht="22.5" customHeight="1" x14ac:dyDescent="0.3">
      <c r="A7" s="11"/>
      <c r="B7" s="12" t="s">
        <v>19</v>
      </c>
      <c r="C7" s="13"/>
      <c r="D7" s="14"/>
      <c r="E7" s="15"/>
      <c r="F7" s="15"/>
      <c r="G7" s="16"/>
      <c r="H7" s="7"/>
      <c r="I7" s="17"/>
      <c r="J7" s="17"/>
      <c r="K7" s="18"/>
      <c r="L7" s="18"/>
      <c r="M7" s="14"/>
      <c r="N7" s="19"/>
      <c r="O7" s="19"/>
      <c r="P7" s="20"/>
      <c r="Q7" s="21"/>
      <c r="R7" s="21"/>
      <c r="S7" s="22"/>
      <c r="T7" s="2"/>
    </row>
    <row r="8" spans="1:20" ht="22.5" customHeight="1" x14ac:dyDescent="0.6">
      <c r="A8" s="23">
        <v>1</v>
      </c>
      <c r="B8" s="24" t="s">
        <v>20</v>
      </c>
      <c r="C8" s="25" t="s">
        <v>21</v>
      </c>
      <c r="D8" s="26">
        <v>26445.35</v>
      </c>
      <c r="E8" s="27"/>
      <c r="F8" s="27"/>
      <c r="G8" s="28"/>
      <c r="H8" s="29">
        <v>-2.2429906553425609E-3</v>
      </c>
      <c r="I8" s="29">
        <v>-1.5700934587397925E-4</v>
      </c>
      <c r="J8" s="29">
        <v>-2.4000000012165401E-3</v>
      </c>
      <c r="K8" s="30" t="s">
        <v>1413</v>
      </c>
      <c r="L8" s="31" t="s">
        <v>1414</v>
      </c>
      <c r="M8" s="32">
        <v>26445.35</v>
      </c>
      <c r="N8" s="33"/>
      <c r="O8" s="33"/>
      <c r="P8" s="34"/>
      <c r="Q8" s="35">
        <f>SUM(S8-R8)</f>
        <v>-2.2429906553425609E-3</v>
      </c>
      <c r="R8" s="35">
        <f>SUM(S8*7/107)</f>
        <v>-1.5700934587397925E-4</v>
      </c>
      <c r="S8" s="36">
        <f>SUM(D8+J8-M8)</f>
        <v>-2.4000000012165401E-3</v>
      </c>
      <c r="T8" s="47"/>
    </row>
    <row r="9" spans="1:20" ht="22.5" customHeight="1" x14ac:dyDescent="0.6">
      <c r="A9" s="23">
        <v>2</v>
      </c>
      <c r="B9" s="24" t="s">
        <v>24</v>
      </c>
      <c r="C9" s="25" t="s">
        <v>25</v>
      </c>
      <c r="D9" s="26">
        <v>5630.3720999999996</v>
      </c>
      <c r="E9" s="27"/>
      <c r="F9" s="27"/>
      <c r="G9" s="28"/>
      <c r="H9" s="29">
        <v>-1.6999900967718285E-12</v>
      </c>
      <c r="I9" s="29">
        <v>-1.1899930677402798E-13</v>
      </c>
      <c r="J9" s="29">
        <v>-1.8189894035458565E-12</v>
      </c>
      <c r="K9" s="30" t="s">
        <v>1415</v>
      </c>
      <c r="L9" s="31" t="s">
        <v>1416</v>
      </c>
      <c r="M9" s="32">
        <v>5630.37</v>
      </c>
      <c r="N9" s="33"/>
      <c r="O9" s="33"/>
      <c r="P9" s="34"/>
      <c r="Q9" s="35">
        <f>SUM(S9-R9)</f>
        <v>1.962616820449758E-3</v>
      </c>
      <c r="R9" s="35">
        <f>SUM(S9*7/107)</f>
        <v>1.3738317743148306E-4</v>
      </c>
      <c r="S9" s="36">
        <f>SUM(D9+J9-M9)</f>
        <v>2.0999999978812411E-3</v>
      </c>
      <c r="T9" s="47"/>
    </row>
    <row r="10" spans="1:20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7"/>
      <c r="G10" s="28"/>
      <c r="H10" s="29">
        <v>0</v>
      </c>
      <c r="I10" s="29">
        <v>0</v>
      </c>
      <c r="J10" s="29">
        <v>0</v>
      </c>
      <c r="K10" s="38" t="s">
        <v>1417</v>
      </c>
      <c r="L10" s="39" t="s">
        <v>1418</v>
      </c>
      <c r="M10" s="40">
        <v>802.5</v>
      </c>
      <c r="N10" s="41"/>
      <c r="O10" s="41"/>
      <c r="P10" s="34"/>
      <c r="Q10" s="35">
        <f>SUM(S10-R10)</f>
        <v>0</v>
      </c>
      <c r="R10" s="35">
        <f>SUM(S10*7/107)</f>
        <v>0</v>
      </c>
      <c r="S10" s="36">
        <f>SUM(D10+J10-M10)</f>
        <v>0</v>
      </c>
      <c r="T10" s="2"/>
    </row>
    <row r="11" spans="1:20" ht="22.5" customHeight="1" x14ac:dyDescent="0.6">
      <c r="A11" s="23">
        <v>4</v>
      </c>
      <c r="B11" s="24" t="s">
        <v>30</v>
      </c>
      <c r="C11" s="25" t="s">
        <v>31</v>
      </c>
      <c r="D11" s="43"/>
      <c r="E11" s="894" t="s">
        <v>1192</v>
      </c>
      <c r="F11" s="895" t="s">
        <v>33</v>
      </c>
      <c r="G11" s="895" t="s">
        <v>33</v>
      </c>
      <c r="H11" s="896">
        <v>1079.9999999999998</v>
      </c>
      <c r="I11" s="896">
        <v>75.59999999999998</v>
      </c>
      <c r="J11" s="896">
        <v>1155.5999999999997</v>
      </c>
      <c r="K11" s="30" t="s">
        <v>1419</v>
      </c>
      <c r="L11" s="31" t="s">
        <v>1420</v>
      </c>
      <c r="M11" s="32">
        <v>1155.5999999999999</v>
      </c>
      <c r="N11" s="33"/>
      <c r="O11" s="33"/>
      <c r="P11" s="34"/>
      <c r="Q11" s="669">
        <f>SUM(S11-R11)</f>
        <v>-2.1249876209647856E-13</v>
      </c>
      <c r="R11" s="669">
        <f>SUM(S11*7/107)</f>
        <v>-1.4874913346753498E-14</v>
      </c>
      <c r="S11" s="340">
        <f>SUM(D11+J11-M11)</f>
        <v>-2.2737367544323206E-13</v>
      </c>
      <c r="T11" s="47"/>
    </row>
    <row r="12" spans="1:20" s="60" customFormat="1" ht="22.5" customHeight="1" thickBot="1" x14ac:dyDescent="0.35">
      <c r="A12" s="48"/>
      <c r="B12" s="48" t="s">
        <v>15</v>
      </c>
      <c r="C12" s="49"/>
      <c r="D12" s="50">
        <f>SUM(D8:D11)</f>
        <v>32878.222099999999</v>
      </c>
      <c r="E12" s="51"/>
      <c r="F12" s="51"/>
      <c r="G12" s="52"/>
      <c r="H12" s="53">
        <f>SUM(H8:H11)</f>
        <v>1079.9977570093426</v>
      </c>
      <c r="I12" s="53">
        <f>SUM(I8:I11)</f>
        <v>75.599842990653983</v>
      </c>
      <c r="J12" s="53">
        <f>SUM(J8:J11)</f>
        <v>1155.5975999999966</v>
      </c>
      <c r="K12" s="54"/>
      <c r="L12" s="55"/>
      <c r="M12" s="50">
        <f>SUM(M8:M11)</f>
        <v>34033.82</v>
      </c>
      <c r="N12" s="48"/>
      <c r="O12" s="48"/>
      <c r="P12" s="56"/>
      <c r="Q12" s="670">
        <f>SUM(S12-R12)</f>
        <v>-2.8037383829278295E-4</v>
      </c>
      <c r="R12" s="670">
        <f>SUM(S12*7/107)</f>
        <v>-1.9626168680494809E-5</v>
      </c>
      <c r="S12" s="671">
        <f>SUM(D12+J12-M12)</f>
        <v>-3.0000000697327778E-4</v>
      </c>
      <c r="T12" s="59"/>
    </row>
    <row r="13" spans="1:20" ht="22.5" customHeight="1" thickTop="1" x14ac:dyDescent="0.3">
      <c r="A13" s="61"/>
      <c r="B13" s="62" t="s">
        <v>37</v>
      </c>
      <c r="C13" s="63"/>
      <c r="D13" s="64"/>
      <c r="E13" s="65"/>
      <c r="F13" s="65"/>
      <c r="G13" s="66"/>
      <c r="H13" s="67"/>
      <c r="I13" s="67"/>
      <c r="J13" s="67"/>
      <c r="K13" s="68"/>
      <c r="L13" s="68"/>
      <c r="M13" s="64"/>
      <c r="N13" s="69"/>
      <c r="O13" s="69"/>
      <c r="P13" s="70"/>
      <c r="Q13" s="71"/>
      <c r="R13" s="71"/>
      <c r="S13" s="72"/>
      <c r="T13" s="2"/>
    </row>
    <row r="14" spans="1:20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4"/>
      <c r="G14" s="75"/>
      <c r="H14" s="76">
        <v>0</v>
      </c>
      <c r="I14" s="76">
        <v>0</v>
      </c>
      <c r="J14" s="76">
        <v>0</v>
      </c>
      <c r="K14" s="30" t="s">
        <v>1421</v>
      </c>
      <c r="L14" s="31" t="s">
        <v>1422</v>
      </c>
      <c r="M14" s="32">
        <v>1284</v>
      </c>
      <c r="N14" s="69"/>
      <c r="O14" s="69"/>
      <c r="P14" s="70"/>
      <c r="Q14" s="35">
        <f>SUM(S14-R14)</f>
        <v>0</v>
      </c>
      <c r="R14" s="42">
        <f>SUM(S14*7/107)</f>
        <v>0</v>
      </c>
      <c r="S14" s="36">
        <f>SUM(D14+J14-M14)</f>
        <v>0</v>
      </c>
      <c r="T14" s="2"/>
    </row>
    <row r="15" spans="1:20" ht="22.5" customHeight="1" x14ac:dyDescent="0.5">
      <c r="A15" s="23">
        <v>2</v>
      </c>
      <c r="B15" s="73" t="s">
        <v>42</v>
      </c>
      <c r="C15" s="25" t="s">
        <v>43</v>
      </c>
      <c r="D15" s="43">
        <v>1861.8</v>
      </c>
      <c r="E15" s="74"/>
      <c r="F15" s="80"/>
      <c r="G15" s="77"/>
      <c r="H15" s="76">
        <v>-4.2499752419295712E-13</v>
      </c>
      <c r="I15" s="76">
        <v>-2.9749826693506995E-14</v>
      </c>
      <c r="J15" s="76">
        <v>-4.5474735088646412E-13</v>
      </c>
      <c r="K15" s="30" t="s">
        <v>1423</v>
      </c>
      <c r="L15" s="31" t="s">
        <v>1424</v>
      </c>
      <c r="M15" s="32">
        <v>1861.8</v>
      </c>
      <c r="N15" s="33"/>
      <c r="O15" s="747"/>
      <c r="P15" s="70"/>
      <c r="Q15" s="35">
        <f t="shared" ref="Q15:Q26" si="0">SUM(S15-R15)</f>
        <v>-4.2499752419295712E-13</v>
      </c>
      <c r="R15" s="42">
        <f t="shared" ref="R15:R26" si="1">SUM(S15*7/107)</f>
        <v>-2.9749826693506995E-14</v>
      </c>
      <c r="S15" s="36">
        <f t="shared" ref="S15:S26" si="2">SUM(D15+J15-M15)</f>
        <v>-4.5474735088646412E-13</v>
      </c>
      <c r="T15" s="2"/>
    </row>
    <row r="16" spans="1:20" ht="22.5" customHeight="1" x14ac:dyDescent="0.5">
      <c r="A16" s="23">
        <v>3</v>
      </c>
      <c r="B16" s="73" t="s">
        <v>45</v>
      </c>
      <c r="C16" s="25" t="s">
        <v>46</v>
      </c>
      <c r="D16" s="43">
        <v>1027.2</v>
      </c>
      <c r="E16" s="74" t="s">
        <v>1192</v>
      </c>
      <c r="F16" s="80" t="s">
        <v>33</v>
      </c>
      <c r="G16" s="77" t="s">
        <v>33</v>
      </c>
      <c r="H16" s="76">
        <v>1500</v>
      </c>
      <c r="I16" s="76">
        <v>105</v>
      </c>
      <c r="J16" s="76">
        <v>1605</v>
      </c>
      <c r="K16" s="30" t="s">
        <v>1425</v>
      </c>
      <c r="L16" s="31" t="s">
        <v>1426</v>
      </c>
      <c r="M16" s="32">
        <v>1605</v>
      </c>
      <c r="N16" s="33" t="s">
        <v>1427</v>
      </c>
      <c r="O16" s="747" t="s">
        <v>33</v>
      </c>
      <c r="P16" s="70" t="s">
        <v>33</v>
      </c>
      <c r="Q16" s="35">
        <f t="shared" si="0"/>
        <v>959.99999999999977</v>
      </c>
      <c r="R16" s="42">
        <f t="shared" si="1"/>
        <v>67.199999999999989</v>
      </c>
      <c r="S16" s="36">
        <f t="shared" si="2"/>
        <v>1027.1999999999998</v>
      </c>
      <c r="T16" s="2"/>
    </row>
    <row r="17" spans="1:20" ht="22.5" customHeight="1" x14ac:dyDescent="0.5">
      <c r="A17" s="23">
        <v>4</v>
      </c>
      <c r="B17" s="73" t="s">
        <v>48</v>
      </c>
      <c r="C17" s="25" t="s">
        <v>49</v>
      </c>
      <c r="D17" s="43">
        <v>2551.9499999999998</v>
      </c>
      <c r="E17" s="74" t="s">
        <v>1192</v>
      </c>
      <c r="F17" s="80" t="s">
        <v>33</v>
      </c>
      <c r="G17" s="77" t="s">
        <v>33</v>
      </c>
      <c r="H17" s="76">
        <v>2879.9999999999986</v>
      </c>
      <c r="I17" s="76">
        <v>201.59999999999991</v>
      </c>
      <c r="J17" s="76">
        <v>3081.5999999999985</v>
      </c>
      <c r="K17" s="30" t="s">
        <v>1421</v>
      </c>
      <c r="L17" s="31" t="s">
        <v>1428</v>
      </c>
      <c r="M17" s="32">
        <v>3081.6</v>
      </c>
      <c r="N17" s="33" t="s">
        <v>1427</v>
      </c>
      <c r="O17" s="747" t="s">
        <v>33</v>
      </c>
      <c r="P17" s="70" t="s">
        <v>33</v>
      </c>
      <c r="Q17" s="35">
        <f t="shared" si="0"/>
        <v>2384.9999999999986</v>
      </c>
      <c r="R17" s="42">
        <f t="shared" si="1"/>
        <v>166.9499999999999</v>
      </c>
      <c r="S17" s="36">
        <f t="shared" si="2"/>
        <v>2551.9499999999985</v>
      </c>
      <c r="T17" s="2"/>
    </row>
    <row r="18" spans="1:20" ht="22.5" customHeight="1" x14ac:dyDescent="0.5">
      <c r="A18" s="23">
        <v>5</v>
      </c>
      <c r="B18" s="73" t="s">
        <v>51</v>
      </c>
      <c r="C18" s="25" t="s">
        <v>52</v>
      </c>
      <c r="D18" s="43">
        <v>4670.55</v>
      </c>
      <c r="E18" s="74" t="s">
        <v>1192</v>
      </c>
      <c r="F18" s="80" t="s">
        <v>33</v>
      </c>
      <c r="G18" s="77" t="s">
        <v>33</v>
      </c>
      <c r="H18" s="76">
        <v>4050.0000000000036</v>
      </c>
      <c r="I18" s="76">
        <v>283.50000000000023</v>
      </c>
      <c r="J18" s="76">
        <v>4333.5000000000036</v>
      </c>
      <c r="K18" s="30" t="s">
        <v>1419</v>
      </c>
      <c r="L18" s="31" t="s">
        <v>1429</v>
      </c>
      <c r="M18" s="32">
        <v>4333.5</v>
      </c>
      <c r="N18" s="33" t="s">
        <v>1427</v>
      </c>
      <c r="O18" s="747" t="s">
        <v>33</v>
      </c>
      <c r="P18" s="70" t="s">
        <v>33</v>
      </c>
      <c r="Q18" s="35">
        <f t="shared" si="0"/>
        <v>4365.0000000000027</v>
      </c>
      <c r="R18" s="42">
        <f t="shared" si="1"/>
        <v>305.55000000000018</v>
      </c>
      <c r="S18" s="36">
        <f t="shared" si="2"/>
        <v>4670.5500000000029</v>
      </c>
      <c r="T18" s="2"/>
    </row>
    <row r="19" spans="1:20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4"/>
      <c r="G19" s="75"/>
      <c r="H19" s="76">
        <v>0</v>
      </c>
      <c r="I19" s="76">
        <v>0</v>
      </c>
      <c r="J19" s="76">
        <v>0</v>
      </c>
      <c r="K19" s="30" t="s">
        <v>1419</v>
      </c>
      <c r="L19" s="31" t="s">
        <v>1430</v>
      </c>
      <c r="M19" s="32">
        <v>6420</v>
      </c>
      <c r="N19" s="69"/>
      <c r="O19" s="69"/>
      <c r="P19" s="70"/>
      <c r="Q19" s="35">
        <f t="shared" si="0"/>
        <v>0</v>
      </c>
      <c r="R19" s="42">
        <f t="shared" si="1"/>
        <v>0</v>
      </c>
      <c r="S19" s="36">
        <f t="shared" si="2"/>
        <v>0</v>
      </c>
      <c r="T19" s="2"/>
    </row>
    <row r="20" spans="1:20" ht="22.5" customHeight="1" x14ac:dyDescent="0.5">
      <c r="A20" s="23">
        <v>7</v>
      </c>
      <c r="B20" s="78" t="s">
        <v>54</v>
      </c>
      <c r="C20" s="25" t="s">
        <v>55</v>
      </c>
      <c r="D20" s="79">
        <v>2696.4</v>
      </c>
      <c r="E20" s="80"/>
      <c r="F20" s="80"/>
      <c r="G20" s="77"/>
      <c r="H20" s="76">
        <v>0</v>
      </c>
      <c r="I20" s="76">
        <v>0</v>
      </c>
      <c r="J20" s="76">
        <v>0</v>
      </c>
      <c r="K20" s="38" t="s">
        <v>1423</v>
      </c>
      <c r="L20" s="39" t="s">
        <v>1431</v>
      </c>
      <c r="M20" s="40">
        <v>2696.4</v>
      </c>
      <c r="N20" s="33"/>
      <c r="O20" s="747"/>
      <c r="P20" s="70"/>
      <c r="Q20" s="35">
        <f t="shared" si="0"/>
        <v>0</v>
      </c>
      <c r="R20" s="42">
        <f t="shared" si="1"/>
        <v>0</v>
      </c>
      <c r="S20" s="36">
        <f t="shared" si="2"/>
        <v>0</v>
      </c>
      <c r="T20" s="2"/>
    </row>
    <row r="21" spans="1:20" ht="22.5" customHeight="1" x14ac:dyDescent="0.5">
      <c r="A21" s="23">
        <v>8</v>
      </c>
      <c r="B21" s="78" t="s">
        <v>56</v>
      </c>
      <c r="C21" s="81" t="s">
        <v>57</v>
      </c>
      <c r="D21" s="79">
        <v>1203.75</v>
      </c>
      <c r="E21" s="74"/>
      <c r="F21" s="80"/>
      <c r="G21" s="77"/>
      <c r="H21" s="82">
        <v>0</v>
      </c>
      <c r="I21" s="82">
        <v>0</v>
      </c>
      <c r="J21" s="82">
        <v>0</v>
      </c>
      <c r="K21" s="38" t="s">
        <v>1423</v>
      </c>
      <c r="L21" s="39" t="s">
        <v>1432</v>
      </c>
      <c r="M21" s="40">
        <v>1203.75</v>
      </c>
      <c r="N21" s="33"/>
      <c r="O21" s="747"/>
      <c r="P21" s="70"/>
      <c r="Q21" s="35">
        <f t="shared" si="0"/>
        <v>0</v>
      </c>
      <c r="R21" s="42">
        <f t="shared" si="1"/>
        <v>0</v>
      </c>
      <c r="S21" s="36">
        <f t="shared" si="2"/>
        <v>0</v>
      </c>
      <c r="T21" s="2"/>
    </row>
    <row r="22" spans="1:20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4"/>
      <c r="G22" s="75"/>
      <c r="H22" s="76">
        <v>0</v>
      </c>
      <c r="I22" s="76">
        <v>0</v>
      </c>
      <c r="J22" s="76">
        <v>0</v>
      </c>
      <c r="K22" s="38" t="s">
        <v>1433</v>
      </c>
      <c r="L22" s="39" t="s">
        <v>1434</v>
      </c>
      <c r="M22" s="40">
        <v>21400</v>
      </c>
      <c r="N22" s="69"/>
      <c r="O22" s="69"/>
      <c r="P22" s="70"/>
      <c r="Q22" s="35">
        <f t="shared" si="0"/>
        <v>0</v>
      </c>
      <c r="R22" s="42">
        <f t="shared" si="1"/>
        <v>0</v>
      </c>
      <c r="S22" s="36">
        <f t="shared" si="2"/>
        <v>0</v>
      </c>
      <c r="T22" s="2"/>
    </row>
    <row r="23" spans="1:20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4"/>
      <c r="G23" s="75"/>
      <c r="H23" s="76">
        <v>0</v>
      </c>
      <c r="I23" s="76">
        <v>0</v>
      </c>
      <c r="J23" s="76">
        <v>0</v>
      </c>
      <c r="K23" s="38" t="s">
        <v>1417</v>
      </c>
      <c r="L23" s="39" t="s">
        <v>1435</v>
      </c>
      <c r="M23" s="40">
        <v>856</v>
      </c>
      <c r="N23" s="69"/>
      <c r="O23" s="69"/>
      <c r="P23" s="70"/>
      <c r="Q23" s="35">
        <f t="shared" si="0"/>
        <v>0</v>
      </c>
      <c r="R23" s="42">
        <f t="shared" si="1"/>
        <v>0</v>
      </c>
      <c r="S23" s="36">
        <f t="shared" si="2"/>
        <v>0</v>
      </c>
      <c r="T23" s="87"/>
    </row>
    <row r="24" spans="1:20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885"/>
      <c r="G24" s="92"/>
      <c r="H24" s="76">
        <v>0</v>
      </c>
      <c r="I24" s="76">
        <v>0</v>
      </c>
      <c r="J24" s="76">
        <v>0</v>
      </c>
      <c r="K24" s="38" t="s">
        <v>1417</v>
      </c>
      <c r="L24" s="39" t="s">
        <v>1436</v>
      </c>
      <c r="M24" s="40">
        <v>21400</v>
      </c>
      <c r="N24" s="69"/>
      <c r="O24" s="69"/>
      <c r="P24" s="70"/>
      <c r="Q24" s="35">
        <f t="shared" si="0"/>
        <v>0</v>
      </c>
      <c r="R24" s="42">
        <f t="shared" si="1"/>
        <v>0</v>
      </c>
      <c r="S24" s="36">
        <f t="shared" si="2"/>
        <v>0</v>
      </c>
      <c r="T24" s="93"/>
    </row>
    <row r="25" spans="1:20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6"/>
      <c r="G25" s="97"/>
      <c r="H25" s="98">
        <v>0</v>
      </c>
      <c r="I25" s="98">
        <v>0</v>
      </c>
      <c r="J25" s="98">
        <v>0</v>
      </c>
      <c r="K25" s="38" t="s">
        <v>1425</v>
      </c>
      <c r="L25" s="39" t="s">
        <v>1437</v>
      </c>
      <c r="M25" s="40">
        <v>3210</v>
      </c>
      <c r="N25" s="69"/>
      <c r="O25" s="69"/>
      <c r="P25" s="70"/>
      <c r="Q25" s="35">
        <f t="shared" si="0"/>
        <v>0</v>
      </c>
      <c r="R25" s="42">
        <f t="shared" si="1"/>
        <v>0</v>
      </c>
      <c r="S25" s="36">
        <f t="shared" si="2"/>
        <v>0</v>
      </c>
    </row>
    <row r="26" spans="1:20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6"/>
      <c r="G26" s="97"/>
      <c r="H26" s="98">
        <v>0</v>
      </c>
      <c r="I26" s="98">
        <v>0</v>
      </c>
      <c r="J26" s="98">
        <v>0</v>
      </c>
      <c r="K26" s="101" t="s">
        <v>1433</v>
      </c>
      <c r="L26" s="102" t="s">
        <v>1438</v>
      </c>
      <c r="M26" s="103">
        <v>3210</v>
      </c>
      <c r="N26" s="69"/>
      <c r="O26" s="69"/>
      <c r="P26" s="70"/>
      <c r="Q26" s="35">
        <f t="shared" si="0"/>
        <v>0</v>
      </c>
      <c r="R26" s="42">
        <f t="shared" si="1"/>
        <v>0</v>
      </c>
      <c r="S26" s="36">
        <f t="shared" si="2"/>
        <v>0</v>
      </c>
      <c r="T26" s="93"/>
    </row>
    <row r="27" spans="1:20" s="60" customFormat="1" ht="22.5" customHeight="1" thickBot="1" x14ac:dyDescent="0.35">
      <c r="A27" s="48"/>
      <c r="B27" s="48" t="s">
        <v>15</v>
      </c>
      <c r="C27" s="49"/>
      <c r="D27" s="104">
        <f>SUM(D14:D26)</f>
        <v>71791.649999999994</v>
      </c>
      <c r="E27" s="105"/>
      <c r="F27" s="105"/>
      <c r="G27" s="56"/>
      <c r="H27" s="106">
        <f>SUM(H14:H26)</f>
        <v>8430.0000000000018</v>
      </c>
      <c r="I27" s="106">
        <f>SUM(I14:I26)</f>
        <v>590.10000000000014</v>
      </c>
      <c r="J27" s="106">
        <f>SUM(J14:J26)</f>
        <v>9020.1000000000022</v>
      </c>
      <c r="K27" s="104"/>
      <c r="L27" s="104"/>
      <c r="M27" s="104">
        <f>SUM(M14:M26)</f>
        <v>72562.05</v>
      </c>
      <c r="N27" s="107"/>
      <c r="O27" s="107"/>
      <c r="P27" s="108"/>
      <c r="Q27" s="109">
        <f>SUM(Q14:Q26)</f>
        <v>7710.0000000000009</v>
      </c>
      <c r="R27" s="109">
        <f>SUM(R14:R26)</f>
        <v>539.70000000000005</v>
      </c>
      <c r="S27" s="110">
        <f>SUM(S14:S26)</f>
        <v>8249.7000000000007</v>
      </c>
    </row>
    <row r="28" spans="1:20" ht="22.5" customHeight="1" thickTop="1" x14ac:dyDescent="0.3">
      <c r="A28" s="61"/>
      <c r="B28" s="62" t="s">
        <v>71</v>
      </c>
      <c r="C28" s="63"/>
      <c r="D28" s="64"/>
      <c r="E28" s="65"/>
      <c r="F28" s="65"/>
      <c r="G28" s="66"/>
      <c r="H28" s="67"/>
      <c r="I28" s="67"/>
      <c r="J28" s="67"/>
      <c r="K28" s="68"/>
      <c r="L28" s="68"/>
      <c r="M28" s="64"/>
      <c r="N28" s="69"/>
      <c r="O28" s="69"/>
      <c r="P28" s="70"/>
      <c r="Q28" s="71"/>
      <c r="R28" s="71"/>
      <c r="S28" s="72"/>
    </row>
    <row r="29" spans="1:20" ht="22.5" customHeight="1" x14ac:dyDescent="0.5">
      <c r="A29" s="23">
        <v>1</v>
      </c>
      <c r="B29" s="73" t="s">
        <v>72</v>
      </c>
      <c r="C29" s="25" t="s">
        <v>73</v>
      </c>
      <c r="D29" s="43">
        <v>6692.85</v>
      </c>
      <c r="E29" s="74"/>
      <c r="F29" s="80"/>
      <c r="G29" s="77"/>
      <c r="H29" s="76">
        <v>0</v>
      </c>
      <c r="I29" s="76">
        <v>0</v>
      </c>
      <c r="J29" s="76">
        <v>0</v>
      </c>
      <c r="K29" s="38" t="s">
        <v>1417</v>
      </c>
      <c r="L29" s="39" t="s">
        <v>1439</v>
      </c>
      <c r="M29" s="32">
        <v>5601.45</v>
      </c>
      <c r="N29" s="111"/>
      <c r="O29" s="111"/>
      <c r="P29" s="112"/>
      <c r="Q29" s="113">
        <v>0</v>
      </c>
      <c r="R29" s="114">
        <v>0</v>
      </c>
      <c r="S29" s="36">
        <v>0</v>
      </c>
    </row>
    <row r="30" spans="1:20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116"/>
      <c r="G30" s="97"/>
      <c r="H30" s="76">
        <v>0</v>
      </c>
      <c r="I30" s="76">
        <v>0</v>
      </c>
      <c r="J30" s="76">
        <v>0</v>
      </c>
      <c r="K30" s="101" t="s">
        <v>1425</v>
      </c>
      <c r="L30" s="102" t="s">
        <v>1440</v>
      </c>
      <c r="M30" s="103">
        <v>14445</v>
      </c>
      <c r="N30" s="117"/>
      <c r="O30" s="117"/>
      <c r="P30" s="118"/>
      <c r="Q30" s="113">
        <v>0</v>
      </c>
      <c r="R30" s="114">
        <v>0</v>
      </c>
      <c r="S30" s="36">
        <v>0</v>
      </c>
    </row>
    <row r="31" spans="1:20" s="60" customFormat="1" ht="22.5" customHeight="1" thickBot="1" x14ac:dyDescent="0.35">
      <c r="A31" s="48"/>
      <c r="B31" s="48" t="s">
        <v>15</v>
      </c>
      <c r="C31" s="49"/>
      <c r="D31" s="50">
        <f>SUM(D29:D30)</f>
        <v>21137.85</v>
      </c>
      <c r="E31" s="50">
        <f t="shared" ref="E31:S31" si="3">SUM(E29:E30)</f>
        <v>0</v>
      </c>
      <c r="F31" s="50"/>
      <c r="G31" s="50">
        <f t="shared" si="3"/>
        <v>0</v>
      </c>
      <c r="H31" s="50">
        <f t="shared" si="3"/>
        <v>0</v>
      </c>
      <c r="I31" s="50">
        <f t="shared" si="3"/>
        <v>0</v>
      </c>
      <c r="J31" s="50">
        <f t="shared" si="3"/>
        <v>0</v>
      </c>
      <c r="K31" s="50"/>
      <c r="L31" s="50">
        <f t="shared" si="3"/>
        <v>0</v>
      </c>
      <c r="M31" s="50">
        <f t="shared" si="3"/>
        <v>20046.45</v>
      </c>
      <c r="N31" s="50">
        <f t="shared" si="3"/>
        <v>0</v>
      </c>
      <c r="O31" s="50"/>
      <c r="P31" s="50">
        <f t="shared" si="3"/>
        <v>0</v>
      </c>
      <c r="Q31" s="50">
        <f t="shared" si="3"/>
        <v>0</v>
      </c>
      <c r="R31" s="50">
        <f t="shared" si="3"/>
        <v>0</v>
      </c>
      <c r="S31" s="50">
        <f t="shared" si="3"/>
        <v>0</v>
      </c>
    </row>
    <row r="32" spans="1:20" ht="22.5" customHeight="1" thickTop="1" x14ac:dyDescent="0.3">
      <c r="A32" s="61"/>
      <c r="B32" s="121" t="s">
        <v>78</v>
      </c>
      <c r="C32" s="63"/>
      <c r="D32" s="64"/>
      <c r="E32" s="65"/>
      <c r="F32" s="65"/>
      <c r="G32" s="66"/>
      <c r="H32" s="67"/>
      <c r="I32" s="67"/>
      <c r="J32" s="67"/>
      <c r="K32" s="68"/>
      <c r="L32" s="68"/>
      <c r="M32" s="64"/>
      <c r="N32" s="69"/>
      <c r="O32" s="69"/>
      <c r="P32" s="70"/>
      <c r="Q32" s="71"/>
      <c r="R32" s="71"/>
      <c r="S32" s="72"/>
    </row>
    <row r="33" spans="1:43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5"/>
      <c r="G33" s="126"/>
      <c r="H33" s="76">
        <v>0</v>
      </c>
      <c r="I33" s="127">
        <v>0</v>
      </c>
      <c r="J33" s="76">
        <v>0</v>
      </c>
      <c r="K33" s="38" t="s">
        <v>1433</v>
      </c>
      <c r="L33" s="39" t="s">
        <v>1441</v>
      </c>
      <c r="M33" s="40">
        <v>5350</v>
      </c>
      <c r="N33" s="128"/>
      <c r="O33" s="128"/>
      <c r="P33" s="129"/>
      <c r="Q33" s="113">
        <f>SUM(S33-R33)</f>
        <v>0</v>
      </c>
      <c r="R33" s="114">
        <f>SUM(S33*7/107)</f>
        <v>0</v>
      </c>
      <c r="S33" s="36">
        <f>SUM(D33+J33-M33)</f>
        <v>0</v>
      </c>
      <c r="T33" s="130"/>
      <c r="U33" s="130"/>
      <c r="V33" s="131"/>
      <c r="W33" s="132"/>
      <c r="X33" s="131"/>
      <c r="Y33" s="132"/>
      <c r="Z33" s="132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</row>
    <row r="34" spans="1:43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5"/>
      <c r="G34" s="136"/>
      <c r="H34" s="127">
        <v>0</v>
      </c>
      <c r="I34" s="127">
        <v>0</v>
      </c>
      <c r="J34" s="98">
        <v>0</v>
      </c>
      <c r="K34" s="38" t="s">
        <v>1417</v>
      </c>
      <c r="L34" s="39" t="s">
        <v>1442</v>
      </c>
      <c r="M34" s="40">
        <v>5350</v>
      </c>
      <c r="N34" s="137"/>
      <c r="O34" s="137"/>
      <c r="P34" s="137"/>
      <c r="Q34" s="113">
        <f>SUM(S34-R34)</f>
        <v>0</v>
      </c>
      <c r="R34" s="114">
        <f>SUM(S34*7/107)</f>
        <v>0</v>
      </c>
      <c r="S34" s="36">
        <f>SUM(D34+J34-M34)</f>
        <v>0</v>
      </c>
      <c r="T34" s="130"/>
      <c r="U34" s="130"/>
      <c r="V34" s="131"/>
      <c r="W34" s="132"/>
      <c r="X34" s="131"/>
      <c r="Y34" s="132"/>
      <c r="Z34" s="132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</row>
    <row r="35" spans="1:43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105"/>
      <c r="G35" s="56"/>
      <c r="H35" s="109">
        <f>SUM(H33:H34)</f>
        <v>0</v>
      </c>
      <c r="I35" s="109">
        <f>SUM(I33:I34)</f>
        <v>0</v>
      </c>
      <c r="J35" s="109">
        <f>SUM(J33:J34)</f>
        <v>0</v>
      </c>
      <c r="K35" s="109"/>
      <c r="L35" s="109"/>
      <c r="M35" s="138">
        <f>SUM(M33:M34)</f>
        <v>10700</v>
      </c>
      <c r="N35" s="119"/>
      <c r="O35" s="119"/>
      <c r="P35" s="108"/>
      <c r="Q35" s="109">
        <f>SUM(Q33:Q34)</f>
        <v>0</v>
      </c>
      <c r="R35" s="109">
        <f>SUM(R33:R34)</f>
        <v>0</v>
      </c>
      <c r="S35" s="138">
        <f>SUM(S33:S34)</f>
        <v>0</v>
      </c>
    </row>
    <row r="36" spans="1:43" ht="22.5" customHeight="1" thickTop="1" x14ac:dyDescent="0.3">
      <c r="A36" s="139"/>
      <c r="B36" s="140" t="s">
        <v>81</v>
      </c>
      <c r="C36" s="141"/>
      <c r="D36" s="91"/>
      <c r="E36" s="142"/>
      <c r="F36" s="142"/>
      <c r="G36" s="92"/>
      <c r="H36" s="143"/>
      <c r="I36" s="143"/>
      <c r="J36" s="143"/>
      <c r="K36" s="68"/>
      <c r="L36" s="68"/>
      <c r="M36" s="64"/>
      <c r="N36" s="144"/>
      <c r="O36" s="144"/>
      <c r="P36" s="145"/>
      <c r="Q36" s="146"/>
      <c r="R36" s="146"/>
      <c r="S36" s="147"/>
    </row>
    <row r="37" spans="1:43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1"/>
      <c r="G37" s="152"/>
      <c r="H37" s="153">
        <v>0</v>
      </c>
      <c r="I37" s="153">
        <v>0</v>
      </c>
      <c r="J37" s="153">
        <v>0</v>
      </c>
      <c r="K37" s="30" t="s">
        <v>1425</v>
      </c>
      <c r="L37" s="31" t="s">
        <v>1443</v>
      </c>
      <c r="M37" s="32">
        <v>6955</v>
      </c>
      <c r="N37" s="154"/>
      <c r="O37" s="154"/>
      <c r="P37" s="155"/>
      <c r="Q37" s="156">
        <v>0</v>
      </c>
      <c r="R37" s="156">
        <v>0</v>
      </c>
      <c r="S37" s="157">
        <v>0</v>
      </c>
    </row>
    <row r="38" spans="1:43" s="60" customFormat="1" ht="22.5" customHeight="1" thickBot="1" x14ac:dyDescent="0.35">
      <c r="A38" s="158"/>
      <c r="B38" s="158" t="s">
        <v>15</v>
      </c>
      <c r="C38" s="159"/>
      <c r="D38" s="160">
        <v>6955</v>
      </c>
      <c r="E38" s="161"/>
      <c r="F38" s="161"/>
      <c r="G38" s="161"/>
      <c r="H38" s="162">
        <f>SUM(H37)</f>
        <v>0</v>
      </c>
      <c r="I38" s="162">
        <f>SUM(I37)</f>
        <v>0</v>
      </c>
      <c r="J38" s="162">
        <f>SUM(J37)</f>
        <v>0</v>
      </c>
      <c r="K38" s="161"/>
      <c r="L38" s="161"/>
      <c r="M38" s="162">
        <f>SUM(M37)</f>
        <v>6955</v>
      </c>
      <c r="N38" s="158"/>
      <c r="O38" s="158"/>
      <c r="P38" s="161"/>
      <c r="Q38" s="162">
        <f>SUM(Q37)</f>
        <v>0</v>
      </c>
      <c r="R38" s="162">
        <f>SUM(R37)</f>
        <v>0</v>
      </c>
      <c r="S38" s="163">
        <f>SUM(S37)</f>
        <v>0</v>
      </c>
    </row>
    <row r="39" spans="1:43" ht="22.5" customHeight="1" thickTop="1" x14ac:dyDescent="0.3">
      <c r="A39" s="115"/>
      <c r="B39" s="164" t="s">
        <v>85</v>
      </c>
      <c r="C39" s="165"/>
      <c r="D39" s="166"/>
      <c r="E39" s="167"/>
      <c r="F39" s="167"/>
      <c r="G39" s="168"/>
      <c r="H39" s="169"/>
      <c r="I39" s="169"/>
      <c r="J39" s="169"/>
      <c r="K39" s="170"/>
      <c r="L39" s="170"/>
      <c r="M39" s="171"/>
      <c r="N39" s="117"/>
      <c r="O39" s="117"/>
      <c r="P39" s="118"/>
      <c r="Q39" s="172"/>
      <c r="R39" s="172"/>
      <c r="S39" s="173"/>
    </row>
    <row r="40" spans="1:43" ht="22.5" customHeight="1" x14ac:dyDescent="0.3">
      <c r="A40" s="174">
        <v>1</v>
      </c>
      <c r="B40" s="175" t="s">
        <v>86</v>
      </c>
      <c r="C40" s="176" t="s">
        <v>87</v>
      </c>
      <c r="D40" s="177">
        <v>1540.8</v>
      </c>
      <c r="E40" s="178"/>
      <c r="F40" s="178"/>
      <c r="G40" s="179"/>
      <c r="H40" s="180">
        <v>0</v>
      </c>
      <c r="I40" s="180">
        <v>0</v>
      </c>
      <c r="J40" s="181">
        <v>0</v>
      </c>
      <c r="K40" s="182" t="s">
        <v>1417</v>
      </c>
      <c r="L40" s="183" t="s">
        <v>1444</v>
      </c>
      <c r="M40" s="184">
        <v>1540.8</v>
      </c>
      <c r="N40" s="185"/>
      <c r="O40" s="185"/>
      <c r="P40" s="186"/>
      <c r="Q40" s="187">
        <v>0</v>
      </c>
      <c r="R40" s="187">
        <v>0</v>
      </c>
      <c r="S40" s="188">
        <v>0</v>
      </c>
      <c r="T40" s="3" t="s">
        <v>751</v>
      </c>
    </row>
    <row r="41" spans="1:43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78"/>
      <c r="G41" s="192"/>
      <c r="H41" s="180">
        <v>0</v>
      </c>
      <c r="I41" s="180">
        <v>0</v>
      </c>
      <c r="J41" s="181">
        <v>0</v>
      </c>
      <c r="K41" s="38" t="s">
        <v>1425</v>
      </c>
      <c r="L41" s="39" t="s">
        <v>1445</v>
      </c>
      <c r="M41" s="40">
        <v>3210</v>
      </c>
      <c r="N41" s="111"/>
      <c r="O41" s="891"/>
      <c r="P41" s="193"/>
      <c r="Q41" s="187">
        <v>0</v>
      </c>
      <c r="R41" s="187">
        <v>0</v>
      </c>
      <c r="S41" s="188">
        <v>0</v>
      </c>
    </row>
    <row r="42" spans="1:43" s="60" customFormat="1" ht="22.5" customHeight="1" thickBot="1" x14ac:dyDescent="0.35">
      <c r="A42" s="194"/>
      <c r="B42" s="194" t="s">
        <v>15</v>
      </c>
      <c r="C42" s="195"/>
      <c r="D42" s="53">
        <f>SUM(D40:D41)</f>
        <v>4750.8</v>
      </c>
      <c r="E42" s="196"/>
      <c r="F42" s="196"/>
      <c r="G42" s="197"/>
      <c r="H42" s="109">
        <f>SUM(H40:H41)</f>
        <v>0</v>
      </c>
      <c r="I42" s="109">
        <f>SUM(I40:I41)</f>
        <v>0</v>
      </c>
      <c r="J42" s="109">
        <f>SUM(J40:J41)</f>
        <v>0</v>
      </c>
      <c r="K42" s="198"/>
      <c r="L42" s="199"/>
      <c r="M42" s="200">
        <f>SUM(M40:M41)</f>
        <v>4750.8</v>
      </c>
      <c r="N42" s="201"/>
      <c r="O42" s="201"/>
      <c r="P42" s="202"/>
      <c r="Q42" s="162">
        <f>SUM(Q40:Q41)</f>
        <v>0</v>
      </c>
      <c r="R42" s="162">
        <f>SUM(R40:R41)</f>
        <v>0</v>
      </c>
      <c r="S42" s="162">
        <f>SUM(S40:S41)</f>
        <v>0</v>
      </c>
      <c r="T42" s="59"/>
    </row>
    <row r="43" spans="1:43" ht="22.5" customHeight="1" thickTop="1" x14ac:dyDescent="0.3">
      <c r="A43" s="61"/>
      <c r="B43" s="62" t="s">
        <v>92</v>
      </c>
      <c r="C43" s="63"/>
      <c r="D43" s="64"/>
      <c r="E43" s="203"/>
      <c r="F43" s="203"/>
      <c r="G43" s="204"/>
      <c r="H43" s="205"/>
      <c r="I43" s="205"/>
      <c r="J43" s="205"/>
      <c r="K43" s="68"/>
      <c r="L43" s="68"/>
      <c r="M43" s="64"/>
      <c r="N43" s="61"/>
      <c r="O43" s="61"/>
      <c r="P43" s="204"/>
      <c r="Q43" s="206"/>
      <c r="R43" s="206"/>
      <c r="S43" s="207"/>
      <c r="T43" s="2"/>
    </row>
    <row r="44" spans="1:43" ht="22.5" customHeight="1" x14ac:dyDescent="0.5">
      <c r="A44" s="208">
        <v>1</v>
      </c>
      <c r="B44" s="209" t="s">
        <v>93</v>
      </c>
      <c r="C44" s="210" t="s">
        <v>43</v>
      </c>
      <c r="D44" s="211">
        <v>8688.4</v>
      </c>
      <c r="E44" s="212"/>
      <c r="F44" s="212"/>
      <c r="G44" s="213"/>
      <c r="H44" s="214">
        <v>0</v>
      </c>
      <c r="I44" s="214">
        <v>0</v>
      </c>
      <c r="J44" s="214">
        <v>0</v>
      </c>
      <c r="K44" s="30" t="s">
        <v>1423</v>
      </c>
      <c r="L44" s="31" t="s">
        <v>1447</v>
      </c>
      <c r="M44" s="32">
        <v>8688.4</v>
      </c>
      <c r="N44" s="215"/>
      <c r="O44" s="215"/>
      <c r="P44" s="216"/>
      <c r="Q44" s="113">
        <f>SUM(S44-R44)</f>
        <v>0</v>
      </c>
      <c r="R44" s="113">
        <f>SUM(S44*7/107)</f>
        <v>0</v>
      </c>
      <c r="S44" s="217">
        <f>SUM(D44+J44-M44)</f>
        <v>0</v>
      </c>
      <c r="T44" s="218"/>
    </row>
    <row r="45" spans="1:43" ht="22.5" customHeight="1" x14ac:dyDescent="0.5">
      <c r="A45" s="208"/>
      <c r="B45" s="209" t="s">
        <v>95</v>
      </c>
      <c r="C45" s="210" t="s">
        <v>43</v>
      </c>
      <c r="D45" s="211">
        <v>4237.2</v>
      </c>
      <c r="E45" s="212"/>
      <c r="F45" s="212"/>
      <c r="G45" s="213"/>
      <c r="H45" s="214">
        <v>0</v>
      </c>
      <c r="I45" s="214">
        <v>0</v>
      </c>
      <c r="J45" s="214">
        <v>0</v>
      </c>
      <c r="K45" s="30" t="s">
        <v>1423</v>
      </c>
      <c r="L45" s="31" t="s">
        <v>1447</v>
      </c>
      <c r="M45" s="32">
        <v>4237.2</v>
      </c>
      <c r="N45" s="215"/>
      <c r="O45" s="215"/>
      <c r="P45" s="216"/>
      <c r="Q45" s="113">
        <f t="shared" ref="Q45:Q109" si="4">SUM(S45-R45)</f>
        <v>0</v>
      </c>
      <c r="R45" s="113">
        <f t="shared" ref="R45:R109" si="5">SUM(S45*7/107)</f>
        <v>0</v>
      </c>
      <c r="S45" s="217">
        <f t="shared" ref="S45:S109" si="6">SUM(D45+J45-M45)</f>
        <v>0</v>
      </c>
      <c r="T45" s="218"/>
    </row>
    <row r="46" spans="1:43" ht="22.5" customHeight="1" x14ac:dyDescent="0.5">
      <c r="A46" s="208">
        <v>2</v>
      </c>
      <c r="B46" s="73" t="s">
        <v>96</v>
      </c>
      <c r="C46" s="25" t="s">
        <v>97</v>
      </c>
      <c r="D46" s="211">
        <v>13899.3</v>
      </c>
      <c r="E46" s="212" t="s">
        <v>1192</v>
      </c>
      <c r="F46" s="212" t="s">
        <v>33</v>
      </c>
      <c r="G46" s="213" t="s">
        <v>33</v>
      </c>
      <c r="H46" s="219">
        <v>8299.9999999999964</v>
      </c>
      <c r="I46" s="214">
        <v>580.99999999999977</v>
      </c>
      <c r="J46" s="219">
        <v>8880.9999999999964</v>
      </c>
      <c r="K46" s="30" t="s">
        <v>1413</v>
      </c>
      <c r="L46" s="220" t="s">
        <v>1448</v>
      </c>
      <c r="M46" s="221">
        <v>8881</v>
      </c>
      <c r="N46" s="215" t="s">
        <v>1427</v>
      </c>
      <c r="O46" s="215" t="s">
        <v>33</v>
      </c>
      <c r="P46" s="216" t="s">
        <v>33</v>
      </c>
      <c r="Q46" s="113">
        <f t="shared" si="4"/>
        <v>12989.999999999996</v>
      </c>
      <c r="R46" s="113">
        <f t="shared" si="5"/>
        <v>909.29999999999973</v>
      </c>
      <c r="S46" s="217">
        <f t="shared" si="6"/>
        <v>13899.299999999996</v>
      </c>
      <c r="T46" s="2"/>
    </row>
    <row r="47" spans="1:43" ht="22.5" customHeight="1" x14ac:dyDescent="0.5">
      <c r="A47" s="208">
        <v>3</v>
      </c>
      <c r="B47" s="73" t="s">
        <v>99</v>
      </c>
      <c r="C47" s="25" t="s">
        <v>100</v>
      </c>
      <c r="D47" s="211">
        <v>5103.8999999999996</v>
      </c>
      <c r="E47" s="212"/>
      <c r="F47" s="212"/>
      <c r="G47" s="213"/>
      <c r="H47" s="219">
        <v>0</v>
      </c>
      <c r="I47" s="214">
        <v>0</v>
      </c>
      <c r="J47" s="219">
        <v>0</v>
      </c>
      <c r="K47" s="30"/>
      <c r="L47" s="31"/>
      <c r="M47" s="32"/>
      <c r="N47" s="215" t="s">
        <v>1427</v>
      </c>
      <c r="O47" s="215" t="s">
        <v>33</v>
      </c>
      <c r="P47" s="216" t="s">
        <v>33</v>
      </c>
      <c r="Q47" s="113">
        <f t="shared" si="4"/>
        <v>4770</v>
      </c>
      <c r="R47" s="113">
        <f t="shared" si="5"/>
        <v>333.9</v>
      </c>
      <c r="S47" s="217">
        <f t="shared" si="6"/>
        <v>5103.8999999999996</v>
      </c>
      <c r="T47" s="2"/>
    </row>
    <row r="48" spans="1:43" ht="22.5" customHeight="1" x14ac:dyDescent="0.5">
      <c r="A48" s="208"/>
      <c r="B48" s="24" t="s">
        <v>102</v>
      </c>
      <c r="C48" s="222" t="s">
        <v>100</v>
      </c>
      <c r="D48" s="211">
        <v>246.1</v>
      </c>
      <c r="E48" s="212"/>
      <c r="F48" s="212"/>
      <c r="G48" s="213"/>
      <c r="H48" s="219">
        <v>0</v>
      </c>
      <c r="I48" s="214">
        <v>0</v>
      </c>
      <c r="J48" s="219">
        <v>0</v>
      </c>
      <c r="K48" s="30"/>
      <c r="L48" s="31"/>
      <c r="M48" s="32"/>
      <c r="N48" s="215" t="s">
        <v>1427</v>
      </c>
      <c r="O48" s="215" t="s">
        <v>33</v>
      </c>
      <c r="P48" s="216" t="s">
        <v>33</v>
      </c>
      <c r="Q48" s="113">
        <f t="shared" si="4"/>
        <v>230</v>
      </c>
      <c r="R48" s="113">
        <f t="shared" si="5"/>
        <v>16.100000000000001</v>
      </c>
      <c r="S48" s="217">
        <f t="shared" si="6"/>
        <v>246.1</v>
      </c>
      <c r="T48" s="2"/>
    </row>
    <row r="49" spans="1:20" ht="22.5" customHeight="1" x14ac:dyDescent="0.5">
      <c r="A49" s="208">
        <v>4</v>
      </c>
      <c r="B49" s="73" t="s">
        <v>103</v>
      </c>
      <c r="C49" s="25" t="s">
        <v>97</v>
      </c>
      <c r="D49" s="211">
        <v>6505.6</v>
      </c>
      <c r="E49" s="212" t="s">
        <v>1192</v>
      </c>
      <c r="F49" s="212" t="s">
        <v>33</v>
      </c>
      <c r="G49" s="213" t="s">
        <v>33</v>
      </c>
      <c r="H49" s="219">
        <v>4190</v>
      </c>
      <c r="I49" s="214">
        <v>293.3</v>
      </c>
      <c r="J49" s="219">
        <v>4483.3</v>
      </c>
      <c r="K49" s="30" t="s">
        <v>1419</v>
      </c>
      <c r="L49" s="31" t="s">
        <v>1449</v>
      </c>
      <c r="M49" s="32">
        <v>4483.3</v>
      </c>
      <c r="N49" s="215" t="s">
        <v>1427</v>
      </c>
      <c r="O49" s="215" t="s">
        <v>33</v>
      </c>
      <c r="P49" s="216" t="s">
        <v>33</v>
      </c>
      <c r="Q49" s="113">
        <f t="shared" si="4"/>
        <v>6080.0000000000009</v>
      </c>
      <c r="R49" s="113">
        <f t="shared" si="5"/>
        <v>425.60000000000014</v>
      </c>
      <c r="S49" s="217">
        <f t="shared" si="6"/>
        <v>6505.6000000000013</v>
      </c>
      <c r="T49" s="2"/>
    </row>
    <row r="50" spans="1:20" ht="22.5" customHeight="1" x14ac:dyDescent="0.5">
      <c r="A50" s="208"/>
      <c r="B50" s="73" t="s">
        <v>104</v>
      </c>
      <c r="C50" s="25" t="s">
        <v>97</v>
      </c>
      <c r="D50" s="211">
        <v>18061.599999999999</v>
      </c>
      <c r="E50" s="212" t="s">
        <v>1192</v>
      </c>
      <c r="F50" s="212" t="s">
        <v>33</v>
      </c>
      <c r="G50" s="213" t="s">
        <v>33</v>
      </c>
      <c r="H50" s="219">
        <v>10730</v>
      </c>
      <c r="I50" s="214">
        <v>751.1</v>
      </c>
      <c r="J50" s="219">
        <v>11481.1</v>
      </c>
      <c r="K50" s="30" t="s">
        <v>1419</v>
      </c>
      <c r="L50" s="31" t="s">
        <v>1449</v>
      </c>
      <c r="M50" s="32">
        <v>11481.1</v>
      </c>
      <c r="N50" s="215" t="s">
        <v>1427</v>
      </c>
      <c r="O50" s="215" t="s">
        <v>33</v>
      </c>
      <c r="P50" s="216" t="s">
        <v>33</v>
      </c>
      <c r="Q50" s="113">
        <f t="shared" si="4"/>
        <v>16880</v>
      </c>
      <c r="R50" s="113">
        <f t="shared" si="5"/>
        <v>1181.5999999999999</v>
      </c>
      <c r="S50" s="217">
        <f t="shared" si="6"/>
        <v>18061.599999999999</v>
      </c>
      <c r="T50" s="2"/>
    </row>
    <row r="51" spans="1:20" ht="22.5" customHeight="1" x14ac:dyDescent="0.5">
      <c r="A51" s="208">
        <v>5</v>
      </c>
      <c r="B51" s="73" t="s">
        <v>105</v>
      </c>
      <c r="C51" s="25" t="s">
        <v>97</v>
      </c>
      <c r="D51" s="211">
        <v>11352.7</v>
      </c>
      <c r="E51" s="212" t="s">
        <v>1192</v>
      </c>
      <c r="F51" s="212" t="s">
        <v>33</v>
      </c>
      <c r="G51" s="213" t="s">
        <v>33</v>
      </c>
      <c r="H51" s="219">
        <v>9160.0000000000073</v>
      </c>
      <c r="I51" s="214">
        <v>641.2000000000005</v>
      </c>
      <c r="J51" s="219">
        <v>9801.200000000008</v>
      </c>
      <c r="K51" s="30" t="s">
        <v>1421</v>
      </c>
      <c r="L51" s="31" t="s">
        <v>1450</v>
      </c>
      <c r="M51" s="32">
        <v>9801.2000000000007</v>
      </c>
      <c r="N51" s="215" t="s">
        <v>1427</v>
      </c>
      <c r="O51" s="215" t="s">
        <v>33</v>
      </c>
      <c r="P51" s="216" t="s">
        <v>33</v>
      </c>
      <c r="Q51" s="113">
        <f t="shared" si="4"/>
        <v>10610.000000000007</v>
      </c>
      <c r="R51" s="113">
        <f t="shared" si="5"/>
        <v>742.7000000000005</v>
      </c>
      <c r="S51" s="217">
        <f t="shared" si="6"/>
        <v>11352.700000000008</v>
      </c>
      <c r="T51" s="2"/>
    </row>
    <row r="52" spans="1:20" ht="22.5" customHeight="1" x14ac:dyDescent="0.5">
      <c r="A52" s="208">
        <v>6</v>
      </c>
      <c r="B52" s="73" t="s">
        <v>107</v>
      </c>
      <c r="C52" s="25" t="s">
        <v>97</v>
      </c>
      <c r="D52" s="211">
        <v>535</v>
      </c>
      <c r="E52" s="212"/>
      <c r="F52" s="212"/>
      <c r="G52" s="213"/>
      <c r="H52" s="219">
        <v>0</v>
      </c>
      <c r="I52" s="214">
        <v>0</v>
      </c>
      <c r="J52" s="219">
        <v>0</v>
      </c>
      <c r="K52" s="30" t="s">
        <v>1451</v>
      </c>
      <c r="L52" s="31" t="s">
        <v>1452</v>
      </c>
      <c r="M52" s="32">
        <v>535</v>
      </c>
      <c r="N52" s="215"/>
      <c r="O52" s="215"/>
      <c r="P52" s="216"/>
      <c r="Q52" s="113">
        <f t="shared" si="4"/>
        <v>0</v>
      </c>
      <c r="R52" s="113">
        <f t="shared" si="5"/>
        <v>0</v>
      </c>
      <c r="S52" s="217">
        <f t="shared" si="6"/>
        <v>0</v>
      </c>
      <c r="T52" s="2" t="s">
        <v>832</v>
      </c>
    </row>
    <row r="53" spans="1:20" ht="22.5" customHeight="1" x14ac:dyDescent="0.5">
      <c r="A53" s="208">
        <v>7</v>
      </c>
      <c r="B53" s="209" t="s">
        <v>109</v>
      </c>
      <c r="C53" s="210" t="s">
        <v>97</v>
      </c>
      <c r="D53" s="211">
        <v>45047</v>
      </c>
      <c r="E53" s="212"/>
      <c r="F53" s="212"/>
      <c r="G53" s="213"/>
      <c r="H53" s="214">
        <v>0</v>
      </c>
      <c r="I53" s="214">
        <v>0</v>
      </c>
      <c r="J53" s="214">
        <v>0</v>
      </c>
      <c r="K53" s="30"/>
      <c r="L53" s="31"/>
      <c r="M53" s="32"/>
      <c r="N53" s="215" t="s">
        <v>1427</v>
      </c>
      <c r="O53" s="215" t="s">
        <v>33</v>
      </c>
      <c r="P53" s="216" t="s">
        <v>33</v>
      </c>
      <c r="Q53" s="113">
        <f t="shared" si="4"/>
        <v>42100</v>
      </c>
      <c r="R53" s="113">
        <f t="shared" si="5"/>
        <v>2947</v>
      </c>
      <c r="S53" s="217">
        <f t="shared" si="6"/>
        <v>45047</v>
      </c>
      <c r="T53" s="218"/>
    </row>
    <row r="54" spans="1:20" ht="22.5" customHeight="1" x14ac:dyDescent="0.5">
      <c r="A54" s="208">
        <v>8</v>
      </c>
      <c r="B54" s="73" t="s">
        <v>110</v>
      </c>
      <c r="C54" s="25" t="s">
        <v>87</v>
      </c>
      <c r="D54" s="211">
        <v>10282.700000000001</v>
      </c>
      <c r="E54" s="212"/>
      <c r="F54" s="212"/>
      <c r="G54" s="213"/>
      <c r="H54" s="219">
        <v>0</v>
      </c>
      <c r="I54" s="214">
        <v>0</v>
      </c>
      <c r="J54" s="219">
        <v>0</v>
      </c>
      <c r="K54" s="30" t="s">
        <v>1417</v>
      </c>
      <c r="L54" s="31" t="s">
        <v>1453</v>
      </c>
      <c r="M54" s="32">
        <v>10282.700000000001</v>
      </c>
      <c r="N54" s="215"/>
      <c r="O54" s="215"/>
      <c r="P54" s="216"/>
      <c r="Q54" s="113">
        <f t="shared" si="4"/>
        <v>0</v>
      </c>
      <c r="R54" s="113">
        <f t="shared" si="5"/>
        <v>0</v>
      </c>
      <c r="S54" s="217">
        <f t="shared" si="6"/>
        <v>0</v>
      </c>
      <c r="T54" s="2"/>
    </row>
    <row r="55" spans="1:20" ht="22.5" customHeight="1" x14ac:dyDescent="0.5">
      <c r="A55" s="208">
        <v>9</v>
      </c>
      <c r="B55" s="73" t="s">
        <v>112</v>
      </c>
      <c r="C55" s="25" t="s">
        <v>113</v>
      </c>
      <c r="D55" s="211">
        <v>3274.2</v>
      </c>
      <c r="E55" s="212" t="s">
        <v>1192</v>
      </c>
      <c r="F55" s="212" t="s">
        <v>33</v>
      </c>
      <c r="G55" s="213" t="s">
        <v>33</v>
      </c>
      <c r="H55" s="219">
        <v>900.00000000000068</v>
      </c>
      <c r="I55" s="214">
        <v>63.000000000000043</v>
      </c>
      <c r="J55" s="219">
        <v>963.00000000000068</v>
      </c>
      <c r="K55" s="30"/>
      <c r="L55" s="31"/>
      <c r="M55" s="32"/>
      <c r="N55" s="215" t="s">
        <v>1454</v>
      </c>
      <c r="O55" s="215" t="s">
        <v>115</v>
      </c>
      <c r="P55" s="216" t="s">
        <v>115</v>
      </c>
      <c r="Q55" s="113">
        <f t="shared" si="4"/>
        <v>3960.0000000000009</v>
      </c>
      <c r="R55" s="113">
        <f t="shared" si="5"/>
        <v>277.20000000000005</v>
      </c>
      <c r="S55" s="217">
        <f t="shared" si="6"/>
        <v>4237.2000000000007</v>
      </c>
      <c r="T55" s="2"/>
    </row>
    <row r="56" spans="1:20" ht="22.5" customHeight="1" x14ac:dyDescent="0.5">
      <c r="A56" s="208"/>
      <c r="B56" s="73" t="s">
        <v>116</v>
      </c>
      <c r="C56" s="25" t="s">
        <v>113</v>
      </c>
      <c r="D56" s="211">
        <v>2461</v>
      </c>
      <c r="E56" s="212" t="s">
        <v>1233</v>
      </c>
      <c r="F56" s="212" t="s">
        <v>115</v>
      </c>
      <c r="G56" s="213" t="s">
        <v>115</v>
      </c>
      <c r="H56" s="219">
        <v>2670.0000000000023</v>
      </c>
      <c r="I56" s="214">
        <v>186.90000000000018</v>
      </c>
      <c r="J56" s="219">
        <v>2856.9000000000024</v>
      </c>
      <c r="K56" s="30" t="s">
        <v>1455</v>
      </c>
      <c r="L56" s="31" t="s">
        <v>1456</v>
      </c>
      <c r="M56" s="32">
        <v>5317.9</v>
      </c>
      <c r="N56" s="215"/>
      <c r="O56" s="215"/>
      <c r="P56" s="216"/>
      <c r="Q56" s="113">
        <f t="shared" si="4"/>
        <v>2.5499851451577426E-12</v>
      </c>
      <c r="R56" s="113">
        <f t="shared" si="5"/>
        <v>1.7849896016104199E-13</v>
      </c>
      <c r="S56" s="217">
        <f t="shared" si="6"/>
        <v>2.7284841053187847E-12</v>
      </c>
      <c r="T56" s="2"/>
    </row>
    <row r="57" spans="1:20" ht="22.5" customHeight="1" x14ac:dyDescent="0.5">
      <c r="A57" s="208">
        <v>10</v>
      </c>
      <c r="B57" s="73" t="s">
        <v>117</v>
      </c>
      <c r="C57" s="25" t="s">
        <v>118</v>
      </c>
      <c r="D57" s="211">
        <v>1230.5</v>
      </c>
      <c r="E57" s="212"/>
      <c r="F57" s="212"/>
      <c r="G57" s="213"/>
      <c r="H57" s="219">
        <v>0</v>
      </c>
      <c r="I57" s="214">
        <v>0</v>
      </c>
      <c r="J57" s="219">
        <v>0</v>
      </c>
      <c r="K57" s="30" t="s">
        <v>1423</v>
      </c>
      <c r="L57" s="31" t="s">
        <v>1457</v>
      </c>
      <c r="M57" s="32">
        <v>1230.5</v>
      </c>
      <c r="N57" s="215"/>
      <c r="O57" s="215"/>
      <c r="P57" s="216"/>
      <c r="Q57" s="113">
        <f t="shared" si="4"/>
        <v>0</v>
      </c>
      <c r="R57" s="113">
        <f t="shared" si="5"/>
        <v>0</v>
      </c>
      <c r="S57" s="217">
        <f t="shared" si="6"/>
        <v>0</v>
      </c>
      <c r="T57" s="2"/>
    </row>
    <row r="58" spans="1:20" ht="22.5" customHeight="1" x14ac:dyDescent="0.5">
      <c r="A58" s="208"/>
      <c r="B58" s="73" t="s">
        <v>120</v>
      </c>
      <c r="C58" s="25" t="s">
        <v>118</v>
      </c>
      <c r="D58" s="211"/>
      <c r="E58" s="212"/>
      <c r="F58" s="212"/>
      <c r="G58" s="213"/>
      <c r="H58" s="219">
        <v>8.4999504838591423E-13</v>
      </c>
      <c r="I58" s="214">
        <v>5.9499653387013991E-14</v>
      </c>
      <c r="J58" s="219">
        <v>9.0949470177292824E-13</v>
      </c>
      <c r="K58" s="30"/>
      <c r="L58" s="31"/>
      <c r="M58" s="32"/>
      <c r="N58" s="215"/>
      <c r="O58" s="215"/>
      <c r="P58" s="216"/>
      <c r="Q58" s="113">
        <f t="shared" si="4"/>
        <v>8.4999504838591423E-13</v>
      </c>
      <c r="R58" s="113">
        <f t="shared" si="5"/>
        <v>5.9499653387013991E-14</v>
      </c>
      <c r="S58" s="217">
        <f t="shared" si="6"/>
        <v>9.0949470177292824E-13</v>
      </c>
      <c r="T58" s="2"/>
    </row>
    <row r="59" spans="1:20" ht="22.5" customHeight="1" x14ac:dyDescent="0.5">
      <c r="A59" s="208">
        <v>11</v>
      </c>
      <c r="B59" s="73" t="s">
        <v>121</v>
      </c>
      <c r="C59" s="83" t="s">
        <v>122</v>
      </c>
      <c r="D59" s="211">
        <v>2311.1999999999998</v>
      </c>
      <c r="E59" s="212"/>
      <c r="F59" s="212"/>
      <c r="G59" s="213"/>
      <c r="H59" s="219">
        <v>-1.6999900967718285E-12</v>
      </c>
      <c r="I59" s="214">
        <v>-1.1899930677402798E-13</v>
      </c>
      <c r="J59" s="219">
        <v>-1.8189894035458565E-12</v>
      </c>
      <c r="K59" s="30"/>
      <c r="L59" s="31"/>
      <c r="M59" s="32"/>
      <c r="N59" s="215" t="s">
        <v>1427</v>
      </c>
      <c r="O59" s="215" t="s">
        <v>33</v>
      </c>
      <c r="P59" s="216" t="s">
        <v>33</v>
      </c>
      <c r="Q59" s="113">
        <f t="shared" si="4"/>
        <v>2159.9999999999982</v>
      </c>
      <c r="R59" s="113">
        <f t="shared" si="5"/>
        <v>151.19999999999987</v>
      </c>
      <c r="S59" s="217">
        <f t="shared" si="6"/>
        <v>2311.199999999998</v>
      </c>
      <c r="T59" s="223"/>
    </row>
    <row r="60" spans="1:20" ht="22.5" customHeight="1" x14ac:dyDescent="0.5">
      <c r="A60" s="208"/>
      <c r="B60" s="73" t="s">
        <v>121</v>
      </c>
      <c r="C60" s="83" t="s">
        <v>122</v>
      </c>
      <c r="D60" s="211">
        <v>6644.7</v>
      </c>
      <c r="E60" s="212"/>
      <c r="F60" s="212"/>
      <c r="G60" s="213"/>
      <c r="H60" s="219">
        <v>0</v>
      </c>
      <c r="I60" s="214">
        <v>0</v>
      </c>
      <c r="J60" s="219">
        <v>0</v>
      </c>
      <c r="K60" s="30"/>
      <c r="L60" s="31"/>
      <c r="M60" s="32"/>
      <c r="N60" s="215" t="s">
        <v>1427</v>
      </c>
      <c r="O60" s="215" t="s">
        <v>33</v>
      </c>
      <c r="P60" s="216" t="s">
        <v>33</v>
      </c>
      <c r="Q60" s="113">
        <f t="shared" si="4"/>
        <v>6210</v>
      </c>
      <c r="R60" s="113">
        <f t="shared" si="5"/>
        <v>434.7</v>
      </c>
      <c r="S60" s="217">
        <f t="shared" si="6"/>
        <v>6644.7</v>
      </c>
      <c r="T60" s="223"/>
    </row>
    <row r="61" spans="1:20" ht="22.5" customHeight="1" x14ac:dyDescent="0.5">
      <c r="A61" s="208">
        <v>12</v>
      </c>
      <c r="B61" s="73" t="s">
        <v>124</v>
      </c>
      <c r="C61" s="83" t="s">
        <v>125</v>
      </c>
      <c r="D61" s="211">
        <v>6206</v>
      </c>
      <c r="E61" s="212"/>
      <c r="F61" s="212"/>
      <c r="G61" s="213"/>
      <c r="H61" s="219">
        <v>0</v>
      </c>
      <c r="I61" s="214">
        <v>0</v>
      </c>
      <c r="J61" s="219">
        <v>0</v>
      </c>
      <c r="K61" s="30" t="s">
        <v>1423</v>
      </c>
      <c r="L61" s="31" t="s">
        <v>1458</v>
      </c>
      <c r="M61" s="32">
        <v>6206</v>
      </c>
      <c r="N61" s="215"/>
      <c r="O61" s="215"/>
      <c r="P61" s="216"/>
      <c r="Q61" s="113">
        <f t="shared" si="4"/>
        <v>0</v>
      </c>
      <c r="R61" s="113">
        <f t="shared" si="5"/>
        <v>0</v>
      </c>
      <c r="S61" s="217">
        <f t="shared" si="6"/>
        <v>0</v>
      </c>
      <c r="T61" s="2"/>
    </row>
    <row r="62" spans="1:20" ht="22.5" customHeight="1" x14ac:dyDescent="0.5">
      <c r="A62" s="208">
        <v>13</v>
      </c>
      <c r="B62" s="78" t="s">
        <v>127</v>
      </c>
      <c r="C62" s="25" t="s">
        <v>128</v>
      </c>
      <c r="D62" s="211"/>
      <c r="E62" s="212"/>
      <c r="F62" s="212"/>
      <c r="G62" s="213"/>
      <c r="H62" s="224">
        <v>0</v>
      </c>
      <c r="I62" s="214">
        <v>0</v>
      </c>
      <c r="J62" s="219">
        <v>0</v>
      </c>
      <c r="K62" s="38"/>
      <c r="L62" s="39"/>
      <c r="M62" s="40"/>
      <c r="N62" s="215"/>
      <c r="O62" s="215"/>
      <c r="P62" s="216"/>
      <c r="Q62" s="113">
        <f t="shared" si="4"/>
        <v>0</v>
      </c>
      <c r="R62" s="113">
        <f t="shared" si="5"/>
        <v>0</v>
      </c>
      <c r="S62" s="217">
        <f t="shared" si="6"/>
        <v>0</v>
      </c>
      <c r="T62" s="2"/>
    </row>
    <row r="63" spans="1:20" ht="22.5" customHeight="1" x14ac:dyDescent="0.5">
      <c r="A63" s="208">
        <v>14</v>
      </c>
      <c r="B63" s="78" t="s">
        <v>129</v>
      </c>
      <c r="C63" s="210" t="s">
        <v>130</v>
      </c>
      <c r="D63" s="211">
        <v>5810.1</v>
      </c>
      <c r="E63" s="212"/>
      <c r="F63" s="212"/>
      <c r="G63" s="213"/>
      <c r="H63" s="224">
        <v>0</v>
      </c>
      <c r="I63" s="214">
        <v>0</v>
      </c>
      <c r="J63" s="219">
        <v>0</v>
      </c>
      <c r="K63" s="30"/>
      <c r="L63" s="31"/>
      <c r="M63" s="32"/>
      <c r="N63" s="215" t="s">
        <v>1427</v>
      </c>
      <c r="O63" s="215" t="s">
        <v>33</v>
      </c>
      <c r="P63" s="216" t="s">
        <v>33</v>
      </c>
      <c r="Q63" s="113">
        <f t="shared" si="4"/>
        <v>5430</v>
      </c>
      <c r="R63" s="113">
        <f t="shared" si="5"/>
        <v>380.1</v>
      </c>
      <c r="S63" s="217">
        <f t="shared" si="6"/>
        <v>5810.1</v>
      </c>
      <c r="T63" s="2"/>
    </row>
    <row r="64" spans="1:20" ht="22.5" customHeight="1" x14ac:dyDescent="0.5">
      <c r="A64" s="208"/>
      <c r="B64" s="78" t="s">
        <v>132</v>
      </c>
      <c r="C64" s="210" t="s">
        <v>130</v>
      </c>
      <c r="D64" s="211">
        <v>10518.1</v>
      </c>
      <c r="E64" s="212"/>
      <c r="F64" s="212"/>
      <c r="G64" s="213"/>
      <c r="H64" s="224">
        <v>-6.7999603870873139E-12</v>
      </c>
      <c r="I64" s="214">
        <v>-4.7599722709611193E-13</v>
      </c>
      <c r="J64" s="219">
        <v>-7.2759576141834259E-12</v>
      </c>
      <c r="K64" s="30"/>
      <c r="L64" s="31"/>
      <c r="M64" s="32"/>
      <c r="N64" s="215" t="s">
        <v>1427</v>
      </c>
      <c r="O64" s="215" t="s">
        <v>33</v>
      </c>
      <c r="P64" s="216" t="s">
        <v>33</v>
      </c>
      <c r="Q64" s="113">
        <f t="shared" si="4"/>
        <v>9829.9999999999927</v>
      </c>
      <c r="R64" s="113">
        <f t="shared" si="5"/>
        <v>688.09999999999957</v>
      </c>
      <c r="S64" s="217">
        <f t="shared" si="6"/>
        <v>10518.099999999993</v>
      </c>
      <c r="T64" s="2"/>
    </row>
    <row r="65" spans="1:20" ht="22.5" customHeight="1" x14ac:dyDescent="0.5">
      <c r="A65" s="208">
        <v>15</v>
      </c>
      <c r="B65" s="78" t="s">
        <v>134</v>
      </c>
      <c r="C65" s="165" t="s">
        <v>135</v>
      </c>
      <c r="D65" s="211">
        <v>2022.3</v>
      </c>
      <c r="E65" s="212"/>
      <c r="F65" s="212"/>
      <c r="G65" s="213"/>
      <c r="H65" s="224">
        <v>0</v>
      </c>
      <c r="I65" s="214">
        <v>0</v>
      </c>
      <c r="J65" s="219">
        <v>0</v>
      </c>
      <c r="K65" s="38" t="s">
        <v>1423</v>
      </c>
      <c r="L65" s="39" t="s">
        <v>1459</v>
      </c>
      <c r="M65" s="40">
        <v>2022.3</v>
      </c>
      <c r="N65" s="215"/>
      <c r="O65" s="215"/>
      <c r="P65" s="216"/>
      <c r="Q65" s="113">
        <f t="shared" si="4"/>
        <v>0</v>
      </c>
      <c r="R65" s="113">
        <f t="shared" si="5"/>
        <v>0</v>
      </c>
      <c r="S65" s="217">
        <f t="shared" si="6"/>
        <v>0</v>
      </c>
      <c r="T65" s="2"/>
    </row>
    <row r="66" spans="1:20" s="229" customFormat="1" ht="22.5" customHeight="1" x14ac:dyDescent="0.5">
      <c r="A66" s="225">
        <v>16</v>
      </c>
      <c r="B66" s="226" t="s">
        <v>137</v>
      </c>
      <c r="C66" s="227"/>
      <c r="D66" s="211">
        <v>4269.3</v>
      </c>
      <c r="E66" s="212" t="s">
        <v>1192</v>
      </c>
      <c r="F66" s="234" t="s">
        <v>33</v>
      </c>
      <c r="G66" s="228" t="s">
        <v>33</v>
      </c>
      <c r="H66" s="224">
        <v>2810</v>
      </c>
      <c r="I66" s="214">
        <v>196.7</v>
      </c>
      <c r="J66" s="224">
        <v>3006.7</v>
      </c>
      <c r="K66" s="38" t="s">
        <v>1460</v>
      </c>
      <c r="L66" s="39" t="s">
        <v>1461</v>
      </c>
      <c r="M66" s="40">
        <v>3006.7</v>
      </c>
      <c r="N66" s="215" t="s">
        <v>1427</v>
      </c>
      <c r="O66" s="215" t="s">
        <v>33</v>
      </c>
      <c r="P66" s="216" t="s">
        <v>33</v>
      </c>
      <c r="Q66" s="113">
        <f t="shared" si="4"/>
        <v>3990</v>
      </c>
      <c r="R66" s="113">
        <f t="shared" si="5"/>
        <v>279.3</v>
      </c>
      <c r="S66" s="217">
        <f t="shared" si="6"/>
        <v>4269.3</v>
      </c>
      <c r="T66" s="47"/>
    </row>
    <row r="67" spans="1:20" s="229" customFormat="1" ht="22.5" customHeight="1" x14ac:dyDescent="0.5">
      <c r="A67" s="225"/>
      <c r="B67" s="226" t="s">
        <v>139</v>
      </c>
      <c r="C67" s="227" t="s">
        <v>140</v>
      </c>
      <c r="D67" s="211"/>
      <c r="E67" s="230"/>
      <c r="F67" s="230"/>
      <c r="G67" s="231"/>
      <c r="H67" s="232">
        <v>0</v>
      </c>
      <c r="I67" s="233">
        <v>0</v>
      </c>
      <c r="J67" s="232">
        <v>0</v>
      </c>
      <c r="K67" s="38"/>
      <c r="L67" s="39"/>
      <c r="M67" s="40"/>
      <c r="N67" s="215"/>
      <c r="O67" s="215"/>
      <c r="P67" s="216"/>
      <c r="Q67" s="113">
        <f t="shared" si="4"/>
        <v>0</v>
      </c>
      <c r="R67" s="113">
        <f t="shared" si="5"/>
        <v>0</v>
      </c>
      <c r="S67" s="217">
        <f t="shared" si="6"/>
        <v>0</v>
      </c>
      <c r="T67" s="47"/>
    </row>
    <row r="68" spans="1:20" ht="22.5" customHeight="1" x14ac:dyDescent="0.5">
      <c r="A68" s="208">
        <v>17</v>
      </c>
      <c r="B68" s="78" t="s">
        <v>54</v>
      </c>
      <c r="C68" s="81" t="s">
        <v>55</v>
      </c>
      <c r="D68" s="211">
        <v>10732.1</v>
      </c>
      <c r="E68" s="212"/>
      <c r="F68" s="234"/>
      <c r="G68" s="228"/>
      <c r="H68" s="224">
        <v>0</v>
      </c>
      <c r="I68" s="214">
        <v>0</v>
      </c>
      <c r="J68" s="224">
        <v>0</v>
      </c>
      <c r="K68" s="38" t="s">
        <v>1423</v>
      </c>
      <c r="L68" s="39" t="s">
        <v>1462</v>
      </c>
      <c r="M68" s="40">
        <v>10732.1</v>
      </c>
      <c r="N68" s="215"/>
      <c r="O68" s="215"/>
      <c r="P68" s="216"/>
      <c r="Q68" s="113">
        <f t="shared" si="4"/>
        <v>0</v>
      </c>
      <c r="R68" s="113">
        <f t="shared" si="5"/>
        <v>0</v>
      </c>
      <c r="S68" s="217">
        <f t="shared" si="6"/>
        <v>0</v>
      </c>
      <c r="T68" s="2"/>
    </row>
    <row r="69" spans="1:20" ht="22.5" customHeight="1" x14ac:dyDescent="0.5">
      <c r="A69" s="208">
        <v>18</v>
      </c>
      <c r="B69" s="78" t="s">
        <v>141</v>
      </c>
      <c r="C69" s="81" t="s">
        <v>142</v>
      </c>
      <c r="D69" s="211">
        <v>6034.8</v>
      </c>
      <c r="E69" s="234"/>
      <c r="F69" s="234"/>
      <c r="G69" s="228"/>
      <c r="H69" s="224">
        <v>0</v>
      </c>
      <c r="I69" s="214">
        <v>0</v>
      </c>
      <c r="J69" s="224">
        <v>0</v>
      </c>
      <c r="K69" s="38" t="s">
        <v>1417</v>
      </c>
      <c r="L69" s="39" t="s">
        <v>1463</v>
      </c>
      <c r="M69" s="40">
        <v>6034.8</v>
      </c>
      <c r="N69" s="235"/>
      <c r="O69" s="235"/>
      <c r="P69" s="236"/>
      <c r="Q69" s="113">
        <f t="shared" si="4"/>
        <v>0</v>
      </c>
      <c r="R69" s="113">
        <f t="shared" si="5"/>
        <v>0</v>
      </c>
      <c r="S69" s="217">
        <f t="shared" si="6"/>
        <v>0</v>
      </c>
      <c r="T69" s="2"/>
    </row>
    <row r="70" spans="1:20" ht="22.5" customHeight="1" x14ac:dyDescent="0.5">
      <c r="A70" s="208">
        <v>19</v>
      </c>
      <c r="B70" s="78" t="s">
        <v>144</v>
      </c>
      <c r="C70" s="81" t="s">
        <v>145</v>
      </c>
      <c r="D70" s="211">
        <v>256.8</v>
      </c>
      <c r="E70" s="212"/>
      <c r="F70" s="212"/>
      <c r="G70" s="213"/>
      <c r="H70" s="224">
        <v>-4.2499752419295712E-13</v>
      </c>
      <c r="I70" s="214">
        <v>-2.9749826693506995E-14</v>
      </c>
      <c r="J70" s="224">
        <v>-4.5474735088646412E-13</v>
      </c>
      <c r="K70" s="38"/>
      <c r="L70" s="39"/>
      <c r="M70" s="40"/>
      <c r="N70" s="215" t="s">
        <v>1427</v>
      </c>
      <c r="O70" s="215" t="s">
        <v>33</v>
      </c>
      <c r="P70" s="216" t="s">
        <v>33</v>
      </c>
      <c r="Q70" s="113">
        <f t="shared" si="4"/>
        <v>239.99999999999957</v>
      </c>
      <c r="R70" s="113">
        <f t="shared" si="5"/>
        <v>16.799999999999972</v>
      </c>
      <c r="S70" s="217">
        <f t="shared" si="6"/>
        <v>256.79999999999956</v>
      </c>
      <c r="T70" s="2"/>
    </row>
    <row r="71" spans="1:20" ht="22.5" customHeight="1" x14ac:dyDescent="0.6">
      <c r="A71" s="208">
        <v>20</v>
      </c>
      <c r="B71" s="73" t="s">
        <v>147</v>
      </c>
      <c r="C71" s="25" t="s">
        <v>148</v>
      </c>
      <c r="D71" s="211"/>
      <c r="E71" s="234" t="s">
        <v>1192</v>
      </c>
      <c r="F71" s="234" t="s">
        <v>33</v>
      </c>
      <c r="G71" s="228" t="s">
        <v>33</v>
      </c>
      <c r="H71" s="224">
        <v>250</v>
      </c>
      <c r="I71" s="214">
        <v>17.5</v>
      </c>
      <c r="J71" s="224">
        <v>267.5</v>
      </c>
      <c r="K71" s="38" t="s">
        <v>1419</v>
      </c>
      <c r="L71" s="39" t="s">
        <v>1464</v>
      </c>
      <c r="M71" s="40">
        <v>267.5</v>
      </c>
      <c r="N71" s="215"/>
      <c r="O71" s="215"/>
      <c r="P71" s="216"/>
      <c r="Q71" s="113">
        <f t="shared" si="4"/>
        <v>0</v>
      </c>
      <c r="R71" s="113">
        <f t="shared" si="5"/>
        <v>0</v>
      </c>
      <c r="S71" s="217">
        <f t="shared" si="6"/>
        <v>0</v>
      </c>
      <c r="T71" s="898" t="s">
        <v>962</v>
      </c>
    </row>
    <row r="72" spans="1:20" ht="22.5" customHeight="1" x14ac:dyDescent="0.5">
      <c r="A72" s="208"/>
      <c r="B72" s="897" t="s">
        <v>1446</v>
      </c>
      <c r="C72" s="165"/>
      <c r="D72" s="211"/>
      <c r="E72" s="234"/>
      <c r="F72" s="234"/>
      <c r="G72" s="228"/>
      <c r="H72" s="224"/>
      <c r="I72" s="214"/>
      <c r="J72" s="224"/>
      <c r="K72" s="38"/>
      <c r="L72" s="39"/>
      <c r="M72" s="40"/>
      <c r="N72" s="239"/>
      <c r="O72" s="239"/>
      <c r="P72" s="236"/>
      <c r="Q72" s="113"/>
      <c r="R72" s="113"/>
      <c r="S72" s="217"/>
      <c r="T72" s="2"/>
    </row>
    <row r="73" spans="1:20" ht="22.5" customHeight="1" x14ac:dyDescent="0.5">
      <c r="A73" s="208">
        <v>21</v>
      </c>
      <c r="B73" s="237" t="s">
        <v>149</v>
      </c>
      <c r="C73" s="238" t="s">
        <v>150</v>
      </c>
      <c r="D73" s="211">
        <v>3135.1</v>
      </c>
      <c r="E73" s="234"/>
      <c r="F73" s="234"/>
      <c r="G73" s="228"/>
      <c r="H73" s="224">
        <v>0</v>
      </c>
      <c r="I73" s="214">
        <v>0</v>
      </c>
      <c r="J73" s="224">
        <v>0</v>
      </c>
      <c r="K73" s="38" t="s">
        <v>1423</v>
      </c>
      <c r="L73" s="39" t="s">
        <v>1465</v>
      </c>
      <c r="M73" s="40">
        <v>3135.1</v>
      </c>
      <c r="N73" s="239"/>
      <c r="O73" s="239"/>
      <c r="P73" s="236"/>
      <c r="Q73" s="113">
        <f t="shared" si="4"/>
        <v>0</v>
      </c>
      <c r="R73" s="113">
        <f t="shared" si="5"/>
        <v>0</v>
      </c>
      <c r="S73" s="217">
        <f t="shared" si="6"/>
        <v>0</v>
      </c>
      <c r="T73" s="2"/>
    </row>
    <row r="74" spans="1:20" ht="22.5" customHeight="1" x14ac:dyDescent="0.5">
      <c r="A74" s="208">
        <v>22</v>
      </c>
      <c r="B74" s="240" t="s">
        <v>569</v>
      </c>
      <c r="C74" s="83" t="s">
        <v>153</v>
      </c>
      <c r="D74" s="211">
        <v>11342</v>
      </c>
      <c r="E74" s="234"/>
      <c r="F74" s="234"/>
      <c r="G74" s="228"/>
      <c r="H74" s="224">
        <v>-3.3999801935436569E-12</v>
      </c>
      <c r="I74" s="214">
        <v>-2.3799861354805596E-13</v>
      </c>
      <c r="J74" s="224">
        <v>-3.637978807091713E-12</v>
      </c>
      <c r="K74" s="38" t="s">
        <v>1415</v>
      </c>
      <c r="L74" s="39" t="s">
        <v>1466</v>
      </c>
      <c r="M74" s="40">
        <v>11342</v>
      </c>
      <c r="N74" s="215"/>
      <c r="O74" s="215"/>
      <c r="P74" s="216"/>
      <c r="Q74" s="113">
        <f t="shared" si="4"/>
        <v>-3.3999801935436569E-12</v>
      </c>
      <c r="R74" s="113">
        <f t="shared" si="5"/>
        <v>-2.3799861354805596E-13</v>
      </c>
      <c r="S74" s="217">
        <f t="shared" si="6"/>
        <v>-3.637978807091713E-12</v>
      </c>
      <c r="T74" s="2"/>
    </row>
    <row r="75" spans="1:20" ht="22.5" customHeight="1" x14ac:dyDescent="0.5">
      <c r="A75" s="208"/>
      <c r="B75" s="240" t="s">
        <v>569</v>
      </c>
      <c r="C75" s="83"/>
      <c r="D75" s="211">
        <v>4836.3999999999996</v>
      </c>
      <c r="E75" s="234"/>
      <c r="F75" s="234"/>
      <c r="G75" s="228"/>
      <c r="H75" s="224">
        <v>0</v>
      </c>
      <c r="I75" s="241">
        <v>0</v>
      </c>
      <c r="J75" s="224">
        <v>0</v>
      </c>
      <c r="K75" s="38" t="s">
        <v>1415</v>
      </c>
      <c r="L75" s="39" t="s">
        <v>1466</v>
      </c>
      <c r="M75" s="40">
        <v>4836.3999999999996</v>
      </c>
      <c r="N75" s="215"/>
      <c r="O75" s="215"/>
      <c r="P75" s="216"/>
      <c r="Q75" s="113">
        <f t="shared" si="4"/>
        <v>0</v>
      </c>
      <c r="R75" s="113">
        <f t="shared" si="5"/>
        <v>0</v>
      </c>
      <c r="S75" s="217">
        <f t="shared" si="6"/>
        <v>0</v>
      </c>
      <c r="T75" s="2"/>
    </row>
    <row r="76" spans="1:20" ht="22.5" customHeight="1" x14ac:dyDescent="0.5">
      <c r="A76" s="208">
        <v>23</v>
      </c>
      <c r="B76" s="240" t="s">
        <v>157</v>
      </c>
      <c r="C76" s="83" t="s">
        <v>158</v>
      </c>
      <c r="D76" s="211">
        <v>1712</v>
      </c>
      <c r="E76" s="234"/>
      <c r="F76" s="234"/>
      <c r="G76" s="228"/>
      <c r="H76" s="224">
        <v>0</v>
      </c>
      <c r="I76" s="241">
        <v>0</v>
      </c>
      <c r="J76" s="224">
        <v>0</v>
      </c>
      <c r="K76" s="38" t="s">
        <v>1423</v>
      </c>
      <c r="L76" s="39" t="s">
        <v>1467</v>
      </c>
      <c r="M76" s="40">
        <v>1712</v>
      </c>
      <c r="N76" s="239"/>
      <c r="O76" s="239"/>
      <c r="P76" s="236"/>
      <c r="Q76" s="113">
        <f t="shared" si="4"/>
        <v>0</v>
      </c>
      <c r="R76" s="113">
        <f t="shared" si="5"/>
        <v>0</v>
      </c>
      <c r="S76" s="217">
        <f t="shared" si="6"/>
        <v>0</v>
      </c>
      <c r="T76" s="2"/>
    </row>
    <row r="77" spans="1:20" ht="22.5" customHeight="1" x14ac:dyDescent="0.5">
      <c r="A77" s="208">
        <v>24</v>
      </c>
      <c r="B77" s="240" t="s">
        <v>160</v>
      </c>
      <c r="C77" s="83" t="s">
        <v>161</v>
      </c>
      <c r="D77" s="211"/>
      <c r="E77" s="212"/>
      <c r="F77" s="234"/>
      <c r="G77" s="228"/>
      <c r="H77" s="224">
        <v>0</v>
      </c>
      <c r="I77" s="241">
        <v>0</v>
      </c>
      <c r="J77" s="224">
        <v>0</v>
      </c>
      <c r="K77" s="38"/>
      <c r="L77" s="39"/>
      <c r="M77" s="40"/>
      <c r="N77" s="215"/>
      <c r="O77" s="215"/>
      <c r="P77" s="216"/>
      <c r="Q77" s="113">
        <f t="shared" si="4"/>
        <v>0</v>
      </c>
      <c r="R77" s="113">
        <f t="shared" si="5"/>
        <v>0</v>
      </c>
      <c r="S77" s="217">
        <f t="shared" si="6"/>
        <v>0</v>
      </c>
      <c r="T77" s="2"/>
    </row>
    <row r="78" spans="1:20" ht="22.5" customHeight="1" x14ac:dyDescent="0.5">
      <c r="A78" s="208">
        <v>25</v>
      </c>
      <c r="B78" s="240" t="s">
        <v>162</v>
      </c>
      <c r="C78" s="83" t="s">
        <v>163</v>
      </c>
      <c r="D78" s="211">
        <v>2161.4</v>
      </c>
      <c r="E78" s="212"/>
      <c r="F78" s="234"/>
      <c r="G78" s="228"/>
      <c r="H78" s="224">
        <v>-3.3999801935436569E-12</v>
      </c>
      <c r="I78" s="241">
        <v>-2.3799861354805596E-13</v>
      </c>
      <c r="J78" s="224">
        <v>-3.637978807091713E-12</v>
      </c>
      <c r="K78" s="38"/>
      <c r="L78" s="39"/>
      <c r="M78" s="40"/>
      <c r="N78" s="215" t="s">
        <v>1427</v>
      </c>
      <c r="O78" s="215" t="s">
        <v>33</v>
      </c>
      <c r="P78" s="216" t="s">
        <v>33</v>
      </c>
      <c r="Q78" s="113">
        <f t="shared" si="4"/>
        <v>2019.9999999999966</v>
      </c>
      <c r="R78" s="113">
        <f t="shared" si="5"/>
        <v>141.39999999999978</v>
      </c>
      <c r="S78" s="217">
        <f t="shared" si="6"/>
        <v>2161.3999999999965</v>
      </c>
      <c r="T78" s="2"/>
    </row>
    <row r="79" spans="1:20" ht="22.5" customHeight="1" x14ac:dyDescent="0.5">
      <c r="A79" s="208">
        <v>26</v>
      </c>
      <c r="B79" s="209" t="s">
        <v>165</v>
      </c>
      <c r="C79" s="210" t="s">
        <v>166</v>
      </c>
      <c r="D79" s="211">
        <v>1861.8</v>
      </c>
      <c r="E79" s="212"/>
      <c r="F79" s="212"/>
      <c r="G79" s="213"/>
      <c r="H79" s="219">
        <v>4.2499752419295712E-13</v>
      </c>
      <c r="I79" s="214">
        <v>2.9749826693506995E-14</v>
      </c>
      <c r="J79" s="219">
        <v>4.5474735088646412E-13</v>
      </c>
      <c r="K79" s="38" t="s">
        <v>1423</v>
      </c>
      <c r="L79" s="39" t="s">
        <v>1468</v>
      </c>
      <c r="M79" s="40">
        <v>1861.8</v>
      </c>
      <c r="N79" s="215"/>
      <c r="O79" s="215"/>
      <c r="P79" s="216"/>
      <c r="Q79" s="113">
        <f t="shared" si="4"/>
        <v>4.2499752419295712E-13</v>
      </c>
      <c r="R79" s="113">
        <f t="shared" si="5"/>
        <v>2.9749826693506995E-14</v>
      </c>
      <c r="S79" s="217">
        <f t="shared" si="6"/>
        <v>4.5474735088646412E-13</v>
      </c>
      <c r="T79" s="2"/>
    </row>
    <row r="80" spans="1:20" ht="22.5" customHeight="1" x14ac:dyDescent="0.5">
      <c r="A80" s="242">
        <v>27</v>
      </c>
      <c r="B80" s="243" t="s">
        <v>168</v>
      </c>
      <c r="C80" s="244" t="s">
        <v>169</v>
      </c>
      <c r="D80" s="211">
        <v>3391.9</v>
      </c>
      <c r="E80" s="212"/>
      <c r="F80" s="212"/>
      <c r="G80" s="213"/>
      <c r="H80" s="219">
        <v>0</v>
      </c>
      <c r="I80" s="214">
        <v>0</v>
      </c>
      <c r="J80" s="219">
        <v>0</v>
      </c>
      <c r="K80" s="30"/>
      <c r="L80" s="31"/>
      <c r="M80" s="32"/>
      <c r="N80" s="215" t="s">
        <v>1427</v>
      </c>
      <c r="O80" s="215" t="s">
        <v>33</v>
      </c>
      <c r="P80" s="216" t="s">
        <v>33</v>
      </c>
      <c r="Q80" s="113">
        <f t="shared" si="4"/>
        <v>3170</v>
      </c>
      <c r="R80" s="113">
        <f t="shared" si="5"/>
        <v>221.9</v>
      </c>
      <c r="S80" s="217">
        <f t="shared" si="6"/>
        <v>3391.9</v>
      </c>
      <c r="T80" s="2"/>
    </row>
    <row r="81" spans="1:20" ht="22.5" customHeight="1" x14ac:dyDescent="0.5">
      <c r="A81" s="208">
        <v>28</v>
      </c>
      <c r="B81" s="209" t="s">
        <v>171</v>
      </c>
      <c r="C81" s="210"/>
      <c r="D81" s="211">
        <v>684.8</v>
      </c>
      <c r="E81" s="212"/>
      <c r="F81" s="212"/>
      <c r="G81" s="213"/>
      <c r="H81" s="219">
        <v>0</v>
      </c>
      <c r="I81" s="214">
        <v>0</v>
      </c>
      <c r="J81" s="219">
        <v>0</v>
      </c>
      <c r="K81" s="38" t="s">
        <v>1423</v>
      </c>
      <c r="L81" s="39" t="s">
        <v>1469</v>
      </c>
      <c r="M81" s="40">
        <v>684.8</v>
      </c>
      <c r="N81" s="239"/>
      <c r="O81" s="239"/>
      <c r="P81" s="236"/>
      <c r="Q81" s="113">
        <f t="shared" si="4"/>
        <v>0</v>
      </c>
      <c r="R81" s="113">
        <f t="shared" si="5"/>
        <v>0</v>
      </c>
      <c r="S81" s="217">
        <f t="shared" si="6"/>
        <v>0</v>
      </c>
      <c r="T81" s="2"/>
    </row>
    <row r="82" spans="1:20" ht="22.5" customHeight="1" x14ac:dyDescent="0.5">
      <c r="A82" s="208">
        <v>29</v>
      </c>
      <c r="B82" s="209" t="s">
        <v>173</v>
      </c>
      <c r="C82" s="210" t="s">
        <v>174</v>
      </c>
      <c r="D82" s="211">
        <v>2140</v>
      </c>
      <c r="E82" s="212"/>
      <c r="F82" s="212"/>
      <c r="G82" s="213"/>
      <c r="H82" s="219">
        <v>0</v>
      </c>
      <c r="I82" s="214">
        <v>0</v>
      </c>
      <c r="J82" s="219">
        <v>0</v>
      </c>
      <c r="K82" s="38" t="s">
        <v>1423</v>
      </c>
      <c r="L82" s="39" t="s">
        <v>1470</v>
      </c>
      <c r="M82" s="40">
        <v>2140</v>
      </c>
      <c r="N82" s="215"/>
      <c r="O82" s="215"/>
      <c r="P82" s="216"/>
      <c r="Q82" s="113">
        <f t="shared" si="4"/>
        <v>0</v>
      </c>
      <c r="R82" s="113">
        <f t="shared" si="5"/>
        <v>0</v>
      </c>
      <c r="S82" s="217">
        <f t="shared" si="6"/>
        <v>0</v>
      </c>
      <c r="T82" s="2"/>
    </row>
    <row r="83" spans="1:20" ht="22.5" customHeight="1" x14ac:dyDescent="0.5">
      <c r="A83" s="208">
        <v>30</v>
      </c>
      <c r="B83" s="209" t="s">
        <v>175</v>
      </c>
      <c r="C83" s="210" t="s">
        <v>176</v>
      </c>
      <c r="D83" s="211">
        <v>5713.8</v>
      </c>
      <c r="E83" s="212"/>
      <c r="F83" s="212"/>
      <c r="G83" s="213"/>
      <c r="H83" s="219">
        <v>-8.4999504838591423E-13</v>
      </c>
      <c r="I83" s="214">
        <v>-5.9499653387013991E-14</v>
      </c>
      <c r="J83" s="219">
        <v>-9.0949470177292824E-13</v>
      </c>
      <c r="K83" s="30"/>
      <c r="L83" s="31"/>
      <c r="M83" s="32"/>
      <c r="N83" s="215" t="s">
        <v>1427</v>
      </c>
      <c r="O83" s="215" t="s">
        <v>33</v>
      </c>
      <c r="P83" s="216" t="s">
        <v>33</v>
      </c>
      <c r="Q83" s="113">
        <f t="shared" si="4"/>
        <v>5339.9999999999991</v>
      </c>
      <c r="R83" s="113">
        <f t="shared" si="5"/>
        <v>373.7999999999999</v>
      </c>
      <c r="S83" s="217">
        <f t="shared" si="6"/>
        <v>5713.7999999999993</v>
      </c>
      <c r="T83" s="2"/>
    </row>
    <row r="84" spans="1:20" ht="22.5" customHeight="1" x14ac:dyDescent="0.5">
      <c r="A84" s="208">
        <v>31</v>
      </c>
      <c r="B84" s="209" t="s">
        <v>178</v>
      </c>
      <c r="C84" s="210" t="s">
        <v>179</v>
      </c>
      <c r="D84" s="211"/>
      <c r="E84" s="212"/>
      <c r="F84" s="212"/>
      <c r="G84" s="213"/>
      <c r="H84" s="219">
        <v>0</v>
      </c>
      <c r="I84" s="214">
        <v>0</v>
      </c>
      <c r="J84" s="219">
        <v>0</v>
      </c>
      <c r="K84" s="38"/>
      <c r="L84" s="39"/>
      <c r="M84" s="40"/>
      <c r="N84" s="215"/>
      <c r="O84" s="215"/>
      <c r="P84" s="216"/>
      <c r="Q84" s="113">
        <f t="shared" si="4"/>
        <v>0</v>
      </c>
      <c r="R84" s="113">
        <f t="shared" si="5"/>
        <v>0</v>
      </c>
      <c r="S84" s="217">
        <f t="shared" si="6"/>
        <v>0</v>
      </c>
      <c r="T84" s="2"/>
    </row>
    <row r="85" spans="1:20" ht="22.5" customHeight="1" x14ac:dyDescent="0.5">
      <c r="A85" s="208">
        <v>32</v>
      </c>
      <c r="B85" s="209" t="s">
        <v>181</v>
      </c>
      <c r="C85" s="210" t="s">
        <v>182</v>
      </c>
      <c r="D85" s="211">
        <v>663.4</v>
      </c>
      <c r="E85" s="212"/>
      <c r="F85" s="212"/>
      <c r="G85" s="213"/>
      <c r="H85" s="219">
        <v>0</v>
      </c>
      <c r="I85" s="214">
        <v>0</v>
      </c>
      <c r="J85" s="219">
        <v>0</v>
      </c>
      <c r="K85" s="38"/>
      <c r="L85" s="39"/>
      <c r="M85" s="40"/>
      <c r="N85" s="215" t="s">
        <v>1427</v>
      </c>
      <c r="O85" s="215" t="s">
        <v>33</v>
      </c>
      <c r="P85" s="216" t="s">
        <v>33</v>
      </c>
      <c r="Q85" s="113">
        <f t="shared" si="4"/>
        <v>620</v>
      </c>
      <c r="R85" s="113">
        <f t="shared" si="5"/>
        <v>43.4</v>
      </c>
      <c r="S85" s="217">
        <f t="shared" si="6"/>
        <v>663.4</v>
      </c>
      <c r="T85" s="2"/>
    </row>
    <row r="86" spans="1:20" ht="22.5" customHeight="1" x14ac:dyDescent="0.5">
      <c r="A86" s="208">
        <v>33</v>
      </c>
      <c r="B86" s="209" t="s">
        <v>64</v>
      </c>
      <c r="C86" s="210" t="s">
        <v>184</v>
      </c>
      <c r="D86" s="211">
        <v>3691.5</v>
      </c>
      <c r="E86" s="212"/>
      <c r="F86" s="212"/>
      <c r="G86" s="213"/>
      <c r="H86" s="219">
        <v>0</v>
      </c>
      <c r="I86" s="214">
        <v>0</v>
      </c>
      <c r="J86" s="219">
        <v>0</v>
      </c>
      <c r="K86" s="38" t="s">
        <v>1417</v>
      </c>
      <c r="L86" s="245" t="s">
        <v>1471</v>
      </c>
      <c r="M86" s="246">
        <v>3691.5</v>
      </c>
      <c r="N86" s="215"/>
      <c r="O86" s="215"/>
      <c r="P86" s="216"/>
      <c r="Q86" s="113">
        <f t="shared" si="4"/>
        <v>0</v>
      </c>
      <c r="R86" s="113">
        <f t="shared" si="5"/>
        <v>0</v>
      </c>
      <c r="S86" s="217">
        <f t="shared" si="6"/>
        <v>0</v>
      </c>
      <c r="T86" s="2"/>
    </row>
    <row r="87" spans="1:20" ht="22.5" customHeight="1" x14ac:dyDescent="0.5">
      <c r="A87" s="208"/>
      <c r="B87" s="209" t="s">
        <v>64</v>
      </c>
      <c r="C87" s="210" t="s">
        <v>184</v>
      </c>
      <c r="D87" s="211">
        <v>2150.6999999999998</v>
      </c>
      <c r="E87" s="212"/>
      <c r="F87" s="212"/>
      <c r="G87" s="213"/>
      <c r="H87" s="219">
        <v>0</v>
      </c>
      <c r="I87" s="214">
        <v>0</v>
      </c>
      <c r="J87" s="219">
        <v>0</v>
      </c>
      <c r="K87" s="38" t="s">
        <v>1417</v>
      </c>
      <c r="L87" s="245" t="s">
        <v>1471</v>
      </c>
      <c r="M87" s="246">
        <v>2150.6999999999998</v>
      </c>
      <c r="N87" s="215"/>
      <c r="O87" s="215"/>
      <c r="P87" s="216"/>
      <c r="Q87" s="113">
        <f t="shared" si="4"/>
        <v>0</v>
      </c>
      <c r="R87" s="113">
        <f t="shared" si="5"/>
        <v>0</v>
      </c>
      <c r="S87" s="217">
        <f t="shared" si="6"/>
        <v>0</v>
      </c>
      <c r="T87" s="2"/>
    </row>
    <row r="88" spans="1:20" ht="22.5" customHeight="1" x14ac:dyDescent="0.5">
      <c r="A88" s="208">
        <v>34</v>
      </c>
      <c r="B88" s="209" t="s">
        <v>186</v>
      </c>
      <c r="C88" s="210" t="s">
        <v>187</v>
      </c>
      <c r="D88" s="211">
        <v>749</v>
      </c>
      <c r="E88" s="212"/>
      <c r="F88" s="212"/>
      <c r="G88" s="213"/>
      <c r="H88" s="219">
        <v>0</v>
      </c>
      <c r="I88" s="214">
        <v>0</v>
      </c>
      <c r="J88" s="219">
        <v>0</v>
      </c>
      <c r="K88" s="38" t="s">
        <v>1417</v>
      </c>
      <c r="L88" s="39" t="s">
        <v>1472</v>
      </c>
      <c r="M88" s="246">
        <v>749</v>
      </c>
      <c r="N88" s="247"/>
      <c r="O88" s="247"/>
      <c r="P88" s="248"/>
      <c r="Q88" s="113">
        <f t="shared" si="4"/>
        <v>0</v>
      </c>
      <c r="R88" s="113">
        <f t="shared" si="5"/>
        <v>0</v>
      </c>
      <c r="S88" s="217">
        <f t="shared" si="6"/>
        <v>0</v>
      </c>
      <c r="T88" s="2"/>
    </row>
    <row r="89" spans="1:20" ht="22.5" customHeight="1" x14ac:dyDescent="0.5">
      <c r="A89" s="208">
        <v>35</v>
      </c>
      <c r="B89" s="209" t="s">
        <v>189</v>
      </c>
      <c r="C89" s="210" t="s">
        <v>190</v>
      </c>
      <c r="D89" s="211"/>
      <c r="E89" s="212"/>
      <c r="F89" s="212"/>
      <c r="G89" s="213"/>
      <c r="H89" s="219">
        <v>0</v>
      </c>
      <c r="I89" s="214">
        <v>0</v>
      </c>
      <c r="J89" s="219">
        <v>0</v>
      </c>
      <c r="K89" s="38"/>
      <c r="L89" s="39"/>
      <c r="M89" s="246"/>
      <c r="N89" s="215"/>
      <c r="O89" s="215"/>
      <c r="P89" s="216"/>
      <c r="Q89" s="113">
        <f t="shared" si="4"/>
        <v>0</v>
      </c>
      <c r="R89" s="113">
        <f t="shared" si="5"/>
        <v>0</v>
      </c>
      <c r="S89" s="217">
        <f t="shared" si="6"/>
        <v>0</v>
      </c>
      <c r="T89" s="2"/>
    </row>
    <row r="90" spans="1:20" ht="22.5" customHeight="1" x14ac:dyDescent="0.5">
      <c r="A90" s="208"/>
      <c r="B90" s="209" t="s">
        <v>191</v>
      </c>
      <c r="C90" s="210" t="s">
        <v>190</v>
      </c>
      <c r="D90" s="211">
        <v>13706.7</v>
      </c>
      <c r="E90" s="212" t="s">
        <v>1192</v>
      </c>
      <c r="F90" s="212" t="s">
        <v>33</v>
      </c>
      <c r="G90" s="213" t="s">
        <v>33</v>
      </c>
      <c r="H90" s="219">
        <v>7720.0000000000018</v>
      </c>
      <c r="I90" s="214">
        <v>540.40000000000009</v>
      </c>
      <c r="J90" s="219">
        <v>8260.4000000000015</v>
      </c>
      <c r="K90" s="38" t="s">
        <v>1423</v>
      </c>
      <c r="L90" s="39" t="s">
        <v>1473</v>
      </c>
      <c r="M90" s="246">
        <v>8260.4</v>
      </c>
      <c r="N90" s="215" t="s">
        <v>1427</v>
      </c>
      <c r="O90" s="215" t="s">
        <v>33</v>
      </c>
      <c r="P90" s="216" t="s">
        <v>33</v>
      </c>
      <c r="Q90" s="113">
        <f t="shared" si="4"/>
        <v>12810.000000000002</v>
      </c>
      <c r="R90" s="113">
        <f t="shared" si="5"/>
        <v>896.70000000000027</v>
      </c>
      <c r="S90" s="217">
        <f t="shared" si="6"/>
        <v>13706.700000000003</v>
      </c>
      <c r="T90" s="2"/>
    </row>
    <row r="91" spans="1:20" ht="22.5" customHeight="1" x14ac:dyDescent="0.5">
      <c r="A91" s="208">
        <v>36</v>
      </c>
      <c r="B91" s="209" t="s">
        <v>193</v>
      </c>
      <c r="C91" s="210" t="s">
        <v>194</v>
      </c>
      <c r="D91" s="211">
        <v>695.5</v>
      </c>
      <c r="E91" s="212" t="s">
        <v>1192</v>
      </c>
      <c r="F91" s="212" t="s">
        <v>33</v>
      </c>
      <c r="G91" s="213" t="s">
        <v>33</v>
      </c>
      <c r="H91" s="219">
        <v>530.00000000000034</v>
      </c>
      <c r="I91" s="214">
        <v>37.100000000000023</v>
      </c>
      <c r="J91" s="219">
        <v>567.10000000000036</v>
      </c>
      <c r="K91" s="38" t="s">
        <v>1421</v>
      </c>
      <c r="L91" s="39" t="s">
        <v>1474</v>
      </c>
      <c r="M91" s="246">
        <v>567.1</v>
      </c>
      <c r="N91" s="215"/>
      <c r="O91" s="215"/>
      <c r="P91" s="216"/>
      <c r="Q91" s="113">
        <f t="shared" si="4"/>
        <v>650.00000000000034</v>
      </c>
      <c r="R91" s="113">
        <f t="shared" si="5"/>
        <v>45.500000000000028</v>
      </c>
      <c r="S91" s="217">
        <f t="shared" si="6"/>
        <v>695.50000000000034</v>
      </c>
      <c r="T91" s="2"/>
    </row>
    <row r="92" spans="1:20" ht="22.5" customHeight="1" x14ac:dyDescent="0.5">
      <c r="A92" s="208">
        <v>37</v>
      </c>
      <c r="B92" s="209" t="s">
        <v>195</v>
      </c>
      <c r="C92" s="210" t="s">
        <v>196</v>
      </c>
      <c r="D92" s="211">
        <v>930.9</v>
      </c>
      <c r="E92" s="212"/>
      <c r="F92" s="212"/>
      <c r="G92" s="213"/>
      <c r="H92" s="219">
        <v>0</v>
      </c>
      <c r="I92" s="214">
        <v>0</v>
      </c>
      <c r="J92" s="219">
        <v>0</v>
      </c>
      <c r="K92" s="38" t="s">
        <v>1423</v>
      </c>
      <c r="L92" s="245" t="s">
        <v>1475</v>
      </c>
      <c r="M92" s="246">
        <v>930.9</v>
      </c>
      <c r="N92" s="247"/>
      <c r="O92" s="247"/>
      <c r="P92" s="248"/>
      <c r="Q92" s="113">
        <f t="shared" si="4"/>
        <v>0</v>
      </c>
      <c r="R92" s="113">
        <f t="shared" si="5"/>
        <v>0</v>
      </c>
      <c r="S92" s="217">
        <f t="shared" si="6"/>
        <v>0</v>
      </c>
      <c r="T92" s="2"/>
    </row>
    <row r="93" spans="1:20" ht="22.5" customHeight="1" x14ac:dyDescent="0.5">
      <c r="A93" s="208">
        <v>38</v>
      </c>
      <c r="B93" s="209" t="s">
        <v>198</v>
      </c>
      <c r="C93" s="210" t="s">
        <v>46</v>
      </c>
      <c r="D93" s="211"/>
      <c r="E93" s="212"/>
      <c r="F93" s="212"/>
      <c r="G93" s="213"/>
      <c r="H93" s="219">
        <v>-6.3749628628943565E-13</v>
      </c>
      <c r="I93" s="214">
        <v>-4.4624740040260496E-14</v>
      </c>
      <c r="J93" s="219">
        <v>-6.8212102632969618E-13</v>
      </c>
      <c r="K93" s="38"/>
      <c r="L93" s="245"/>
      <c r="M93" s="246"/>
      <c r="N93" s="215"/>
      <c r="O93" s="215"/>
      <c r="P93" s="216"/>
      <c r="Q93" s="113">
        <f t="shared" si="4"/>
        <v>-6.3749628628943565E-13</v>
      </c>
      <c r="R93" s="113">
        <f t="shared" si="5"/>
        <v>-4.4624740040260496E-14</v>
      </c>
      <c r="S93" s="217">
        <f t="shared" si="6"/>
        <v>-6.8212102632969618E-13</v>
      </c>
      <c r="T93" s="2"/>
    </row>
    <row r="94" spans="1:20" ht="22.5" customHeight="1" x14ac:dyDescent="0.5">
      <c r="A94" s="208"/>
      <c r="B94" s="209" t="s">
        <v>198</v>
      </c>
      <c r="C94" s="210" t="s">
        <v>567</v>
      </c>
      <c r="D94" s="211">
        <v>1369.6</v>
      </c>
      <c r="E94" s="212" t="s">
        <v>1192</v>
      </c>
      <c r="F94" s="212" t="s">
        <v>33</v>
      </c>
      <c r="G94" s="213" t="s">
        <v>33</v>
      </c>
      <c r="H94" s="219">
        <v>790</v>
      </c>
      <c r="I94" s="214">
        <v>55.3</v>
      </c>
      <c r="J94" s="219">
        <v>845.3</v>
      </c>
      <c r="K94" s="38" t="s">
        <v>1425</v>
      </c>
      <c r="L94" s="245" t="s">
        <v>1476</v>
      </c>
      <c r="M94" s="246">
        <v>845.3</v>
      </c>
      <c r="N94" s="215" t="s">
        <v>1427</v>
      </c>
      <c r="O94" s="215" t="s">
        <v>33</v>
      </c>
      <c r="P94" s="216" t="s">
        <v>33</v>
      </c>
      <c r="Q94" s="113">
        <f t="shared" si="4"/>
        <v>1279.9999999999998</v>
      </c>
      <c r="R94" s="113">
        <f t="shared" si="5"/>
        <v>89.599999999999966</v>
      </c>
      <c r="S94" s="217">
        <f t="shared" si="6"/>
        <v>1369.5999999999997</v>
      </c>
      <c r="T94" s="2"/>
    </row>
    <row r="95" spans="1:20" ht="22.5" customHeight="1" x14ac:dyDescent="0.5">
      <c r="A95" s="208">
        <v>39</v>
      </c>
      <c r="B95" s="209" t="s">
        <v>200</v>
      </c>
      <c r="C95" s="210" t="s">
        <v>201</v>
      </c>
      <c r="D95" s="211"/>
      <c r="E95" s="212" t="s">
        <v>1192</v>
      </c>
      <c r="F95" s="212" t="s">
        <v>33</v>
      </c>
      <c r="G95" s="213" t="s">
        <v>284</v>
      </c>
      <c r="H95" s="219">
        <v>11699.999999999996</v>
      </c>
      <c r="I95" s="214">
        <v>818.99999999999977</v>
      </c>
      <c r="J95" s="219">
        <v>12518.999999999996</v>
      </c>
      <c r="K95" s="38"/>
      <c r="L95" s="245"/>
      <c r="M95" s="246"/>
      <c r="N95" s="215" t="s">
        <v>1477</v>
      </c>
      <c r="O95" s="216" t="s">
        <v>33</v>
      </c>
      <c r="P95" s="216" t="s">
        <v>286</v>
      </c>
      <c r="Q95" s="113">
        <f t="shared" si="4"/>
        <v>11699.999999999996</v>
      </c>
      <c r="R95" s="113">
        <f t="shared" si="5"/>
        <v>818.99999999999977</v>
      </c>
      <c r="S95" s="217">
        <f t="shared" si="6"/>
        <v>12518.999999999996</v>
      </c>
      <c r="T95" s="2"/>
    </row>
    <row r="96" spans="1:20" ht="22.5" customHeight="1" x14ac:dyDescent="0.5">
      <c r="A96" s="208">
        <v>40</v>
      </c>
      <c r="B96" s="209" t="s">
        <v>203</v>
      </c>
      <c r="C96" s="210" t="s">
        <v>204</v>
      </c>
      <c r="D96" s="211">
        <v>1690.6</v>
      </c>
      <c r="E96" s="212"/>
      <c r="F96" s="212"/>
      <c r="G96" s="213"/>
      <c r="H96" s="219">
        <v>0</v>
      </c>
      <c r="I96" s="214">
        <v>0</v>
      </c>
      <c r="J96" s="219">
        <v>0</v>
      </c>
      <c r="K96" s="30" t="s">
        <v>1423</v>
      </c>
      <c r="L96" s="31" t="s">
        <v>1478</v>
      </c>
      <c r="M96" s="221">
        <v>1690.6</v>
      </c>
      <c r="N96" s="215"/>
      <c r="O96" s="215"/>
      <c r="P96" s="216"/>
      <c r="Q96" s="113">
        <f t="shared" si="4"/>
        <v>0</v>
      </c>
      <c r="R96" s="113">
        <f t="shared" si="5"/>
        <v>0</v>
      </c>
      <c r="S96" s="217">
        <f t="shared" si="6"/>
        <v>0</v>
      </c>
      <c r="T96" s="2"/>
    </row>
    <row r="97" spans="1:20" ht="22.5" customHeight="1" x14ac:dyDescent="0.5">
      <c r="A97" s="208">
        <v>41</v>
      </c>
      <c r="B97" s="209" t="s">
        <v>205</v>
      </c>
      <c r="C97" s="210" t="s">
        <v>206</v>
      </c>
      <c r="D97" s="211">
        <v>1487.3</v>
      </c>
      <c r="E97" s="212"/>
      <c r="F97" s="212"/>
      <c r="G97" s="213"/>
      <c r="H97" s="219">
        <v>0</v>
      </c>
      <c r="I97" s="214">
        <v>0</v>
      </c>
      <c r="J97" s="219">
        <v>0</v>
      </c>
      <c r="K97" s="30" t="s">
        <v>1423</v>
      </c>
      <c r="L97" s="249" t="s">
        <v>1479</v>
      </c>
      <c r="M97" s="221">
        <v>1487.3</v>
      </c>
      <c r="N97" s="215"/>
      <c r="O97" s="215"/>
      <c r="P97" s="216"/>
      <c r="Q97" s="113">
        <f t="shared" si="4"/>
        <v>0</v>
      </c>
      <c r="R97" s="113">
        <f t="shared" si="5"/>
        <v>0</v>
      </c>
      <c r="S97" s="217">
        <f t="shared" si="6"/>
        <v>0</v>
      </c>
      <c r="T97" s="2"/>
    </row>
    <row r="98" spans="1:20" ht="22.5" customHeight="1" x14ac:dyDescent="0.5">
      <c r="A98" s="208">
        <v>42</v>
      </c>
      <c r="B98" s="209" t="s">
        <v>208</v>
      </c>
      <c r="C98" s="210"/>
      <c r="D98" s="211">
        <v>4697.3</v>
      </c>
      <c r="E98" s="212"/>
      <c r="F98" s="212"/>
      <c r="G98" s="213"/>
      <c r="H98" s="219">
        <v>-2.5499851451577426E-12</v>
      </c>
      <c r="I98" s="214">
        <v>-1.7849896016104199E-13</v>
      </c>
      <c r="J98" s="219">
        <v>-2.7284841053187847E-12</v>
      </c>
      <c r="K98" s="250"/>
      <c r="L98" s="251"/>
      <c r="M98" s="252"/>
      <c r="N98" s="215" t="s">
        <v>1427</v>
      </c>
      <c r="O98" s="215" t="s">
        <v>33</v>
      </c>
      <c r="P98" s="216" t="s">
        <v>33</v>
      </c>
      <c r="Q98" s="113">
        <f t="shared" si="4"/>
        <v>4389.9999999999973</v>
      </c>
      <c r="R98" s="113">
        <f t="shared" si="5"/>
        <v>307.29999999999984</v>
      </c>
      <c r="S98" s="217">
        <f t="shared" si="6"/>
        <v>4697.2999999999975</v>
      </c>
      <c r="T98" s="2"/>
    </row>
    <row r="99" spans="1:20" ht="22.5" customHeight="1" x14ac:dyDescent="0.5">
      <c r="A99" s="208">
        <v>43</v>
      </c>
      <c r="B99" s="209" t="s">
        <v>210</v>
      </c>
      <c r="C99" s="210" t="s">
        <v>211</v>
      </c>
      <c r="D99" s="211">
        <v>6345.1</v>
      </c>
      <c r="E99" s="212" t="s">
        <v>1192</v>
      </c>
      <c r="F99" s="212" t="s">
        <v>33</v>
      </c>
      <c r="G99" s="213" t="s">
        <v>33</v>
      </c>
      <c r="H99" s="219">
        <v>5210.0000000000009</v>
      </c>
      <c r="I99" s="214">
        <v>364.7000000000001</v>
      </c>
      <c r="J99" s="219">
        <v>5574.7000000000007</v>
      </c>
      <c r="K99" s="38" t="s">
        <v>1425</v>
      </c>
      <c r="L99" s="39" t="s">
        <v>1480</v>
      </c>
      <c r="M99" s="246">
        <v>5574.7</v>
      </c>
      <c r="N99" s="239" t="s">
        <v>1427</v>
      </c>
      <c r="O99" s="239" t="s">
        <v>33</v>
      </c>
      <c r="P99" s="236" t="s">
        <v>33</v>
      </c>
      <c r="Q99" s="113">
        <f t="shared" si="4"/>
        <v>5930.0000000000009</v>
      </c>
      <c r="R99" s="113">
        <f t="shared" si="5"/>
        <v>415.10000000000014</v>
      </c>
      <c r="S99" s="217">
        <f t="shared" si="6"/>
        <v>6345.1000000000013</v>
      </c>
      <c r="T99" s="2"/>
    </row>
    <row r="100" spans="1:20" ht="22.5" customHeight="1" x14ac:dyDescent="0.5">
      <c r="A100" s="208">
        <v>44</v>
      </c>
      <c r="B100" s="209" t="s">
        <v>212</v>
      </c>
      <c r="C100" s="210" t="s">
        <v>213</v>
      </c>
      <c r="D100" s="211"/>
      <c r="E100" s="212"/>
      <c r="F100" s="212"/>
      <c r="G100" s="213"/>
      <c r="H100" s="219">
        <v>0</v>
      </c>
      <c r="I100" s="214">
        <v>0</v>
      </c>
      <c r="J100" s="219">
        <v>0</v>
      </c>
      <c r="K100" s="38"/>
      <c r="L100" s="39"/>
      <c r="M100" s="246"/>
      <c r="N100" s="239"/>
      <c r="O100" s="239"/>
      <c r="P100" s="236"/>
      <c r="Q100" s="113">
        <f t="shared" si="4"/>
        <v>0</v>
      </c>
      <c r="R100" s="113">
        <f t="shared" si="5"/>
        <v>0</v>
      </c>
      <c r="S100" s="217">
        <f t="shared" si="6"/>
        <v>0</v>
      </c>
      <c r="T100" s="2"/>
    </row>
    <row r="101" spans="1:20" ht="22.5" customHeight="1" x14ac:dyDescent="0.5">
      <c r="A101" s="208">
        <v>45</v>
      </c>
      <c r="B101" s="209" t="s">
        <v>214</v>
      </c>
      <c r="C101" s="210" t="s">
        <v>215</v>
      </c>
      <c r="D101" s="211">
        <v>1380.3</v>
      </c>
      <c r="E101" s="212"/>
      <c r="F101" s="212"/>
      <c r="G101" s="213"/>
      <c r="H101" s="219">
        <v>0</v>
      </c>
      <c r="I101" s="214">
        <v>0</v>
      </c>
      <c r="J101" s="219">
        <v>0</v>
      </c>
      <c r="K101" s="38" t="s">
        <v>1423</v>
      </c>
      <c r="L101" s="39" t="s">
        <v>1481</v>
      </c>
      <c r="M101" s="246">
        <v>1380.3</v>
      </c>
      <c r="N101" s="239"/>
      <c r="O101" s="239"/>
      <c r="P101" s="236"/>
      <c r="Q101" s="113">
        <f t="shared" si="4"/>
        <v>0</v>
      </c>
      <c r="R101" s="113">
        <f t="shared" si="5"/>
        <v>0</v>
      </c>
      <c r="S101" s="217">
        <f t="shared" si="6"/>
        <v>0</v>
      </c>
      <c r="T101" s="2"/>
    </row>
    <row r="102" spans="1:20" ht="22.5" customHeight="1" x14ac:dyDescent="0.5">
      <c r="A102" s="253">
        <v>46</v>
      </c>
      <c r="B102" s="254" t="s">
        <v>217</v>
      </c>
      <c r="C102" s="238" t="s">
        <v>218</v>
      </c>
      <c r="D102" s="211">
        <v>3274.2</v>
      </c>
      <c r="E102" s="167"/>
      <c r="F102" s="167"/>
      <c r="G102" s="168"/>
      <c r="H102" s="255">
        <v>0</v>
      </c>
      <c r="I102" s="256">
        <v>0</v>
      </c>
      <c r="J102" s="255">
        <v>0</v>
      </c>
      <c r="K102" s="38"/>
      <c r="L102" s="245"/>
      <c r="M102" s="246"/>
      <c r="N102" s="239" t="s">
        <v>1427</v>
      </c>
      <c r="O102" s="239" t="s">
        <v>33</v>
      </c>
      <c r="P102" s="236" t="s">
        <v>33</v>
      </c>
      <c r="Q102" s="113">
        <f t="shared" si="4"/>
        <v>3060</v>
      </c>
      <c r="R102" s="113">
        <f t="shared" si="5"/>
        <v>214.2</v>
      </c>
      <c r="S102" s="217">
        <f t="shared" si="6"/>
        <v>3274.2</v>
      </c>
      <c r="T102" s="2"/>
    </row>
    <row r="103" spans="1:20" ht="22.5" customHeight="1" x14ac:dyDescent="0.5">
      <c r="A103" s="235">
        <v>47</v>
      </c>
      <c r="B103" s="257" t="s">
        <v>220</v>
      </c>
      <c r="C103" s="257" t="s">
        <v>221</v>
      </c>
      <c r="D103" s="211"/>
      <c r="E103" s="212" t="s">
        <v>1192</v>
      </c>
      <c r="F103" s="212" t="s">
        <v>33</v>
      </c>
      <c r="G103" s="213" t="s">
        <v>33</v>
      </c>
      <c r="H103" s="219">
        <v>80</v>
      </c>
      <c r="I103" s="214">
        <v>5.6</v>
      </c>
      <c r="J103" s="258">
        <v>85.6</v>
      </c>
      <c r="K103" s="38" t="s">
        <v>1433</v>
      </c>
      <c r="L103" s="39" t="s">
        <v>1482</v>
      </c>
      <c r="M103" s="246">
        <v>85.6</v>
      </c>
      <c r="N103" s="239"/>
      <c r="O103" s="239"/>
      <c r="P103" s="236"/>
      <c r="Q103" s="113">
        <f t="shared" si="4"/>
        <v>0</v>
      </c>
      <c r="R103" s="113">
        <f t="shared" si="5"/>
        <v>0</v>
      </c>
      <c r="S103" s="217">
        <f t="shared" si="6"/>
        <v>0</v>
      </c>
      <c r="T103" s="2"/>
    </row>
    <row r="104" spans="1:20" ht="22.5" customHeight="1" x14ac:dyDescent="0.5">
      <c r="A104" s="260">
        <v>48</v>
      </c>
      <c r="B104" s="261" t="s">
        <v>222</v>
      </c>
      <c r="C104" s="261" t="s">
        <v>223</v>
      </c>
      <c r="D104" s="262"/>
      <c r="E104" s="212"/>
      <c r="F104" s="212"/>
      <c r="G104" s="213"/>
      <c r="H104" s="219">
        <v>0</v>
      </c>
      <c r="I104" s="214">
        <v>0</v>
      </c>
      <c r="J104" s="258">
        <v>0</v>
      </c>
      <c r="K104" s="38"/>
      <c r="L104" s="39"/>
      <c r="M104" s="246"/>
      <c r="N104" s="215"/>
      <c r="O104" s="215"/>
      <c r="P104" s="216"/>
      <c r="Q104" s="113">
        <f t="shared" si="4"/>
        <v>0</v>
      </c>
      <c r="R104" s="113">
        <f t="shared" si="5"/>
        <v>0</v>
      </c>
      <c r="S104" s="217">
        <f t="shared" si="6"/>
        <v>0</v>
      </c>
      <c r="T104" s="2"/>
    </row>
    <row r="105" spans="1:20" ht="22.5" customHeight="1" x14ac:dyDescent="0.5">
      <c r="A105" s="260">
        <v>49</v>
      </c>
      <c r="B105" s="261" t="s">
        <v>224</v>
      </c>
      <c r="C105" s="261" t="s">
        <v>225</v>
      </c>
      <c r="D105" s="263">
        <v>620.6</v>
      </c>
      <c r="E105" s="212" t="s">
        <v>1192</v>
      </c>
      <c r="F105" s="212" t="s">
        <v>33</v>
      </c>
      <c r="G105" s="213" t="s">
        <v>33</v>
      </c>
      <c r="H105" s="219">
        <v>340.00000000000006</v>
      </c>
      <c r="I105" s="214">
        <v>23.800000000000004</v>
      </c>
      <c r="J105" s="258">
        <v>363.80000000000007</v>
      </c>
      <c r="K105" s="38" t="s">
        <v>1483</v>
      </c>
      <c r="L105" s="245" t="s">
        <v>1484</v>
      </c>
      <c r="M105" s="246">
        <v>363.8</v>
      </c>
      <c r="N105" s="215" t="s">
        <v>1427</v>
      </c>
      <c r="O105" s="215" t="s">
        <v>33</v>
      </c>
      <c r="P105" s="216" t="s">
        <v>33</v>
      </c>
      <c r="Q105" s="113">
        <f t="shared" si="4"/>
        <v>580.00000000000011</v>
      </c>
      <c r="R105" s="113">
        <f t="shared" si="5"/>
        <v>40.600000000000009</v>
      </c>
      <c r="S105" s="217">
        <f t="shared" si="6"/>
        <v>620.60000000000014</v>
      </c>
      <c r="T105" s="2"/>
    </row>
    <row r="106" spans="1:20" ht="22.5" customHeight="1" x14ac:dyDescent="0.5">
      <c r="A106" s="264">
        <v>50</v>
      </c>
      <c r="B106" s="265" t="s">
        <v>226</v>
      </c>
      <c r="C106" s="265" t="s">
        <v>227</v>
      </c>
      <c r="D106" s="266">
        <v>4354.8999999999996</v>
      </c>
      <c r="E106" s="267" t="s">
        <v>1192</v>
      </c>
      <c r="F106" s="267" t="s">
        <v>33</v>
      </c>
      <c r="G106" s="168" t="s">
        <v>33</v>
      </c>
      <c r="H106" s="255">
        <v>4620</v>
      </c>
      <c r="I106" s="256">
        <v>323.39999999999998</v>
      </c>
      <c r="J106" s="268">
        <v>4943.3999999999996</v>
      </c>
      <c r="K106" s="38" t="s">
        <v>1413</v>
      </c>
      <c r="L106" s="245" t="s">
        <v>1485</v>
      </c>
      <c r="M106" s="246">
        <v>4943.3999999999996</v>
      </c>
      <c r="N106" s="215" t="s">
        <v>1427</v>
      </c>
      <c r="O106" s="215" t="s">
        <v>33</v>
      </c>
      <c r="P106" s="216" t="s">
        <v>33</v>
      </c>
      <c r="Q106" s="113">
        <f>SUM(S106-R106)</f>
        <v>4069.9999999999995</v>
      </c>
      <c r="R106" s="113">
        <f t="shared" si="5"/>
        <v>284.89999999999998</v>
      </c>
      <c r="S106" s="217">
        <f>SUM(D106+J106-M106)</f>
        <v>4354.8999999999996</v>
      </c>
      <c r="T106" s="2"/>
    </row>
    <row r="107" spans="1:20" ht="22.5" customHeight="1" x14ac:dyDescent="0.5">
      <c r="A107" s="264">
        <v>51</v>
      </c>
      <c r="B107" s="265" t="s">
        <v>229</v>
      </c>
      <c r="C107" s="265" t="s">
        <v>230</v>
      </c>
      <c r="D107" s="266">
        <v>8260.4</v>
      </c>
      <c r="E107" s="267"/>
      <c r="F107" s="267"/>
      <c r="G107" s="168"/>
      <c r="H107" s="255">
        <v>0</v>
      </c>
      <c r="I107" s="256">
        <v>0</v>
      </c>
      <c r="J107" s="271">
        <v>0</v>
      </c>
      <c r="K107" s="101"/>
      <c r="L107" s="102"/>
      <c r="M107" s="272"/>
      <c r="N107" s="273" t="s">
        <v>1427</v>
      </c>
      <c r="O107" s="273" t="s">
        <v>33</v>
      </c>
      <c r="P107" s="274" t="s">
        <v>33</v>
      </c>
      <c r="Q107" s="113">
        <f t="shared" si="4"/>
        <v>7720</v>
      </c>
      <c r="R107" s="113">
        <f t="shared" si="5"/>
        <v>540.4</v>
      </c>
      <c r="S107" s="217">
        <f t="shared" si="6"/>
        <v>8260.4</v>
      </c>
      <c r="T107" s="2"/>
    </row>
    <row r="108" spans="1:20" ht="22.5" customHeight="1" x14ac:dyDescent="0.5">
      <c r="A108" s="264">
        <v>52</v>
      </c>
      <c r="B108" s="265" t="s">
        <v>566</v>
      </c>
      <c r="C108" s="265" t="s">
        <v>567</v>
      </c>
      <c r="D108" s="266">
        <v>2289.8000000000002</v>
      </c>
      <c r="E108" s="267"/>
      <c r="F108" s="267"/>
      <c r="G108" s="168"/>
      <c r="H108" s="255">
        <v>0</v>
      </c>
      <c r="I108" s="256">
        <v>0</v>
      </c>
      <c r="J108" s="268">
        <v>0</v>
      </c>
      <c r="K108" s="672" t="s">
        <v>1423</v>
      </c>
      <c r="L108" s="673" t="s">
        <v>1486</v>
      </c>
      <c r="M108" s="674">
        <v>2289.8000000000002</v>
      </c>
      <c r="N108" s="675"/>
      <c r="O108" s="675"/>
      <c r="P108" s="676"/>
      <c r="Q108" s="113">
        <f t="shared" si="4"/>
        <v>0</v>
      </c>
      <c r="R108" s="113">
        <f t="shared" si="5"/>
        <v>0</v>
      </c>
      <c r="S108" s="217">
        <f t="shared" si="6"/>
        <v>0</v>
      </c>
      <c r="T108" s="2"/>
    </row>
    <row r="109" spans="1:20" ht="22.5" customHeight="1" x14ac:dyDescent="0.5">
      <c r="A109" s="264"/>
      <c r="B109" s="265" t="s">
        <v>568</v>
      </c>
      <c r="C109" s="265" t="s">
        <v>567</v>
      </c>
      <c r="D109" s="266">
        <v>2364.6999999999998</v>
      </c>
      <c r="E109" s="267"/>
      <c r="F109" s="267"/>
      <c r="G109" s="168"/>
      <c r="H109" s="255">
        <v>0</v>
      </c>
      <c r="I109" s="256">
        <v>0</v>
      </c>
      <c r="J109" s="677">
        <v>0</v>
      </c>
      <c r="K109" s="678" t="s">
        <v>1423</v>
      </c>
      <c r="L109" s="679" t="s">
        <v>1486</v>
      </c>
      <c r="M109" s="680">
        <v>2364.6999999999998</v>
      </c>
      <c r="N109" s="681"/>
      <c r="O109" s="681"/>
      <c r="P109" s="682"/>
      <c r="Q109" s="113">
        <f t="shared" si="4"/>
        <v>0</v>
      </c>
      <c r="R109" s="113">
        <f t="shared" si="5"/>
        <v>0</v>
      </c>
      <c r="S109" s="217">
        <f t="shared" si="6"/>
        <v>0</v>
      </c>
      <c r="T109" s="2"/>
    </row>
    <row r="110" spans="1:20" ht="22.5" customHeight="1" x14ac:dyDescent="0.5">
      <c r="A110" s="269">
        <v>53</v>
      </c>
      <c r="B110" s="265" t="s">
        <v>705</v>
      </c>
      <c r="C110" s="794" t="s">
        <v>1288</v>
      </c>
      <c r="D110" s="266">
        <v>1027.2</v>
      </c>
      <c r="E110" s="267"/>
      <c r="F110" s="267"/>
      <c r="G110" s="168"/>
      <c r="H110" s="255">
        <v>0</v>
      </c>
      <c r="I110" s="256">
        <v>0</v>
      </c>
      <c r="J110" s="268">
        <v>0</v>
      </c>
      <c r="K110" s="672" t="s">
        <v>1423</v>
      </c>
      <c r="L110" s="673" t="s">
        <v>1487</v>
      </c>
      <c r="M110" s="674">
        <v>1027.2</v>
      </c>
      <c r="N110" s="675"/>
      <c r="O110" s="675"/>
      <c r="P110" s="776"/>
      <c r="Q110" s="113">
        <f>SUM(S110-R110)</f>
        <v>0</v>
      </c>
      <c r="R110" s="113">
        <f>SUM(S110*7/107)</f>
        <v>0</v>
      </c>
      <c r="S110" s="217">
        <f>SUM(D110+J110-M110)</f>
        <v>0</v>
      </c>
      <c r="T110" s="2"/>
    </row>
    <row r="111" spans="1:20" ht="22.5" customHeight="1" x14ac:dyDescent="0.5">
      <c r="A111" s="264">
        <v>54</v>
      </c>
      <c r="B111" s="265" t="s">
        <v>1287</v>
      </c>
      <c r="C111" s="265" t="s">
        <v>1288</v>
      </c>
      <c r="D111" s="266">
        <v>2204.1999999999998</v>
      </c>
      <c r="E111" s="267"/>
      <c r="F111" s="267"/>
      <c r="G111" s="168"/>
      <c r="H111" s="255">
        <v>0</v>
      </c>
      <c r="I111" s="256">
        <v>0</v>
      </c>
      <c r="J111" s="268">
        <v>0</v>
      </c>
      <c r="K111" s="672" t="s">
        <v>1423</v>
      </c>
      <c r="L111" s="673" t="s">
        <v>1488</v>
      </c>
      <c r="M111" s="674">
        <v>2204.1999999999998</v>
      </c>
      <c r="N111" s="675"/>
      <c r="O111" s="675"/>
      <c r="P111" s="776"/>
      <c r="Q111" s="113">
        <f>SUM(S111-R111)</f>
        <v>0</v>
      </c>
      <c r="R111" s="113">
        <f>SUM(S111*7/107)</f>
        <v>0</v>
      </c>
      <c r="S111" s="217">
        <f>SUM(D111+J111-M111)</f>
        <v>0</v>
      </c>
      <c r="T111" s="2"/>
    </row>
    <row r="112" spans="1:20" ht="22.5" customHeight="1" x14ac:dyDescent="0.5">
      <c r="A112" s="269"/>
      <c r="B112" s="265" t="s">
        <v>1489</v>
      </c>
      <c r="C112" s="265" t="s">
        <v>567</v>
      </c>
      <c r="D112" s="270">
        <v>2204.1999999999998</v>
      </c>
      <c r="E112" s="267"/>
      <c r="F112" s="267"/>
      <c r="G112" s="168"/>
      <c r="H112" s="255"/>
      <c r="I112" s="256"/>
      <c r="J112" s="268"/>
      <c r="K112" s="672"/>
      <c r="L112" s="673"/>
      <c r="M112" s="674"/>
      <c r="N112" s="675" t="s">
        <v>1427</v>
      </c>
      <c r="O112" s="675" t="s">
        <v>33</v>
      </c>
      <c r="P112" s="776" t="s">
        <v>33</v>
      </c>
      <c r="Q112" s="113">
        <f t="shared" ref="Q112:Q113" si="7">SUM(S112-R112)</f>
        <v>2060</v>
      </c>
      <c r="R112" s="113">
        <f t="shared" ref="R112:R113" si="8">SUM(S112*7/107)</f>
        <v>144.19999999999999</v>
      </c>
      <c r="S112" s="217">
        <f t="shared" ref="S112:S113" si="9">SUM(D112+J112-M112)</f>
        <v>2204.1999999999998</v>
      </c>
      <c r="T112" s="2"/>
    </row>
    <row r="113" spans="1:20" ht="22.5" customHeight="1" x14ac:dyDescent="0.5">
      <c r="A113" s="269"/>
      <c r="B113" s="265" t="s">
        <v>1490</v>
      </c>
      <c r="C113" s="265" t="s">
        <v>567</v>
      </c>
      <c r="D113" s="270">
        <v>2204.1999999999998</v>
      </c>
      <c r="E113" s="267"/>
      <c r="F113" s="267"/>
      <c r="G113" s="168"/>
      <c r="H113" s="255"/>
      <c r="I113" s="256"/>
      <c r="J113" s="268"/>
      <c r="K113" s="672"/>
      <c r="L113" s="673"/>
      <c r="M113" s="674"/>
      <c r="N113" s="675" t="s">
        <v>1427</v>
      </c>
      <c r="O113" s="675" t="s">
        <v>33</v>
      </c>
      <c r="P113" s="776" t="s">
        <v>33</v>
      </c>
      <c r="Q113" s="113">
        <f t="shared" si="7"/>
        <v>2060</v>
      </c>
      <c r="R113" s="113">
        <f t="shared" si="8"/>
        <v>144.19999999999999</v>
      </c>
      <c r="S113" s="217">
        <f t="shared" si="9"/>
        <v>2204.1999999999998</v>
      </c>
      <c r="T113" s="2"/>
    </row>
    <row r="114" spans="1:20" s="60" customFormat="1" ht="22.5" customHeight="1" thickBot="1" x14ac:dyDescent="0.35">
      <c r="A114" s="278"/>
      <c r="B114" s="278" t="s">
        <v>15</v>
      </c>
      <c r="C114" s="279"/>
      <c r="D114" s="280">
        <f>SUM(D44:D113)</f>
        <v>291072.10000000003</v>
      </c>
      <c r="E114" s="281"/>
      <c r="F114" s="281"/>
      <c r="G114" s="282"/>
      <c r="H114" s="280">
        <f>SUM(H44:H113)</f>
        <v>70000</v>
      </c>
      <c r="I114" s="280">
        <f t="shared" ref="I114:J114" si="10">SUM(I44:I113)</f>
        <v>4899.9999999999991</v>
      </c>
      <c r="J114" s="280">
        <f t="shared" si="10"/>
        <v>74900</v>
      </c>
      <c r="K114" s="280">
        <f t="shared" ref="K114:P114" si="11">SUM(K44:K111)</f>
        <v>0</v>
      </c>
      <c r="L114" s="280">
        <f t="shared" si="11"/>
        <v>0</v>
      </c>
      <c r="M114" s="280">
        <f t="shared" si="11"/>
        <v>159526.29999999999</v>
      </c>
      <c r="N114" s="280">
        <f t="shared" si="11"/>
        <v>0</v>
      </c>
      <c r="O114" s="280">
        <f t="shared" si="11"/>
        <v>0</v>
      </c>
      <c r="P114" s="280">
        <f t="shared" si="11"/>
        <v>0</v>
      </c>
      <c r="Q114" s="280">
        <f>SUM(Q44:Q113)</f>
        <v>192940</v>
      </c>
      <c r="R114" s="280">
        <f t="shared" ref="R114:S114" si="12">SUM(R44:R113)</f>
        <v>13505.8</v>
      </c>
      <c r="S114" s="280">
        <f t="shared" si="12"/>
        <v>206445.8</v>
      </c>
      <c r="T114" s="59"/>
    </row>
    <row r="115" spans="1:20" ht="22.5" customHeight="1" thickTop="1" x14ac:dyDescent="0.3">
      <c r="A115" s="61"/>
      <c r="B115" s="121" t="s">
        <v>232</v>
      </c>
      <c r="C115" s="63"/>
      <c r="D115" s="64"/>
      <c r="E115" s="65"/>
      <c r="F115" s="65"/>
      <c r="G115" s="66"/>
      <c r="H115" s="67"/>
      <c r="I115" s="67"/>
      <c r="J115" s="67"/>
      <c r="K115" s="286"/>
      <c r="L115" s="287"/>
      <c r="M115" s="288"/>
      <c r="N115" s="69"/>
      <c r="O115" s="69"/>
      <c r="P115" s="70"/>
      <c r="Q115" s="71"/>
      <c r="R115" s="71"/>
      <c r="S115" s="289"/>
      <c r="T115" s="2"/>
    </row>
    <row r="116" spans="1:20" ht="22.5" customHeight="1" x14ac:dyDescent="0.5">
      <c r="A116" s="290"/>
      <c r="B116" s="291" t="s">
        <v>233</v>
      </c>
      <c r="C116" s="292"/>
      <c r="D116" s="293"/>
      <c r="E116" s="212"/>
      <c r="F116" s="212"/>
      <c r="G116" s="213"/>
      <c r="H116" s="219"/>
      <c r="I116" s="219"/>
      <c r="J116" s="219"/>
      <c r="K116" s="294"/>
      <c r="L116" s="295"/>
      <c r="M116" s="296"/>
      <c r="N116" s="41"/>
      <c r="O116" s="41"/>
      <c r="P116" s="34"/>
      <c r="Q116" s="114"/>
      <c r="R116" s="114"/>
      <c r="S116" s="36"/>
      <c r="T116" s="2"/>
    </row>
    <row r="117" spans="1:20" ht="22.5" customHeight="1" x14ac:dyDescent="0.5">
      <c r="A117" s="23">
        <v>1</v>
      </c>
      <c r="B117" s="73" t="s">
        <v>234</v>
      </c>
      <c r="C117" s="25" t="s">
        <v>235</v>
      </c>
      <c r="D117" s="43">
        <v>9450</v>
      </c>
      <c r="E117" s="212"/>
      <c r="F117" s="212"/>
      <c r="G117" s="213"/>
      <c r="H117" s="219">
        <v>0</v>
      </c>
      <c r="I117" s="219">
        <v>0</v>
      </c>
      <c r="J117" s="219">
        <v>0</v>
      </c>
      <c r="K117" s="30" t="s">
        <v>1491</v>
      </c>
      <c r="L117" s="31" t="s">
        <v>1492</v>
      </c>
      <c r="M117" s="32">
        <v>9450</v>
      </c>
      <c r="N117" s="215"/>
      <c r="O117" s="215"/>
      <c r="P117" s="216"/>
      <c r="Q117" s="114">
        <f>SUM(D117+J117-M117)</f>
        <v>0</v>
      </c>
      <c r="R117" s="114">
        <v>0</v>
      </c>
      <c r="S117" s="36">
        <f>SUM(Q117)</f>
        <v>0</v>
      </c>
      <c r="T117" s="2"/>
    </row>
    <row r="118" spans="1:20" ht="22.5" customHeight="1" x14ac:dyDescent="0.5">
      <c r="A118" s="23">
        <v>2</v>
      </c>
      <c r="B118" s="73" t="s">
        <v>237</v>
      </c>
      <c r="C118" s="25" t="s">
        <v>238</v>
      </c>
      <c r="D118" s="43">
        <v>3150</v>
      </c>
      <c r="E118" s="212"/>
      <c r="F118" s="212"/>
      <c r="G118" s="213"/>
      <c r="H118" s="219">
        <v>0</v>
      </c>
      <c r="I118" s="219">
        <v>0</v>
      </c>
      <c r="J118" s="219">
        <v>0</v>
      </c>
      <c r="K118" s="30" t="s">
        <v>1491</v>
      </c>
      <c r="L118" s="31" t="s">
        <v>1493</v>
      </c>
      <c r="M118" s="32">
        <v>3150</v>
      </c>
      <c r="N118" s="215"/>
      <c r="O118" s="215"/>
      <c r="P118" s="216"/>
      <c r="Q118" s="114">
        <f t="shared" ref="Q118:Q157" si="13">SUM(D118+J118-M118)</f>
        <v>0</v>
      </c>
      <c r="R118" s="114">
        <v>0</v>
      </c>
      <c r="S118" s="36">
        <f t="shared" ref="S118:S157" si="14">SUM(Q118)</f>
        <v>0</v>
      </c>
      <c r="T118" s="2"/>
    </row>
    <row r="119" spans="1:20" ht="22.5" customHeight="1" x14ac:dyDescent="0.5">
      <c r="A119" s="23">
        <v>3</v>
      </c>
      <c r="B119" s="73" t="s">
        <v>240</v>
      </c>
      <c r="C119" s="25" t="s">
        <v>241</v>
      </c>
      <c r="D119" s="43">
        <v>15750</v>
      </c>
      <c r="E119" s="212" t="s">
        <v>1192</v>
      </c>
      <c r="F119" s="212" t="s">
        <v>33</v>
      </c>
      <c r="G119" s="213"/>
      <c r="H119" s="219">
        <v>15750</v>
      </c>
      <c r="I119" s="219">
        <v>0</v>
      </c>
      <c r="J119" s="219">
        <v>15750</v>
      </c>
      <c r="K119" s="30" t="s">
        <v>1494</v>
      </c>
      <c r="L119" s="31" t="s">
        <v>1495</v>
      </c>
      <c r="M119" s="32">
        <v>15750</v>
      </c>
      <c r="N119" s="297" t="s">
        <v>1427</v>
      </c>
      <c r="O119" s="297" t="s">
        <v>33</v>
      </c>
      <c r="P119" s="216" t="s">
        <v>33</v>
      </c>
      <c r="Q119" s="114">
        <f t="shared" si="13"/>
        <v>15750</v>
      </c>
      <c r="R119" s="114">
        <v>0</v>
      </c>
      <c r="S119" s="36">
        <f t="shared" si="14"/>
        <v>15750</v>
      </c>
      <c r="T119" s="2"/>
    </row>
    <row r="120" spans="1:20" ht="22.5" customHeight="1" x14ac:dyDescent="0.5">
      <c r="A120" s="23">
        <v>4</v>
      </c>
      <c r="B120" s="73" t="s">
        <v>240</v>
      </c>
      <c r="C120" s="25" t="s">
        <v>242</v>
      </c>
      <c r="D120" s="43">
        <v>6300</v>
      </c>
      <c r="E120" s="212" t="s">
        <v>1192</v>
      </c>
      <c r="F120" s="212" t="s">
        <v>33</v>
      </c>
      <c r="G120" s="213"/>
      <c r="H120" s="219">
        <v>6300</v>
      </c>
      <c r="I120" s="219">
        <v>0</v>
      </c>
      <c r="J120" s="219">
        <v>6300</v>
      </c>
      <c r="K120" s="30" t="s">
        <v>1494</v>
      </c>
      <c r="L120" s="31" t="s">
        <v>1495</v>
      </c>
      <c r="M120" s="32">
        <v>6300</v>
      </c>
      <c r="N120" s="297" t="s">
        <v>1427</v>
      </c>
      <c r="O120" s="297" t="s">
        <v>33</v>
      </c>
      <c r="P120" s="216" t="s">
        <v>33</v>
      </c>
      <c r="Q120" s="114">
        <f t="shared" si="13"/>
        <v>6300</v>
      </c>
      <c r="R120" s="114">
        <v>0</v>
      </c>
      <c r="S120" s="36">
        <f t="shared" si="14"/>
        <v>6300</v>
      </c>
      <c r="T120" s="2"/>
    </row>
    <row r="121" spans="1:20" ht="22.5" customHeight="1" x14ac:dyDescent="0.5">
      <c r="A121" s="23">
        <v>5</v>
      </c>
      <c r="B121" s="73" t="s">
        <v>198</v>
      </c>
      <c r="C121" s="25" t="s">
        <v>243</v>
      </c>
      <c r="D121" s="43">
        <v>22050</v>
      </c>
      <c r="E121" s="212"/>
      <c r="F121" s="212"/>
      <c r="G121" s="213"/>
      <c r="H121" s="219">
        <v>0</v>
      </c>
      <c r="I121" s="219">
        <v>0</v>
      </c>
      <c r="J121" s="219">
        <v>0</v>
      </c>
      <c r="K121" s="30" t="s">
        <v>1425</v>
      </c>
      <c r="L121" s="31" t="s">
        <v>1496</v>
      </c>
      <c r="M121" s="32">
        <v>22050</v>
      </c>
      <c r="N121" s="297"/>
      <c r="O121" s="297"/>
      <c r="P121" s="216"/>
      <c r="Q121" s="114">
        <f t="shared" si="13"/>
        <v>0</v>
      </c>
      <c r="R121" s="114">
        <v>0</v>
      </c>
      <c r="S121" s="36">
        <f t="shared" si="14"/>
        <v>0</v>
      </c>
      <c r="T121" s="2"/>
    </row>
    <row r="122" spans="1:20" ht="22.5" customHeight="1" x14ac:dyDescent="0.5">
      <c r="A122" s="23">
        <v>6</v>
      </c>
      <c r="B122" s="73" t="s">
        <v>245</v>
      </c>
      <c r="C122" s="25" t="s">
        <v>246</v>
      </c>
      <c r="D122" s="43">
        <v>9450</v>
      </c>
      <c r="E122" s="212"/>
      <c r="F122" s="212"/>
      <c r="G122" s="213"/>
      <c r="H122" s="219">
        <v>0</v>
      </c>
      <c r="I122" s="219">
        <v>0</v>
      </c>
      <c r="J122" s="219">
        <v>0</v>
      </c>
      <c r="K122" s="30" t="s">
        <v>1419</v>
      </c>
      <c r="L122" s="31" t="s">
        <v>1497</v>
      </c>
      <c r="M122" s="32">
        <v>9450</v>
      </c>
      <c r="N122" s="297"/>
      <c r="O122" s="297"/>
      <c r="P122" s="216"/>
      <c r="Q122" s="114">
        <f t="shared" si="13"/>
        <v>0</v>
      </c>
      <c r="R122" s="114">
        <v>0</v>
      </c>
      <c r="S122" s="36">
        <f t="shared" si="14"/>
        <v>0</v>
      </c>
      <c r="T122" s="2"/>
    </row>
    <row r="123" spans="1:20" ht="22.5" customHeight="1" x14ac:dyDescent="0.5">
      <c r="A123" s="23">
        <v>7</v>
      </c>
      <c r="B123" s="73" t="s">
        <v>248</v>
      </c>
      <c r="C123" s="25" t="s">
        <v>249</v>
      </c>
      <c r="D123" s="43">
        <v>6300</v>
      </c>
      <c r="E123" s="212" t="s">
        <v>1192</v>
      </c>
      <c r="F123" s="212" t="s">
        <v>33</v>
      </c>
      <c r="G123" s="213"/>
      <c r="H123" s="219">
        <v>6300</v>
      </c>
      <c r="I123" s="219">
        <v>0</v>
      </c>
      <c r="J123" s="219">
        <v>6300</v>
      </c>
      <c r="K123" s="30"/>
      <c r="L123" s="31"/>
      <c r="M123" s="32"/>
      <c r="N123" s="215" t="s">
        <v>1454</v>
      </c>
      <c r="O123" s="215" t="s">
        <v>115</v>
      </c>
      <c r="P123" s="216" t="s">
        <v>115</v>
      </c>
      <c r="Q123" s="114">
        <f t="shared" si="13"/>
        <v>12600</v>
      </c>
      <c r="R123" s="114">
        <v>0</v>
      </c>
      <c r="S123" s="36">
        <f t="shared" si="14"/>
        <v>12600</v>
      </c>
      <c r="T123" s="2"/>
    </row>
    <row r="124" spans="1:20" ht="22.5" customHeight="1" x14ac:dyDescent="0.5">
      <c r="A124" s="208">
        <v>8</v>
      </c>
      <c r="B124" s="209" t="s">
        <v>250</v>
      </c>
      <c r="C124" s="210" t="s">
        <v>251</v>
      </c>
      <c r="D124" s="298">
        <v>6300</v>
      </c>
      <c r="E124" s="299" t="s">
        <v>1192</v>
      </c>
      <c r="F124" s="299" t="s">
        <v>33</v>
      </c>
      <c r="G124" s="300"/>
      <c r="H124" s="214">
        <v>6300</v>
      </c>
      <c r="I124" s="219">
        <v>0</v>
      </c>
      <c r="J124" s="219">
        <v>6300</v>
      </c>
      <c r="K124" s="30" t="s">
        <v>1419</v>
      </c>
      <c r="L124" s="31" t="s">
        <v>1498</v>
      </c>
      <c r="M124" s="32">
        <v>6300</v>
      </c>
      <c r="N124" s="215" t="s">
        <v>1427</v>
      </c>
      <c r="O124" s="215" t="s">
        <v>33</v>
      </c>
      <c r="P124" s="216" t="s">
        <v>33</v>
      </c>
      <c r="Q124" s="114">
        <f t="shared" si="13"/>
        <v>6300</v>
      </c>
      <c r="R124" s="114">
        <v>0</v>
      </c>
      <c r="S124" s="36">
        <f t="shared" si="14"/>
        <v>6300</v>
      </c>
      <c r="T124" s="218"/>
    </row>
    <row r="125" spans="1:20" ht="22.5" customHeight="1" x14ac:dyDescent="0.5">
      <c r="A125" s="23">
        <v>9</v>
      </c>
      <c r="B125" s="73" t="s">
        <v>253</v>
      </c>
      <c r="C125" s="25" t="s">
        <v>254</v>
      </c>
      <c r="D125" s="43">
        <v>9450</v>
      </c>
      <c r="E125" s="212"/>
      <c r="F125" s="212"/>
      <c r="G125" s="213"/>
      <c r="H125" s="219">
        <v>0</v>
      </c>
      <c r="I125" s="219">
        <v>0</v>
      </c>
      <c r="J125" s="219">
        <v>0</v>
      </c>
      <c r="K125" s="30" t="s">
        <v>1413</v>
      </c>
      <c r="L125" s="31" t="s">
        <v>1499</v>
      </c>
      <c r="M125" s="32">
        <v>9450</v>
      </c>
      <c r="N125" s="215"/>
      <c r="O125" s="215"/>
      <c r="P125" s="216"/>
      <c r="Q125" s="114">
        <f t="shared" si="13"/>
        <v>0</v>
      </c>
      <c r="R125" s="114">
        <v>0</v>
      </c>
      <c r="S125" s="36">
        <f t="shared" si="14"/>
        <v>0</v>
      </c>
    </row>
    <row r="126" spans="1:20" ht="22.5" customHeight="1" x14ac:dyDescent="0.5">
      <c r="A126" s="23"/>
      <c r="B126" s="301" t="s">
        <v>256</v>
      </c>
      <c r="C126" s="25"/>
      <c r="D126" s="43"/>
      <c r="E126" s="302"/>
      <c r="F126" s="302"/>
      <c r="G126" s="303"/>
      <c r="H126" s="304">
        <v>0</v>
      </c>
      <c r="I126" s="304">
        <v>0</v>
      </c>
      <c r="J126" s="304">
        <v>0</v>
      </c>
      <c r="K126" s="30"/>
      <c r="L126" s="31"/>
      <c r="M126" s="32"/>
      <c r="N126" s="297"/>
      <c r="O126" s="297"/>
      <c r="P126" s="216"/>
      <c r="Q126" s="114">
        <f t="shared" si="13"/>
        <v>0</v>
      </c>
      <c r="R126" s="114">
        <v>0</v>
      </c>
      <c r="S126" s="36">
        <f t="shared" si="14"/>
        <v>0</v>
      </c>
    </row>
    <row r="127" spans="1:20" ht="22.5" customHeight="1" x14ac:dyDescent="0.5">
      <c r="A127" s="23">
        <v>10</v>
      </c>
      <c r="B127" s="73" t="s">
        <v>257</v>
      </c>
      <c r="C127" s="25" t="s">
        <v>258</v>
      </c>
      <c r="D127" s="43">
        <v>5600</v>
      </c>
      <c r="E127" s="212"/>
      <c r="F127" s="212"/>
      <c r="G127" s="213"/>
      <c r="H127" s="219">
        <v>0</v>
      </c>
      <c r="I127" s="219">
        <v>0</v>
      </c>
      <c r="J127" s="219">
        <v>0</v>
      </c>
      <c r="K127" s="30" t="s">
        <v>1419</v>
      </c>
      <c r="L127" s="31" t="s">
        <v>1500</v>
      </c>
      <c r="M127" s="32">
        <v>5600</v>
      </c>
      <c r="N127" s="297"/>
      <c r="O127" s="297"/>
      <c r="P127" s="216"/>
      <c r="Q127" s="114">
        <f t="shared" si="13"/>
        <v>0</v>
      </c>
      <c r="R127" s="114">
        <v>0</v>
      </c>
      <c r="S127" s="36">
        <f t="shared" si="14"/>
        <v>0</v>
      </c>
    </row>
    <row r="128" spans="1:20" ht="22.5" customHeight="1" x14ac:dyDescent="0.5">
      <c r="A128" s="23">
        <v>11</v>
      </c>
      <c r="B128" s="73" t="s">
        <v>198</v>
      </c>
      <c r="C128" s="25" t="s">
        <v>260</v>
      </c>
      <c r="D128" s="43">
        <v>2800</v>
      </c>
      <c r="E128" s="212"/>
      <c r="F128" s="212"/>
      <c r="G128" s="213"/>
      <c r="H128" s="219">
        <v>0</v>
      </c>
      <c r="I128" s="219">
        <v>0</v>
      </c>
      <c r="J128" s="219">
        <v>0</v>
      </c>
      <c r="K128" s="30" t="s">
        <v>1425</v>
      </c>
      <c r="L128" s="31" t="s">
        <v>1496</v>
      </c>
      <c r="M128" s="32">
        <v>2800</v>
      </c>
      <c r="N128" s="297"/>
      <c r="O128" s="297"/>
      <c r="P128" s="216"/>
      <c r="Q128" s="114">
        <f t="shared" si="13"/>
        <v>0</v>
      </c>
      <c r="R128" s="114">
        <v>0</v>
      </c>
      <c r="S128" s="36">
        <f t="shared" si="14"/>
        <v>0</v>
      </c>
    </row>
    <row r="129" spans="1:21" ht="22.5" customHeight="1" x14ac:dyDescent="0.5">
      <c r="A129" s="23">
        <v>12</v>
      </c>
      <c r="B129" s="73" t="s">
        <v>261</v>
      </c>
      <c r="C129" s="25" t="s">
        <v>262</v>
      </c>
      <c r="D129" s="43">
        <v>5600</v>
      </c>
      <c r="E129" s="212"/>
      <c r="F129" s="212"/>
      <c r="G129" s="213"/>
      <c r="H129" s="219">
        <v>0</v>
      </c>
      <c r="I129" s="219">
        <v>0</v>
      </c>
      <c r="J129" s="219">
        <v>0</v>
      </c>
      <c r="K129" s="30"/>
      <c r="L129" s="31"/>
      <c r="M129" s="32"/>
      <c r="N129" s="215" t="s">
        <v>1427</v>
      </c>
      <c r="O129" s="215" t="s">
        <v>33</v>
      </c>
      <c r="P129" s="216" t="s">
        <v>33</v>
      </c>
      <c r="Q129" s="114">
        <f t="shared" si="13"/>
        <v>5600</v>
      </c>
      <c r="R129" s="114">
        <v>0</v>
      </c>
      <c r="S129" s="36">
        <f t="shared" si="14"/>
        <v>5600</v>
      </c>
    </row>
    <row r="130" spans="1:21" ht="22.5" customHeight="1" x14ac:dyDescent="0.5">
      <c r="A130" s="23">
        <v>13</v>
      </c>
      <c r="B130" s="73" t="s">
        <v>264</v>
      </c>
      <c r="C130" s="25" t="s">
        <v>265</v>
      </c>
      <c r="D130" s="43">
        <v>5600</v>
      </c>
      <c r="E130" s="212"/>
      <c r="F130" s="212"/>
      <c r="G130" s="213"/>
      <c r="H130" s="219">
        <v>0</v>
      </c>
      <c r="I130" s="219">
        <v>0</v>
      </c>
      <c r="J130" s="219">
        <v>0</v>
      </c>
      <c r="K130" s="30"/>
      <c r="L130" s="31"/>
      <c r="M130" s="32"/>
      <c r="N130" s="215" t="s">
        <v>1427</v>
      </c>
      <c r="O130" s="215" t="s">
        <v>33</v>
      </c>
      <c r="P130" s="216" t="s">
        <v>33</v>
      </c>
      <c r="Q130" s="114">
        <f t="shared" si="13"/>
        <v>5600</v>
      </c>
      <c r="R130" s="114">
        <v>0</v>
      </c>
      <c r="S130" s="36">
        <f t="shared" si="14"/>
        <v>5600</v>
      </c>
    </row>
    <row r="131" spans="1:21" ht="22.5" customHeight="1" x14ac:dyDescent="0.5">
      <c r="A131" s="23">
        <v>14</v>
      </c>
      <c r="B131" s="73" t="s">
        <v>266</v>
      </c>
      <c r="C131" s="25" t="s">
        <v>267</v>
      </c>
      <c r="D131" s="43">
        <v>5600</v>
      </c>
      <c r="E131" s="212"/>
      <c r="F131" s="212"/>
      <c r="G131" s="213"/>
      <c r="H131" s="219">
        <v>0</v>
      </c>
      <c r="I131" s="219">
        <v>0</v>
      </c>
      <c r="J131" s="219">
        <v>0</v>
      </c>
      <c r="K131" s="30" t="s">
        <v>1419</v>
      </c>
      <c r="L131" s="31" t="s">
        <v>1501</v>
      </c>
      <c r="M131" s="32">
        <v>5600</v>
      </c>
      <c r="N131" s="297"/>
      <c r="O131" s="297"/>
      <c r="P131" s="216"/>
      <c r="Q131" s="114">
        <f t="shared" si="13"/>
        <v>0</v>
      </c>
      <c r="R131" s="114">
        <v>0</v>
      </c>
      <c r="S131" s="36">
        <f t="shared" si="14"/>
        <v>0</v>
      </c>
    </row>
    <row r="132" spans="1:21" ht="22.5" customHeight="1" x14ac:dyDescent="0.5">
      <c r="A132" s="23"/>
      <c r="B132" s="301" t="s">
        <v>269</v>
      </c>
      <c r="C132" s="25"/>
      <c r="D132" s="43"/>
      <c r="E132" s="302"/>
      <c r="F132" s="302"/>
      <c r="G132" s="303"/>
      <c r="H132" s="304">
        <v>0</v>
      </c>
      <c r="I132" s="304">
        <v>0</v>
      </c>
      <c r="J132" s="304">
        <v>0</v>
      </c>
      <c r="K132" s="30"/>
      <c r="L132" s="31"/>
      <c r="M132" s="32"/>
      <c r="N132" s="297"/>
      <c r="O132" s="297"/>
      <c r="P132" s="216"/>
      <c r="Q132" s="114">
        <f t="shared" si="13"/>
        <v>0</v>
      </c>
      <c r="R132" s="114">
        <v>0</v>
      </c>
      <c r="S132" s="36">
        <f t="shared" si="14"/>
        <v>0</v>
      </c>
    </row>
    <row r="133" spans="1:21" ht="22.5" customHeight="1" x14ac:dyDescent="0.5">
      <c r="A133" s="23">
        <v>1</v>
      </c>
      <c r="B133" s="73" t="s">
        <v>270</v>
      </c>
      <c r="C133" s="25" t="s">
        <v>271</v>
      </c>
      <c r="D133" s="43">
        <v>9450</v>
      </c>
      <c r="E133" s="212"/>
      <c r="F133" s="212"/>
      <c r="G133" s="213"/>
      <c r="H133" s="219">
        <v>0</v>
      </c>
      <c r="I133" s="219">
        <v>0</v>
      </c>
      <c r="J133" s="219">
        <v>0</v>
      </c>
      <c r="K133" s="30" t="s">
        <v>1419</v>
      </c>
      <c r="L133" s="31" t="s">
        <v>1502</v>
      </c>
      <c r="M133" s="32">
        <v>9450</v>
      </c>
      <c r="N133" s="307"/>
      <c r="O133" s="307"/>
      <c r="P133" s="308"/>
      <c r="Q133" s="114">
        <f t="shared" si="13"/>
        <v>0</v>
      </c>
      <c r="R133" s="114">
        <v>0</v>
      </c>
      <c r="S133" s="36">
        <f t="shared" si="14"/>
        <v>0</v>
      </c>
    </row>
    <row r="134" spans="1:21" ht="22.5" customHeight="1" x14ac:dyDescent="0.5">
      <c r="A134" s="23">
        <v>2</v>
      </c>
      <c r="B134" s="73" t="s">
        <v>261</v>
      </c>
      <c r="C134" s="25" t="s">
        <v>273</v>
      </c>
      <c r="D134" s="43">
        <v>9450</v>
      </c>
      <c r="E134" s="212"/>
      <c r="F134" s="212"/>
      <c r="G134" s="213"/>
      <c r="H134" s="219">
        <v>0</v>
      </c>
      <c r="I134" s="219">
        <v>0</v>
      </c>
      <c r="J134" s="219">
        <v>0</v>
      </c>
      <c r="K134" s="30"/>
      <c r="L134" s="31"/>
      <c r="M134" s="32"/>
      <c r="N134" s="215" t="s">
        <v>1427</v>
      </c>
      <c r="O134" s="215" t="s">
        <v>33</v>
      </c>
      <c r="P134" s="216" t="s">
        <v>33</v>
      </c>
      <c r="Q134" s="114">
        <f t="shared" si="13"/>
        <v>9450</v>
      </c>
      <c r="R134" s="114">
        <v>0</v>
      </c>
      <c r="S134" s="36">
        <f t="shared" si="14"/>
        <v>9450</v>
      </c>
    </row>
    <row r="135" spans="1:21" ht="22.5" customHeight="1" x14ac:dyDescent="0.5">
      <c r="A135" s="23">
        <v>3</v>
      </c>
      <c r="B135" s="73" t="s">
        <v>274</v>
      </c>
      <c r="C135" s="25" t="s">
        <v>275</v>
      </c>
      <c r="D135" s="43">
        <v>3150</v>
      </c>
      <c r="E135" s="212"/>
      <c r="F135" s="212"/>
      <c r="G135" s="213"/>
      <c r="H135" s="219">
        <v>0</v>
      </c>
      <c r="I135" s="219">
        <v>0</v>
      </c>
      <c r="J135" s="219">
        <v>0</v>
      </c>
      <c r="K135" s="30" t="s">
        <v>1433</v>
      </c>
      <c r="L135" s="31" t="s">
        <v>1503</v>
      </c>
      <c r="M135" s="32">
        <v>3150</v>
      </c>
      <c r="N135" s="297"/>
      <c r="O135" s="297"/>
      <c r="P135" s="216"/>
      <c r="Q135" s="114">
        <f t="shared" si="13"/>
        <v>0</v>
      </c>
      <c r="R135" s="114">
        <v>0</v>
      </c>
      <c r="S135" s="36">
        <f t="shared" si="14"/>
        <v>0</v>
      </c>
      <c r="T135" s="2"/>
    </row>
    <row r="136" spans="1:21" ht="22.5" customHeight="1" x14ac:dyDescent="0.5">
      <c r="A136" s="23">
        <v>4</v>
      </c>
      <c r="B136" s="73" t="s">
        <v>277</v>
      </c>
      <c r="C136" s="25" t="s">
        <v>278</v>
      </c>
      <c r="D136" s="43">
        <v>6300</v>
      </c>
      <c r="E136" s="212"/>
      <c r="F136" s="212"/>
      <c r="G136" s="213"/>
      <c r="H136" s="219">
        <v>0</v>
      </c>
      <c r="I136" s="219">
        <v>0</v>
      </c>
      <c r="J136" s="219">
        <v>0</v>
      </c>
      <c r="K136" s="30" t="s">
        <v>1421</v>
      </c>
      <c r="L136" s="31" t="s">
        <v>1504</v>
      </c>
      <c r="M136" s="32">
        <v>6300</v>
      </c>
      <c r="N136" s="297"/>
      <c r="O136" s="297"/>
      <c r="P136" s="216"/>
      <c r="Q136" s="114">
        <f t="shared" si="13"/>
        <v>0</v>
      </c>
      <c r="R136" s="114">
        <v>0</v>
      </c>
      <c r="S136" s="36">
        <f t="shared" si="14"/>
        <v>0</v>
      </c>
      <c r="T136" s="2"/>
    </row>
    <row r="137" spans="1:21" ht="22.5" customHeight="1" x14ac:dyDescent="0.5">
      <c r="A137" s="23"/>
      <c r="B137" s="301" t="s">
        <v>280</v>
      </c>
      <c r="C137" s="25"/>
      <c r="D137" s="43"/>
      <c r="E137" s="302"/>
      <c r="F137" s="302"/>
      <c r="G137" s="303"/>
      <c r="H137" s="304">
        <v>0</v>
      </c>
      <c r="I137" s="304">
        <v>0</v>
      </c>
      <c r="J137" s="304">
        <v>0</v>
      </c>
      <c r="K137" s="30"/>
      <c r="L137" s="31"/>
      <c r="M137" s="32"/>
      <c r="N137" s="297"/>
      <c r="O137" s="297"/>
      <c r="P137" s="216"/>
      <c r="Q137" s="114">
        <f t="shared" si="13"/>
        <v>0</v>
      </c>
      <c r="R137" s="114">
        <v>0</v>
      </c>
      <c r="S137" s="36">
        <f t="shared" si="14"/>
        <v>0</v>
      </c>
      <c r="T137" s="2"/>
    </row>
    <row r="138" spans="1:21" ht="22.5" customHeight="1" x14ac:dyDescent="0.5">
      <c r="A138" s="23">
        <v>1</v>
      </c>
      <c r="B138" s="73" t="s">
        <v>281</v>
      </c>
      <c r="C138" s="25" t="s">
        <v>282</v>
      </c>
      <c r="D138" s="43">
        <v>5600</v>
      </c>
      <c r="E138" s="212" t="s">
        <v>1192</v>
      </c>
      <c r="F138" s="212" t="s">
        <v>33</v>
      </c>
      <c r="G138" s="213"/>
      <c r="H138" s="219">
        <v>5600</v>
      </c>
      <c r="I138" s="219">
        <v>0</v>
      </c>
      <c r="J138" s="219">
        <v>5600</v>
      </c>
      <c r="K138" s="30" t="s">
        <v>1433</v>
      </c>
      <c r="L138" s="31" t="s">
        <v>1505</v>
      </c>
      <c r="M138" s="32">
        <v>5600</v>
      </c>
      <c r="N138" s="215" t="s">
        <v>1427</v>
      </c>
      <c r="O138" s="215" t="s">
        <v>33</v>
      </c>
      <c r="P138" s="216" t="s">
        <v>33</v>
      </c>
      <c r="Q138" s="114">
        <f t="shared" si="13"/>
        <v>5600</v>
      </c>
      <c r="R138" s="114">
        <v>0</v>
      </c>
      <c r="S138" s="36">
        <f t="shared" si="14"/>
        <v>5600</v>
      </c>
      <c r="T138" s="2"/>
    </row>
    <row r="139" spans="1:21" ht="22.5" customHeight="1" x14ac:dyDescent="0.5">
      <c r="A139" s="23">
        <v>2</v>
      </c>
      <c r="B139" s="73" t="s">
        <v>287</v>
      </c>
      <c r="C139" s="25" t="s">
        <v>288</v>
      </c>
      <c r="D139" s="43">
        <v>5600</v>
      </c>
      <c r="E139" s="212"/>
      <c r="F139" s="212"/>
      <c r="G139" s="213"/>
      <c r="H139" s="219">
        <v>0</v>
      </c>
      <c r="I139" s="219">
        <v>0</v>
      </c>
      <c r="J139" s="219">
        <v>0</v>
      </c>
      <c r="K139" s="30" t="s">
        <v>1423</v>
      </c>
      <c r="L139" s="31" t="s">
        <v>1506</v>
      </c>
      <c r="M139" s="32">
        <v>5600</v>
      </c>
      <c r="N139" s="215"/>
      <c r="O139" s="215"/>
      <c r="P139" s="216"/>
      <c r="Q139" s="114">
        <f t="shared" si="13"/>
        <v>0</v>
      </c>
      <c r="R139" s="114">
        <v>0</v>
      </c>
      <c r="S139" s="36">
        <f t="shared" si="14"/>
        <v>0</v>
      </c>
      <c r="T139" s="2"/>
    </row>
    <row r="140" spans="1:21" ht="22.5" customHeight="1" x14ac:dyDescent="0.5">
      <c r="A140" s="23">
        <v>3</v>
      </c>
      <c r="B140" s="73" t="s">
        <v>290</v>
      </c>
      <c r="C140" s="25" t="s">
        <v>291</v>
      </c>
      <c r="D140" s="43">
        <v>5600</v>
      </c>
      <c r="E140" s="212"/>
      <c r="F140" s="212"/>
      <c r="G140" s="213"/>
      <c r="H140" s="219">
        <v>0</v>
      </c>
      <c r="I140" s="219">
        <v>0</v>
      </c>
      <c r="J140" s="219">
        <v>0</v>
      </c>
      <c r="K140" s="30" t="s">
        <v>1421</v>
      </c>
      <c r="L140" s="31" t="s">
        <v>1507</v>
      </c>
      <c r="M140" s="32">
        <v>5600</v>
      </c>
      <c r="N140" s="215"/>
      <c r="O140" s="215"/>
      <c r="P140" s="216"/>
      <c r="Q140" s="114">
        <f t="shared" si="13"/>
        <v>0</v>
      </c>
      <c r="R140" s="114">
        <v>0</v>
      </c>
      <c r="S140" s="36">
        <f t="shared" si="14"/>
        <v>0</v>
      </c>
      <c r="T140" s="2"/>
    </row>
    <row r="141" spans="1:21" ht="22.5" customHeight="1" x14ac:dyDescent="0.5">
      <c r="A141" s="23">
        <v>4</v>
      </c>
      <c r="B141" s="73" t="s">
        <v>293</v>
      </c>
      <c r="C141" s="25" t="s">
        <v>294</v>
      </c>
      <c r="D141" s="43">
        <v>2800</v>
      </c>
      <c r="E141" s="212"/>
      <c r="F141" s="212"/>
      <c r="G141" s="213"/>
      <c r="H141" s="219">
        <v>0</v>
      </c>
      <c r="I141" s="219">
        <v>0</v>
      </c>
      <c r="J141" s="219">
        <v>0</v>
      </c>
      <c r="K141" s="30" t="s">
        <v>1419</v>
      </c>
      <c r="L141" s="31" t="s">
        <v>1508</v>
      </c>
      <c r="M141" s="32">
        <v>2800</v>
      </c>
      <c r="N141" s="215"/>
      <c r="O141" s="215"/>
      <c r="P141" s="216"/>
      <c r="Q141" s="114">
        <f t="shared" si="13"/>
        <v>0</v>
      </c>
      <c r="R141" s="114">
        <v>0</v>
      </c>
      <c r="S141" s="36">
        <f t="shared" si="14"/>
        <v>0</v>
      </c>
      <c r="T141" s="2"/>
    </row>
    <row r="142" spans="1:21" ht="22.5" customHeight="1" x14ac:dyDescent="0.5">
      <c r="A142" s="23">
        <v>5</v>
      </c>
      <c r="B142" s="73" t="s">
        <v>296</v>
      </c>
      <c r="C142" s="25" t="s">
        <v>297</v>
      </c>
      <c r="D142" s="43">
        <v>5600</v>
      </c>
      <c r="E142" s="212"/>
      <c r="F142" s="212"/>
      <c r="G142" s="213"/>
      <c r="H142" s="219">
        <v>0</v>
      </c>
      <c r="I142" s="219">
        <v>0</v>
      </c>
      <c r="J142" s="219">
        <v>0</v>
      </c>
      <c r="K142" s="30" t="s">
        <v>1423</v>
      </c>
      <c r="L142" s="31" t="s">
        <v>1509</v>
      </c>
      <c r="M142" s="32">
        <v>5600</v>
      </c>
      <c r="N142" s="297"/>
      <c r="O142" s="297"/>
      <c r="P142" s="216"/>
      <c r="Q142" s="114">
        <f t="shared" si="13"/>
        <v>0</v>
      </c>
      <c r="R142" s="114">
        <v>0</v>
      </c>
      <c r="S142" s="36">
        <f t="shared" si="14"/>
        <v>0</v>
      </c>
      <c r="T142" s="2"/>
      <c r="U142" s="3">
        <v>700</v>
      </c>
    </row>
    <row r="143" spans="1:21" ht="22.5" customHeight="1" x14ac:dyDescent="0.5">
      <c r="A143" s="23"/>
      <c r="B143" s="301" t="s">
        <v>299</v>
      </c>
      <c r="C143" s="25"/>
      <c r="D143" s="43"/>
      <c r="E143" s="302"/>
      <c r="F143" s="302"/>
      <c r="G143" s="303"/>
      <c r="H143" s="304">
        <v>0</v>
      </c>
      <c r="I143" s="304">
        <v>0</v>
      </c>
      <c r="J143" s="304">
        <v>0</v>
      </c>
      <c r="K143" s="30"/>
      <c r="L143" s="31"/>
      <c r="M143" s="32"/>
      <c r="N143" s="297"/>
      <c r="O143" s="297"/>
      <c r="P143" s="216"/>
      <c r="Q143" s="114">
        <f t="shared" si="13"/>
        <v>0</v>
      </c>
      <c r="R143" s="114">
        <v>0</v>
      </c>
      <c r="S143" s="36">
        <f t="shared" si="14"/>
        <v>0</v>
      </c>
      <c r="T143" s="2"/>
    </row>
    <row r="144" spans="1:21" ht="22.5" customHeight="1" x14ac:dyDescent="0.5">
      <c r="A144" s="208">
        <v>1</v>
      </c>
      <c r="B144" s="209" t="s">
        <v>300</v>
      </c>
      <c r="C144" s="210" t="s">
        <v>301</v>
      </c>
      <c r="D144" s="298">
        <v>5600</v>
      </c>
      <c r="E144" s="299"/>
      <c r="F144" s="299"/>
      <c r="G144" s="300"/>
      <c r="H144" s="214">
        <v>0</v>
      </c>
      <c r="I144" s="214">
        <v>0</v>
      </c>
      <c r="J144" s="214">
        <v>0</v>
      </c>
      <c r="K144" s="30"/>
      <c r="L144" s="31"/>
      <c r="M144" s="32"/>
      <c r="N144" s="215" t="s">
        <v>1427</v>
      </c>
      <c r="O144" s="215" t="s">
        <v>33</v>
      </c>
      <c r="P144" s="216" t="s">
        <v>33</v>
      </c>
      <c r="Q144" s="114">
        <f t="shared" si="13"/>
        <v>5600</v>
      </c>
      <c r="R144" s="114">
        <v>0</v>
      </c>
      <c r="S144" s="36">
        <f t="shared" si="14"/>
        <v>5600</v>
      </c>
      <c r="T144" s="2"/>
    </row>
    <row r="145" spans="1:21" ht="22.5" customHeight="1" x14ac:dyDescent="0.5">
      <c r="A145" s="208">
        <v>2</v>
      </c>
      <c r="B145" s="209" t="s">
        <v>303</v>
      </c>
      <c r="C145" s="210" t="s">
        <v>304</v>
      </c>
      <c r="D145" s="298">
        <v>2800</v>
      </c>
      <c r="E145" s="299"/>
      <c r="F145" s="299"/>
      <c r="G145" s="300"/>
      <c r="H145" s="214">
        <v>0</v>
      </c>
      <c r="I145" s="214">
        <v>0</v>
      </c>
      <c r="J145" s="214">
        <v>0</v>
      </c>
      <c r="K145" s="30" t="s">
        <v>1415</v>
      </c>
      <c r="L145" s="249" t="s">
        <v>1510</v>
      </c>
      <c r="M145" s="221">
        <v>2800</v>
      </c>
      <c r="N145" s="215"/>
      <c r="O145" s="215"/>
      <c r="P145" s="216"/>
      <c r="Q145" s="114">
        <f t="shared" si="13"/>
        <v>0</v>
      </c>
      <c r="R145" s="114">
        <v>0</v>
      </c>
      <c r="S145" s="36">
        <f t="shared" si="14"/>
        <v>0</v>
      </c>
      <c r="T145" s="2"/>
    </row>
    <row r="146" spans="1:21" ht="22.5" customHeight="1" x14ac:dyDescent="0.5">
      <c r="A146" s="208">
        <v>3</v>
      </c>
      <c r="B146" s="209" t="s">
        <v>306</v>
      </c>
      <c r="C146" s="210" t="s">
        <v>307</v>
      </c>
      <c r="D146" s="298">
        <v>5600</v>
      </c>
      <c r="E146" s="299"/>
      <c r="F146" s="299"/>
      <c r="G146" s="300"/>
      <c r="H146" s="214">
        <v>0</v>
      </c>
      <c r="I146" s="214">
        <v>0</v>
      </c>
      <c r="J146" s="214">
        <v>0</v>
      </c>
      <c r="K146" s="30" t="s">
        <v>1423</v>
      </c>
      <c r="L146" s="31" t="s">
        <v>1509</v>
      </c>
      <c r="M146" s="32">
        <v>5600</v>
      </c>
      <c r="N146" s="215"/>
      <c r="O146" s="215"/>
      <c r="P146" s="216"/>
      <c r="Q146" s="114">
        <f t="shared" si="13"/>
        <v>0</v>
      </c>
      <c r="R146" s="114">
        <v>0</v>
      </c>
      <c r="S146" s="36">
        <f t="shared" si="14"/>
        <v>0</v>
      </c>
      <c r="T146" s="218"/>
      <c r="U146" s="309"/>
    </row>
    <row r="147" spans="1:21" ht="22.5" customHeight="1" x14ac:dyDescent="0.5">
      <c r="A147" s="208">
        <v>4</v>
      </c>
      <c r="B147" s="73" t="s">
        <v>308</v>
      </c>
      <c r="C147" s="25" t="s">
        <v>309</v>
      </c>
      <c r="D147" s="43">
        <v>8400</v>
      </c>
      <c r="E147" s="212"/>
      <c r="F147" s="212"/>
      <c r="G147" s="213"/>
      <c r="H147" s="219">
        <v>0</v>
      </c>
      <c r="I147" s="219">
        <v>0</v>
      </c>
      <c r="J147" s="219">
        <v>0</v>
      </c>
      <c r="K147" s="30" t="s">
        <v>1433</v>
      </c>
      <c r="L147" s="31" t="s">
        <v>1511</v>
      </c>
      <c r="M147" s="32">
        <v>8400</v>
      </c>
      <c r="N147" s="215"/>
      <c r="O147" s="215"/>
      <c r="P147" s="216"/>
      <c r="Q147" s="114">
        <f t="shared" si="13"/>
        <v>0</v>
      </c>
      <c r="R147" s="114">
        <v>0</v>
      </c>
      <c r="S147" s="36">
        <f t="shared" si="14"/>
        <v>0</v>
      </c>
    </row>
    <row r="148" spans="1:21" ht="22.5" customHeight="1" x14ac:dyDescent="0.5">
      <c r="A148" s="208">
        <v>5</v>
      </c>
      <c r="B148" s="73" t="s">
        <v>261</v>
      </c>
      <c r="C148" s="25" t="s">
        <v>311</v>
      </c>
      <c r="D148" s="43">
        <v>2800</v>
      </c>
      <c r="E148" s="212"/>
      <c r="F148" s="212"/>
      <c r="G148" s="213"/>
      <c r="H148" s="219">
        <v>0</v>
      </c>
      <c r="I148" s="219">
        <v>0</v>
      </c>
      <c r="J148" s="219">
        <v>0</v>
      </c>
      <c r="K148" s="30"/>
      <c r="L148" s="31"/>
      <c r="M148" s="32"/>
      <c r="N148" s="215" t="s">
        <v>1427</v>
      </c>
      <c r="O148" s="215" t="s">
        <v>33</v>
      </c>
      <c r="P148" s="216" t="s">
        <v>33</v>
      </c>
      <c r="Q148" s="114">
        <f t="shared" si="13"/>
        <v>2800</v>
      </c>
      <c r="R148" s="114">
        <v>0</v>
      </c>
      <c r="S148" s="36">
        <f t="shared" si="14"/>
        <v>2800</v>
      </c>
    </row>
    <row r="149" spans="1:21" ht="22.5" customHeight="1" x14ac:dyDescent="0.5">
      <c r="A149" s="148">
        <v>6</v>
      </c>
      <c r="B149" s="310" t="s">
        <v>261</v>
      </c>
      <c r="C149" s="311" t="s">
        <v>312</v>
      </c>
      <c r="D149" s="312">
        <v>2800</v>
      </c>
      <c r="E149" s="27"/>
      <c r="F149" s="27"/>
      <c r="G149" s="75"/>
      <c r="H149" s="76">
        <v>0</v>
      </c>
      <c r="I149" s="76">
        <v>0</v>
      </c>
      <c r="J149" s="76">
        <v>0</v>
      </c>
      <c r="K149" s="30"/>
      <c r="L149" s="31"/>
      <c r="M149" s="32"/>
      <c r="N149" s="215" t="s">
        <v>1427</v>
      </c>
      <c r="O149" s="215" t="s">
        <v>33</v>
      </c>
      <c r="P149" s="216" t="s">
        <v>33</v>
      </c>
      <c r="Q149" s="114">
        <f t="shared" si="13"/>
        <v>2800</v>
      </c>
      <c r="R149" s="114">
        <v>0</v>
      </c>
      <c r="S149" s="36">
        <f t="shared" si="14"/>
        <v>2800</v>
      </c>
    </row>
    <row r="150" spans="1:21" ht="22.5" customHeight="1" x14ac:dyDescent="0.5">
      <c r="A150" s="208">
        <v>7</v>
      </c>
      <c r="B150" s="73" t="s">
        <v>313</v>
      </c>
      <c r="C150" s="25" t="s">
        <v>314</v>
      </c>
      <c r="D150" s="43">
        <v>2800</v>
      </c>
      <c r="E150" s="212"/>
      <c r="F150" s="212"/>
      <c r="G150" s="213"/>
      <c r="H150" s="219">
        <v>0</v>
      </c>
      <c r="I150" s="219">
        <v>0</v>
      </c>
      <c r="J150" s="219">
        <v>0</v>
      </c>
      <c r="K150" s="30" t="s">
        <v>1413</v>
      </c>
      <c r="L150" s="31" t="s">
        <v>1499</v>
      </c>
      <c r="M150" s="32">
        <v>2800</v>
      </c>
      <c r="N150" s="215"/>
      <c r="O150" s="215"/>
      <c r="P150" s="216"/>
      <c r="Q150" s="114">
        <f t="shared" si="13"/>
        <v>0</v>
      </c>
      <c r="R150" s="114">
        <v>0</v>
      </c>
      <c r="S150" s="36">
        <f t="shared" si="14"/>
        <v>0</v>
      </c>
    </row>
    <row r="151" spans="1:21" ht="22.5" customHeight="1" x14ac:dyDescent="0.5">
      <c r="A151" s="23"/>
      <c r="B151" s="301" t="s">
        <v>315</v>
      </c>
      <c r="C151" s="25"/>
      <c r="D151" s="43"/>
      <c r="E151" s="302"/>
      <c r="F151" s="302"/>
      <c r="G151" s="303"/>
      <c r="H151" s="304">
        <v>0</v>
      </c>
      <c r="I151" s="304">
        <v>0</v>
      </c>
      <c r="J151" s="304">
        <v>0</v>
      </c>
      <c r="K151" s="30"/>
      <c r="L151" s="31"/>
      <c r="M151" s="32"/>
      <c r="N151" s="297"/>
      <c r="O151" s="297"/>
      <c r="P151" s="216"/>
      <c r="Q151" s="114">
        <f t="shared" si="13"/>
        <v>0</v>
      </c>
      <c r="R151" s="114">
        <v>0</v>
      </c>
      <c r="S151" s="36">
        <f t="shared" si="14"/>
        <v>0</v>
      </c>
    </row>
    <row r="152" spans="1:21" ht="22.5" customHeight="1" x14ac:dyDescent="0.5">
      <c r="A152" s="23">
        <v>1</v>
      </c>
      <c r="B152" s="73" t="s">
        <v>261</v>
      </c>
      <c r="C152" s="25" t="s">
        <v>316</v>
      </c>
      <c r="D152" s="43">
        <v>2800</v>
      </c>
      <c r="E152" s="212"/>
      <c r="F152" s="212"/>
      <c r="G152" s="213"/>
      <c r="H152" s="219">
        <v>0</v>
      </c>
      <c r="I152" s="219">
        <v>0</v>
      </c>
      <c r="J152" s="219">
        <v>0</v>
      </c>
      <c r="K152" s="30"/>
      <c r="L152" s="31"/>
      <c r="M152" s="32"/>
      <c r="N152" s="215" t="s">
        <v>1427</v>
      </c>
      <c r="O152" s="215" t="s">
        <v>33</v>
      </c>
      <c r="P152" s="216" t="s">
        <v>33</v>
      </c>
      <c r="Q152" s="114">
        <f t="shared" si="13"/>
        <v>2800</v>
      </c>
      <c r="R152" s="114">
        <v>0</v>
      </c>
      <c r="S152" s="36">
        <f t="shared" si="14"/>
        <v>2800</v>
      </c>
    </row>
    <row r="153" spans="1:21" ht="22.5" customHeight="1" x14ac:dyDescent="0.5">
      <c r="A153" s="23">
        <v>2</v>
      </c>
      <c r="B153" s="73" t="s">
        <v>317</v>
      </c>
      <c r="C153" s="25" t="s">
        <v>318</v>
      </c>
      <c r="D153" s="43">
        <v>2800</v>
      </c>
      <c r="E153" s="212"/>
      <c r="F153" s="212"/>
      <c r="G153" s="213"/>
      <c r="H153" s="313">
        <v>0</v>
      </c>
      <c r="I153" s="219">
        <v>0</v>
      </c>
      <c r="J153" s="313">
        <v>0</v>
      </c>
      <c r="K153" s="30" t="s">
        <v>1512</v>
      </c>
      <c r="L153" s="31" t="s">
        <v>1513</v>
      </c>
      <c r="M153" s="32">
        <v>5600</v>
      </c>
      <c r="N153" s="307" t="s">
        <v>1150</v>
      </c>
      <c r="O153" s="307"/>
      <c r="P153" s="307"/>
      <c r="Q153" s="114">
        <f t="shared" si="13"/>
        <v>-2800</v>
      </c>
      <c r="R153" s="114">
        <v>0</v>
      </c>
      <c r="S153" s="36">
        <f t="shared" si="14"/>
        <v>-2800</v>
      </c>
    </row>
    <row r="154" spans="1:21" ht="22.5" customHeight="1" x14ac:dyDescent="0.5">
      <c r="A154" s="23">
        <v>3</v>
      </c>
      <c r="B154" s="73" t="s">
        <v>320</v>
      </c>
      <c r="C154" s="25" t="s">
        <v>321</v>
      </c>
      <c r="D154" s="43">
        <v>2800</v>
      </c>
      <c r="E154" s="212"/>
      <c r="F154" s="212"/>
      <c r="G154" s="213"/>
      <c r="H154" s="219">
        <v>0</v>
      </c>
      <c r="I154" s="219">
        <v>0</v>
      </c>
      <c r="J154" s="219">
        <v>0</v>
      </c>
      <c r="K154" s="30" t="s">
        <v>1514</v>
      </c>
      <c r="L154" s="31" t="s">
        <v>1515</v>
      </c>
      <c r="M154" s="32">
        <v>2800</v>
      </c>
      <c r="N154" s="307"/>
      <c r="O154" s="307"/>
      <c r="P154" s="308"/>
      <c r="Q154" s="114">
        <f t="shared" si="13"/>
        <v>0</v>
      </c>
      <c r="R154" s="114">
        <v>0</v>
      </c>
      <c r="S154" s="36">
        <f t="shared" si="14"/>
        <v>0</v>
      </c>
    </row>
    <row r="155" spans="1:21" ht="22.5" customHeight="1" x14ac:dyDescent="0.5">
      <c r="A155" s="23">
        <v>4</v>
      </c>
      <c r="B155" s="73" t="s">
        <v>322</v>
      </c>
      <c r="C155" s="25" t="s">
        <v>323</v>
      </c>
      <c r="D155" s="43">
        <v>5600</v>
      </c>
      <c r="E155" s="212" t="s">
        <v>1034</v>
      </c>
      <c r="F155" s="212"/>
      <c r="G155" s="213"/>
      <c r="H155" s="219">
        <v>-11200</v>
      </c>
      <c r="I155" s="219">
        <v>0</v>
      </c>
      <c r="J155" s="219">
        <v>-11200</v>
      </c>
      <c r="K155" s="30" t="s">
        <v>1413</v>
      </c>
      <c r="L155" s="31" t="s">
        <v>1516</v>
      </c>
      <c r="M155" s="32">
        <v>5600</v>
      </c>
      <c r="N155" s="314" t="s">
        <v>1034</v>
      </c>
      <c r="O155" s="315"/>
      <c r="P155" s="315"/>
      <c r="Q155" s="114">
        <f t="shared" si="13"/>
        <v>-11200</v>
      </c>
      <c r="R155" s="114">
        <v>0</v>
      </c>
      <c r="S155" s="36">
        <f t="shared" si="14"/>
        <v>-11200</v>
      </c>
    </row>
    <row r="156" spans="1:21" ht="22.5" customHeight="1" x14ac:dyDescent="0.5">
      <c r="A156" s="23">
        <v>5</v>
      </c>
      <c r="B156" s="73" t="s">
        <v>293</v>
      </c>
      <c r="C156" s="25" t="s">
        <v>326</v>
      </c>
      <c r="D156" s="43">
        <v>5600</v>
      </c>
      <c r="E156" s="212"/>
      <c r="F156" s="212"/>
      <c r="G156" s="213"/>
      <c r="H156" s="219">
        <v>0</v>
      </c>
      <c r="I156" s="219">
        <v>0</v>
      </c>
      <c r="J156" s="219">
        <v>0</v>
      </c>
      <c r="K156" s="30" t="s">
        <v>1419</v>
      </c>
      <c r="L156" s="31" t="s">
        <v>1508</v>
      </c>
      <c r="M156" s="32">
        <v>5600</v>
      </c>
      <c r="N156" s="215"/>
      <c r="O156" s="215"/>
      <c r="P156" s="216"/>
      <c r="Q156" s="114">
        <f t="shared" si="13"/>
        <v>0</v>
      </c>
      <c r="R156" s="114">
        <v>0</v>
      </c>
      <c r="S156" s="36">
        <f t="shared" si="14"/>
        <v>0</v>
      </c>
    </row>
    <row r="157" spans="1:21" ht="22.5" customHeight="1" x14ac:dyDescent="0.5">
      <c r="A157" s="23">
        <v>6</v>
      </c>
      <c r="B157" s="73" t="s">
        <v>293</v>
      </c>
      <c r="C157" s="25" t="s">
        <v>327</v>
      </c>
      <c r="D157" s="43">
        <v>5600</v>
      </c>
      <c r="E157" s="212"/>
      <c r="F157" s="212"/>
      <c r="G157" s="213"/>
      <c r="H157" s="219">
        <v>0</v>
      </c>
      <c r="I157" s="219">
        <v>0</v>
      </c>
      <c r="J157" s="219">
        <v>0</v>
      </c>
      <c r="K157" s="30" t="s">
        <v>1419</v>
      </c>
      <c r="L157" s="31" t="s">
        <v>1508</v>
      </c>
      <c r="M157" s="32">
        <v>5600</v>
      </c>
      <c r="N157" s="215"/>
      <c r="O157" s="215"/>
      <c r="P157" s="216"/>
      <c r="Q157" s="114">
        <f t="shared" si="13"/>
        <v>0</v>
      </c>
      <c r="R157" s="114">
        <v>0</v>
      </c>
      <c r="S157" s="36">
        <f t="shared" si="14"/>
        <v>0</v>
      </c>
    </row>
    <row r="158" spans="1:21" s="60" customFormat="1" ht="22.5" customHeight="1" thickBot="1" x14ac:dyDescent="0.35">
      <c r="A158" s="317"/>
      <c r="B158" s="317" t="s">
        <v>15</v>
      </c>
      <c r="C158" s="318"/>
      <c r="D158" s="319">
        <f>SUM(D117:D157)</f>
        <v>222950</v>
      </c>
      <c r="E158" s="320"/>
      <c r="F158" s="320"/>
      <c r="G158" s="321"/>
      <c r="H158" s="319">
        <f>SUM(H117:H157)-H155-H153</f>
        <v>40250</v>
      </c>
      <c r="I158" s="319">
        <f t="shared" ref="I158:J158" si="15">SUM(I117:I157)-I155-I153</f>
        <v>0</v>
      </c>
      <c r="J158" s="319">
        <f t="shared" si="15"/>
        <v>40250</v>
      </c>
      <c r="K158" s="322"/>
      <c r="L158" s="322"/>
      <c r="M158" s="323">
        <f>SUM(M117:M157)</f>
        <v>184800</v>
      </c>
      <c r="N158" s="324"/>
      <c r="O158" s="324"/>
      <c r="P158" s="325"/>
      <c r="Q158" s="323">
        <f>SUM(Q117:Q157)-Q155-Q153</f>
        <v>81200</v>
      </c>
      <c r="R158" s="323">
        <f>SUM(R117:R157)-R155-R153</f>
        <v>0</v>
      </c>
      <c r="S158" s="323">
        <f>SUM(S117:S157)-S155-S153</f>
        <v>81200</v>
      </c>
    </row>
    <row r="159" spans="1:21" ht="22.5" customHeight="1" thickTop="1" x14ac:dyDescent="0.5">
      <c r="A159" s="61"/>
      <c r="B159" s="327" t="s">
        <v>328</v>
      </c>
      <c r="C159" s="63"/>
      <c r="D159" s="64"/>
      <c r="E159" s="65"/>
      <c r="F159" s="65"/>
      <c r="G159" s="66"/>
      <c r="H159" s="67"/>
      <c r="I159" s="67"/>
      <c r="J159" s="67"/>
      <c r="K159" s="286"/>
      <c r="L159" s="286"/>
      <c r="M159" s="328"/>
      <c r="N159" s="69"/>
      <c r="O159" s="69"/>
      <c r="P159" s="70"/>
      <c r="Q159" s="71"/>
      <c r="R159" s="71"/>
      <c r="S159" s="72"/>
    </row>
    <row r="160" spans="1:21" ht="22.5" customHeight="1" x14ac:dyDescent="0.5">
      <c r="A160" s="23">
        <v>1</v>
      </c>
      <c r="B160" s="24" t="s">
        <v>329</v>
      </c>
      <c r="C160" s="25" t="s">
        <v>330</v>
      </c>
      <c r="D160" s="43">
        <v>130536.37</v>
      </c>
      <c r="E160" s="212"/>
      <c r="F160" s="212"/>
      <c r="G160" s="213"/>
      <c r="H160" s="219">
        <v>0</v>
      </c>
      <c r="I160" s="329">
        <v>0</v>
      </c>
      <c r="J160" s="329">
        <v>0</v>
      </c>
      <c r="K160" s="30" t="s">
        <v>1433</v>
      </c>
      <c r="L160" s="31" t="s">
        <v>1517</v>
      </c>
      <c r="M160" s="32">
        <v>130536.37</v>
      </c>
      <c r="N160" s="41"/>
      <c r="O160" s="41"/>
      <c r="P160" s="34"/>
      <c r="Q160" s="330">
        <f>SUM(D160+J160-M160)</f>
        <v>0</v>
      </c>
      <c r="R160" s="330">
        <v>0</v>
      </c>
      <c r="S160" s="36">
        <f>SUM(D160+J160-M160)</f>
        <v>0</v>
      </c>
    </row>
    <row r="161" spans="1:19" ht="22.5" customHeight="1" x14ac:dyDescent="0.5">
      <c r="A161" s="23">
        <v>2</v>
      </c>
      <c r="B161" s="24" t="s">
        <v>329</v>
      </c>
      <c r="C161" s="25" t="s">
        <v>331</v>
      </c>
      <c r="D161" s="64">
        <v>96520.67</v>
      </c>
      <c r="E161" s="212"/>
      <c r="F161" s="212"/>
      <c r="G161" s="213"/>
      <c r="H161" s="219">
        <v>0</v>
      </c>
      <c r="I161" s="329">
        <v>0</v>
      </c>
      <c r="J161" s="329">
        <v>0</v>
      </c>
      <c r="K161" s="30" t="s">
        <v>1433</v>
      </c>
      <c r="L161" s="31" t="s">
        <v>1518</v>
      </c>
      <c r="M161" s="32">
        <v>96520.67</v>
      </c>
      <c r="N161" s="41"/>
      <c r="O161" s="41"/>
      <c r="P161" s="34"/>
      <c r="Q161" s="330">
        <f t="shared" ref="Q161:Q167" si="16">SUM(D161+J161-M161)</f>
        <v>0</v>
      </c>
      <c r="R161" s="330">
        <v>0</v>
      </c>
      <c r="S161" s="36">
        <f t="shared" ref="S161:S167" si="17">SUM(D161+J161-M161)</f>
        <v>0</v>
      </c>
    </row>
    <row r="162" spans="1:19" ht="22.5" customHeight="1" x14ac:dyDescent="0.5">
      <c r="A162" s="23">
        <v>3</v>
      </c>
      <c r="B162" s="24" t="s">
        <v>332</v>
      </c>
      <c r="C162" s="25" t="s">
        <v>333</v>
      </c>
      <c r="D162" s="43">
        <v>63810</v>
      </c>
      <c r="E162" s="212"/>
      <c r="F162" s="212"/>
      <c r="G162" s="213"/>
      <c r="H162" s="329">
        <v>0</v>
      </c>
      <c r="I162" s="329">
        <v>0</v>
      </c>
      <c r="J162" s="329">
        <v>0</v>
      </c>
      <c r="K162" s="30" t="s">
        <v>1519</v>
      </c>
      <c r="L162" s="31" t="s">
        <v>1520</v>
      </c>
      <c r="M162" s="32">
        <v>63810</v>
      </c>
      <c r="N162" s="41"/>
      <c r="O162" s="41"/>
      <c r="P162" s="34"/>
      <c r="Q162" s="330">
        <f t="shared" si="16"/>
        <v>0</v>
      </c>
      <c r="R162" s="330">
        <v>0</v>
      </c>
      <c r="S162" s="36">
        <f t="shared" si="17"/>
        <v>0</v>
      </c>
    </row>
    <row r="163" spans="1:19" ht="22.5" customHeight="1" x14ac:dyDescent="0.5">
      <c r="A163" s="331">
        <v>4</v>
      </c>
      <c r="B163" s="332" t="s">
        <v>335</v>
      </c>
      <c r="C163" s="81" t="s">
        <v>336</v>
      </c>
      <c r="D163" s="333">
        <v>60170</v>
      </c>
      <c r="E163" s="234"/>
      <c r="F163" s="234"/>
      <c r="G163" s="228"/>
      <c r="H163" s="334">
        <v>0</v>
      </c>
      <c r="I163" s="334">
        <v>0</v>
      </c>
      <c r="J163" s="334">
        <v>0</v>
      </c>
      <c r="K163" s="335" t="s">
        <v>1521</v>
      </c>
      <c r="L163" s="336" t="s">
        <v>1522</v>
      </c>
      <c r="M163" s="337">
        <v>60170</v>
      </c>
      <c r="N163" s="338"/>
      <c r="O163" s="338"/>
      <c r="P163" s="112"/>
      <c r="Q163" s="330">
        <f t="shared" si="16"/>
        <v>0</v>
      </c>
      <c r="R163" s="339">
        <v>0</v>
      </c>
      <c r="S163" s="36">
        <f t="shared" si="17"/>
        <v>0</v>
      </c>
    </row>
    <row r="164" spans="1:19" ht="22.5" customHeight="1" x14ac:dyDescent="0.5">
      <c r="A164" s="23">
        <v>5</v>
      </c>
      <c r="B164" s="24" t="s">
        <v>338</v>
      </c>
      <c r="C164" s="25" t="s">
        <v>339</v>
      </c>
      <c r="D164" s="341">
        <v>23527.65</v>
      </c>
      <c r="E164" s="212"/>
      <c r="F164" s="212"/>
      <c r="G164" s="213"/>
      <c r="H164" s="219">
        <v>0</v>
      </c>
      <c r="I164" s="329">
        <v>0</v>
      </c>
      <c r="J164" s="329">
        <v>0</v>
      </c>
      <c r="K164" s="335" t="s">
        <v>1419</v>
      </c>
      <c r="L164" s="336" t="s">
        <v>1523</v>
      </c>
      <c r="M164" s="342">
        <v>23527.65</v>
      </c>
      <c r="N164" s="41"/>
      <c r="O164" s="41"/>
      <c r="P164" s="34"/>
      <c r="Q164" s="330">
        <f t="shared" si="16"/>
        <v>0</v>
      </c>
      <c r="R164" s="330">
        <v>0</v>
      </c>
      <c r="S164" s="36">
        <f t="shared" si="17"/>
        <v>0</v>
      </c>
    </row>
    <row r="165" spans="1:19" ht="22.5" customHeight="1" x14ac:dyDescent="0.5">
      <c r="A165" s="61">
        <v>6</v>
      </c>
      <c r="B165" s="343" t="s">
        <v>341</v>
      </c>
      <c r="C165" s="165" t="s">
        <v>342</v>
      </c>
      <c r="D165" s="344">
        <v>20715.32</v>
      </c>
      <c r="E165" s="167"/>
      <c r="F165" s="167"/>
      <c r="G165" s="213"/>
      <c r="H165" s="219">
        <v>0</v>
      </c>
      <c r="I165" s="329">
        <v>0</v>
      </c>
      <c r="J165" s="329">
        <v>0</v>
      </c>
      <c r="K165" s="345" t="s">
        <v>1423</v>
      </c>
      <c r="L165" s="346" t="s">
        <v>1524</v>
      </c>
      <c r="M165" s="347">
        <v>20715.32</v>
      </c>
      <c r="N165" s="41"/>
      <c r="O165" s="41"/>
      <c r="P165" s="34"/>
      <c r="Q165" s="330">
        <f t="shared" si="16"/>
        <v>0</v>
      </c>
      <c r="R165" s="330">
        <v>0</v>
      </c>
      <c r="S165" s="36">
        <f t="shared" si="17"/>
        <v>0</v>
      </c>
    </row>
    <row r="166" spans="1:19" ht="22.5" customHeight="1" x14ac:dyDescent="0.5">
      <c r="A166" s="331">
        <v>7</v>
      </c>
      <c r="B166" s="332" t="s">
        <v>344</v>
      </c>
      <c r="C166" s="81" t="s">
        <v>345</v>
      </c>
      <c r="D166" s="348">
        <v>21986</v>
      </c>
      <c r="E166" s="349"/>
      <c r="F166" s="886"/>
      <c r="G166" s="213"/>
      <c r="H166" s="219">
        <v>0</v>
      </c>
      <c r="I166" s="329">
        <v>0</v>
      </c>
      <c r="J166" s="329">
        <v>0</v>
      </c>
      <c r="K166" s="182" t="s">
        <v>1417</v>
      </c>
      <c r="L166" s="350" t="s">
        <v>1525</v>
      </c>
      <c r="M166" s="337">
        <v>21986</v>
      </c>
      <c r="N166" s="41"/>
      <c r="O166" s="41"/>
      <c r="P166" s="34"/>
      <c r="Q166" s="330">
        <f t="shared" si="16"/>
        <v>0</v>
      </c>
      <c r="R166" s="339">
        <v>0</v>
      </c>
      <c r="S166" s="36">
        <f t="shared" si="17"/>
        <v>0</v>
      </c>
    </row>
    <row r="167" spans="1:19" s="356" customFormat="1" ht="22.5" customHeight="1" x14ac:dyDescent="0.5">
      <c r="A167" s="253">
        <v>8</v>
      </c>
      <c r="B167" s="24" t="s">
        <v>347</v>
      </c>
      <c r="C167" s="351" t="s">
        <v>348</v>
      </c>
      <c r="D167" s="352">
        <v>20000</v>
      </c>
      <c r="E167" s="353"/>
      <c r="F167" s="887"/>
      <c r="G167" s="228"/>
      <c r="H167" s="329">
        <v>0</v>
      </c>
      <c r="I167" s="329">
        <v>0</v>
      </c>
      <c r="J167" s="329">
        <v>0</v>
      </c>
      <c r="K167" s="30" t="s">
        <v>1417</v>
      </c>
      <c r="L167" s="31" t="s">
        <v>1526</v>
      </c>
      <c r="M167" s="32">
        <v>20000</v>
      </c>
      <c r="N167" s="354"/>
      <c r="O167" s="354"/>
      <c r="P167" s="355"/>
      <c r="Q167" s="330">
        <f t="shared" si="16"/>
        <v>0</v>
      </c>
      <c r="R167" s="330">
        <v>0</v>
      </c>
      <c r="S167" s="36">
        <f t="shared" si="17"/>
        <v>0</v>
      </c>
    </row>
    <row r="168" spans="1:19" s="60" customFormat="1" ht="22.5" customHeight="1" thickBot="1" x14ac:dyDescent="0.35">
      <c r="A168" s="317"/>
      <c r="B168" s="317" t="s">
        <v>15</v>
      </c>
      <c r="C168" s="357"/>
      <c r="D168" s="358">
        <f>SUM(D160:D167)</f>
        <v>437266.01</v>
      </c>
      <c r="E168" s="320"/>
      <c r="F168" s="320"/>
      <c r="G168" s="321"/>
      <c r="H168" s="359">
        <f>SUM(H160:H167)</f>
        <v>0</v>
      </c>
      <c r="I168" s="359">
        <f>SUM(I160:I167)</f>
        <v>0</v>
      </c>
      <c r="J168" s="359">
        <f>SUM(J160:J167)</f>
        <v>0</v>
      </c>
      <c r="K168" s="360"/>
      <c r="L168" s="361"/>
      <c r="M168" s="358">
        <f>SUM(M160:M167)</f>
        <v>437266.01</v>
      </c>
      <c r="N168" s="362"/>
      <c r="O168" s="362"/>
      <c r="P168" s="363"/>
      <c r="Q168" s="364">
        <f>SUM(Q160:Q167)</f>
        <v>0</v>
      </c>
      <c r="R168" s="364">
        <f>SUM(R160:R167)</f>
        <v>0</v>
      </c>
      <c r="S168" s="364">
        <f>SUM(S160:S167)</f>
        <v>0</v>
      </c>
    </row>
    <row r="169" spans="1:19" ht="22.5" customHeight="1" thickTop="1" x14ac:dyDescent="0.3">
      <c r="A169" s="115"/>
      <c r="B169" s="164" t="s">
        <v>350</v>
      </c>
      <c r="C169" s="366"/>
      <c r="D169" s="86"/>
      <c r="E169" s="167"/>
      <c r="F169" s="167"/>
      <c r="G169" s="168"/>
      <c r="H169" s="255"/>
      <c r="I169" s="255"/>
      <c r="J169" s="255"/>
      <c r="K169" s="367"/>
      <c r="L169" s="368"/>
      <c r="M169" s="369"/>
      <c r="N169" s="117"/>
      <c r="O169" s="117"/>
      <c r="P169" s="118"/>
      <c r="Q169" s="172"/>
      <c r="R169" s="172"/>
      <c r="S169" s="370"/>
    </row>
    <row r="170" spans="1:19" ht="22.5" customHeight="1" x14ac:dyDescent="0.5">
      <c r="A170" s="23">
        <v>1</v>
      </c>
      <c r="B170" s="290" t="s">
        <v>147</v>
      </c>
      <c r="C170" s="371" t="s">
        <v>351</v>
      </c>
      <c r="D170" s="43">
        <v>1400</v>
      </c>
      <c r="E170" s="212"/>
      <c r="F170" s="212"/>
      <c r="G170" s="213"/>
      <c r="H170" s="219">
        <v>0</v>
      </c>
      <c r="I170" s="219">
        <v>0</v>
      </c>
      <c r="J170" s="219">
        <v>0</v>
      </c>
      <c r="K170" s="30" t="s">
        <v>1419</v>
      </c>
      <c r="L170" s="220" t="s">
        <v>1531</v>
      </c>
      <c r="M170" s="221">
        <v>1400</v>
      </c>
      <c r="N170" s="372"/>
      <c r="O170" s="372"/>
      <c r="P170" s="373"/>
      <c r="Q170" s="114">
        <f t="shared" ref="Q170:Q175" si="18">SUM(D170+J170-M170)</f>
        <v>0</v>
      </c>
      <c r="R170" s="114">
        <v>0</v>
      </c>
      <c r="S170" s="36">
        <f t="shared" ref="S170:S175" si="19">SUM(Q170)</f>
        <v>0</v>
      </c>
    </row>
    <row r="171" spans="1:19" ht="22.5" customHeight="1" x14ac:dyDescent="0.5">
      <c r="A171" s="23">
        <v>2</v>
      </c>
      <c r="B171" s="290" t="s">
        <v>353</v>
      </c>
      <c r="C171" s="371" t="s">
        <v>354</v>
      </c>
      <c r="D171" s="43">
        <v>11000</v>
      </c>
      <c r="E171" s="212"/>
      <c r="F171" s="212"/>
      <c r="G171" s="213"/>
      <c r="H171" s="219">
        <v>0</v>
      </c>
      <c r="I171" s="219">
        <v>1</v>
      </c>
      <c r="J171" s="219">
        <v>0</v>
      </c>
      <c r="K171" s="30"/>
      <c r="L171" s="220"/>
      <c r="M171" s="221"/>
      <c r="N171" s="215" t="s">
        <v>1427</v>
      </c>
      <c r="O171" s="215" t="s">
        <v>33</v>
      </c>
      <c r="P171" s="216" t="s">
        <v>33</v>
      </c>
      <c r="Q171" s="114">
        <f t="shared" si="18"/>
        <v>11000</v>
      </c>
      <c r="R171" s="114">
        <v>1</v>
      </c>
      <c r="S171" s="36">
        <f t="shared" si="19"/>
        <v>11000</v>
      </c>
    </row>
    <row r="172" spans="1:19" ht="22.5" customHeight="1" x14ac:dyDescent="0.5">
      <c r="A172" s="23">
        <v>3</v>
      </c>
      <c r="B172" s="290" t="s">
        <v>355</v>
      </c>
      <c r="C172" s="371" t="s">
        <v>356</v>
      </c>
      <c r="D172" s="43">
        <v>9400</v>
      </c>
      <c r="E172" s="212" t="s">
        <v>1192</v>
      </c>
      <c r="F172" s="212" t="s">
        <v>33</v>
      </c>
      <c r="G172" s="213" t="s">
        <v>33</v>
      </c>
      <c r="H172" s="219">
        <v>9400</v>
      </c>
      <c r="I172" s="219">
        <v>2</v>
      </c>
      <c r="J172" s="219">
        <v>9400</v>
      </c>
      <c r="K172" s="30" t="s">
        <v>1413</v>
      </c>
      <c r="L172" s="220" t="s">
        <v>1533</v>
      </c>
      <c r="M172" s="221">
        <v>9400</v>
      </c>
      <c r="N172" s="215" t="s">
        <v>1427</v>
      </c>
      <c r="O172" s="215" t="s">
        <v>33</v>
      </c>
      <c r="P172" s="216" t="s">
        <v>33</v>
      </c>
      <c r="Q172" s="114">
        <f t="shared" si="18"/>
        <v>9400</v>
      </c>
      <c r="R172" s="114">
        <v>2</v>
      </c>
      <c r="S172" s="36">
        <f t="shared" si="19"/>
        <v>9400</v>
      </c>
    </row>
    <row r="173" spans="1:19" ht="22.5" customHeight="1" x14ac:dyDescent="0.5">
      <c r="A173" s="331">
        <v>5</v>
      </c>
      <c r="B173" s="374" t="s">
        <v>358</v>
      </c>
      <c r="C173" s="375" t="s">
        <v>356</v>
      </c>
      <c r="D173" s="79">
        <v>9810</v>
      </c>
      <c r="E173" s="234" t="s">
        <v>1192</v>
      </c>
      <c r="F173" s="234" t="s">
        <v>33</v>
      </c>
      <c r="G173" s="228" t="s">
        <v>33</v>
      </c>
      <c r="H173" s="219">
        <v>9810</v>
      </c>
      <c r="I173" s="219">
        <v>3</v>
      </c>
      <c r="J173" s="219">
        <v>9810</v>
      </c>
      <c r="K173" s="38" t="s">
        <v>1415</v>
      </c>
      <c r="L173" s="376" t="s">
        <v>1534</v>
      </c>
      <c r="M173" s="246">
        <v>9810</v>
      </c>
      <c r="N173" s="215" t="s">
        <v>1427</v>
      </c>
      <c r="O173" s="937" t="s">
        <v>33</v>
      </c>
      <c r="P173" s="216" t="s">
        <v>33</v>
      </c>
      <c r="Q173" s="114">
        <f t="shared" si="18"/>
        <v>9810</v>
      </c>
      <c r="R173" s="114">
        <v>3</v>
      </c>
      <c r="S173" s="36">
        <f t="shared" si="19"/>
        <v>9810</v>
      </c>
    </row>
    <row r="174" spans="1:19" ht="22.5" customHeight="1" x14ac:dyDescent="0.5">
      <c r="A174" s="377">
        <v>6</v>
      </c>
      <c r="B174" s="378" t="s">
        <v>359</v>
      </c>
      <c r="C174" s="311" t="s">
        <v>360</v>
      </c>
      <c r="D174" s="379">
        <v>6000</v>
      </c>
      <c r="E174" s="380"/>
      <c r="F174" s="380"/>
      <c r="G174" s="75"/>
      <c r="H174" s="76">
        <v>0</v>
      </c>
      <c r="I174" s="219">
        <v>4</v>
      </c>
      <c r="J174" s="76">
        <v>0</v>
      </c>
      <c r="K174" s="38" t="s">
        <v>1419</v>
      </c>
      <c r="L174" s="376" t="s">
        <v>1535</v>
      </c>
      <c r="M174" s="246">
        <v>6000</v>
      </c>
      <c r="N174" s="247"/>
      <c r="O174" s="247"/>
      <c r="P174" s="248"/>
      <c r="Q174" s="114">
        <f t="shared" si="18"/>
        <v>0</v>
      </c>
      <c r="R174" s="114">
        <v>4</v>
      </c>
      <c r="S174" s="36">
        <f t="shared" si="19"/>
        <v>0</v>
      </c>
    </row>
    <row r="175" spans="1:19" ht="22.5" customHeight="1" x14ac:dyDescent="0.5">
      <c r="A175" s="381">
        <v>7</v>
      </c>
      <c r="B175" s="149" t="s">
        <v>281</v>
      </c>
      <c r="C175" s="311" t="s">
        <v>360</v>
      </c>
      <c r="D175" s="382">
        <v>3000</v>
      </c>
      <c r="E175" s="96"/>
      <c r="F175" s="96"/>
      <c r="G175" s="97"/>
      <c r="H175" s="76">
        <v>0</v>
      </c>
      <c r="I175" s="219">
        <v>5</v>
      </c>
      <c r="J175" s="76">
        <v>0</v>
      </c>
      <c r="K175" s="30" t="s">
        <v>1433</v>
      </c>
      <c r="L175" s="31" t="s">
        <v>1536</v>
      </c>
      <c r="M175" s="32">
        <v>3000</v>
      </c>
      <c r="N175" s="215"/>
      <c r="O175" s="215"/>
      <c r="P175" s="216"/>
      <c r="Q175" s="114">
        <f t="shared" si="18"/>
        <v>0</v>
      </c>
      <c r="R175" s="114">
        <v>5</v>
      </c>
      <c r="S175" s="36">
        <f t="shared" si="19"/>
        <v>0</v>
      </c>
    </row>
    <row r="176" spans="1:19" s="60" customFormat="1" ht="22.5" customHeight="1" thickBot="1" x14ac:dyDescent="0.35">
      <c r="A176" s="317"/>
      <c r="B176" s="317" t="s">
        <v>15</v>
      </c>
      <c r="C176" s="357"/>
      <c r="D176" s="383">
        <f>SUM(D170:D175)</f>
        <v>40610</v>
      </c>
      <c r="E176" s="320"/>
      <c r="F176" s="320"/>
      <c r="G176" s="321"/>
      <c r="H176" s="383">
        <f>SUM(H170:H175)</f>
        <v>19210</v>
      </c>
      <c r="I176" s="383">
        <f>SUM(I170:I175)</f>
        <v>15</v>
      </c>
      <c r="J176" s="383">
        <f>SUM(J170:J175)</f>
        <v>19210</v>
      </c>
      <c r="K176" s="384"/>
      <c r="L176" s="384"/>
      <c r="M176" s="359">
        <f>SUM(M170:M175)</f>
        <v>29610</v>
      </c>
      <c r="N176" s="317"/>
      <c r="O176" s="317"/>
      <c r="P176" s="321"/>
      <c r="Q176" s="385">
        <f>SUM(Q170:Q175)</f>
        <v>30210</v>
      </c>
      <c r="R176" s="385">
        <v>0</v>
      </c>
      <c r="S176" s="386">
        <f>SUM(S170:S175)</f>
        <v>30210</v>
      </c>
    </row>
    <row r="177" spans="1:19" ht="22.5" customHeight="1" thickTop="1" x14ac:dyDescent="0.3">
      <c r="A177" s="61"/>
      <c r="B177" s="62" t="s">
        <v>363</v>
      </c>
      <c r="C177" s="63"/>
      <c r="D177" s="64"/>
      <c r="E177" s="65"/>
      <c r="F177" s="65"/>
      <c r="G177" s="66"/>
      <c r="H177" s="67"/>
      <c r="I177" s="67"/>
      <c r="J177" s="67"/>
      <c r="K177" s="286"/>
      <c r="L177" s="286"/>
      <c r="M177" s="328"/>
      <c r="N177" s="69"/>
      <c r="O177" s="69"/>
      <c r="P177" s="70"/>
      <c r="Q177" s="71"/>
      <c r="R177" s="71"/>
      <c r="S177" s="387"/>
    </row>
    <row r="178" spans="1:19" ht="22.5" customHeight="1" x14ac:dyDescent="0.5">
      <c r="A178" s="208">
        <v>1</v>
      </c>
      <c r="B178" s="73" t="s">
        <v>364</v>
      </c>
      <c r="C178" s="25" t="s">
        <v>365</v>
      </c>
      <c r="D178" s="43">
        <v>10000</v>
      </c>
      <c r="E178" s="212"/>
      <c r="F178" s="234"/>
      <c r="G178" s="228"/>
      <c r="H178" s="219">
        <v>0</v>
      </c>
      <c r="I178" s="219">
        <v>0</v>
      </c>
      <c r="J178" s="219">
        <v>0</v>
      </c>
      <c r="K178" s="30" t="s">
        <v>1413</v>
      </c>
      <c r="L178" s="31" t="s">
        <v>1527</v>
      </c>
      <c r="M178" s="32">
        <v>10000</v>
      </c>
      <c r="N178" s="41"/>
      <c r="O178" s="41"/>
      <c r="P178" s="34"/>
      <c r="Q178" s="114">
        <f>SUM(D178+J178-M178)</f>
        <v>0</v>
      </c>
      <c r="R178" s="114">
        <v>0</v>
      </c>
      <c r="S178" s="36">
        <f>SUM(Q178)</f>
        <v>0</v>
      </c>
    </row>
    <row r="179" spans="1:19" ht="22.5" customHeight="1" x14ac:dyDescent="0.5">
      <c r="A179" s="208">
        <v>2</v>
      </c>
      <c r="B179" s="290" t="s">
        <v>367</v>
      </c>
      <c r="C179" s="25" t="s">
        <v>368</v>
      </c>
      <c r="D179" s="388">
        <v>3500</v>
      </c>
      <c r="E179" s="212"/>
      <c r="F179" s="234"/>
      <c r="G179" s="228"/>
      <c r="H179" s="389">
        <v>0</v>
      </c>
      <c r="I179" s="219">
        <v>0</v>
      </c>
      <c r="J179" s="219">
        <v>0</v>
      </c>
      <c r="K179" s="250" t="s">
        <v>1425</v>
      </c>
      <c r="L179" s="251" t="s">
        <v>1528</v>
      </c>
      <c r="M179" s="390">
        <v>3500</v>
      </c>
      <c r="N179" s="41"/>
      <c r="O179" s="41"/>
      <c r="P179" s="34"/>
      <c r="Q179" s="114">
        <f t="shared" ref="Q179:Q184" si="20">SUM(D179+J179-M179)</f>
        <v>0</v>
      </c>
      <c r="R179" s="114">
        <v>0</v>
      </c>
      <c r="S179" s="36">
        <f t="shared" ref="S179:S184" si="21">SUM(Q179)</f>
        <v>0</v>
      </c>
    </row>
    <row r="180" spans="1:19" ht="22.5" customHeight="1" x14ac:dyDescent="0.5">
      <c r="A180" s="391">
        <v>3</v>
      </c>
      <c r="B180" s="392" t="s">
        <v>370</v>
      </c>
      <c r="C180" s="63" t="s">
        <v>371</v>
      </c>
      <c r="D180" s="393">
        <v>12000</v>
      </c>
      <c r="E180" s="394"/>
      <c r="F180" s="888"/>
      <c r="G180" s="395"/>
      <c r="H180" s="396">
        <v>0</v>
      </c>
      <c r="I180" s="397">
        <v>0</v>
      </c>
      <c r="J180" s="67">
        <v>0</v>
      </c>
      <c r="K180" s="30" t="s">
        <v>1425</v>
      </c>
      <c r="L180" s="31" t="s">
        <v>1529</v>
      </c>
      <c r="M180" s="32">
        <v>12000</v>
      </c>
      <c r="N180" s="41"/>
      <c r="O180" s="41"/>
      <c r="P180" s="34"/>
      <c r="Q180" s="114">
        <f t="shared" si="20"/>
        <v>0</v>
      </c>
      <c r="R180" s="114">
        <v>0</v>
      </c>
      <c r="S180" s="36">
        <f t="shared" si="21"/>
        <v>0</v>
      </c>
    </row>
    <row r="181" spans="1:19" ht="22.5" customHeight="1" x14ac:dyDescent="0.3">
      <c r="A181" s="253">
        <v>4</v>
      </c>
      <c r="B181" s="398" t="s">
        <v>373</v>
      </c>
      <c r="C181" s="165" t="s">
        <v>374</v>
      </c>
      <c r="D181" s="166">
        <v>4100</v>
      </c>
      <c r="E181" s="394"/>
      <c r="F181" s="888"/>
      <c r="G181" s="395"/>
      <c r="H181" s="396">
        <v>0</v>
      </c>
      <c r="I181" s="397">
        <v>0</v>
      </c>
      <c r="J181" s="397">
        <v>0</v>
      </c>
      <c r="K181" s="399" t="s">
        <v>1451</v>
      </c>
      <c r="L181" s="400" t="s">
        <v>1530</v>
      </c>
      <c r="M181" s="401">
        <v>4100</v>
      </c>
      <c r="N181" s="41"/>
      <c r="O181" s="41"/>
      <c r="P181" s="34"/>
      <c r="Q181" s="114">
        <f t="shared" si="20"/>
        <v>0</v>
      </c>
      <c r="R181" s="114">
        <v>0</v>
      </c>
      <c r="S181" s="36">
        <f t="shared" si="21"/>
        <v>0</v>
      </c>
    </row>
    <row r="182" spans="1:19" ht="22.5" customHeight="1" x14ac:dyDescent="0.5">
      <c r="A182" s="253">
        <v>5</v>
      </c>
      <c r="B182" s="402" t="s">
        <v>376</v>
      </c>
      <c r="C182" s="403" t="s">
        <v>377</v>
      </c>
      <c r="D182" s="166">
        <v>1850</v>
      </c>
      <c r="E182" s="65"/>
      <c r="F182" s="167"/>
      <c r="G182" s="168"/>
      <c r="H182" s="404">
        <v>0</v>
      </c>
      <c r="I182" s="67">
        <v>0</v>
      </c>
      <c r="J182" s="67">
        <v>0</v>
      </c>
      <c r="K182" s="30" t="s">
        <v>1419</v>
      </c>
      <c r="L182" s="31" t="s">
        <v>1531</v>
      </c>
      <c r="M182" s="32">
        <v>1850</v>
      </c>
      <c r="N182" s="41"/>
      <c r="O182" s="41"/>
      <c r="P182" s="34"/>
      <c r="Q182" s="114">
        <f t="shared" si="20"/>
        <v>0</v>
      </c>
      <c r="R182" s="114">
        <v>0</v>
      </c>
      <c r="S182" s="36">
        <f t="shared" si="21"/>
        <v>0</v>
      </c>
    </row>
    <row r="183" spans="1:19" ht="22.5" customHeight="1" x14ac:dyDescent="0.5">
      <c r="A183" s="253">
        <v>6</v>
      </c>
      <c r="B183" s="378" t="s">
        <v>380</v>
      </c>
      <c r="C183" s="405" t="s">
        <v>381</v>
      </c>
      <c r="D183" s="166">
        <v>0</v>
      </c>
      <c r="E183" s="65"/>
      <c r="F183" s="167"/>
      <c r="G183" s="168"/>
      <c r="H183" s="404">
        <v>0</v>
      </c>
      <c r="I183" s="67">
        <v>0</v>
      </c>
      <c r="J183" s="67">
        <v>0</v>
      </c>
      <c r="K183" s="30"/>
      <c r="L183" s="31"/>
      <c r="M183" s="32"/>
      <c r="N183" s="41"/>
      <c r="O183" s="41"/>
      <c r="P183" s="34"/>
      <c r="Q183" s="114">
        <f t="shared" si="20"/>
        <v>0</v>
      </c>
      <c r="R183" s="114">
        <v>0</v>
      </c>
      <c r="S183" s="36">
        <f t="shared" si="21"/>
        <v>0</v>
      </c>
    </row>
    <row r="184" spans="1:19" ht="22.5" customHeight="1" x14ac:dyDescent="0.5">
      <c r="A184" s="208">
        <v>7</v>
      </c>
      <c r="B184" s="149" t="s">
        <v>383</v>
      </c>
      <c r="C184" s="311" t="s">
        <v>384</v>
      </c>
      <c r="D184" s="166">
        <v>5400</v>
      </c>
      <c r="E184" s="65"/>
      <c r="F184" s="167"/>
      <c r="G184" s="168"/>
      <c r="H184" s="404">
        <v>0</v>
      </c>
      <c r="I184" s="67">
        <v>0</v>
      </c>
      <c r="J184" s="67">
        <v>0</v>
      </c>
      <c r="K184" s="250" t="s">
        <v>1419</v>
      </c>
      <c r="L184" s="251" t="s">
        <v>1532</v>
      </c>
      <c r="M184" s="390">
        <v>5400</v>
      </c>
      <c r="N184" s="41"/>
      <c r="O184" s="41"/>
      <c r="P184" s="34"/>
      <c r="Q184" s="114">
        <f t="shared" si="20"/>
        <v>0</v>
      </c>
      <c r="R184" s="114">
        <v>0</v>
      </c>
      <c r="S184" s="36">
        <f t="shared" si="21"/>
        <v>0</v>
      </c>
    </row>
    <row r="185" spans="1:19" s="60" customFormat="1" ht="22.5" customHeight="1" thickBot="1" x14ac:dyDescent="0.35">
      <c r="A185" s="317"/>
      <c r="B185" s="317" t="s">
        <v>15</v>
      </c>
      <c r="C185" s="318"/>
      <c r="D185" s="383">
        <v>38350</v>
      </c>
      <c r="E185" s="320"/>
      <c r="F185" s="320"/>
      <c r="G185" s="321"/>
      <c r="H185" s="358">
        <f>SUM(H181:H184)</f>
        <v>0</v>
      </c>
      <c r="I185" s="358">
        <f>SUM(I181:I184)</f>
        <v>0</v>
      </c>
      <c r="J185" s="358">
        <f>SUM(J181:J184)</f>
        <v>0</v>
      </c>
      <c r="K185" s="383"/>
      <c r="L185" s="383">
        <v>0</v>
      </c>
      <c r="M185" s="383">
        <f>SUM(M178:M184)</f>
        <v>36850</v>
      </c>
      <c r="N185" s="407"/>
      <c r="O185" s="407"/>
      <c r="P185" s="321"/>
      <c r="Q185" s="323">
        <f>SUM(Q178:Q184)</f>
        <v>0</v>
      </c>
      <c r="R185" s="323">
        <f>SUM(R178:R184)</f>
        <v>0</v>
      </c>
      <c r="S185" s="323">
        <f>SUM(S178:S184)</f>
        <v>0</v>
      </c>
    </row>
    <row r="186" spans="1:19" ht="22.5" customHeight="1" thickTop="1" x14ac:dyDescent="0.3">
      <c r="A186" s="61"/>
      <c r="B186" s="62" t="s">
        <v>386</v>
      </c>
      <c r="C186" s="63"/>
      <c r="D186" s="64"/>
      <c r="E186" s="65"/>
      <c r="F186" s="65"/>
      <c r="G186" s="66"/>
      <c r="H186" s="67"/>
      <c r="I186" s="67"/>
      <c r="J186" s="67"/>
      <c r="K186" s="68"/>
      <c r="L186" s="68"/>
      <c r="M186" s="64"/>
      <c r="N186" s="69"/>
      <c r="O186" s="69"/>
      <c r="P186" s="70"/>
      <c r="Q186" s="71"/>
      <c r="R186" s="71"/>
      <c r="S186" s="387"/>
    </row>
    <row r="187" spans="1:19" ht="22.5" customHeight="1" x14ac:dyDescent="0.3">
      <c r="A187" s="208">
        <v>1</v>
      </c>
      <c r="B187" s="73" t="s">
        <v>387</v>
      </c>
      <c r="C187" s="25" t="s">
        <v>388</v>
      </c>
      <c r="D187" s="43">
        <v>0</v>
      </c>
      <c r="E187" s="212"/>
      <c r="F187" s="212"/>
      <c r="G187" s="213"/>
      <c r="H187" s="219">
        <v>0</v>
      </c>
      <c r="I187" s="219">
        <v>0</v>
      </c>
      <c r="J187" s="219">
        <v>0</v>
      </c>
      <c r="K187" s="408"/>
      <c r="L187" s="408"/>
      <c r="M187" s="43"/>
      <c r="N187" s="41"/>
      <c r="O187" s="41"/>
      <c r="P187" s="34"/>
      <c r="Q187" s="114">
        <v>0</v>
      </c>
      <c r="R187" s="114">
        <v>0</v>
      </c>
      <c r="S187" s="409">
        <v>0</v>
      </c>
    </row>
    <row r="188" spans="1:19" ht="22.5" customHeight="1" x14ac:dyDescent="0.5">
      <c r="A188" s="208">
        <v>2</v>
      </c>
      <c r="B188" s="290" t="s">
        <v>389</v>
      </c>
      <c r="C188" s="25" t="s">
        <v>390</v>
      </c>
      <c r="D188" s="388">
        <v>3150</v>
      </c>
      <c r="E188" s="212"/>
      <c r="F188" s="234"/>
      <c r="G188" s="228"/>
      <c r="H188" s="666">
        <v>0</v>
      </c>
      <c r="I188" s="219">
        <v>0</v>
      </c>
      <c r="J188" s="219">
        <v>0</v>
      </c>
      <c r="K188" s="335" t="s">
        <v>1451</v>
      </c>
      <c r="L188" s="410" t="s">
        <v>1537</v>
      </c>
      <c r="M188" s="411">
        <v>3150</v>
      </c>
      <c r="N188" s="215"/>
      <c r="O188" s="215"/>
      <c r="P188" s="216"/>
      <c r="Q188" s="114">
        <f>SUM(H188+D188-M188)</f>
        <v>0</v>
      </c>
      <c r="R188" s="114">
        <v>0</v>
      </c>
      <c r="S188" s="409">
        <f>SUM(Q188)</f>
        <v>0</v>
      </c>
    </row>
    <row r="189" spans="1:19" s="60" customFormat="1" ht="22.5" customHeight="1" thickBot="1" x14ac:dyDescent="0.35">
      <c r="A189" s="317"/>
      <c r="B189" s="317" t="s">
        <v>15</v>
      </c>
      <c r="C189" s="318"/>
      <c r="D189" s="383">
        <f>SUM(D187:D188)</f>
        <v>3150</v>
      </c>
      <c r="E189" s="320"/>
      <c r="F189" s="320"/>
      <c r="G189" s="321"/>
      <c r="H189" s="358">
        <f>SUM(H187:H188)</f>
        <v>0</v>
      </c>
      <c r="I189" s="358">
        <f>SUM(I187:I188)</f>
        <v>0</v>
      </c>
      <c r="J189" s="358">
        <f>SUM(J187:J188)</f>
        <v>0</v>
      </c>
      <c r="K189" s="383"/>
      <c r="L189" s="383">
        <v>0</v>
      </c>
      <c r="M189" s="383">
        <f>SUM(M187:M188)</f>
        <v>3150</v>
      </c>
      <c r="N189" s="407"/>
      <c r="O189" s="407"/>
      <c r="P189" s="321"/>
      <c r="Q189" s="323">
        <f>SUM(Q187:Q188)</f>
        <v>0</v>
      </c>
      <c r="R189" s="323">
        <v>0</v>
      </c>
      <c r="S189" s="386">
        <f>SUM(S187:S188)</f>
        <v>0</v>
      </c>
    </row>
    <row r="190" spans="1:19" ht="22.5" customHeight="1" thickTop="1" x14ac:dyDescent="0.3">
      <c r="A190" s="61"/>
      <c r="B190" s="62" t="s">
        <v>392</v>
      </c>
      <c r="C190" s="63"/>
      <c r="D190" s="64"/>
      <c r="E190" s="65"/>
      <c r="F190" s="65"/>
      <c r="G190" s="66"/>
      <c r="H190" s="67"/>
      <c r="I190" s="67"/>
      <c r="J190" s="67"/>
      <c r="K190" s="68"/>
      <c r="L190" s="68"/>
      <c r="M190" s="64"/>
      <c r="N190" s="69"/>
      <c r="O190" s="69"/>
      <c r="P190" s="70"/>
      <c r="Q190" s="71"/>
      <c r="R190" s="71"/>
      <c r="S190" s="72"/>
    </row>
    <row r="191" spans="1:19" ht="22.5" customHeight="1" x14ac:dyDescent="0.3">
      <c r="A191" s="61"/>
      <c r="B191" s="62" t="s">
        <v>1336</v>
      </c>
      <c r="C191" s="63"/>
      <c r="D191" s="64">
        <v>0</v>
      </c>
      <c r="E191" s="65"/>
      <c r="F191" s="167"/>
      <c r="G191" s="168"/>
      <c r="H191" s="67"/>
      <c r="I191" s="67"/>
      <c r="J191" s="67"/>
      <c r="K191" s="68"/>
      <c r="L191" s="68"/>
      <c r="M191" s="64"/>
      <c r="N191" s="69"/>
      <c r="O191" s="117"/>
      <c r="P191" s="118"/>
      <c r="Q191" s="71"/>
      <c r="R191" s="71"/>
      <c r="S191" s="72"/>
    </row>
    <row r="192" spans="1:19" ht="22.5" customHeight="1" x14ac:dyDescent="0.3">
      <c r="A192" s="61"/>
      <c r="B192" s="62" t="s">
        <v>1337</v>
      </c>
      <c r="C192" s="63"/>
      <c r="D192" s="64"/>
      <c r="E192" s="65"/>
      <c r="F192" s="167"/>
      <c r="G192" s="168"/>
      <c r="H192" s="67"/>
      <c r="I192" s="67"/>
      <c r="J192" s="67"/>
      <c r="K192" s="68"/>
      <c r="L192" s="68"/>
      <c r="M192" s="64"/>
      <c r="N192" s="69"/>
      <c r="O192" s="117"/>
      <c r="P192" s="118"/>
      <c r="Q192" s="71"/>
      <c r="R192" s="71"/>
      <c r="S192" s="72"/>
    </row>
    <row r="193" spans="1:20" ht="22.5" customHeight="1" x14ac:dyDescent="0.3">
      <c r="A193" s="61">
        <v>1</v>
      </c>
      <c r="B193" s="838" t="s">
        <v>1338</v>
      </c>
      <c r="C193" s="63" t="s">
        <v>1339</v>
      </c>
      <c r="D193" s="64"/>
      <c r="E193" s="65"/>
      <c r="F193" s="167"/>
      <c r="G193" s="168"/>
      <c r="H193" s="67">
        <v>0</v>
      </c>
      <c r="I193" s="67">
        <v>0</v>
      </c>
      <c r="J193" s="67">
        <v>0</v>
      </c>
      <c r="K193" s="68"/>
      <c r="L193" s="68"/>
      <c r="M193" s="64"/>
      <c r="N193" s="69"/>
      <c r="O193" s="117"/>
      <c r="P193" s="118"/>
      <c r="Q193" s="71">
        <v>0</v>
      </c>
      <c r="R193" s="71">
        <v>0</v>
      </c>
      <c r="S193" s="72">
        <v>0</v>
      </c>
    </row>
    <row r="194" spans="1:20" ht="22.5" customHeight="1" x14ac:dyDescent="0.3">
      <c r="A194" s="61">
        <v>2</v>
      </c>
      <c r="B194" s="838" t="s">
        <v>237</v>
      </c>
      <c r="C194" s="63" t="s">
        <v>1341</v>
      </c>
      <c r="D194" s="64"/>
      <c r="E194" s="65"/>
      <c r="F194" s="167"/>
      <c r="G194" s="168"/>
      <c r="H194" s="67">
        <v>0</v>
      </c>
      <c r="I194" s="67">
        <v>0</v>
      </c>
      <c r="J194" s="67">
        <v>0</v>
      </c>
      <c r="K194" s="68"/>
      <c r="L194" s="68"/>
      <c r="M194" s="64"/>
      <c r="N194" s="69"/>
      <c r="O194" s="117"/>
      <c r="P194" s="118"/>
      <c r="Q194" s="71">
        <v>0</v>
      </c>
      <c r="R194" s="71">
        <v>0</v>
      </c>
      <c r="S194" s="72">
        <v>0</v>
      </c>
    </row>
    <row r="195" spans="1:20" ht="22.5" customHeight="1" x14ac:dyDescent="0.3">
      <c r="A195" s="61">
        <v>3</v>
      </c>
      <c r="B195" s="838" t="s">
        <v>240</v>
      </c>
      <c r="C195" s="63" t="s">
        <v>1343</v>
      </c>
      <c r="D195" s="64"/>
      <c r="E195" s="65"/>
      <c r="F195" s="167"/>
      <c r="G195" s="168"/>
      <c r="H195" s="67">
        <v>0</v>
      </c>
      <c r="I195" s="67">
        <v>0</v>
      </c>
      <c r="J195" s="67">
        <v>0</v>
      </c>
      <c r="K195" s="68"/>
      <c r="L195" s="68"/>
      <c r="M195" s="64"/>
      <c r="N195" s="69"/>
      <c r="O195" s="117"/>
      <c r="P195" s="118"/>
      <c r="Q195" s="71">
        <v>0</v>
      </c>
      <c r="R195" s="71">
        <v>0</v>
      </c>
      <c r="S195" s="72">
        <v>0</v>
      </c>
    </row>
    <row r="196" spans="1:20" ht="22.5" customHeight="1" x14ac:dyDescent="0.3">
      <c r="A196" s="61">
        <v>4</v>
      </c>
      <c r="B196" s="838" t="s">
        <v>1345</v>
      </c>
      <c r="C196" s="63" t="s">
        <v>1346</v>
      </c>
      <c r="D196" s="64"/>
      <c r="E196" s="65"/>
      <c r="F196" s="167"/>
      <c r="G196" s="168"/>
      <c r="H196" s="67">
        <v>0</v>
      </c>
      <c r="I196" s="67">
        <v>0</v>
      </c>
      <c r="J196" s="67">
        <v>0</v>
      </c>
      <c r="K196" s="68"/>
      <c r="L196" s="68"/>
      <c r="M196" s="64"/>
      <c r="N196" s="69"/>
      <c r="O196" s="117"/>
      <c r="P196" s="118"/>
      <c r="Q196" s="71">
        <v>0</v>
      </c>
      <c r="R196" s="71">
        <v>0</v>
      </c>
      <c r="S196" s="72">
        <v>0</v>
      </c>
    </row>
    <row r="197" spans="1:20" ht="22.5" customHeight="1" x14ac:dyDescent="0.3">
      <c r="A197" s="61">
        <v>5</v>
      </c>
      <c r="B197" s="838" t="s">
        <v>198</v>
      </c>
      <c r="C197" s="63" t="s">
        <v>1347</v>
      </c>
      <c r="D197" s="64"/>
      <c r="E197" s="65"/>
      <c r="F197" s="167"/>
      <c r="G197" s="168"/>
      <c r="H197" s="67">
        <v>0</v>
      </c>
      <c r="I197" s="67">
        <v>0</v>
      </c>
      <c r="J197" s="67">
        <v>0</v>
      </c>
      <c r="K197" s="68"/>
      <c r="L197" s="68"/>
      <c r="M197" s="64"/>
      <c r="N197" s="69"/>
      <c r="O197" s="117"/>
      <c r="P197" s="118"/>
      <c r="Q197" s="71">
        <v>0</v>
      </c>
      <c r="R197" s="71">
        <v>0</v>
      </c>
      <c r="S197" s="72">
        <v>0</v>
      </c>
    </row>
    <row r="198" spans="1:20" ht="22.5" customHeight="1" x14ac:dyDescent="0.3">
      <c r="A198" s="61">
        <v>6</v>
      </c>
      <c r="B198" s="838" t="s">
        <v>245</v>
      </c>
      <c r="C198" s="63" t="s">
        <v>1349</v>
      </c>
      <c r="D198" s="64"/>
      <c r="E198" s="65"/>
      <c r="F198" s="167"/>
      <c r="G198" s="168"/>
      <c r="H198" s="67">
        <v>0</v>
      </c>
      <c r="I198" s="67">
        <v>0</v>
      </c>
      <c r="J198" s="67">
        <v>0</v>
      </c>
      <c r="K198" s="68"/>
      <c r="L198" s="68"/>
      <c r="M198" s="64"/>
      <c r="N198" s="69"/>
      <c r="O198" s="117"/>
      <c r="P198" s="118"/>
      <c r="Q198" s="71">
        <v>0</v>
      </c>
      <c r="R198" s="71">
        <v>0</v>
      </c>
      <c r="S198" s="72">
        <v>0</v>
      </c>
    </row>
    <row r="199" spans="1:20" ht="22.5" customHeight="1" x14ac:dyDescent="0.3">
      <c r="A199" s="61">
        <v>7</v>
      </c>
      <c r="B199" s="838" t="s">
        <v>240</v>
      </c>
      <c r="C199" s="63" t="s">
        <v>1351</v>
      </c>
      <c r="D199" s="64"/>
      <c r="E199" s="65"/>
      <c r="F199" s="167"/>
      <c r="G199" s="168"/>
      <c r="H199" s="67">
        <v>0</v>
      </c>
      <c r="I199" s="67">
        <v>0</v>
      </c>
      <c r="J199" s="67">
        <v>0</v>
      </c>
      <c r="K199" s="68"/>
      <c r="L199" s="68"/>
      <c r="M199" s="64"/>
      <c r="N199" s="69"/>
      <c r="O199" s="117"/>
      <c r="P199" s="118"/>
      <c r="Q199" s="71">
        <v>0</v>
      </c>
      <c r="R199" s="71">
        <v>0</v>
      </c>
      <c r="S199" s="72">
        <v>0</v>
      </c>
    </row>
    <row r="200" spans="1:20" ht="22.5" customHeight="1" x14ac:dyDescent="0.3">
      <c r="A200" s="61">
        <v>8</v>
      </c>
      <c r="B200" s="838" t="s">
        <v>1352</v>
      </c>
      <c r="C200" s="63" t="s">
        <v>1353</v>
      </c>
      <c r="D200" s="64"/>
      <c r="E200" s="65"/>
      <c r="F200" s="167"/>
      <c r="G200" s="168"/>
      <c r="H200" s="67">
        <v>0</v>
      </c>
      <c r="I200" s="67">
        <v>0</v>
      </c>
      <c r="J200" s="67">
        <v>0</v>
      </c>
      <c r="K200" s="68"/>
      <c r="L200" s="68"/>
      <c r="M200" s="64"/>
      <c r="N200" s="69"/>
      <c r="O200" s="117"/>
      <c r="P200" s="118"/>
      <c r="Q200" s="71">
        <v>0</v>
      </c>
      <c r="R200" s="71">
        <v>0</v>
      </c>
      <c r="S200" s="72">
        <v>0</v>
      </c>
    </row>
    <row r="201" spans="1:20" ht="22.5" customHeight="1" x14ac:dyDescent="0.3">
      <c r="A201" s="61">
        <v>9</v>
      </c>
      <c r="B201" s="838" t="s">
        <v>1354</v>
      </c>
      <c r="C201" s="63" t="s">
        <v>1355</v>
      </c>
      <c r="D201" s="64"/>
      <c r="E201" s="65" t="s">
        <v>1336</v>
      </c>
      <c r="F201" s="167"/>
      <c r="G201" s="168"/>
      <c r="H201" s="67">
        <v>1266.8800000000001</v>
      </c>
      <c r="I201" s="67">
        <v>0</v>
      </c>
      <c r="J201" s="67">
        <v>1266.8800000000001</v>
      </c>
      <c r="K201" s="68" t="s">
        <v>1419</v>
      </c>
      <c r="L201" s="68" t="s">
        <v>1538</v>
      </c>
      <c r="M201" s="64">
        <v>1266.8800000000001</v>
      </c>
      <c r="N201" s="69"/>
      <c r="O201" s="117"/>
      <c r="P201" s="118"/>
      <c r="Q201" s="71">
        <v>0</v>
      </c>
      <c r="R201" s="71">
        <v>0</v>
      </c>
      <c r="S201" s="72">
        <v>0</v>
      </c>
    </row>
    <row r="202" spans="1:20" ht="22.5" customHeight="1" x14ac:dyDescent="0.3">
      <c r="A202" s="61">
        <v>10</v>
      </c>
      <c r="B202" s="838" t="s">
        <v>313</v>
      </c>
      <c r="C202" s="63" t="s">
        <v>1356</v>
      </c>
      <c r="D202" s="64"/>
      <c r="E202" s="65"/>
      <c r="F202" s="167"/>
      <c r="G202" s="168"/>
      <c r="H202" s="67">
        <v>0</v>
      </c>
      <c r="I202" s="67">
        <v>0</v>
      </c>
      <c r="J202" s="67">
        <v>0</v>
      </c>
      <c r="K202" s="68"/>
      <c r="L202" s="68"/>
      <c r="M202" s="64"/>
      <c r="N202" s="69"/>
      <c r="O202" s="117"/>
      <c r="P202" s="118"/>
      <c r="Q202" s="71">
        <v>0</v>
      </c>
      <c r="R202" s="71">
        <v>0</v>
      </c>
      <c r="S202" s="72">
        <v>0</v>
      </c>
    </row>
    <row r="203" spans="1:20" ht="22.5" customHeight="1" x14ac:dyDescent="0.3">
      <c r="A203" s="61">
        <v>11</v>
      </c>
      <c r="B203" s="838" t="s">
        <v>257</v>
      </c>
      <c r="C203" s="63" t="s">
        <v>1358</v>
      </c>
      <c r="D203" s="64"/>
      <c r="E203" s="65"/>
      <c r="F203" s="167"/>
      <c r="G203" s="168"/>
      <c r="H203" s="67">
        <v>0</v>
      </c>
      <c r="I203" s="67">
        <v>0</v>
      </c>
      <c r="J203" s="67">
        <v>0</v>
      </c>
      <c r="K203" s="68"/>
      <c r="L203" s="68"/>
      <c r="M203" s="64"/>
      <c r="N203" s="69"/>
      <c r="O203" s="117"/>
      <c r="P203" s="118"/>
      <c r="Q203" s="71">
        <v>0</v>
      </c>
      <c r="R203" s="71">
        <v>0</v>
      </c>
      <c r="S203" s="72">
        <v>0</v>
      </c>
    </row>
    <row r="204" spans="1:20" ht="22.5" customHeight="1" x14ac:dyDescent="0.3">
      <c r="A204" s="61">
        <v>12</v>
      </c>
      <c r="B204" s="838" t="s">
        <v>198</v>
      </c>
      <c r="C204" s="63" t="s">
        <v>1360</v>
      </c>
      <c r="D204" s="64"/>
      <c r="E204" s="65"/>
      <c r="F204" s="167"/>
      <c r="G204" s="168"/>
      <c r="H204" s="67">
        <v>0</v>
      </c>
      <c r="I204" s="67">
        <v>0</v>
      </c>
      <c r="J204" s="67">
        <v>0</v>
      </c>
      <c r="K204" s="68"/>
      <c r="L204" s="68"/>
      <c r="M204" s="64"/>
      <c r="N204" s="69"/>
      <c r="O204" s="117"/>
      <c r="P204" s="118"/>
      <c r="Q204" s="71">
        <v>0</v>
      </c>
      <c r="R204" s="71">
        <v>0</v>
      </c>
      <c r="S204" s="72">
        <v>0</v>
      </c>
      <c r="T204" s="3" t="s">
        <v>1361</v>
      </c>
    </row>
    <row r="205" spans="1:20" ht="22.5" customHeight="1" x14ac:dyDescent="0.3">
      <c r="A205" s="61">
        <v>13</v>
      </c>
      <c r="B205" s="838" t="s">
        <v>1362</v>
      </c>
      <c r="C205" s="63" t="s">
        <v>1363</v>
      </c>
      <c r="D205" s="64"/>
      <c r="E205" s="65"/>
      <c r="F205" s="167"/>
      <c r="G205" s="168"/>
      <c r="H205" s="67">
        <v>0</v>
      </c>
      <c r="I205" s="67">
        <v>0</v>
      </c>
      <c r="J205" s="67">
        <v>0</v>
      </c>
      <c r="K205" s="68"/>
      <c r="L205" s="68"/>
      <c r="M205" s="64"/>
      <c r="N205" s="69"/>
      <c r="O205" s="117"/>
      <c r="P205" s="118"/>
      <c r="Q205" s="71">
        <v>0</v>
      </c>
      <c r="R205" s="71">
        <v>0</v>
      </c>
      <c r="S205" s="72">
        <v>0</v>
      </c>
    </row>
    <row r="206" spans="1:20" ht="22.5" customHeight="1" x14ac:dyDescent="0.3">
      <c r="A206" s="61">
        <v>14</v>
      </c>
      <c r="B206" s="838" t="s">
        <v>261</v>
      </c>
      <c r="C206" s="63" t="s">
        <v>1365</v>
      </c>
      <c r="D206" s="64"/>
      <c r="E206" s="65"/>
      <c r="F206" s="167"/>
      <c r="G206" s="168"/>
      <c r="H206" s="67">
        <v>0</v>
      </c>
      <c r="I206" s="67">
        <v>0</v>
      </c>
      <c r="J206" s="67">
        <v>0</v>
      </c>
      <c r="K206" s="68"/>
      <c r="L206" s="68"/>
      <c r="M206" s="64"/>
      <c r="N206" s="69"/>
      <c r="O206" s="117"/>
      <c r="P206" s="118"/>
      <c r="Q206" s="71">
        <v>0</v>
      </c>
      <c r="R206" s="71">
        <v>0</v>
      </c>
      <c r="S206" s="72">
        <v>0</v>
      </c>
    </row>
    <row r="207" spans="1:20" ht="22.5" customHeight="1" x14ac:dyDescent="0.3">
      <c r="A207" s="61">
        <v>15</v>
      </c>
      <c r="B207" s="838" t="s">
        <v>266</v>
      </c>
      <c r="C207" s="63" t="s">
        <v>1366</v>
      </c>
      <c r="D207" s="64"/>
      <c r="E207" s="65"/>
      <c r="F207" s="167"/>
      <c r="G207" s="168"/>
      <c r="H207" s="67">
        <v>0</v>
      </c>
      <c r="I207" s="67">
        <v>0</v>
      </c>
      <c r="J207" s="67">
        <v>0</v>
      </c>
      <c r="K207" s="68"/>
      <c r="L207" s="68"/>
      <c r="M207" s="64"/>
      <c r="N207" s="69"/>
      <c r="O207" s="117"/>
      <c r="P207" s="118"/>
      <c r="Q207" s="71">
        <v>0</v>
      </c>
      <c r="R207" s="71">
        <v>0</v>
      </c>
      <c r="S207" s="72">
        <v>0</v>
      </c>
    </row>
    <row r="208" spans="1:20" ht="22.5" customHeight="1" x14ac:dyDescent="0.3">
      <c r="A208" s="61"/>
      <c r="B208" s="838" t="s">
        <v>1368</v>
      </c>
      <c r="C208" s="63"/>
      <c r="D208" s="64"/>
      <c r="E208" s="65"/>
      <c r="F208" s="167"/>
      <c r="G208" s="168"/>
      <c r="H208" s="67"/>
      <c r="I208" s="67"/>
      <c r="J208" s="67"/>
      <c r="K208" s="68"/>
      <c r="L208" s="68"/>
      <c r="M208" s="64"/>
      <c r="N208" s="69"/>
      <c r="O208" s="117"/>
      <c r="P208" s="118"/>
      <c r="Q208" s="71"/>
      <c r="R208" s="71"/>
      <c r="S208" s="72"/>
    </row>
    <row r="209" spans="1:19" ht="22.5" customHeight="1" x14ac:dyDescent="0.3">
      <c r="A209" s="61">
        <v>17</v>
      </c>
      <c r="B209" s="838" t="s">
        <v>270</v>
      </c>
      <c r="C209" s="63" t="s">
        <v>1339</v>
      </c>
      <c r="D209" s="64"/>
      <c r="E209" s="65"/>
      <c r="F209" s="167"/>
      <c r="G209" s="168"/>
      <c r="H209" s="67">
        <v>0</v>
      </c>
      <c r="I209" s="67">
        <v>0</v>
      </c>
      <c r="J209" s="67">
        <v>0</v>
      </c>
      <c r="K209" s="68"/>
      <c r="L209" s="68"/>
      <c r="M209" s="64"/>
      <c r="N209" s="69"/>
      <c r="O209" s="117"/>
      <c r="P209" s="118"/>
      <c r="Q209" s="71">
        <v>0</v>
      </c>
      <c r="R209" s="71">
        <v>0</v>
      </c>
      <c r="S209" s="72">
        <v>0</v>
      </c>
    </row>
    <row r="210" spans="1:19" ht="22.5" customHeight="1" x14ac:dyDescent="0.3">
      <c r="A210" s="61">
        <v>18</v>
      </c>
      <c r="B210" s="838" t="s">
        <v>261</v>
      </c>
      <c r="C210" s="63" t="s">
        <v>1369</v>
      </c>
      <c r="D210" s="64"/>
      <c r="E210" s="65"/>
      <c r="F210" s="167"/>
      <c r="G210" s="168"/>
      <c r="H210" s="67">
        <v>0</v>
      </c>
      <c r="I210" s="67">
        <v>0</v>
      </c>
      <c r="J210" s="67">
        <v>0</v>
      </c>
      <c r="K210" s="68"/>
      <c r="L210" s="68"/>
      <c r="M210" s="64"/>
      <c r="N210" s="69"/>
      <c r="O210" s="117"/>
      <c r="P210" s="118"/>
      <c r="Q210" s="71">
        <v>0</v>
      </c>
      <c r="R210" s="71">
        <v>0</v>
      </c>
      <c r="S210" s="72">
        <v>0</v>
      </c>
    </row>
    <row r="211" spans="1:19" ht="22.5" customHeight="1" x14ac:dyDescent="0.3">
      <c r="A211" s="61">
        <v>19</v>
      </c>
      <c r="B211" s="838" t="s">
        <v>274</v>
      </c>
      <c r="C211" s="63" t="s">
        <v>1370</v>
      </c>
      <c r="D211" s="64"/>
      <c r="E211" s="65"/>
      <c r="F211" s="167"/>
      <c r="G211" s="168"/>
      <c r="H211" s="67">
        <v>0</v>
      </c>
      <c r="I211" s="67">
        <v>0</v>
      </c>
      <c r="J211" s="67">
        <v>0</v>
      </c>
      <c r="K211" s="68"/>
      <c r="L211" s="68"/>
      <c r="M211" s="64"/>
      <c r="N211" s="69"/>
      <c r="O211" s="117"/>
      <c r="P211" s="118"/>
      <c r="Q211" s="71">
        <v>0</v>
      </c>
      <c r="R211" s="71">
        <v>0</v>
      </c>
      <c r="S211" s="72">
        <v>0</v>
      </c>
    </row>
    <row r="212" spans="1:19" ht="22.5" customHeight="1" x14ac:dyDescent="0.3">
      <c r="A212" s="61">
        <v>20</v>
      </c>
      <c r="B212" s="838" t="s">
        <v>277</v>
      </c>
      <c r="C212" s="63" t="s">
        <v>1372</v>
      </c>
      <c r="D212" s="64"/>
      <c r="E212" s="65"/>
      <c r="F212" s="167"/>
      <c r="G212" s="168"/>
      <c r="H212" s="67">
        <v>0</v>
      </c>
      <c r="I212" s="67">
        <v>0</v>
      </c>
      <c r="J212" s="67">
        <v>0</v>
      </c>
      <c r="K212" s="68"/>
      <c r="L212" s="68"/>
      <c r="M212" s="64"/>
      <c r="N212" s="69"/>
      <c r="O212" s="117"/>
      <c r="P212" s="118"/>
      <c r="Q212" s="71">
        <v>0</v>
      </c>
      <c r="R212" s="71">
        <v>0</v>
      </c>
      <c r="S212" s="72">
        <v>0</v>
      </c>
    </row>
    <row r="213" spans="1:19" ht="22.5" customHeight="1" x14ac:dyDescent="0.3">
      <c r="A213" s="61"/>
      <c r="B213" s="838" t="s">
        <v>1373</v>
      </c>
      <c r="C213" s="63"/>
      <c r="D213" s="64"/>
      <c r="E213" s="65"/>
      <c r="F213" s="167"/>
      <c r="G213" s="168"/>
      <c r="H213" s="67"/>
      <c r="I213" s="67"/>
      <c r="J213" s="67"/>
      <c r="K213" s="68"/>
      <c r="L213" s="68"/>
      <c r="M213" s="64"/>
      <c r="N213" s="69"/>
      <c r="O213" s="117"/>
      <c r="P213" s="118"/>
      <c r="Q213" s="71"/>
      <c r="R213" s="71"/>
      <c r="S213" s="72"/>
    </row>
    <row r="214" spans="1:19" ht="22.5" customHeight="1" x14ac:dyDescent="0.3">
      <c r="A214" s="61">
        <v>22</v>
      </c>
      <c r="B214" s="838" t="s">
        <v>281</v>
      </c>
      <c r="C214" s="63" t="s">
        <v>1374</v>
      </c>
      <c r="D214" s="64"/>
      <c r="E214" s="65" t="s">
        <v>1336</v>
      </c>
      <c r="F214" s="167"/>
      <c r="G214" s="168"/>
      <c r="H214" s="67">
        <v>1266.8800000000001</v>
      </c>
      <c r="I214" s="67">
        <v>0</v>
      </c>
      <c r="J214" s="67">
        <v>1266.8800000000001</v>
      </c>
      <c r="K214" s="68"/>
      <c r="L214" s="68"/>
      <c r="M214" s="64"/>
      <c r="N214" s="69" t="s">
        <v>1336</v>
      </c>
      <c r="O214" s="117"/>
      <c r="P214" s="118"/>
      <c r="Q214" s="71">
        <v>1266.8800000000001</v>
      </c>
      <c r="R214" s="71">
        <v>0</v>
      </c>
      <c r="S214" s="72">
        <v>1266.8800000000001</v>
      </c>
    </row>
    <row r="215" spans="1:19" ht="22.5" customHeight="1" x14ac:dyDescent="0.3">
      <c r="A215" s="61">
        <v>23</v>
      </c>
      <c r="B215" s="838" t="s">
        <v>1375</v>
      </c>
      <c r="C215" s="63" t="s">
        <v>1376</v>
      </c>
      <c r="D215" s="64"/>
      <c r="E215" s="65"/>
      <c r="F215" s="167"/>
      <c r="G215" s="168"/>
      <c r="H215" s="67">
        <v>0</v>
      </c>
      <c r="I215" s="67">
        <v>0</v>
      </c>
      <c r="J215" s="67">
        <v>0</v>
      </c>
      <c r="K215" s="68"/>
      <c r="L215" s="68"/>
      <c r="M215" s="64"/>
      <c r="N215" s="69"/>
      <c r="O215" s="117"/>
      <c r="P215" s="118"/>
      <c r="Q215" s="71">
        <v>0</v>
      </c>
      <c r="R215" s="71">
        <v>0</v>
      </c>
      <c r="S215" s="72">
        <v>0</v>
      </c>
    </row>
    <row r="216" spans="1:19" ht="22.5" customHeight="1" x14ac:dyDescent="0.3">
      <c r="A216" s="61">
        <v>24</v>
      </c>
      <c r="B216" s="838" t="s">
        <v>1378</v>
      </c>
      <c r="C216" s="63" t="s">
        <v>1379</v>
      </c>
      <c r="D216" s="64"/>
      <c r="E216" s="65"/>
      <c r="F216" s="167"/>
      <c r="G216" s="168"/>
      <c r="H216" s="67">
        <v>0</v>
      </c>
      <c r="I216" s="67">
        <v>0</v>
      </c>
      <c r="J216" s="67">
        <v>0</v>
      </c>
      <c r="K216" s="68"/>
      <c r="L216" s="68"/>
      <c r="M216" s="64"/>
      <c r="N216" s="69"/>
      <c r="O216" s="117"/>
      <c r="P216" s="118"/>
      <c r="Q216" s="71">
        <v>0</v>
      </c>
      <c r="R216" s="71">
        <v>0</v>
      </c>
      <c r="S216" s="72">
        <v>0</v>
      </c>
    </row>
    <row r="217" spans="1:19" ht="22.5" customHeight="1" x14ac:dyDescent="0.3">
      <c r="A217" s="61">
        <v>25</v>
      </c>
      <c r="B217" s="838" t="s">
        <v>1380</v>
      </c>
      <c r="C217" s="63" t="s">
        <v>1370</v>
      </c>
      <c r="D217" s="64"/>
      <c r="E217" s="65" t="s">
        <v>1336</v>
      </c>
      <c r="F217" s="167"/>
      <c r="G217" s="168"/>
      <c r="H217" s="67">
        <v>1266.8800000000001</v>
      </c>
      <c r="I217" s="67">
        <v>0</v>
      </c>
      <c r="J217" s="67">
        <v>1266.8800000000001</v>
      </c>
      <c r="K217" s="68"/>
      <c r="L217" s="68"/>
      <c r="M217" s="64"/>
      <c r="N217" s="69" t="s">
        <v>1336</v>
      </c>
      <c r="O217" s="117"/>
      <c r="P217" s="118"/>
      <c r="Q217" s="71">
        <v>1266.8800000000001</v>
      </c>
      <c r="R217" s="71">
        <v>0</v>
      </c>
      <c r="S217" s="72">
        <v>1266.8800000000001</v>
      </c>
    </row>
    <row r="218" spans="1:19" ht="22.5" customHeight="1" x14ac:dyDescent="0.3">
      <c r="A218" s="61">
        <v>26</v>
      </c>
      <c r="B218" s="838" t="s">
        <v>293</v>
      </c>
      <c r="C218" s="63" t="s">
        <v>1381</v>
      </c>
      <c r="D218" s="64"/>
      <c r="E218" s="65"/>
      <c r="F218" s="167"/>
      <c r="G218" s="168"/>
      <c r="H218" s="67">
        <v>0</v>
      </c>
      <c r="I218" s="67">
        <v>0</v>
      </c>
      <c r="J218" s="67">
        <v>0</v>
      </c>
      <c r="K218" s="68"/>
      <c r="L218" s="68"/>
      <c r="M218" s="64"/>
      <c r="N218" s="69"/>
      <c r="O218" s="117"/>
      <c r="P218" s="118"/>
      <c r="Q218" s="71">
        <v>0</v>
      </c>
      <c r="R218" s="71">
        <v>0</v>
      </c>
      <c r="S218" s="72">
        <v>0</v>
      </c>
    </row>
    <row r="219" spans="1:19" ht="22.5" customHeight="1" x14ac:dyDescent="0.3">
      <c r="A219" s="61">
        <v>27</v>
      </c>
      <c r="B219" s="838" t="s">
        <v>296</v>
      </c>
      <c r="C219" s="63" t="s">
        <v>1383</v>
      </c>
      <c r="D219" s="64"/>
      <c r="E219" s="65"/>
      <c r="F219" s="167"/>
      <c r="G219" s="168"/>
      <c r="H219" s="67">
        <v>0</v>
      </c>
      <c r="I219" s="67">
        <v>0</v>
      </c>
      <c r="J219" s="67">
        <v>0</v>
      </c>
      <c r="K219" s="68"/>
      <c r="L219" s="68"/>
      <c r="M219" s="64"/>
      <c r="N219" s="69"/>
      <c r="O219" s="117"/>
      <c r="P219" s="118"/>
      <c r="Q219" s="71">
        <v>0</v>
      </c>
      <c r="R219" s="71">
        <v>0</v>
      </c>
      <c r="S219" s="72">
        <v>0</v>
      </c>
    </row>
    <row r="220" spans="1:19" ht="22.5" customHeight="1" x14ac:dyDescent="0.3">
      <c r="A220" s="61"/>
      <c r="B220" s="838" t="s">
        <v>1385</v>
      </c>
      <c r="C220" s="63"/>
      <c r="D220" s="64"/>
      <c r="E220" s="65"/>
      <c r="F220" s="167"/>
      <c r="G220" s="168"/>
      <c r="H220" s="67"/>
      <c r="I220" s="67"/>
      <c r="J220" s="67"/>
      <c r="K220" s="68"/>
      <c r="L220" s="68"/>
      <c r="M220" s="64"/>
      <c r="N220" s="69"/>
      <c r="O220" s="117"/>
      <c r="P220" s="118"/>
      <c r="Q220" s="71"/>
      <c r="R220" s="71"/>
      <c r="S220" s="72"/>
    </row>
    <row r="221" spans="1:19" ht="22.5" customHeight="1" x14ac:dyDescent="0.3">
      <c r="A221" s="61">
        <v>29</v>
      </c>
      <c r="B221" s="838" t="s">
        <v>300</v>
      </c>
      <c r="C221" s="63" t="s">
        <v>1374</v>
      </c>
      <c r="D221" s="64"/>
      <c r="E221" s="65"/>
      <c r="F221" s="167"/>
      <c r="G221" s="168"/>
      <c r="H221" s="67">
        <v>0</v>
      </c>
      <c r="I221" s="67">
        <v>0</v>
      </c>
      <c r="J221" s="67">
        <v>0</v>
      </c>
      <c r="K221" s="68"/>
      <c r="L221" s="68"/>
      <c r="M221" s="64"/>
      <c r="N221" s="69"/>
      <c r="O221" s="117"/>
      <c r="P221" s="118"/>
      <c r="Q221" s="71">
        <v>0</v>
      </c>
      <c r="R221" s="71">
        <v>0</v>
      </c>
      <c r="S221" s="72">
        <v>0</v>
      </c>
    </row>
    <row r="222" spans="1:19" ht="22.5" customHeight="1" x14ac:dyDescent="0.3">
      <c r="A222" s="61">
        <v>30</v>
      </c>
      <c r="B222" s="838" t="s">
        <v>303</v>
      </c>
      <c r="C222" s="63" t="s">
        <v>1387</v>
      </c>
      <c r="D222" s="64"/>
      <c r="E222" s="65" t="s">
        <v>1336</v>
      </c>
      <c r="F222" s="167"/>
      <c r="G222" s="168"/>
      <c r="H222" s="67">
        <v>633.44000000000005</v>
      </c>
      <c r="I222" s="67">
        <v>0</v>
      </c>
      <c r="J222" s="67">
        <v>633.44000000000005</v>
      </c>
      <c r="K222" s="68" t="s">
        <v>1519</v>
      </c>
      <c r="L222" s="68" t="s">
        <v>1539</v>
      </c>
      <c r="M222" s="64">
        <v>633.44000000000005</v>
      </c>
      <c r="N222" s="69"/>
      <c r="O222" s="117"/>
      <c r="P222" s="118"/>
      <c r="Q222" s="71">
        <v>0</v>
      </c>
      <c r="R222" s="71">
        <v>0</v>
      </c>
      <c r="S222" s="72">
        <v>0</v>
      </c>
    </row>
    <row r="223" spans="1:19" ht="22.5" customHeight="1" x14ac:dyDescent="0.3">
      <c r="A223" s="61">
        <v>31</v>
      </c>
      <c r="B223" s="838" t="s">
        <v>296</v>
      </c>
      <c r="C223" s="63" t="s">
        <v>1388</v>
      </c>
      <c r="D223" s="64"/>
      <c r="E223" s="65"/>
      <c r="F223" s="167"/>
      <c r="G223" s="168"/>
      <c r="H223" s="67">
        <v>0</v>
      </c>
      <c r="I223" s="67">
        <v>0</v>
      </c>
      <c r="J223" s="67">
        <v>0</v>
      </c>
      <c r="K223" s="68"/>
      <c r="L223" s="68"/>
      <c r="M223" s="64"/>
      <c r="N223" s="69"/>
      <c r="O223" s="117"/>
      <c r="P223" s="118"/>
      <c r="Q223" s="71">
        <v>0</v>
      </c>
      <c r="R223" s="71">
        <v>0</v>
      </c>
      <c r="S223" s="72">
        <v>0</v>
      </c>
    </row>
    <row r="224" spans="1:19" ht="22.5" customHeight="1" x14ac:dyDescent="0.3">
      <c r="A224" s="61">
        <v>32</v>
      </c>
      <c r="B224" s="838" t="s">
        <v>308</v>
      </c>
      <c r="C224" s="63" t="s">
        <v>1389</v>
      </c>
      <c r="D224" s="64"/>
      <c r="E224" s="65" t="s">
        <v>1336</v>
      </c>
      <c r="F224" s="167"/>
      <c r="G224" s="168"/>
      <c r="H224" s="67">
        <v>1900.32</v>
      </c>
      <c r="I224" s="67">
        <v>0</v>
      </c>
      <c r="J224" s="67">
        <v>1900.32</v>
      </c>
      <c r="K224" s="68" t="s">
        <v>1433</v>
      </c>
      <c r="L224" s="68" t="s">
        <v>1540</v>
      </c>
      <c r="M224" s="64">
        <v>1900.32</v>
      </c>
      <c r="N224" s="69"/>
      <c r="O224" s="117"/>
      <c r="P224" s="118"/>
      <c r="Q224" s="71">
        <v>0</v>
      </c>
      <c r="R224" s="71">
        <v>0</v>
      </c>
      <c r="S224" s="72">
        <v>0</v>
      </c>
    </row>
    <row r="225" spans="1:19" ht="22.5" customHeight="1" x14ac:dyDescent="0.3">
      <c r="A225" s="61">
        <v>33</v>
      </c>
      <c r="B225" s="838" t="s">
        <v>261</v>
      </c>
      <c r="C225" s="63" t="s">
        <v>1381</v>
      </c>
      <c r="D225" s="64"/>
      <c r="E225" s="65"/>
      <c r="F225" s="167"/>
      <c r="G225" s="168"/>
      <c r="H225" s="67">
        <v>0</v>
      </c>
      <c r="I225" s="67">
        <v>0</v>
      </c>
      <c r="J225" s="67">
        <v>0</v>
      </c>
      <c r="K225" s="68"/>
      <c r="L225" s="68"/>
      <c r="M225" s="64"/>
      <c r="N225" s="69"/>
      <c r="O225" s="117"/>
      <c r="P225" s="118"/>
      <c r="Q225" s="71">
        <v>0</v>
      </c>
      <c r="R225" s="71">
        <v>0</v>
      </c>
      <c r="S225" s="72">
        <v>0</v>
      </c>
    </row>
    <row r="226" spans="1:19" ht="22.5" customHeight="1" x14ac:dyDescent="0.3">
      <c r="A226" s="61">
        <v>34</v>
      </c>
      <c r="B226" s="838" t="s">
        <v>261</v>
      </c>
      <c r="C226" s="63" t="s">
        <v>1390</v>
      </c>
      <c r="D226" s="64"/>
      <c r="E226" s="65"/>
      <c r="F226" s="167"/>
      <c r="G226" s="168"/>
      <c r="H226" s="67">
        <v>0</v>
      </c>
      <c r="I226" s="67">
        <v>0</v>
      </c>
      <c r="J226" s="67">
        <v>0</v>
      </c>
      <c r="K226" s="68"/>
      <c r="L226" s="68"/>
      <c r="M226" s="64"/>
      <c r="N226" s="69"/>
      <c r="O226" s="117"/>
      <c r="P226" s="118"/>
      <c r="Q226" s="71">
        <v>0</v>
      </c>
      <c r="R226" s="71">
        <v>0</v>
      </c>
      <c r="S226" s="72">
        <v>0</v>
      </c>
    </row>
    <row r="227" spans="1:19" ht="22.5" customHeight="1" x14ac:dyDescent="0.3">
      <c r="A227" s="61">
        <v>35</v>
      </c>
      <c r="B227" s="838" t="s">
        <v>313</v>
      </c>
      <c r="C227" s="63" t="s">
        <v>1391</v>
      </c>
      <c r="D227" s="64"/>
      <c r="E227" s="65"/>
      <c r="F227" s="167"/>
      <c r="G227" s="168"/>
      <c r="H227" s="67">
        <v>0</v>
      </c>
      <c r="I227" s="67">
        <v>0</v>
      </c>
      <c r="J227" s="67">
        <v>0</v>
      </c>
      <c r="K227" s="68"/>
      <c r="L227" s="68"/>
      <c r="M227" s="64"/>
      <c r="N227" s="69"/>
      <c r="O227" s="117"/>
      <c r="P227" s="118"/>
      <c r="Q227" s="71">
        <v>0</v>
      </c>
      <c r="R227" s="71">
        <v>0</v>
      </c>
      <c r="S227" s="72">
        <v>0</v>
      </c>
    </row>
    <row r="228" spans="1:19" ht="22.5" customHeight="1" x14ac:dyDescent="0.3">
      <c r="A228" s="61"/>
      <c r="B228" s="838" t="s">
        <v>1392</v>
      </c>
      <c r="C228" s="63"/>
      <c r="D228" s="64"/>
      <c r="E228" s="65"/>
      <c r="F228" s="167"/>
      <c r="G228" s="168"/>
      <c r="H228" s="67"/>
      <c r="I228" s="67"/>
      <c r="J228" s="67"/>
      <c r="K228" s="68"/>
      <c r="L228" s="68"/>
      <c r="M228" s="64"/>
      <c r="N228" s="69"/>
      <c r="O228" s="117"/>
      <c r="P228" s="118"/>
      <c r="Q228" s="71"/>
      <c r="R228" s="71"/>
      <c r="S228" s="72"/>
    </row>
    <row r="229" spans="1:19" ht="22.5" customHeight="1" x14ac:dyDescent="0.3">
      <c r="A229" s="61">
        <v>37</v>
      </c>
      <c r="B229" s="838" t="s">
        <v>261</v>
      </c>
      <c r="C229" s="63" t="s">
        <v>1393</v>
      </c>
      <c r="D229" s="64"/>
      <c r="E229" s="65"/>
      <c r="F229" s="167"/>
      <c r="G229" s="168"/>
      <c r="H229" s="67">
        <v>0</v>
      </c>
      <c r="I229" s="67">
        <v>0</v>
      </c>
      <c r="J229" s="67">
        <v>0</v>
      </c>
      <c r="K229" s="68"/>
      <c r="L229" s="68"/>
      <c r="M229" s="64"/>
      <c r="N229" s="69"/>
      <c r="O229" s="117"/>
      <c r="P229" s="118"/>
      <c r="Q229" s="71">
        <v>0</v>
      </c>
      <c r="R229" s="71">
        <v>0</v>
      </c>
      <c r="S229" s="72">
        <v>0</v>
      </c>
    </row>
    <row r="230" spans="1:19" ht="22.5" customHeight="1" x14ac:dyDescent="0.3">
      <c r="A230" s="61">
        <v>38</v>
      </c>
      <c r="B230" s="838" t="s">
        <v>149</v>
      </c>
      <c r="C230" s="63" t="s">
        <v>1394</v>
      </c>
      <c r="D230" s="64"/>
      <c r="E230" s="65"/>
      <c r="F230" s="167"/>
      <c r="G230" s="168"/>
      <c r="H230" s="67">
        <v>0</v>
      </c>
      <c r="I230" s="67">
        <v>0</v>
      </c>
      <c r="J230" s="67">
        <v>0</v>
      </c>
      <c r="K230" s="68"/>
      <c r="L230" s="68"/>
      <c r="M230" s="64"/>
      <c r="N230" s="69"/>
      <c r="O230" s="117"/>
      <c r="P230" s="118"/>
      <c r="Q230" s="71">
        <v>0</v>
      </c>
      <c r="R230" s="71">
        <v>0</v>
      </c>
      <c r="S230" s="72">
        <v>0</v>
      </c>
    </row>
    <row r="231" spans="1:19" ht="22.5" customHeight="1" x14ac:dyDescent="0.3">
      <c r="A231" s="61">
        <v>39</v>
      </c>
      <c r="B231" s="838" t="s">
        <v>320</v>
      </c>
      <c r="C231" s="63" t="s">
        <v>1387</v>
      </c>
      <c r="D231" s="64"/>
      <c r="E231" s="65"/>
      <c r="F231" s="167"/>
      <c r="G231" s="168"/>
      <c r="H231" s="67">
        <v>0</v>
      </c>
      <c r="I231" s="67">
        <v>0</v>
      </c>
      <c r="J231" s="67">
        <v>0</v>
      </c>
      <c r="K231" s="68"/>
      <c r="L231" s="68"/>
      <c r="M231" s="64"/>
      <c r="N231" s="69"/>
      <c r="O231" s="117"/>
      <c r="P231" s="118"/>
      <c r="Q231" s="71">
        <v>0</v>
      </c>
      <c r="R231" s="71">
        <v>0</v>
      </c>
      <c r="S231" s="72">
        <v>0</v>
      </c>
    </row>
    <row r="232" spans="1:19" ht="22.5" customHeight="1" x14ac:dyDescent="0.3">
      <c r="A232" s="61">
        <v>40</v>
      </c>
      <c r="B232" s="838" t="s">
        <v>322</v>
      </c>
      <c r="C232" s="63" t="s">
        <v>1388</v>
      </c>
      <c r="D232" s="64"/>
      <c r="E232" s="65"/>
      <c r="F232" s="167"/>
      <c r="G232" s="168"/>
      <c r="H232" s="67">
        <v>0</v>
      </c>
      <c r="I232" s="67">
        <v>0</v>
      </c>
      <c r="J232" s="67">
        <v>0</v>
      </c>
      <c r="K232" s="68"/>
      <c r="L232" s="68"/>
      <c r="M232" s="64"/>
      <c r="N232" s="69"/>
      <c r="O232" s="117"/>
      <c r="P232" s="118"/>
      <c r="Q232" s="71">
        <v>0</v>
      </c>
      <c r="R232" s="71">
        <v>0</v>
      </c>
      <c r="S232" s="72">
        <v>0</v>
      </c>
    </row>
    <row r="233" spans="1:19" ht="22.5" customHeight="1" x14ac:dyDescent="0.3">
      <c r="A233" s="61">
        <v>41</v>
      </c>
      <c r="B233" s="838" t="s">
        <v>293</v>
      </c>
      <c r="C233" s="63" t="s">
        <v>1346</v>
      </c>
      <c r="D233" s="64"/>
      <c r="E233" s="65"/>
      <c r="F233" s="167"/>
      <c r="G233" s="168"/>
      <c r="H233" s="67">
        <v>0</v>
      </c>
      <c r="I233" s="67">
        <v>0</v>
      </c>
      <c r="J233" s="67">
        <v>0</v>
      </c>
      <c r="K233" s="68"/>
      <c r="L233" s="68"/>
      <c r="M233" s="64"/>
      <c r="N233" s="69"/>
      <c r="O233" s="117"/>
      <c r="P233" s="118"/>
      <c r="Q233" s="71">
        <v>0</v>
      </c>
      <c r="R233" s="71">
        <v>0</v>
      </c>
      <c r="S233" s="72">
        <v>0</v>
      </c>
    </row>
    <row r="234" spans="1:19" ht="22.5" customHeight="1" x14ac:dyDescent="0.3">
      <c r="A234" s="61">
        <v>42</v>
      </c>
      <c r="B234" s="838" t="s">
        <v>293</v>
      </c>
      <c r="C234" s="63" t="s">
        <v>1372</v>
      </c>
      <c r="D234" s="64"/>
      <c r="E234" s="65"/>
      <c r="F234" s="167"/>
      <c r="G234" s="168"/>
      <c r="H234" s="67">
        <v>0</v>
      </c>
      <c r="I234" s="67">
        <v>0</v>
      </c>
      <c r="J234" s="67">
        <v>0</v>
      </c>
      <c r="K234" s="68"/>
      <c r="L234" s="68"/>
      <c r="M234" s="64"/>
      <c r="N234" s="69"/>
      <c r="O234" s="117"/>
      <c r="P234" s="118"/>
      <c r="Q234" s="71">
        <v>0</v>
      </c>
      <c r="R234" s="71">
        <v>0</v>
      </c>
      <c r="S234" s="72">
        <v>0</v>
      </c>
    </row>
    <row r="235" spans="1:19" s="60" customFormat="1" ht="22.5" customHeight="1" thickBot="1" x14ac:dyDescent="0.35">
      <c r="A235" s="317"/>
      <c r="B235" s="317" t="s">
        <v>15</v>
      </c>
      <c r="C235" s="318"/>
      <c r="D235" s="383">
        <f>SUM(D193:D234)</f>
        <v>0</v>
      </c>
      <c r="E235" s="383">
        <f t="shared" ref="E235:S235" si="22">SUM(E193:E234)</f>
        <v>0</v>
      </c>
      <c r="F235" s="383">
        <f t="shared" si="22"/>
        <v>0</v>
      </c>
      <c r="G235" s="383">
        <f t="shared" si="22"/>
        <v>0</v>
      </c>
      <c r="H235" s="383">
        <f t="shared" si="22"/>
        <v>6334.4</v>
      </c>
      <c r="I235" s="383">
        <f t="shared" si="22"/>
        <v>0</v>
      </c>
      <c r="J235" s="383">
        <f t="shared" si="22"/>
        <v>6334.4</v>
      </c>
      <c r="K235" s="383">
        <f t="shared" si="22"/>
        <v>0</v>
      </c>
      <c r="L235" s="383">
        <f t="shared" si="22"/>
        <v>0</v>
      </c>
      <c r="M235" s="383">
        <f t="shared" si="22"/>
        <v>3800.6400000000003</v>
      </c>
      <c r="N235" s="383">
        <f t="shared" si="22"/>
        <v>0</v>
      </c>
      <c r="O235" s="383">
        <f t="shared" si="22"/>
        <v>0</v>
      </c>
      <c r="P235" s="383">
        <f t="shared" si="22"/>
        <v>0</v>
      </c>
      <c r="Q235" s="383">
        <f t="shared" si="22"/>
        <v>2533.7600000000002</v>
      </c>
      <c r="R235" s="383">
        <f t="shared" si="22"/>
        <v>0</v>
      </c>
      <c r="S235" s="383">
        <f t="shared" si="22"/>
        <v>2533.7600000000002</v>
      </c>
    </row>
    <row r="236" spans="1:19" ht="22.5" customHeight="1" thickTop="1" x14ac:dyDescent="0.3">
      <c r="A236" s="115"/>
      <c r="B236" s="412" t="s">
        <v>395</v>
      </c>
      <c r="C236" s="165"/>
      <c r="D236" s="86"/>
      <c r="E236" s="413"/>
      <c r="F236" s="413"/>
      <c r="G236" s="414"/>
      <c r="H236" s="415"/>
      <c r="I236" s="415"/>
      <c r="J236" s="415"/>
      <c r="K236" s="170"/>
      <c r="L236" s="171"/>
      <c r="M236" s="86"/>
      <c r="N236" s="115"/>
      <c r="O236" s="115"/>
      <c r="P236" s="414"/>
      <c r="Q236" s="416"/>
      <c r="R236" s="416"/>
      <c r="S236" s="417"/>
    </row>
    <row r="237" spans="1:19" ht="22.5" customHeight="1" x14ac:dyDescent="0.3">
      <c r="A237" s="115"/>
      <c r="B237" s="412"/>
      <c r="C237" s="165"/>
      <c r="D237" s="86"/>
      <c r="E237" s="413"/>
      <c r="F237" s="413"/>
      <c r="G237" s="414"/>
      <c r="H237" s="415"/>
      <c r="I237" s="415"/>
      <c r="J237" s="415"/>
      <c r="K237" s="170"/>
      <c r="L237" s="171"/>
      <c r="M237" s="86"/>
      <c r="N237" s="115"/>
      <c r="O237" s="115"/>
      <c r="P237" s="414"/>
      <c r="Q237" s="416"/>
      <c r="R237" s="416"/>
      <c r="S237" s="417"/>
    </row>
    <row r="238" spans="1:19" ht="22.5" customHeight="1" x14ac:dyDescent="0.3">
      <c r="A238" s="115"/>
      <c r="B238" s="412"/>
      <c r="C238" s="165"/>
      <c r="D238" s="86"/>
      <c r="E238" s="413"/>
      <c r="F238" s="413"/>
      <c r="G238" s="414"/>
      <c r="H238" s="415"/>
      <c r="I238" s="415"/>
      <c r="J238" s="415"/>
      <c r="K238" s="170"/>
      <c r="L238" s="171"/>
      <c r="M238" s="86"/>
      <c r="N238" s="115"/>
      <c r="O238" s="115"/>
      <c r="P238" s="414"/>
      <c r="Q238" s="416"/>
      <c r="R238" s="416"/>
      <c r="S238" s="417"/>
    </row>
    <row r="239" spans="1:19" s="60" customFormat="1" ht="22.2" customHeight="1" thickBot="1" x14ac:dyDescent="0.35">
      <c r="A239" s="418"/>
      <c r="B239" s="419" t="s">
        <v>15</v>
      </c>
      <c r="C239" s="420"/>
      <c r="D239" s="421">
        <v>0</v>
      </c>
      <c r="E239" s="422"/>
      <c r="F239" s="422"/>
      <c r="G239" s="423"/>
      <c r="H239" s="424"/>
      <c r="I239" s="424"/>
      <c r="J239" s="424"/>
      <c r="K239" s="425"/>
      <c r="L239" s="426"/>
      <c r="M239" s="421">
        <v>0</v>
      </c>
      <c r="N239" s="418"/>
      <c r="O239" s="418"/>
      <c r="P239" s="423"/>
      <c r="Q239" s="427">
        <v>0</v>
      </c>
      <c r="R239" s="427">
        <v>0</v>
      </c>
      <c r="S239" s="428">
        <v>0</v>
      </c>
    </row>
    <row r="240" spans="1:19" ht="22.5" customHeight="1" thickTop="1" x14ac:dyDescent="0.3">
      <c r="A240" s="429"/>
      <c r="B240" s="430"/>
      <c r="C240" s="431"/>
      <c r="D240" s="432"/>
      <c r="E240" s="433"/>
      <c r="F240" s="433"/>
      <c r="G240" s="434"/>
      <c r="H240" s="435"/>
      <c r="I240" s="435"/>
      <c r="J240" s="435"/>
      <c r="K240" s="436"/>
      <c r="L240" s="437"/>
      <c r="M240" s="438"/>
      <c r="N240" s="439"/>
      <c r="O240" s="439"/>
      <c r="P240" s="440"/>
      <c r="Q240" s="441"/>
      <c r="R240" s="441"/>
      <c r="S240" s="442"/>
    </row>
    <row r="241" spans="1:20" ht="22.5" customHeight="1" x14ac:dyDescent="0.3">
      <c r="A241" s="61"/>
      <c r="B241" s="4" t="s">
        <v>396</v>
      </c>
      <c r="C241" s="63"/>
      <c r="D241" s="382"/>
      <c r="E241" s="443"/>
      <c r="F241" s="443"/>
      <c r="G241" s="66"/>
      <c r="H241" s="444"/>
      <c r="I241" s="444"/>
      <c r="J241" s="444"/>
      <c r="K241" s="68"/>
      <c r="L241" s="445"/>
      <c r="M241" s="64"/>
      <c r="N241" s="69"/>
      <c r="O241" s="69"/>
      <c r="P241" s="70"/>
      <c r="Q241" s="71"/>
      <c r="R241" s="71"/>
      <c r="S241" s="387"/>
    </row>
    <row r="242" spans="1:20" ht="22.5" customHeight="1" x14ac:dyDescent="0.5">
      <c r="A242" s="446">
        <v>1</v>
      </c>
      <c r="B242" s="447" t="s">
        <v>398</v>
      </c>
      <c r="C242" s="63"/>
      <c r="D242" s="382"/>
      <c r="E242" s="443"/>
      <c r="F242" s="443"/>
      <c r="G242" s="66"/>
      <c r="H242" s="448">
        <v>0</v>
      </c>
      <c r="I242" s="448">
        <v>0</v>
      </c>
      <c r="J242" s="448">
        <v>0</v>
      </c>
      <c r="K242" s="449"/>
      <c r="L242" s="450"/>
      <c r="M242" s="451"/>
      <c r="N242" s="69"/>
      <c r="O242" s="69"/>
      <c r="P242" s="70"/>
      <c r="Q242" s="71">
        <f>SUM(S242)</f>
        <v>0</v>
      </c>
      <c r="R242" s="71">
        <v>0</v>
      </c>
      <c r="S242" s="387">
        <f>SUM(D242+J242-M242)</f>
        <v>0</v>
      </c>
    </row>
    <row r="243" spans="1:20" ht="22.5" customHeight="1" x14ac:dyDescent="0.3">
      <c r="A243" s="61"/>
      <c r="B243" s="164" t="s">
        <v>399</v>
      </c>
      <c r="C243" s="63"/>
      <c r="D243" s="382"/>
      <c r="E243" s="443"/>
      <c r="F243" s="443"/>
      <c r="G243" s="66"/>
      <c r="H243" s="444"/>
      <c r="I243" s="444"/>
      <c r="J243" s="444"/>
      <c r="K243" s="68"/>
      <c r="L243" s="445"/>
      <c r="M243" s="64"/>
      <c r="N243" s="69"/>
      <c r="O243" s="69"/>
      <c r="P243" s="70"/>
      <c r="Q243" s="71"/>
      <c r="R243" s="71"/>
      <c r="S243" s="387"/>
    </row>
    <row r="244" spans="1:20" ht="22.5" customHeight="1" x14ac:dyDescent="0.5">
      <c r="A244" s="61">
        <v>1</v>
      </c>
      <c r="B244" s="290" t="s">
        <v>400</v>
      </c>
      <c r="C244" s="25" t="s">
        <v>333</v>
      </c>
      <c r="D244" s="452"/>
      <c r="E244" s="443"/>
      <c r="F244" s="443"/>
      <c r="G244" s="66"/>
      <c r="H244" s="67">
        <v>0</v>
      </c>
      <c r="I244" s="67">
        <v>0</v>
      </c>
      <c r="J244" s="67">
        <v>0</v>
      </c>
      <c r="K244" s="449"/>
      <c r="L244" s="450"/>
      <c r="M244" s="451"/>
      <c r="N244" s="69"/>
      <c r="O244" s="69"/>
      <c r="P244" s="70"/>
      <c r="Q244" s="71">
        <f t="shared" ref="Q244:Q293" si="23">SUM(S244)</f>
        <v>0</v>
      </c>
      <c r="R244" s="71">
        <v>0</v>
      </c>
      <c r="S244" s="387">
        <f t="shared" ref="S244:S293" si="24">SUM(D244+J244-M244)</f>
        <v>0</v>
      </c>
    </row>
    <row r="245" spans="1:20" ht="22.5" customHeight="1" x14ac:dyDescent="0.5">
      <c r="A245" s="61">
        <v>2</v>
      </c>
      <c r="B245" s="290" t="s">
        <v>401</v>
      </c>
      <c r="C245" s="81" t="s">
        <v>336</v>
      </c>
      <c r="D245" s="452"/>
      <c r="E245" s="443"/>
      <c r="F245" s="443"/>
      <c r="G245" s="66"/>
      <c r="H245" s="67">
        <v>0</v>
      </c>
      <c r="I245" s="67">
        <v>0</v>
      </c>
      <c r="J245" s="67">
        <v>0</v>
      </c>
      <c r="K245" s="449"/>
      <c r="L245" s="450"/>
      <c r="M245" s="451"/>
      <c r="N245" s="69"/>
      <c r="O245" s="69"/>
      <c r="P245" s="70"/>
      <c r="Q245" s="71">
        <f t="shared" si="23"/>
        <v>0</v>
      </c>
      <c r="R245" s="71">
        <v>0</v>
      </c>
      <c r="S245" s="387">
        <f t="shared" si="24"/>
        <v>0</v>
      </c>
    </row>
    <row r="246" spans="1:20" ht="22.5" customHeight="1" x14ac:dyDescent="0.5">
      <c r="A246" s="61">
        <v>3</v>
      </c>
      <c r="B246" s="290" t="s">
        <v>403</v>
      </c>
      <c r="C246" s="25" t="s">
        <v>339</v>
      </c>
      <c r="D246" s="452"/>
      <c r="E246" s="443"/>
      <c r="F246" s="443"/>
      <c r="G246" s="66"/>
      <c r="H246" s="67">
        <v>0</v>
      </c>
      <c r="I246" s="67">
        <v>0</v>
      </c>
      <c r="J246" s="67">
        <v>0</v>
      </c>
      <c r="K246" s="449"/>
      <c r="L246" s="450"/>
      <c r="M246" s="451"/>
      <c r="N246" s="69"/>
      <c r="O246" s="69"/>
      <c r="P246" s="70"/>
      <c r="Q246" s="71">
        <f t="shared" si="23"/>
        <v>0</v>
      </c>
      <c r="R246" s="71">
        <v>0</v>
      </c>
      <c r="S246" s="387">
        <f t="shared" si="24"/>
        <v>0</v>
      </c>
    </row>
    <row r="247" spans="1:20" ht="22.5" customHeight="1" x14ac:dyDescent="0.5">
      <c r="A247" s="61">
        <v>4</v>
      </c>
      <c r="B247" s="290" t="s">
        <v>405</v>
      </c>
      <c r="C247" s="25" t="s">
        <v>406</v>
      </c>
      <c r="D247" s="452"/>
      <c r="E247" s="443"/>
      <c r="F247" s="443"/>
      <c r="G247" s="66"/>
      <c r="H247" s="67">
        <v>0</v>
      </c>
      <c r="I247" s="67">
        <v>0</v>
      </c>
      <c r="J247" s="67">
        <v>0</v>
      </c>
      <c r="K247" s="449"/>
      <c r="L247" s="450"/>
      <c r="M247" s="451"/>
      <c r="N247" s="69"/>
      <c r="O247" s="69"/>
      <c r="P247" s="70"/>
      <c r="Q247" s="71">
        <f t="shared" si="23"/>
        <v>0</v>
      </c>
      <c r="R247" s="71">
        <v>0</v>
      </c>
      <c r="S247" s="387">
        <f t="shared" si="24"/>
        <v>0</v>
      </c>
    </row>
    <row r="248" spans="1:20" ht="22.5" customHeight="1" x14ac:dyDescent="0.5">
      <c r="A248" s="61">
        <v>5</v>
      </c>
      <c r="B248" s="290" t="s">
        <v>407</v>
      </c>
      <c r="C248" s="63" t="s">
        <v>331</v>
      </c>
      <c r="D248" s="452"/>
      <c r="E248" s="443"/>
      <c r="F248" s="443"/>
      <c r="G248" s="66"/>
      <c r="H248" s="67">
        <v>0</v>
      </c>
      <c r="I248" s="67">
        <v>0</v>
      </c>
      <c r="J248" s="67">
        <v>0</v>
      </c>
      <c r="K248" s="449"/>
      <c r="L248" s="450"/>
      <c r="M248" s="451"/>
      <c r="N248" s="69"/>
      <c r="O248" s="69"/>
      <c r="P248" s="70"/>
      <c r="Q248" s="71">
        <f t="shared" si="23"/>
        <v>0</v>
      </c>
      <c r="R248" s="71">
        <v>0</v>
      </c>
      <c r="S248" s="387">
        <f t="shared" si="24"/>
        <v>0</v>
      </c>
    </row>
    <row r="249" spans="1:20" ht="22.5" customHeight="1" x14ac:dyDescent="0.5">
      <c r="A249" s="61">
        <v>6</v>
      </c>
      <c r="B249" s="290" t="s">
        <v>408</v>
      </c>
      <c r="C249" s="63" t="s">
        <v>331</v>
      </c>
      <c r="D249" s="452"/>
      <c r="E249" s="443"/>
      <c r="F249" s="443"/>
      <c r="G249" s="66"/>
      <c r="H249" s="67">
        <v>0</v>
      </c>
      <c r="I249" s="67">
        <v>0</v>
      </c>
      <c r="J249" s="67">
        <v>0</v>
      </c>
      <c r="K249" s="449"/>
      <c r="L249" s="450"/>
      <c r="M249" s="451"/>
      <c r="N249" s="69"/>
      <c r="O249" s="69"/>
      <c r="P249" s="70"/>
      <c r="Q249" s="71">
        <f t="shared" si="23"/>
        <v>0</v>
      </c>
      <c r="R249" s="71">
        <v>0</v>
      </c>
      <c r="S249" s="387">
        <f t="shared" si="24"/>
        <v>0</v>
      </c>
    </row>
    <row r="250" spans="1:20" ht="22.5" customHeight="1" x14ac:dyDescent="0.5">
      <c r="A250" s="61">
        <v>7</v>
      </c>
      <c r="B250" s="290" t="s">
        <v>410</v>
      </c>
      <c r="C250" s="63" t="s">
        <v>411</v>
      </c>
      <c r="D250" s="452"/>
      <c r="E250" s="443"/>
      <c r="F250" s="443"/>
      <c r="G250" s="66"/>
      <c r="H250" s="67">
        <v>0</v>
      </c>
      <c r="I250" s="67">
        <v>0</v>
      </c>
      <c r="J250" s="67">
        <v>0</v>
      </c>
      <c r="K250" s="449"/>
      <c r="L250" s="450"/>
      <c r="M250" s="451"/>
      <c r="N250" s="69"/>
      <c r="O250" s="69"/>
      <c r="P250" s="70"/>
      <c r="Q250" s="71">
        <f t="shared" si="23"/>
        <v>0</v>
      </c>
      <c r="R250" s="71">
        <v>0</v>
      </c>
      <c r="S250" s="387">
        <f t="shared" si="24"/>
        <v>0</v>
      </c>
    </row>
    <row r="251" spans="1:20" ht="22.5" customHeight="1" x14ac:dyDescent="0.5">
      <c r="A251" s="61">
        <v>8</v>
      </c>
      <c r="B251" s="290" t="s">
        <v>413</v>
      </c>
      <c r="C251" s="63"/>
      <c r="D251" s="452"/>
      <c r="E251" s="443"/>
      <c r="F251" s="443"/>
      <c r="G251" s="66"/>
      <c r="H251" s="67">
        <v>0</v>
      </c>
      <c r="I251" s="67">
        <v>0</v>
      </c>
      <c r="J251" s="67">
        <v>0</v>
      </c>
      <c r="K251" s="449"/>
      <c r="L251" s="450"/>
      <c r="M251" s="451"/>
      <c r="N251" s="69"/>
      <c r="O251" s="69"/>
      <c r="P251" s="70"/>
      <c r="Q251" s="71">
        <f t="shared" si="23"/>
        <v>0</v>
      </c>
      <c r="R251" s="71">
        <v>0</v>
      </c>
      <c r="S251" s="387">
        <f t="shared" si="24"/>
        <v>0</v>
      </c>
    </row>
    <row r="252" spans="1:20" ht="22.5" customHeight="1" x14ac:dyDescent="0.5">
      <c r="A252" s="61">
        <v>9</v>
      </c>
      <c r="B252" s="290" t="s">
        <v>414</v>
      </c>
      <c r="C252" s="63" t="s">
        <v>415</v>
      </c>
      <c r="D252" s="452"/>
      <c r="E252" s="443"/>
      <c r="F252" s="443"/>
      <c r="G252" s="66"/>
      <c r="H252" s="67">
        <v>0</v>
      </c>
      <c r="I252" s="67">
        <v>0</v>
      </c>
      <c r="J252" s="67">
        <v>0</v>
      </c>
      <c r="K252" s="449"/>
      <c r="L252" s="450"/>
      <c r="M252" s="451"/>
      <c r="N252" s="69"/>
      <c r="O252" s="69"/>
      <c r="P252" s="70"/>
      <c r="Q252" s="71">
        <f t="shared" si="23"/>
        <v>0</v>
      </c>
      <c r="R252" s="71">
        <v>0</v>
      </c>
      <c r="S252" s="387">
        <f t="shared" si="24"/>
        <v>0</v>
      </c>
    </row>
    <row r="253" spans="1:20" ht="22.5" customHeight="1" x14ac:dyDescent="0.5">
      <c r="A253" s="61">
        <v>10</v>
      </c>
      <c r="B253" s="290" t="s">
        <v>359</v>
      </c>
      <c r="C253" s="63" t="s">
        <v>417</v>
      </c>
      <c r="D253" s="452"/>
      <c r="E253" s="443"/>
      <c r="F253" s="443"/>
      <c r="G253" s="66"/>
      <c r="H253" s="67">
        <v>0</v>
      </c>
      <c r="I253" s="67">
        <v>0</v>
      </c>
      <c r="J253" s="67">
        <v>0</v>
      </c>
      <c r="K253" s="449"/>
      <c r="L253" s="450"/>
      <c r="M253" s="451"/>
      <c r="N253" s="69"/>
      <c r="O253" s="69"/>
      <c r="P253" s="70"/>
      <c r="Q253" s="71">
        <f t="shared" si="23"/>
        <v>0</v>
      </c>
      <c r="R253" s="71">
        <v>0</v>
      </c>
      <c r="S253" s="387">
        <f t="shared" si="24"/>
        <v>0</v>
      </c>
    </row>
    <row r="254" spans="1:20" ht="22.5" customHeight="1" x14ac:dyDescent="0.5">
      <c r="A254" s="61">
        <v>11</v>
      </c>
      <c r="B254" s="290" t="s">
        <v>397</v>
      </c>
      <c r="C254" s="63" t="s">
        <v>417</v>
      </c>
      <c r="D254" s="452"/>
      <c r="E254" s="443"/>
      <c r="F254" s="443"/>
      <c r="G254" s="66"/>
      <c r="H254" s="67">
        <v>0</v>
      </c>
      <c r="I254" s="67">
        <v>0</v>
      </c>
      <c r="J254" s="67">
        <v>0</v>
      </c>
      <c r="K254" s="449"/>
      <c r="L254" s="450"/>
      <c r="M254" s="451"/>
      <c r="N254" s="69"/>
      <c r="O254" s="69"/>
      <c r="P254" s="70"/>
      <c r="Q254" s="71">
        <f t="shared" si="23"/>
        <v>0</v>
      </c>
      <c r="R254" s="71">
        <v>0</v>
      </c>
      <c r="S254" s="387">
        <f t="shared" si="24"/>
        <v>0</v>
      </c>
    </row>
    <row r="255" spans="1:20" ht="22.5" customHeight="1" x14ac:dyDescent="0.5">
      <c r="A255" s="61">
        <v>12</v>
      </c>
      <c r="B255" s="290" t="s">
        <v>358</v>
      </c>
      <c r="C255" s="63" t="s">
        <v>417</v>
      </c>
      <c r="D255" s="452"/>
      <c r="E255" s="443"/>
      <c r="F255" s="443"/>
      <c r="G255" s="66"/>
      <c r="H255" s="67">
        <v>0</v>
      </c>
      <c r="I255" s="67">
        <v>0</v>
      </c>
      <c r="J255" s="67">
        <v>0</v>
      </c>
      <c r="K255" s="449"/>
      <c r="L255" s="450"/>
      <c r="M255" s="451"/>
      <c r="N255" s="69"/>
      <c r="O255" s="69"/>
      <c r="P255" s="70"/>
      <c r="Q255" s="71">
        <f t="shared" si="23"/>
        <v>0</v>
      </c>
      <c r="R255" s="71">
        <v>0</v>
      </c>
      <c r="S255" s="387">
        <f t="shared" si="24"/>
        <v>0</v>
      </c>
    </row>
    <row r="256" spans="1:20" ht="22.5" customHeight="1" x14ac:dyDescent="0.5">
      <c r="A256" s="61">
        <v>13</v>
      </c>
      <c r="B256" s="290" t="s">
        <v>419</v>
      </c>
      <c r="C256" s="63" t="s">
        <v>417</v>
      </c>
      <c r="D256" s="452"/>
      <c r="E256" s="443"/>
      <c r="F256" s="443"/>
      <c r="G256" s="66"/>
      <c r="H256" s="67">
        <v>0</v>
      </c>
      <c r="I256" s="67">
        <v>0</v>
      </c>
      <c r="J256" s="67">
        <v>0</v>
      </c>
      <c r="K256" s="30"/>
      <c r="L256" s="249"/>
      <c r="M256" s="451"/>
      <c r="N256" s="69"/>
      <c r="O256" s="69"/>
      <c r="P256" s="70"/>
      <c r="Q256" s="71">
        <f t="shared" si="23"/>
        <v>0</v>
      </c>
      <c r="R256" s="71">
        <v>0</v>
      </c>
      <c r="S256" s="387">
        <f t="shared" si="24"/>
        <v>0</v>
      </c>
      <c r="T256" s="3" t="s">
        <v>420</v>
      </c>
    </row>
    <row r="257" spans="1:19" ht="22.5" customHeight="1" x14ac:dyDescent="0.5">
      <c r="A257" s="61">
        <v>14</v>
      </c>
      <c r="B257" s="290" t="s">
        <v>353</v>
      </c>
      <c r="C257" s="63" t="s">
        <v>417</v>
      </c>
      <c r="D257" s="452"/>
      <c r="E257" s="443"/>
      <c r="F257" s="443"/>
      <c r="G257" s="66"/>
      <c r="H257" s="67">
        <v>0</v>
      </c>
      <c r="I257" s="67">
        <v>0</v>
      </c>
      <c r="J257" s="67">
        <v>0</v>
      </c>
      <c r="K257" s="449"/>
      <c r="L257" s="450"/>
      <c r="M257" s="451"/>
      <c r="N257" s="69"/>
      <c r="O257" s="69"/>
      <c r="P257" s="70"/>
      <c r="Q257" s="71">
        <f t="shared" si="23"/>
        <v>0</v>
      </c>
      <c r="R257" s="71">
        <v>0</v>
      </c>
      <c r="S257" s="387">
        <f t="shared" si="24"/>
        <v>0</v>
      </c>
    </row>
    <row r="258" spans="1:19" ht="22.5" customHeight="1" x14ac:dyDescent="0.5">
      <c r="A258" s="61">
        <v>15</v>
      </c>
      <c r="B258" s="290" t="s">
        <v>398</v>
      </c>
      <c r="C258" s="63" t="s">
        <v>417</v>
      </c>
      <c r="D258" s="452"/>
      <c r="E258" s="443"/>
      <c r="F258" s="443"/>
      <c r="G258" s="66"/>
      <c r="H258" s="67">
        <v>0</v>
      </c>
      <c r="I258" s="67">
        <v>0</v>
      </c>
      <c r="J258" s="67">
        <v>0</v>
      </c>
      <c r="K258" s="449"/>
      <c r="L258" s="450"/>
      <c r="M258" s="451"/>
      <c r="N258" s="69"/>
      <c r="O258" s="69"/>
      <c r="P258" s="70"/>
      <c r="Q258" s="71">
        <f t="shared" si="23"/>
        <v>0</v>
      </c>
      <c r="R258" s="71">
        <v>0</v>
      </c>
      <c r="S258" s="387">
        <f t="shared" si="24"/>
        <v>0</v>
      </c>
    </row>
    <row r="259" spans="1:19" ht="22.5" customHeight="1" x14ac:dyDescent="0.5">
      <c r="A259" s="61">
        <v>16</v>
      </c>
      <c r="B259" s="290" t="s">
        <v>421</v>
      </c>
      <c r="C259" s="63" t="s">
        <v>422</v>
      </c>
      <c r="D259" s="452"/>
      <c r="E259" s="443"/>
      <c r="F259" s="443"/>
      <c r="G259" s="66"/>
      <c r="H259" s="67">
        <v>0</v>
      </c>
      <c r="I259" s="67">
        <v>0</v>
      </c>
      <c r="J259" s="67">
        <v>0</v>
      </c>
      <c r="K259" s="449"/>
      <c r="L259" s="450"/>
      <c r="M259" s="451"/>
      <c r="N259" s="69"/>
      <c r="O259" s="69"/>
      <c r="P259" s="70"/>
      <c r="Q259" s="71">
        <f t="shared" si="23"/>
        <v>0</v>
      </c>
      <c r="R259" s="71">
        <v>0</v>
      </c>
      <c r="S259" s="387">
        <f t="shared" si="24"/>
        <v>0</v>
      </c>
    </row>
    <row r="260" spans="1:19" ht="22.5" customHeight="1" x14ac:dyDescent="0.5">
      <c r="A260" s="61">
        <v>17</v>
      </c>
      <c r="B260" s="290" t="s">
        <v>423</v>
      </c>
      <c r="C260" s="63" t="s">
        <v>424</v>
      </c>
      <c r="D260" s="452"/>
      <c r="E260" s="443"/>
      <c r="F260" s="443"/>
      <c r="G260" s="66"/>
      <c r="H260" s="67">
        <v>0</v>
      </c>
      <c r="I260" s="67">
        <v>0</v>
      </c>
      <c r="J260" s="67">
        <v>0</v>
      </c>
      <c r="K260" s="449"/>
      <c r="L260" s="450"/>
      <c r="M260" s="451"/>
      <c r="N260" s="69"/>
      <c r="O260" s="69"/>
      <c r="P260" s="70"/>
      <c r="Q260" s="71">
        <f t="shared" si="23"/>
        <v>0</v>
      </c>
      <c r="R260" s="71">
        <v>0</v>
      </c>
      <c r="S260" s="387">
        <f t="shared" si="24"/>
        <v>0</v>
      </c>
    </row>
    <row r="261" spans="1:19" ht="22.5" customHeight="1" x14ac:dyDescent="0.5">
      <c r="A261" s="61">
        <v>18</v>
      </c>
      <c r="B261" s="290" t="s">
        <v>425</v>
      </c>
      <c r="C261" s="63" t="s">
        <v>426</v>
      </c>
      <c r="D261" s="452"/>
      <c r="E261" s="443"/>
      <c r="F261" s="443"/>
      <c r="G261" s="66"/>
      <c r="H261" s="67">
        <v>0</v>
      </c>
      <c r="I261" s="67">
        <v>0</v>
      </c>
      <c r="J261" s="67">
        <v>0</v>
      </c>
      <c r="K261" s="449"/>
      <c r="L261" s="450"/>
      <c r="M261" s="451"/>
      <c r="N261" s="69"/>
      <c r="O261" s="69"/>
      <c r="P261" s="70"/>
      <c r="Q261" s="71">
        <f t="shared" si="23"/>
        <v>0</v>
      </c>
      <c r="R261" s="71">
        <v>0</v>
      </c>
      <c r="S261" s="387">
        <f t="shared" si="24"/>
        <v>0</v>
      </c>
    </row>
    <row r="262" spans="1:19" ht="22.5" customHeight="1" x14ac:dyDescent="0.5">
      <c r="A262" s="61">
        <v>19</v>
      </c>
      <c r="B262" s="290" t="s">
        <v>428</v>
      </c>
      <c r="C262" s="63" t="s">
        <v>429</v>
      </c>
      <c r="D262" s="452"/>
      <c r="E262" s="443"/>
      <c r="F262" s="443"/>
      <c r="G262" s="66"/>
      <c r="H262" s="67">
        <v>0</v>
      </c>
      <c r="I262" s="67">
        <v>0</v>
      </c>
      <c r="J262" s="67">
        <v>0</v>
      </c>
      <c r="K262" s="449"/>
      <c r="L262" s="450"/>
      <c r="M262" s="451"/>
      <c r="N262" s="69"/>
      <c r="O262" s="69"/>
      <c r="P262" s="70"/>
      <c r="Q262" s="71">
        <f t="shared" si="23"/>
        <v>0</v>
      </c>
      <c r="R262" s="71">
        <v>0</v>
      </c>
      <c r="S262" s="387">
        <f t="shared" si="24"/>
        <v>0</v>
      </c>
    </row>
    <row r="263" spans="1:19" ht="22.5" customHeight="1" x14ac:dyDescent="0.5">
      <c r="A263" s="61">
        <v>20</v>
      </c>
      <c r="B263" s="290" t="s">
        <v>431</v>
      </c>
      <c r="C263" s="63" t="s">
        <v>432</v>
      </c>
      <c r="D263" s="452"/>
      <c r="E263" s="443"/>
      <c r="F263" s="443"/>
      <c r="G263" s="66"/>
      <c r="H263" s="67">
        <v>0</v>
      </c>
      <c r="I263" s="67">
        <v>0</v>
      </c>
      <c r="J263" s="67">
        <v>0</v>
      </c>
      <c r="K263" s="449"/>
      <c r="L263" s="450"/>
      <c r="M263" s="451"/>
      <c r="N263" s="69"/>
      <c r="O263" s="69"/>
      <c r="P263" s="70"/>
      <c r="Q263" s="71">
        <f t="shared" si="23"/>
        <v>0</v>
      </c>
      <c r="R263" s="71">
        <v>0</v>
      </c>
      <c r="S263" s="387">
        <f t="shared" si="24"/>
        <v>0</v>
      </c>
    </row>
    <row r="264" spans="1:19" ht="22.5" customHeight="1" x14ac:dyDescent="0.5">
      <c r="A264" s="61">
        <v>21</v>
      </c>
      <c r="B264" s="290" t="s">
        <v>433</v>
      </c>
      <c r="C264" s="63" t="s">
        <v>434</v>
      </c>
      <c r="D264" s="452"/>
      <c r="E264" s="443"/>
      <c r="F264" s="443"/>
      <c r="G264" s="66"/>
      <c r="H264" s="67">
        <v>0</v>
      </c>
      <c r="I264" s="67">
        <v>0</v>
      </c>
      <c r="J264" s="67">
        <v>0</v>
      </c>
      <c r="K264" s="449"/>
      <c r="L264" s="450"/>
      <c r="M264" s="451"/>
      <c r="N264" s="69"/>
      <c r="O264" s="69"/>
      <c r="P264" s="70"/>
      <c r="Q264" s="71">
        <f t="shared" si="23"/>
        <v>0</v>
      </c>
      <c r="R264" s="71">
        <v>0</v>
      </c>
      <c r="S264" s="387">
        <f t="shared" si="24"/>
        <v>0</v>
      </c>
    </row>
    <row r="265" spans="1:19" ht="22.5" customHeight="1" x14ac:dyDescent="0.5">
      <c r="A265" s="61">
        <v>22</v>
      </c>
      <c r="B265" s="290" t="s">
        <v>435</v>
      </c>
      <c r="C265" s="63" t="s">
        <v>436</v>
      </c>
      <c r="D265" s="452"/>
      <c r="E265" s="443"/>
      <c r="F265" s="443"/>
      <c r="G265" s="66"/>
      <c r="H265" s="67">
        <v>0</v>
      </c>
      <c r="I265" s="67">
        <v>0</v>
      </c>
      <c r="J265" s="67">
        <v>0</v>
      </c>
      <c r="K265" s="449"/>
      <c r="L265" s="450"/>
      <c r="M265" s="451"/>
      <c r="N265" s="69"/>
      <c r="O265" s="69"/>
      <c r="P265" s="70"/>
      <c r="Q265" s="71">
        <f t="shared" si="23"/>
        <v>0</v>
      </c>
      <c r="R265" s="71">
        <v>0</v>
      </c>
      <c r="S265" s="387">
        <f t="shared" si="24"/>
        <v>0</v>
      </c>
    </row>
    <row r="266" spans="1:19" ht="22.5" customHeight="1" x14ac:dyDescent="0.5">
      <c r="A266" s="61">
        <v>23</v>
      </c>
      <c r="B266" s="290" t="s">
        <v>437</v>
      </c>
      <c r="C266" s="63" t="s">
        <v>438</v>
      </c>
      <c r="D266" s="452"/>
      <c r="E266" s="443"/>
      <c r="F266" s="443"/>
      <c r="G266" s="66"/>
      <c r="H266" s="67">
        <v>0</v>
      </c>
      <c r="I266" s="67">
        <v>0</v>
      </c>
      <c r="J266" s="67">
        <v>0</v>
      </c>
      <c r="K266" s="449"/>
      <c r="L266" s="450"/>
      <c r="M266" s="451"/>
      <c r="N266" s="69"/>
      <c r="O266" s="69"/>
      <c r="P266" s="70"/>
      <c r="Q266" s="71">
        <f t="shared" si="23"/>
        <v>0</v>
      </c>
      <c r="R266" s="71">
        <v>0</v>
      </c>
      <c r="S266" s="387">
        <f t="shared" si="24"/>
        <v>0</v>
      </c>
    </row>
    <row r="267" spans="1:19" ht="22.5" customHeight="1" x14ac:dyDescent="0.5">
      <c r="A267" s="61">
        <v>24</v>
      </c>
      <c r="B267" s="290" t="s">
        <v>439</v>
      </c>
      <c r="C267" s="63" t="s">
        <v>440</v>
      </c>
      <c r="D267" s="452"/>
      <c r="E267" s="443"/>
      <c r="F267" s="443"/>
      <c r="G267" s="66"/>
      <c r="H267" s="67">
        <v>0</v>
      </c>
      <c r="I267" s="67">
        <v>0</v>
      </c>
      <c r="J267" s="67">
        <v>0</v>
      </c>
      <c r="K267" s="449"/>
      <c r="L267" s="450"/>
      <c r="M267" s="451"/>
      <c r="N267" s="69"/>
      <c r="O267" s="69"/>
      <c r="P267" s="70"/>
      <c r="Q267" s="71">
        <f t="shared" si="23"/>
        <v>0</v>
      </c>
      <c r="R267" s="71">
        <v>0</v>
      </c>
      <c r="S267" s="387">
        <f t="shared" si="24"/>
        <v>0</v>
      </c>
    </row>
    <row r="268" spans="1:19" ht="22.5" customHeight="1" x14ac:dyDescent="0.5">
      <c r="A268" s="61">
        <v>25</v>
      </c>
      <c r="B268" s="453" t="s">
        <v>441</v>
      </c>
      <c r="C268" s="63" t="s">
        <v>442</v>
      </c>
      <c r="D268" s="452"/>
      <c r="E268" s="443"/>
      <c r="F268" s="443"/>
      <c r="G268" s="66"/>
      <c r="H268" s="67">
        <v>0</v>
      </c>
      <c r="I268" s="67">
        <v>0</v>
      </c>
      <c r="J268" s="67">
        <v>0</v>
      </c>
      <c r="K268" s="449"/>
      <c r="L268" s="450"/>
      <c r="M268" s="451"/>
      <c r="N268" s="69"/>
      <c r="O268" s="69"/>
      <c r="P268" s="70"/>
      <c r="Q268" s="71">
        <f t="shared" si="23"/>
        <v>0</v>
      </c>
      <c r="R268" s="71">
        <v>0</v>
      </c>
      <c r="S268" s="387">
        <f t="shared" si="24"/>
        <v>0</v>
      </c>
    </row>
    <row r="269" spans="1:19" ht="22.5" customHeight="1" x14ac:dyDescent="0.5">
      <c r="A269" s="61">
        <v>26</v>
      </c>
      <c r="B269" s="290" t="s">
        <v>443</v>
      </c>
      <c r="C269" s="63" t="s">
        <v>444</v>
      </c>
      <c r="D269" s="452"/>
      <c r="E269" s="443"/>
      <c r="F269" s="443"/>
      <c r="G269" s="66"/>
      <c r="H269" s="67">
        <v>0</v>
      </c>
      <c r="I269" s="67">
        <v>0</v>
      </c>
      <c r="J269" s="67">
        <v>0</v>
      </c>
      <c r="K269" s="449"/>
      <c r="L269" s="450"/>
      <c r="M269" s="451"/>
      <c r="N269" s="69"/>
      <c r="O269" s="69"/>
      <c r="P269" s="70"/>
      <c r="Q269" s="71">
        <f t="shared" si="23"/>
        <v>0</v>
      </c>
      <c r="R269" s="71">
        <v>0</v>
      </c>
      <c r="S269" s="387">
        <f t="shared" si="24"/>
        <v>0</v>
      </c>
    </row>
    <row r="270" spans="1:19" ht="22.5" customHeight="1" x14ac:dyDescent="0.5">
      <c r="A270" s="61">
        <v>27</v>
      </c>
      <c r="B270" s="290" t="s">
        <v>445</v>
      </c>
      <c r="C270" s="63" t="s">
        <v>446</v>
      </c>
      <c r="D270" s="452"/>
      <c r="E270" s="443"/>
      <c r="F270" s="443"/>
      <c r="G270" s="66"/>
      <c r="H270" s="67">
        <v>0</v>
      </c>
      <c r="I270" s="67">
        <v>0</v>
      </c>
      <c r="J270" s="67">
        <v>0</v>
      </c>
      <c r="K270" s="449"/>
      <c r="L270" s="450"/>
      <c r="M270" s="451"/>
      <c r="N270" s="69"/>
      <c r="O270" s="69"/>
      <c r="P270" s="70"/>
      <c r="Q270" s="71">
        <f t="shared" si="23"/>
        <v>0</v>
      </c>
      <c r="R270" s="71">
        <v>0</v>
      </c>
      <c r="S270" s="387">
        <f t="shared" si="24"/>
        <v>0</v>
      </c>
    </row>
    <row r="271" spans="1:19" ht="22.5" customHeight="1" x14ac:dyDescent="0.5">
      <c r="A271" s="61">
        <v>28</v>
      </c>
      <c r="B271" s="290" t="s">
        <v>447</v>
      </c>
      <c r="C271" s="63" t="s">
        <v>448</v>
      </c>
      <c r="D271" s="452"/>
      <c r="E271" s="443"/>
      <c r="F271" s="443"/>
      <c r="G271" s="66"/>
      <c r="H271" s="67">
        <v>0</v>
      </c>
      <c r="I271" s="67">
        <v>0</v>
      </c>
      <c r="J271" s="67">
        <v>0</v>
      </c>
      <c r="K271" s="449"/>
      <c r="L271" s="450"/>
      <c r="M271" s="451"/>
      <c r="N271" s="69"/>
      <c r="O271" s="69"/>
      <c r="P271" s="70"/>
      <c r="Q271" s="71">
        <f t="shared" si="23"/>
        <v>0</v>
      </c>
      <c r="R271" s="71">
        <v>0</v>
      </c>
      <c r="S271" s="387">
        <f t="shared" si="24"/>
        <v>0</v>
      </c>
    </row>
    <row r="272" spans="1:19" ht="22.5" customHeight="1" x14ac:dyDescent="0.5">
      <c r="A272" s="61">
        <v>29</v>
      </c>
      <c r="B272" s="290" t="s">
        <v>449</v>
      </c>
      <c r="C272" s="63" t="s">
        <v>450</v>
      </c>
      <c r="D272" s="452"/>
      <c r="E272" s="443"/>
      <c r="F272" s="443"/>
      <c r="G272" s="66"/>
      <c r="H272" s="67">
        <v>0</v>
      </c>
      <c r="I272" s="67">
        <v>0</v>
      </c>
      <c r="J272" s="67">
        <v>0</v>
      </c>
      <c r="K272" s="449"/>
      <c r="L272" s="450"/>
      <c r="M272" s="451"/>
      <c r="N272" s="69"/>
      <c r="O272" s="69"/>
      <c r="P272" s="70"/>
      <c r="Q272" s="71">
        <f t="shared" si="23"/>
        <v>0</v>
      </c>
      <c r="R272" s="71">
        <v>0</v>
      </c>
      <c r="S272" s="387">
        <f t="shared" si="24"/>
        <v>0</v>
      </c>
    </row>
    <row r="273" spans="1:19" ht="22.5" customHeight="1" x14ac:dyDescent="0.5">
      <c r="A273" s="61">
        <v>30</v>
      </c>
      <c r="B273" s="290" t="s">
        <v>451</v>
      </c>
      <c r="C273" s="63" t="s">
        <v>452</v>
      </c>
      <c r="D273" s="452"/>
      <c r="E273" s="443"/>
      <c r="F273" s="443"/>
      <c r="G273" s="66"/>
      <c r="H273" s="67">
        <v>0</v>
      </c>
      <c r="I273" s="67">
        <v>0</v>
      </c>
      <c r="J273" s="67">
        <v>0</v>
      </c>
      <c r="K273" s="449"/>
      <c r="L273" s="450"/>
      <c r="M273" s="451"/>
      <c r="N273" s="69"/>
      <c r="O273" s="69"/>
      <c r="P273" s="70"/>
      <c r="Q273" s="71">
        <f t="shared" si="23"/>
        <v>0</v>
      </c>
      <c r="R273" s="71">
        <v>0</v>
      </c>
      <c r="S273" s="387">
        <f t="shared" si="24"/>
        <v>0</v>
      </c>
    </row>
    <row r="274" spans="1:19" ht="22.5" customHeight="1" x14ac:dyDescent="0.5">
      <c r="A274" s="61">
        <v>31</v>
      </c>
      <c r="B274" s="290" t="s">
        <v>454</v>
      </c>
      <c r="C274" s="63" t="s">
        <v>455</v>
      </c>
      <c r="D274" s="452"/>
      <c r="E274" s="443"/>
      <c r="F274" s="443"/>
      <c r="G274" s="66"/>
      <c r="H274" s="67">
        <v>0</v>
      </c>
      <c r="I274" s="67">
        <v>0</v>
      </c>
      <c r="J274" s="67">
        <v>0</v>
      </c>
      <c r="K274" s="449"/>
      <c r="L274" s="450"/>
      <c r="M274" s="451"/>
      <c r="N274" s="69"/>
      <c r="O274" s="69"/>
      <c r="P274" s="70"/>
      <c r="Q274" s="71">
        <f t="shared" si="23"/>
        <v>0</v>
      </c>
      <c r="R274" s="71">
        <v>0</v>
      </c>
      <c r="S274" s="387">
        <f t="shared" si="24"/>
        <v>0</v>
      </c>
    </row>
    <row r="275" spans="1:19" ht="22.5" customHeight="1" x14ac:dyDescent="0.5">
      <c r="A275" s="61">
        <v>32</v>
      </c>
      <c r="B275" s="290" t="s">
        <v>456</v>
      </c>
      <c r="C275" s="63" t="s">
        <v>457</v>
      </c>
      <c r="D275" s="452"/>
      <c r="E275" s="443"/>
      <c r="F275" s="443"/>
      <c r="G275" s="66"/>
      <c r="H275" s="67">
        <v>0</v>
      </c>
      <c r="I275" s="67">
        <v>0</v>
      </c>
      <c r="J275" s="67">
        <v>0</v>
      </c>
      <c r="K275" s="449"/>
      <c r="L275" s="450"/>
      <c r="M275" s="451"/>
      <c r="N275" s="69"/>
      <c r="O275" s="69"/>
      <c r="P275" s="70"/>
      <c r="Q275" s="71">
        <f t="shared" si="23"/>
        <v>0</v>
      </c>
      <c r="R275" s="71">
        <v>0</v>
      </c>
      <c r="S275" s="387">
        <f t="shared" si="24"/>
        <v>0</v>
      </c>
    </row>
    <row r="276" spans="1:19" ht="22.5" customHeight="1" x14ac:dyDescent="0.5">
      <c r="A276" s="61">
        <v>33</v>
      </c>
      <c r="B276" s="290" t="s">
        <v>458</v>
      </c>
      <c r="C276" s="63" t="s">
        <v>459</v>
      </c>
      <c r="D276" s="452"/>
      <c r="E276" s="443"/>
      <c r="F276" s="443"/>
      <c r="G276" s="66"/>
      <c r="H276" s="67">
        <v>0</v>
      </c>
      <c r="I276" s="67">
        <v>0</v>
      </c>
      <c r="J276" s="67">
        <v>0</v>
      </c>
      <c r="K276" s="449"/>
      <c r="L276" s="450"/>
      <c r="M276" s="451"/>
      <c r="N276" s="69"/>
      <c r="O276" s="69"/>
      <c r="P276" s="70"/>
      <c r="Q276" s="71">
        <f t="shared" si="23"/>
        <v>0</v>
      </c>
      <c r="R276" s="71">
        <v>0</v>
      </c>
      <c r="S276" s="387">
        <f t="shared" si="24"/>
        <v>0</v>
      </c>
    </row>
    <row r="277" spans="1:19" ht="22.5" customHeight="1" x14ac:dyDescent="0.5">
      <c r="A277" s="61">
        <v>34</v>
      </c>
      <c r="B277" s="290" t="s">
        <v>460</v>
      </c>
      <c r="C277" s="63" t="s">
        <v>461</v>
      </c>
      <c r="D277" s="452"/>
      <c r="E277" s="443"/>
      <c r="F277" s="443"/>
      <c r="G277" s="66"/>
      <c r="H277" s="67">
        <v>0</v>
      </c>
      <c r="I277" s="67">
        <v>0</v>
      </c>
      <c r="J277" s="67">
        <v>0</v>
      </c>
      <c r="K277" s="449"/>
      <c r="L277" s="450"/>
      <c r="M277" s="451"/>
      <c r="N277" s="69"/>
      <c r="O277" s="69"/>
      <c r="P277" s="70"/>
      <c r="Q277" s="71">
        <f t="shared" si="23"/>
        <v>0</v>
      </c>
      <c r="R277" s="71">
        <v>0</v>
      </c>
      <c r="S277" s="387">
        <f t="shared" si="24"/>
        <v>0</v>
      </c>
    </row>
    <row r="278" spans="1:19" ht="22.5" customHeight="1" x14ac:dyDescent="0.5">
      <c r="A278" s="61">
        <v>35</v>
      </c>
      <c r="B278" s="290" t="s">
        <v>463</v>
      </c>
      <c r="C278" s="63" t="s">
        <v>464</v>
      </c>
      <c r="D278" s="452"/>
      <c r="E278" s="443" t="s">
        <v>795</v>
      </c>
      <c r="F278" s="443"/>
      <c r="G278" s="66"/>
      <c r="H278" s="67">
        <v>1064.44</v>
      </c>
      <c r="I278" s="67">
        <v>0</v>
      </c>
      <c r="J278" s="67">
        <v>1064.44</v>
      </c>
      <c r="K278" s="449"/>
      <c r="L278" s="450"/>
      <c r="M278" s="451"/>
      <c r="N278" s="69" t="s">
        <v>795</v>
      </c>
      <c r="O278" s="69"/>
      <c r="P278" s="70"/>
      <c r="Q278" s="71">
        <f t="shared" si="23"/>
        <v>1064.44</v>
      </c>
      <c r="R278" s="71">
        <v>0</v>
      </c>
      <c r="S278" s="387">
        <f t="shared" si="24"/>
        <v>1064.44</v>
      </c>
    </row>
    <row r="279" spans="1:19" ht="22.5" customHeight="1" x14ac:dyDescent="0.5">
      <c r="A279" s="61">
        <v>36</v>
      </c>
      <c r="B279" s="290" t="s">
        <v>465</v>
      </c>
      <c r="C279" s="63" t="s">
        <v>466</v>
      </c>
      <c r="D279" s="452"/>
      <c r="E279" s="443"/>
      <c r="F279" s="443"/>
      <c r="G279" s="66"/>
      <c r="H279" s="67">
        <v>0</v>
      </c>
      <c r="I279" s="67">
        <v>0</v>
      </c>
      <c r="J279" s="67">
        <v>0</v>
      </c>
      <c r="K279" s="449"/>
      <c r="L279" s="450"/>
      <c r="M279" s="451"/>
      <c r="N279" s="69"/>
      <c r="O279" s="69"/>
      <c r="P279" s="70"/>
      <c r="Q279" s="71">
        <f t="shared" si="23"/>
        <v>0</v>
      </c>
      <c r="R279" s="71">
        <v>0</v>
      </c>
      <c r="S279" s="387">
        <f t="shared" si="24"/>
        <v>0</v>
      </c>
    </row>
    <row r="280" spans="1:19" ht="22.5" customHeight="1" x14ac:dyDescent="0.5">
      <c r="A280" s="61">
        <v>37</v>
      </c>
      <c r="B280" s="290" t="s">
        <v>467</v>
      </c>
      <c r="C280" s="63" t="s">
        <v>468</v>
      </c>
      <c r="D280" s="452"/>
      <c r="E280" s="443"/>
      <c r="F280" s="443"/>
      <c r="G280" s="66"/>
      <c r="H280" s="67">
        <v>0</v>
      </c>
      <c r="I280" s="67">
        <v>0</v>
      </c>
      <c r="J280" s="67">
        <v>0</v>
      </c>
      <c r="K280" s="449"/>
      <c r="L280" s="450"/>
      <c r="M280" s="451"/>
      <c r="N280" s="69"/>
      <c r="O280" s="69"/>
      <c r="P280" s="70"/>
      <c r="Q280" s="71">
        <f t="shared" si="23"/>
        <v>0</v>
      </c>
      <c r="R280" s="71">
        <v>0</v>
      </c>
      <c r="S280" s="387">
        <f t="shared" si="24"/>
        <v>0</v>
      </c>
    </row>
    <row r="281" spans="1:19" ht="22.5" customHeight="1" x14ac:dyDescent="0.5">
      <c r="A281" s="61">
        <v>38</v>
      </c>
      <c r="B281" s="290" t="s">
        <v>469</v>
      </c>
      <c r="C281" s="63" t="s">
        <v>470</v>
      </c>
      <c r="D281" s="452"/>
      <c r="E281" s="443"/>
      <c r="F281" s="443"/>
      <c r="G281" s="66"/>
      <c r="H281" s="67">
        <v>0</v>
      </c>
      <c r="I281" s="67">
        <v>0</v>
      </c>
      <c r="J281" s="67">
        <v>0</v>
      </c>
      <c r="K281" s="449"/>
      <c r="L281" s="450"/>
      <c r="M281" s="451"/>
      <c r="N281" s="69"/>
      <c r="O281" s="69"/>
      <c r="P281" s="70"/>
      <c r="Q281" s="71">
        <f t="shared" si="23"/>
        <v>0</v>
      </c>
      <c r="R281" s="71">
        <v>0</v>
      </c>
      <c r="S281" s="387">
        <f t="shared" si="24"/>
        <v>0</v>
      </c>
    </row>
    <row r="282" spans="1:19" ht="22.5" customHeight="1" x14ac:dyDescent="0.5">
      <c r="A282" s="61">
        <v>39</v>
      </c>
      <c r="B282" s="290" t="s">
        <v>471</v>
      </c>
      <c r="C282" s="63" t="s">
        <v>472</v>
      </c>
      <c r="D282" s="452"/>
      <c r="E282" s="443"/>
      <c r="F282" s="443"/>
      <c r="G282" s="66"/>
      <c r="H282" s="67">
        <v>0</v>
      </c>
      <c r="I282" s="67">
        <v>0</v>
      </c>
      <c r="J282" s="67">
        <v>0</v>
      </c>
      <c r="K282" s="449"/>
      <c r="L282" s="450"/>
      <c r="M282" s="451"/>
      <c r="N282" s="69"/>
      <c r="O282" s="69"/>
      <c r="P282" s="70"/>
      <c r="Q282" s="71">
        <f t="shared" si="23"/>
        <v>0</v>
      </c>
      <c r="R282" s="71">
        <v>0</v>
      </c>
      <c r="S282" s="387">
        <f t="shared" si="24"/>
        <v>0</v>
      </c>
    </row>
    <row r="283" spans="1:19" ht="22.5" customHeight="1" x14ac:dyDescent="0.5">
      <c r="A283" s="61">
        <v>40</v>
      </c>
      <c r="B283" s="290" t="s">
        <v>473</v>
      </c>
      <c r="C283" s="63" t="s">
        <v>474</v>
      </c>
      <c r="D283" s="452"/>
      <c r="E283" s="443"/>
      <c r="F283" s="443"/>
      <c r="G283" s="66"/>
      <c r="H283" s="67">
        <v>0</v>
      </c>
      <c r="I283" s="67">
        <v>0</v>
      </c>
      <c r="J283" s="67">
        <v>0</v>
      </c>
      <c r="K283" s="449"/>
      <c r="L283" s="450"/>
      <c r="M283" s="451"/>
      <c r="N283" s="69"/>
      <c r="O283" s="69"/>
      <c r="P283" s="70"/>
      <c r="Q283" s="71">
        <f t="shared" si="23"/>
        <v>0</v>
      </c>
      <c r="R283" s="71">
        <v>0</v>
      </c>
      <c r="S283" s="387">
        <f t="shared" si="24"/>
        <v>0</v>
      </c>
    </row>
    <row r="284" spans="1:19" ht="22.5" customHeight="1" x14ac:dyDescent="0.5">
      <c r="A284" s="61">
        <v>41</v>
      </c>
      <c r="B284" s="290" t="s">
        <v>475</v>
      </c>
      <c r="C284" s="63" t="s">
        <v>476</v>
      </c>
      <c r="D284" s="452"/>
      <c r="E284" s="443"/>
      <c r="F284" s="443"/>
      <c r="G284" s="66"/>
      <c r="H284" s="67">
        <v>0</v>
      </c>
      <c r="I284" s="67">
        <v>0</v>
      </c>
      <c r="J284" s="67">
        <v>0</v>
      </c>
      <c r="K284" s="449"/>
      <c r="L284" s="450"/>
      <c r="M284" s="451"/>
      <c r="N284" s="69"/>
      <c r="O284" s="69"/>
      <c r="P284" s="70"/>
      <c r="Q284" s="71">
        <f t="shared" si="23"/>
        <v>0</v>
      </c>
      <c r="R284" s="71">
        <v>0</v>
      </c>
      <c r="S284" s="387">
        <f t="shared" si="24"/>
        <v>0</v>
      </c>
    </row>
    <row r="285" spans="1:19" ht="22.5" customHeight="1" x14ac:dyDescent="0.5">
      <c r="A285" s="61">
        <v>42</v>
      </c>
      <c r="B285" s="290" t="s">
        <v>477</v>
      </c>
      <c r="C285" s="63" t="s">
        <v>478</v>
      </c>
      <c r="D285" s="452"/>
      <c r="E285" s="443"/>
      <c r="F285" s="443"/>
      <c r="G285" s="66"/>
      <c r="H285" s="67">
        <v>0</v>
      </c>
      <c r="I285" s="67">
        <v>0</v>
      </c>
      <c r="J285" s="67">
        <v>0</v>
      </c>
      <c r="K285" s="449"/>
      <c r="L285" s="450"/>
      <c r="M285" s="451"/>
      <c r="N285" s="69"/>
      <c r="O285" s="69"/>
      <c r="P285" s="70"/>
      <c r="Q285" s="71">
        <f t="shared" si="23"/>
        <v>0</v>
      </c>
      <c r="R285" s="71">
        <v>0</v>
      </c>
      <c r="S285" s="387">
        <f t="shared" si="24"/>
        <v>0</v>
      </c>
    </row>
    <row r="286" spans="1:19" ht="22.5" customHeight="1" x14ac:dyDescent="0.5">
      <c r="A286" s="61">
        <v>43</v>
      </c>
      <c r="B286" s="290" t="s">
        <v>479</v>
      </c>
      <c r="C286" s="63" t="s">
        <v>480</v>
      </c>
      <c r="D286" s="452"/>
      <c r="E286" s="443"/>
      <c r="F286" s="443"/>
      <c r="G286" s="66"/>
      <c r="H286" s="67">
        <v>0</v>
      </c>
      <c r="I286" s="67">
        <v>0</v>
      </c>
      <c r="J286" s="67">
        <v>0</v>
      </c>
      <c r="K286" s="449"/>
      <c r="L286" s="450"/>
      <c r="M286" s="451"/>
      <c r="N286" s="69"/>
      <c r="O286" s="69"/>
      <c r="P286" s="70"/>
      <c r="Q286" s="71">
        <f t="shared" si="23"/>
        <v>0</v>
      </c>
      <c r="R286" s="71">
        <v>0</v>
      </c>
      <c r="S286" s="387">
        <f t="shared" si="24"/>
        <v>0</v>
      </c>
    </row>
    <row r="287" spans="1:19" ht="22.5" customHeight="1" x14ac:dyDescent="0.5">
      <c r="A287" s="61">
        <v>44</v>
      </c>
      <c r="B287" s="290" t="s">
        <v>482</v>
      </c>
      <c r="C287" s="63" t="s">
        <v>483</v>
      </c>
      <c r="D287" s="452"/>
      <c r="E287" s="443"/>
      <c r="F287" s="443"/>
      <c r="G287" s="66"/>
      <c r="H287" s="67">
        <v>0</v>
      </c>
      <c r="I287" s="67">
        <v>0</v>
      </c>
      <c r="J287" s="67">
        <v>0</v>
      </c>
      <c r="K287" s="449"/>
      <c r="L287" s="450"/>
      <c r="M287" s="451"/>
      <c r="N287" s="69"/>
      <c r="O287" s="69"/>
      <c r="P287" s="70"/>
      <c r="Q287" s="71">
        <f t="shared" si="23"/>
        <v>0</v>
      </c>
      <c r="R287" s="71">
        <v>0</v>
      </c>
      <c r="S287" s="387">
        <f t="shared" si="24"/>
        <v>0</v>
      </c>
    </row>
    <row r="288" spans="1:19" ht="22.5" customHeight="1" x14ac:dyDescent="0.5">
      <c r="A288" s="61">
        <v>45</v>
      </c>
      <c r="B288" s="290" t="s">
        <v>484</v>
      </c>
      <c r="C288" s="63" t="s">
        <v>485</v>
      </c>
      <c r="D288" s="452"/>
      <c r="E288" s="443"/>
      <c r="F288" s="443"/>
      <c r="G288" s="66"/>
      <c r="H288" s="67">
        <v>0</v>
      </c>
      <c r="I288" s="67">
        <v>0</v>
      </c>
      <c r="J288" s="67">
        <v>0</v>
      </c>
      <c r="K288" s="449"/>
      <c r="L288" s="450"/>
      <c r="M288" s="451"/>
      <c r="N288" s="69"/>
      <c r="O288" s="69"/>
      <c r="P288" s="70"/>
      <c r="Q288" s="71">
        <f t="shared" si="23"/>
        <v>0</v>
      </c>
      <c r="R288" s="71">
        <v>0</v>
      </c>
      <c r="S288" s="387">
        <f t="shared" si="24"/>
        <v>0</v>
      </c>
    </row>
    <row r="289" spans="1:20" ht="22.5" customHeight="1" x14ac:dyDescent="0.5">
      <c r="A289" s="23">
        <v>46</v>
      </c>
      <c r="B289" s="290" t="s">
        <v>486</v>
      </c>
      <c r="C289" s="25" t="s">
        <v>487</v>
      </c>
      <c r="D289" s="452"/>
      <c r="E289" s="454"/>
      <c r="F289" s="454"/>
      <c r="G289" s="213"/>
      <c r="H289" s="219">
        <v>0</v>
      </c>
      <c r="I289" s="219">
        <v>0</v>
      </c>
      <c r="J289" s="219">
        <v>0</v>
      </c>
      <c r="K289" s="449"/>
      <c r="L289" s="450"/>
      <c r="M289" s="451"/>
      <c r="N289" s="41"/>
      <c r="O289" s="41"/>
      <c r="P289" s="34"/>
      <c r="Q289" s="71">
        <f t="shared" si="23"/>
        <v>0</v>
      </c>
      <c r="R289" s="71">
        <v>0</v>
      </c>
      <c r="S289" s="387">
        <f t="shared" si="24"/>
        <v>0</v>
      </c>
    </row>
    <row r="290" spans="1:20" ht="22.5" customHeight="1" x14ac:dyDescent="0.5">
      <c r="A290" s="61">
        <v>47</v>
      </c>
      <c r="B290" s="392" t="s">
        <v>489</v>
      </c>
      <c r="C290" s="63" t="s">
        <v>490</v>
      </c>
      <c r="D290" s="452"/>
      <c r="E290" s="443"/>
      <c r="F290" s="443"/>
      <c r="G290" s="66"/>
      <c r="H290" s="67">
        <v>0</v>
      </c>
      <c r="I290" s="67">
        <v>0</v>
      </c>
      <c r="J290" s="67">
        <v>0</v>
      </c>
      <c r="K290" s="449"/>
      <c r="L290" s="450"/>
      <c r="M290" s="451"/>
      <c r="N290" s="69"/>
      <c r="O290" s="69"/>
      <c r="P290" s="70"/>
      <c r="Q290" s="71">
        <f t="shared" si="23"/>
        <v>0</v>
      </c>
      <c r="R290" s="71">
        <v>0</v>
      </c>
      <c r="S290" s="387">
        <f t="shared" si="24"/>
        <v>0</v>
      </c>
    </row>
    <row r="291" spans="1:20" ht="22.5" customHeight="1" x14ac:dyDescent="0.5">
      <c r="A291" s="23">
        <v>48</v>
      </c>
      <c r="B291" s="290" t="s">
        <v>491</v>
      </c>
      <c r="C291" s="25" t="s">
        <v>492</v>
      </c>
      <c r="D291" s="452"/>
      <c r="E291" s="454"/>
      <c r="F291" s="454"/>
      <c r="G291" s="213"/>
      <c r="H291" s="219">
        <v>0</v>
      </c>
      <c r="I291" s="219">
        <v>0</v>
      </c>
      <c r="J291" s="219">
        <v>0</v>
      </c>
      <c r="K291" s="449"/>
      <c r="L291" s="450"/>
      <c r="M291" s="451"/>
      <c r="N291" s="41"/>
      <c r="O291" s="41"/>
      <c r="P291" s="34"/>
      <c r="Q291" s="71">
        <f t="shared" si="23"/>
        <v>0</v>
      </c>
      <c r="R291" s="71">
        <v>0</v>
      </c>
      <c r="S291" s="387">
        <f t="shared" si="24"/>
        <v>0</v>
      </c>
    </row>
    <row r="292" spans="1:20" ht="22.5" customHeight="1" x14ac:dyDescent="0.5">
      <c r="A292" s="23">
        <v>49</v>
      </c>
      <c r="B292" s="290" t="s">
        <v>493</v>
      </c>
      <c r="C292" s="25" t="s">
        <v>494</v>
      </c>
      <c r="D292" s="452"/>
      <c r="E292" s="454"/>
      <c r="F292" s="454"/>
      <c r="G292" s="213"/>
      <c r="H292" s="219">
        <v>0</v>
      </c>
      <c r="I292" s="219">
        <v>0</v>
      </c>
      <c r="J292" s="219">
        <v>0</v>
      </c>
      <c r="K292" s="449"/>
      <c r="L292" s="450"/>
      <c r="M292" s="451"/>
      <c r="N292" s="41"/>
      <c r="O292" s="41"/>
      <c r="P292" s="34"/>
      <c r="Q292" s="71">
        <f t="shared" si="23"/>
        <v>0</v>
      </c>
      <c r="R292" s="71">
        <v>0</v>
      </c>
      <c r="S292" s="387">
        <f t="shared" si="24"/>
        <v>0</v>
      </c>
    </row>
    <row r="293" spans="1:20" ht="22.5" customHeight="1" x14ac:dyDescent="0.5">
      <c r="A293" s="23">
        <v>50</v>
      </c>
      <c r="B293" s="290" t="s">
        <v>495</v>
      </c>
      <c r="C293" s="25" t="s">
        <v>496</v>
      </c>
      <c r="D293" s="452"/>
      <c r="E293" s="454" t="s">
        <v>795</v>
      </c>
      <c r="F293" s="454"/>
      <c r="G293" s="213"/>
      <c r="H293" s="219">
        <v>20595.900000000001</v>
      </c>
      <c r="I293" s="219">
        <v>0</v>
      </c>
      <c r="J293" s="219">
        <v>20595.900000000001</v>
      </c>
      <c r="K293" s="449"/>
      <c r="L293" s="450"/>
      <c r="M293" s="451"/>
      <c r="N293" s="41" t="s">
        <v>795</v>
      </c>
      <c r="O293" s="41"/>
      <c r="P293" s="34"/>
      <c r="Q293" s="71">
        <f t="shared" si="23"/>
        <v>20595.900000000001</v>
      </c>
      <c r="R293" s="71">
        <v>0</v>
      </c>
      <c r="S293" s="387">
        <f t="shared" si="24"/>
        <v>20595.900000000001</v>
      </c>
    </row>
    <row r="294" spans="1:20" s="60" customFormat="1" ht="22.5" customHeight="1" thickBot="1" x14ac:dyDescent="0.35">
      <c r="A294" s="362"/>
      <c r="B294" s="362" t="s">
        <v>15</v>
      </c>
      <c r="C294" s="455"/>
      <c r="D294" s="456">
        <v>0</v>
      </c>
      <c r="E294" s="362"/>
      <c r="F294" s="362"/>
      <c r="G294" s="363"/>
      <c r="H294" s="456">
        <f>SUM(H242:H293)</f>
        <v>21660.34</v>
      </c>
      <c r="I294" s="456">
        <f>SUM(I242:I293)</f>
        <v>0</v>
      </c>
      <c r="J294" s="456">
        <f>SUM(J242:J293)</f>
        <v>21660.34</v>
      </c>
      <c r="K294" s="457"/>
      <c r="L294" s="458"/>
      <c r="M294" s="458">
        <f>SUM(M242:M293)</f>
        <v>0</v>
      </c>
      <c r="N294" s="362"/>
      <c r="O294" s="362"/>
      <c r="P294" s="363"/>
      <c r="Q294" s="364">
        <f>SUM(Q242:Q293)</f>
        <v>21660.34</v>
      </c>
      <c r="R294" s="364">
        <f>SUM(R242:R293)</f>
        <v>0</v>
      </c>
      <c r="S294" s="364">
        <f>SUM(S242:S293)</f>
        <v>21660.34</v>
      </c>
    </row>
    <row r="295" spans="1:20" s="60" customFormat="1" ht="22.5" customHeight="1" thickTop="1" thickBot="1" x14ac:dyDescent="0.35">
      <c r="A295" s="459"/>
      <c r="B295" s="460" t="s">
        <v>497</v>
      </c>
      <c r="C295" s="461"/>
      <c r="D295" s="462">
        <f>SUM(D12+D27+D31+D35+D38+D42+D114+D158+D168+D176+D185+D189+D235+D239+D294)</f>
        <v>1181611.6321</v>
      </c>
      <c r="E295" s="462">
        <f>SUM(E12+E27+E31+E35+E38+E42+E114+E158+E168+E176+E185+E189+E235+E239+E294)</f>
        <v>0</v>
      </c>
      <c r="F295" s="462"/>
      <c r="G295" s="462">
        <f t="shared" ref="G295:N295" si="25">SUM(G12+G27+G31+G35+G38+G42+G114+G158+G168+G176+G185+G189+G235+G239+G294)</f>
        <v>0</v>
      </c>
      <c r="H295" s="462">
        <f t="shared" si="25"/>
        <v>166964.73775700934</v>
      </c>
      <c r="I295" s="462">
        <f t="shared" si="25"/>
        <v>5580.6998429906535</v>
      </c>
      <c r="J295" s="462">
        <f t="shared" si="25"/>
        <v>172530.4376</v>
      </c>
      <c r="K295" s="462">
        <f t="shared" si="25"/>
        <v>0</v>
      </c>
      <c r="L295" s="462">
        <f t="shared" si="25"/>
        <v>0</v>
      </c>
      <c r="M295" s="462">
        <f t="shared" si="25"/>
        <v>1004051.07</v>
      </c>
      <c r="N295" s="462">
        <f t="shared" si="25"/>
        <v>0</v>
      </c>
      <c r="O295" s="462"/>
      <c r="P295" s="462">
        <f>SUM(P12+P27+P31+P35+P38+P42+P114+P158+P168+P176+P185+P189+P235+P239+P294)</f>
        <v>0</v>
      </c>
      <c r="Q295" s="462">
        <f>SUM(Q12+Q27+Q31+Q35+Q38+Q42+Q114+Q158+Q168+Q176+Q185+Q189+Q235+Q239+Q294)</f>
        <v>336254.09971962619</v>
      </c>
      <c r="R295" s="462">
        <f>SUM(R12+R27+R31+R35+R38+R42+R114+R158+R168+R176+R185+R189+R235+R239+R294)</f>
        <v>14045.49998037383</v>
      </c>
      <c r="S295" s="462">
        <f>SUM(S12+S27+S31+S35+S38+S42+S114+S158+S168+S176+S185+S189+S235+S239+S294)</f>
        <v>350299.59970000002</v>
      </c>
    </row>
    <row r="296" spans="1:20" ht="22.5" customHeight="1" thickTop="1" x14ac:dyDescent="0.3">
      <c r="E296" s="469"/>
      <c r="F296" s="469"/>
      <c r="G296" s="470"/>
      <c r="H296" s="3"/>
      <c r="I296" s="3"/>
      <c r="J296" s="3"/>
      <c r="N296" s="3"/>
      <c r="O296" s="3"/>
      <c r="P296" s="470"/>
      <c r="Q296" s="471"/>
      <c r="R296" s="471"/>
      <c r="S296" s="472"/>
    </row>
    <row r="297" spans="1:20" ht="22.5" customHeight="1" x14ac:dyDescent="0.3">
      <c r="A297" s="1123" t="s">
        <v>671</v>
      </c>
      <c r="B297" s="1124"/>
      <c r="C297" s="1124"/>
      <c r="D297" s="1124"/>
      <c r="E297" s="1124"/>
      <c r="F297" s="1124"/>
      <c r="G297" s="1124"/>
      <c r="H297" s="1124"/>
      <c r="I297" s="1124"/>
      <c r="J297" s="1124"/>
      <c r="K297" s="1124"/>
      <c r="L297" s="1124"/>
      <c r="M297" s="1124"/>
      <c r="N297" s="1124"/>
      <c r="O297" s="1124"/>
      <c r="P297" s="1124"/>
      <c r="Q297" s="1124"/>
      <c r="R297" s="1124"/>
      <c r="S297" s="1125"/>
      <c r="T297" s="2"/>
    </row>
    <row r="298" spans="1:20" ht="22.5" customHeight="1" x14ac:dyDescent="0.3">
      <c r="A298" s="115"/>
      <c r="B298" s="164" t="s">
        <v>499</v>
      </c>
      <c r="C298" s="165"/>
      <c r="D298" s="86"/>
      <c r="E298" s="167"/>
      <c r="F298" s="167"/>
      <c r="G298" s="168"/>
      <c r="H298" s="473"/>
      <c r="I298" s="473"/>
      <c r="J298" s="473"/>
      <c r="K298" s="170"/>
      <c r="L298" s="171"/>
      <c r="M298" s="86"/>
      <c r="N298" s="117"/>
      <c r="O298" s="117"/>
      <c r="P298" s="118"/>
      <c r="Q298" s="474"/>
      <c r="R298" s="474"/>
      <c r="S298" s="370"/>
      <c r="T298" s="2"/>
    </row>
    <row r="299" spans="1:20" ht="22.5" customHeight="1" x14ac:dyDescent="0.3">
      <c r="A299" s="475">
        <v>1</v>
      </c>
      <c r="B299" s="489" t="s">
        <v>1397</v>
      </c>
      <c r="C299" s="498"/>
      <c r="D299" s="499">
        <v>0</v>
      </c>
      <c r="E299" s="500"/>
      <c r="F299" s="889"/>
      <c r="G299" s="501"/>
      <c r="H299" s="481">
        <v>325409.68</v>
      </c>
      <c r="I299" s="482">
        <v>0</v>
      </c>
      <c r="J299" s="481">
        <v>325409.68</v>
      </c>
      <c r="K299" s="492"/>
      <c r="L299" s="492"/>
      <c r="M299" s="493"/>
      <c r="N299" s="484"/>
      <c r="O299" s="892"/>
      <c r="P299" s="494"/>
      <c r="Q299" s="495">
        <v>325409.68</v>
      </c>
      <c r="R299" s="496">
        <v>0</v>
      </c>
      <c r="S299" s="497">
        <v>325409.68</v>
      </c>
      <c r="T299" s="2" t="s">
        <v>1398</v>
      </c>
    </row>
    <row r="300" spans="1:20" ht="22.5" customHeight="1" x14ac:dyDescent="0.3">
      <c r="A300" s="502"/>
      <c r="B300" s="503" t="s">
        <v>1399</v>
      </c>
      <c r="C300" s="504"/>
      <c r="D300" s="505"/>
      <c r="E300" s="506"/>
      <c r="F300" s="890"/>
      <c r="G300" s="507"/>
      <c r="H300" s="508"/>
      <c r="I300" s="508"/>
      <c r="J300" s="508"/>
      <c r="K300" s="492"/>
      <c r="L300" s="492"/>
      <c r="M300" s="298"/>
      <c r="N300" s="509"/>
      <c r="O300" s="893"/>
      <c r="P300" s="510"/>
      <c r="Q300" s="511"/>
      <c r="R300" s="512"/>
      <c r="S300" s="513"/>
      <c r="T300" s="2"/>
    </row>
    <row r="301" spans="1:20" ht="22.5" customHeight="1" x14ac:dyDescent="0.3">
      <c r="A301" s="488"/>
      <c r="B301" s="489" t="s">
        <v>1400</v>
      </c>
      <c r="C301" s="514"/>
      <c r="D301" s="515"/>
      <c r="E301" s="516">
        <v>436596</v>
      </c>
      <c r="F301" s="516"/>
      <c r="G301" s="517"/>
      <c r="H301" s="518"/>
      <c r="I301" s="519"/>
      <c r="J301" s="518"/>
      <c r="K301" s="492"/>
      <c r="L301" s="492"/>
      <c r="M301" s="493"/>
      <c r="N301" s="520"/>
      <c r="O301" s="520"/>
      <c r="P301" s="521"/>
      <c r="Q301" s="522"/>
      <c r="R301" s="523"/>
      <c r="S301" s="524"/>
    </row>
    <row r="302" spans="1:20" ht="22.5" customHeight="1" x14ac:dyDescent="0.3">
      <c r="A302" s="488">
        <v>2</v>
      </c>
      <c r="B302" s="525" t="s">
        <v>1401</v>
      </c>
      <c r="C302" s="526"/>
      <c r="D302" s="515">
        <v>0</v>
      </c>
      <c r="E302" s="527"/>
      <c r="F302" s="527"/>
      <c r="G302" s="517"/>
      <c r="H302" s="528">
        <v>108369.18</v>
      </c>
      <c r="I302" s="519">
        <v>0</v>
      </c>
      <c r="J302" s="528">
        <v>108369.18</v>
      </c>
      <c r="K302" s="515"/>
      <c r="L302" s="492"/>
      <c r="M302" s="493"/>
      <c r="N302" s="521"/>
      <c r="O302" s="529"/>
      <c r="P302" s="529"/>
      <c r="Q302" s="530">
        <v>108369.18</v>
      </c>
      <c r="R302" s="531">
        <v>0</v>
      </c>
      <c r="S302" s="532">
        <v>108369.18</v>
      </c>
      <c r="T302" s="3" t="s">
        <v>1398</v>
      </c>
    </row>
    <row r="303" spans="1:20" ht="22.5" customHeight="1" x14ac:dyDescent="0.3">
      <c r="A303" s="488"/>
      <c r="B303" s="525" t="s">
        <v>1402</v>
      </c>
      <c r="C303" s="526"/>
      <c r="D303" s="515"/>
      <c r="E303" s="527"/>
      <c r="F303" s="527"/>
      <c r="G303" s="517"/>
      <c r="H303" s="528"/>
      <c r="I303" s="519"/>
      <c r="J303" s="528"/>
      <c r="K303" s="515"/>
      <c r="L303" s="492"/>
      <c r="M303" s="493"/>
      <c r="N303" s="521"/>
      <c r="O303" s="529"/>
      <c r="P303" s="529"/>
      <c r="Q303" s="530"/>
      <c r="R303" s="531"/>
      <c r="S303" s="532"/>
    </row>
    <row r="304" spans="1:20" ht="22.5" customHeight="1" x14ac:dyDescent="0.3">
      <c r="A304" s="737"/>
      <c r="B304" s="525" t="s">
        <v>1403</v>
      </c>
      <c r="C304" s="526"/>
      <c r="D304" s="927"/>
      <c r="E304" s="517"/>
      <c r="F304" s="517"/>
      <c r="G304" s="517"/>
      <c r="H304" s="928"/>
      <c r="I304" s="929"/>
      <c r="J304" s="928"/>
      <c r="K304" s="927"/>
      <c r="L304" s="930"/>
      <c r="M304" s="931"/>
      <c r="N304" s="521"/>
      <c r="O304" s="521"/>
      <c r="P304" s="521"/>
      <c r="Q304" s="531"/>
      <c r="R304" s="531"/>
      <c r="S304" s="932"/>
    </row>
    <row r="305" spans="1:22" ht="22.5" customHeight="1" x14ac:dyDescent="0.3">
      <c r="A305" s="737">
        <v>3</v>
      </c>
      <c r="B305" s="525" t="s">
        <v>1404</v>
      </c>
      <c r="C305" s="526"/>
      <c r="D305" s="927">
        <v>0</v>
      </c>
      <c r="E305" s="517"/>
      <c r="F305" s="517"/>
      <c r="G305" s="517"/>
      <c r="H305" s="928">
        <v>39949.17</v>
      </c>
      <c r="I305" s="929">
        <v>0</v>
      </c>
      <c r="J305" s="928">
        <v>39949.17</v>
      </c>
      <c r="K305" s="927"/>
      <c r="L305" s="930"/>
      <c r="M305" s="931"/>
      <c r="N305" s="521"/>
      <c r="O305" s="521"/>
      <c r="P305" s="521"/>
      <c r="Q305" s="531">
        <v>39949.17</v>
      </c>
      <c r="R305" s="531">
        <v>0</v>
      </c>
      <c r="S305" s="932">
        <v>39949.17</v>
      </c>
      <c r="T305" s="3" t="s">
        <v>1398</v>
      </c>
    </row>
    <row r="306" spans="1:22" ht="22.5" customHeight="1" x14ac:dyDescent="0.3">
      <c r="A306" s="737"/>
      <c r="B306" s="525" t="s">
        <v>1405</v>
      </c>
      <c r="C306" s="526"/>
      <c r="D306" s="927"/>
      <c r="E306" s="517"/>
      <c r="F306" s="517"/>
      <c r="G306" s="517"/>
      <c r="H306" s="928"/>
      <c r="I306" s="929"/>
      <c r="J306" s="928"/>
      <c r="K306" s="927"/>
      <c r="L306" s="930"/>
      <c r="M306" s="931"/>
      <c r="N306" s="521"/>
      <c r="O306" s="521"/>
      <c r="P306" s="521"/>
      <c r="Q306" s="531"/>
      <c r="R306" s="531"/>
      <c r="S306" s="932"/>
    </row>
    <row r="307" spans="1:22" ht="22.5" customHeight="1" x14ac:dyDescent="0.3">
      <c r="A307" s="737"/>
      <c r="B307" s="525" t="s">
        <v>1406</v>
      </c>
      <c r="C307" s="526"/>
      <c r="D307" s="927"/>
      <c r="E307" s="517"/>
      <c r="F307" s="517"/>
      <c r="G307" s="517"/>
      <c r="H307" s="928"/>
      <c r="I307" s="929"/>
      <c r="J307" s="928"/>
      <c r="K307" s="927"/>
      <c r="L307" s="930"/>
      <c r="M307" s="931"/>
      <c r="N307" s="521"/>
      <c r="O307" s="521"/>
      <c r="P307" s="521"/>
      <c r="Q307" s="531"/>
      <c r="R307" s="531"/>
      <c r="S307" s="932"/>
    </row>
    <row r="308" spans="1:22" ht="22.5" customHeight="1" x14ac:dyDescent="0.3">
      <c r="A308" s="737">
        <v>4</v>
      </c>
      <c r="B308" s="525" t="s">
        <v>1407</v>
      </c>
      <c r="C308" s="526"/>
      <c r="D308" s="927">
        <v>0</v>
      </c>
      <c r="E308" s="517"/>
      <c r="F308" s="517"/>
      <c r="G308" s="517"/>
      <c r="H308" s="928">
        <v>796450.34</v>
      </c>
      <c r="I308" s="929">
        <v>0</v>
      </c>
      <c r="J308" s="928">
        <v>796450.34</v>
      </c>
      <c r="K308" s="927"/>
      <c r="L308" s="930"/>
      <c r="M308" s="931"/>
      <c r="N308" s="521"/>
      <c r="O308" s="521"/>
      <c r="P308" s="521"/>
      <c r="Q308" s="531">
        <v>796450.34</v>
      </c>
      <c r="R308" s="531">
        <v>0</v>
      </c>
      <c r="S308" s="932">
        <v>796450.34</v>
      </c>
    </row>
    <row r="309" spans="1:22" ht="22.5" customHeight="1" x14ac:dyDescent="0.3">
      <c r="A309" s="737"/>
      <c r="B309" s="525" t="s">
        <v>1408</v>
      </c>
      <c r="C309" s="526"/>
      <c r="D309" s="927"/>
      <c r="E309" s="517"/>
      <c r="F309" s="517"/>
      <c r="G309" s="517"/>
      <c r="H309" s="928"/>
      <c r="I309" s="929"/>
      <c r="J309" s="928"/>
      <c r="K309" s="927"/>
      <c r="L309" s="930"/>
      <c r="M309" s="931"/>
      <c r="N309" s="521"/>
      <c r="O309" s="521"/>
      <c r="P309" s="521"/>
      <c r="Q309" s="531"/>
      <c r="R309" s="531"/>
      <c r="S309" s="932"/>
    </row>
    <row r="310" spans="1:22" ht="22.5" customHeight="1" x14ac:dyDescent="0.3">
      <c r="A310" s="737"/>
      <c r="B310" s="525" t="s">
        <v>1409</v>
      </c>
      <c r="C310" s="526"/>
      <c r="D310" s="927">
        <v>0</v>
      </c>
      <c r="E310" s="517"/>
      <c r="F310" s="517"/>
      <c r="G310" s="517"/>
      <c r="H310" s="928">
        <v>93330</v>
      </c>
      <c r="I310" s="929">
        <v>0</v>
      </c>
      <c r="J310" s="928">
        <v>93330</v>
      </c>
      <c r="K310" s="927"/>
      <c r="L310" s="930"/>
      <c r="M310" s="931"/>
      <c r="N310" s="521"/>
      <c r="O310" s="521"/>
      <c r="P310" s="521"/>
      <c r="Q310" s="531">
        <v>93330</v>
      </c>
      <c r="R310" s="531">
        <v>0</v>
      </c>
      <c r="S310" s="932">
        <v>93330</v>
      </c>
    </row>
    <row r="311" spans="1:22" s="60" customFormat="1" ht="22.5" customHeight="1" thickBot="1" x14ac:dyDescent="0.35">
      <c r="A311" s="921"/>
      <c r="B311" s="921" t="s">
        <v>15</v>
      </c>
      <c r="C311" s="922"/>
      <c r="D311" s="923">
        <v>0</v>
      </c>
      <c r="E311" s="924"/>
      <c r="F311" s="924"/>
      <c r="G311" s="925"/>
      <c r="H311" s="926">
        <f t="shared" ref="H311:S311" si="26">SUM(H299:H310)</f>
        <v>1363508.3699999999</v>
      </c>
      <c r="I311" s="926">
        <f t="shared" si="26"/>
        <v>0</v>
      </c>
      <c r="J311" s="926">
        <f t="shared" si="26"/>
        <v>1363508.3699999999</v>
      </c>
      <c r="K311" s="926">
        <f t="shared" si="26"/>
        <v>0</v>
      </c>
      <c r="L311" s="926">
        <f t="shared" si="26"/>
        <v>0</v>
      </c>
      <c r="M311" s="926">
        <f t="shared" si="26"/>
        <v>0</v>
      </c>
      <c r="N311" s="926">
        <f t="shared" si="26"/>
        <v>0</v>
      </c>
      <c r="O311" s="926">
        <f t="shared" si="26"/>
        <v>0</v>
      </c>
      <c r="P311" s="926">
        <f t="shared" si="26"/>
        <v>0</v>
      </c>
      <c r="Q311" s="926">
        <f t="shared" si="26"/>
        <v>1363508.3699999999</v>
      </c>
      <c r="R311" s="926">
        <f t="shared" si="26"/>
        <v>0</v>
      </c>
      <c r="S311" s="926">
        <f t="shared" si="26"/>
        <v>1363508.3699999999</v>
      </c>
      <c r="T311" s="59"/>
    </row>
    <row r="312" spans="1:22" ht="22.5" customHeight="1" thickTop="1" x14ac:dyDescent="0.3">
      <c r="A312" s="559"/>
      <c r="B312" s="560" t="s">
        <v>92</v>
      </c>
      <c r="C312" s="561"/>
      <c r="D312" s="562"/>
      <c r="E312" s="563"/>
      <c r="F312" s="563"/>
      <c r="G312" s="564"/>
      <c r="H312" s="565"/>
      <c r="I312" s="565"/>
      <c r="J312" s="565"/>
      <c r="K312" s="566"/>
      <c r="L312" s="566"/>
      <c r="M312" s="562"/>
      <c r="N312" s="567"/>
      <c r="O312" s="567"/>
      <c r="P312" s="568"/>
      <c r="Q312" s="569"/>
      <c r="R312" s="569"/>
      <c r="S312" s="570"/>
      <c r="T312" s="2"/>
    </row>
    <row r="313" spans="1:22" ht="22.5" customHeight="1" x14ac:dyDescent="0.3">
      <c r="A313" s="23">
        <v>1</v>
      </c>
      <c r="B313" s="73" t="s">
        <v>512</v>
      </c>
      <c r="C313" s="25" t="s">
        <v>97</v>
      </c>
      <c r="D313" s="43">
        <v>0</v>
      </c>
      <c r="E313" s="212" t="s">
        <v>513</v>
      </c>
      <c r="F313" s="212"/>
      <c r="G313" s="213" t="s">
        <v>514</v>
      </c>
      <c r="H313" s="219">
        <v>9813.08</v>
      </c>
      <c r="I313" s="219">
        <v>686.91560000000004</v>
      </c>
      <c r="J313" s="219">
        <v>10499.9956</v>
      </c>
      <c r="K313" s="408"/>
      <c r="L313" s="408"/>
      <c r="M313" s="43"/>
      <c r="N313" s="41" t="s">
        <v>513</v>
      </c>
      <c r="O313" s="41"/>
      <c r="P313" s="34" t="s">
        <v>514</v>
      </c>
      <c r="Q313" s="114">
        <v>9813.08</v>
      </c>
      <c r="R313" s="114">
        <v>686.91560000000004</v>
      </c>
      <c r="S313" s="36">
        <v>10499.9956</v>
      </c>
      <c r="T313" s="2"/>
    </row>
    <row r="314" spans="1:22" s="60" customFormat="1" ht="22.5" customHeight="1" thickBot="1" x14ac:dyDescent="0.35">
      <c r="A314" s="548"/>
      <c r="B314" s="548" t="s">
        <v>15</v>
      </c>
      <c r="C314" s="549"/>
      <c r="D314" s="550"/>
      <c r="E314" s="571"/>
      <c r="F314" s="571"/>
      <c r="G314" s="552"/>
      <c r="H314" s="553">
        <v>9813.08</v>
      </c>
      <c r="I314" s="553">
        <v>686.91560000000004</v>
      </c>
      <c r="J314" s="553">
        <v>10499.9956</v>
      </c>
      <c r="K314" s="554"/>
      <c r="L314" s="554"/>
      <c r="M314" s="550"/>
      <c r="N314" s="548"/>
      <c r="O314" s="548"/>
      <c r="P314" s="552"/>
      <c r="Q314" s="557">
        <v>9813.08</v>
      </c>
      <c r="R314" s="557">
        <v>686.91560000000004</v>
      </c>
      <c r="S314" s="558">
        <v>10499.9956</v>
      </c>
      <c r="T314" s="59"/>
    </row>
    <row r="315" spans="1:22" s="60" customFormat="1" ht="22.5" customHeight="1" thickTop="1" thickBot="1" x14ac:dyDescent="0.35">
      <c r="A315" s="572"/>
      <c r="B315" s="572" t="s">
        <v>515</v>
      </c>
      <c r="C315" s="573"/>
      <c r="D315" s="574"/>
      <c r="E315" s="575"/>
      <c r="F315" s="575"/>
      <c r="G315" s="576"/>
      <c r="H315" s="577">
        <v>1332104.04</v>
      </c>
      <c r="I315" s="577">
        <v>686.91560000000004</v>
      </c>
      <c r="J315" s="577">
        <v>1332790.9556</v>
      </c>
      <c r="K315" s="578"/>
      <c r="L315" s="578"/>
      <c r="M315" s="579">
        <v>0</v>
      </c>
      <c r="N315" s="580"/>
      <c r="O315" s="580"/>
      <c r="P315" s="581"/>
      <c r="Q315" s="582">
        <f>SUM(Q311+Q314)</f>
        <v>1373321.45</v>
      </c>
      <c r="R315" s="582">
        <v>686.91560000000004</v>
      </c>
      <c r="S315" s="583">
        <f>SUM(S311+S314)</f>
        <v>1374008.3655999999</v>
      </c>
      <c r="T315" s="59"/>
    </row>
    <row r="316" spans="1:22" ht="22.5" customHeight="1" thickTop="1" x14ac:dyDescent="0.3">
      <c r="E316" s="469"/>
      <c r="F316" s="469"/>
      <c r="G316" s="470"/>
      <c r="H316" s="3"/>
      <c r="I316" s="3"/>
      <c r="J316" s="3"/>
      <c r="K316" s="584"/>
      <c r="L316" s="585"/>
      <c r="N316" s="470"/>
      <c r="O316" s="470"/>
      <c r="P316" s="586"/>
      <c r="Q316" s="471"/>
      <c r="R316" s="471"/>
      <c r="S316" s="472"/>
      <c r="T316" s="2"/>
    </row>
    <row r="317" spans="1:22" s="589" customFormat="1" ht="20.399999999999999" x14ac:dyDescent="0.5">
      <c r="A317" s="1126" t="s">
        <v>1183</v>
      </c>
      <c r="B317" s="1127"/>
      <c r="C317" s="1127"/>
      <c r="D317" s="1127"/>
      <c r="E317" s="1127"/>
      <c r="F317" s="1127"/>
      <c r="G317" s="1127"/>
      <c r="H317" s="1127"/>
      <c r="I317" s="1127"/>
      <c r="J317" s="1127"/>
      <c r="K317" s="1127"/>
      <c r="L317" s="1127"/>
      <c r="M317" s="1127"/>
      <c r="N317" s="1127"/>
      <c r="O317" s="1127"/>
      <c r="P317" s="1127"/>
      <c r="Q317" s="1127"/>
      <c r="R317" s="1127"/>
      <c r="S317" s="1127"/>
      <c r="T317" s="587"/>
      <c r="U317" s="587"/>
      <c r="V317" s="588"/>
    </row>
    <row r="318" spans="1:22" s="599" customFormat="1" x14ac:dyDescent="0.6">
      <c r="A318" s="590">
        <v>1</v>
      </c>
      <c r="B318" s="591" t="s">
        <v>517</v>
      </c>
      <c r="C318" s="591" t="s">
        <v>518</v>
      </c>
      <c r="D318" s="592">
        <v>0</v>
      </c>
      <c r="E318" s="593"/>
      <c r="F318" s="593"/>
      <c r="G318" s="594"/>
      <c r="H318" s="595">
        <v>0</v>
      </c>
      <c r="I318" s="595">
        <v>0</v>
      </c>
      <c r="J318" s="595">
        <v>0</v>
      </c>
      <c r="K318" s="596"/>
      <c r="L318" s="596"/>
      <c r="M318" s="597"/>
      <c r="N318" s="598"/>
      <c r="O318" s="598"/>
      <c r="P318" s="594"/>
      <c r="Q318" s="595">
        <v>0</v>
      </c>
      <c r="R318" s="595">
        <v>0</v>
      </c>
      <c r="S318" s="595">
        <v>0</v>
      </c>
      <c r="V318" s="600"/>
    </row>
    <row r="319" spans="1:22" s="599" customFormat="1" x14ac:dyDescent="0.6">
      <c r="A319" s="601">
        <v>2</v>
      </c>
      <c r="B319" s="602" t="s">
        <v>519</v>
      </c>
      <c r="C319" s="602" t="s">
        <v>520</v>
      </c>
      <c r="D319" s="603">
        <v>0</v>
      </c>
      <c r="E319" s="604"/>
      <c r="F319" s="604"/>
      <c r="G319" s="605"/>
      <c r="H319" s="606">
        <v>54000</v>
      </c>
      <c r="I319" s="606">
        <v>0</v>
      </c>
      <c r="J319" s="606">
        <v>54000</v>
      </c>
      <c r="K319" s="607"/>
      <c r="L319" s="607"/>
      <c r="M319" s="608"/>
      <c r="N319" s="604"/>
      <c r="O319" s="604"/>
      <c r="P319" s="605"/>
      <c r="Q319" s="609">
        <v>54000</v>
      </c>
      <c r="R319" s="609">
        <v>0</v>
      </c>
      <c r="S319" s="609">
        <v>54000</v>
      </c>
      <c r="V319" s="600"/>
    </row>
    <row r="320" spans="1:22" s="599" customFormat="1" x14ac:dyDescent="0.6">
      <c r="A320" s="610">
        <v>3</v>
      </c>
      <c r="B320" s="611" t="s">
        <v>521</v>
      </c>
      <c r="C320" s="611" t="s">
        <v>522</v>
      </c>
      <c r="D320" s="612">
        <v>0</v>
      </c>
      <c r="E320" s="613"/>
      <c r="F320" s="613"/>
      <c r="G320" s="614"/>
      <c r="H320" s="615">
        <v>0</v>
      </c>
      <c r="I320" s="615">
        <v>0</v>
      </c>
      <c r="J320" s="615">
        <v>0</v>
      </c>
      <c r="K320" s="616"/>
      <c r="L320" s="616"/>
      <c r="M320" s="617"/>
      <c r="N320" s="618"/>
      <c r="O320" s="618"/>
      <c r="P320" s="614"/>
      <c r="Q320" s="609">
        <v>0</v>
      </c>
      <c r="R320" s="609">
        <v>0</v>
      </c>
      <c r="S320" s="609">
        <v>0</v>
      </c>
      <c r="V320" s="600"/>
    </row>
    <row r="321" spans="1:22" s="599" customFormat="1" ht="24" thickBot="1" x14ac:dyDescent="0.65">
      <c r="A321" s="619"/>
      <c r="B321" s="620" t="s">
        <v>1184</v>
      </c>
      <c r="C321" s="621"/>
      <c r="D321" s="622">
        <v>0</v>
      </c>
      <c r="E321" s="623"/>
      <c r="F321" s="623"/>
      <c r="G321" s="624"/>
      <c r="H321" s="625">
        <v>54000</v>
      </c>
      <c r="I321" s="625">
        <v>0</v>
      </c>
      <c r="J321" s="625">
        <v>54000</v>
      </c>
      <c r="K321" s="624"/>
      <c r="L321" s="624"/>
      <c r="M321" s="622">
        <v>0</v>
      </c>
      <c r="N321" s="623"/>
      <c r="O321" s="623"/>
      <c r="P321" s="624"/>
      <c r="Q321" s="626">
        <v>54000</v>
      </c>
      <c r="R321" s="626">
        <v>0</v>
      </c>
      <c r="S321" s="626">
        <v>54000</v>
      </c>
      <c r="T321" s="627">
        <v>2034140.3755999999</v>
      </c>
      <c r="V321" s="600"/>
    </row>
    <row r="322" spans="1:22" s="636" customFormat="1" ht="24" thickTop="1" x14ac:dyDescent="0.6">
      <c r="A322" s="628"/>
      <c r="B322" s="629"/>
      <c r="C322" s="630"/>
      <c r="D322" s="631"/>
      <c r="E322" s="632"/>
      <c r="F322" s="632"/>
      <c r="G322" s="633"/>
      <c r="H322" s="634"/>
      <c r="I322" s="634"/>
      <c r="J322" s="634"/>
      <c r="K322" s="633"/>
      <c r="L322" s="633"/>
      <c r="M322" s="631"/>
      <c r="N322" s="632"/>
      <c r="O322" s="632"/>
      <c r="P322" s="633"/>
      <c r="Q322" s="635"/>
      <c r="R322" s="635"/>
      <c r="S322" s="635"/>
      <c r="V322" s="637"/>
    </row>
    <row r="323" spans="1:22" s="636" customFormat="1" x14ac:dyDescent="0.6">
      <c r="A323" s="1128" t="s">
        <v>524</v>
      </c>
      <c r="B323" s="1128"/>
      <c r="C323" s="1128"/>
      <c r="D323" s="1128"/>
      <c r="E323" s="1128"/>
      <c r="F323" s="1128"/>
      <c r="G323" s="1128"/>
      <c r="H323" s="1128"/>
      <c r="I323" s="1128"/>
      <c r="J323" s="1128"/>
      <c r="K323" s="1128"/>
      <c r="L323" s="1128"/>
      <c r="M323" s="1128"/>
      <c r="N323" s="1128"/>
      <c r="O323" s="1128"/>
      <c r="P323" s="1128"/>
      <c r="Q323" s="1128"/>
      <c r="R323" s="1128"/>
      <c r="S323" s="1128"/>
      <c r="V323" s="637"/>
    </row>
    <row r="324" spans="1:22" s="599" customFormat="1" x14ac:dyDescent="0.6">
      <c r="A324" s="638">
        <v>1</v>
      </c>
      <c r="B324" s="639" t="s">
        <v>519</v>
      </c>
      <c r="C324" s="639" t="s">
        <v>518</v>
      </c>
      <c r="D324" s="640">
        <v>5600</v>
      </c>
      <c r="E324" s="641" t="s">
        <v>1182</v>
      </c>
      <c r="F324" s="641"/>
      <c r="G324" s="642">
        <v>16</v>
      </c>
      <c r="H324" s="643">
        <v>89600</v>
      </c>
      <c r="I324" s="643">
        <v>0</v>
      </c>
      <c r="J324" s="643">
        <v>89600</v>
      </c>
      <c r="K324" s="884"/>
      <c r="L324" s="884"/>
      <c r="M324" s="884"/>
      <c r="N324" s="884" t="s">
        <v>1412</v>
      </c>
      <c r="O324" s="884"/>
      <c r="P324" s="884">
        <v>17</v>
      </c>
      <c r="Q324" s="643">
        <f>SUM(D324+J324-M324)</f>
        <v>95200</v>
      </c>
      <c r="R324" s="643">
        <v>0</v>
      </c>
      <c r="S324" s="643">
        <f>SUM(D324+J324-M324)</f>
        <v>95200</v>
      </c>
      <c r="V324" s="600"/>
    </row>
    <row r="325" spans="1:22" s="599" customFormat="1" x14ac:dyDescent="0.6">
      <c r="A325" s="646">
        <v>2</v>
      </c>
      <c r="B325" s="647" t="s">
        <v>521</v>
      </c>
      <c r="C325" s="647" t="s">
        <v>522</v>
      </c>
      <c r="D325" s="648">
        <v>8400</v>
      </c>
      <c r="E325" s="649"/>
      <c r="F325" s="649"/>
      <c r="G325" s="650"/>
      <c r="H325" s="651">
        <v>1.8189894035458565E-12</v>
      </c>
      <c r="I325" s="615">
        <v>0</v>
      </c>
      <c r="J325" s="615">
        <v>1.8189894035458565E-12</v>
      </c>
      <c r="K325" s="644" t="s">
        <v>1419</v>
      </c>
      <c r="L325" s="644" t="s">
        <v>1541</v>
      </c>
      <c r="M325" s="645">
        <v>8400</v>
      </c>
      <c r="N325" s="641"/>
      <c r="O325" s="641"/>
      <c r="P325" s="642"/>
      <c r="Q325" s="643">
        <f>SUM(D325+J325-M325)</f>
        <v>1.8189894035458565E-12</v>
      </c>
      <c r="R325" s="606">
        <v>0</v>
      </c>
      <c r="S325" s="643">
        <f>SUM(D325+J325-M325)</f>
        <v>1.8189894035458565E-12</v>
      </c>
      <c r="V325" s="600"/>
    </row>
    <row r="326" spans="1:22" s="599" customFormat="1" x14ac:dyDescent="0.6">
      <c r="A326" s="646"/>
      <c r="B326" s="653" t="s">
        <v>534</v>
      </c>
      <c r="C326" s="647"/>
      <c r="D326" s="648"/>
      <c r="E326" s="649"/>
      <c r="F326" s="649"/>
      <c r="G326" s="650"/>
      <c r="H326" s="651"/>
      <c r="I326" s="651"/>
      <c r="J326" s="651"/>
      <c r="K326" s="30"/>
      <c r="L326" s="249"/>
      <c r="M326" s="221"/>
      <c r="N326" s="652"/>
      <c r="O326" s="652"/>
      <c r="P326" s="373"/>
      <c r="Q326" s="651"/>
      <c r="R326" s="651"/>
      <c r="S326" s="651"/>
      <c r="V326" s="600"/>
    </row>
    <row r="327" spans="1:22" s="599" customFormat="1" ht="24" thickBot="1" x14ac:dyDescent="0.65">
      <c r="A327" s="619"/>
      <c r="B327" s="620" t="s">
        <v>535</v>
      </c>
      <c r="C327" s="621"/>
      <c r="D327" s="622">
        <v>14000</v>
      </c>
      <c r="E327" s="623"/>
      <c r="F327" s="623"/>
      <c r="G327" s="624"/>
      <c r="H327" s="625">
        <f>SUM(H324:H326)-H325</f>
        <v>89600</v>
      </c>
      <c r="I327" s="625">
        <f>SUM(I324:I326)-I325</f>
        <v>0</v>
      </c>
      <c r="J327" s="625">
        <f>SUM(J324:J326)-J325</f>
        <v>89600</v>
      </c>
      <c r="K327" s="625"/>
      <c r="L327" s="625"/>
      <c r="M327" s="625">
        <f>SUM(M325:M326)</f>
        <v>8400</v>
      </c>
      <c r="N327" s="625"/>
      <c r="O327" s="625"/>
      <c r="P327" s="625"/>
      <c r="Q327" s="625">
        <f>SUM(Q324:Q326)</f>
        <v>95200</v>
      </c>
      <c r="R327" s="625">
        <f>SUM(R324:R326)</f>
        <v>0</v>
      </c>
      <c r="S327" s="625">
        <f>SUM(S324:S326)</f>
        <v>95200</v>
      </c>
      <c r="V327" s="600"/>
    </row>
    <row r="328" spans="1:22" ht="22.5" customHeight="1" thickTop="1" x14ac:dyDescent="0.3">
      <c r="E328" s="469"/>
      <c r="F328" s="469"/>
      <c r="G328" s="470"/>
      <c r="H328" s="3"/>
      <c r="I328" s="3"/>
      <c r="J328" s="3"/>
      <c r="K328" s="584"/>
      <c r="L328" s="585"/>
      <c r="N328" s="470"/>
      <c r="O328" s="470"/>
      <c r="P328" s="586"/>
      <c r="Q328" s="471"/>
      <c r="R328" s="471"/>
      <c r="S328" s="472"/>
      <c r="T328" s="2"/>
    </row>
    <row r="329" spans="1:22" ht="22.5" customHeight="1" thickBot="1" x14ac:dyDescent="0.35">
      <c r="E329" s="469"/>
      <c r="F329" s="469"/>
      <c r="G329" s="470"/>
      <c r="H329" s="3"/>
      <c r="I329" s="3"/>
      <c r="J329" s="3"/>
      <c r="K329" s="584"/>
      <c r="L329" s="585"/>
      <c r="M329" s="657">
        <f>SUM(M295+M315+M321+M327)</f>
        <v>1012451.07</v>
      </c>
      <c r="N329" s="470"/>
      <c r="O329" s="470"/>
      <c r="P329" s="586"/>
      <c r="Q329" s="1148" t="s">
        <v>536</v>
      </c>
      <c r="R329" s="1148"/>
      <c r="S329" s="658">
        <f>SUM(S295+S315+S321+S327)+0.01</f>
        <v>1873507.9752999998</v>
      </c>
      <c r="T329" s="2"/>
    </row>
    <row r="330" spans="1:22" ht="22.5" customHeight="1" thickTop="1" x14ac:dyDescent="0.5">
      <c r="B330" s="587" t="s">
        <v>537</v>
      </c>
      <c r="C330" s="587"/>
      <c r="D330" s="587"/>
      <c r="E330" s="587"/>
      <c r="F330" s="587"/>
      <c r="G330" s="587"/>
      <c r="H330" s="587"/>
      <c r="I330" s="587"/>
      <c r="J330" s="587"/>
      <c r="K330" s="587"/>
      <c r="N330" s="3"/>
      <c r="O330" s="3"/>
      <c r="P330" s="470"/>
      <c r="Q330" s="471"/>
      <c r="R330" s="471"/>
      <c r="S330" s="472"/>
    </row>
    <row r="331" spans="1:22" x14ac:dyDescent="0.5">
      <c r="B331" s="1129" t="s">
        <v>538</v>
      </c>
      <c r="C331" s="1129"/>
      <c r="D331" s="1129"/>
      <c r="E331" s="1129"/>
      <c r="F331" s="1129"/>
      <c r="G331" s="1129"/>
      <c r="H331" s="1129"/>
      <c r="I331" s="1129"/>
      <c r="J331" s="1129"/>
      <c r="K331" s="1129"/>
      <c r="N331" s="3"/>
      <c r="O331" s="3"/>
      <c r="P331" s="470"/>
      <c r="Q331" s="471"/>
      <c r="R331" s="471"/>
      <c r="S331" s="472"/>
    </row>
    <row r="332" spans="1:22" x14ac:dyDescent="0.5">
      <c r="B332" s="1129" t="s">
        <v>539</v>
      </c>
      <c r="C332" s="1129"/>
      <c r="D332" s="1129"/>
      <c r="E332" s="1129"/>
      <c r="F332" s="1129"/>
      <c r="G332" s="1129"/>
      <c r="H332" s="1129"/>
      <c r="I332" s="1129"/>
      <c r="J332" s="1129"/>
      <c r="K332" s="1129"/>
      <c r="N332" s="3"/>
      <c r="O332" s="3"/>
      <c r="P332" s="470"/>
      <c r="Q332" s="471"/>
      <c r="R332" s="471"/>
      <c r="S332" s="472"/>
    </row>
    <row r="333" spans="1:22" x14ac:dyDescent="0.3">
      <c r="E333" s="469"/>
      <c r="F333" s="469"/>
      <c r="G333" s="470"/>
      <c r="H333" s="3"/>
      <c r="I333" s="3"/>
      <c r="J333" s="3"/>
      <c r="N333" s="3"/>
      <c r="O333" s="3"/>
      <c r="P333" s="470"/>
      <c r="Q333" s="471"/>
      <c r="R333" s="471"/>
      <c r="S333" s="472"/>
    </row>
    <row r="334" spans="1:22" x14ac:dyDescent="0.3">
      <c r="E334" s="469"/>
      <c r="F334" s="469"/>
      <c r="G334" s="470"/>
      <c r="H334" s="3"/>
      <c r="I334" s="3"/>
      <c r="J334" s="3"/>
      <c r="N334" s="3"/>
      <c r="O334" s="3"/>
      <c r="P334" s="470"/>
      <c r="Q334" s="471"/>
      <c r="R334" s="471"/>
      <c r="S334" s="472"/>
    </row>
    <row r="335" spans="1:22" x14ac:dyDescent="0.3">
      <c r="E335" s="469"/>
      <c r="F335" s="469"/>
      <c r="G335" s="470"/>
      <c r="H335" s="3"/>
      <c r="I335" s="3"/>
      <c r="J335" s="3"/>
      <c r="N335" s="3"/>
      <c r="O335" s="3"/>
      <c r="P335" s="470"/>
      <c r="Q335" s="471"/>
      <c r="R335" s="471"/>
      <c r="S335" s="472"/>
    </row>
    <row r="336" spans="1:22" x14ac:dyDescent="0.3">
      <c r="E336" s="469"/>
      <c r="F336" s="469"/>
      <c r="G336" s="470"/>
      <c r="H336" s="3"/>
      <c r="I336" s="3"/>
      <c r="J336" s="3"/>
      <c r="N336" s="3"/>
      <c r="O336" s="3"/>
      <c r="P336" s="470"/>
      <c r="Q336" s="471"/>
      <c r="R336" s="471"/>
      <c r="S336" s="472"/>
    </row>
    <row r="337" spans="5:19" x14ac:dyDescent="0.3">
      <c r="E337" s="469"/>
      <c r="F337" s="469"/>
      <c r="G337" s="470"/>
      <c r="H337" s="3"/>
      <c r="I337" s="3"/>
      <c r="J337" s="3"/>
      <c r="N337" s="3"/>
      <c r="O337" s="3"/>
      <c r="P337" s="470"/>
      <c r="Q337" s="471"/>
      <c r="R337" s="471"/>
      <c r="S337" s="472"/>
    </row>
    <row r="338" spans="5:19" x14ac:dyDescent="0.3">
      <c r="E338" s="469"/>
      <c r="F338" s="469"/>
      <c r="G338" s="470"/>
      <c r="H338" s="3"/>
      <c r="I338" s="3"/>
      <c r="J338" s="3"/>
      <c r="N338" s="3"/>
      <c r="O338" s="3"/>
      <c r="P338" s="470"/>
      <c r="Q338" s="471"/>
      <c r="R338" s="471"/>
      <c r="S338" s="472"/>
    </row>
    <row r="339" spans="5:19" x14ac:dyDescent="0.3">
      <c r="E339" s="469"/>
      <c r="F339" s="469"/>
      <c r="G339" s="470"/>
      <c r="H339" s="3"/>
      <c r="I339" s="3"/>
      <c r="J339" s="3"/>
      <c r="N339" s="3"/>
      <c r="O339" s="3"/>
      <c r="P339" s="470"/>
      <c r="Q339" s="471"/>
      <c r="R339" s="471"/>
      <c r="S339" s="472"/>
    </row>
  </sheetData>
  <mergeCells count="22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332:K332"/>
    <mergeCell ref="E5:E6"/>
    <mergeCell ref="G5:G6"/>
    <mergeCell ref="H5:J5"/>
    <mergeCell ref="N5:N6"/>
    <mergeCell ref="A297:S297"/>
    <mergeCell ref="A317:S317"/>
    <mergeCell ref="A323:S323"/>
    <mergeCell ref="Q329:R329"/>
    <mergeCell ref="B331:K331"/>
    <mergeCell ref="P5:P6"/>
    <mergeCell ref="Q5:S5"/>
  </mergeCells>
  <pageMargins left="0.7" right="0.7" top="0.75" bottom="0.75" header="0.3" footer="0.3"/>
  <pageSetup scale="4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2710-EC6C-4E15-B2B1-63DEEE350016}">
  <sheetPr>
    <tabColor rgb="FFFFC000"/>
  </sheetPr>
  <dimension ref="A1:AA157"/>
  <sheetViews>
    <sheetView zoomScale="80" zoomScaleNormal="80" workbookViewId="0">
      <pane ySplit="6" topLeftCell="A147" activePane="bottomLeft" state="frozen"/>
      <selection pane="bottomLeft" activeCell="B164" sqref="B164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2.44140625" style="88" customWidth="1"/>
    <col min="5" max="5" width="18.6640625" style="88" customWidth="1"/>
    <col min="6" max="6" width="16.33203125" style="88" customWidth="1"/>
    <col min="7" max="7" width="9" style="3" customWidth="1"/>
    <col min="8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8" ht="22.5" customHeight="1" x14ac:dyDescent="0.3">
      <c r="A3" s="1110" t="s">
        <v>1411</v>
      </c>
      <c r="B3" s="1111"/>
      <c r="C3" s="1111"/>
      <c r="D3" s="1111"/>
      <c r="E3" s="1111"/>
      <c r="F3" s="1111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8" ht="22.5" customHeight="1" x14ac:dyDescent="0.3">
      <c r="A5" s="1113"/>
      <c r="B5" s="1113"/>
      <c r="C5" s="1116"/>
      <c r="D5" s="5"/>
      <c r="E5" s="6"/>
      <c r="F5" s="6"/>
    </row>
    <row r="6" spans="1:8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8" ht="22.5" customHeight="1" x14ac:dyDescent="0.3">
      <c r="A7" s="11"/>
      <c r="B7" s="12" t="s">
        <v>19</v>
      </c>
      <c r="C7" s="13"/>
      <c r="D7" s="18"/>
      <c r="E7" s="18"/>
      <c r="F7" s="14"/>
    </row>
    <row r="8" spans="1:8" ht="22.5" customHeight="1" x14ac:dyDescent="0.5">
      <c r="A8" s="23">
        <v>1</v>
      </c>
      <c r="B8" s="24" t="s">
        <v>20</v>
      </c>
      <c r="C8" s="25" t="s">
        <v>21</v>
      </c>
      <c r="D8" s="30" t="s">
        <v>1413</v>
      </c>
      <c r="E8" s="31" t="s">
        <v>1414</v>
      </c>
      <c r="F8" s="32">
        <v>26445.35</v>
      </c>
    </row>
    <row r="9" spans="1:8" ht="22.5" customHeight="1" x14ac:dyDescent="0.5">
      <c r="A9" s="23">
        <v>2</v>
      </c>
      <c r="B9" s="24" t="s">
        <v>24</v>
      </c>
      <c r="C9" s="25" t="s">
        <v>25</v>
      </c>
      <c r="D9" s="30" t="s">
        <v>1415</v>
      </c>
      <c r="E9" s="31" t="s">
        <v>1416</v>
      </c>
      <c r="F9" s="32">
        <v>5630.37</v>
      </c>
    </row>
    <row r="10" spans="1:8" ht="22.5" customHeight="1" x14ac:dyDescent="0.5">
      <c r="A10" s="23">
        <v>3</v>
      </c>
      <c r="B10" s="24" t="s">
        <v>27</v>
      </c>
      <c r="C10" s="25" t="s">
        <v>28</v>
      </c>
      <c r="D10" s="38" t="s">
        <v>1417</v>
      </c>
      <c r="E10" s="39" t="s">
        <v>1418</v>
      </c>
      <c r="F10" s="40">
        <v>802.5</v>
      </c>
    </row>
    <row r="11" spans="1:8" ht="22.5" customHeight="1" x14ac:dyDescent="0.5">
      <c r="A11" s="23">
        <v>4</v>
      </c>
      <c r="B11" s="24" t="s">
        <v>30</v>
      </c>
      <c r="C11" s="25" t="s">
        <v>31</v>
      </c>
      <c r="D11" s="30" t="s">
        <v>1419</v>
      </c>
      <c r="E11" s="31" t="s">
        <v>1420</v>
      </c>
      <c r="F11" s="32">
        <v>1155.5999999999999</v>
      </c>
    </row>
    <row r="12" spans="1:8" s="60" customFormat="1" ht="22.5" customHeight="1" thickBot="1" x14ac:dyDescent="0.35">
      <c r="A12" s="48"/>
      <c r="B12" s="48" t="s">
        <v>15</v>
      </c>
      <c r="C12" s="49"/>
      <c r="D12" s="54"/>
      <c r="E12" s="55"/>
      <c r="F12" s="50">
        <v>34033.82</v>
      </c>
      <c r="H12" s="683">
        <f>SUM(F8:F11)</f>
        <v>34033.82</v>
      </c>
    </row>
    <row r="13" spans="1:8" ht="22.5" customHeight="1" thickTop="1" x14ac:dyDescent="0.3">
      <c r="A13" s="61"/>
      <c r="B13" s="62" t="s">
        <v>37</v>
      </c>
      <c r="C13" s="63"/>
      <c r="D13" s="68"/>
      <c r="E13" s="68"/>
      <c r="F13" s="64"/>
    </row>
    <row r="14" spans="1:8" ht="22.5" customHeight="1" x14ac:dyDescent="0.5">
      <c r="A14" s="23">
        <v>1</v>
      </c>
      <c r="B14" s="73" t="s">
        <v>38</v>
      </c>
      <c r="C14" s="25" t="s">
        <v>39</v>
      </c>
      <c r="D14" s="30" t="s">
        <v>1421</v>
      </c>
      <c r="E14" s="31" t="s">
        <v>1422</v>
      </c>
      <c r="F14" s="32">
        <v>1284</v>
      </c>
    </row>
    <row r="15" spans="1:8" ht="22.5" customHeight="1" x14ac:dyDescent="0.5">
      <c r="A15" s="23">
        <v>2</v>
      </c>
      <c r="B15" s="73" t="s">
        <v>42</v>
      </c>
      <c r="C15" s="25" t="s">
        <v>43</v>
      </c>
      <c r="D15" s="30" t="s">
        <v>1423</v>
      </c>
      <c r="E15" s="31" t="s">
        <v>1424</v>
      </c>
      <c r="F15" s="32">
        <v>1861.8</v>
      </c>
    </row>
    <row r="16" spans="1:8" ht="22.5" customHeight="1" x14ac:dyDescent="0.5">
      <c r="A16" s="23">
        <v>3</v>
      </c>
      <c r="B16" s="73" t="s">
        <v>45</v>
      </c>
      <c r="C16" s="25" t="s">
        <v>46</v>
      </c>
      <c r="D16" s="30" t="s">
        <v>1425</v>
      </c>
      <c r="E16" s="31" t="s">
        <v>1426</v>
      </c>
      <c r="F16" s="32">
        <v>1605</v>
      </c>
    </row>
    <row r="17" spans="1:8" ht="22.5" customHeight="1" x14ac:dyDescent="0.5">
      <c r="A17" s="23">
        <v>4</v>
      </c>
      <c r="B17" s="73" t="s">
        <v>48</v>
      </c>
      <c r="C17" s="25" t="s">
        <v>49</v>
      </c>
      <c r="D17" s="30" t="s">
        <v>1421</v>
      </c>
      <c r="E17" s="31" t="s">
        <v>1428</v>
      </c>
      <c r="F17" s="32">
        <v>3081.6</v>
      </c>
    </row>
    <row r="18" spans="1:8" ht="22.5" customHeight="1" x14ac:dyDescent="0.5">
      <c r="A18" s="23">
        <v>5</v>
      </c>
      <c r="B18" s="73" t="s">
        <v>51</v>
      </c>
      <c r="C18" s="25" t="s">
        <v>52</v>
      </c>
      <c r="D18" s="30" t="s">
        <v>1419</v>
      </c>
      <c r="E18" s="31" t="s">
        <v>1429</v>
      </c>
      <c r="F18" s="32">
        <v>4333.5</v>
      </c>
    </row>
    <row r="19" spans="1:8" ht="22.5" customHeight="1" x14ac:dyDescent="0.5">
      <c r="A19" s="23">
        <v>6</v>
      </c>
      <c r="B19" s="73" t="s">
        <v>30</v>
      </c>
      <c r="C19" s="25" t="s">
        <v>31</v>
      </c>
      <c r="D19" s="30" t="s">
        <v>1419</v>
      </c>
      <c r="E19" s="31" t="s">
        <v>1430</v>
      </c>
      <c r="F19" s="32">
        <v>6420</v>
      </c>
    </row>
    <row r="20" spans="1:8" ht="22.5" customHeight="1" x14ac:dyDescent="0.5">
      <c r="A20" s="23">
        <v>7</v>
      </c>
      <c r="B20" s="78" t="s">
        <v>54</v>
      </c>
      <c r="C20" s="25" t="s">
        <v>55</v>
      </c>
      <c r="D20" s="38" t="s">
        <v>1423</v>
      </c>
      <c r="E20" s="39" t="s">
        <v>1431</v>
      </c>
      <c r="F20" s="40">
        <v>2696.4</v>
      </c>
    </row>
    <row r="21" spans="1:8" ht="22.5" customHeight="1" x14ac:dyDescent="0.5">
      <c r="A21" s="23">
        <v>8</v>
      </c>
      <c r="B21" s="78" t="s">
        <v>56</v>
      </c>
      <c r="C21" s="81" t="s">
        <v>57</v>
      </c>
      <c r="D21" s="38" t="s">
        <v>1423</v>
      </c>
      <c r="E21" s="39" t="s">
        <v>1432</v>
      </c>
      <c r="F21" s="40">
        <v>1203.75</v>
      </c>
    </row>
    <row r="22" spans="1:8" ht="22.5" customHeight="1" x14ac:dyDescent="0.5">
      <c r="A22" s="23">
        <v>9</v>
      </c>
      <c r="B22" s="78" t="s">
        <v>59</v>
      </c>
      <c r="C22" s="83" t="s">
        <v>60</v>
      </c>
      <c r="D22" s="38" t="s">
        <v>1433</v>
      </c>
      <c r="E22" s="39" t="s">
        <v>1434</v>
      </c>
      <c r="F22" s="40">
        <v>21400</v>
      </c>
    </row>
    <row r="23" spans="1:8" s="88" customFormat="1" ht="22.5" customHeight="1" x14ac:dyDescent="0.5">
      <c r="A23" s="23">
        <v>10</v>
      </c>
      <c r="B23" s="84" t="s">
        <v>62</v>
      </c>
      <c r="C23" s="85" t="s">
        <v>28</v>
      </c>
      <c r="D23" s="38" t="s">
        <v>1417</v>
      </c>
      <c r="E23" s="39" t="s">
        <v>1435</v>
      </c>
      <c r="F23" s="40">
        <v>856</v>
      </c>
    </row>
    <row r="24" spans="1:8" ht="22.5" customHeight="1" x14ac:dyDescent="0.5">
      <c r="A24" s="23">
        <v>11</v>
      </c>
      <c r="B24" s="89" t="s">
        <v>64</v>
      </c>
      <c r="C24" s="90" t="s">
        <v>65</v>
      </c>
      <c r="D24" s="38" t="s">
        <v>1417</v>
      </c>
      <c r="E24" s="39" t="s">
        <v>1436</v>
      </c>
      <c r="F24" s="40">
        <v>21400</v>
      </c>
    </row>
    <row r="25" spans="1:8" ht="22.5" customHeight="1" x14ac:dyDescent="0.5">
      <c r="A25" s="23">
        <v>12</v>
      </c>
      <c r="B25" s="94" t="s">
        <v>67</v>
      </c>
      <c r="C25" s="95" t="s">
        <v>68</v>
      </c>
      <c r="D25" s="38" t="s">
        <v>1425</v>
      </c>
      <c r="E25" s="39" t="s">
        <v>1437</v>
      </c>
      <c r="F25" s="40">
        <v>3210</v>
      </c>
    </row>
    <row r="26" spans="1:8" ht="22.5" customHeight="1" x14ac:dyDescent="0.5">
      <c r="A26" s="23">
        <v>13</v>
      </c>
      <c r="B26" s="99" t="s">
        <v>70</v>
      </c>
      <c r="C26" s="100" t="s">
        <v>60</v>
      </c>
      <c r="D26" s="101" t="s">
        <v>1433</v>
      </c>
      <c r="E26" s="102" t="s">
        <v>1438</v>
      </c>
      <c r="F26" s="103">
        <v>3210</v>
      </c>
    </row>
    <row r="27" spans="1:8" s="60" customFormat="1" ht="22.5" customHeight="1" thickBot="1" x14ac:dyDescent="0.35">
      <c r="A27" s="48"/>
      <c r="B27" s="48" t="s">
        <v>15</v>
      </c>
      <c r="C27" s="49"/>
      <c r="D27" s="104"/>
      <c r="E27" s="104"/>
      <c r="F27" s="104">
        <v>72562.05</v>
      </c>
      <c r="H27" s="683">
        <f>SUM(F14:F26)</f>
        <v>72562.05</v>
      </c>
    </row>
    <row r="28" spans="1:8" ht="22.5" customHeight="1" thickTop="1" x14ac:dyDescent="0.3">
      <c r="A28" s="61"/>
      <c r="B28" s="62" t="s">
        <v>71</v>
      </c>
      <c r="C28" s="63"/>
      <c r="D28" s="68"/>
      <c r="E28" s="68"/>
      <c r="F28" s="64"/>
    </row>
    <row r="29" spans="1:8" ht="22.5" customHeight="1" x14ac:dyDescent="0.5">
      <c r="A29" s="23">
        <v>1</v>
      </c>
      <c r="B29" s="73" t="s">
        <v>72</v>
      </c>
      <c r="C29" s="25" t="s">
        <v>73</v>
      </c>
      <c r="D29" s="38" t="s">
        <v>1417</v>
      </c>
      <c r="E29" s="39" t="s">
        <v>1439</v>
      </c>
      <c r="F29" s="32">
        <v>5601.45</v>
      </c>
    </row>
    <row r="30" spans="1:8" ht="22.5" customHeight="1" x14ac:dyDescent="0.5">
      <c r="A30" s="115">
        <v>2</v>
      </c>
      <c r="B30" s="4" t="s">
        <v>75</v>
      </c>
      <c r="C30" s="25" t="s">
        <v>76</v>
      </c>
      <c r="D30" s="101" t="s">
        <v>1425</v>
      </c>
      <c r="E30" s="102" t="s">
        <v>1440</v>
      </c>
      <c r="F30" s="103">
        <v>14445</v>
      </c>
    </row>
    <row r="31" spans="1:8" s="60" customFormat="1" ht="22.5" customHeight="1" thickBot="1" x14ac:dyDescent="0.35">
      <c r="A31" s="48"/>
      <c r="B31" s="48" t="s">
        <v>15</v>
      </c>
      <c r="C31" s="49"/>
      <c r="D31" s="50"/>
      <c r="E31" s="50">
        <v>0</v>
      </c>
      <c r="F31" s="50">
        <v>20046.45</v>
      </c>
      <c r="H31" s="683">
        <f>SUM(F29:F30)</f>
        <v>20046.45</v>
      </c>
    </row>
    <row r="32" spans="1:8" ht="22.5" customHeight="1" thickTop="1" x14ac:dyDescent="0.3">
      <c r="A32" s="61"/>
      <c r="B32" s="121" t="s">
        <v>78</v>
      </c>
      <c r="C32" s="63"/>
      <c r="D32" s="68"/>
      <c r="E32" s="68"/>
      <c r="F32" s="64"/>
    </row>
    <row r="33" spans="1:27" s="134" customFormat="1" ht="22.5" customHeight="1" x14ac:dyDescent="0.6">
      <c r="A33" s="122">
        <v>1</v>
      </c>
      <c r="B33" s="123" t="s">
        <v>79</v>
      </c>
      <c r="C33" s="124" t="s">
        <v>60</v>
      </c>
      <c r="D33" s="38" t="s">
        <v>1433</v>
      </c>
      <c r="E33" s="39" t="s">
        <v>1441</v>
      </c>
      <c r="F33" s="40">
        <v>5350</v>
      </c>
      <c r="G33" s="132"/>
      <c r="H33" s="131"/>
      <c r="I33" s="132"/>
      <c r="J33" s="132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</row>
    <row r="34" spans="1:27" s="134" customFormat="1" ht="22.5" customHeight="1" x14ac:dyDescent="0.6">
      <c r="A34" s="122">
        <v>2</v>
      </c>
      <c r="B34" s="123" t="s">
        <v>80</v>
      </c>
      <c r="C34" s="124" t="s">
        <v>65</v>
      </c>
      <c r="D34" s="38" t="s">
        <v>1417</v>
      </c>
      <c r="E34" s="39" t="s">
        <v>1442</v>
      </c>
      <c r="F34" s="40">
        <v>5350</v>
      </c>
      <c r="G34" s="132"/>
      <c r="H34" s="131"/>
      <c r="I34" s="132"/>
      <c r="J34" s="132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</row>
    <row r="35" spans="1:27" s="60" customFormat="1" ht="22.5" customHeight="1" thickBot="1" x14ac:dyDescent="0.35">
      <c r="A35" s="48"/>
      <c r="B35" s="48" t="s">
        <v>15</v>
      </c>
      <c r="C35" s="49"/>
      <c r="D35" s="109"/>
      <c r="E35" s="109"/>
      <c r="F35" s="138">
        <v>10700</v>
      </c>
      <c r="H35" s="683">
        <f>SUM(F33:F34)</f>
        <v>10700</v>
      </c>
    </row>
    <row r="36" spans="1:27" ht="22.5" customHeight="1" thickTop="1" x14ac:dyDescent="0.3">
      <c r="A36" s="139"/>
      <c r="B36" s="140" t="s">
        <v>81</v>
      </c>
      <c r="C36" s="141"/>
      <c r="D36" s="68"/>
      <c r="E36" s="68"/>
      <c r="F36" s="64"/>
    </row>
    <row r="37" spans="1:27" ht="22.5" customHeight="1" x14ac:dyDescent="0.5">
      <c r="A37" s="148">
        <v>1</v>
      </c>
      <c r="B37" s="149" t="s">
        <v>82</v>
      </c>
      <c r="C37" s="90" t="s">
        <v>83</v>
      </c>
      <c r="D37" s="30" t="s">
        <v>1425</v>
      </c>
      <c r="E37" s="31" t="s">
        <v>1443</v>
      </c>
      <c r="F37" s="32">
        <v>6955</v>
      </c>
    </row>
    <row r="38" spans="1:27" s="60" customFormat="1" ht="22.5" customHeight="1" thickBot="1" x14ac:dyDescent="0.35">
      <c r="A38" s="158"/>
      <c r="B38" s="158" t="s">
        <v>15</v>
      </c>
      <c r="C38" s="159"/>
      <c r="D38" s="161"/>
      <c r="E38" s="161"/>
      <c r="F38" s="162">
        <v>6955</v>
      </c>
      <c r="H38" s="683">
        <f>SUM(F37)</f>
        <v>6955</v>
      </c>
    </row>
    <row r="39" spans="1:27" ht="22.5" customHeight="1" thickTop="1" x14ac:dyDescent="0.3">
      <c r="A39" s="115"/>
      <c r="B39" s="164" t="s">
        <v>85</v>
      </c>
      <c r="C39" s="165"/>
      <c r="D39" s="170"/>
      <c r="E39" s="170"/>
      <c r="F39" s="171"/>
    </row>
    <row r="40" spans="1:27" ht="22.5" customHeight="1" x14ac:dyDescent="0.3">
      <c r="A40" s="174">
        <v>1</v>
      </c>
      <c r="B40" s="175" t="s">
        <v>86</v>
      </c>
      <c r="C40" s="176" t="s">
        <v>87</v>
      </c>
      <c r="D40" s="182" t="s">
        <v>1417</v>
      </c>
      <c r="E40" s="183" t="s">
        <v>1444</v>
      </c>
      <c r="F40" s="184">
        <v>1540.8</v>
      </c>
    </row>
    <row r="41" spans="1:27" ht="22.5" customHeight="1" x14ac:dyDescent="0.5">
      <c r="A41" s="174">
        <v>2</v>
      </c>
      <c r="B41" s="189" t="s">
        <v>89</v>
      </c>
      <c r="C41" s="190" t="s">
        <v>90</v>
      </c>
      <c r="D41" s="38" t="s">
        <v>1425</v>
      </c>
      <c r="E41" s="39" t="s">
        <v>1445</v>
      </c>
      <c r="F41" s="40">
        <v>3210</v>
      </c>
    </row>
    <row r="42" spans="1:27" s="60" customFormat="1" ht="22.5" customHeight="1" thickBot="1" x14ac:dyDescent="0.35">
      <c r="A42" s="194"/>
      <c r="B42" s="194" t="s">
        <v>15</v>
      </c>
      <c r="C42" s="195"/>
      <c r="D42" s="198"/>
      <c r="E42" s="199"/>
      <c r="F42" s="200">
        <v>4750.8</v>
      </c>
      <c r="H42" s="683">
        <f>SUM(F40:F41)</f>
        <v>4750.8</v>
      </c>
    </row>
    <row r="43" spans="1:27" ht="22.5" customHeight="1" thickTop="1" x14ac:dyDescent="0.3">
      <c r="A43" s="61"/>
      <c r="B43" s="62" t="s">
        <v>92</v>
      </c>
      <c r="C43" s="63"/>
      <c r="D43" s="68"/>
      <c r="E43" s="68"/>
      <c r="F43" s="64"/>
    </row>
    <row r="44" spans="1:27" ht="22.5" customHeight="1" x14ac:dyDescent="0.5">
      <c r="A44" s="208">
        <v>1</v>
      </c>
      <c r="B44" s="209" t="s">
        <v>93</v>
      </c>
      <c r="C44" s="210" t="s">
        <v>43</v>
      </c>
      <c r="D44" s="30" t="s">
        <v>1423</v>
      </c>
      <c r="E44" s="31" t="s">
        <v>1447</v>
      </c>
      <c r="F44" s="32">
        <v>8688.4</v>
      </c>
    </row>
    <row r="45" spans="1:27" ht="22.5" customHeight="1" x14ac:dyDescent="0.5">
      <c r="A45" s="208">
        <v>2</v>
      </c>
      <c r="B45" s="209" t="s">
        <v>95</v>
      </c>
      <c r="C45" s="210" t="s">
        <v>43</v>
      </c>
      <c r="D45" s="30" t="s">
        <v>1423</v>
      </c>
      <c r="E45" s="31" t="s">
        <v>1447</v>
      </c>
      <c r="F45" s="32">
        <v>4237.2</v>
      </c>
    </row>
    <row r="46" spans="1:27" ht="22.5" customHeight="1" x14ac:dyDescent="0.5">
      <c r="A46" s="208">
        <v>3</v>
      </c>
      <c r="B46" s="73" t="s">
        <v>96</v>
      </c>
      <c r="C46" s="25" t="s">
        <v>97</v>
      </c>
      <c r="D46" s="30" t="s">
        <v>1413</v>
      </c>
      <c r="E46" s="220" t="s">
        <v>1448</v>
      </c>
      <c r="F46" s="221">
        <v>8881</v>
      </c>
    </row>
    <row r="47" spans="1:27" ht="22.5" customHeight="1" x14ac:dyDescent="0.5">
      <c r="A47" s="208">
        <v>4</v>
      </c>
      <c r="B47" s="73" t="s">
        <v>103</v>
      </c>
      <c r="C47" s="25" t="s">
        <v>97</v>
      </c>
      <c r="D47" s="30" t="s">
        <v>1419</v>
      </c>
      <c r="E47" s="31" t="s">
        <v>1449</v>
      </c>
      <c r="F47" s="32">
        <v>4483.3</v>
      </c>
    </row>
    <row r="48" spans="1:27" ht="22.5" customHeight="1" x14ac:dyDescent="0.5">
      <c r="A48" s="208">
        <v>5</v>
      </c>
      <c r="B48" s="73" t="s">
        <v>104</v>
      </c>
      <c r="C48" s="25" t="s">
        <v>97</v>
      </c>
      <c r="D48" s="30" t="s">
        <v>1419</v>
      </c>
      <c r="E48" s="31" t="s">
        <v>1449</v>
      </c>
      <c r="F48" s="32">
        <v>11481.1</v>
      </c>
    </row>
    <row r="49" spans="1:6" ht="22.5" customHeight="1" x14ac:dyDescent="0.5">
      <c r="A49" s="208">
        <v>6</v>
      </c>
      <c r="B49" s="73" t="s">
        <v>105</v>
      </c>
      <c r="C49" s="25" t="s">
        <v>97</v>
      </c>
      <c r="D49" s="30" t="s">
        <v>1421</v>
      </c>
      <c r="E49" s="31" t="s">
        <v>1450</v>
      </c>
      <c r="F49" s="32">
        <v>9801.2000000000007</v>
      </c>
    </row>
    <row r="50" spans="1:6" ht="22.5" customHeight="1" x14ac:dyDescent="0.5">
      <c r="A50" s="208">
        <v>7</v>
      </c>
      <c r="B50" s="73" t="s">
        <v>107</v>
      </c>
      <c r="C50" s="25" t="s">
        <v>97</v>
      </c>
      <c r="D50" s="30" t="s">
        <v>1451</v>
      </c>
      <c r="E50" s="31" t="s">
        <v>1452</v>
      </c>
      <c r="F50" s="32">
        <v>535</v>
      </c>
    </row>
    <row r="51" spans="1:6" ht="22.5" customHeight="1" x14ac:dyDescent="0.5">
      <c r="A51" s="208">
        <v>8</v>
      </c>
      <c r="B51" s="73" t="s">
        <v>110</v>
      </c>
      <c r="C51" s="25" t="s">
        <v>87</v>
      </c>
      <c r="D51" s="30" t="s">
        <v>1417</v>
      </c>
      <c r="E51" s="31" t="s">
        <v>1453</v>
      </c>
      <c r="F51" s="32">
        <v>10282.700000000001</v>
      </c>
    </row>
    <row r="52" spans="1:6" ht="22.5" customHeight="1" x14ac:dyDescent="0.5">
      <c r="A52" s="208">
        <v>9</v>
      </c>
      <c r="B52" s="73" t="s">
        <v>116</v>
      </c>
      <c r="C52" s="25" t="s">
        <v>113</v>
      </c>
      <c r="D52" s="30" t="s">
        <v>1455</v>
      </c>
      <c r="E52" s="31" t="s">
        <v>1456</v>
      </c>
      <c r="F52" s="32">
        <v>5317.9</v>
      </c>
    </row>
    <row r="53" spans="1:6" ht="22.5" customHeight="1" x14ac:dyDescent="0.5">
      <c r="A53" s="208">
        <v>10</v>
      </c>
      <c r="B53" s="73" t="s">
        <v>117</v>
      </c>
      <c r="C53" s="25" t="s">
        <v>118</v>
      </c>
      <c r="D53" s="30" t="s">
        <v>1423</v>
      </c>
      <c r="E53" s="31" t="s">
        <v>1457</v>
      </c>
      <c r="F53" s="32">
        <v>1230.5</v>
      </c>
    </row>
    <row r="54" spans="1:6" ht="22.5" customHeight="1" x14ac:dyDescent="0.5">
      <c r="A54" s="208">
        <v>11</v>
      </c>
      <c r="B54" s="73" t="s">
        <v>124</v>
      </c>
      <c r="C54" s="83" t="s">
        <v>125</v>
      </c>
      <c r="D54" s="30" t="s">
        <v>1423</v>
      </c>
      <c r="E54" s="31" t="s">
        <v>1458</v>
      </c>
      <c r="F54" s="32">
        <v>6206</v>
      </c>
    </row>
    <row r="55" spans="1:6" ht="22.5" customHeight="1" x14ac:dyDescent="0.5">
      <c r="A55" s="208">
        <v>12</v>
      </c>
      <c r="B55" s="78" t="s">
        <v>134</v>
      </c>
      <c r="C55" s="165" t="s">
        <v>135</v>
      </c>
      <c r="D55" s="38" t="s">
        <v>1423</v>
      </c>
      <c r="E55" s="39" t="s">
        <v>1459</v>
      </c>
      <c r="F55" s="40">
        <v>2022.3</v>
      </c>
    </row>
    <row r="56" spans="1:6" s="229" customFormat="1" ht="22.5" customHeight="1" x14ac:dyDescent="0.5">
      <c r="A56" s="208">
        <v>13</v>
      </c>
      <c r="B56" s="226" t="s">
        <v>137</v>
      </c>
      <c r="C56" s="227"/>
      <c r="D56" s="38" t="s">
        <v>1460</v>
      </c>
      <c r="E56" s="39" t="s">
        <v>1461</v>
      </c>
      <c r="F56" s="40">
        <v>3006.7</v>
      </c>
    </row>
    <row r="57" spans="1:6" ht="22.5" customHeight="1" x14ac:dyDescent="0.5">
      <c r="A57" s="208">
        <v>14</v>
      </c>
      <c r="B57" s="78" t="s">
        <v>54</v>
      </c>
      <c r="C57" s="81" t="s">
        <v>55</v>
      </c>
      <c r="D57" s="38" t="s">
        <v>1423</v>
      </c>
      <c r="E57" s="39" t="s">
        <v>1462</v>
      </c>
      <c r="F57" s="40">
        <v>10732.1</v>
      </c>
    </row>
    <row r="58" spans="1:6" ht="22.5" customHeight="1" x14ac:dyDescent="0.5">
      <c r="A58" s="208">
        <v>15</v>
      </c>
      <c r="B58" s="78" t="s">
        <v>141</v>
      </c>
      <c r="C58" s="81" t="s">
        <v>142</v>
      </c>
      <c r="D58" s="38" t="s">
        <v>1417</v>
      </c>
      <c r="E58" s="39" t="s">
        <v>1463</v>
      </c>
      <c r="F58" s="40">
        <v>6034.8</v>
      </c>
    </row>
    <row r="59" spans="1:6" ht="22.5" customHeight="1" x14ac:dyDescent="0.5">
      <c r="A59" s="208">
        <v>16</v>
      </c>
      <c r="B59" s="73" t="s">
        <v>147</v>
      </c>
      <c r="C59" s="25" t="s">
        <v>148</v>
      </c>
      <c r="D59" s="38" t="s">
        <v>1419</v>
      </c>
      <c r="E59" s="39" t="s">
        <v>1464</v>
      </c>
      <c r="F59" s="40">
        <v>267.5</v>
      </c>
    </row>
    <row r="60" spans="1:6" ht="22.5" customHeight="1" x14ac:dyDescent="0.5">
      <c r="A60" s="208">
        <v>17</v>
      </c>
      <c r="B60" s="237" t="s">
        <v>149</v>
      </c>
      <c r="C60" s="238" t="s">
        <v>150</v>
      </c>
      <c r="D60" s="38" t="s">
        <v>1423</v>
      </c>
      <c r="E60" s="39" t="s">
        <v>1465</v>
      </c>
      <c r="F60" s="40">
        <v>3135.1</v>
      </c>
    </row>
    <row r="61" spans="1:6" ht="22.5" customHeight="1" x14ac:dyDescent="0.5">
      <c r="A61" s="208">
        <v>18</v>
      </c>
      <c r="B61" s="240" t="s">
        <v>569</v>
      </c>
      <c r="C61" s="83" t="s">
        <v>153</v>
      </c>
      <c r="D61" s="38" t="s">
        <v>1415</v>
      </c>
      <c r="E61" s="39" t="s">
        <v>1466</v>
      </c>
      <c r="F61" s="40">
        <v>11342</v>
      </c>
    </row>
    <row r="62" spans="1:6" ht="22.5" customHeight="1" x14ac:dyDescent="0.5">
      <c r="A62" s="208">
        <v>19</v>
      </c>
      <c r="B62" s="240" t="s">
        <v>569</v>
      </c>
      <c r="C62" s="83"/>
      <c r="D62" s="38" t="s">
        <v>1415</v>
      </c>
      <c r="E62" s="39" t="s">
        <v>1466</v>
      </c>
      <c r="F62" s="40">
        <v>4836.3999999999996</v>
      </c>
    </row>
    <row r="63" spans="1:6" ht="22.5" customHeight="1" x14ac:dyDescent="0.5">
      <c r="A63" s="208">
        <v>20</v>
      </c>
      <c r="B63" s="240" t="s">
        <v>157</v>
      </c>
      <c r="C63" s="83" t="s">
        <v>158</v>
      </c>
      <c r="D63" s="38" t="s">
        <v>1423</v>
      </c>
      <c r="E63" s="39" t="s">
        <v>1467</v>
      </c>
      <c r="F63" s="40">
        <v>1712</v>
      </c>
    </row>
    <row r="64" spans="1:6" ht="22.5" customHeight="1" x14ac:dyDescent="0.5">
      <c r="A64" s="208">
        <v>21</v>
      </c>
      <c r="B64" s="209" t="s">
        <v>165</v>
      </c>
      <c r="C64" s="210" t="s">
        <v>166</v>
      </c>
      <c r="D64" s="38" t="s">
        <v>1423</v>
      </c>
      <c r="E64" s="39" t="s">
        <v>1468</v>
      </c>
      <c r="F64" s="40">
        <v>1861.8</v>
      </c>
    </row>
    <row r="65" spans="1:6" ht="22.5" customHeight="1" x14ac:dyDescent="0.5">
      <c r="A65" s="208">
        <v>22</v>
      </c>
      <c r="B65" s="209" t="s">
        <v>171</v>
      </c>
      <c r="C65" s="210"/>
      <c r="D65" s="38" t="s">
        <v>1423</v>
      </c>
      <c r="E65" s="39" t="s">
        <v>1469</v>
      </c>
      <c r="F65" s="40">
        <v>684.8</v>
      </c>
    </row>
    <row r="66" spans="1:6" ht="22.5" customHeight="1" x14ac:dyDescent="0.5">
      <c r="A66" s="208">
        <v>23</v>
      </c>
      <c r="B66" s="209" t="s">
        <v>173</v>
      </c>
      <c r="C66" s="210" t="s">
        <v>174</v>
      </c>
      <c r="D66" s="38" t="s">
        <v>1423</v>
      </c>
      <c r="E66" s="39" t="s">
        <v>1470</v>
      </c>
      <c r="F66" s="40">
        <v>2140</v>
      </c>
    </row>
    <row r="67" spans="1:6" ht="22.5" customHeight="1" x14ac:dyDescent="0.5">
      <c r="A67" s="208">
        <v>24</v>
      </c>
      <c r="B67" s="209" t="s">
        <v>64</v>
      </c>
      <c r="C67" s="210" t="s">
        <v>184</v>
      </c>
      <c r="D67" s="38" t="s">
        <v>1417</v>
      </c>
      <c r="E67" s="245" t="s">
        <v>1471</v>
      </c>
      <c r="F67" s="246">
        <v>3691.5</v>
      </c>
    </row>
    <row r="68" spans="1:6" ht="22.5" customHeight="1" x14ac:dyDescent="0.5">
      <c r="A68" s="208">
        <v>25</v>
      </c>
      <c r="B68" s="209" t="s">
        <v>64</v>
      </c>
      <c r="C68" s="210" t="s">
        <v>184</v>
      </c>
      <c r="D68" s="38" t="s">
        <v>1417</v>
      </c>
      <c r="E68" s="245" t="s">
        <v>1471</v>
      </c>
      <c r="F68" s="246">
        <v>2150.6999999999998</v>
      </c>
    </row>
    <row r="69" spans="1:6" ht="22.5" customHeight="1" x14ac:dyDescent="0.5">
      <c r="A69" s="208">
        <v>26</v>
      </c>
      <c r="B69" s="209" t="s">
        <v>186</v>
      </c>
      <c r="C69" s="210" t="s">
        <v>187</v>
      </c>
      <c r="D69" s="38" t="s">
        <v>1417</v>
      </c>
      <c r="E69" s="39" t="s">
        <v>1472</v>
      </c>
      <c r="F69" s="246">
        <v>749</v>
      </c>
    </row>
    <row r="70" spans="1:6" ht="22.5" customHeight="1" x14ac:dyDescent="0.5">
      <c r="A70" s="208">
        <v>27</v>
      </c>
      <c r="B70" s="209" t="s">
        <v>191</v>
      </c>
      <c r="C70" s="210" t="s">
        <v>190</v>
      </c>
      <c r="D70" s="38" t="s">
        <v>1423</v>
      </c>
      <c r="E70" s="39" t="s">
        <v>1473</v>
      </c>
      <c r="F70" s="246">
        <v>8260.4</v>
      </c>
    </row>
    <row r="71" spans="1:6" ht="22.5" customHeight="1" x14ac:dyDescent="0.5">
      <c r="A71" s="208">
        <v>28</v>
      </c>
      <c r="B71" s="209" t="s">
        <v>193</v>
      </c>
      <c r="C71" s="210" t="s">
        <v>194</v>
      </c>
      <c r="D71" s="38" t="s">
        <v>1421</v>
      </c>
      <c r="E71" s="39" t="s">
        <v>1474</v>
      </c>
      <c r="F71" s="246">
        <v>567.1</v>
      </c>
    </row>
    <row r="72" spans="1:6" ht="22.5" customHeight="1" x14ac:dyDescent="0.5">
      <c r="A72" s="208">
        <v>29</v>
      </c>
      <c r="B72" s="209" t="s">
        <v>195</v>
      </c>
      <c r="C72" s="210" t="s">
        <v>196</v>
      </c>
      <c r="D72" s="38" t="s">
        <v>1423</v>
      </c>
      <c r="E72" s="245" t="s">
        <v>1475</v>
      </c>
      <c r="F72" s="246">
        <v>930.9</v>
      </c>
    </row>
    <row r="73" spans="1:6" ht="22.5" customHeight="1" x14ac:dyDescent="0.5">
      <c r="A73" s="208">
        <v>30</v>
      </c>
      <c r="B73" s="209" t="s">
        <v>198</v>
      </c>
      <c r="C73" s="210" t="s">
        <v>567</v>
      </c>
      <c r="D73" s="38" t="s">
        <v>1425</v>
      </c>
      <c r="E73" s="245" t="s">
        <v>1476</v>
      </c>
      <c r="F73" s="246">
        <v>845.3</v>
      </c>
    </row>
    <row r="74" spans="1:6" ht="22.5" customHeight="1" x14ac:dyDescent="0.5">
      <c r="A74" s="208">
        <v>31</v>
      </c>
      <c r="B74" s="209" t="s">
        <v>203</v>
      </c>
      <c r="C74" s="210" t="s">
        <v>204</v>
      </c>
      <c r="D74" s="30" t="s">
        <v>1423</v>
      </c>
      <c r="E74" s="31" t="s">
        <v>1478</v>
      </c>
      <c r="F74" s="221">
        <v>1690.6</v>
      </c>
    </row>
    <row r="75" spans="1:6" ht="22.5" customHeight="1" x14ac:dyDescent="0.5">
      <c r="A75" s="208">
        <v>32</v>
      </c>
      <c r="B75" s="209" t="s">
        <v>205</v>
      </c>
      <c r="C75" s="210" t="s">
        <v>206</v>
      </c>
      <c r="D75" s="30" t="s">
        <v>1423</v>
      </c>
      <c r="E75" s="249" t="s">
        <v>1479</v>
      </c>
      <c r="F75" s="221">
        <v>1487.3</v>
      </c>
    </row>
    <row r="76" spans="1:6" ht="22.5" customHeight="1" x14ac:dyDescent="0.5">
      <c r="A76" s="208">
        <v>33</v>
      </c>
      <c r="B76" s="209" t="s">
        <v>210</v>
      </c>
      <c r="C76" s="210" t="s">
        <v>211</v>
      </c>
      <c r="D76" s="38" t="s">
        <v>1425</v>
      </c>
      <c r="E76" s="39" t="s">
        <v>1480</v>
      </c>
      <c r="F76" s="246">
        <v>5574.7</v>
      </c>
    </row>
    <row r="77" spans="1:6" ht="22.5" customHeight="1" x14ac:dyDescent="0.5">
      <c r="A77" s="208">
        <v>34</v>
      </c>
      <c r="B77" s="209" t="s">
        <v>214</v>
      </c>
      <c r="C77" s="210" t="s">
        <v>215</v>
      </c>
      <c r="D77" s="38" t="s">
        <v>1423</v>
      </c>
      <c r="E77" s="39" t="s">
        <v>1481</v>
      </c>
      <c r="F77" s="246">
        <v>1380.3</v>
      </c>
    </row>
    <row r="78" spans="1:6" ht="22.5" customHeight="1" x14ac:dyDescent="0.5">
      <c r="A78" s="208">
        <v>35</v>
      </c>
      <c r="B78" s="257" t="s">
        <v>220</v>
      </c>
      <c r="C78" s="257" t="s">
        <v>221</v>
      </c>
      <c r="D78" s="38" t="s">
        <v>1433</v>
      </c>
      <c r="E78" s="39" t="s">
        <v>1482</v>
      </c>
      <c r="F78" s="246">
        <v>85.6</v>
      </c>
    </row>
    <row r="79" spans="1:6" ht="22.5" customHeight="1" x14ac:dyDescent="0.5">
      <c r="A79" s="208">
        <v>36</v>
      </c>
      <c r="B79" s="261" t="s">
        <v>224</v>
      </c>
      <c r="C79" s="261" t="s">
        <v>225</v>
      </c>
      <c r="D79" s="38" t="s">
        <v>1483</v>
      </c>
      <c r="E79" s="245" t="s">
        <v>1484</v>
      </c>
      <c r="F79" s="246">
        <v>363.8</v>
      </c>
    </row>
    <row r="80" spans="1:6" ht="22.5" customHeight="1" x14ac:dyDescent="0.5">
      <c r="A80" s="208">
        <v>37</v>
      </c>
      <c r="B80" s="265" t="s">
        <v>226</v>
      </c>
      <c r="C80" s="265" t="s">
        <v>227</v>
      </c>
      <c r="D80" s="38" t="s">
        <v>1413</v>
      </c>
      <c r="E80" s="245" t="s">
        <v>1485</v>
      </c>
      <c r="F80" s="246">
        <v>4943.3999999999996</v>
      </c>
    </row>
    <row r="81" spans="1:8" ht="22.5" customHeight="1" x14ac:dyDescent="0.5">
      <c r="A81" s="208">
        <v>38</v>
      </c>
      <c r="B81" s="265" t="s">
        <v>566</v>
      </c>
      <c r="C81" s="265" t="s">
        <v>567</v>
      </c>
      <c r="D81" s="672" t="s">
        <v>1423</v>
      </c>
      <c r="E81" s="673" t="s">
        <v>1486</v>
      </c>
      <c r="F81" s="674">
        <v>2289.8000000000002</v>
      </c>
    </row>
    <row r="82" spans="1:8" ht="22.5" customHeight="1" x14ac:dyDescent="0.5">
      <c r="A82" s="208">
        <v>39</v>
      </c>
      <c r="B82" s="265" t="s">
        <v>568</v>
      </c>
      <c r="C82" s="265" t="s">
        <v>567</v>
      </c>
      <c r="D82" s="678" t="s">
        <v>1423</v>
      </c>
      <c r="E82" s="679" t="s">
        <v>1486</v>
      </c>
      <c r="F82" s="680">
        <v>2364.6999999999998</v>
      </c>
    </row>
    <row r="83" spans="1:8" ht="22.5" customHeight="1" x14ac:dyDescent="0.5">
      <c r="A83" s="208">
        <v>40</v>
      </c>
      <c r="B83" s="265" t="s">
        <v>705</v>
      </c>
      <c r="C83" s="794" t="s">
        <v>1288</v>
      </c>
      <c r="D83" s="672" t="s">
        <v>1423</v>
      </c>
      <c r="E83" s="673" t="s">
        <v>1487</v>
      </c>
      <c r="F83" s="674">
        <v>1027.2</v>
      </c>
    </row>
    <row r="84" spans="1:8" ht="22.5" customHeight="1" x14ac:dyDescent="0.5">
      <c r="A84" s="208">
        <v>41</v>
      </c>
      <c r="B84" s="265" t="s">
        <v>1287</v>
      </c>
      <c r="C84" s="265" t="s">
        <v>1288</v>
      </c>
      <c r="D84" s="672" t="s">
        <v>1423</v>
      </c>
      <c r="E84" s="673" t="s">
        <v>1488</v>
      </c>
      <c r="F84" s="674">
        <v>2204.1999999999998</v>
      </c>
    </row>
    <row r="85" spans="1:8" s="60" customFormat="1" ht="22.5" customHeight="1" thickBot="1" x14ac:dyDescent="0.35">
      <c r="A85" s="278"/>
      <c r="B85" s="278" t="s">
        <v>15</v>
      </c>
      <c r="C85" s="279"/>
      <c r="D85" s="280">
        <v>0</v>
      </c>
      <c r="E85" s="280">
        <v>0</v>
      </c>
      <c r="F85" s="280">
        <v>159526.29999999999</v>
      </c>
      <c r="H85" s="683">
        <f>SUM(F44:F84)</f>
        <v>159526.29999999999</v>
      </c>
    </row>
    <row r="86" spans="1:8" ht="22.5" customHeight="1" thickTop="1" x14ac:dyDescent="0.3">
      <c r="A86" s="61"/>
      <c r="B86" s="121" t="s">
        <v>232</v>
      </c>
      <c r="C86" s="63"/>
      <c r="D86" s="286"/>
      <c r="E86" s="287"/>
      <c r="F86" s="288"/>
    </row>
    <row r="87" spans="1:8" ht="22.5" customHeight="1" x14ac:dyDescent="0.5">
      <c r="A87" s="290"/>
      <c r="B87" s="291" t="s">
        <v>233</v>
      </c>
      <c r="C87" s="292"/>
      <c r="D87" s="294"/>
      <c r="E87" s="295"/>
      <c r="F87" s="296"/>
    </row>
    <row r="88" spans="1:8" ht="22.5" customHeight="1" x14ac:dyDescent="0.5">
      <c r="A88" s="23">
        <v>1</v>
      </c>
      <c r="B88" s="73" t="s">
        <v>234</v>
      </c>
      <c r="C88" s="25" t="s">
        <v>235</v>
      </c>
      <c r="D88" s="30" t="s">
        <v>1491</v>
      </c>
      <c r="E88" s="31" t="s">
        <v>1492</v>
      </c>
      <c r="F88" s="32">
        <v>9450</v>
      </c>
    </row>
    <row r="89" spans="1:8" ht="22.5" customHeight="1" x14ac:dyDescent="0.5">
      <c r="A89" s="23">
        <v>2</v>
      </c>
      <c r="B89" s="73" t="s">
        <v>237</v>
      </c>
      <c r="C89" s="25" t="s">
        <v>238</v>
      </c>
      <c r="D89" s="30" t="s">
        <v>1491</v>
      </c>
      <c r="E89" s="31" t="s">
        <v>1493</v>
      </c>
      <c r="F89" s="32">
        <v>3150</v>
      </c>
    </row>
    <row r="90" spans="1:8" ht="22.5" customHeight="1" x14ac:dyDescent="0.5">
      <c r="A90" s="23">
        <v>3</v>
      </c>
      <c r="B90" s="73" t="s">
        <v>240</v>
      </c>
      <c r="C90" s="25" t="s">
        <v>241</v>
      </c>
      <c r="D90" s="30" t="s">
        <v>1494</v>
      </c>
      <c r="E90" s="31" t="s">
        <v>1495</v>
      </c>
      <c r="F90" s="32">
        <v>15750</v>
      </c>
    </row>
    <row r="91" spans="1:8" ht="22.5" customHeight="1" x14ac:dyDescent="0.5">
      <c r="A91" s="23">
        <v>4</v>
      </c>
      <c r="B91" s="73" t="s">
        <v>240</v>
      </c>
      <c r="C91" s="25" t="s">
        <v>242</v>
      </c>
      <c r="D91" s="30" t="s">
        <v>1494</v>
      </c>
      <c r="E91" s="31" t="s">
        <v>1495</v>
      </c>
      <c r="F91" s="32">
        <v>6300</v>
      </c>
    </row>
    <row r="92" spans="1:8" ht="22.5" customHeight="1" x14ac:dyDescent="0.5">
      <c r="A92" s="23">
        <v>5</v>
      </c>
      <c r="B92" s="73" t="s">
        <v>198</v>
      </c>
      <c r="C92" s="25" t="s">
        <v>243</v>
      </c>
      <c r="D92" s="30" t="s">
        <v>1425</v>
      </c>
      <c r="E92" s="31" t="s">
        <v>1496</v>
      </c>
      <c r="F92" s="32">
        <v>22050</v>
      </c>
    </row>
    <row r="93" spans="1:8" ht="22.5" customHeight="1" x14ac:dyDescent="0.5">
      <c r="A93" s="23">
        <v>6</v>
      </c>
      <c r="B93" s="73" t="s">
        <v>245</v>
      </c>
      <c r="C93" s="25" t="s">
        <v>246</v>
      </c>
      <c r="D93" s="30" t="s">
        <v>1419</v>
      </c>
      <c r="E93" s="31" t="s">
        <v>1497</v>
      </c>
      <c r="F93" s="32">
        <v>9450</v>
      </c>
    </row>
    <row r="94" spans="1:8" ht="22.5" customHeight="1" x14ac:dyDescent="0.5">
      <c r="A94" s="23">
        <v>7</v>
      </c>
      <c r="B94" s="209" t="s">
        <v>250</v>
      </c>
      <c r="C94" s="210" t="s">
        <v>251</v>
      </c>
      <c r="D94" s="30" t="s">
        <v>1419</v>
      </c>
      <c r="E94" s="31" t="s">
        <v>1498</v>
      </c>
      <c r="F94" s="32">
        <v>6300</v>
      </c>
    </row>
    <row r="95" spans="1:8" ht="22.5" customHeight="1" x14ac:dyDescent="0.5">
      <c r="A95" s="23">
        <v>8</v>
      </c>
      <c r="B95" s="73" t="s">
        <v>253</v>
      </c>
      <c r="C95" s="25" t="s">
        <v>254</v>
      </c>
      <c r="D95" s="30" t="s">
        <v>1413</v>
      </c>
      <c r="E95" s="31" t="s">
        <v>1499</v>
      </c>
      <c r="F95" s="32">
        <v>9450</v>
      </c>
    </row>
    <row r="96" spans="1:8" ht="22.5" customHeight="1" x14ac:dyDescent="0.5">
      <c r="A96" s="23">
        <v>9</v>
      </c>
      <c r="B96" s="73" t="s">
        <v>257</v>
      </c>
      <c r="C96" s="25" t="s">
        <v>258</v>
      </c>
      <c r="D96" s="30" t="s">
        <v>1419</v>
      </c>
      <c r="E96" s="31" t="s">
        <v>1500</v>
      </c>
      <c r="F96" s="32">
        <v>5600</v>
      </c>
    </row>
    <row r="97" spans="1:6" ht="22.5" customHeight="1" x14ac:dyDescent="0.5">
      <c r="A97" s="23">
        <v>10</v>
      </c>
      <c r="B97" s="73" t="s">
        <v>198</v>
      </c>
      <c r="C97" s="25" t="s">
        <v>260</v>
      </c>
      <c r="D97" s="30" t="s">
        <v>1425</v>
      </c>
      <c r="E97" s="31" t="s">
        <v>1496</v>
      </c>
      <c r="F97" s="32">
        <v>2800</v>
      </c>
    </row>
    <row r="98" spans="1:6" ht="22.5" customHeight="1" x14ac:dyDescent="0.5">
      <c r="A98" s="23">
        <v>11</v>
      </c>
      <c r="B98" s="73" t="s">
        <v>266</v>
      </c>
      <c r="C98" s="25" t="s">
        <v>267</v>
      </c>
      <c r="D98" s="30" t="s">
        <v>1419</v>
      </c>
      <c r="E98" s="31" t="s">
        <v>1501</v>
      </c>
      <c r="F98" s="32">
        <v>5600</v>
      </c>
    </row>
    <row r="99" spans="1:6" ht="22.5" customHeight="1" x14ac:dyDescent="0.5">
      <c r="A99" s="23">
        <v>12</v>
      </c>
      <c r="B99" s="73" t="s">
        <v>270</v>
      </c>
      <c r="C99" s="25" t="s">
        <v>271</v>
      </c>
      <c r="D99" s="30" t="s">
        <v>1419</v>
      </c>
      <c r="E99" s="31" t="s">
        <v>1502</v>
      </c>
      <c r="F99" s="32">
        <v>9450</v>
      </c>
    </row>
    <row r="100" spans="1:6" ht="22.5" customHeight="1" x14ac:dyDescent="0.5">
      <c r="A100" s="23">
        <v>13</v>
      </c>
      <c r="B100" s="73" t="s">
        <v>274</v>
      </c>
      <c r="C100" s="25" t="s">
        <v>275</v>
      </c>
      <c r="D100" s="30" t="s">
        <v>1433</v>
      </c>
      <c r="E100" s="31" t="s">
        <v>1503</v>
      </c>
      <c r="F100" s="32">
        <v>3150</v>
      </c>
    </row>
    <row r="101" spans="1:6" ht="22.5" customHeight="1" x14ac:dyDescent="0.5">
      <c r="A101" s="23">
        <v>14</v>
      </c>
      <c r="B101" s="73" t="s">
        <v>277</v>
      </c>
      <c r="C101" s="25" t="s">
        <v>278</v>
      </c>
      <c r="D101" s="30" t="s">
        <v>1421</v>
      </c>
      <c r="E101" s="31" t="s">
        <v>1504</v>
      </c>
      <c r="F101" s="32">
        <v>6300</v>
      </c>
    </row>
    <row r="102" spans="1:6" ht="22.5" customHeight="1" x14ac:dyDescent="0.5">
      <c r="A102" s="23">
        <v>15</v>
      </c>
      <c r="B102" s="73" t="s">
        <v>281</v>
      </c>
      <c r="C102" s="25" t="s">
        <v>282</v>
      </c>
      <c r="D102" s="30" t="s">
        <v>1433</v>
      </c>
      <c r="E102" s="31" t="s">
        <v>1505</v>
      </c>
      <c r="F102" s="32">
        <v>5600</v>
      </c>
    </row>
    <row r="103" spans="1:6" ht="22.5" customHeight="1" x14ac:dyDescent="0.5">
      <c r="A103" s="23">
        <v>16</v>
      </c>
      <c r="B103" s="73" t="s">
        <v>287</v>
      </c>
      <c r="C103" s="25" t="s">
        <v>288</v>
      </c>
      <c r="D103" s="30" t="s">
        <v>1423</v>
      </c>
      <c r="E103" s="31" t="s">
        <v>1506</v>
      </c>
      <c r="F103" s="32">
        <v>5600</v>
      </c>
    </row>
    <row r="104" spans="1:6" ht="22.5" customHeight="1" x14ac:dyDescent="0.5">
      <c r="A104" s="23">
        <v>17</v>
      </c>
      <c r="B104" s="73" t="s">
        <v>290</v>
      </c>
      <c r="C104" s="25" t="s">
        <v>291</v>
      </c>
      <c r="D104" s="30" t="s">
        <v>1421</v>
      </c>
      <c r="E104" s="31" t="s">
        <v>1507</v>
      </c>
      <c r="F104" s="32">
        <v>5600</v>
      </c>
    </row>
    <row r="105" spans="1:6" ht="22.5" customHeight="1" x14ac:dyDescent="0.5">
      <c r="A105" s="23">
        <v>18</v>
      </c>
      <c r="B105" s="73" t="s">
        <v>293</v>
      </c>
      <c r="C105" s="25" t="s">
        <v>294</v>
      </c>
      <c r="D105" s="30" t="s">
        <v>1419</v>
      </c>
      <c r="E105" s="31" t="s">
        <v>1508</v>
      </c>
      <c r="F105" s="32">
        <v>2800</v>
      </c>
    </row>
    <row r="106" spans="1:6" ht="22.5" customHeight="1" x14ac:dyDescent="0.5">
      <c r="A106" s="23">
        <v>19</v>
      </c>
      <c r="B106" s="73" t="s">
        <v>296</v>
      </c>
      <c r="C106" s="25" t="s">
        <v>297</v>
      </c>
      <c r="D106" s="30" t="s">
        <v>1423</v>
      </c>
      <c r="E106" s="31" t="s">
        <v>1509</v>
      </c>
      <c r="F106" s="32">
        <v>5600</v>
      </c>
    </row>
    <row r="107" spans="1:6" ht="22.5" customHeight="1" x14ac:dyDescent="0.5">
      <c r="A107" s="23">
        <v>20</v>
      </c>
      <c r="B107" s="209" t="s">
        <v>303</v>
      </c>
      <c r="C107" s="210" t="s">
        <v>304</v>
      </c>
      <c r="D107" s="30" t="s">
        <v>1415</v>
      </c>
      <c r="E107" s="249" t="s">
        <v>1510</v>
      </c>
      <c r="F107" s="221">
        <v>2800</v>
      </c>
    </row>
    <row r="108" spans="1:6" ht="22.5" customHeight="1" x14ac:dyDescent="0.5">
      <c r="A108" s="23">
        <v>21</v>
      </c>
      <c r="B108" s="209" t="s">
        <v>306</v>
      </c>
      <c r="C108" s="210" t="s">
        <v>307</v>
      </c>
      <c r="D108" s="30" t="s">
        <v>1423</v>
      </c>
      <c r="E108" s="31" t="s">
        <v>1509</v>
      </c>
      <c r="F108" s="32">
        <v>5600</v>
      </c>
    </row>
    <row r="109" spans="1:6" ht="22.5" customHeight="1" x14ac:dyDescent="0.5">
      <c r="A109" s="23">
        <v>22</v>
      </c>
      <c r="B109" s="73" t="s">
        <v>308</v>
      </c>
      <c r="C109" s="25" t="s">
        <v>309</v>
      </c>
      <c r="D109" s="30" t="s">
        <v>1433</v>
      </c>
      <c r="E109" s="31" t="s">
        <v>1511</v>
      </c>
      <c r="F109" s="32">
        <v>8400</v>
      </c>
    </row>
    <row r="110" spans="1:6" ht="22.5" customHeight="1" x14ac:dyDescent="0.5">
      <c r="A110" s="23">
        <v>23</v>
      </c>
      <c r="B110" s="73" t="s">
        <v>313</v>
      </c>
      <c r="C110" s="25" t="s">
        <v>314</v>
      </c>
      <c r="D110" s="30" t="s">
        <v>1413</v>
      </c>
      <c r="E110" s="31" t="s">
        <v>1499</v>
      </c>
      <c r="F110" s="32">
        <v>2800</v>
      </c>
    </row>
    <row r="111" spans="1:6" ht="22.5" customHeight="1" x14ac:dyDescent="0.5">
      <c r="A111" s="23">
        <v>24</v>
      </c>
      <c r="B111" s="73" t="s">
        <v>317</v>
      </c>
      <c r="C111" s="25" t="s">
        <v>318</v>
      </c>
      <c r="D111" s="30" t="s">
        <v>1512</v>
      </c>
      <c r="E111" s="31" t="s">
        <v>1513</v>
      </c>
      <c r="F111" s="32">
        <v>5600</v>
      </c>
    </row>
    <row r="112" spans="1:6" ht="22.5" customHeight="1" x14ac:dyDescent="0.5">
      <c r="A112" s="23">
        <v>25</v>
      </c>
      <c r="B112" s="73" t="s">
        <v>320</v>
      </c>
      <c r="C112" s="25" t="s">
        <v>321</v>
      </c>
      <c r="D112" s="30" t="s">
        <v>1514</v>
      </c>
      <c r="E112" s="31" t="s">
        <v>1515</v>
      </c>
      <c r="F112" s="32">
        <v>2800</v>
      </c>
    </row>
    <row r="113" spans="1:8" ht="22.5" customHeight="1" x14ac:dyDescent="0.5">
      <c r="A113" s="23">
        <v>26</v>
      </c>
      <c r="B113" s="73" t="s">
        <v>322</v>
      </c>
      <c r="C113" s="25" t="s">
        <v>323</v>
      </c>
      <c r="D113" s="30" t="s">
        <v>1413</v>
      </c>
      <c r="E113" s="31" t="s">
        <v>1516</v>
      </c>
      <c r="F113" s="32">
        <v>5600</v>
      </c>
    </row>
    <row r="114" spans="1:8" ht="22.5" customHeight="1" x14ac:dyDescent="0.5">
      <c r="A114" s="23">
        <v>27</v>
      </c>
      <c r="B114" s="73" t="s">
        <v>293</v>
      </c>
      <c r="C114" s="25" t="s">
        <v>326</v>
      </c>
      <c r="D114" s="30" t="s">
        <v>1419</v>
      </c>
      <c r="E114" s="31" t="s">
        <v>1508</v>
      </c>
      <c r="F114" s="32">
        <v>5600</v>
      </c>
    </row>
    <row r="115" spans="1:8" ht="22.5" customHeight="1" x14ac:dyDescent="0.5">
      <c r="A115" s="23">
        <v>28</v>
      </c>
      <c r="B115" s="73" t="s">
        <v>293</v>
      </c>
      <c r="C115" s="25" t="s">
        <v>327</v>
      </c>
      <c r="D115" s="30" t="s">
        <v>1419</v>
      </c>
      <c r="E115" s="31" t="s">
        <v>1508</v>
      </c>
      <c r="F115" s="32">
        <v>5600</v>
      </c>
    </row>
    <row r="116" spans="1:8" s="60" customFormat="1" ht="22.5" customHeight="1" thickBot="1" x14ac:dyDescent="0.35">
      <c r="A116" s="317"/>
      <c r="B116" s="317" t="s">
        <v>15</v>
      </c>
      <c r="C116" s="318"/>
      <c r="D116" s="322"/>
      <c r="E116" s="322"/>
      <c r="F116" s="323">
        <v>184800</v>
      </c>
      <c r="H116" s="683">
        <f>SUM(F88:F115)</f>
        <v>184800</v>
      </c>
    </row>
    <row r="117" spans="1:8" ht="22.5" customHeight="1" thickTop="1" x14ac:dyDescent="0.5">
      <c r="A117" s="61"/>
      <c r="B117" s="327" t="s">
        <v>328</v>
      </c>
      <c r="C117" s="63"/>
      <c r="D117" s="286"/>
      <c r="E117" s="286"/>
      <c r="F117" s="328"/>
    </row>
    <row r="118" spans="1:8" ht="22.5" customHeight="1" x14ac:dyDescent="0.5">
      <c r="A118" s="23">
        <v>1</v>
      </c>
      <c r="B118" s="24" t="s">
        <v>329</v>
      </c>
      <c r="C118" s="25" t="s">
        <v>330</v>
      </c>
      <c r="D118" s="30" t="s">
        <v>1433</v>
      </c>
      <c r="E118" s="31" t="s">
        <v>1517</v>
      </c>
      <c r="F118" s="32">
        <v>130536.37</v>
      </c>
    </row>
    <row r="119" spans="1:8" ht="22.5" customHeight="1" x14ac:dyDescent="0.5">
      <c r="A119" s="23">
        <v>2</v>
      </c>
      <c r="B119" s="24" t="s">
        <v>329</v>
      </c>
      <c r="C119" s="25" t="s">
        <v>331</v>
      </c>
      <c r="D119" s="30" t="s">
        <v>1433</v>
      </c>
      <c r="E119" s="31" t="s">
        <v>1518</v>
      </c>
      <c r="F119" s="32">
        <v>96520.67</v>
      </c>
    </row>
    <row r="120" spans="1:8" ht="22.5" customHeight="1" x14ac:dyDescent="0.5">
      <c r="A120" s="23">
        <v>3</v>
      </c>
      <c r="B120" s="24" t="s">
        <v>332</v>
      </c>
      <c r="C120" s="25" t="s">
        <v>333</v>
      </c>
      <c r="D120" s="30" t="s">
        <v>1519</v>
      </c>
      <c r="E120" s="31" t="s">
        <v>1520</v>
      </c>
      <c r="F120" s="32">
        <v>63810</v>
      </c>
    </row>
    <row r="121" spans="1:8" ht="22.5" customHeight="1" x14ac:dyDescent="0.5">
      <c r="A121" s="331">
        <v>4</v>
      </c>
      <c r="B121" s="332" t="s">
        <v>335</v>
      </c>
      <c r="C121" s="81" t="s">
        <v>336</v>
      </c>
      <c r="D121" s="335" t="s">
        <v>1521</v>
      </c>
      <c r="E121" s="336" t="s">
        <v>1522</v>
      </c>
      <c r="F121" s="337">
        <v>60170</v>
      </c>
    </row>
    <row r="122" spans="1:8" ht="22.5" customHeight="1" x14ac:dyDescent="0.5">
      <c r="A122" s="23">
        <v>5</v>
      </c>
      <c r="B122" s="24" t="s">
        <v>338</v>
      </c>
      <c r="C122" s="25" t="s">
        <v>339</v>
      </c>
      <c r="D122" s="335" t="s">
        <v>1419</v>
      </c>
      <c r="E122" s="336" t="s">
        <v>1523</v>
      </c>
      <c r="F122" s="342">
        <v>23527.65</v>
      </c>
    </row>
    <row r="123" spans="1:8" ht="22.5" customHeight="1" x14ac:dyDescent="0.5">
      <c r="A123" s="61">
        <v>6</v>
      </c>
      <c r="B123" s="343" t="s">
        <v>341</v>
      </c>
      <c r="C123" s="165" t="s">
        <v>342</v>
      </c>
      <c r="D123" s="345" t="s">
        <v>1423</v>
      </c>
      <c r="E123" s="346" t="s">
        <v>1524</v>
      </c>
      <c r="F123" s="347">
        <v>20715.32</v>
      </c>
    </row>
    <row r="124" spans="1:8" ht="22.5" customHeight="1" x14ac:dyDescent="0.5">
      <c r="A124" s="331">
        <v>7</v>
      </c>
      <c r="B124" s="332" t="s">
        <v>344</v>
      </c>
      <c r="C124" s="81" t="s">
        <v>345</v>
      </c>
      <c r="D124" s="182" t="s">
        <v>1417</v>
      </c>
      <c r="E124" s="350" t="s">
        <v>1525</v>
      </c>
      <c r="F124" s="337">
        <v>21986</v>
      </c>
    </row>
    <row r="125" spans="1:8" s="356" customFormat="1" ht="22.5" customHeight="1" x14ac:dyDescent="0.5">
      <c r="A125" s="253">
        <v>8</v>
      </c>
      <c r="B125" s="24" t="s">
        <v>347</v>
      </c>
      <c r="C125" s="351" t="s">
        <v>348</v>
      </c>
      <c r="D125" s="30" t="s">
        <v>1417</v>
      </c>
      <c r="E125" s="31" t="s">
        <v>1526</v>
      </c>
      <c r="F125" s="32">
        <v>20000</v>
      </c>
    </row>
    <row r="126" spans="1:8" s="60" customFormat="1" ht="22.5" customHeight="1" thickBot="1" x14ac:dyDescent="0.35">
      <c r="A126" s="317"/>
      <c r="B126" s="317" t="s">
        <v>15</v>
      </c>
      <c r="C126" s="357"/>
      <c r="D126" s="360"/>
      <c r="E126" s="361"/>
      <c r="F126" s="358">
        <v>437266.01</v>
      </c>
      <c r="H126" s="683">
        <f>SUM(F118:F125)</f>
        <v>437266.01</v>
      </c>
    </row>
    <row r="127" spans="1:8" ht="22.5" customHeight="1" thickTop="1" x14ac:dyDescent="0.3">
      <c r="A127" s="115"/>
      <c r="B127" s="164" t="s">
        <v>350</v>
      </c>
      <c r="C127" s="366"/>
      <c r="D127" s="367"/>
      <c r="E127" s="368"/>
      <c r="F127" s="369"/>
    </row>
    <row r="128" spans="1:8" ht="22.5" customHeight="1" x14ac:dyDescent="0.5">
      <c r="A128" s="23">
        <v>1</v>
      </c>
      <c r="B128" s="290" t="s">
        <v>147</v>
      </c>
      <c r="C128" s="371" t="s">
        <v>351</v>
      </c>
      <c r="D128" s="30" t="s">
        <v>1419</v>
      </c>
      <c r="E128" s="220" t="s">
        <v>1531</v>
      </c>
      <c r="F128" s="221">
        <v>1400</v>
      </c>
    </row>
    <row r="129" spans="1:8" ht="22.5" customHeight="1" x14ac:dyDescent="0.5">
      <c r="A129" s="23">
        <v>2</v>
      </c>
      <c r="B129" s="290" t="s">
        <v>355</v>
      </c>
      <c r="C129" s="371" t="s">
        <v>356</v>
      </c>
      <c r="D129" s="30" t="s">
        <v>1413</v>
      </c>
      <c r="E129" s="220" t="s">
        <v>1533</v>
      </c>
      <c r="F129" s="221">
        <v>9400</v>
      </c>
    </row>
    <row r="130" spans="1:8" ht="22.5" customHeight="1" x14ac:dyDescent="0.5">
      <c r="A130" s="23">
        <v>3</v>
      </c>
      <c r="B130" s="374" t="s">
        <v>358</v>
      </c>
      <c r="C130" s="375" t="s">
        <v>356</v>
      </c>
      <c r="D130" s="38" t="s">
        <v>1415</v>
      </c>
      <c r="E130" s="376" t="s">
        <v>1534</v>
      </c>
      <c r="F130" s="246">
        <v>9810</v>
      </c>
    </row>
    <row r="131" spans="1:8" ht="22.5" customHeight="1" x14ac:dyDescent="0.5">
      <c r="A131" s="23">
        <v>4</v>
      </c>
      <c r="B131" s="378" t="s">
        <v>359</v>
      </c>
      <c r="C131" s="311" t="s">
        <v>360</v>
      </c>
      <c r="D131" s="38" t="s">
        <v>1419</v>
      </c>
      <c r="E131" s="376" t="s">
        <v>1535</v>
      </c>
      <c r="F131" s="246">
        <v>6000</v>
      </c>
    </row>
    <row r="132" spans="1:8" ht="22.5" customHeight="1" x14ac:dyDescent="0.5">
      <c r="A132" s="23">
        <v>5</v>
      </c>
      <c r="B132" s="149" t="s">
        <v>281</v>
      </c>
      <c r="C132" s="311" t="s">
        <v>360</v>
      </c>
      <c r="D132" s="30" t="s">
        <v>1433</v>
      </c>
      <c r="E132" s="31" t="s">
        <v>1536</v>
      </c>
      <c r="F132" s="32">
        <v>3000</v>
      </c>
    </row>
    <row r="133" spans="1:8" s="60" customFormat="1" ht="22.5" customHeight="1" thickBot="1" x14ac:dyDescent="0.35">
      <c r="A133" s="317"/>
      <c r="B133" s="317" t="s">
        <v>15</v>
      </c>
      <c r="C133" s="357"/>
      <c r="D133" s="384"/>
      <c r="E133" s="384"/>
      <c r="F133" s="359">
        <v>29610</v>
      </c>
      <c r="H133" s="683">
        <f>SUM(F128:F132)</f>
        <v>29610</v>
      </c>
    </row>
    <row r="134" spans="1:8" ht="22.5" customHeight="1" thickTop="1" x14ac:dyDescent="0.3">
      <c r="A134" s="61"/>
      <c r="B134" s="62" t="s">
        <v>363</v>
      </c>
      <c r="C134" s="63"/>
      <c r="D134" s="286"/>
      <c r="E134" s="286"/>
      <c r="F134" s="328"/>
    </row>
    <row r="135" spans="1:8" ht="22.5" customHeight="1" x14ac:dyDescent="0.5">
      <c r="A135" s="208">
        <v>1</v>
      </c>
      <c r="B135" s="73" t="s">
        <v>364</v>
      </c>
      <c r="C135" s="25" t="s">
        <v>365</v>
      </c>
      <c r="D135" s="30" t="s">
        <v>1413</v>
      </c>
      <c r="E135" s="31" t="s">
        <v>1527</v>
      </c>
      <c r="F135" s="32">
        <v>10000</v>
      </c>
    </row>
    <row r="136" spans="1:8" ht="22.5" customHeight="1" x14ac:dyDescent="0.5">
      <c r="A136" s="208">
        <v>2</v>
      </c>
      <c r="B136" s="290" t="s">
        <v>367</v>
      </c>
      <c r="C136" s="25" t="s">
        <v>368</v>
      </c>
      <c r="D136" s="250" t="s">
        <v>1425</v>
      </c>
      <c r="E136" s="251" t="s">
        <v>1528</v>
      </c>
      <c r="F136" s="390">
        <v>3500</v>
      </c>
    </row>
    <row r="137" spans="1:8" ht="22.5" customHeight="1" x14ac:dyDescent="0.5">
      <c r="A137" s="208">
        <v>3</v>
      </c>
      <c r="B137" s="392" t="s">
        <v>370</v>
      </c>
      <c r="C137" s="63" t="s">
        <v>371</v>
      </c>
      <c r="D137" s="30" t="s">
        <v>1425</v>
      </c>
      <c r="E137" s="31" t="s">
        <v>1529</v>
      </c>
      <c r="F137" s="32">
        <v>12000</v>
      </c>
    </row>
    <row r="138" spans="1:8" ht="22.5" customHeight="1" x14ac:dyDescent="0.3">
      <c r="A138" s="208">
        <v>4</v>
      </c>
      <c r="B138" s="398" t="s">
        <v>373</v>
      </c>
      <c r="C138" s="165" t="s">
        <v>374</v>
      </c>
      <c r="D138" s="399" t="s">
        <v>1451</v>
      </c>
      <c r="E138" s="400" t="s">
        <v>1530</v>
      </c>
      <c r="F138" s="401">
        <v>4100</v>
      </c>
    </row>
    <row r="139" spans="1:8" ht="22.5" customHeight="1" x14ac:dyDescent="0.5">
      <c r="A139" s="208">
        <v>5</v>
      </c>
      <c r="B139" s="402" t="s">
        <v>376</v>
      </c>
      <c r="C139" s="403" t="s">
        <v>377</v>
      </c>
      <c r="D139" s="30" t="s">
        <v>1419</v>
      </c>
      <c r="E139" s="31" t="s">
        <v>1531</v>
      </c>
      <c r="F139" s="32">
        <v>1850</v>
      </c>
    </row>
    <row r="140" spans="1:8" ht="22.5" customHeight="1" x14ac:dyDescent="0.5">
      <c r="A140" s="208">
        <v>6</v>
      </c>
      <c r="B140" s="149" t="s">
        <v>383</v>
      </c>
      <c r="C140" s="311" t="s">
        <v>384</v>
      </c>
      <c r="D140" s="250" t="s">
        <v>1419</v>
      </c>
      <c r="E140" s="251" t="s">
        <v>1532</v>
      </c>
      <c r="F140" s="390">
        <v>5400</v>
      </c>
    </row>
    <row r="141" spans="1:8" s="60" customFormat="1" ht="22.5" customHeight="1" thickBot="1" x14ac:dyDescent="0.35">
      <c r="A141" s="317"/>
      <c r="B141" s="317" t="s">
        <v>15</v>
      </c>
      <c r="C141" s="318"/>
      <c r="D141" s="383"/>
      <c r="E141" s="383">
        <v>0</v>
      </c>
      <c r="F141" s="383">
        <v>36850</v>
      </c>
      <c r="H141" s="683">
        <f>SUM(F135:F140)</f>
        <v>36850</v>
      </c>
    </row>
    <row r="142" spans="1:8" ht="22.5" customHeight="1" thickTop="1" x14ac:dyDescent="0.3">
      <c r="A142" s="61"/>
      <c r="B142" s="62" t="s">
        <v>386</v>
      </c>
      <c r="C142" s="63"/>
      <c r="D142" s="68"/>
      <c r="E142" s="68"/>
      <c r="F142" s="64"/>
    </row>
    <row r="143" spans="1:8" ht="22.5" customHeight="1" x14ac:dyDescent="0.3">
      <c r="A143" s="208">
        <v>1</v>
      </c>
      <c r="B143" s="290" t="s">
        <v>389</v>
      </c>
      <c r="C143" s="25" t="s">
        <v>390</v>
      </c>
      <c r="D143" s="335" t="s">
        <v>1451</v>
      </c>
      <c r="E143" s="410" t="s">
        <v>1537</v>
      </c>
      <c r="F143" s="411">
        <v>3150</v>
      </c>
    </row>
    <row r="144" spans="1:8" s="60" customFormat="1" ht="22.5" customHeight="1" thickBot="1" x14ac:dyDescent="0.35">
      <c r="A144" s="317"/>
      <c r="B144" s="317" t="s">
        <v>15</v>
      </c>
      <c r="C144" s="318"/>
      <c r="D144" s="383"/>
      <c r="E144" s="383">
        <v>0</v>
      </c>
      <c r="F144" s="383">
        <v>3150</v>
      </c>
      <c r="H144" s="683">
        <f>SUM(F143)</f>
        <v>3150</v>
      </c>
    </row>
    <row r="145" spans="1:9" ht="22.5" customHeight="1" thickTop="1" x14ac:dyDescent="0.3">
      <c r="A145" s="61"/>
      <c r="B145" s="62" t="s">
        <v>392</v>
      </c>
      <c r="C145" s="63"/>
      <c r="D145" s="68"/>
      <c r="E145" s="68"/>
      <c r="F145" s="64"/>
    </row>
    <row r="146" spans="1:9" ht="22.5" customHeight="1" x14ac:dyDescent="0.3">
      <c r="A146" s="61"/>
      <c r="B146" s="62" t="s">
        <v>1336</v>
      </c>
      <c r="C146" s="63"/>
      <c r="D146" s="68"/>
      <c r="E146" s="68"/>
      <c r="F146" s="64"/>
    </row>
    <row r="147" spans="1:9" ht="22.5" customHeight="1" x14ac:dyDescent="0.3">
      <c r="A147" s="61">
        <v>1</v>
      </c>
      <c r="B147" s="838" t="s">
        <v>1354</v>
      </c>
      <c r="C147" s="63" t="s">
        <v>1355</v>
      </c>
      <c r="D147" s="68" t="s">
        <v>1419</v>
      </c>
      <c r="E147" s="68" t="s">
        <v>1538</v>
      </c>
      <c r="F147" s="64">
        <v>1266.8800000000001</v>
      </c>
    </row>
    <row r="148" spans="1:9" ht="22.5" customHeight="1" x14ac:dyDescent="0.3">
      <c r="A148" s="61">
        <v>2</v>
      </c>
      <c r="B148" s="838" t="s">
        <v>303</v>
      </c>
      <c r="C148" s="63" t="s">
        <v>1387</v>
      </c>
      <c r="D148" s="68" t="s">
        <v>1519</v>
      </c>
      <c r="E148" s="68" t="s">
        <v>1539</v>
      </c>
      <c r="F148" s="64">
        <v>633.44000000000005</v>
      </c>
    </row>
    <row r="149" spans="1:9" ht="22.5" customHeight="1" x14ac:dyDescent="0.3">
      <c r="A149" s="61">
        <v>3</v>
      </c>
      <c r="B149" s="838" t="s">
        <v>308</v>
      </c>
      <c r="C149" s="63" t="s">
        <v>1389</v>
      </c>
      <c r="D149" s="68" t="s">
        <v>1433</v>
      </c>
      <c r="E149" s="68" t="s">
        <v>1540</v>
      </c>
      <c r="F149" s="64">
        <v>1900.32</v>
      </c>
    </row>
    <row r="150" spans="1:9" s="60" customFormat="1" ht="22.5" customHeight="1" thickBot="1" x14ac:dyDescent="0.35">
      <c r="A150" s="317"/>
      <c r="B150" s="317" t="s">
        <v>15</v>
      </c>
      <c r="C150" s="318"/>
      <c r="D150" s="383">
        <v>0</v>
      </c>
      <c r="E150" s="383">
        <v>0</v>
      </c>
      <c r="F150" s="383">
        <v>3800.6400000000003</v>
      </c>
      <c r="H150" s="59">
        <f>SUM(F147:F149)</f>
        <v>3800.6400000000003</v>
      </c>
    </row>
    <row r="151" spans="1:9" s="60" customFormat="1" ht="22.5" customHeight="1" thickTop="1" thickBot="1" x14ac:dyDescent="0.35">
      <c r="A151" s="459"/>
      <c r="B151" s="460" t="s">
        <v>497</v>
      </c>
      <c r="C151" s="461"/>
      <c r="D151" s="462">
        <v>0</v>
      </c>
      <c r="E151" s="462">
        <v>0</v>
      </c>
      <c r="F151" s="462">
        <v>1004051.07</v>
      </c>
      <c r="I151" s="683">
        <f>SUM(H12:H150)</f>
        <v>1004051.07</v>
      </c>
    </row>
    <row r="152" spans="1:9" ht="22.5" customHeight="1" thickTop="1" x14ac:dyDescent="0.3"/>
    <row r="153" spans="1:9" s="636" customFormat="1" x14ac:dyDescent="0.6">
      <c r="A153" s="1128" t="s">
        <v>524</v>
      </c>
      <c r="B153" s="1128"/>
      <c r="C153" s="1128"/>
      <c r="D153" s="1128"/>
      <c r="E153" s="1128"/>
      <c r="F153" s="1128"/>
    </row>
    <row r="154" spans="1:9" s="599" customFormat="1" x14ac:dyDescent="0.6">
      <c r="A154" s="646">
        <v>2</v>
      </c>
      <c r="B154" s="647" t="s">
        <v>521</v>
      </c>
      <c r="C154" s="647" t="s">
        <v>522</v>
      </c>
      <c r="D154" s="644" t="s">
        <v>1419</v>
      </c>
      <c r="E154" s="644" t="s">
        <v>1541</v>
      </c>
      <c r="F154" s="645">
        <v>8400</v>
      </c>
    </row>
    <row r="155" spans="1:9" s="599" customFormat="1" ht="24" thickBot="1" x14ac:dyDescent="0.65">
      <c r="A155" s="619"/>
      <c r="B155" s="620" t="s">
        <v>535</v>
      </c>
      <c r="C155" s="621"/>
      <c r="D155" s="625"/>
      <c r="E155" s="625"/>
      <c r="F155" s="625">
        <v>8400</v>
      </c>
      <c r="H155" s="691">
        <f>SUM(F154)</f>
        <v>8400</v>
      </c>
    </row>
    <row r="156" spans="1:9" ht="22.5" customHeight="1" thickTop="1" x14ac:dyDescent="0.3">
      <c r="D156" s="584"/>
      <c r="E156" s="585"/>
    </row>
    <row r="157" spans="1:9" ht="22.5" customHeight="1" x14ac:dyDescent="0.3">
      <c r="D157" s="584"/>
      <c r="E157" s="585"/>
      <c r="F157" s="657">
        <v>1012451.07</v>
      </c>
      <c r="I157" s="938">
        <f>SUM(I151+H155)</f>
        <v>1012451.07</v>
      </c>
    </row>
  </sheetData>
  <mergeCells count="8">
    <mergeCell ref="A153:F153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  <pageSetup scale="4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B6A3-BF79-452A-B0B6-04608FFD80F6}">
  <sheetPr>
    <tabColor rgb="FFFFC000"/>
  </sheetPr>
  <dimension ref="A1:K114"/>
  <sheetViews>
    <sheetView zoomScale="80" zoomScaleNormal="80" workbookViewId="0">
      <pane ySplit="6" topLeftCell="A21" activePane="bottomLeft" state="frozen"/>
      <selection pane="bottomLeft" activeCell="H98" sqref="H98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35.33203125" style="696" customWidth="1"/>
    <col min="5" max="5" width="14.5546875" style="662" customWidth="1"/>
    <col min="6" max="6" width="5.77734375" style="662" customWidth="1"/>
    <col min="7" max="7" width="16.5546875" style="665" customWidth="1"/>
    <col min="8" max="8" width="15.6640625" style="3" customWidth="1"/>
    <col min="9" max="9" width="30.6640625" style="3" customWidth="1"/>
    <col min="10" max="10" width="16.6640625" style="3" customWidth="1"/>
    <col min="11" max="16384" width="27.109375" style="3"/>
  </cols>
  <sheetData>
    <row r="1" spans="1:9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2"/>
    </row>
    <row r="2" spans="1:9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2"/>
    </row>
    <row r="3" spans="1:9" ht="22.5" customHeight="1" x14ac:dyDescent="0.3">
      <c r="A3" s="1110" t="s">
        <v>1411</v>
      </c>
      <c r="B3" s="1111"/>
      <c r="C3" s="1111"/>
      <c r="D3" s="1111"/>
      <c r="E3" s="1111"/>
      <c r="F3" s="1111"/>
      <c r="G3" s="1111"/>
      <c r="H3" s="2"/>
    </row>
    <row r="4" spans="1:9" ht="22.5" customHeight="1" x14ac:dyDescent="0.3">
      <c r="A4" s="1112" t="s">
        <v>3</v>
      </c>
      <c r="B4" s="1112" t="s">
        <v>4</v>
      </c>
      <c r="C4" s="1115" t="s">
        <v>5</v>
      </c>
      <c r="D4" s="796"/>
      <c r="E4" s="1118" t="s">
        <v>9</v>
      </c>
      <c r="F4" s="1119"/>
      <c r="G4" s="1120"/>
      <c r="H4" s="2"/>
    </row>
    <row r="5" spans="1:9" ht="22.5" customHeight="1" x14ac:dyDescent="0.3">
      <c r="A5" s="1113"/>
      <c r="B5" s="1113"/>
      <c r="C5" s="1116"/>
      <c r="D5" s="694" t="s">
        <v>618</v>
      </c>
      <c r="E5" s="1121" t="s">
        <v>10</v>
      </c>
      <c r="F5" s="882"/>
      <c r="G5" s="667"/>
      <c r="H5" s="2"/>
    </row>
    <row r="6" spans="1:9" ht="22.5" customHeight="1" x14ac:dyDescent="0.3">
      <c r="A6" s="1114"/>
      <c r="B6" s="1114"/>
      <c r="C6" s="1117"/>
      <c r="D6" s="695"/>
      <c r="E6" s="1122"/>
      <c r="F6" s="883" t="s">
        <v>937</v>
      </c>
      <c r="G6" s="10" t="s">
        <v>15</v>
      </c>
      <c r="H6" s="2"/>
    </row>
    <row r="7" spans="1:9" ht="22.5" customHeight="1" x14ac:dyDescent="0.3">
      <c r="A7" s="61"/>
      <c r="B7" s="62" t="s">
        <v>37</v>
      </c>
      <c r="C7" s="63"/>
      <c r="D7" s="798"/>
      <c r="E7" s="69"/>
      <c r="F7" s="69"/>
      <c r="G7" s="72"/>
      <c r="H7" s="2"/>
    </row>
    <row r="8" spans="1:9" ht="22.5" customHeight="1" x14ac:dyDescent="0.3">
      <c r="A8" s="23">
        <v>1</v>
      </c>
      <c r="B8" s="73" t="s">
        <v>45</v>
      </c>
      <c r="C8" s="25" t="s">
        <v>46</v>
      </c>
      <c r="D8" s="799"/>
      <c r="E8" s="33" t="s">
        <v>1427</v>
      </c>
      <c r="F8" s="747" t="s">
        <v>33</v>
      </c>
      <c r="G8" s="36">
        <v>1027.1999999999998</v>
      </c>
      <c r="H8" s="2"/>
    </row>
    <row r="9" spans="1:9" ht="22.5" customHeight="1" x14ac:dyDescent="0.3">
      <c r="A9" s="23">
        <v>2</v>
      </c>
      <c r="B9" s="73" t="s">
        <v>48</v>
      </c>
      <c r="C9" s="25" t="s">
        <v>49</v>
      </c>
      <c r="D9" s="799"/>
      <c r="E9" s="33" t="s">
        <v>1427</v>
      </c>
      <c r="F9" s="747" t="s">
        <v>33</v>
      </c>
      <c r="G9" s="36">
        <v>2551.9499999999985</v>
      </c>
      <c r="H9" s="2"/>
    </row>
    <row r="10" spans="1:9" ht="22.5" customHeight="1" x14ac:dyDescent="0.3">
      <c r="A10" s="23">
        <v>3</v>
      </c>
      <c r="B10" s="73" t="s">
        <v>51</v>
      </c>
      <c r="C10" s="25" t="s">
        <v>52</v>
      </c>
      <c r="D10" s="799"/>
      <c r="E10" s="33" t="s">
        <v>1427</v>
      </c>
      <c r="F10" s="747" t="s">
        <v>33</v>
      </c>
      <c r="G10" s="36">
        <v>4670.5500000000029</v>
      </c>
      <c r="H10" s="2"/>
    </row>
    <row r="11" spans="1:9" s="60" customFormat="1" ht="22.5" customHeight="1" thickBot="1" x14ac:dyDescent="0.35">
      <c r="A11" s="48"/>
      <c r="B11" s="48" t="s">
        <v>15</v>
      </c>
      <c r="C11" s="49"/>
      <c r="D11" s="800"/>
      <c r="E11" s="107"/>
      <c r="F11" s="107"/>
      <c r="G11" s="110">
        <v>8249.7000000000007</v>
      </c>
      <c r="I11" s="683">
        <f>SUM(G8:G10)</f>
        <v>8249.7000000000007</v>
      </c>
    </row>
    <row r="12" spans="1:9" ht="22.5" customHeight="1" thickTop="1" x14ac:dyDescent="0.3">
      <c r="A12" s="61"/>
      <c r="B12" s="62" t="s">
        <v>92</v>
      </c>
      <c r="C12" s="63"/>
      <c r="D12" s="798"/>
      <c r="E12" s="61"/>
      <c r="F12" s="61"/>
      <c r="G12" s="207"/>
      <c r="H12" s="2"/>
    </row>
    <row r="13" spans="1:9" ht="22.5" customHeight="1" x14ac:dyDescent="0.5">
      <c r="A13" s="208">
        <v>1</v>
      </c>
      <c r="B13" s="73" t="s">
        <v>96</v>
      </c>
      <c r="C13" s="25" t="s">
        <v>97</v>
      </c>
      <c r="D13" s="801"/>
      <c r="E13" s="215" t="s">
        <v>1427</v>
      </c>
      <c r="F13" s="215" t="s">
        <v>33</v>
      </c>
      <c r="G13" s="217">
        <v>13899.299999999996</v>
      </c>
      <c r="H13" s="2"/>
    </row>
    <row r="14" spans="1:9" ht="22.5" customHeight="1" x14ac:dyDescent="0.5">
      <c r="A14" s="208">
        <v>2</v>
      </c>
      <c r="B14" s="73" t="s">
        <v>99</v>
      </c>
      <c r="C14" s="25" t="s">
        <v>100</v>
      </c>
      <c r="D14" s="801"/>
      <c r="E14" s="215" t="s">
        <v>1427</v>
      </c>
      <c r="F14" s="215" t="s">
        <v>33</v>
      </c>
      <c r="G14" s="217">
        <v>5103.8999999999996</v>
      </c>
      <c r="H14" s="2"/>
    </row>
    <row r="15" spans="1:9" ht="22.5" customHeight="1" x14ac:dyDescent="0.5">
      <c r="A15" s="208">
        <v>3</v>
      </c>
      <c r="B15" s="24" t="s">
        <v>102</v>
      </c>
      <c r="C15" s="222" t="s">
        <v>100</v>
      </c>
      <c r="D15" s="802"/>
      <c r="E15" s="215" t="s">
        <v>1427</v>
      </c>
      <c r="F15" s="215" t="s">
        <v>33</v>
      </c>
      <c r="G15" s="217">
        <v>246.1</v>
      </c>
      <c r="H15" s="2"/>
    </row>
    <row r="16" spans="1:9" ht="22.5" customHeight="1" x14ac:dyDescent="0.5">
      <c r="A16" s="208">
        <v>4</v>
      </c>
      <c r="B16" s="73" t="s">
        <v>103</v>
      </c>
      <c r="C16" s="25" t="s">
        <v>97</v>
      </c>
      <c r="D16" s="801"/>
      <c r="E16" s="215" t="s">
        <v>1427</v>
      </c>
      <c r="F16" s="215" t="s">
        <v>33</v>
      </c>
      <c r="G16" s="217">
        <v>6505.6000000000013</v>
      </c>
      <c r="H16" s="2"/>
    </row>
    <row r="17" spans="1:8" ht="22.5" customHeight="1" x14ac:dyDescent="0.5">
      <c r="A17" s="208">
        <v>5</v>
      </c>
      <c r="B17" s="73" t="s">
        <v>104</v>
      </c>
      <c r="C17" s="25" t="s">
        <v>97</v>
      </c>
      <c r="D17" s="801"/>
      <c r="E17" s="215" t="s">
        <v>1427</v>
      </c>
      <c r="F17" s="215" t="s">
        <v>33</v>
      </c>
      <c r="G17" s="217">
        <v>18061.599999999999</v>
      </c>
      <c r="H17" s="2"/>
    </row>
    <row r="18" spans="1:8" ht="22.5" customHeight="1" x14ac:dyDescent="0.5">
      <c r="A18" s="208">
        <v>6</v>
      </c>
      <c r="B18" s="73" t="s">
        <v>105</v>
      </c>
      <c r="C18" s="25" t="s">
        <v>97</v>
      </c>
      <c r="D18" s="801"/>
      <c r="E18" s="215" t="s">
        <v>1427</v>
      </c>
      <c r="F18" s="215" t="s">
        <v>33</v>
      </c>
      <c r="G18" s="217">
        <v>11352.700000000008</v>
      </c>
      <c r="H18" s="2"/>
    </row>
    <row r="19" spans="1:8" ht="22.5" customHeight="1" x14ac:dyDescent="0.5">
      <c r="A19" s="208">
        <v>7</v>
      </c>
      <c r="B19" s="209" t="s">
        <v>109</v>
      </c>
      <c r="C19" s="210" t="s">
        <v>97</v>
      </c>
      <c r="D19" s="803"/>
      <c r="E19" s="215" t="s">
        <v>1427</v>
      </c>
      <c r="F19" s="215" t="s">
        <v>33</v>
      </c>
      <c r="G19" s="217">
        <v>45047</v>
      </c>
      <c r="H19" s="218"/>
    </row>
    <row r="20" spans="1:8" ht="22.5" customHeight="1" x14ac:dyDescent="0.5">
      <c r="A20" s="208">
        <v>8</v>
      </c>
      <c r="B20" s="73" t="s">
        <v>112</v>
      </c>
      <c r="C20" s="25" t="s">
        <v>113</v>
      </c>
      <c r="D20" s="801"/>
      <c r="E20" s="215" t="s">
        <v>1454</v>
      </c>
      <c r="F20" s="215" t="s">
        <v>115</v>
      </c>
      <c r="G20" s="217">
        <v>4237.2000000000007</v>
      </c>
      <c r="H20" s="2"/>
    </row>
    <row r="21" spans="1:8" ht="22.5" customHeight="1" x14ac:dyDescent="0.5">
      <c r="A21" s="208">
        <v>9</v>
      </c>
      <c r="B21" s="73" t="s">
        <v>121</v>
      </c>
      <c r="C21" s="83" t="s">
        <v>122</v>
      </c>
      <c r="D21" s="803"/>
      <c r="E21" s="215" t="s">
        <v>1427</v>
      </c>
      <c r="F21" s="215" t="s">
        <v>33</v>
      </c>
      <c r="G21" s="217">
        <v>2311.199999999998</v>
      </c>
      <c r="H21" s="223"/>
    </row>
    <row r="22" spans="1:8" ht="22.5" customHeight="1" x14ac:dyDescent="0.5">
      <c r="A22" s="208">
        <v>10</v>
      </c>
      <c r="B22" s="73" t="s">
        <v>121</v>
      </c>
      <c r="C22" s="83" t="s">
        <v>122</v>
      </c>
      <c r="D22" s="803"/>
      <c r="E22" s="215" t="s">
        <v>1427</v>
      </c>
      <c r="F22" s="215" t="s">
        <v>33</v>
      </c>
      <c r="G22" s="217">
        <v>6644.7</v>
      </c>
      <c r="H22" s="223"/>
    </row>
    <row r="23" spans="1:8" ht="22.5" customHeight="1" x14ac:dyDescent="0.5">
      <c r="A23" s="208">
        <v>11</v>
      </c>
      <c r="B23" s="78" t="s">
        <v>129</v>
      </c>
      <c r="C23" s="210" t="s">
        <v>130</v>
      </c>
      <c r="D23" s="803"/>
      <c r="E23" s="215" t="s">
        <v>1427</v>
      </c>
      <c r="F23" s="215" t="s">
        <v>33</v>
      </c>
      <c r="G23" s="217">
        <v>5810.1</v>
      </c>
      <c r="H23" s="2"/>
    </row>
    <row r="24" spans="1:8" ht="22.5" customHeight="1" x14ac:dyDescent="0.5">
      <c r="A24" s="208">
        <v>12</v>
      </c>
      <c r="B24" s="78" t="s">
        <v>132</v>
      </c>
      <c r="C24" s="210" t="s">
        <v>130</v>
      </c>
      <c r="D24" s="803"/>
      <c r="E24" s="215" t="s">
        <v>1427</v>
      </c>
      <c r="F24" s="215" t="s">
        <v>33</v>
      </c>
      <c r="G24" s="217">
        <v>10518.099999999993</v>
      </c>
      <c r="H24" s="2"/>
    </row>
    <row r="25" spans="1:8" s="229" customFormat="1" ht="22.5" customHeight="1" x14ac:dyDescent="0.5">
      <c r="A25" s="208">
        <v>13</v>
      </c>
      <c r="B25" s="78" t="s">
        <v>137</v>
      </c>
      <c r="C25" s="227"/>
      <c r="D25" s="804"/>
      <c r="E25" s="215" t="s">
        <v>1427</v>
      </c>
      <c r="F25" s="215" t="s">
        <v>33</v>
      </c>
      <c r="G25" s="217">
        <v>4269.3</v>
      </c>
      <c r="H25" s="47"/>
    </row>
    <row r="26" spans="1:8" ht="22.5" customHeight="1" x14ac:dyDescent="0.5">
      <c r="A26" s="208">
        <v>14</v>
      </c>
      <c r="B26" s="78" t="s">
        <v>144</v>
      </c>
      <c r="C26" s="81" t="s">
        <v>145</v>
      </c>
      <c r="D26" s="801"/>
      <c r="E26" s="215" t="s">
        <v>1427</v>
      </c>
      <c r="F26" s="215" t="s">
        <v>33</v>
      </c>
      <c r="G26" s="217">
        <v>256.79999999999956</v>
      </c>
      <c r="H26" s="2"/>
    </row>
    <row r="27" spans="1:8" ht="22.5" customHeight="1" x14ac:dyDescent="0.5">
      <c r="A27" s="208">
        <v>15</v>
      </c>
      <c r="B27" s="240" t="s">
        <v>162</v>
      </c>
      <c r="C27" s="83" t="s">
        <v>163</v>
      </c>
      <c r="D27" s="803"/>
      <c r="E27" s="215" t="s">
        <v>1427</v>
      </c>
      <c r="F27" s="215" t="s">
        <v>33</v>
      </c>
      <c r="G27" s="217">
        <v>2161.3999999999965</v>
      </c>
      <c r="H27" s="2"/>
    </row>
    <row r="28" spans="1:8" ht="22.5" customHeight="1" x14ac:dyDescent="0.5">
      <c r="A28" s="208">
        <v>16</v>
      </c>
      <c r="B28" s="243" t="s">
        <v>168</v>
      </c>
      <c r="C28" s="244" t="s">
        <v>169</v>
      </c>
      <c r="D28" s="803"/>
      <c r="E28" s="215" t="s">
        <v>1427</v>
      </c>
      <c r="F28" s="215" t="s">
        <v>33</v>
      </c>
      <c r="G28" s="217">
        <v>3391.9</v>
      </c>
      <c r="H28" s="2"/>
    </row>
    <row r="29" spans="1:8" ht="22.5" customHeight="1" x14ac:dyDescent="0.5">
      <c r="A29" s="208">
        <v>17</v>
      </c>
      <c r="B29" s="209" t="s">
        <v>175</v>
      </c>
      <c r="C29" s="210" t="s">
        <v>176</v>
      </c>
      <c r="D29" s="803"/>
      <c r="E29" s="215" t="s">
        <v>1427</v>
      </c>
      <c r="F29" s="215" t="s">
        <v>33</v>
      </c>
      <c r="G29" s="217">
        <v>5713.7999999999993</v>
      </c>
      <c r="H29" s="2"/>
    </row>
    <row r="30" spans="1:8" ht="22.5" customHeight="1" x14ac:dyDescent="0.5">
      <c r="A30" s="208">
        <v>18</v>
      </c>
      <c r="B30" s="209" t="s">
        <v>181</v>
      </c>
      <c r="C30" s="210" t="s">
        <v>182</v>
      </c>
      <c r="D30" s="803"/>
      <c r="E30" s="215" t="s">
        <v>1427</v>
      </c>
      <c r="F30" s="215" t="s">
        <v>33</v>
      </c>
      <c r="G30" s="217">
        <v>663.4</v>
      </c>
      <c r="H30" s="2"/>
    </row>
    <row r="31" spans="1:8" ht="22.5" customHeight="1" x14ac:dyDescent="0.5">
      <c r="A31" s="208">
        <v>19</v>
      </c>
      <c r="B31" s="209" t="s">
        <v>191</v>
      </c>
      <c r="C31" s="210" t="s">
        <v>190</v>
      </c>
      <c r="D31" s="803"/>
      <c r="E31" s="215" t="s">
        <v>1427</v>
      </c>
      <c r="F31" s="215" t="s">
        <v>33</v>
      </c>
      <c r="G31" s="217">
        <v>13706.700000000003</v>
      </c>
      <c r="H31" s="2"/>
    </row>
    <row r="32" spans="1:8" ht="22.5" customHeight="1" x14ac:dyDescent="0.5">
      <c r="A32" s="208">
        <v>20</v>
      </c>
      <c r="B32" s="209" t="s">
        <v>193</v>
      </c>
      <c r="C32" s="210" t="s">
        <v>194</v>
      </c>
      <c r="D32" s="803"/>
      <c r="E32" s="215" t="s">
        <v>1427</v>
      </c>
      <c r="F32" s="215" t="s">
        <v>33</v>
      </c>
      <c r="G32" s="217">
        <v>695.50000000000034</v>
      </c>
      <c r="H32" s="2"/>
    </row>
    <row r="33" spans="1:9" ht="22.5" customHeight="1" x14ac:dyDescent="0.5">
      <c r="A33" s="208">
        <v>21</v>
      </c>
      <c r="B33" s="209" t="s">
        <v>198</v>
      </c>
      <c r="C33" s="210" t="s">
        <v>567</v>
      </c>
      <c r="D33" s="803"/>
      <c r="E33" s="215" t="s">
        <v>1427</v>
      </c>
      <c r="F33" s="215" t="s">
        <v>33</v>
      </c>
      <c r="G33" s="217">
        <v>1369.5999999999997</v>
      </c>
      <c r="H33" s="2"/>
    </row>
    <row r="34" spans="1:9" ht="22.5" customHeight="1" x14ac:dyDescent="0.5">
      <c r="A34" s="208">
        <v>22</v>
      </c>
      <c r="B34" s="209" t="s">
        <v>200</v>
      </c>
      <c r="C34" s="210" t="s">
        <v>201</v>
      </c>
      <c r="D34" s="803"/>
      <c r="E34" s="215" t="s">
        <v>1477</v>
      </c>
      <c r="F34" s="216" t="s">
        <v>33</v>
      </c>
      <c r="G34" s="217">
        <v>12518.999999999996</v>
      </c>
      <c r="H34" s="2"/>
    </row>
    <row r="35" spans="1:9" ht="22.5" customHeight="1" x14ac:dyDescent="0.5">
      <c r="A35" s="208">
        <v>23</v>
      </c>
      <c r="B35" s="209" t="s">
        <v>208</v>
      </c>
      <c r="C35" s="210"/>
      <c r="D35" s="803"/>
      <c r="E35" s="215" t="s">
        <v>1427</v>
      </c>
      <c r="F35" s="215" t="s">
        <v>33</v>
      </c>
      <c r="G35" s="217">
        <v>4697.2999999999975</v>
      </c>
      <c r="H35" s="2"/>
    </row>
    <row r="36" spans="1:9" ht="22.5" customHeight="1" x14ac:dyDescent="0.5">
      <c r="A36" s="208">
        <v>24</v>
      </c>
      <c r="B36" s="209" t="s">
        <v>210</v>
      </c>
      <c r="C36" s="210" t="s">
        <v>211</v>
      </c>
      <c r="D36" s="803"/>
      <c r="E36" s="239" t="s">
        <v>1427</v>
      </c>
      <c r="F36" s="239" t="s">
        <v>33</v>
      </c>
      <c r="G36" s="217">
        <v>6345.1000000000013</v>
      </c>
      <c r="H36" s="2"/>
    </row>
    <row r="37" spans="1:9" ht="22.5" customHeight="1" x14ac:dyDescent="0.5">
      <c r="A37" s="208">
        <v>25</v>
      </c>
      <c r="B37" s="254" t="s">
        <v>217</v>
      </c>
      <c r="C37" s="238" t="s">
        <v>218</v>
      </c>
      <c r="D37" s="803"/>
      <c r="E37" s="239" t="s">
        <v>1427</v>
      </c>
      <c r="F37" s="239" t="s">
        <v>33</v>
      </c>
      <c r="G37" s="217">
        <v>3274.2</v>
      </c>
      <c r="H37" s="2"/>
    </row>
    <row r="38" spans="1:9" ht="22.5" customHeight="1" x14ac:dyDescent="0.5">
      <c r="A38" s="208">
        <v>26</v>
      </c>
      <c r="B38" s="261" t="s">
        <v>224</v>
      </c>
      <c r="C38" s="261" t="s">
        <v>225</v>
      </c>
      <c r="D38" s="805"/>
      <c r="E38" s="215" t="s">
        <v>1427</v>
      </c>
      <c r="F38" s="215" t="s">
        <v>33</v>
      </c>
      <c r="G38" s="217">
        <v>620.60000000000014</v>
      </c>
      <c r="H38" s="2"/>
    </row>
    <row r="39" spans="1:9" ht="22.5" customHeight="1" x14ac:dyDescent="0.5">
      <c r="A39" s="208">
        <v>27</v>
      </c>
      <c r="B39" s="265" t="s">
        <v>226</v>
      </c>
      <c r="C39" s="265" t="s">
        <v>227</v>
      </c>
      <c r="D39" s="806"/>
      <c r="E39" s="215" t="s">
        <v>1427</v>
      </c>
      <c r="F39" s="215" t="s">
        <v>33</v>
      </c>
      <c r="G39" s="217">
        <v>4354.8999999999996</v>
      </c>
      <c r="H39" s="2"/>
    </row>
    <row r="40" spans="1:9" ht="22.5" customHeight="1" x14ac:dyDescent="0.5">
      <c r="A40" s="208">
        <v>28</v>
      </c>
      <c r="B40" s="265" t="s">
        <v>229</v>
      </c>
      <c r="C40" s="265" t="s">
        <v>230</v>
      </c>
      <c r="D40" s="807"/>
      <c r="E40" s="273" t="s">
        <v>1427</v>
      </c>
      <c r="F40" s="273" t="s">
        <v>33</v>
      </c>
      <c r="G40" s="217">
        <v>8260.4</v>
      </c>
      <c r="H40" s="2"/>
    </row>
    <row r="41" spans="1:9" ht="22.5" customHeight="1" x14ac:dyDescent="0.5">
      <c r="A41" s="208">
        <v>29</v>
      </c>
      <c r="B41" s="265" t="s">
        <v>1489</v>
      </c>
      <c r="C41" s="265" t="s">
        <v>567</v>
      </c>
      <c r="D41" s="866"/>
      <c r="E41" s="675" t="s">
        <v>1427</v>
      </c>
      <c r="F41" s="675" t="s">
        <v>33</v>
      </c>
      <c r="G41" s="217">
        <v>2204.1999999999998</v>
      </c>
      <c r="H41" s="2"/>
    </row>
    <row r="42" spans="1:9" ht="22.5" customHeight="1" x14ac:dyDescent="0.5">
      <c r="A42" s="208">
        <v>30</v>
      </c>
      <c r="B42" s="265" t="s">
        <v>1490</v>
      </c>
      <c r="C42" s="265" t="s">
        <v>567</v>
      </c>
      <c r="D42" s="866"/>
      <c r="E42" s="675" t="s">
        <v>1427</v>
      </c>
      <c r="F42" s="675" t="s">
        <v>33</v>
      </c>
      <c r="G42" s="217">
        <v>2204.1999999999998</v>
      </c>
      <c r="H42" s="2"/>
    </row>
    <row r="43" spans="1:9" s="60" customFormat="1" ht="22.5" customHeight="1" thickBot="1" x14ac:dyDescent="0.35">
      <c r="A43" s="278"/>
      <c r="B43" s="278" t="s">
        <v>15</v>
      </c>
      <c r="C43" s="279"/>
      <c r="D43" s="808"/>
      <c r="E43" s="280">
        <v>0</v>
      </c>
      <c r="F43" s="280">
        <v>0</v>
      </c>
      <c r="G43" s="280">
        <v>206445.8</v>
      </c>
      <c r="H43" s="59"/>
      <c r="I43" s="683">
        <f>SUM(G13:G42)</f>
        <v>206445.8</v>
      </c>
    </row>
    <row r="44" spans="1:9" ht="22.5" customHeight="1" thickTop="1" x14ac:dyDescent="0.3">
      <c r="A44" s="61"/>
      <c r="B44" s="121" t="s">
        <v>232</v>
      </c>
      <c r="C44" s="63"/>
      <c r="D44" s="798"/>
      <c r="E44" s="69"/>
      <c r="F44" s="69"/>
      <c r="G44" s="289"/>
      <c r="H44" s="2"/>
    </row>
    <row r="45" spans="1:9" ht="22.5" customHeight="1" x14ac:dyDescent="0.5">
      <c r="A45" s="23">
        <v>1</v>
      </c>
      <c r="B45" s="73" t="s">
        <v>240</v>
      </c>
      <c r="C45" s="25" t="s">
        <v>241</v>
      </c>
      <c r="D45" s="801"/>
      <c r="E45" s="297" t="s">
        <v>1427</v>
      </c>
      <c r="F45" s="297" t="s">
        <v>33</v>
      </c>
      <c r="G45" s="36">
        <v>15750</v>
      </c>
      <c r="H45" s="2"/>
    </row>
    <row r="46" spans="1:9" ht="22.5" customHeight="1" x14ac:dyDescent="0.5">
      <c r="A46" s="23">
        <v>2</v>
      </c>
      <c r="B46" s="73" t="s">
        <v>240</v>
      </c>
      <c r="C46" s="25" t="s">
        <v>242</v>
      </c>
      <c r="D46" s="801"/>
      <c r="E46" s="297" t="s">
        <v>1427</v>
      </c>
      <c r="F46" s="297" t="s">
        <v>33</v>
      </c>
      <c r="G46" s="36">
        <v>6300</v>
      </c>
      <c r="H46" s="2"/>
    </row>
    <row r="47" spans="1:9" ht="22.5" customHeight="1" x14ac:dyDescent="0.5">
      <c r="A47" s="23">
        <v>3</v>
      </c>
      <c r="B47" s="73" t="s">
        <v>248</v>
      </c>
      <c r="C47" s="25" t="s">
        <v>249</v>
      </c>
      <c r="D47" s="801"/>
      <c r="E47" s="215" t="s">
        <v>1454</v>
      </c>
      <c r="F47" s="215" t="s">
        <v>115</v>
      </c>
      <c r="G47" s="36">
        <v>12600</v>
      </c>
      <c r="H47" s="2"/>
    </row>
    <row r="48" spans="1:9" ht="22.5" customHeight="1" x14ac:dyDescent="0.5">
      <c r="A48" s="23">
        <v>4</v>
      </c>
      <c r="B48" s="209" t="s">
        <v>250</v>
      </c>
      <c r="C48" s="210" t="s">
        <v>251</v>
      </c>
      <c r="D48" s="803"/>
      <c r="E48" s="215" t="s">
        <v>1427</v>
      </c>
      <c r="F48" s="215" t="s">
        <v>33</v>
      </c>
      <c r="G48" s="36">
        <v>6300</v>
      </c>
      <c r="H48" s="218"/>
    </row>
    <row r="49" spans="1:9" ht="22.5" customHeight="1" x14ac:dyDescent="0.5">
      <c r="A49" s="23">
        <v>5</v>
      </c>
      <c r="B49" s="73" t="s">
        <v>261</v>
      </c>
      <c r="C49" s="25" t="s">
        <v>262</v>
      </c>
      <c r="D49" s="801"/>
      <c r="E49" s="215" t="s">
        <v>1427</v>
      </c>
      <c r="F49" s="215" t="s">
        <v>33</v>
      </c>
      <c r="G49" s="36">
        <v>5600</v>
      </c>
    </row>
    <row r="50" spans="1:9" ht="22.5" customHeight="1" x14ac:dyDescent="0.5">
      <c r="A50" s="23">
        <v>6</v>
      </c>
      <c r="B50" s="73" t="s">
        <v>264</v>
      </c>
      <c r="C50" s="25" t="s">
        <v>265</v>
      </c>
      <c r="D50" s="801"/>
      <c r="E50" s="215" t="s">
        <v>1427</v>
      </c>
      <c r="F50" s="215" t="s">
        <v>33</v>
      </c>
      <c r="G50" s="36">
        <v>5600</v>
      </c>
    </row>
    <row r="51" spans="1:9" ht="22.5" customHeight="1" x14ac:dyDescent="0.5">
      <c r="A51" s="23">
        <v>7</v>
      </c>
      <c r="B51" s="73" t="s">
        <v>261</v>
      </c>
      <c r="C51" s="25" t="s">
        <v>273</v>
      </c>
      <c r="D51" s="801"/>
      <c r="E51" s="215" t="s">
        <v>1427</v>
      </c>
      <c r="F51" s="215" t="s">
        <v>33</v>
      </c>
      <c r="G51" s="36">
        <v>9450</v>
      </c>
    </row>
    <row r="52" spans="1:9" ht="22.5" customHeight="1" x14ac:dyDescent="0.5">
      <c r="A52" s="23">
        <v>8</v>
      </c>
      <c r="B52" s="73" t="s">
        <v>281</v>
      </c>
      <c r="C52" s="25" t="s">
        <v>282</v>
      </c>
      <c r="D52" s="801"/>
      <c r="E52" s="215" t="s">
        <v>1427</v>
      </c>
      <c r="F52" s="215" t="s">
        <v>33</v>
      </c>
      <c r="G52" s="36">
        <v>5600</v>
      </c>
      <c r="H52" s="2"/>
    </row>
    <row r="53" spans="1:9" ht="22.5" customHeight="1" x14ac:dyDescent="0.5">
      <c r="A53" s="23">
        <v>9</v>
      </c>
      <c r="B53" s="209" t="s">
        <v>300</v>
      </c>
      <c r="C53" s="210" t="s">
        <v>301</v>
      </c>
      <c r="D53" s="803"/>
      <c r="E53" s="215" t="s">
        <v>1427</v>
      </c>
      <c r="F53" s="215" t="s">
        <v>33</v>
      </c>
      <c r="G53" s="36">
        <v>5600</v>
      </c>
      <c r="H53" s="2"/>
    </row>
    <row r="54" spans="1:9" ht="22.5" customHeight="1" x14ac:dyDescent="0.5">
      <c r="A54" s="23">
        <v>10</v>
      </c>
      <c r="B54" s="73" t="s">
        <v>261</v>
      </c>
      <c r="C54" s="25" t="s">
        <v>311</v>
      </c>
      <c r="D54" s="801"/>
      <c r="E54" s="215" t="s">
        <v>1427</v>
      </c>
      <c r="F54" s="215" t="s">
        <v>33</v>
      </c>
      <c r="G54" s="36">
        <v>2800</v>
      </c>
    </row>
    <row r="55" spans="1:9" ht="22.5" customHeight="1" x14ac:dyDescent="0.5">
      <c r="A55" s="23">
        <v>11</v>
      </c>
      <c r="B55" s="310" t="s">
        <v>261</v>
      </c>
      <c r="C55" s="311" t="s">
        <v>312</v>
      </c>
      <c r="D55" s="811"/>
      <c r="E55" s="215" t="s">
        <v>1427</v>
      </c>
      <c r="F55" s="215" t="s">
        <v>33</v>
      </c>
      <c r="G55" s="36">
        <v>2800</v>
      </c>
    </row>
    <row r="56" spans="1:9" ht="22.5" customHeight="1" x14ac:dyDescent="0.5">
      <c r="A56" s="23">
        <v>12</v>
      </c>
      <c r="B56" s="73" t="s">
        <v>261</v>
      </c>
      <c r="C56" s="25" t="s">
        <v>316</v>
      </c>
      <c r="D56" s="801"/>
      <c r="E56" s="215" t="s">
        <v>1427</v>
      </c>
      <c r="F56" s="215" t="s">
        <v>33</v>
      </c>
      <c r="G56" s="36">
        <v>2800</v>
      </c>
    </row>
    <row r="57" spans="1:9" ht="22.5" customHeight="1" x14ac:dyDescent="0.3">
      <c r="A57" s="23">
        <v>13</v>
      </c>
      <c r="B57" s="73" t="s">
        <v>317</v>
      </c>
      <c r="C57" s="25" t="s">
        <v>318</v>
      </c>
      <c r="D57" s="801">
        <v>2800</v>
      </c>
      <c r="E57" s="307"/>
      <c r="F57" s="307"/>
      <c r="G57" s="36"/>
    </row>
    <row r="58" spans="1:9" ht="22.5" customHeight="1" x14ac:dyDescent="0.3">
      <c r="A58" s="23">
        <v>14</v>
      </c>
      <c r="B58" s="73" t="s">
        <v>322</v>
      </c>
      <c r="C58" s="25" t="s">
        <v>323</v>
      </c>
      <c r="D58" s="801">
        <v>11200</v>
      </c>
      <c r="E58" s="314"/>
      <c r="F58" s="315"/>
      <c r="G58" s="36"/>
    </row>
    <row r="59" spans="1:9" s="60" customFormat="1" ht="22.5" customHeight="1" thickBot="1" x14ac:dyDescent="0.35">
      <c r="A59" s="317"/>
      <c r="B59" s="317" t="s">
        <v>15</v>
      </c>
      <c r="C59" s="318"/>
      <c r="D59" s="809"/>
      <c r="E59" s="324"/>
      <c r="F59" s="324"/>
      <c r="G59" s="323">
        <v>81200</v>
      </c>
      <c r="I59" s="683">
        <f>SUM(G45:G58)</f>
        <v>81200</v>
      </c>
    </row>
    <row r="60" spans="1:9" ht="22.5" customHeight="1" thickTop="1" x14ac:dyDescent="0.3">
      <c r="A60" s="115"/>
      <c r="B60" s="164" t="s">
        <v>350</v>
      </c>
      <c r="C60" s="366"/>
      <c r="D60" s="810"/>
      <c r="E60" s="117"/>
      <c r="F60" s="117"/>
      <c r="G60" s="370"/>
    </row>
    <row r="61" spans="1:9" ht="22.5" customHeight="1" x14ac:dyDescent="0.5">
      <c r="A61" s="23">
        <v>1</v>
      </c>
      <c r="B61" s="290" t="s">
        <v>353</v>
      </c>
      <c r="C61" s="371" t="s">
        <v>354</v>
      </c>
      <c r="D61" s="801"/>
      <c r="E61" s="215" t="s">
        <v>1427</v>
      </c>
      <c r="F61" s="215" t="s">
        <v>33</v>
      </c>
      <c r="G61" s="36">
        <v>11000</v>
      </c>
    </row>
    <row r="62" spans="1:9" ht="22.5" customHeight="1" x14ac:dyDescent="0.5">
      <c r="A62" s="23">
        <v>2</v>
      </c>
      <c r="B62" s="290" t="s">
        <v>355</v>
      </c>
      <c r="C62" s="371" t="s">
        <v>356</v>
      </c>
      <c r="D62" s="801"/>
      <c r="E62" s="215" t="s">
        <v>1427</v>
      </c>
      <c r="F62" s="215" t="s">
        <v>33</v>
      </c>
      <c r="G62" s="36">
        <v>9400</v>
      </c>
    </row>
    <row r="63" spans="1:9" ht="22.5" customHeight="1" x14ac:dyDescent="0.5">
      <c r="A63" s="331">
        <v>3</v>
      </c>
      <c r="B63" s="374" t="s">
        <v>358</v>
      </c>
      <c r="C63" s="375" t="s">
        <v>356</v>
      </c>
      <c r="D63" s="801"/>
      <c r="E63" s="215" t="s">
        <v>1427</v>
      </c>
      <c r="F63" s="937" t="s">
        <v>33</v>
      </c>
      <c r="G63" s="36">
        <v>9810</v>
      </c>
    </row>
    <row r="64" spans="1:9" s="60" customFormat="1" ht="22.5" customHeight="1" thickBot="1" x14ac:dyDescent="0.35">
      <c r="A64" s="317"/>
      <c r="B64" s="317" t="s">
        <v>15</v>
      </c>
      <c r="C64" s="357"/>
      <c r="D64" s="809"/>
      <c r="E64" s="317"/>
      <c r="F64" s="317"/>
      <c r="G64" s="386">
        <v>30210</v>
      </c>
      <c r="I64" s="683">
        <f>SUM(G61:G63)</f>
        <v>30210</v>
      </c>
    </row>
    <row r="65" spans="1:11" ht="22.5" customHeight="1" thickTop="1" x14ac:dyDescent="0.3">
      <c r="A65" s="61"/>
      <c r="B65" s="62" t="s">
        <v>392</v>
      </c>
      <c r="C65" s="63"/>
      <c r="D65" s="798"/>
      <c r="E65" s="69"/>
      <c r="F65" s="69"/>
      <c r="G65" s="72"/>
    </row>
    <row r="66" spans="1:11" ht="22.5" customHeight="1" x14ac:dyDescent="0.3">
      <c r="A66" s="61"/>
      <c r="B66" s="62" t="s">
        <v>1336</v>
      </c>
      <c r="C66" s="63"/>
      <c r="D66" s="798"/>
      <c r="E66" s="69"/>
      <c r="F66" s="117"/>
      <c r="G66" s="72"/>
    </row>
    <row r="67" spans="1:11" ht="22.5" customHeight="1" x14ac:dyDescent="0.3">
      <c r="A67" s="61">
        <v>1</v>
      </c>
      <c r="B67" s="838" t="s">
        <v>281</v>
      </c>
      <c r="C67" s="63" t="s">
        <v>1374</v>
      </c>
      <c r="D67" s="798"/>
      <c r="E67" s="69" t="s">
        <v>1336</v>
      </c>
      <c r="F67" s="117"/>
      <c r="G67" s="72">
        <v>1266.8800000000001</v>
      </c>
    </row>
    <row r="68" spans="1:11" ht="22.5" customHeight="1" x14ac:dyDescent="0.3">
      <c r="A68" s="61">
        <v>2</v>
      </c>
      <c r="B68" s="838" t="s">
        <v>1380</v>
      </c>
      <c r="C68" s="63" t="s">
        <v>1370</v>
      </c>
      <c r="D68" s="798"/>
      <c r="E68" s="69" t="s">
        <v>1336</v>
      </c>
      <c r="F68" s="117"/>
      <c r="G68" s="72">
        <v>1266.8800000000001</v>
      </c>
    </row>
    <row r="69" spans="1:11" s="60" customFormat="1" ht="22.5" customHeight="1" thickBot="1" x14ac:dyDescent="0.35">
      <c r="A69" s="317"/>
      <c r="B69" s="317" t="s">
        <v>15</v>
      </c>
      <c r="C69" s="318"/>
      <c r="D69" s="809"/>
      <c r="E69" s="383">
        <v>0</v>
      </c>
      <c r="F69" s="383">
        <v>0</v>
      </c>
      <c r="G69" s="383">
        <v>2533.7600000000002</v>
      </c>
      <c r="I69" s="683">
        <f>SUM(G67:G68)</f>
        <v>2533.7600000000002</v>
      </c>
    </row>
    <row r="70" spans="1:11" ht="22.5" customHeight="1" thickTop="1" x14ac:dyDescent="0.3">
      <c r="A70" s="61"/>
      <c r="B70" s="164" t="s">
        <v>399</v>
      </c>
      <c r="C70" s="63"/>
      <c r="D70" s="798"/>
      <c r="E70" s="69"/>
      <c r="F70" s="69"/>
      <c r="G70" s="387"/>
    </row>
    <row r="71" spans="1:11" ht="22.5" customHeight="1" x14ac:dyDescent="0.3">
      <c r="A71" s="61">
        <v>1</v>
      </c>
      <c r="B71" s="290" t="s">
        <v>463</v>
      </c>
      <c r="C71" s="63" t="s">
        <v>464</v>
      </c>
      <c r="D71" s="798"/>
      <c r="E71" s="69" t="s">
        <v>795</v>
      </c>
      <c r="F71" s="69"/>
      <c r="G71" s="387">
        <v>1064.44</v>
      </c>
    </row>
    <row r="72" spans="1:11" ht="22.5" customHeight="1" x14ac:dyDescent="0.3">
      <c r="A72" s="23">
        <v>2</v>
      </c>
      <c r="B72" s="290" t="s">
        <v>495</v>
      </c>
      <c r="C72" s="25" t="s">
        <v>496</v>
      </c>
      <c r="D72" s="799"/>
      <c r="E72" s="41" t="s">
        <v>795</v>
      </c>
      <c r="F72" s="41"/>
      <c r="G72" s="387">
        <v>20595.900000000001</v>
      </c>
    </row>
    <row r="73" spans="1:11" s="60" customFormat="1" ht="22.5" customHeight="1" thickBot="1" x14ac:dyDescent="0.35">
      <c r="A73" s="362"/>
      <c r="B73" s="362" t="s">
        <v>15</v>
      </c>
      <c r="C73" s="455"/>
      <c r="D73" s="812"/>
      <c r="E73" s="362"/>
      <c r="F73" s="362"/>
      <c r="G73" s="364">
        <v>21660.34</v>
      </c>
      <c r="I73" s="683">
        <f>SUM(G71:G72)</f>
        <v>21660.34</v>
      </c>
    </row>
    <row r="74" spans="1:11" s="60" customFormat="1" ht="22.5" customHeight="1" thickTop="1" thickBot="1" x14ac:dyDescent="0.35">
      <c r="A74" s="459"/>
      <c r="B74" s="460" t="s">
        <v>497</v>
      </c>
      <c r="C74" s="461"/>
      <c r="D74" s="813"/>
      <c r="E74" s="462">
        <v>0</v>
      </c>
      <c r="F74" s="462"/>
      <c r="G74" s="462">
        <v>350299.59970000002</v>
      </c>
      <c r="J74" s="939">
        <f>SUM(I11:I74)</f>
        <v>350299.60000000003</v>
      </c>
      <c r="K74" s="60" t="s">
        <v>670</v>
      </c>
    </row>
    <row r="75" spans="1:11" ht="22.5" customHeight="1" thickTop="1" x14ac:dyDescent="0.3">
      <c r="E75" s="3"/>
      <c r="F75" s="3"/>
      <c r="G75" s="472"/>
    </row>
    <row r="76" spans="1:11" ht="22.5" customHeight="1" x14ac:dyDescent="0.3">
      <c r="A76" s="1123" t="s">
        <v>671</v>
      </c>
      <c r="B76" s="1124"/>
      <c r="C76" s="1124"/>
      <c r="D76" s="1124"/>
      <c r="E76" s="1124"/>
      <c r="F76" s="1124"/>
      <c r="G76" s="1125"/>
      <c r="H76" s="2"/>
    </row>
    <row r="77" spans="1:11" ht="22.5" customHeight="1" x14ac:dyDescent="0.3">
      <c r="A77" s="115"/>
      <c r="B77" s="164" t="s">
        <v>499</v>
      </c>
      <c r="C77" s="165"/>
      <c r="D77" s="810"/>
      <c r="E77" s="117"/>
      <c r="F77" s="117"/>
      <c r="G77" s="370"/>
      <c r="H77" s="2"/>
    </row>
    <row r="78" spans="1:11" ht="22.5" customHeight="1" x14ac:dyDescent="0.3">
      <c r="A78" s="475">
        <v>1</v>
      </c>
      <c r="B78" s="489" t="s">
        <v>1397</v>
      </c>
      <c r="C78" s="498"/>
      <c r="D78" s="698"/>
      <c r="E78" s="484"/>
      <c r="F78" s="892"/>
      <c r="G78" s="497">
        <v>325409.68</v>
      </c>
      <c r="H78" s="2"/>
    </row>
    <row r="79" spans="1:11" ht="22.5" customHeight="1" x14ac:dyDescent="0.3">
      <c r="A79" s="502"/>
      <c r="B79" s="503" t="s">
        <v>1399</v>
      </c>
      <c r="C79" s="504"/>
      <c r="D79" s="815"/>
      <c r="E79" s="509"/>
      <c r="F79" s="893"/>
      <c r="G79" s="513"/>
      <c r="H79" s="2"/>
    </row>
    <row r="80" spans="1:11" ht="22.5" customHeight="1" x14ac:dyDescent="0.3">
      <c r="A80" s="488"/>
      <c r="B80" s="489" t="s">
        <v>1400</v>
      </c>
      <c r="C80" s="514"/>
      <c r="D80" s="699"/>
      <c r="E80" s="520"/>
      <c r="F80" s="520"/>
      <c r="G80" s="524"/>
    </row>
    <row r="81" spans="1:10" ht="22.5" customHeight="1" x14ac:dyDescent="0.3">
      <c r="A81" s="488">
        <v>2</v>
      </c>
      <c r="B81" s="525" t="s">
        <v>1401</v>
      </c>
      <c r="C81" s="526"/>
      <c r="D81" s="816"/>
      <c r="E81" s="521"/>
      <c r="F81" s="529"/>
      <c r="G81" s="532">
        <v>108369.18</v>
      </c>
    </row>
    <row r="82" spans="1:10" ht="22.5" customHeight="1" x14ac:dyDescent="0.3">
      <c r="A82" s="488"/>
      <c r="B82" s="525" t="s">
        <v>1402</v>
      </c>
      <c r="C82" s="526"/>
      <c r="D82" s="816"/>
      <c r="E82" s="521"/>
      <c r="F82" s="529"/>
      <c r="G82" s="532"/>
    </row>
    <row r="83" spans="1:10" ht="22.5" customHeight="1" x14ac:dyDescent="0.3">
      <c r="A83" s="737"/>
      <c r="B83" s="525" t="s">
        <v>1403</v>
      </c>
      <c r="C83" s="526"/>
      <c r="D83" s="816"/>
      <c r="E83" s="521"/>
      <c r="F83" s="521"/>
      <c r="G83" s="932"/>
    </row>
    <row r="84" spans="1:10" ht="22.5" customHeight="1" x14ac:dyDescent="0.3">
      <c r="A84" s="737">
        <v>3</v>
      </c>
      <c r="B84" s="525" t="s">
        <v>1404</v>
      </c>
      <c r="C84" s="526"/>
      <c r="D84" s="816"/>
      <c r="E84" s="521"/>
      <c r="F84" s="521"/>
      <c r="G84" s="932">
        <v>39949.17</v>
      </c>
    </row>
    <row r="85" spans="1:10" ht="22.5" customHeight="1" x14ac:dyDescent="0.3">
      <c r="A85" s="737"/>
      <c r="B85" s="525" t="s">
        <v>1405</v>
      </c>
      <c r="C85" s="526"/>
      <c r="D85" s="816"/>
      <c r="E85" s="521"/>
      <c r="F85" s="521"/>
      <c r="G85" s="932"/>
    </row>
    <row r="86" spans="1:10" ht="22.5" customHeight="1" x14ac:dyDescent="0.3">
      <c r="A86" s="737"/>
      <c r="B86" s="525" t="s">
        <v>1406</v>
      </c>
      <c r="C86" s="526"/>
      <c r="D86" s="816"/>
      <c r="E86" s="521"/>
      <c r="F86" s="521"/>
      <c r="G86" s="932"/>
    </row>
    <row r="87" spans="1:10" ht="22.5" customHeight="1" x14ac:dyDescent="0.3">
      <c r="A87" s="737">
        <v>4</v>
      </c>
      <c r="B87" s="525" t="s">
        <v>1407</v>
      </c>
      <c r="C87" s="526"/>
      <c r="D87" s="816"/>
      <c r="E87" s="521"/>
      <c r="F87" s="521"/>
      <c r="G87" s="932">
        <v>796450.34</v>
      </c>
    </row>
    <row r="88" spans="1:10" ht="22.5" customHeight="1" x14ac:dyDescent="0.3">
      <c r="A88" s="737"/>
      <c r="B88" s="525" t="s">
        <v>1408</v>
      </c>
      <c r="C88" s="526"/>
      <c r="D88" s="816"/>
      <c r="E88" s="521"/>
      <c r="F88" s="521"/>
      <c r="G88" s="932"/>
    </row>
    <row r="89" spans="1:10" ht="22.5" customHeight="1" x14ac:dyDescent="0.3">
      <c r="A89" s="737"/>
      <c r="B89" s="525" t="s">
        <v>1409</v>
      </c>
      <c r="C89" s="526"/>
      <c r="D89" s="816"/>
      <c r="E89" s="521"/>
      <c r="F89" s="521"/>
      <c r="G89" s="932">
        <v>93330</v>
      </c>
    </row>
    <row r="90" spans="1:10" s="60" customFormat="1" ht="22.5" customHeight="1" thickBot="1" x14ac:dyDescent="0.35">
      <c r="A90" s="921"/>
      <c r="B90" s="921" t="s">
        <v>15</v>
      </c>
      <c r="C90" s="922"/>
      <c r="D90" s="934"/>
      <c r="E90" s="926">
        <v>0</v>
      </c>
      <c r="F90" s="926">
        <v>0</v>
      </c>
      <c r="G90" s="926">
        <v>1363508.3699999999</v>
      </c>
      <c r="H90" s="59">
        <f>SUM(G78:G89)</f>
        <v>1363508.3699999999</v>
      </c>
    </row>
    <row r="91" spans="1:10" ht="22.5" customHeight="1" thickTop="1" x14ac:dyDescent="0.3">
      <c r="A91" s="559"/>
      <c r="B91" s="560" t="s">
        <v>92</v>
      </c>
      <c r="C91" s="561"/>
      <c r="D91" s="819"/>
      <c r="E91" s="567"/>
      <c r="F91" s="567"/>
      <c r="G91" s="570"/>
      <c r="H91" s="2"/>
    </row>
    <row r="92" spans="1:10" ht="22.5" customHeight="1" x14ac:dyDescent="0.3">
      <c r="A92" s="23">
        <v>1</v>
      </c>
      <c r="B92" s="73" t="s">
        <v>512</v>
      </c>
      <c r="C92" s="25" t="s">
        <v>97</v>
      </c>
      <c r="D92" s="799"/>
      <c r="E92" s="41" t="s">
        <v>513</v>
      </c>
      <c r="F92" s="41"/>
      <c r="G92" s="36">
        <v>10499.9956</v>
      </c>
      <c r="H92" s="2"/>
    </row>
    <row r="93" spans="1:10" s="60" customFormat="1" ht="22.5" customHeight="1" thickBot="1" x14ac:dyDescent="0.35">
      <c r="A93" s="548"/>
      <c r="B93" s="548" t="s">
        <v>15</v>
      </c>
      <c r="C93" s="549"/>
      <c r="D93" s="818"/>
      <c r="E93" s="548"/>
      <c r="F93" s="548"/>
      <c r="G93" s="558">
        <v>10499.9956</v>
      </c>
      <c r="H93" s="59">
        <f>SUM(G92)</f>
        <v>10499.9956</v>
      </c>
    </row>
    <row r="94" spans="1:10" s="60" customFormat="1" ht="22.5" customHeight="1" thickTop="1" thickBot="1" x14ac:dyDescent="0.35">
      <c r="A94" s="572"/>
      <c r="B94" s="572" t="s">
        <v>515</v>
      </c>
      <c r="C94" s="573"/>
      <c r="D94" s="820"/>
      <c r="E94" s="580"/>
      <c r="F94" s="580"/>
      <c r="G94" s="583">
        <v>1374008.3655999999</v>
      </c>
      <c r="H94" s="59"/>
      <c r="I94" s="59">
        <f>SUM(H90:H93)</f>
        <v>1374008.3655999999</v>
      </c>
    </row>
    <row r="95" spans="1:10" ht="22.5" customHeight="1" thickTop="1" x14ac:dyDescent="0.3">
      <c r="E95" s="470"/>
      <c r="F95" s="470"/>
      <c r="G95" s="472"/>
      <c r="H95" s="2"/>
    </row>
    <row r="96" spans="1:10" s="589" customFormat="1" ht="20.399999999999999" x14ac:dyDescent="0.5">
      <c r="A96" s="1126" t="s">
        <v>1183</v>
      </c>
      <c r="B96" s="1127"/>
      <c r="C96" s="1127"/>
      <c r="D96" s="1127"/>
      <c r="E96" s="1127"/>
      <c r="F96" s="1127"/>
      <c r="G96" s="1127"/>
      <c r="H96" s="587"/>
      <c r="I96" s="587"/>
      <c r="J96" s="588"/>
    </row>
    <row r="97" spans="1:11" s="599" customFormat="1" x14ac:dyDescent="0.6">
      <c r="A97" s="601">
        <v>1</v>
      </c>
      <c r="B97" s="602" t="s">
        <v>519</v>
      </c>
      <c r="C97" s="602" t="s">
        <v>520</v>
      </c>
      <c r="D97" s="821"/>
      <c r="E97" s="604"/>
      <c r="F97" s="604"/>
      <c r="G97" s="609">
        <v>54000</v>
      </c>
      <c r="J97" s="600"/>
    </row>
    <row r="98" spans="1:11" s="599" customFormat="1" ht="24" thickBot="1" x14ac:dyDescent="0.65">
      <c r="A98" s="619"/>
      <c r="B98" s="620" t="s">
        <v>1184</v>
      </c>
      <c r="C98" s="621"/>
      <c r="D98" s="822"/>
      <c r="E98" s="623"/>
      <c r="F98" s="623"/>
      <c r="G98" s="626">
        <v>54000</v>
      </c>
      <c r="H98" s="627">
        <f>SUM(G97)</f>
        <v>54000</v>
      </c>
      <c r="I98" s="627">
        <f>SUM(I94+H98)</f>
        <v>1428008.3655999999</v>
      </c>
      <c r="J98" s="940">
        <f>SUM(J74+I98)</f>
        <v>1778307.9656</v>
      </c>
      <c r="K98" s="599" t="s">
        <v>1542</v>
      </c>
    </row>
    <row r="99" spans="1:11" s="636" customFormat="1" ht="24" thickTop="1" x14ac:dyDescent="0.6">
      <c r="A99" s="628"/>
      <c r="B99" s="629"/>
      <c r="C99" s="630"/>
      <c r="D99" s="823"/>
      <c r="E99" s="632"/>
      <c r="F99" s="632"/>
      <c r="G99" s="635"/>
      <c r="J99" s="637"/>
    </row>
    <row r="100" spans="1:11" s="636" customFormat="1" x14ac:dyDescent="0.6">
      <c r="A100" s="1128" t="s">
        <v>524</v>
      </c>
      <c r="B100" s="1128"/>
      <c r="C100" s="1128"/>
      <c r="D100" s="1128"/>
      <c r="E100" s="1128"/>
      <c r="F100" s="1128"/>
      <c r="G100" s="1128"/>
      <c r="J100" s="637"/>
    </row>
    <row r="101" spans="1:11" s="599" customFormat="1" x14ac:dyDescent="0.6">
      <c r="A101" s="638">
        <v>1</v>
      </c>
      <c r="B101" s="639" t="s">
        <v>519</v>
      </c>
      <c r="C101" s="639" t="s">
        <v>518</v>
      </c>
      <c r="D101" s="824"/>
      <c r="E101" s="884" t="s">
        <v>1412</v>
      </c>
      <c r="F101" s="884"/>
      <c r="G101" s="643">
        <v>95200</v>
      </c>
      <c r="J101" s="600"/>
    </row>
    <row r="102" spans="1:11" s="599" customFormat="1" ht="24" thickBot="1" x14ac:dyDescent="0.65">
      <c r="A102" s="619"/>
      <c r="B102" s="620" t="s">
        <v>535</v>
      </c>
      <c r="C102" s="621"/>
      <c r="D102" s="822"/>
      <c r="E102" s="625"/>
      <c r="F102" s="625"/>
      <c r="G102" s="625">
        <v>95200</v>
      </c>
      <c r="H102" s="731">
        <f>SUM(G101)</f>
        <v>95200</v>
      </c>
      <c r="J102" s="600"/>
    </row>
    <row r="103" spans="1:11" ht="22.5" customHeight="1" thickTop="1" x14ac:dyDescent="0.3">
      <c r="E103" s="470"/>
      <c r="F103" s="470"/>
      <c r="G103" s="472"/>
      <c r="H103" s="2"/>
    </row>
    <row r="104" spans="1:11" ht="22.5" customHeight="1" thickBot="1" x14ac:dyDescent="0.65">
      <c r="E104" s="470"/>
      <c r="F104" s="470"/>
      <c r="G104" s="658">
        <v>1873507.9752999998</v>
      </c>
      <c r="H104" s="2"/>
      <c r="I104" s="938">
        <f>SUM(J98+H102)</f>
        <v>1873507.9656</v>
      </c>
      <c r="J104" s="599" t="s">
        <v>1543</v>
      </c>
    </row>
    <row r="105" spans="1:11" ht="22.5" customHeight="1" thickTop="1" x14ac:dyDescent="0.5">
      <c r="B105" s="587" t="s">
        <v>537</v>
      </c>
      <c r="C105" s="587"/>
      <c r="D105" s="826"/>
      <c r="E105" s="3"/>
      <c r="F105" s="3"/>
      <c r="G105" s="472"/>
    </row>
    <row r="106" spans="1:11" x14ac:dyDescent="0.5">
      <c r="B106" s="1129" t="s">
        <v>538</v>
      </c>
      <c r="C106" s="1129"/>
      <c r="D106" s="827"/>
      <c r="E106" s="3"/>
      <c r="F106" s="3"/>
      <c r="G106" s="472"/>
    </row>
    <row r="107" spans="1:11" x14ac:dyDescent="0.5">
      <c r="B107" s="1129" t="s">
        <v>539</v>
      </c>
      <c r="C107" s="1129"/>
      <c r="D107" s="827"/>
      <c r="E107" s="3"/>
      <c r="F107" s="3"/>
      <c r="G107" s="472"/>
    </row>
    <row r="108" spans="1:11" x14ac:dyDescent="0.3">
      <c r="E108" s="3"/>
      <c r="F108" s="3"/>
      <c r="G108" s="472"/>
    </row>
    <row r="109" spans="1:11" x14ac:dyDescent="0.3">
      <c r="E109" s="3"/>
      <c r="F109" s="3"/>
      <c r="G109" s="472"/>
    </row>
    <row r="110" spans="1:11" x14ac:dyDescent="0.3">
      <c r="E110" s="3"/>
      <c r="F110" s="3"/>
      <c r="G110" s="472"/>
    </row>
    <row r="111" spans="1:11" x14ac:dyDescent="0.3">
      <c r="E111" s="3"/>
      <c r="F111" s="3"/>
      <c r="G111" s="472"/>
    </row>
    <row r="112" spans="1:11" x14ac:dyDescent="0.3">
      <c r="E112" s="3"/>
      <c r="F112" s="3"/>
      <c r="G112" s="472"/>
    </row>
    <row r="113" spans="5:7" x14ac:dyDescent="0.3">
      <c r="E113" s="3"/>
      <c r="F113" s="3"/>
      <c r="G113" s="472"/>
    </row>
    <row r="114" spans="5:7" x14ac:dyDescent="0.3">
      <c r="E114" s="3"/>
      <c r="F114" s="3"/>
      <c r="G114" s="472"/>
    </row>
  </sheetData>
  <mergeCells count="13">
    <mergeCell ref="A76:G76"/>
    <mergeCell ref="A96:G96"/>
    <mergeCell ref="A100:G100"/>
    <mergeCell ref="B106:C106"/>
    <mergeCell ref="B107:C107"/>
    <mergeCell ref="E5:E6"/>
    <mergeCell ref="A1:G1"/>
    <mergeCell ref="A2:G2"/>
    <mergeCell ref="A3:G3"/>
    <mergeCell ref="A4:A6"/>
    <mergeCell ref="B4:B6"/>
    <mergeCell ref="C4:C6"/>
    <mergeCell ref="E4:G4"/>
  </mergeCells>
  <phoneticPr fontId="28" type="noConversion"/>
  <pageMargins left="0.7" right="0.7" top="0.75" bottom="0.75" header="0.3" footer="0.3"/>
  <pageSetup scale="4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6029-BE07-47C8-A144-AC1431B1AF8E}">
  <sheetPr>
    <tabColor rgb="FFFFC000"/>
  </sheetPr>
  <dimension ref="A1:J106"/>
  <sheetViews>
    <sheetView zoomScale="80" zoomScaleNormal="80" workbookViewId="0">
      <pane ySplit="6" topLeftCell="A74" activePane="bottomLeft" state="frozen"/>
      <selection pane="bottomLeft" activeCell="J102" sqref="J102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4.5546875" style="662" customWidth="1"/>
    <col min="5" max="5" width="5.77734375" style="662" customWidth="1"/>
    <col min="6" max="6" width="16.5546875" style="665" customWidth="1"/>
    <col min="7" max="7" width="15.6640625" style="3" customWidth="1"/>
    <col min="8" max="8" width="30.6640625" style="3" customWidth="1"/>
    <col min="9" max="9" width="16.6640625" style="3" customWidth="1"/>
    <col min="10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7" ht="22.5" customHeight="1" x14ac:dyDescent="0.3">
      <c r="A3" s="1110" t="s">
        <v>1411</v>
      </c>
      <c r="B3" s="1111"/>
      <c r="C3" s="1111"/>
      <c r="D3" s="1111"/>
      <c r="E3" s="1111"/>
      <c r="F3" s="1111"/>
      <c r="G3" s="2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19"/>
      <c r="F4" s="1120"/>
      <c r="G4" s="2"/>
    </row>
    <row r="5" spans="1:7" ht="22.5" customHeight="1" x14ac:dyDescent="0.3">
      <c r="A5" s="1113"/>
      <c r="B5" s="1113"/>
      <c r="C5" s="1116"/>
      <c r="D5" s="1121" t="s">
        <v>10</v>
      </c>
      <c r="E5" s="882"/>
      <c r="F5" s="667"/>
      <c r="G5" s="2"/>
    </row>
    <row r="6" spans="1:7" ht="22.5" customHeight="1" x14ac:dyDescent="0.3">
      <c r="A6" s="1114"/>
      <c r="B6" s="1114"/>
      <c r="C6" s="1117"/>
      <c r="D6" s="1122"/>
      <c r="E6" s="883" t="s">
        <v>937</v>
      </c>
      <c r="F6" s="10" t="s">
        <v>15</v>
      </c>
      <c r="G6" s="2"/>
    </row>
    <row r="7" spans="1:7" ht="22.5" customHeight="1" x14ac:dyDescent="0.3">
      <c r="A7" s="4"/>
      <c r="B7" s="942" t="s">
        <v>799</v>
      </c>
      <c r="C7" s="668"/>
      <c r="D7" s="784"/>
      <c r="E7" s="784"/>
      <c r="F7" s="173"/>
      <c r="G7" s="2"/>
    </row>
    <row r="8" spans="1:7" ht="22.5" customHeight="1" x14ac:dyDescent="0.3">
      <c r="A8" s="23">
        <v>1</v>
      </c>
      <c r="B8" s="73" t="s">
        <v>45</v>
      </c>
      <c r="C8" s="25" t="s">
        <v>46</v>
      </c>
      <c r="D8" s="33" t="s">
        <v>1427</v>
      </c>
      <c r="E8" s="747" t="s">
        <v>33</v>
      </c>
      <c r="F8" s="36">
        <v>1027.1999999999998</v>
      </c>
      <c r="G8" s="2"/>
    </row>
    <row r="9" spans="1:7" ht="22.5" customHeight="1" x14ac:dyDescent="0.3">
      <c r="A9" s="23">
        <v>2</v>
      </c>
      <c r="B9" s="73" t="s">
        <v>48</v>
      </c>
      <c r="C9" s="25" t="s">
        <v>49</v>
      </c>
      <c r="D9" s="33" t="s">
        <v>1427</v>
      </c>
      <c r="E9" s="747" t="s">
        <v>33</v>
      </c>
      <c r="F9" s="36">
        <v>2551.9499999999985</v>
      </c>
      <c r="G9" s="2"/>
    </row>
    <row r="10" spans="1:7" ht="22.5" customHeight="1" x14ac:dyDescent="0.3">
      <c r="A10" s="23">
        <v>3</v>
      </c>
      <c r="B10" s="73" t="s">
        <v>51</v>
      </c>
      <c r="C10" s="25" t="s">
        <v>52</v>
      </c>
      <c r="D10" s="33" t="s">
        <v>1427</v>
      </c>
      <c r="E10" s="747" t="s">
        <v>33</v>
      </c>
      <c r="F10" s="36">
        <v>4670.5500000000029</v>
      </c>
      <c r="G10" s="2"/>
    </row>
    <row r="11" spans="1:7" ht="22.5" customHeight="1" x14ac:dyDescent="0.5">
      <c r="A11" s="23">
        <v>4</v>
      </c>
      <c r="B11" s="73" t="s">
        <v>96</v>
      </c>
      <c r="C11" s="25" t="s">
        <v>97</v>
      </c>
      <c r="D11" s="215" t="s">
        <v>1427</v>
      </c>
      <c r="E11" s="215" t="s">
        <v>33</v>
      </c>
      <c r="F11" s="217">
        <v>13899.299999999996</v>
      </c>
      <c r="G11" s="2"/>
    </row>
    <row r="12" spans="1:7" ht="22.5" customHeight="1" x14ac:dyDescent="0.5">
      <c r="A12" s="23">
        <v>5</v>
      </c>
      <c r="B12" s="73" t="s">
        <v>99</v>
      </c>
      <c r="C12" s="25" t="s">
        <v>100</v>
      </c>
      <c r="D12" s="215" t="s">
        <v>1427</v>
      </c>
      <c r="E12" s="215" t="s">
        <v>33</v>
      </c>
      <c r="F12" s="217">
        <v>5103.8999999999996</v>
      </c>
      <c r="G12" s="2"/>
    </row>
    <row r="13" spans="1:7" ht="22.5" customHeight="1" x14ac:dyDescent="0.5">
      <c r="A13" s="23">
        <v>6</v>
      </c>
      <c r="B13" s="24" t="s">
        <v>102</v>
      </c>
      <c r="C13" s="222" t="s">
        <v>100</v>
      </c>
      <c r="D13" s="215" t="s">
        <v>1427</v>
      </c>
      <c r="E13" s="215" t="s">
        <v>33</v>
      </c>
      <c r="F13" s="217">
        <v>246.1</v>
      </c>
      <c r="G13" s="2"/>
    </row>
    <row r="14" spans="1:7" ht="22.5" customHeight="1" x14ac:dyDescent="0.5">
      <c r="A14" s="23">
        <v>7</v>
      </c>
      <c r="B14" s="73" t="s">
        <v>103</v>
      </c>
      <c r="C14" s="25" t="s">
        <v>97</v>
      </c>
      <c r="D14" s="215" t="s">
        <v>1427</v>
      </c>
      <c r="E14" s="215" t="s">
        <v>33</v>
      </c>
      <c r="F14" s="217">
        <v>6505.6000000000013</v>
      </c>
      <c r="G14" s="2"/>
    </row>
    <row r="15" spans="1:7" ht="22.5" customHeight="1" x14ac:dyDescent="0.5">
      <c r="A15" s="23">
        <v>8</v>
      </c>
      <c r="B15" s="73" t="s">
        <v>104</v>
      </c>
      <c r="C15" s="25" t="s">
        <v>97</v>
      </c>
      <c r="D15" s="215" t="s">
        <v>1427</v>
      </c>
      <c r="E15" s="215" t="s">
        <v>33</v>
      </c>
      <c r="F15" s="217">
        <v>18061.599999999999</v>
      </c>
      <c r="G15" s="2"/>
    </row>
    <row r="16" spans="1:7" ht="22.5" customHeight="1" x14ac:dyDescent="0.5">
      <c r="A16" s="23">
        <v>9</v>
      </c>
      <c r="B16" s="73" t="s">
        <v>105</v>
      </c>
      <c r="C16" s="25" t="s">
        <v>97</v>
      </c>
      <c r="D16" s="215" t="s">
        <v>1427</v>
      </c>
      <c r="E16" s="215" t="s">
        <v>33</v>
      </c>
      <c r="F16" s="217">
        <v>11352.700000000008</v>
      </c>
      <c r="G16" s="2"/>
    </row>
    <row r="17" spans="1:7" ht="22.5" customHeight="1" x14ac:dyDescent="0.5">
      <c r="A17" s="23">
        <v>10</v>
      </c>
      <c r="B17" s="209" t="s">
        <v>109</v>
      </c>
      <c r="C17" s="210" t="s">
        <v>97</v>
      </c>
      <c r="D17" s="215" t="s">
        <v>1427</v>
      </c>
      <c r="E17" s="215" t="s">
        <v>33</v>
      </c>
      <c r="F17" s="217">
        <v>45047</v>
      </c>
      <c r="G17" s="218"/>
    </row>
    <row r="18" spans="1:7" ht="22.5" customHeight="1" x14ac:dyDescent="0.5">
      <c r="A18" s="23">
        <v>11</v>
      </c>
      <c r="B18" s="73" t="s">
        <v>121</v>
      </c>
      <c r="C18" s="210" t="s">
        <v>122</v>
      </c>
      <c r="D18" s="215" t="s">
        <v>1427</v>
      </c>
      <c r="E18" s="215" t="s">
        <v>33</v>
      </c>
      <c r="F18" s="217">
        <v>2311.199999999998</v>
      </c>
      <c r="G18" s="2"/>
    </row>
    <row r="19" spans="1:7" ht="22.5" customHeight="1" x14ac:dyDescent="0.5">
      <c r="A19" s="23">
        <v>12</v>
      </c>
      <c r="B19" s="73" t="s">
        <v>121</v>
      </c>
      <c r="C19" s="83" t="s">
        <v>122</v>
      </c>
      <c r="D19" s="215" t="s">
        <v>1427</v>
      </c>
      <c r="E19" s="215" t="s">
        <v>33</v>
      </c>
      <c r="F19" s="217">
        <v>6644.7</v>
      </c>
      <c r="G19" s="223"/>
    </row>
    <row r="20" spans="1:7" ht="22.5" customHeight="1" x14ac:dyDescent="0.5">
      <c r="A20" s="23">
        <v>13</v>
      </c>
      <c r="B20" s="73" t="s">
        <v>129</v>
      </c>
      <c r="C20" s="83" t="s">
        <v>130</v>
      </c>
      <c r="D20" s="215" t="s">
        <v>1427</v>
      </c>
      <c r="E20" s="215" t="s">
        <v>33</v>
      </c>
      <c r="F20" s="217">
        <v>5810.1</v>
      </c>
      <c r="G20" s="223"/>
    </row>
    <row r="21" spans="1:7" ht="22.5" customHeight="1" x14ac:dyDescent="0.5">
      <c r="A21" s="23">
        <v>14</v>
      </c>
      <c r="B21" s="78" t="s">
        <v>132</v>
      </c>
      <c r="C21" s="210" t="s">
        <v>130</v>
      </c>
      <c r="D21" s="215" t="s">
        <v>1427</v>
      </c>
      <c r="E21" s="215" t="s">
        <v>33</v>
      </c>
      <c r="F21" s="217">
        <v>10518.099999999993</v>
      </c>
      <c r="G21" s="2"/>
    </row>
    <row r="22" spans="1:7" ht="22.5" customHeight="1" x14ac:dyDescent="0.5">
      <c r="A22" s="23">
        <v>15</v>
      </c>
      <c r="B22" s="78" t="s">
        <v>137</v>
      </c>
      <c r="C22" s="741"/>
      <c r="D22" s="215" t="s">
        <v>1427</v>
      </c>
      <c r="E22" s="215" t="s">
        <v>33</v>
      </c>
      <c r="F22" s="217">
        <v>4269.3</v>
      </c>
      <c r="G22" s="2"/>
    </row>
    <row r="23" spans="1:7" s="229" customFormat="1" ht="22.5" customHeight="1" x14ac:dyDescent="0.5">
      <c r="A23" s="23">
        <v>16</v>
      </c>
      <c r="B23" s="78" t="s">
        <v>144</v>
      </c>
      <c r="C23" s="81" t="s">
        <v>145</v>
      </c>
      <c r="D23" s="215" t="s">
        <v>1427</v>
      </c>
      <c r="E23" s="215" t="s">
        <v>33</v>
      </c>
      <c r="F23" s="217">
        <v>256.79999999999956</v>
      </c>
      <c r="G23" s="47"/>
    </row>
    <row r="24" spans="1:7" ht="22.5" customHeight="1" x14ac:dyDescent="0.5">
      <c r="A24" s="23">
        <v>17</v>
      </c>
      <c r="B24" s="240" t="s">
        <v>162</v>
      </c>
      <c r="C24" s="83" t="s">
        <v>163</v>
      </c>
      <c r="D24" s="215" t="s">
        <v>1427</v>
      </c>
      <c r="E24" s="215" t="s">
        <v>33</v>
      </c>
      <c r="F24" s="217">
        <v>2161.3999999999965</v>
      </c>
      <c r="G24" s="2"/>
    </row>
    <row r="25" spans="1:7" ht="22.5" customHeight="1" x14ac:dyDescent="0.5">
      <c r="A25" s="23">
        <v>18</v>
      </c>
      <c r="B25" s="240" t="s">
        <v>168</v>
      </c>
      <c r="C25" s="83" t="s">
        <v>169</v>
      </c>
      <c r="D25" s="215" t="s">
        <v>1427</v>
      </c>
      <c r="E25" s="215" t="s">
        <v>33</v>
      </c>
      <c r="F25" s="217">
        <v>3391.9</v>
      </c>
      <c r="G25" s="2"/>
    </row>
    <row r="26" spans="1:7" ht="22.5" customHeight="1" x14ac:dyDescent="0.5">
      <c r="A26" s="23">
        <v>19</v>
      </c>
      <c r="B26" s="243" t="s">
        <v>175</v>
      </c>
      <c r="C26" s="244" t="s">
        <v>176</v>
      </c>
      <c r="D26" s="215" t="s">
        <v>1427</v>
      </c>
      <c r="E26" s="215" t="s">
        <v>33</v>
      </c>
      <c r="F26" s="217">
        <v>5713.7999999999993</v>
      </c>
      <c r="G26" s="2"/>
    </row>
    <row r="27" spans="1:7" ht="22.5" customHeight="1" x14ac:dyDescent="0.5">
      <c r="A27" s="23">
        <v>20</v>
      </c>
      <c r="B27" s="209" t="s">
        <v>181</v>
      </c>
      <c r="C27" s="210" t="s">
        <v>182</v>
      </c>
      <c r="D27" s="215" t="s">
        <v>1427</v>
      </c>
      <c r="E27" s="215" t="s">
        <v>33</v>
      </c>
      <c r="F27" s="217">
        <v>663.4</v>
      </c>
      <c r="G27" s="2"/>
    </row>
    <row r="28" spans="1:7" ht="22.5" customHeight="1" x14ac:dyDescent="0.5">
      <c r="A28" s="23">
        <v>21</v>
      </c>
      <c r="B28" s="209" t="s">
        <v>191</v>
      </c>
      <c r="C28" s="210" t="s">
        <v>190</v>
      </c>
      <c r="D28" s="215" t="s">
        <v>1427</v>
      </c>
      <c r="E28" s="215" t="s">
        <v>33</v>
      </c>
      <c r="F28" s="217">
        <v>13706.700000000003</v>
      </c>
      <c r="G28" s="2"/>
    </row>
    <row r="29" spans="1:7" ht="22.5" customHeight="1" x14ac:dyDescent="0.5">
      <c r="A29" s="23">
        <v>22</v>
      </c>
      <c r="B29" s="209" t="s">
        <v>193</v>
      </c>
      <c r="C29" s="210" t="s">
        <v>194</v>
      </c>
      <c r="D29" s="215" t="s">
        <v>1427</v>
      </c>
      <c r="E29" s="215" t="s">
        <v>33</v>
      </c>
      <c r="F29" s="217">
        <v>695.50000000000034</v>
      </c>
      <c r="G29" s="2"/>
    </row>
    <row r="30" spans="1:7" ht="22.5" customHeight="1" x14ac:dyDescent="0.5">
      <c r="A30" s="23">
        <v>23</v>
      </c>
      <c r="B30" s="209" t="s">
        <v>198</v>
      </c>
      <c r="C30" s="210" t="s">
        <v>567</v>
      </c>
      <c r="D30" s="215" t="s">
        <v>1427</v>
      </c>
      <c r="E30" s="215" t="s">
        <v>33</v>
      </c>
      <c r="F30" s="217">
        <v>1369.5999999999997</v>
      </c>
      <c r="G30" s="2"/>
    </row>
    <row r="31" spans="1:7" ht="22.5" customHeight="1" x14ac:dyDescent="0.5">
      <c r="A31" s="23">
        <v>24</v>
      </c>
      <c r="B31" s="209" t="s">
        <v>208</v>
      </c>
      <c r="C31" s="210"/>
      <c r="D31" s="215" t="s">
        <v>1427</v>
      </c>
      <c r="E31" s="215" t="s">
        <v>33</v>
      </c>
      <c r="F31" s="217">
        <v>4697.2999999999975</v>
      </c>
      <c r="G31" s="2"/>
    </row>
    <row r="32" spans="1:7" ht="22.5" customHeight="1" x14ac:dyDescent="0.5">
      <c r="A32" s="23">
        <v>25</v>
      </c>
      <c r="B32" s="209" t="s">
        <v>210</v>
      </c>
      <c r="C32" s="210" t="s">
        <v>211</v>
      </c>
      <c r="D32" s="215" t="s">
        <v>1427</v>
      </c>
      <c r="E32" s="215" t="s">
        <v>33</v>
      </c>
      <c r="F32" s="217">
        <v>6345.1000000000013</v>
      </c>
      <c r="G32" s="2"/>
    </row>
    <row r="33" spans="1:7" ht="22.5" customHeight="1" x14ac:dyDescent="0.5">
      <c r="A33" s="23">
        <v>26</v>
      </c>
      <c r="B33" s="209" t="s">
        <v>217</v>
      </c>
      <c r="C33" s="210" t="s">
        <v>218</v>
      </c>
      <c r="D33" s="239" t="s">
        <v>1427</v>
      </c>
      <c r="E33" s="239" t="s">
        <v>33</v>
      </c>
      <c r="F33" s="217">
        <v>3274.2</v>
      </c>
      <c r="G33" s="2"/>
    </row>
    <row r="34" spans="1:7" ht="22.5" customHeight="1" x14ac:dyDescent="0.5">
      <c r="A34" s="23">
        <v>27</v>
      </c>
      <c r="B34" s="916" t="s">
        <v>224</v>
      </c>
      <c r="C34" s="916" t="s">
        <v>225</v>
      </c>
      <c r="D34" s="239" t="s">
        <v>1427</v>
      </c>
      <c r="E34" s="239" t="s">
        <v>33</v>
      </c>
      <c r="F34" s="217">
        <v>620.60000000000014</v>
      </c>
      <c r="G34" s="2"/>
    </row>
    <row r="35" spans="1:7" ht="22.5" customHeight="1" x14ac:dyDescent="0.5">
      <c r="A35" s="23">
        <v>28</v>
      </c>
      <c r="B35" s="261" t="s">
        <v>226</v>
      </c>
      <c r="C35" s="261" t="s">
        <v>227</v>
      </c>
      <c r="D35" s="215" t="s">
        <v>1427</v>
      </c>
      <c r="E35" s="215" t="s">
        <v>33</v>
      </c>
      <c r="F35" s="217">
        <v>4354.8999999999996</v>
      </c>
      <c r="G35" s="2"/>
    </row>
    <row r="36" spans="1:7" ht="22.5" customHeight="1" x14ac:dyDescent="0.5">
      <c r="A36" s="23">
        <v>29</v>
      </c>
      <c r="B36" s="265" t="s">
        <v>229</v>
      </c>
      <c r="C36" s="265" t="s">
        <v>230</v>
      </c>
      <c r="D36" s="215" t="s">
        <v>1427</v>
      </c>
      <c r="E36" s="215" t="s">
        <v>33</v>
      </c>
      <c r="F36" s="217">
        <v>8260.4</v>
      </c>
      <c r="G36" s="2"/>
    </row>
    <row r="37" spans="1:7" ht="22.5" customHeight="1" x14ac:dyDescent="0.5">
      <c r="A37" s="23">
        <v>30</v>
      </c>
      <c r="B37" s="265" t="s">
        <v>1489</v>
      </c>
      <c r="C37" s="265" t="s">
        <v>567</v>
      </c>
      <c r="D37" s="273" t="s">
        <v>1427</v>
      </c>
      <c r="E37" s="273" t="s">
        <v>33</v>
      </c>
      <c r="F37" s="217">
        <v>2204.1999999999998</v>
      </c>
      <c r="G37" s="2"/>
    </row>
    <row r="38" spans="1:7" ht="22.5" customHeight="1" x14ac:dyDescent="0.5">
      <c r="A38" s="23">
        <v>31</v>
      </c>
      <c r="B38" s="265" t="s">
        <v>1490</v>
      </c>
      <c r="C38" s="265" t="s">
        <v>567</v>
      </c>
      <c r="D38" s="675" t="s">
        <v>1427</v>
      </c>
      <c r="E38" s="675" t="s">
        <v>33</v>
      </c>
      <c r="F38" s="217">
        <v>2204.1999999999998</v>
      </c>
      <c r="G38" s="2"/>
    </row>
    <row r="39" spans="1:7" ht="22.5" customHeight="1" x14ac:dyDescent="0.5">
      <c r="A39" s="23">
        <v>32</v>
      </c>
      <c r="B39" s="189" t="s">
        <v>240</v>
      </c>
      <c r="C39" s="176" t="s">
        <v>241</v>
      </c>
      <c r="D39" s="941" t="s">
        <v>1427</v>
      </c>
      <c r="E39" s="941" t="s">
        <v>33</v>
      </c>
      <c r="F39" s="36">
        <v>15750</v>
      </c>
      <c r="G39" s="2"/>
    </row>
    <row r="40" spans="1:7" ht="22.5" customHeight="1" x14ac:dyDescent="0.5">
      <c r="A40" s="23">
        <v>33</v>
      </c>
      <c r="B40" s="73" t="s">
        <v>240</v>
      </c>
      <c r="C40" s="25" t="s">
        <v>242</v>
      </c>
      <c r="D40" s="297" t="s">
        <v>1427</v>
      </c>
      <c r="E40" s="297" t="s">
        <v>33</v>
      </c>
      <c r="F40" s="36">
        <v>6300</v>
      </c>
      <c r="G40" s="2"/>
    </row>
    <row r="41" spans="1:7" ht="22.5" customHeight="1" x14ac:dyDescent="0.5">
      <c r="A41" s="23">
        <v>34</v>
      </c>
      <c r="B41" s="209" t="s">
        <v>250</v>
      </c>
      <c r="C41" s="210" t="s">
        <v>251</v>
      </c>
      <c r="D41" s="215" t="s">
        <v>1427</v>
      </c>
      <c r="E41" s="215" t="s">
        <v>33</v>
      </c>
      <c r="F41" s="36">
        <v>6300</v>
      </c>
      <c r="G41" s="2"/>
    </row>
    <row r="42" spans="1:7" ht="22.5" customHeight="1" x14ac:dyDescent="0.5">
      <c r="A42" s="23">
        <v>35</v>
      </c>
      <c r="B42" s="73" t="s">
        <v>261</v>
      </c>
      <c r="C42" s="25" t="s">
        <v>262</v>
      </c>
      <c r="D42" s="215" t="s">
        <v>1427</v>
      </c>
      <c r="E42" s="215" t="s">
        <v>33</v>
      </c>
      <c r="F42" s="36">
        <v>5600</v>
      </c>
      <c r="G42" s="2"/>
    </row>
    <row r="43" spans="1:7" ht="22.5" customHeight="1" x14ac:dyDescent="0.5">
      <c r="A43" s="23">
        <v>36</v>
      </c>
      <c r="B43" s="73" t="s">
        <v>264</v>
      </c>
      <c r="C43" s="25" t="s">
        <v>265</v>
      </c>
      <c r="D43" s="215" t="s">
        <v>1427</v>
      </c>
      <c r="E43" s="215" t="s">
        <v>33</v>
      </c>
      <c r="F43" s="36">
        <v>5600</v>
      </c>
      <c r="G43" s="218"/>
    </row>
    <row r="44" spans="1:7" ht="22.5" customHeight="1" x14ac:dyDescent="0.5">
      <c r="A44" s="23">
        <v>37</v>
      </c>
      <c r="B44" s="73" t="s">
        <v>261</v>
      </c>
      <c r="C44" s="25" t="s">
        <v>273</v>
      </c>
      <c r="D44" s="215" t="s">
        <v>1427</v>
      </c>
      <c r="E44" s="215" t="s">
        <v>33</v>
      </c>
      <c r="F44" s="36">
        <v>9450</v>
      </c>
    </row>
    <row r="45" spans="1:7" ht="22.5" customHeight="1" x14ac:dyDescent="0.5">
      <c r="A45" s="23">
        <v>38</v>
      </c>
      <c r="B45" s="73" t="s">
        <v>281</v>
      </c>
      <c r="C45" s="25" t="s">
        <v>282</v>
      </c>
      <c r="D45" s="215" t="s">
        <v>1427</v>
      </c>
      <c r="E45" s="215" t="s">
        <v>33</v>
      </c>
      <c r="F45" s="36">
        <v>5600</v>
      </c>
    </row>
    <row r="46" spans="1:7" ht="22.5" customHeight="1" x14ac:dyDescent="0.5">
      <c r="A46" s="23">
        <v>39</v>
      </c>
      <c r="B46" s="209" t="s">
        <v>300</v>
      </c>
      <c r="C46" s="210" t="s">
        <v>301</v>
      </c>
      <c r="D46" s="215" t="s">
        <v>1427</v>
      </c>
      <c r="E46" s="215" t="s">
        <v>33</v>
      </c>
      <c r="F46" s="36">
        <v>5600</v>
      </c>
    </row>
    <row r="47" spans="1:7" ht="22.5" customHeight="1" x14ac:dyDescent="0.5">
      <c r="A47" s="23">
        <v>40</v>
      </c>
      <c r="B47" s="73" t="s">
        <v>261</v>
      </c>
      <c r="C47" s="25" t="s">
        <v>311</v>
      </c>
      <c r="D47" s="215" t="s">
        <v>1427</v>
      </c>
      <c r="E47" s="215" t="s">
        <v>33</v>
      </c>
      <c r="F47" s="36">
        <v>2800</v>
      </c>
      <c r="G47" s="2"/>
    </row>
    <row r="48" spans="1:7" ht="22.5" customHeight="1" x14ac:dyDescent="0.5">
      <c r="A48" s="23">
        <v>41</v>
      </c>
      <c r="B48" s="310" t="s">
        <v>261</v>
      </c>
      <c r="C48" s="311" t="s">
        <v>312</v>
      </c>
      <c r="D48" s="215" t="s">
        <v>1427</v>
      </c>
      <c r="E48" s="215" t="s">
        <v>33</v>
      </c>
      <c r="F48" s="36">
        <v>2800</v>
      </c>
      <c r="G48" s="2"/>
    </row>
    <row r="49" spans="1:8" ht="22.5" customHeight="1" x14ac:dyDescent="0.5">
      <c r="A49" s="23">
        <v>42</v>
      </c>
      <c r="B49" s="73" t="s">
        <v>261</v>
      </c>
      <c r="C49" s="25" t="s">
        <v>316</v>
      </c>
      <c r="D49" s="215" t="s">
        <v>1427</v>
      </c>
      <c r="E49" s="215" t="s">
        <v>33</v>
      </c>
      <c r="F49" s="36">
        <v>2800</v>
      </c>
    </row>
    <row r="50" spans="1:8" ht="22.5" customHeight="1" x14ac:dyDescent="0.5">
      <c r="A50" s="23">
        <v>43</v>
      </c>
      <c r="B50" s="290" t="s">
        <v>353</v>
      </c>
      <c r="C50" s="371" t="s">
        <v>354</v>
      </c>
      <c r="D50" s="215" t="s">
        <v>1427</v>
      </c>
      <c r="E50" s="215" t="s">
        <v>33</v>
      </c>
      <c r="F50" s="36">
        <v>11000</v>
      </c>
    </row>
    <row r="51" spans="1:8" ht="22.5" customHeight="1" x14ac:dyDescent="0.5">
      <c r="A51" s="23">
        <v>44</v>
      </c>
      <c r="B51" s="290" t="s">
        <v>355</v>
      </c>
      <c r="C51" s="371" t="s">
        <v>356</v>
      </c>
      <c r="D51" s="215" t="s">
        <v>1427</v>
      </c>
      <c r="E51" s="215" t="s">
        <v>33</v>
      </c>
      <c r="F51" s="36">
        <v>9400</v>
      </c>
    </row>
    <row r="52" spans="1:8" ht="22.5" customHeight="1" x14ac:dyDescent="0.5">
      <c r="A52" s="23">
        <v>45</v>
      </c>
      <c r="B52" s="374" t="s">
        <v>358</v>
      </c>
      <c r="C52" s="375" t="s">
        <v>356</v>
      </c>
      <c r="D52" s="239" t="s">
        <v>1427</v>
      </c>
      <c r="E52" s="943" t="s">
        <v>33</v>
      </c>
      <c r="F52" s="340">
        <v>9810</v>
      </c>
    </row>
    <row r="53" spans="1:8" ht="22.5" customHeight="1" thickBot="1" x14ac:dyDescent="0.55000000000000004">
      <c r="A53" s="905"/>
      <c r="B53" s="834"/>
      <c r="C53" s="936"/>
      <c r="D53" s="781"/>
      <c r="E53" s="945"/>
      <c r="F53" s="840">
        <f>SUM(F8:F52)</f>
        <v>296749.3</v>
      </c>
      <c r="H53" s="790">
        <f>SUM(F53)</f>
        <v>296749.3</v>
      </c>
    </row>
    <row r="54" spans="1:8" ht="22.5" customHeight="1" thickTop="1" x14ac:dyDescent="0.5">
      <c r="A54" s="61"/>
      <c r="B54" s="946" t="s">
        <v>800</v>
      </c>
      <c r="C54" s="935"/>
      <c r="D54" s="831"/>
      <c r="E54" s="944"/>
      <c r="F54" s="72"/>
    </row>
    <row r="55" spans="1:8" ht="22.5" customHeight="1" x14ac:dyDescent="0.5">
      <c r="A55" s="208">
        <v>1</v>
      </c>
      <c r="B55" s="73" t="s">
        <v>112</v>
      </c>
      <c r="C55" s="25" t="s">
        <v>113</v>
      </c>
      <c r="D55" s="215" t="s">
        <v>1454</v>
      </c>
      <c r="E55" s="215" t="s">
        <v>115</v>
      </c>
      <c r="F55" s="217">
        <v>4237.2000000000007</v>
      </c>
    </row>
    <row r="56" spans="1:8" ht="22.5" customHeight="1" x14ac:dyDescent="0.5">
      <c r="A56" s="331">
        <v>2</v>
      </c>
      <c r="B56" s="78" t="s">
        <v>248</v>
      </c>
      <c r="C56" s="81" t="s">
        <v>249</v>
      </c>
      <c r="D56" s="239" t="s">
        <v>1454</v>
      </c>
      <c r="E56" s="239" t="s">
        <v>115</v>
      </c>
      <c r="F56" s="340">
        <v>12600</v>
      </c>
    </row>
    <row r="57" spans="1:8" ht="22.5" customHeight="1" thickBot="1" x14ac:dyDescent="0.55000000000000004">
      <c r="A57" s="905"/>
      <c r="B57" s="839"/>
      <c r="C57" s="835"/>
      <c r="D57" s="847"/>
      <c r="E57" s="847"/>
      <c r="F57" s="840">
        <f>SUM(F55:F56)</f>
        <v>16837.2</v>
      </c>
      <c r="H57" s="790">
        <f>SUM(F57)</f>
        <v>16837.2</v>
      </c>
    </row>
    <row r="58" spans="1:8" ht="22.5" customHeight="1" thickTop="1" x14ac:dyDescent="0.5">
      <c r="A58" s="115"/>
      <c r="B58" s="412" t="s">
        <v>801</v>
      </c>
      <c r="C58" s="165"/>
      <c r="D58" s="675"/>
      <c r="E58" s="675"/>
      <c r="F58" s="72"/>
    </row>
    <row r="59" spans="1:8" ht="22.5" customHeight="1" x14ac:dyDescent="0.5">
      <c r="A59" s="331">
        <v>1</v>
      </c>
      <c r="B59" s="240" t="s">
        <v>200</v>
      </c>
      <c r="C59" s="83" t="s">
        <v>1544</v>
      </c>
      <c r="D59" s="239" t="s">
        <v>1477</v>
      </c>
      <c r="E59" s="236" t="s">
        <v>286</v>
      </c>
      <c r="F59" s="761">
        <v>12518.999999999996</v>
      </c>
      <c r="G59" s="2"/>
    </row>
    <row r="60" spans="1:8" ht="22.5" customHeight="1" thickBot="1" x14ac:dyDescent="0.55000000000000004">
      <c r="A60" s="905"/>
      <c r="B60" s="947"/>
      <c r="C60" s="835"/>
      <c r="D60" s="847"/>
      <c r="E60" s="847"/>
      <c r="F60" s="840">
        <f>SUM(F59)</f>
        <v>12518.999999999996</v>
      </c>
      <c r="H60" s="790">
        <f>SUM(F60)</f>
        <v>12518.999999999996</v>
      </c>
    </row>
    <row r="61" spans="1:8" ht="22.5" customHeight="1" thickTop="1" x14ac:dyDescent="0.5">
      <c r="A61" s="115"/>
      <c r="B61" s="412" t="s">
        <v>1410</v>
      </c>
      <c r="C61" s="165"/>
      <c r="D61" s="675"/>
      <c r="E61" s="675"/>
      <c r="F61" s="72"/>
    </row>
    <row r="62" spans="1:8" ht="22.5" customHeight="1" x14ac:dyDescent="0.3">
      <c r="A62" s="61">
        <v>1</v>
      </c>
      <c r="B62" s="838" t="s">
        <v>281</v>
      </c>
      <c r="C62" s="63" t="s">
        <v>1374</v>
      </c>
      <c r="D62" s="69" t="s">
        <v>1336</v>
      </c>
      <c r="E62" s="117"/>
      <c r="F62" s="72">
        <v>1266.8800000000001</v>
      </c>
    </row>
    <row r="63" spans="1:8" ht="22.5" customHeight="1" x14ac:dyDescent="0.3">
      <c r="A63" s="61">
        <v>2</v>
      </c>
      <c r="B63" s="838" t="s">
        <v>1380</v>
      </c>
      <c r="C63" s="63" t="s">
        <v>1546</v>
      </c>
      <c r="D63" s="69" t="s">
        <v>1336</v>
      </c>
      <c r="E63" s="117"/>
      <c r="F63" s="72">
        <v>1266.8800000000001</v>
      </c>
    </row>
    <row r="64" spans="1:8" ht="22.5" customHeight="1" x14ac:dyDescent="0.3">
      <c r="A64" s="61">
        <v>3</v>
      </c>
      <c r="B64" s="290" t="s">
        <v>463</v>
      </c>
      <c r="C64" s="63" t="s">
        <v>1545</v>
      </c>
      <c r="D64" s="69" t="s">
        <v>795</v>
      </c>
      <c r="E64" s="69"/>
      <c r="F64" s="387">
        <v>1064.44</v>
      </c>
    </row>
    <row r="65" spans="1:10" ht="22.5" customHeight="1" thickBot="1" x14ac:dyDescent="0.35">
      <c r="A65" s="61">
        <v>4</v>
      </c>
      <c r="B65" s="290" t="s">
        <v>495</v>
      </c>
      <c r="C65" s="25" t="s">
        <v>496</v>
      </c>
      <c r="D65" s="41" t="s">
        <v>795</v>
      </c>
      <c r="E65" s="41"/>
      <c r="F65" s="387">
        <v>20595.900000000001</v>
      </c>
      <c r="I65" s="790">
        <f>SUM(H53:H66)</f>
        <v>350299.6</v>
      </c>
    </row>
    <row r="66" spans="1:10" s="60" customFormat="1" ht="22.5" customHeight="1" thickTop="1" thickBot="1" x14ac:dyDescent="0.35">
      <c r="A66" s="917"/>
      <c r="B66" s="918"/>
      <c r="C66" s="919"/>
      <c r="D66" s="920">
        <v>0</v>
      </c>
      <c r="E66" s="920"/>
      <c r="F66" s="920">
        <f>SUM(F62:F65)</f>
        <v>24194.100000000002</v>
      </c>
      <c r="H66" s="59">
        <f>SUM(F66)</f>
        <v>24194.100000000002</v>
      </c>
      <c r="I66" s="939">
        <v>350299.60000000003</v>
      </c>
      <c r="J66" s="60" t="s">
        <v>670</v>
      </c>
    </row>
    <row r="67" spans="1:10" ht="22.5" customHeight="1" thickTop="1" x14ac:dyDescent="0.3">
      <c r="D67" s="3"/>
      <c r="E67" s="3"/>
      <c r="F67" s="472"/>
    </row>
    <row r="68" spans="1:10" ht="22.5" customHeight="1" x14ac:dyDescent="0.3">
      <c r="A68" s="1123" t="s">
        <v>671</v>
      </c>
      <c r="B68" s="1124"/>
      <c r="C68" s="1124"/>
      <c r="D68" s="1124"/>
      <c r="E68" s="1124"/>
      <c r="F68" s="1125"/>
      <c r="G68" s="2"/>
    </row>
    <row r="69" spans="1:10" ht="22.5" customHeight="1" x14ac:dyDescent="0.3">
      <c r="A69" s="115"/>
      <c r="B69" s="164" t="s">
        <v>499</v>
      </c>
      <c r="C69" s="165"/>
      <c r="D69" s="117"/>
      <c r="E69" s="117"/>
      <c r="F69" s="370"/>
      <c r="G69" s="2"/>
    </row>
    <row r="70" spans="1:10" ht="22.5" customHeight="1" x14ac:dyDescent="0.3">
      <c r="A70" s="475">
        <v>1</v>
      </c>
      <c r="B70" s="489" t="s">
        <v>1397</v>
      </c>
      <c r="C70" s="498"/>
      <c r="D70" s="484"/>
      <c r="E70" s="892"/>
      <c r="F70" s="497">
        <v>325409.68</v>
      </c>
      <c r="G70" s="2"/>
    </row>
    <row r="71" spans="1:10" ht="22.5" customHeight="1" x14ac:dyDescent="0.3">
      <c r="A71" s="502"/>
      <c r="B71" s="503" t="s">
        <v>1399</v>
      </c>
      <c r="C71" s="504"/>
      <c r="D71" s="509"/>
      <c r="E71" s="893"/>
      <c r="F71" s="513"/>
      <c r="G71" s="2"/>
    </row>
    <row r="72" spans="1:10" ht="22.5" customHeight="1" x14ac:dyDescent="0.3">
      <c r="A72" s="488"/>
      <c r="B72" s="489" t="s">
        <v>1400</v>
      </c>
      <c r="C72" s="514"/>
      <c r="D72" s="520"/>
      <c r="E72" s="520"/>
      <c r="F72" s="524"/>
    </row>
    <row r="73" spans="1:10" ht="22.5" customHeight="1" x14ac:dyDescent="0.3">
      <c r="A73" s="488">
        <v>2</v>
      </c>
      <c r="B73" s="525" t="s">
        <v>1401</v>
      </c>
      <c r="C73" s="526"/>
      <c r="D73" s="521"/>
      <c r="E73" s="529"/>
      <c r="F73" s="532">
        <v>108369.18</v>
      </c>
    </row>
    <row r="74" spans="1:10" ht="22.5" customHeight="1" x14ac:dyDescent="0.3">
      <c r="A74" s="488"/>
      <c r="B74" s="525" t="s">
        <v>1402</v>
      </c>
      <c r="C74" s="526"/>
      <c r="D74" s="521"/>
      <c r="E74" s="529"/>
      <c r="F74" s="532"/>
    </row>
    <row r="75" spans="1:10" ht="22.5" customHeight="1" x14ac:dyDescent="0.3">
      <c r="A75" s="737"/>
      <c r="B75" s="525" t="s">
        <v>1403</v>
      </c>
      <c r="C75" s="526"/>
      <c r="D75" s="521"/>
      <c r="E75" s="521"/>
      <c r="F75" s="932"/>
    </row>
    <row r="76" spans="1:10" ht="22.5" customHeight="1" x14ac:dyDescent="0.3">
      <c r="A76" s="737">
        <v>3</v>
      </c>
      <c r="B76" s="525" t="s">
        <v>1404</v>
      </c>
      <c r="C76" s="526"/>
      <c r="D76" s="521"/>
      <c r="E76" s="521"/>
      <c r="F76" s="932">
        <v>39949.17</v>
      </c>
    </row>
    <row r="77" spans="1:10" ht="22.5" customHeight="1" x14ac:dyDescent="0.3">
      <c r="A77" s="737"/>
      <c r="B77" s="525" t="s">
        <v>1405</v>
      </c>
      <c r="C77" s="526"/>
      <c r="D77" s="521"/>
      <c r="E77" s="521"/>
      <c r="F77" s="932"/>
    </row>
    <row r="78" spans="1:10" ht="22.5" customHeight="1" x14ac:dyDescent="0.3">
      <c r="A78" s="737"/>
      <c r="B78" s="525" t="s">
        <v>1406</v>
      </c>
      <c r="C78" s="526"/>
      <c r="D78" s="521"/>
      <c r="E78" s="521"/>
      <c r="F78" s="932"/>
    </row>
    <row r="79" spans="1:10" ht="22.5" customHeight="1" x14ac:dyDescent="0.3">
      <c r="A79" s="737">
        <v>4</v>
      </c>
      <c r="B79" s="525" t="s">
        <v>1407</v>
      </c>
      <c r="C79" s="526"/>
      <c r="D79" s="521"/>
      <c r="E79" s="521"/>
      <c r="F79" s="932">
        <v>796450.34</v>
      </c>
    </row>
    <row r="80" spans="1:10" ht="22.5" customHeight="1" x14ac:dyDescent="0.3">
      <c r="A80" s="737"/>
      <c r="B80" s="525" t="s">
        <v>1408</v>
      </c>
      <c r="C80" s="526"/>
      <c r="D80" s="521"/>
      <c r="E80" s="521"/>
      <c r="F80" s="932"/>
    </row>
    <row r="81" spans="1:10" ht="22.5" customHeight="1" x14ac:dyDescent="0.3">
      <c r="A81" s="737"/>
      <c r="B81" s="525" t="s">
        <v>1409</v>
      </c>
      <c r="C81" s="526"/>
      <c r="D81" s="521"/>
      <c r="E81" s="521"/>
      <c r="F81" s="932">
        <v>93330</v>
      </c>
    </row>
    <row r="82" spans="1:10" s="60" customFormat="1" ht="22.5" customHeight="1" thickBot="1" x14ac:dyDescent="0.35">
      <c r="A82" s="921"/>
      <c r="B82" s="921" t="s">
        <v>15</v>
      </c>
      <c r="C82" s="922"/>
      <c r="D82" s="926">
        <v>0</v>
      </c>
      <c r="E82" s="926">
        <v>0</v>
      </c>
      <c r="F82" s="926">
        <v>1363508.3699999999</v>
      </c>
      <c r="G82" s="59">
        <v>1363508.3699999999</v>
      </c>
    </row>
    <row r="83" spans="1:10" ht="22.5" customHeight="1" thickTop="1" x14ac:dyDescent="0.3">
      <c r="A83" s="559"/>
      <c r="B83" s="560" t="s">
        <v>92</v>
      </c>
      <c r="C83" s="561"/>
      <c r="D83" s="567"/>
      <c r="E83" s="567"/>
      <c r="F83" s="570"/>
      <c r="G83" s="2"/>
    </row>
    <row r="84" spans="1:10" ht="22.5" customHeight="1" x14ac:dyDescent="0.3">
      <c r="A84" s="23">
        <v>1</v>
      </c>
      <c r="B84" s="73" t="s">
        <v>512</v>
      </c>
      <c r="C84" s="25" t="s">
        <v>97</v>
      </c>
      <c r="D84" s="41" t="s">
        <v>513</v>
      </c>
      <c r="E84" s="41"/>
      <c r="F84" s="36">
        <v>10499.9956</v>
      </c>
      <c r="G84" s="2"/>
    </row>
    <row r="85" spans="1:10" s="60" customFormat="1" ht="22.5" customHeight="1" thickBot="1" x14ac:dyDescent="0.35">
      <c r="A85" s="548"/>
      <c r="B85" s="548" t="s">
        <v>15</v>
      </c>
      <c r="C85" s="549"/>
      <c r="D85" s="548"/>
      <c r="E85" s="548"/>
      <c r="F85" s="558">
        <v>10499.9956</v>
      </c>
      <c r="G85" s="59">
        <v>10499.9956</v>
      </c>
    </row>
    <row r="86" spans="1:10" s="60" customFormat="1" ht="22.5" customHeight="1" thickTop="1" thickBot="1" x14ac:dyDescent="0.35">
      <c r="A86" s="572"/>
      <c r="B86" s="572" t="s">
        <v>515</v>
      </c>
      <c r="C86" s="573"/>
      <c r="D86" s="580"/>
      <c r="E86" s="580"/>
      <c r="F86" s="583">
        <v>1374008.3655999999</v>
      </c>
      <c r="G86" s="59"/>
      <c r="H86" s="59">
        <v>1374008.3655999999</v>
      </c>
    </row>
    <row r="87" spans="1:10" ht="22.5" customHeight="1" thickTop="1" x14ac:dyDescent="0.3">
      <c r="D87" s="470"/>
      <c r="E87" s="470"/>
      <c r="F87" s="472"/>
      <c r="G87" s="2"/>
    </row>
    <row r="88" spans="1:10" s="589" customFormat="1" ht="20.399999999999999" x14ac:dyDescent="0.5">
      <c r="A88" s="1126" t="s">
        <v>1183</v>
      </c>
      <c r="B88" s="1127"/>
      <c r="C88" s="1127"/>
      <c r="D88" s="1127"/>
      <c r="E88" s="1127"/>
      <c r="F88" s="1127"/>
      <c r="G88" s="587"/>
      <c r="H88" s="587"/>
      <c r="I88" s="588"/>
    </row>
    <row r="89" spans="1:10" s="599" customFormat="1" x14ac:dyDescent="0.6">
      <c r="A89" s="601">
        <v>1</v>
      </c>
      <c r="B89" s="602" t="s">
        <v>519</v>
      </c>
      <c r="C89" s="602" t="s">
        <v>520</v>
      </c>
      <c r="D89" s="604"/>
      <c r="E89" s="604"/>
      <c r="F89" s="609">
        <v>54000</v>
      </c>
      <c r="I89" s="600"/>
    </row>
    <row r="90" spans="1:10" s="599" customFormat="1" ht="24" thickBot="1" x14ac:dyDescent="0.65">
      <c r="A90" s="619"/>
      <c r="B90" s="620" t="s">
        <v>1184</v>
      </c>
      <c r="C90" s="621"/>
      <c r="D90" s="623"/>
      <c r="E90" s="623"/>
      <c r="F90" s="626">
        <v>54000</v>
      </c>
      <c r="G90" s="627">
        <v>54000</v>
      </c>
      <c r="H90" s="627">
        <v>1428008.3655999999</v>
      </c>
      <c r="I90" s="940">
        <v>1778307.9656</v>
      </c>
      <c r="J90" s="599" t="s">
        <v>1542</v>
      </c>
    </row>
    <row r="91" spans="1:10" s="636" customFormat="1" ht="24" thickTop="1" x14ac:dyDescent="0.6">
      <c r="A91" s="628"/>
      <c r="B91" s="629"/>
      <c r="C91" s="630"/>
      <c r="D91" s="632"/>
      <c r="E91" s="632"/>
      <c r="F91" s="635"/>
      <c r="I91" s="637"/>
    </row>
    <row r="92" spans="1:10" s="636" customFormat="1" x14ac:dyDescent="0.6">
      <c r="A92" s="1128" t="s">
        <v>524</v>
      </c>
      <c r="B92" s="1128"/>
      <c r="C92" s="1128"/>
      <c r="D92" s="1128"/>
      <c r="E92" s="1128"/>
      <c r="F92" s="1128"/>
      <c r="I92" s="637"/>
    </row>
    <row r="93" spans="1:10" s="599" customFormat="1" x14ac:dyDescent="0.6">
      <c r="A93" s="638">
        <v>1</v>
      </c>
      <c r="B93" s="639" t="s">
        <v>519</v>
      </c>
      <c r="C93" s="639" t="s">
        <v>518</v>
      </c>
      <c r="D93" s="884" t="s">
        <v>1412</v>
      </c>
      <c r="E93" s="884"/>
      <c r="F93" s="643">
        <v>95200</v>
      </c>
      <c r="I93" s="600"/>
    </row>
    <row r="94" spans="1:10" s="599" customFormat="1" ht="24" thickBot="1" x14ac:dyDescent="0.65">
      <c r="A94" s="619"/>
      <c r="B94" s="620" t="s">
        <v>535</v>
      </c>
      <c r="C94" s="621"/>
      <c r="D94" s="625"/>
      <c r="E94" s="625"/>
      <c r="F94" s="625">
        <v>95200</v>
      </c>
      <c r="G94" s="731">
        <v>95200</v>
      </c>
      <c r="I94" s="600"/>
    </row>
    <row r="95" spans="1:10" ht="22.5" customHeight="1" thickTop="1" x14ac:dyDescent="0.3">
      <c r="D95" s="470"/>
      <c r="E95" s="470"/>
      <c r="F95" s="472"/>
      <c r="G95" s="2"/>
    </row>
    <row r="96" spans="1:10" ht="22.5" customHeight="1" thickBot="1" x14ac:dyDescent="0.65">
      <c r="D96" s="470"/>
      <c r="E96" s="470"/>
      <c r="F96" s="658">
        <v>1873507.9752999998</v>
      </c>
      <c r="G96" s="2"/>
      <c r="H96" s="938">
        <v>1873507.9656</v>
      </c>
      <c r="I96" s="599" t="s">
        <v>1543</v>
      </c>
    </row>
    <row r="97" spans="2:6" ht="22.5" customHeight="1" thickTop="1" x14ac:dyDescent="0.5">
      <c r="B97" s="587" t="s">
        <v>537</v>
      </c>
      <c r="C97" s="587"/>
      <c r="D97" s="3"/>
      <c r="E97" s="3"/>
      <c r="F97" s="472"/>
    </row>
    <row r="98" spans="2:6" x14ac:dyDescent="0.5">
      <c r="B98" s="1129" t="s">
        <v>538</v>
      </c>
      <c r="C98" s="1129"/>
      <c r="D98" s="3"/>
      <c r="E98" s="3"/>
      <c r="F98" s="472"/>
    </row>
    <row r="99" spans="2:6" x14ac:dyDescent="0.5">
      <c r="B99" s="1129" t="s">
        <v>539</v>
      </c>
      <c r="C99" s="1129"/>
      <c r="D99" s="3"/>
      <c r="E99" s="3"/>
      <c r="F99" s="472"/>
    </row>
    <row r="100" spans="2:6" x14ac:dyDescent="0.3">
      <c r="D100" s="3"/>
      <c r="E100" s="3"/>
      <c r="F100" s="472"/>
    </row>
    <row r="101" spans="2:6" x14ac:dyDescent="0.3">
      <c r="D101" s="3"/>
      <c r="E101" s="3"/>
      <c r="F101" s="472"/>
    </row>
    <row r="102" spans="2:6" x14ac:dyDescent="0.3">
      <c r="D102" s="3"/>
      <c r="E102" s="3"/>
      <c r="F102" s="472"/>
    </row>
    <row r="103" spans="2:6" x14ac:dyDescent="0.3">
      <c r="D103" s="3"/>
      <c r="E103" s="3"/>
      <c r="F103" s="472"/>
    </row>
    <row r="104" spans="2:6" x14ac:dyDescent="0.3">
      <c r="D104" s="3"/>
      <c r="E104" s="3"/>
      <c r="F104" s="472"/>
    </row>
    <row r="105" spans="2:6" x14ac:dyDescent="0.3">
      <c r="D105" s="3"/>
      <c r="E105" s="3"/>
      <c r="F105" s="472"/>
    </row>
    <row r="106" spans="2:6" x14ac:dyDescent="0.3">
      <c r="D106" s="3"/>
      <c r="E106" s="3"/>
      <c r="F106" s="472"/>
    </row>
  </sheetData>
  <sortState xmlns:xlrd2="http://schemas.microsoft.com/office/spreadsheetml/2017/richdata2" ref="A8:F65">
    <sortCondition ref="E8:E65"/>
  </sortState>
  <mergeCells count="13">
    <mergeCell ref="A68:F68"/>
    <mergeCell ref="A88:F88"/>
    <mergeCell ref="A92:F92"/>
    <mergeCell ref="B98:C98"/>
    <mergeCell ref="B99:C99"/>
    <mergeCell ref="A1:F1"/>
    <mergeCell ref="A2:F2"/>
    <mergeCell ref="A3:F3"/>
    <mergeCell ref="A4:A6"/>
    <mergeCell ref="B4:B6"/>
    <mergeCell ref="C4:C6"/>
    <mergeCell ref="D4:F4"/>
    <mergeCell ref="D5:D6"/>
  </mergeCells>
  <pageMargins left="0.7" right="0.7" top="0.75" bottom="0.75" header="0.3" footer="0.3"/>
  <pageSetup scale="4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EBE3-021F-426D-B805-519E9FA90E5C}">
  <dimension ref="A1:F6"/>
  <sheetViews>
    <sheetView workbookViewId="0">
      <selection activeCell="C15" sqref="C15"/>
    </sheetView>
  </sheetViews>
  <sheetFormatPr defaultRowHeight="24.6" x14ac:dyDescent="0.7"/>
  <cols>
    <col min="1" max="1" width="8.88671875" style="948"/>
    <col min="2" max="2" width="50.21875" style="948" customWidth="1"/>
    <col min="3" max="3" width="55" style="948" customWidth="1"/>
    <col min="4" max="4" width="13.44140625" style="948" customWidth="1"/>
    <col min="5" max="5" width="15.33203125" style="948" customWidth="1"/>
    <col min="6" max="6" width="8.88671875" style="948"/>
  </cols>
  <sheetData>
    <row r="1" spans="1:5" x14ac:dyDescent="0.7">
      <c r="A1" s="949">
        <v>1</v>
      </c>
      <c r="B1" s="950" t="s">
        <v>519</v>
      </c>
      <c r="C1" s="950" t="s">
        <v>520</v>
      </c>
      <c r="D1" s="950"/>
      <c r="E1" s="956">
        <v>54000</v>
      </c>
    </row>
    <row r="2" spans="1:5" x14ac:dyDescent="0.7">
      <c r="A2" s="949">
        <v>2</v>
      </c>
      <c r="B2" s="950" t="s">
        <v>519</v>
      </c>
      <c r="C2" s="950" t="s">
        <v>518</v>
      </c>
      <c r="D2" s="950" t="s">
        <v>1412</v>
      </c>
      <c r="E2" s="956">
        <v>95200</v>
      </c>
    </row>
    <row r="3" spans="1:5" x14ac:dyDescent="0.7">
      <c r="A3" s="951">
        <v>3</v>
      </c>
      <c r="B3" s="952" t="s">
        <v>1380</v>
      </c>
      <c r="C3" s="953" t="s">
        <v>1546</v>
      </c>
      <c r="D3" s="951" t="s">
        <v>1336</v>
      </c>
      <c r="E3" s="954">
        <v>1266.8800000000001</v>
      </c>
    </row>
    <row r="4" spans="1:5" x14ac:dyDescent="0.7">
      <c r="A4" s="951">
        <v>4</v>
      </c>
      <c r="B4" s="953" t="s">
        <v>463</v>
      </c>
      <c r="C4" s="953" t="s">
        <v>1545</v>
      </c>
      <c r="D4" s="951" t="s">
        <v>795</v>
      </c>
      <c r="E4" s="955">
        <v>1064.44</v>
      </c>
    </row>
    <row r="5" spans="1:5" ht="25.2" thickBot="1" x14ac:dyDescent="0.75">
      <c r="A5" s="957"/>
      <c r="B5" s="957"/>
      <c r="C5" s="957"/>
      <c r="D5" s="957"/>
      <c r="E5" s="958">
        <f>SUM(E1:E4)</f>
        <v>151531.32</v>
      </c>
    </row>
    <row r="6" spans="1:5" ht="25.2" thickTop="1" x14ac:dyDescent="0.7"/>
  </sheetData>
  <pageMargins left="0.25" right="0.25" top="0.75" bottom="0.75" header="0.3" footer="0.3"/>
  <pageSetup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503F-4C2F-425E-B20C-2F7EEF515F33}">
  <sheetPr>
    <tabColor rgb="FFFFFF00"/>
  </sheetPr>
  <dimension ref="A1:AQ337"/>
  <sheetViews>
    <sheetView zoomScale="80" zoomScaleNormal="80" workbookViewId="0">
      <pane ySplit="6" topLeftCell="A141" activePane="bottomLeft" state="frozen"/>
      <selection pane="bottomLeft" activeCell="E153" sqref="E153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35.33203125" style="1" customWidth="1"/>
    <col min="4" max="4" width="14.88671875" style="88" customWidth="1"/>
    <col min="5" max="5" width="13.33203125" style="659" customWidth="1"/>
    <col min="6" max="6" width="5.5546875" style="659" customWidth="1"/>
    <col min="7" max="7" width="7.88671875" style="660" customWidth="1"/>
    <col min="8" max="8" width="14.88671875" style="661" customWidth="1"/>
    <col min="9" max="9" width="14.6640625" style="661" customWidth="1"/>
    <col min="10" max="10" width="14.44140625" style="661" customWidth="1"/>
    <col min="11" max="11" width="12.44140625" style="88" customWidth="1"/>
    <col min="12" max="12" width="18.6640625" style="88" customWidth="1"/>
    <col min="13" max="13" width="16.33203125" style="88" customWidth="1"/>
    <col min="14" max="14" width="14.5546875" style="662" customWidth="1"/>
    <col min="15" max="15" width="5.77734375" style="662" customWidth="1"/>
    <col min="16" max="16" width="8" style="663" customWidth="1"/>
    <col min="17" max="17" width="16.33203125" style="664" customWidth="1"/>
    <col min="18" max="18" width="13.88671875" style="664" customWidth="1"/>
    <col min="19" max="19" width="16.5546875" style="665" customWidth="1"/>
    <col min="20" max="16384" width="27.109375" style="3"/>
  </cols>
  <sheetData>
    <row r="1" spans="1:20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09"/>
      <c r="S1" s="1109"/>
      <c r="T1" s="2"/>
    </row>
    <row r="2" spans="1:20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2"/>
    </row>
    <row r="3" spans="1:20" ht="22.5" customHeight="1" x14ac:dyDescent="0.3">
      <c r="A3" s="1110" t="s">
        <v>1181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1111"/>
      <c r="S3" s="1111"/>
      <c r="T3" s="2"/>
    </row>
    <row r="4" spans="1:20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44"/>
      <c r="G4" s="1135"/>
      <c r="H4" s="1135"/>
      <c r="I4" s="1135"/>
      <c r="J4" s="1136"/>
      <c r="K4" s="1145" t="s">
        <v>8</v>
      </c>
      <c r="L4" s="1146"/>
      <c r="M4" s="1147"/>
      <c r="N4" s="1118" t="s">
        <v>9</v>
      </c>
      <c r="O4" s="1119"/>
      <c r="P4" s="1140"/>
      <c r="Q4" s="1140"/>
      <c r="R4" s="1140"/>
      <c r="S4" s="1120"/>
      <c r="T4" s="2"/>
    </row>
    <row r="5" spans="1:20" ht="22.5" customHeight="1" x14ac:dyDescent="0.3">
      <c r="A5" s="1113"/>
      <c r="B5" s="1113"/>
      <c r="C5" s="1116"/>
      <c r="D5" s="1142"/>
      <c r="E5" s="1130" t="s">
        <v>10</v>
      </c>
      <c r="F5" s="880" t="s">
        <v>937</v>
      </c>
      <c r="G5" s="1132" t="s">
        <v>11</v>
      </c>
      <c r="H5" s="1134" t="s">
        <v>12</v>
      </c>
      <c r="I5" s="1135"/>
      <c r="J5" s="1136"/>
      <c r="K5" s="5"/>
      <c r="L5" s="6"/>
      <c r="M5" s="6"/>
      <c r="N5" s="1121" t="s">
        <v>10</v>
      </c>
      <c r="O5" s="882"/>
      <c r="P5" s="1138" t="s">
        <v>11</v>
      </c>
      <c r="Q5" s="1118" t="s">
        <v>12</v>
      </c>
      <c r="R5" s="1140"/>
      <c r="S5" s="1120"/>
      <c r="T5" s="2"/>
    </row>
    <row r="6" spans="1:20" ht="22.5" customHeight="1" x14ac:dyDescent="0.3">
      <c r="A6" s="1114"/>
      <c r="B6" s="1114"/>
      <c r="C6" s="1117"/>
      <c r="D6" s="1143"/>
      <c r="E6" s="1131"/>
      <c r="F6" s="881"/>
      <c r="G6" s="1133"/>
      <c r="H6" s="7" t="s">
        <v>13</v>
      </c>
      <c r="I6" s="7" t="s">
        <v>14</v>
      </c>
      <c r="J6" s="7" t="s">
        <v>15</v>
      </c>
      <c r="K6" s="5" t="s">
        <v>16</v>
      </c>
      <c r="L6" s="8" t="s">
        <v>17</v>
      </c>
      <c r="M6" s="6" t="s">
        <v>13</v>
      </c>
      <c r="N6" s="1122"/>
      <c r="O6" s="883" t="s">
        <v>937</v>
      </c>
      <c r="P6" s="1139"/>
      <c r="Q6" s="9" t="s">
        <v>18</v>
      </c>
      <c r="R6" s="9" t="s">
        <v>14</v>
      </c>
      <c r="S6" s="10" t="s">
        <v>15</v>
      </c>
      <c r="T6" s="2"/>
    </row>
    <row r="7" spans="1:20" ht="22.5" customHeight="1" x14ac:dyDescent="0.3">
      <c r="A7" s="11"/>
      <c r="B7" s="12" t="s">
        <v>19</v>
      </c>
      <c r="C7" s="13"/>
      <c r="D7" s="14"/>
      <c r="E7" s="15"/>
      <c r="F7" s="15"/>
      <c r="G7" s="16"/>
      <c r="H7" s="7"/>
      <c r="I7" s="17"/>
      <c r="J7" s="17"/>
      <c r="K7" s="18"/>
      <c r="L7" s="18"/>
      <c r="M7" s="14"/>
      <c r="N7" s="19"/>
      <c r="O7" s="19"/>
      <c r="P7" s="20"/>
      <c r="Q7" s="21"/>
      <c r="R7" s="21"/>
      <c r="S7" s="22"/>
      <c r="T7" s="2"/>
    </row>
    <row r="8" spans="1:20" ht="22.5" customHeight="1" x14ac:dyDescent="0.6">
      <c r="A8" s="23">
        <v>1</v>
      </c>
      <c r="B8" s="24" t="s">
        <v>20</v>
      </c>
      <c r="C8" s="25" t="s">
        <v>21</v>
      </c>
      <c r="D8" s="26">
        <v>2400.1799999999998</v>
      </c>
      <c r="E8" s="27"/>
      <c r="F8" s="27"/>
      <c r="G8" s="28"/>
      <c r="H8" s="29">
        <v>-2.2429906553425609E-3</v>
      </c>
      <c r="I8" s="29">
        <v>-1.5700934587397925E-4</v>
      </c>
      <c r="J8" s="29">
        <v>-2.4000000012165401E-3</v>
      </c>
      <c r="K8" s="30" t="s">
        <v>1185</v>
      </c>
      <c r="L8" s="31" t="s">
        <v>1186</v>
      </c>
      <c r="M8" s="32">
        <v>2400.1799999999998</v>
      </c>
      <c r="N8" s="33"/>
      <c r="O8" s="33"/>
      <c r="P8" s="34"/>
      <c r="Q8" s="35">
        <f>SUM(S8-R8)</f>
        <v>-2.2429906553425609E-3</v>
      </c>
      <c r="R8" s="35">
        <f>SUM(S8*7/107)</f>
        <v>-1.5700934587397925E-4</v>
      </c>
      <c r="S8" s="36">
        <f>SUM(D8+J8-M8)</f>
        <v>-2.4000000012165401E-3</v>
      </c>
      <c r="T8" s="47"/>
    </row>
    <row r="9" spans="1:20" ht="22.5" customHeight="1" x14ac:dyDescent="0.6">
      <c r="A9" s="23">
        <v>2</v>
      </c>
      <c r="B9" s="24" t="s">
        <v>24</v>
      </c>
      <c r="C9" s="25" t="s">
        <v>25</v>
      </c>
      <c r="D9" s="26">
        <v>4292.7700000000004</v>
      </c>
      <c r="E9" s="27"/>
      <c r="F9" s="27"/>
      <c r="G9" s="28"/>
      <c r="H9" s="29">
        <v>-1.6999900967718285E-12</v>
      </c>
      <c r="I9" s="29">
        <v>-1.1899930677402798E-13</v>
      </c>
      <c r="J9" s="29">
        <v>-1.8189894035458565E-12</v>
      </c>
      <c r="K9" s="30" t="s">
        <v>1187</v>
      </c>
      <c r="L9" s="31" t="s">
        <v>1188</v>
      </c>
      <c r="M9" s="32">
        <v>4292.7700000000004</v>
      </c>
      <c r="N9" s="33"/>
      <c r="O9" s="33"/>
      <c r="P9" s="34"/>
      <c r="Q9" s="35">
        <f>SUM(S9-R9)</f>
        <v>-1.6999900967718285E-12</v>
      </c>
      <c r="R9" s="35">
        <f>SUM(S9*7/107)</f>
        <v>-1.1899930677402798E-13</v>
      </c>
      <c r="S9" s="36">
        <f>SUM(D9+J9-M9)</f>
        <v>-1.8189894035458565E-12</v>
      </c>
      <c r="T9" s="47"/>
    </row>
    <row r="10" spans="1:20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7"/>
      <c r="G10" s="28"/>
      <c r="H10" s="29">
        <v>0</v>
      </c>
      <c r="I10" s="29">
        <v>0</v>
      </c>
      <c r="J10" s="29">
        <v>0</v>
      </c>
      <c r="K10" s="38" t="s">
        <v>1187</v>
      </c>
      <c r="L10" s="39" t="s">
        <v>1189</v>
      </c>
      <c r="M10" s="40">
        <v>802.5</v>
      </c>
      <c r="N10" s="41"/>
      <c r="O10" s="41"/>
      <c r="P10" s="34"/>
      <c r="Q10" s="35">
        <f>SUM(S10-R10)</f>
        <v>0</v>
      </c>
      <c r="R10" s="35">
        <f>SUM(S10*7/107)</f>
        <v>0</v>
      </c>
      <c r="S10" s="36">
        <f>SUM(D10+J10-M10)</f>
        <v>0</v>
      </c>
      <c r="T10" s="2"/>
    </row>
    <row r="11" spans="1:20" ht="22.5" customHeight="1" x14ac:dyDescent="0.6">
      <c r="A11" s="23">
        <v>4</v>
      </c>
      <c r="B11" s="24" t="s">
        <v>30</v>
      </c>
      <c r="C11" s="25" t="s">
        <v>31</v>
      </c>
      <c r="D11" s="43">
        <v>1155.5999999999999</v>
      </c>
      <c r="E11" s="894" t="s">
        <v>1153</v>
      </c>
      <c r="F11" s="895" t="s">
        <v>33</v>
      </c>
      <c r="G11" s="895" t="s">
        <v>33</v>
      </c>
      <c r="H11" s="896">
        <v>1440</v>
      </c>
      <c r="I11" s="896">
        <v>100.80000000000001</v>
      </c>
      <c r="J11" s="896">
        <v>1540.8</v>
      </c>
      <c r="K11" s="30" t="s">
        <v>1190</v>
      </c>
      <c r="L11" s="31" t="s">
        <v>1191</v>
      </c>
      <c r="M11" s="32">
        <v>1540.8</v>
      </c>
      <c r="N11" s="33" t="s">
        <v>1192</v>
      </c>
      <c r="O11" s="33" t="s">
        <v>33</v>
      </c>
      <c r="P11" s="34" t="s">
        <v>33</v>
      </c>
      <c r="Q11" s="669">
        <f>SUM(S11-R11)</f>
        <v>1079.9999999999998</v>
      </c>
      <c r="R11" s="669">
        <f>SUM(S11*7/107)</f>
        <v>75.59999999999998</v>
      </c>
      <c r="S11" s="340">
        <f>SUM(D11+J11-M11)</f>
        <v>1155.5999999999997</v>
      </c>
      <c r="T11" s="47"/>
    </row>
    <row r="12" spans="1:20" s="60" customFormat="1" ht="22.5" customHeight="1" thickBot="1" x14ac:dyDescent="0.35">
      <c r="A12" s="48"/>
      <c r="B12" s="48" t="s">
        <v>15</v>
      </c>
      <c r="C12" s="49"/>
      <c r="D12" s="50">
        <f>SUM(D8:D11)</f>
        <v>8651.0500000000011</v>
      </c>
      <c r="E12" s="51"/>
      <c r="F12" s="51"/>
      <c r="G12" s="52"/>
      <c r="H12" s="53">
        <f>SUM(H8:H11)</f>
        <v>1439.9977570093429</v>
      </c>
      <c r="I12" s="53">
        <f>SUM(I8:I11)</f>
        <v>100.79984299065401</v>
      </c>
      <c r="J12" s="53">
        <f>SUM(J8:J11)</f>
        <v>1540.7975999999969</v>
      </c>
      <c r="K12" s="54"/>
      <c r="L12" s="55"/>
      <c r="M12" s="50">
        <f>SUM(M8:M11)</f>
        <v>9036.25</v>
      </c>
      <c r="N12" s="48"/>
      <c r="O12" s="48"/>
      <c r="P12" s="56"/>
      <c r="Q12" s="670">
        <f>SUM(S12-R12)</f>
        <v>1079.9977570093433</v>
      </c>
      <c r="R12" s="670">
        <f>SUM(S12*7/107)</f>
        <v>75.599842990654025</v>
      </c>
      <c r="S12" s="671">
        <f>SUM(D12+J12-M12)</f>
        <v>1155.5975999999973</v>
      </c>
      <c r="T12" s="59"/>
    </row>
    <row r="13" spans="1:20" ht="22.5" customHeight="1" thickTop="1" x14ac:dyDescent="0.3">
      <c r="A13" s="61"/>
      <c r="B13" s="62" t="s">
        <v>37</v>
      </c>
      <c r="C13" s="63"/>
      <c r="D13" s="64"/>
      <c r="E13" s="65"/>
      <c r="F13" s="65"/>
      <c r="G13" s="66"/>
      <c r="H13" s="67"/>
      <c r="I13" s="67"/>
      <c r="J13" s="67"/>
      <c r="K13" s="68"/>
      <c r="L13" s="68"/>
      <c r="M13" s="64"/>
      <c r="N13" s="69"/>
      <c r="O13" s="69"/>
      <c r="P13" s="70"/>
      <c r="Q13" s="71"/>
      <c r="R13" s="71"/>
      <c r="S13" s="72"/>
      <c r="T13" s="2"/>
    </row>
    <row r="14" spans="1:20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4"/>
      <c r="G14" s="75"/>
      <c r="H14" s="76">
        <v>0</v>
      </c>
      <c r="I14" s="76">
        <v>0</v>
      </c>
      <c r="J14" s="76">
        <v>0</v>
      </c>
      <c r="K14" s="30" t="s">
        <v>1193</v>
      </c>
      <c r="L14" s="31" t="s">
        <v>1194</v>
      </c>
      <c r="M14" s="32">
        <v>1284</v>
      </c>
      <c r="N14" s="69"/>
      <c r="O14" s="69"/>
      <c r="P14" s="70"/>
      <c r="Q14" s="35">
        <f>SUM(S14-R14)</f>
        <v>0</v>
      </c>
      <c r="R14" s="42">
        <f>SUM(S14*7/107)</f>
        <v>0</v>
      </c>
      <c r="S14" s="36">
        <f>SUM(D14+J14-M14)</f>
        <v>0</v>
      </c>
      <c r="T14" s="2"/>
    </row>
    <row r="15" spans="1:20" ht="22.5" customHeight="1" x14ac:dyDescent="0.5">
      <c r="A15" s="23">
        <v>2</v>
      </c>
      <c r="B15" s="73" t="s">
        <v>42</v>
      </c>
      <c r="C15" s="25" t="s">
        <v>43</v>
      </c>
      <c r="D15" s="43">
        <v>1733.4</v>
      </c>
      <c r="E15" s="74"/>
      <c r="F15" s="80"/>
      <c r="G15" s="77"/>
      <c r="H15" s="76">
        <v>-4.2499752419295712E-13</v>
      </c>
      <c r="I15" s="76">
        <v>-2.9749826693506995E-14</v>
      </c>
      <c r="J15" s="76">
        <v>-4.5474735088646412E-13</v>
      </c>
      <c r="K15" s="30" t="s">
        <v>1195</v>
      </c>
      <c r="L15" s="31" t="s">
        <v>1196</v>
      </c>
      <c r="M15" s="32">
        <v>1733.4</v>
      </c>
      <c r="N15" s="33"/>
      <c r="O15" s="747"/>
      <c r="P15" s="70"/>
      <c r="Q15" s="35">
        <f t="shared" ref="Q15:Q26" si="0">SUM(S15-R15)</f>
        <v>-4.2499752419295712E-13</v>
      </c>
      <c r="R15" s="42">
        <f t="shared" ref="R15:R26" si="1">SUM(S15*7/107)</f>
        <v>-2.9749826693506995E-14</v>
      </c>
      <c r="S15" s="36">
        <f t="shared" ref="S15:S26" si="2">SUM(D15+J15-M15)</f>
        <v>-4.5474735088646412E-13</v>
      </c>
      <c r="T15" s="2"/>
    </row>
    <row r="16" spans="1:20" ht="22.5" customHeight="1" x14ac:dyDescent="0.5">
      <c r="A16" s="23">
        <v>3</v>
      </c>
      <c r="B16" s="73" t="s">
        <v>45</v>
      </c>
      <c r="C16" s="25" t="s">
        <v>46</v>
      </c>
      <c r="D16" s="43">
        <v>1605</v>
      </c>
      <c r="E16" s="74" t="s">
        <v>1153</v>
      </c>
      <c r="F16" s="80" t="s">
        <v>33</v>
      </c>
      <c r="G16" s="77" t="s">
        <v>33</v>
      </c>
      <c r="H16" s="76">
        <v>1349.9999999999998</v>
      </c>
      <c r="I16" s="76">
        <v>94.499999999999986</v>
      </c>
      <c r="J16" s="76">
        <v>1444.4999999999998</v>
      </c>
      <c r="K16" s="30" t="s">
        <v>1197</v>
      </c>
      <c r="L16" s="31" t="s">
        <v>1198</v>
      </c>
      <c r="M16" s="32">
        <v>1444.5</v>
      </c>
      <c r="N16" s="33" t="s">
        <v>1192</v>
      </c>
      <c r="O16" s="747" t="s">
        <v>33</v>
      </c>
      <c r="P16" s="70" t="s">
        <v>33</v>
      </c>
      <c r="Q16" s="35">
        <f t="shared" si="0"/>
        <v>1500</v>
      </c>
      <c r="R16" s="42">
        <f t="shared" si="1"/>
        <v>105</v>
      </c>
      <c r="S16" s="36">
        <f t="shared" si="2"/>
        <v>1605</v>
      </c>
      <c r="T16" s="2"/>
    </row>
    <row r="17" spans="1:20" ht="22.5" customHeight="1" x14ac:dyDescent="0.5">
      <c r="A17" s="23">
        <v>4</v>
      </c>
      <c r="B17" s="73" t="s">
        <v>48</v>
      </c>
      <c r="C17" s="25" t="s">
        <v>49</v>
      </c>
      <c r="D17" s="43">
        <v>3081.6</v>
      </c>
      <c r="E17" s="74" t="s">
        <v>1153</v>
      </c>
      <c r="F17" s="80" t="s">
        <v>33</v>
      </c>
      <c r="G17" s="77" t="s">
        <v>33</v>
      </c>
      <c r="H17" s="76">
        <v>2924.9999999999986</v>
      </c>
      <c r="I17" s="76">
        <v>204.74999999999989</v>
      </c>
      <c r="J17" s="76">
        <v>3129.7499999999986</v>
      </c>
      <c r="K17" s="30" t="s">
        <v>1199</v>
      </c>
      <c r="L17" s="31" t="s">
        <v>1200</v>
      </c>
      <c r="M17" s="32">
        <v>3129.75</v>
      </c>
      <c r="N17" s="33" t="s">
        <v>1192</v>
      </c>
      <c r="O17" s="747" t="s">
        <v>33</v>
      </c>
      <c r="P17" s="70" t="s">
        <v>33</v>
      </c>
      <c r="Q17" s="35">
        <f t="shared" si="0"/>
        <v>2879.9999999999986</v>
      </c>
      <c r="R17" s="42">
        <f t="shared" si="1"/>
        <v>201.59999999999991</v>
      </c>
      <c r="S17" s="36">
        <f t="shared" si="2"/>
        <v>3081.5999999999985</v>
      </c>
      <c r="T17" s="2"/>
    </row>
    <row r="18" spans="1:20" ht="22.5" customHeight="1" x14ac:dyDescent="0.5">
      <c r="A18" s="23">
        <v>5</v>
      </c>
      <c r="B18" s="73" t="s">
        <v>51</v>
      </c>
      <c r="C18" s="25" t="s">
        <v>52</v>
      </c>
      <c r="D18" s="43">
        <v>4333.5</v>
      </c>
      <c r="E18" s="74" t="s">
        <v>1153</v>
      </c>
      <c r="F18" s="80" t="s">
        <v>33</v>
      </c>
      <c r="G18" s="77" t="s">
        <v>33</v>
      </c>
      <c r="H18" s="76">
        <v>4320.0000000000027</v>
      </c>
      <c r="I18" s="76">
        <v>302.4000000000002</v>
      </c>
      <c r="J18" s="76">
        <v>4622.4000000000033</v>
      </c>
      <c r="K18" s="30" t="s">
        <v>1201</v>
      </c>
      <c r="L18" s="31" t="s">
        <v>1202</v>
      </c>
      <c r="M18" s="32">
        <v>4622.3999999999996</v>
      </c>
      <c r="N18" s="33" t="s">
        <v>1192</v>
      </c>
      <c r="O18" s="747" t="s">
        <v>33</v>
      </c>
      <c r="P18" s="70" t="s">
        <v>33</v>
      </c>
      <c r="Q18" s="35">
        <f t="shared" si="0"/>
        <v>4050.0000000000036</v>
      </c>
      <c r="R18" s="42">
        <f t="shared" si="1"/>
        <v>283.50000000000023</v>
      </c>
      <c r="S18" s="36">
        <f t="shared" si="2"/>
        <v>4333.5000000000036</v>
      </c>
      <c r="T18" s="2"/>
    </row>
    <row r="19" spans="1:20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4"/>
      <c r="G19" s="75"/>
      <c r="H19" s="76">
        <v>0</v>
      </c>
      <c r="I19" s="76">
        <v>0</v>
      </c>
      <c r="J19" s="76">
        <v>0</v>
      </c>
      <c r="K19" s="30" t="s">
        <v>1190</v>
      </c>
      <c r="L19" s="31" t="s">
        <v>1203</v>
      </c>
      <c r="M19" s="32">
        <v>6420</v>
      </c>
      <c r="N19" s="69"/>
      <c r="O19" s="69"/>
      <c r="P19" s="70"/>
      <c r="Q19" s="35">
        <f t="shared" si="0"/>
        <v>0</v>
      </c>
      <c r="R19" s="42">
        <f t="shared" si="1"/>
        <v>0</v>
      </c>
      <c r="S19" s="36">
        <f t="shared" si="2"/>
        <v>0</v>
      </c>
      <c r="T19" s="2"/>
    </row>
    <row r="20" spans="1:20" ht="22.5" customHeight="1" x14ac:dyDescent="0.5">
      <c r="A20" s="23">
        <v>7</v>
      </c>
      <c r="B20" s="78" t="s">
        <v>54</v>
      </c>
      <c r="C20" s="25" t="s">
        <v>55</v>
      </c>
      <c r="D20" s="79">
        <v>1781.55</v>
      </c>
      <c r="E20" s="80" t="s">
        <v>1153</v>
      </c>
      <c r="F20" s="80" t="s">
        <v>33</v>
      </c>
      <c r="G20" s="77" t="s">
        <v>33</v>
      </c>
      <c r="H20" s="76">
        <v>1620</v>
      </c>
      <c r="I20" s="76">
        <v>113.4</v>
      </c>
      <c r="J20" s="76">
        <v>1733.4</v>
      </c>
      <c r="K20" s="38" t="s">
        <v>1204</v>
      </c>
      <c r="L20" s="39" t="s">
        <v>1205</v>
      </c>
      <c r="M20" s="40">
        <v>3514.95</v>
      </c>
      <c r="N20" s="33"/>
      <c r="O20" s="747"/>
      <c r="P20" s="70"/>
      <c r="Q20" s="35">
        <f t="shared" si="0"/>
        <v>0</v>
      </c>
      <c r="R20" s="42">
        <f t="shared" si="1"/>
        <v>0</v>
      </c>
      <c r="S20" s="36">
        <f t="shared" si="2"/>
        <v>0</v>
      </c>
      <c r="T20" s="2"/>
    </row>
    <row r="21" spans="1:20" ht="22.5" customHeight="1" x14ac:dyDescent="0.5">
      <c r="A21" s="23">
        <v>8</v>
      </c>
      <c r="B21" s="78" t="s">
        <v>56</v>
      </c>
      <c r="C21" s="81" t="s">
        <v>57</v>
      </c>
      <c r="D21" s="79">
        <v>866.7</v>
      </c>
      <c r="E21" s="74"/>
      <c r="F21" s="80"/>
      <c r="G21" s="77"/>
      <c r="H21" s="82">
        <v>0</v>
      </c>
      <c r="I21" s="82">
        <v>0</v>
      </c>
      <c r="J21" s="82">
        <v>0</v>
      </c>
      <c r="K21" s="38" t="s">
        <v>1195</v>
      </c>
      <c r="L21" s="39" t="s">
        <v>1206</v>
      </c>
      <c r="M21" s="40">
        <v>866.7</v>
      </c>
      <c r="N21" s="33"/>
      <c r="O21" s="747"/>
      <c r="P21" s="70"/>
      <c r="Q21" s="35">
        <f t="shared" si="0"/>
        <v>0</v>
      </c>
      <c r="R21" s="42">
        <f t="shared" si="1"/>
        <v>0</v>
      </c>
      <c r="S21" s="36">
        <f t="shared" si="2"/>
        <v>0</v>
      </c>
      <c r="T21" s="2"/>
    </row>
    <row r="22" spans="1:20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4"/>
      <c r="G22" s="75"/>
      <c r="H22" s="76">
        <v>0</v>
      </c>
      <c r="I22" s="76">
        <v>0</v>
      </c>
      <c r="J22" s="76">
        <v>0</v>
      </c>
      <c r="K22" s="38" t="s">
        <v>1197</v>
      </c>
      <c r="L22" s="39" t="s">
        <v>1207</v>
      </c>
      <c r="M22" s="40">
        <v>21400</v>
      </c>
      <c r="N22" s="69"/>
      <c r="O22" s="69"/>
      <c r="P22" s="70"/>
      <c r="Q22" s="35">
        <f t="shared" si="0"/>
        <v>0</v>
      </c>
      <c r="R22" s="42">
        <f t="shared" si="1"/>
        <v>0</v>
      </c>
      <c r="S22" s="36">
        <f t="shared" si="2"/>
        <v>0</v>
      </c>
      <c r="T22" s="2"/>
    </row>
    <row r="23" spans="1:20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4"/>
      <c r="G23" s="75"/>
      <c r="H23" s="76">
        <v>0</v>
      </c>
      <c r="I23" s="76">
        <v>0</v>
      </c>
      <c r="J23" s="76">
        <v>0</v>
      </c>
      <c r="K23" s="38" t="s">
        <v>1187</v>
      </c>
      <c r="L23" s="39" t="s">
        <v>1208</v>
      </c>
      <c r="M23" s="40">
        <v>856</v>
      </c>
      <c r="N23" s="69"/>
      <c r="O23" s="69"/>
      <c r="P23" s="70"/>
      <c r="Q23" s="35">
        <f t="shared" si="0"/>
        <v>0</v>
      </c>
      <c r="R23" s="42">
        <f t="shared" si="1"/>
        <v>0</v>
      </c>
      <c r="S23" s="36">
        <f t="shared" si="2"/>
        <v>0</v>
      </c>
      <c r="T23" s="87"/>
    </row>
    <row r="24" spans="1:20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885"/>
      <c r="G24" s="92"/>
      <c r="H24" s="76">
        <v>0</v>
      </c>
      <c r="I24" s="76">
        <v>0</v>
      </c>
      <c r="J24" s="76">
        <v>0</v>
      </c>
      <c r="K24" s="38" t="s">
        <v>1185</v>
      </c>
      <c r="L24" s="39" t="s">
        <v>1209</v>
      </c>
      <c r="M24" s="40">
        <v>21400</v>
      </c>
      <c r="N24" s="69"/>
      <c r="O24" s="69"/>
      <c r="P24" s="70"/>
      <c r="Q24" s="35">
        <f t="shared" si="0"/>
        <v>0</v>
      </c>
      <c r="R24" s="42">
        <f t="shared" si="1"/>
        <v>0</v>
      </c>
      <c r="S24" s="36">
        <f t="shared" si="2"/>
        <v>0</v>
      </c>
      <c r="T24" s="93"/>
    </row>
    <row r="25" spans="1:20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6"/>
      <c r="G25" s="97"/>
      <c r="H25" s="98">
        <v>0</v>
      </c>
      <c r="I25" s="98">
        <v>0</v>
      </c>
      <c r="J25" s="98">
        <v>0</v>
      </c>
      <c r="K25" s="38" t="s">
        <v>1210</v>
      </c>
      <c r="L25" s="39" t="s">
        <v>1211</v>
      </c>
      <c r="M25" s="40">
        <v>3210</v>
      </c>
      <c r="N25" s="69"/>
      <c r="O25" s="69"/>
      <c r="P25" s="70"/>
      <c r="Q25" s="35">
        <f t="shared" si="0"/>
        <v>0</v>
      </c>
      <c r="R25" s="42">
        <f t="shared" si="1"/>
        <v>0</v>
      </c>
      <c r="S25" s="36">
        <f t="shared" si="2"/>
        <v>0</v>
      </c>
    </row>
    <row r="26" spans="1:20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6"/>
      <c r="G26" s="97"/>
      <c r="H26" s="98">
        <v>0</v>
      </c>
      <c r="I26" s="98">
        <v>0</v>
      </c>
      <c r="J26" s="98">
        <v>0</v>
      </c>
      <c r="K26" s="101" t="s">
        <v>1197</v>
      </c>
      <c r="L26" s="102" t="s">
        <v>1212</v>
      </c>
      <c r="M26" s="103">
        <v>3210</v>
      </c>
      <c r="N26" s="69"/>
      <c r="O26" s="69"/>
      <c r="P26" s="70"/>
      <c r="Q26" s="35">
        <f t="shared" si="0"/>
        <v>0</v>
      </c>
      <c r="R26" s="42">
        <f t="shared" si="1"/>
        <v>0</v>
      </c>
      <c r="S26" s="36">
        <f t="shared" si="2"/>
        <v>0</v>
      </c>
      <c r="T26" s="93"/>
    </row>
    <row r="27" spans="1:20" s="60" customFormat="1" ht="22.5" customHeight="1" thickBot="1" x14ac:dyDescent="0.35">
      <c r="A27" s="48"/>
      <c r="B27" s="48" t="s">
        <v>15</v>
      </c>
      <c r="C27" s="49"/>
      <c r="D27" s="104">
        <f>SUM(D14:D26)</f>
        <v>71181.75</v>
      </c>
      <c r="E27" s="105"/>
      <c r="F27" s="105"/>
      <c r="G27" s="56"/>
      <c r="H27" s="106">
        <f>SUM(H14:H26)</f>
        <v>10215</v>
      </c>
      <c r="I27" s="106">
        <f>SUM(I14:I26)</f>
        <v>715.05000000000007</v>
      </c>
      <c r="J27" s="106">
        <f>SUM(J14:J26)</f>
        <v>10930.050000000001</v>
      </c>
      <c r="K27" s="104"/>
      <c r="L27" s="104"/>
      <c r="M27" s="104">
        <f>SUM(M14:M26)</f>
        <v>73091.7</v>
      </c>
      <c r="N27" s="107"/>
      <c r="O27" s="107"/>
      <c r="P27" s="108"/>
      <c r="Q27" s="109">
        <f>SUM(Q14:Q26)</f>
        <v>8430.0000000000018</v>
      </c>
      <c r="R27" s="109">
        <f>SUM(R14:R26)</f>
        <v>590.10000000000014</v>
      </c>
      <c r="S27" s="110">
        <f>SUM(S14:S26)</f>
        <v>9020.1000000000022</v>
      </c>
    </row>
    <row r="28" spans="1:20" ht="22.5" customHeight="1" thickTop="1" x14ac:dyDescent="0.3">
      <c r="A28" s="61"/>
      <c r="B28" s="62" t="s">
        <v>71</v>
      </c>
      <c r="C28" s="63"/>
      <c r="D28" s="64"/>
      <c r="E28" s="65"/>
      <c r="F28" s="65"/>
      <c r="G28" s="66"/>
      <c r="H28" s="67"/>
      <c r="I28" s="67"/>
      <c r="J28" s="67"/>
      <c r="K28" s="68"/>
      <c r="L28" s="68"/>
      <c r="M28" s="64"/>
      <c r="N28" s="69"/>
      <c r="O28" s="69"/>
      <c r="P28" s="70"/>
      <c r="Q28" s="71"/>
      <c r="R28" s="71"/>
      <c r="S28" s="72"/>
    </row>
    <row r="29" spans="1:20" ht="22.5" customHeight="1" x14ac:dyDescent="0.5">
      <c r="A29" s="23">
        <v>1</v>
      </c>
      <c r="B29" s="73" t="s">
        <v>72</v>
      </c>
      <c r="C29" s="25" t="s">
        <v>73</v>
      </c>
      <c r="D29" s="43">
        <v>6692.85</v>
      </c>
      <c r="E29" s="74"/>
      <c r="F29" s="80"/>
      <c r="G29" s="77"/>
      <c r="H29" s="76">
        <v>0</v>
      </c>
      <c r="I29" s="76">
        <v>0</v>
      </c>
      <c r="J29" s="76">
        <v>0</v>
      </c>
      <c r="K29" s="38" t="s">
        <v>1195</v>
      </c>
      <c r="L29" s="39" t="s">
        <v>1213</v>
      </c>
      <c r="M29" s="32">
        <v>6692.85</v>
      </c>
      <c r="N29" s="111"/>
      <c r="O29" s="111"/>
      <c r="P29" s="112"/>
      <c r="Q29" s="113">
        <v>0</v>
      </c>
      <c r="R29" s="114">
        <v>0</v>
      </c>
      <c r="S29" s="36">
        <v>0</v>
      </c>
    </row>
    <row r="30" spans="1:20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116"/>
      <c r="G30" s="97"/>
      <c r="H30" s="76">
        <v>0</v>
      </c>
      <c r="I30" s="76">
        <v>0</v>
      </c>
      <c r="J30" s="76">
        <v>0</v>
      </c>
      <c r="K30" s="101" t="s">
        <v>1214</v>
      </c>
      <c r="L30" s="102" t="s">
        <v>1215</v>
      </c>
      <c r="M30" s="103">
        <v>14445</v>
      </c>
      <c r="N30" s="117"/>
      <c r="O30" s="117"/>
      <c r="P30" s="118"/>
      <c r="Q30" s="113">
        <v>0</v>
      </c>
      <c r="R30" s="114">
        <v>0</v>
      </c>
      <c r="S30" s="36">
        <v>0</v>
      </c>
    </row>
    <row r="31" spans="1:20" s="60" customFormat="1" ht="22.5" customHeight="1" thickBot="1" x14ac:dyDescent="0.35">
      <c r="A31" s="48"/>
      <c r="B31" s="48" t="s">
        <v>15</v>
      </c>
      <c r="C31" s="49"/>
      <c r="D31" s="50">
        <f>SUM(D29:D30)</f>
        <v>21137.85</v>
      </c>
      <c r="E31" s="50">
        <f t="shared" ref="E31:S31" si="3">SUM(E29:E30)</f>
        <v>0</v>
      </c>
      <c r="F31" s="50"/>
      <c r="G31" s="50">
        <f t="shared" si="3"/>
        <v>0</v>
      </c>
      <c r="H31" s="50">
        <f t="shared" si="3"/>
        <v>0</v>
      </c>
      <c r="I31" s="50">
        <f t="shared" si="3"/>
        <v>0</v>
      </c>
      <c r="J31" s="50">
        <f t="shared" si="3"/>
        <v>0</v>
      </c>
      <c r="K31" s="50"/>
      <c r="L31" s="50">
        <f t="shared" si="3"/>
        <v>0</v>
      </c>
      <c r="M31" s="50">
        <f t="shared" si="3"/>
        <v>21137.85</v>
      </c>
      <c r="N31" s="50">
        <f t="shared" si="3"/>
        <v>0</v>
      </c>
      <c r="O31" s="50"/>
      <c r="P31" s="50">
        <f t="shared" si="3"/>
        <v>0</v>
      </c>
      <c r="Q31" s="50">
        <f t="shared" si="3"/>
        <v>0</v>
      </c>
      <c r="R31" s="50">
        <f t="shared" si="3"/>
        <v>0</v>
      </c>
      <c r="S31" s="50">
        <f t="shared" si="3"/>
        <v>0</v>
      </c>
    </row>
    <row r="32" spans="1:20" ht="22.5" customHeight="1" thickTop="1" x14ac:dyDescent="0.3">
      <c r="A32" s="61"/>
      <c r="B32" s="121" t="s">
        <v>78</v>
      </c>
      <c r="C32" s="63"/>
      <c r="D32" s="64"/>
      <c r="E32" s="65"/>
      <c r="F32" s="65"/>
      <c r="G32" s="66"/>
      <c r="H32" s="67"/>
      <c r="I32" s="67"/>
      <c r="J32" s="67"/>
      <c r="K32" s="68"/>
      <c r="L32" s="68"/>
      <c r="M32" s="64"/>
      <c r="N32" s="69"/>
      <c r="O32" s="69"/>
      <c r="P32" s="70"/>
      <c r="Q32" s="71"/>
      <c r="R32" s="71"/>
      <c r="S32" s="72"/>
    </row>
    <row r="33" spans="1:43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5"/>
      <c r="G33" s="126"/>
      <c r="H33" s="76">
        <v>0</v>
      </c>
      <c r="I33" s="127">
        <v>0</v>
      </c>
      <c r="J33" s="76">
        <v>0</v>
      </c>
      <c r="K33" s="38" t="s">
        <v>1197</v>
      </c>
      <c r="L33" s="39" t="s">
        <v>1216</v>
      </c>
      <c r="M33" s="40">
        <v>5350</v>
      </c>
      <c r="N33" s="128"/>
      <c r="O33" s="128"/>
      <c r="P33" s="129"/>
      <c r="Q33" s="113">
        <f>SUM(S33-R33)</f>
        <v>0</v>
      </c>
      <c r="R33" s="114">
        <f>SUM(S33*7/107)</f>
        <v>0</v>
      </c>
      <c r="S33" s="36">
        <f>SUM(D33+J33-M33)</f>
        <v>0</v>
      </c>
      <c r="T33" s="130"/>
      <c r="U33" s="130"/>
      <c r="V33" s="131"/>
      <c r="W33" s="132"/>
      <c r="X33" s="131"/>
      <c r="Y33" s="132"/>
      <c r="Z33" s="132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</row>
    <row r="34" spans="1:43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5"/>
      <c r="G34" s="136"/>
      <c r="H34" s="127">
        <v>0</v>
      </c>
      <c r="I34" s="127">
        <v>0</v>
      </c>
      <c r="J34" s="98">
        <v>0</v>
      </c>
      <c r="K34" s="38" t="s">
        <v>1185</v>
      </c>
      <c r="L34" s="39" t="s">
        <v>1217</v>
      </c>
      <c r="M34" s="40">
        <v>5350</v>
      </c>
      <c r="N34" s="137"/>
      <c r="O34" s="137"/>
      <c r="P34" s="137"/>
      <c r="Q34" s="113">
        <f>SUM(S34-R34)</f>
        <v>0</v>
      </c>
      <c r="R34" s="114">
        <f>SUM(S34*7/107)</f>
        <v>0</v>
      </c>
      <c r="S34" s="36">
        <f>SUM(D34+J34-M34)</f>
        <v>0</v>
      </c>
      <c r="T34" s="130"/>
      <c r="U34" s="130"/>
      <c r="V34" s="131"/>
      <c r="W34" s="132"/>
      <c r="X34" s="131"/>
      <c r="Y34" s="132"/>
      <c r="Z34" s="132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</row>
    <row r="35" spans="1:43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105"/>
      <c r="G35" s="56"/>
      <c r="H35" s="109">
        <f>SUM(H33:H34)</f>
        <v>0</v>
      </c>
      <c r="I35" s="109">
        <f>SUM(I33:I34)</f>
        <v>0</v>
      </c>
      <c r="J35" s="109">
        <f>SUM(J33:J34)</f>
        <v>0</v>
      </c>
      <c r="K35" s="109"/>
      <c r="L35" s="109"/>
      <c r="M35" s="138">
        <f>SUM(M33:M34)</f>
        <v>10700</v>
      </c>
      <c r="N35" s="119"/>
      <c r="O35" s="119"/>
      <c r="P35" s="108"/>
      <c r="Q35" s="109">
        <f>SUM(Q33:Q34)</f>
        <v>0</v>
      </c>
      <c r="R35" s="109">
        <f>SUM(R33:R34)</f>
        <v>0</v>
      </c>
      <c r="S35" s="138">
        <f>SUM(S33:S34)</f>
        <v>0</v>
      </c>
    </row>
    <row r="36" spans="1:43" ht="22.5" customHeight="1" thickTop="1" x14ac:dyDescent="0.3">
      <c r="A36" s="139"/>
      <c r="B36" s="140" t="s">
        <v>81</v>
      </c>
      <c r="C36" s="141"/>
      <c r="D36" s="91"/>
      <c r="E36" s="142"/>
      <c r="F36" s="142"/>
      <c r="G36" s="92"/>
      <c r="H36" s="143"/>
      <c r="I36" s="143"/>
      <c r="J36" s="143"/>
      <c r="K36" s="68"/>
      <c r="L36" s="68"/>
      <c r="M36" s="64"/>
      <c r="N36" s="144"/>
      <c r="O36" s="144"/>
      <c r="P36" s="145"/>
      <c r="Q36" s="146"/>
      <c r="R36" s="146"/>
      <c r="S36" s="147"/>
    </row>
    <row r="37" spans="1:43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1"/>
      <c r="G37" s="152"/>
      <c r="H37" s="153">
        <v>0</v>
      </c>
      <c r="I37" s="153">
        <v>0</v>
      </c>
      <c r="J37" s="153">
        <v>0</v>
      </c>
      <c r="K37" s="30" t="s">
        <v>1190</v>
      </c>
      <c r="L37" s="31" t="s">
        <v>1218</v>
      </c>
      <c r="M37" s="32">
        <v>6955</v>
      </c>
      <c r="N37" s="154"/>
      <c r="O37" s="154"/>
      <c r="P37" s="155"/>
      <c r="Q37" s="156">
        <v>0</v>
      </c>
      <c r="R37" s="156">
        <v>0</v>
      </c>
      <c r="S37" s="157">
        <v>0</v>
      </c>
    </row>
    <row r="38" spans="1:43" s="60" customFormat="1" ht="22.5" customHeight="1" thickBot="1" x14ac:dyDescent="0.35">
      <c r="A38" s="158"/>
      <c r="B38" s="158" t="s">
        <v>15</v>
      </c>
      <c r="C38" s="159"/>
      <c r="D38" s="160">
        <v>6955</v>
      </c>
      <c r="E38" s="161"/>
      <c r="F38" s="161"/>
      <c r="G38" s="161"/>
      <c r="H38" s="162">
        <f>SUM(H37)</f>
        <v>0</v>
      </c>
      <c r="I38" s="162">
        <f>SUM(I37)</f>
        <v>0</v>
      </c>
      <c r="J38" s="162">
        <f>SUM(J37)</f>
        <v>0</v>
      </c>
      <c r="K38" s="161"/>
      <c r="L38" s="161"/>
      <c r="M38" s="162">
        <f>SUM(M37)</f>
        <v>6955</v>
      </c>
      <c r="N38" s="158"/>
      <c r="O38" s="158"/>
      <c r="P38" s="161"/>
      <c r="Q38" s="162">
        <f>SUM(Q37)</f>
        <v>0</v>
      </c>
      <c r="R38" s="162">
        <f>SUM(R37)</f>
        <v>0</v>
      </c>
      <c r="S38" s="163">
        <f>SUM(S37)</f>
        <v>0</v>
      </c>
    </row>
    <row r="39" spans="1:43" ht="22.5" customHeight="1" thickTop="1" x14ac:dyDescent="0.3">
      <c r="A39" s="115"/>
      <c r="B39" s="164" t="s">
        <v>85</v>
      </c>
      <c r="C39" s="165"/>
      <c r="D39" s="166"/>
      <c r="E39" s="167"/>
      <c r="F39" s="167"/>
      <c r="G39" s="168"/>
      <c r="H39" s="169"/>
      <c r="I39" s="169"/>
      <c r="J39" s="169"/>
      <c r="K39" s="170"/>
      <c r="L39" s="170"/>
      <c r="M39" s="171"/>
      <c r="N39" s="117"/>
      <c r="O39" s="117"/>
      <c r="P39" s="118"/>
      <c r="Q39" s="172"/>
      <c r="R39" s="172"/>
      <c r="S39" s="173"/>
    </row>
    <row r="40" spans="1:43" ht="22.5" customHeight="1" x14ac:dyDescent="0.3">
      <c r="A40" s="174">
        <v>1</v>
      </c>
      <c r="B40" s="175" t="s">
        <v>86</v>
      </c>
      <c r="C40" s="176" t="s">
        <v>87</v>
      </c>
      <c r="D40" s="177"/>
      <c r="E40" s="178"/>
      <c r="F40" s="178"/>
      <c r="G40" s="179"/>
      <c r="H40" s="180">
        <v>0</v>
      </c>
      <c r="I40" s="180">
        <v>0</v>
      </c>
      <c r="J40" s="181">
        <v>0</v>
      </c>
      <c r="K40" s="182"/>
      <c r="L40" s="183"/>
      <c r="M40" s="184"/>
      <c r="N40" s="185"/>
      <c r="O40" s="185"/>
      <c r="P40" s="186"/>
      <c r="Q40" s="187">
        <v>0</v>
      </c>
      <c r="R40" s="187">
        <v>0</v>
      </c>
      <c r="S40" s="188">
        <v>0</v>
      </c>
      <c r="T40" s="3" t="s">
        <v>751</v>
      </c>
    </row>
    <row r="41" spans="1:43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78"/>
      <c r="G41" s="192"/>
      <c r="H41" s="180">
        <v>0</v>
      </c>
      <c r="I41" s="180">
        <v>0</v>
      </c>
      <c r="J41" s="181">
        <v>0</v>
      </c>
      <c r="K41" s="38" t="s">
        <v>1210</v>
      </c>
      <c r="L41" s="39" t="s">
        <v>1219</v>
      </c>
      <c r="M41" s="40">
        <v>3210</v>
      </c>
      <c r="N41" s="111"/>
      <c r="O41" s="891"/>
      <c r="P41" s="193"/>
      <c r="Q41" s="187">
        <v>0</v>
      </c>
      <c r="R41" s="187">
        <v>0</v>
      </c>
      <c r="S41" s="188">
        <v>0</v>
      </c>
    </row>
    <row r="42" spans="1:43" s="60" customFormat="1" ht="22.5" customHeight="1" thickBot="1" x14ac:dyDescent="0.35">
      <c r="A42" s="194"/>
      <c r="B42" s="194" t="s">
        <v>15</v>
      </c>
      <c r="C42" s="195"/>
      <c r="D42" s="53">
        <f>SUM(D40:D41)</f>
        <v>3210</v>
      </c>
      <c r="E42" s="196"/>
      <c r="F42" s="196"/>
      <c r="G42" s="197"/>
      <c r="H42" s="109">
        <f>SUM(H40:H41)</f>
        <v>0</v>
      </c>
      <c r="I42" s="109">
        <f>SUM(I40:I41)</f>
        <v>0</v>
      </c>
      <c r="J42" s="109">
        <f>SUM(J40:J41)</f>
        <v>0</v>
      </c>
      <c r="K42" s="198"/>
      <c r="L42" s="199"/>
      <c r="M42" s="200">
        <f>SUM(M40:M41)</f>
        <v>3210</v>
      </c>
      <c r="N42" s="201"/>
      <c r="O42" s="201"/>
      <c r="P42" s="202"/>
      <c r="Q42" s="162">
        <f>SUM(Q40:Q41)</f>
        <v>0</v>
      </c>
      <c r="R42" s="162">
        <f>SUM(R40:R41)</f>
        <v>0</v>
      </c>
      <c r="S42" s="162">
        <f>SUM(S40:S41)</f>
        <v>0</v>
      </c>
      <c r="T42" s="59"/>
    </row>
    <row r="43" spans="1:43" ht="22.5" customHeight="1" thickTop="1" x14ac:dyDescent="0.3">
      <c r="A43" s="61"/>
      <c r="B43" s="62" t="s">
        <v>92</v>
      </c>
      <c r="C43" s="63"/>
      <c r="D43" s="64"/>
      <c r="E43" s="203"/>
      <c r="F43" s="203"/>
      <c r="G43" s="204"/>
      <c r="H43" s="205"/>
      <c r="I43" s="205"/>
      <c r="J43" s="205"/>
      <c r="K43" s="68"/>
      <c r="L43" s="68"/>
      <c r="M43" s="64"/>
      <c r="N43" s="61"/>
      <c r="O43" s="61"/>
      <c r="P43" s="204"/>
      <c r="Q43" s="206"/>
      <c r="R43" s="206"/>
      <c r="S43" s="207"/>
      <c r="T43" s="2"/>
    </row>
    <row r="44" spans="1:43" ht="22.5" customHeight="1" x14ac:dyDescent="0.5">
      <c r="A44" s="208">
        <v>1</v>
      </c>
      <c r="B44" s="209" t="s">
        <v>93</v>
      </c>
      <c r="C44" s="210" t="s">
        <v>43</v>
      </c>
      <c r="D44" s="211">
        <v>3926.9</v>
      </c>
      <c r="E44" s="212"/>
      <c r="F44" s="212"/>
      <c r="G44" s="213"/>
      <c r="H44" s="214">
        <v>0</v>
      </c>
      <c r="I44" s="214">
        <v>0</v>
      </c>
      <c r="J44" s="214">
        <v>0</v>
      </c>
      <c r="K44" s="30" t="s">
        <v>1195</v>
      </c>
      <c r="L44" s="31" t="s">
        <v>1220</v>
      </c>
      <c r="M44" s="32">
        <v>3926.9</v>
      </c>
      <c r="N44" s="215"/>
      <c r="O44" s="215"/>
      <c r="P44" s="216"/>
      <c r="Q44" s="113">
        <f>SUM(S44-R44)</f>
        <v>0</v>
      </c>
      <c r="R44" s="113">
        <f>SUM(S44*7/107)</f>
        <v>0</v>
      </c>
      <c r="S44" s="217">
        <f>SUM(D44+J44-M44)</f>
        <v>0</v>
      </c>
      <c r="T44" s="218"/>
    </row>
    <row r="45" spans="1:43" ht="22.5" customHeight="1" x14ac:dyDescent="0.5">
      <c r="A45" s="208"/>
      <c r="B45" s="209" t="s">
        <v>95</v>
      </c>
      <c r="C45" s="210" t="s">
        <v>43</v>
      </c>
      <c r="D45" s="211">
        <v>6762.4</v>
      </c>
      <c r="E45" s="212"/>
      <c r="F45" s="212"/>
      <c r="G45" s="213"/>
      <c r="H45" s="214">
        <v>0</v>
      </c>
      <c r="I45" s="214">
        <v>0</v>
      </c>
      <c r="J45" s="214">
        <v>0</v>
      </c>
      <c r="K45" s="30" t="s">
        <v>1195</v>
      </c>
      <c r="L45" s="31" t="s">
        <v>1220</v>
      </c>
      <c r="M45" s="32">
        <v>6762.4</v>
      </c>
      <c r="N45" s="215"/>
      <c r="O45" s="215"/>
      <c r="P45" s="216"/>
      <c r="Q45" s="113">
        <f t="shared" ref="Q45:Q109" si="4">SUM(S45-R45)</f>
        <v>0</v>
      </c>
      <c r="R45" s="113">
        <f t="shared" ref="R45:R109" si="5">SUM(S45*7/107)</f>
        <v>0</v>
      </c>
      <c r="S45" s="217">
        <f t="shared" ref="S45:S109" si="6">SUM(D45+J45-M45)</f>
        <v>0</v>
      </c>
      <c r="T45" s="218"/>
    </row>
    <row r="46" spans="1:43" ht="22.5" customHeight="1" x14ac:dyDescent="0.5">
      <c r="A46" s="208">
        <v>2</v>
      </c>
      <c r="B46" s="73" t="s">
        <v>96</v>
      </c>
      <c r="C46" s="25" t="s">
        <v>97</v>
      </c>
      <c r="D46" s="211">
        <v>8881</v>
      </c>
      <c r="E46" s="212" t="s">
        <v>1153</v>
      </c>
      <c r="F46" s="212" t="s">
        <v>33</v>
      </c>
      <c r="G46" s="213" t="s">
        <v>33</v>
      </c>
      <c r="H46" s="219">
        <v>5489.9999999999964</v>
      </c>
      <c r="I46" s="214">
        <v>384.29999999999978</v>
      </c>
      <c r="J46" s="219">
        <v>5874.2999999999965</v>
      </c>
      <c r="K46" s="30" t="s">
        <v>1187</v>
      </c>
      <c r="L46" s="220" t="s">
        <v>1221</v>
      </c>
      <c r="M46" s="221">
        <v>5874.3</v>
      </c>
      <c r="N46" s="215" t="s">
        <v>1192</v>
      </c>
      <c r="O46" s="215" t="s">
        <v>33</v>
      </c>
      <c r="P46" s="216" t="s">
        <v>33</v>
      </c>
      <c r="Q46" s="113">
        <f t="shared" si="4"/>
        <v>8299.9999999999964</v>
      </c>
      <c r="R46" s="113">
        <f t="shared" si="5"/>
        <v>580.99999999999977</v>
      </c>
      <c r="S46" s="217">
        <f t="shared" si="6"/>
        <v>8880.9999999999964</v>
      </c>
      <c r="T46" s="2"/>
    </row>
    <row r="47" spans="1:43" ht="22.5" customHeight="1" x14ac:dyDescent="0.5">
      <c r="A47" s="208">
        <v>3</v>
      </c>
      <c r="B47" s="73" t="s">
        <v>99</v>
      </c>
      <c r="C47" s="25" t="s">
        <v>100</v>
      </c>
      <c r="D47" s="211">
        <v>3819.9</v>
      </c>
      <c r="E47" s="212" t="s">
        <v>1153</v>
      </c>
      <c r="F47" s="212" t="s">
        <v>33</v>
      </c>
      <c r="G47" s="213" t="s">
        <v>33</v>
      </c>
      <c r="H47" s="219">
        <v>3919.9999999999986</v>
      </c>
      <c r="I47" s="214">
        <v>274.39999999999992</v>
      </c>
      <c r="J47" s="219">
        <v>4194.3999999999987</v>
      </c>
      <c r="K47" s="30" t="s">
        <v>1222</v>
      </c>
      <c r="L47" s="31" t="s">
        <v>1223</v>
      </c>
      <c r="M47" s="32">
        <v>8014.2999999999993</v>
      </c>
      <c r="N47" s="215"/>
      <c r="O47" s="215"/>
      <c r="P47" s="216"/>
      <c r="Q47" s="113">
        <f t="shared" si="4"/>
        <v>0</v>
      </c>
      <c r="R47" s="113">
        <f t="shared" si="5"/>
        <v>0</v>
      </c>
      <c r="S47" s="217">
        <f t="shared" si="6"/>
        <v>0</v>
      </c>
      <c r="T47" s="2"/>
    </row>
    <row r="48" spans="1:43" ht="22.5" customHeight="1" x14ac:dyDescent="0.5">
      <c r="A48" s="208"/>
      <c r="B48" s="24" t="s">
        <v>102</v>
      </c>
      <c r="C48" s="222" t="s">
        <v>100</v>
      </c>
      <c r="D48" s="211">
        <v>181.9</v>
      </c>
      <c r="E48" s="212" t="s">
        <v>1153</v>
      </c>
      <c r="F48" s="212" t="s">
        <v>33</v>
      </c>
      <c r="G48" s="213" t="s">
        <v>33</v>
      </c>
      <c r="H48" s="219">
        <v>210</v>
      </c>
      <c r="I48" s="214">
        <v>14.7</v>
      </c>
      <c r="J48" s="219">
        <v>224.7</v>
      </c>
      <c r="K48" s="30" t="s">
        <v>1222</v>
      </c>
      <c r="L48" s="31" t="s">
        <v>1223</v>
      </c>
      <c r="M48" s="32">
        <v>406.6</v>
      </c>
      <c r="N48" s="215"/>
      <c r="O48" s="215"/>
      <c r="P48" s="216"/>
      <c r="Q48" s="113">
        <f t="shared" si="4"/>
        <v>0</v>
      </c>
      <c r="R48" s="113">
        <f t="shared" si="5"/>
        <v>0</v>
      </c>
      <c r="S48" s="217">
        <f t="shared" si="6"/>
        <v>0</v>
      </c>
      <c r="T48" s="2"/>
    </row>
    <row r="49" spans="1:20" ht="22.5" customHeight="1" x14ac:dyDescent="0.5">
      <c r="A49" s="208">
        <v>4</v>
      </c>
      <c r="B49" s="73" t="s">
        <v>103</v>
      </c>
      <c r="C49" s="25" t="s">
        <v>97</v>
      </c>
      <c r="D49" s="211">
        <v>4483.3</v>
      </c>
      <c r="E49" s="212"/>
      <c r="F49" s="212"/>
      <c r="G49" s="213"/>
      <c r="H49" s="219">
        <v>0</v>
      </c>
      <c r="I49" s="214">
        <v>0</v>
      </c>
      <c r="J49" s="219">
        <v>0</v>
      </c>
      <c r="K49" s="30"/>
      <c r="L49" s="31"/>
      <c r="M49" s="32"/>
      <c r="N49" s="215" t="s">
        <v>1192</v>
      </c>
      <c r="O49" s="215" t="s">
        <v>33</v>
      </c>
      <c r="P49" s="216" t="s">
        <v>33</v>
      </c>
      <c r="Q49" s="113">
        <f t="shared" si="4"/>
        <v>4190</v>
      </c>
      <c r="R49" s="113">
        <f t="shared" si="5"/>
        <v>293.3</v>
      </c>
      <c r="S49" s="217">
        <f t="shared" si="6"/>
        <v>4483.3</v>
      </c>
      <c r="T49" s="2"/>
    </row>
    <row r="50" spans="1:20" ht="22.5" customHeight="1" x14ac:dyDescent="0.5">
      <c r="A50" s="208"/>
      <c r="B50" s="73" t="s">
        <v>104</v>
      </c>
      <c r="C50" s="25" t="s">
        <v>97</v>
      </c>
      <c r="D50" s="211">
        <v>11481.1</v>
      </c>
      <c r="E50" s="212" t="s">
        <v>1153</v>
      </c>
      <c r="F50" s="212" t="s">
        <v>33</v>
      </c>
      <c r="G50" s="213" t="s">
        <v>33</v>
      </c>
      <c r="H50" s="219">
        <v>14020</v>
      </c>
      <c r="I50" s="214">
        <v>981.4</v>
      </c>
      <c r="J50" s="219">
        <v>15001.4</v>
      </c>
      <c r="K50" s="30" t="s">
        <v>1201</v>
      </c>
      <c r="L50" s="31" t="s">
        <v>1224</v>
      </c>
      <c r="M50" s="32">
        <v>15001.4</v>
      </c>
      <c r="N50" s="215" t="s">
        <v>1192</v>
      </c>
      <c r="O50" s="215" t="s">
        <v>33</v>
      </c>
      <c r="P50" s="216" t="s">
        <v>33</v>
      </c>
      <c r="Q50" s="113">
        <f t="shared" si="4"/>
        <v>10730</v>
      </c>
      <c r="R50" s="113">
        <f t="shared" si="5"/>
        <v>751.1</v>
      </c>
      <c r="S50" s="217">
        <f t="shared" si="6"/>
        <v>11481.1</v>
      </c>
      <c r="T50" s="2"/>
    </row>
    <row r="51" spans="1:20" ht="22.5" customHeight="1" x14ac:dyDescent="0.5">
      <c r="A51" s="208">
        <v>5</v>
      </c>
      <c r="B51" s="73" t="s">
        <v>105</v>
      </c>
      <c r="C51" s="25" t="s">
        <v>97</v>
      </c>
      <c r="D51" s="211">
        <v>9801.2000000000007</v>
      </c>
      <c r="E51" s="212" t="s">
        <v>1153</v>
      </c>
      <c r="F51" s="212" t="s">
        <v>33</v>
      </c>
      <c r="G51" s="213" t="s">
        <v>33</v>
      </c>
      <c r="H51" s="219">
        <v>9890.0000000000055</v>
      </c>
      <c r="I51" s="214">
        <v>692.30000000000041</v>
      </c>
      <c r="J51" s="219">
        <v>10582.300000000007</v>
      </c>
      <c r="K51" s="30" t="s">
        <v>1199</v>
      </c>
      <c r="L51" s="31" t="s">
        <v>1225</v>
      </c>
      <c r="M51" s="32">
        <v>10582.3</v>
      </c>
      <c r="N51" s="215" t="s">
        <v>1192</v>
      </c>
      <c r="O51" s="215" t="s">
        <v>33</v>
      </c>
      <c r="P51" s="216" t="s">
        <v>33</v>
      </c>
      <c r="Q51" s="113">
        <f t="shared" si="4"/>
        <v>9160.0000000000073</v>
      </c>
      <c r="R51" s="113">
        <f t="shared" si="5"/>
        <v>641.2000000000005</v>
      </c>
      <c r="S51" s="217">
        <f t="shared" si="6"/>
        <v>9801.200000000008</v>
      </c>
      <c r="T51" s="2"/>
    </row>
    <row r="52" spans="1:20" ht="22.5" customHeight="1" x14ac:dyDescent="0.5">
      <c r="A52" s="208">
        <v>6</v>
      </c>
      <c r="B52" s="73" t="s">
        <v>107</v>
      </c>
      <c r="C52" s="25" t="s">
        <v>97</v>
      </c>
      <c r="D52" s="211">
        <v>535</v>
      </c>
      <c r="E52" s="212" t="s">
        <v>1153</v>
      </c>
      <c r="F52" s="212" t="s">
        <v>33</v>
      </c>
      <c r="G52" s="213" t="s">
        <v>33</v>
      </c>
      <c r="H52" s="219">
        <v>500</v>
      </c>
      <c r="I52" s="214">
        <v>35</v>
      </c>
      <c r="J52" s="219">
        <v>535</v>
      </c>
      <c r="K52" s="30" t="s">
        <v>1226</v>
      </c>
      <c r="L52" s="31" t="s">
        <v>1227</v>
      </c>
      <c r="M52" s="32">
        <v>1070</v>
      </c>
      <c r="N52" s="215"/>
      <c r="O52" s="215"/>
      <c r="P52" s="216"/>
      <c r="Q52" s="113">
        <f t="shared" si="4"/>
        <v>0</v>
      </c>
      <c r="R52" s="113">
        <f t="shared" si="5"/>
        <v>0</v>
      </c>
      <c r="S52" s="217">
        <f t="shared" si="6"/>
        <v>0</v>
      </c>
      <c r="T52" s="2" t="s">
        <v>832</v>
      </c>
    </row>
    <row r="53" spans="1:20" ht="22.5" customHeight="1" x14ac:dyDescent="0.5">
      <c r="A53" s="208">
        <v>7</v>
      </c>
      <c r="B53" s="209" t="s">
        <v>109</v>
      </c>
      <c r="C53" s="210" t="s">
        <v>97</v>
      </c>
      <c r="D53" s="211">
        <v>31875.3</v>
      </c>
      <c r="E53" s="212" t="s">
        <v>1153</v>
      </c>
      <c r="F53" s="212" t="s">
        <v>33</v>
      </c>
      <c r="G53" s="213" t="s">
        <v>33</v>
      </c>
      <c r="H53" s="214">
        <v>36600</v>
      </c>
      <c r="I53" s="214">
        <v>2562</v>
      </c>
      <c r="J53" s="214">
        <v>39162</v>
      </c>
      <c r="K53" s="30" t="s">
        <v>1228</v>
      </c>
      <c r="L53" s="31" t="s">
        <v>1229</v>
      </c>
      <c r="M53" s="32">
        <v>71037.3</v>
      </c>
      <c r="N53" s="215"/>
      <c r="O53" s="215"/>
      <c r="P53" s="216"/>
      <c r="Q53" s="113">
        <f t="shared" si="4"/>
        <v>0</v>
      </c>
      <c r="R53" s="113">
        <f t="shared" si="5"/>
        <v>0</v>
      </c>
      <c r="S53" s="217">
        <f t="shared" si="6"/>
        <v>0</v>
      </c>
      <c r="T53" s="218"/>
    </row>
    <row r="54" spans="1:20" ht="22.5" customHeight="1" x14ac:dyDescent="0.5">
      <c r="A54" s="208">
        <v>8</v>
      </c>
      <c r="B54" s="73" t="s">
        <v>110</v>
      </c>
      <c r="C54" s="25" t="s">
        <v>87</v>
      </c>
      <c r="D54" s="211">
        <v>7179.7</v>
      </c>
      <c r="E54" s="212"/>
      <c r="F54" s="212"/>
      <c r="G54" s="213"/>
      <c r="H54" s="219">
        <v>0</v>
      </c>
      <c r="I54" s="214">
        <v>0</v>
      </c>
      <c r="J54" s="219">
        <v>0</v>
      </c>
      <c r="K54" s="30" t="s">
        <v>1187</v>
      </c>
      <c r="L54" s="31" t="s">
        <v>1230</v>
      </c>
      <c r="M54" s="32">
        <v>7179.7</v>
      </c>
      <c r="N54" s="215"/>
      <c r="O54" s="215"/>
      <c r="P54" s="216"/>
      <c r="Q54" s="113">
        <f t="shared" si="4"/>
        <v>0</v>
      </c>
      <c r="R54" s="113">
        <f t="shared" si="5"/>
        <v>0</v>
      </c>
      <c r="S54" s="217">
        <f t="shared" si="6"/>
        <v>0</v>
      </c>
      <c r="T54" s="2"/>
    </row>
    <row r="55" spans="1:20" ht="22.5" customHeight="1" x14ac:dyDescent="0.5">
      <c r="A55" s="208">
        <v>9</v>
      </c>
      <c r="B55" s="73" t="s">
        <v>112</v>
      </c>
      <c r="C55" s="25" t="s">
        <v>113</v>
      </c>
      <c r="D55" s="211">
        <v>963</v>
      </c>
      <c r="E55" s="212" t="s">
        <v>1153</v>
      </c>
      <c r="F55" s="212" t="s">
        <v>33</v>
      </c>
      <c r="G55" s="213" t="s">
        <v>33</v>
      </c>
      <c r="H55" s="219">
        <v>1840.0000000000007</v>
      </c>
      <c r="I55" s="214">
        <v>128.80000000000004</v>
      </c>
      <c r="J55" s="219">
        <v>1968.8000000000006</v>
      </c>
      <c r="K55" s="30" t="s">
        <v>1231</v>
      </c>
      <c r="L55" s="31" t="s">
        <v>1232</v>
      </c>
      <c r="M55" s="32">
        <v>1968.8</v>
      </c>
      <c r="N55" s="215" t="s">
        <v>1192</v>
      </c>
      <c r="O55" s="215" t="s">
        <v>33</v>
      </c>
      <c r="P55" s="216" t="s">
        <v>33</v>
      </c>
      <c r="Q55" s="113">
        <f t="shared" si="4"/>
        <v>900.00000000000068</v>
      </c>
      <c r="R55" s="113">
        <f t="shared" si="5"/>
        <v>63.000000000000043</v>
      </c>
      <c r="S55" s="217">
        <f t="shared" si="6"/>
        <v>963.00000000000068</v>
      </c>
      <c r="T55" s="2"/>
    </row>
    <row r="56" spans="1:20" ht="22.5" customHeight="1" x14ac:dyDescent="0.5">
      <c r="A56" s="208"/>
      <c r="B56" s="73" t="s">
        <v>116</v>
      </c>
      <c r="C56" s="25" t="s">
        <v>113</v>
      </c>
      <c r="D56" s="211">
        <v>1027.2</v>
      </c>
      <c r="E56" s="212" t="s">
        <v>1153</v>
      </c>
      <c r="F56" s="212" t="s">
        <v>33</v>
      </c>
      <c r="G56" s="213" t="s">
        <v>33</v>
      </c>
      <c r="H56" s="219">
        <v>1710.0000000000023</v>
      </c>
      <c r="I56" s="214">
        <v>119.70000000000017</v>
      </c>
      <c r="J56" s="219">
        <v>1829.7000000000025</v>
      </c>
      <c r="K56" s="30"/>
      <c r="L56" s="31"/>
      <c r="M56" s="32"/>
      <c r="N56" s="215" t="s">
        <v>1233</v>
      </c>
      <c r="O56" s="215" t="s">
        <v>115</v>
      </c>
      <c r="P56" s="216" t="s">
        <v>115</v>
      </c>
      <c r="Q56" s="113">
        <f t="shared" si="4"/>
        <v>2670.0000000000023</v>
      </c>
      <c r="R56" s="113">
        <f t="shared" si="5"/>
        <v>186.90000000000018</v>
      </c>
      <c r="S56" s="217">
        <f t="shared" si="6"/>
        <v>2856.9000000000024</v>
      </c>
      <c r="T56" s="2"/>
    </row>
    <row r="57" spans="1:20" ht="22.5" customHeight="1" x14ac:dyDescent="0.5">
      <c r="A57" s="208">
        <v>10</v>
      </c>
      <c r="B57" s="73" t="s">
        <v>117</v>
      </c>
      <c r="C57" s="25" t="s">
        <v>118</v>
      </c>
      <c r="D57" s="211">
        <v>759.7</v>
      </c>
      <c r="E57" s="212" t="s">
        <v>1153</v>
      </c>
      <c r="F57" s="212" t="s">
        <v>33</v>
      </c>
      <c r="G57" s="213" t="s">
        <v>33</v>
      </c>
      <c r="H57" s="219">
        <v>790</v>
      </c>
      <c r="I57" s="214">
        <v>55.3</v>
      </c>
      <c r="J57" s="219">
        <v>845.3</v>
      </c>
      <c r="K57" s="30" t="s">
        <v>1234</v>
      </c>
      <c r="L57" s="31" t="s">
        <v>1235</v>
      </c>
      <c r="M57" s="32">
        <v>1605</v>
      </c>
      <c r="N57" s="215"/>
      <c r="O57" s="215"/>
      <c r="P57" s="216"/>
      <c r="Q57" s="113">
        <f t="shared" si="4"/>
        <v>0</v>
      </c>
      <c r="R57" s="113">
        <f t="shared" si="5"/>
        <v>0</v>
      </c>
      <c r="S57" s="217">
        <f t="shared" si="6"/>
        <v>0</v>
      </c>
      <c r="T57" s="2"/>
    </row>
    <row r="58" spans="1:20" ht="22.5" customHeight="1" x14ac:dyDescent="0.5">
      <c r="A58" s="208"/>
      <c r="B58" s="73" t="s">
        <v>120</v>
      </c>
      <c r="C58" s="25" t="s">
        <v>118</v>
      </c>
      <c r="D58" s="211">
        <v>428</v>
      </c>
      <c r="E58" s="212" t="s">
        <v>1153</v>
      </c>
      <c r="F58" s="212" t="s">
        <v>33</v>
      </c>
      <c r="G58" s="213" t="s">
        <v>33</v>
      </c>
      <c r="H58" s="219">
        <v>5040.0000000000009</v>
      </c>
      <c r="I58" s="214">
        <v>352.80000000000007</v>
      </c>
      <c r="J58" s="219">
        <v>5392.8000000000011</v>
      </c>
      <c r="K58" s="30" t="s">
        <v>1234</v>
      </c>
      <c r="L58" s="31" t="s">
        <v>1235</v>
      </c>
      <c r="M58" s="32">
        <v>5820.8</v>
      </c>
      <c r="N58" s="215"/>
      <c r="O58" s="215"/>
      <c r="P58" s="216"/>
      <c r="Q58" s="113">
        <f t="shared" si="4"/>
        <v>8.4999504838591423E-13</v>
      </c>
      <c r="R58" s="113">
        <f t="shared" si="5"/>
        <v>5.9499653387013991E-14</v>
      </c>
      <c r="S58" s="217">
        <f t="shared" si="6"/>
        <v>9.0949470177292824E-13</v>
      </c>
      <c r="T58" s="2"/>
    </row>
    <row r="59" spans="1:20" ht="22.5" customHeight="1" x14ac:dyDescent="0.5">
      <c r="A59" s="208">
        <v>11</v>
      </c>
      <c r="B59" s="73" t="s">
        <v>121</v>
      </c>
      <c r="C59" s="83" t="s">
        <v>122</v>
      </c>
      <c r="D59" s="211">
        <v>7714.7</v>
      </c>
      <c r="E59" s="212" t="s">
        <v>1153</v>
      </c>
      <c r="F59" s="212" t="s">
        <v>33</v>
      </c>
      <c r="G59" s="213" t="s">
        <v>33</v>
      </c>
      <c r="H59" s="219">
        <v>6039.9999999999982</v>
      </c>
      <c r="I59" s="214">
        <v>422.7999999999999</v>
      </c>
      <c r="J59" s="219">
        <v>6462.7999999999984</v>
      </c>
      <c r="K59" s="30" t="s">
        <v>1236</v>
      </c>
      <c r="L59" s="31" t="s">
        <v>1237</v>
      </c>
      <c r="M59" s="32">
        <v>14177.5</v>
      </c>
      <c r="N59" s="215"/>
      <c r="O59" s="215"/>
      <c r="P59" s="216"/>
      <c r="Q59" s="113">
        <f t="shared" si="4"/>
        <v>-1.6999900967718285E-12</v>
      </c>
      <c r="R59" s="113">
        <f t="shared" si="5"/>
        <v>-1.1899930677402798E-13</v>
      </c>
      <c r="S59" s="217">
        <f t="shared" si="6"/>
        <v>-1.8189894035458565E-12</v>
      </c>
      <c r="T59" s="223"/>
    </row>
    <row r="60" spans="1:20" ht="22.5" customHeight="1" x14ac:dyDescent="0.5">
      <c r="A60" s="208"/>
      <c r="B60" s="73" t="s">
        <v>121</v>
      </c>
      <c r="C60" s="83" t="s">
        <v>122</v>
      </c>
      <c r="D60" s="211">
        <v>4194.3999999999996</v>
      </c>
      <c r="E60" s="212" t="s">
        <v>1153</v>
      </c>
      <c r="F60" s="212" t="s">
        <v>33</v>
      </c>
      <c r="G60" s="213" t="s">
        <v>33</v>
      </c>
      <c r="H60" s="219">
        <v>2610</v>
      </c>
      <c r="I60" s="214">
        <v>182.7</v>
      </c>
      <c r="J60" s="219">
        <v>2792.7</v>
      </c>
      <c r="K60" s="30" t="s">
        <v>1236</v>
      </c>
      <c r="L60" s="31" t="s">
        <v>1237</v>
      </c>
      <c r="M60" s="32">
        <v>6987.0999999999995</v>
      </c>
      <c r="N60" s="215"/>
      <c r="O60" s="215"/>
      <c r="P60" s="216"/>
      <c r="Q60" s="113">
        <f t="shared" si="4"/>
        <v>0</v>
      </c>
      <c r="R60" s="113">
        <f t="shared" si="5"/>
        <v>0</v>
      </c>
      <c r="S60" s="217">
        <f t="shared" si="6"/>
        <v>0</v>
      </c>
      <c r="T60" s="223"/>
    </row>
    <row r="61" spans="1:20" ht="22.5" customHeight="1" x14ac:dyDescent="0.5">
      <c r="A61" s="208">
        <v>12</v>
      </c>
      <c r="B61" s="73" t="s">
        <v>124</v>
      </c>
      <c r="C61" s="83" t="s">
        <v>125</v>
      </c>
      <c r="D61" s="211">
        <v>6045.5</v>
      </c>
      <c r="E61" s="212" t="s">
        <v>1153</v>
      </c>
      <c r="F61" s="212" t="s">
        <v>33</v>
      </c>
      <c r="G61" s="213" t="s">
        <v>33</v>
      </c>
      <c r="H61" s="219">
        <v>4210.0000000000009</v>
      </c>
      <c r="I61" s="214">
        <v>294.70000000000005</v>
      </c>
      <c r="J61" s="219">
        <v>4504.7000000000007</v>
      </c>
      <c r="K61" s="30" t="s">
        <v>1238</v>
      </c>
      <c r="L61" s="31" t="s">
        <v>1239</v>
      </c>
      <c r="M61" s="32">
        <v>10550.2</v>
      </c>
      <c r="N61" s="215"/>
      <c r="O61" s="215"/>
      <c r="P61" s="216"/>
      <c r="Q61" s="113">
        <f t="shared" si="4"/>
        <v>0</v>
      </c>
      <c r="R61" s="113">
        <f t="shared" si="5"/>
        <v>0</v>
      </c>
      <c r="S61" s="217">
        <f t="shared" si="6"/>
        <v>0</v>
      </c>
      <c r="T61" s="2"/>
    </row>
    <row r="62" spans="1:20" ht="22.5" customHeight="1" x14ac:dyDescent="0.5">
      <c r="A62" s="208">
        <v>13</v>
      </c>
      <c r="B62" s="78" t="s">
        <v>127</v>
      </c>
      <c r="C62" s="25" t="s">
        <v>128</v>
      </c>
      <c r="D62" s="211"/>
      <c r="E62" s="212"/>
      <c r="F62" s="212"/>
      <c r="G62" s="213"/>
      <c r="H62" s="224">
        <v>0</v>
      </c>
      <c r="I62" s="214">
        <v>0</v>
      </c>
      <c r="J62" s="219">
        <v>0</v>
      </c>
      <c r="K62" s="38"/>
      <c r="L62" s="39"/>
      <c r="M62" s="40"/>
      <c r="N62" s="215"/>
      <c r="O62" s="215"/>
      <c r="P62" s="216"/>
      <c r="Q62" s="113">
        <f t="shared" si="4"/>
        <v>0</v>
      </c>
      <c r="R62" s="113">
        <f t="shared" si="5"/>
        <v>0</v>
      </c>
      <c r="S62" s="217">
        <f t="shared" si="6"/>
        <v>0</v>
      </c>
      <c r="T62" s="2"/>
    </row>
    <row r="63" spans="1:20" ht="22.5" customHeight="1" x14ac:dyDescent="0.5">
      <c r="A63" s="208">
        <v>14</v>
      </c>
      <c r="B63" s="78" t="s">
        <v>129</v>
      </c>
      <c r="C63" s="210" t="s">
        <v>130</v>
      </c>
      <c r="D63" s="211">
        <v>1872.5</v>
      </c>
      <c r="E63" s="212" t="s">
        <v>1153</v>
      </c>
      <c r="F63" s="212" t="s">
        <v>33</v>
      </c>
      <c r="G63" s="213" t="s">
        <v>33</v>
      </c>
      <c r="H63" s="224">
        <v>3419.9999999999995</v>
      </c>
      <c r="I63" s="214">
        <v>239.39999999999995</v>
      </c>
      <c r="J63" s="219">
        <v>3659.3999999999996</v>
      </c>
      <c r="K63" s="30" t="s">
        <v>1240</v>
      </c>
      <c r="L63" s="31" t="s">
        <v>1241</v>
      </c>
      <c r="M63" s="32">
        <v>5531.9</v>
      </c>
      <c r="N63" s="215"/>
      <c r="O63" s="215"/>
      <c r="P63" s="216"/>
      <c r="Q63" s="113">
        <f t="shared" si="4"/>
        <v>0</v>
      </c>
      <c r="R63" s="113">
        <f t="shared" si="5"/>
        <v>0</v>
      </c>
      <c r="S63" s="217">
        <f t="shared" si="6"/>
        <v>0</v>
      </c>
      <c r="T63" s="2"/>
    </row>
    <row r="64" spans="1:20" ht="22.5" customHeight="1" x14ac:dyDescent="0.5">
      <c r="A64" s="208"/>
      <c r="B64" s="78" t="s">
        <v>132</v>
      </c>
      <c r="C64" s="210" t="s">
        <v>130</v>
      </c>
      <c r="D64" s="211">
        <v>12037.5</v>
      </c>
      <c r="E64" s="212" t="s">
        <v>1153</v>
      </c>
      <c r="F64" s="212" t="s">
        <v>33</v>
      </c>
      <c r="G64" s="213" t="s">
        <v>33</v>
      </c>
      <c r="H64" s="224">
        <v>10249.999999999991</v>
      </c>
      <c r="I64" s="214">
        <v>717.49999999999943</v>
      </c>
      <c r="J64" s="219">
        <v>10967.499999999991</v>
      </c>
      <c r="K64" s="30" t="s">
        <v>1240</v>
      </c>
      <c r="L64" s="31" t="s">
        <v>1241</v>
      </c>
      <c r="M64" s="32">
        <v>23005</v>
      </c>
      <c r="N64" s="215"/>
      <c r="O64" s="215"/>
      <c r="P64" s="216"/>
      <c r="Q64" s="113">
        <f t="shared" si="4"/>
        <v>-6.7999603870873139E-12</v>
      </c>
      <c r="R64" s="113">
        <f t="shared" si="5"/>
        <v>-4.7599722709611193E-13</v>
      </c>
      <c r="S64" s="217">
        <f t="shared" si="6"/>
        <v>-7.2759576141834259E-12</v>
      </c>
      <c r="T64" s="2"/>
    </row>
    <row r="65" spans="1:20" ht="22.5" customHeight="1" x14ac:dyDescent="0.5">
      <c r="A65" s="208">
        <v>15</v>
      </c>
      <c r="B65" s="78" t="s">
        <v>134</v>
      </c>
      <c r="C65" s="165" t="s">
        <v>135</v>
      </c>
      <c r="D65" s="211">
        <v>1540.8</v>
      </c>
      <c r="E65" s="212"/>
      <c r="F65" s="212"/>
      <c r="G65" s="213"/>
      <c r="H65" s="224">
        <v>0</v>
      </c>
      <c r="I65" s="214">
        <v>0</v>
      </c>
      <c r="J65" s="219">
        <v>0</v>
      </c>
      <c r="K65" s="38" t="s">
        <v>1195</v>
      </c>
      <c r="L65" s="39" t="s">
        <v>1242</v>
      </c>
      <c r="M65" s="40">
        <v>1540.8</v>
      </c>
      <c r="N65" s="215"/>
      <c r="O65" s="215"/>
      <c r="P65" s="216"/>
      <c r="Q65" s="113">
        <f t="shared" si="4"/>
        <v>0</v>
      </c>
      <c r="R65" s="113">
        <f t="shared" si="5"/>
        <v>0</v>
      </c>
      <c r="S65" s="217">
        <f t="shared" si="6"/>
        <v>0</v>
      </c>
      <c r="T65" s="2"/>
    </row>
    <row r="66" spans="1:20" s="229" customFormat="1" ht="22.5" customHeight="1" x14ac:dyDescent="0.5">
      <c r="A66" s="225">
        <v>16</v>
      </c>
      <c r="B66" s="226" t="s">
        <v>137</v>
      </c>
      <c r="C66" s="227"/>
      <c r="D66" s="211">
        <v>3006.7</v>
      </c>
      <c r="E66" s="212" t="s">
        <v>1153</v>
      </c>
      <c r="F66" s="234" t="s">
        <v>33</v>
      </c>
      <c r="G66" s="228" t="s">
        <v>33</v>
      </c>
      <c r="H66" s="224">
        <v>3410</v>
      </c>
      <c r="I66" s="214">
        <v>238.7</v>
      </c>
      <c r="J66" s="224">
        <v>3648.7</v>
      </c>
      <c r="K66" s="38" t="s">
        <v>1201</v>
      </c>
      <c r="L66" s="39" t="s">
        <v>1243</v>
      </c>
      <c r="M66" s="40">
        <v>3648.7</v>
      </c>
      <c r="N66" s="215" t="s">
        <v>1192</v>
      </c>
      <c r="O66" s="215" t="s">
        <v>33</v>
      </c>
      <c r="P66" s="216" t="s">
        <v>33</v>
      </c>
      <c r="Q66" s="113">
        <f t="shared" si="4"/>
        <v>2810</v>
      </c>
      <c r="R66" s="113">
        <f t="shared" si="5"/>
        <v>196.7</v>
      </c>
      <c r="S66" s="217">
        <f t="shared" si="6"/>
        <v>3006.7</v>
      </c>
      <c r="T66" s="47"/>
    </row>
    <row r="67" spans="1:20" s="229" customFormat="1" ht="22.5" customHeight="1" x14ac:dyDescent="0.5">
      <c r="A67" s="225"/>
      <c r="B67" s="226" t="s">
        <v>139</v>
      </c>
      <c r="C67" s="227" t="s">
        <v>140</v>
      </c>
      <c r="D67" s="211"/>
      <c r="E67" s="230"/>
      <c r="F67" s="230"/>
      <c r="G67" s="231"/>
      <c r="H67" s="232">
        <v>0</v>
      </c>
      <c r="I67" s="233">
        <v>0</v>
      </c>
      <c r="J67" s="232">
        <v>0</v>
      </c>
      <c r="K67" s="38"/>
      <c r="L67" s="39"/>
      <c r="M67" s="40"/>
      <c r="N67" s="215"/>
      <c r="O67" s="215"/>
      <c r="P67" s="216"/>
      <c r="Q67" s="113">
        <f t="shared" si="4"/>
        <v>0</v>
      </c>
      <c r="R67" s="113">
        <f t="shared" si="5"/>
        <v>0</v>
      </c>
      <c r="S67" s="217">
        <f t="shared" si="6"/>
        <v>0</v>
      </c>
      <c r="T67" s="47"/>
    </row>
    <row r="68" spans="1:20" ht="22.5" customHeight="1" x14ac:dyDescent="0.5">
      <c r="A68" s="208">
        <v>17</v>
      </c>
      <c r="B68" s="78" t="s">
        <v>54</v>
      </c>
      <c r="C68" s="81" t="s">
        <v>55</v>
      </c>
      <c r="D68" s="211">
        <v>7885.9</v>
      </c>
      <c r="E68" s="212" t="s">
        <v>1153</v>
      </c>
      <c r="F68" s="234" t="s">
        <v>33</v>
      </c>
      <c r="G68" s="228" t="s">
        <v>33</v>
      </c>
      <c r="H68" s="224">
        <v>12150</v>
      </c>
      <c r="I68" s="214">
        <v>850.5</v>
      </c>
      <c r="J68" s="224">
        <v>13000.5</v>
      </c>
      <c r="K68" s="38" t="s">
        <v>1204</v>
      </c>
      <c r="L68" s="39" t="s">
        <v>1244</v>
      </c>
      <c r="M68" s="40">
        <v>20886.400000000001</v>
      </c>
      <c r="N68" s="215"/>
      <c r="O68" s="215"/>
      <c r="P68" s="216"/>
      <c r="Q68" s="113">
        <f t="shared" si="4"/>
        <v>0</v>
      </c>
      <c r="R68" s="113">
        <f t="shared" si="5"/>
        <v>0</v>
      </c>
      <c r="S68" s="217">
        <f t="shared" si="6"/>
        <v>0</v>
      </c>
      <c r="T68" s="2"/>
    </row>
    <row r="69" spans="1:20" ht="22.5" customHeight="1" x14ac:dyDescent="0.5">
      <c r="A69" s="208">
        <v>18</v>
      </c>
      <c r="B69" s="78" t="s">
        <v>141</v>
      </c>
      <c r="C69" s="81" t="s">
        <v>142</v>
      </c>
      <c r="D69" s="211">
        <v>4055.3</v>
      </c>
      <c r="E69" s="234"/>
      <c r="F69" s="234"/>
      <c r="G69" s="228"/>
      <c r="H69" s="224">
        <v>0</v>
      </c>
      <c r="I69" s="214">
        <v>0</v>
      </c>
      <c r="J69" s="224">
        <v>0</v>
      </c>
      <c r="K69" s="38" t="s">
        <v>1185</v>
      </c>
      <c r="L69" s="39" t="s">
        <v>1245</v>
      </c>
      <c r="M69" s="40">
        <v>4055.3</v>
      </c>
      <c r="N69" s="235"/>
      <c r="O69" s="235"/>
      <c r="P69" s="236"/>
      <c r="Q69" s="113">
        <f t="shared" si="4"/>
        <v>0</v>
      </c>
      <c r="R69" s="113">
        <f t="shared" si="5"/>
        <v>0</v>
      </c>
      <c r="S69" s="217">
        <f t="shared" si="6"/>
        <v>0</v>
      </c>
      <c r="T69" s="2"/>
    </row>
    <row r="70" spans="1:20" ht="22.5" customHeight="1" x14ac:dyDescent="0.5">
      <c r="A70" s="208">
        <v>19</v>
      </c>
      <c r="B70" s="78" t="s">
        <v>144</v>
      </c>
      <c r="C70" s="81" t="s">
        <v>145</v>
      </c>
      <c r="D70" s="211">
        <v>898.8</v>
      </c>
      <c r="E70" s="212"/>
      <c r="F70" s="212"/>
      <c r="G70" s="213"/>
      <c r="H70" s="224">
        <v>-4.2499752419295712E-13</v>
      </c>
      <c r="I70" s="214">
        <v>-2.9749826693506995E-14</v>
      </c>
      <c r="J70" s="224">
        <v>-4.5474735088646412E-13</v>
      </c>
      <c r="K70" s="38" t="s">
        <v>1246</v>
      </c>
      <c r="L70" s="39" t="s">
        <v>1247</v>
      </c>
      <c r="M70" s="40">
        <v>898.8</v>
      </c>
      <c r="N70" s="215"/>
      <c r="O70" s="215"/>
      <c r="P70" s="216"/>
      <c r="Q70" s="113">
        <f t="shared" si="4"/>
        <v>-4.2499752419295712E-13</v>
      </c>
      <c r="R70" s="113">
        <f t="shared" si="5"/>
        <v>-2.9749826693506995E-14</v>
      </c>
      <c r="S70" s="217">
        <f t="shared" si="6"/>
        <v>-4.5474735088646412E-13</v>
      </c>
      <c r="T70" s="2"/>
    </row>
    <row r="71" spans="1:20" ht="22.5" customHeight="1" x14ac:dyDescent="0.6">
      <c r="A71" s="208">
        <v>20</v>
      </c>
      <c r="B71" s="73" t="s">
        <v>147</v>
      </c>
      <c r="C71" s="25" t="s">
        <v>148</v>
      </c>
      <c r="D71" s="211"/>
      <c r="E71" s="234" t="s">
        <v>1153</v>
      </c>
      <c r="F71" s="234" t="s">
        <v>33</v>
      </c>
      <c r="G71" s="228" t="s">
        <v>33</v>
      </c>
      <c r="H71" s="224">
        <v>190</v>
      </c>
      <c r="I71" s="214">
        <v>13.3</v>
      </c>
      <c r="J71" s="224">
        <v>203.3</v>
      </c>
      <c r="K71" s="38" t="s">
        <v>1248</v>
      </c>
      <c r="L71" s="39" t="s">
        <v>1249</v>
      </c>
      <c r="M71" s="40">
        <v>203.3</v>
      </c>
      <c r="N71" s="215"/>
      <c r="O71" s="215"/>
      <c r="P71" s="216"/>
      <c r="Q71" s="113">
        <f t="shared" si="4"/>
        <v>0</v>
      </c>
      <c r="R71" s="113">
        <f t="shared" si="5"/>
        <v>0</v>
      </c>
      <c r="S71" s="217">
        <f t="shared" si="6"/>
        <v>0</v>
      </c>
      <c r="T71" s="898" t="s">
        <v>962</v>
      </c>
    </row>
    <row r="72" spans="1:20" ht="22.5" customHeight="1" x14ac:dyDescent="0.5">
      <c r="A72" s="208"/>
      <c r="B72" s="897"/>
      <c r="C72" s="165"/>
      <c r="D72" s="211"/>
      <c r="E72" s="234"/>
      <c r="F72" s="234"/>
      <c r="G72" s="228"/>
      <c r="H72" s="224"/>
      <c r="I72" s="214"/>
      <c r="J72" s="224"/>
      <c r="K72" s="38"/>
      <c r="L72" s="39"/>
      <c r="M72" s="40"/>
      <c r="N72" s="239"/>
      <c r="O72" s="239"/>
      <c r="P72" s="236"/>
      <c r="Q72" s="113"/>
      <c r="R72" s="113"/>
      <c r="S72" s="217"/>
      <c r="T72" s="2"/>
    </row>
    <row r="73" spans="1:20" ht="22.5" customHeight="1" x14ac:dyDescent="0.5">
      <c r="A73" s="208">
        <v>21</v>
      </c>
      <c r="B73" s="237" t="s">
        <v>149</v>
      </c>
      <c r="C73" s="238" t="s">
        <v>150</v>
      </c>
      <c r="D73" s="211">
        <v>1144.9000000000001</v>
      </c>
      <c r="E73" s="234"/>
      <c r="F73" s="234"/>
      <c r="G73" s="228"/>
      <c r="H73" s="224">
        <v>0</v>
      </c>
      <c r="I73" s="214">
        <v>0</v>
      </c>
      <c r="J73" s="224">
        <v>0</v>
      </c>
      <c r="K73" s="38" t="s">
        <v>1187</v>
      </c>
      <c r="L73" s="39" t="s">
        <v>1250</v>
      </c>
      <c r="M73" s="40">
        <v>1144.9000000000001</v>
      </c>
      <c r="N73" s="239"/>
      <c r="O73" s="239"/>
      <c r="P73" s="236"/>
      <c r="Q73" s="113">
        <f t="shared" si="4"/>
        <v>0</v>
      </c>
      <c r="R73" s="113">
        <f t="shared" si="5"/>
        <v>0</v>
      </c>
      <c r="S73" s="217">
        <f t="shared" si="6"/>
        <v>0</v>
      </c>
      <c r="T73" s="2"/>
    </row>
    <row r="74" spans="1:20" ht="22.5" customHeight="1" x14ac:dyDescent="0.5">
      <c r="A74" s="208">
        <v>22</v>
      </c>
      <c r="B74" s="240" t="s">
        <v>569</v>
      </c>
      <c r="C74" s="83" t="s">
        <v>153</v>
      </c>
      <c r="D74" s="211">
        <v>4996.8999999999996</v>
      </c>
      <c r="E74" s="234"/>
      <c r="F74" s="234"/>
      <c r="G74" s="228"/>
      <c r="H74" s="224">
        <v>-3.3999801935436569E-12</v>
      </c>
      <c r="I74" s="214">
        <v>-2.3799861354805596E-13</v>
      </c>
      <c r="J74" s="224">
        <v>-3.637978807091713E-12</v>
      </c>
      <c r="K74" s="38" t="s">
        <v>1195</v>
      </c>
      <c r="L74" s="39" t="s">
        <v>1251</v>
      </c>
      <c r="M74" s="40">
        <v>4996.8999999999996</v>
      </c>
      <c r="N74" s="215"/>
      <c r="O74" s="215"/>
      <c r="P74" s="216"/>
      <c r="Q74" s="113">
        <f t="shared" si="4"/>
        <v>-3.3999801935436569E-12</v>
      </c>
      <c r="R74" s="113">
        <f t="shared" si="5"/>
        <v>-2.3799861354805596E-13</v>
      </c>
      <c r="S74" s="217">
        <f t="shared" si="6"/>
        <v>-3.637978807091713E-12</v>
      </c>
      <c r="T74" s="2"/>
    </row>
    <row r="75" spans="1:20" ht="22.5" customHeight="1" x14ac:dyDescent="0.5">
      <c r="A75" s="208"/>
      <c r="B75" s="240" t="s">
        <v>569</v>
      </c>
      <c r="C75" s="83"/>
      <c r="D75" s="211">
        <v>10603.7</v>
      </c>
      <c r="E75" s="234"/>
      <c r="F75" s="234"/>
      <c r="G75" s="228"/>
      <c r="H75" s="224">
        <v>0</v>
      </c>
      <c r="I75" s="241">
        <v>0</v>
      </c>
      <c r="J75" s="224">
        <v>0</v>
      </c>
      <c r="K75" s="38" t="s">
        <v>1195</v>
      </c>
      <c r="L75" s="39" t="s">
        <v>1251</v>
      </c>
      <c r="M75" s="40">
        <v>10603.7</v>
      </c>
      <c r="N75" s="215"/>
      <c r="O75" s="215"/>
      <c r="P75" s="216"/>
      <c r="Q75" s="113">
        <f t="shared" si="4"/>
        <v>0</v>
      </c>
      <c r="R75" s="113">
        <f t="shared" si="5"/>
        <v>0</v>
      </c>
      <c r="S75" s="217">
        <f t="shared" si="6"/>
        <v>0</v>
      </c>
      <c r="T75" s="2"/>
    </row>
    <row r="76" spans="1:20" ht="22.5" customHeight="1" x14ac:dyDescent="0.5">
      <c r="A76" s="208">
        <v>23</v>
      </c>
      <c r="B76" s="240" t="s">
        <v>157</v>
      </c>
      <c r="C76" s="83" t="s">
        <v>158</v>
      </c>
      <c r="D76" s="211">
        <v>1690.6</v>
      </c>
      <c r="E76" s="234"/>
      <c r="F76" s="234"/>
      <c r="G76" s="228"/>
      <c r="H76" s="224">
        <v>0</v>
      </c>
      <c r="I76" s="241">
        <v>0</v>
      </c>
      <c r="J76" s="224">
        <v>0</v>
      </c>
      <c r="K76" s="38" t="s">
        <v>1185</v>
      </c>
      <c r="L76" s="39" t="s">
        <v>1252</v>
      </c>
      <c r="M76" s="40">
        <v>1690.6</v>
      </c>
      <c r="N76" s="239"/>
      <c r="O76" s="239"/>
      <c r="P76" s="236"/>
      <c r="Q76" s="113">
        <f t="shared" si="4"/>
        <v>0</v>
      </c>
      <c r="R76" s="113">
        <f t="shared" si="5"/>
        <v>0</v>
      </c>
      <c r="S76" s="217">
        <f t="shared" si="6"/>
        <v>0</v>
      </c>
      <c r="T76" s="2"/>
    </row>
    <row r="77" spans="1:20" ht="22.5" customHeight="1" x14ac:dyDescent="0.5">
      <c r="A77" s="208">
        <v>24</v>
      </c>
      <c r="B77" s="240" t="s">
        <v>160</v>
      </c>
      <c r="C77" s="83" t="s">
        <v>161</v>
      </c>
      <c r="D77" s="211"/>
      <c r="E77" s="212"/>
      <c r="F77" s="234"/>
      <c r="G77" s="228"/>
      <c r="H77" s="224">
        <v>0</v>
      </c>
      <c r="I77" s="241">
        <v>0</v>
      </c>
      <c r="J77" s="224">
        <v>0</v>
      </c>
      <c r="K77" s="38"/>
      <c r="L77" s="39"/>
      <c r="M77" s="40"/>
      <c r="N77" s="215"/>
      <c r="O77" s="215"/>
      <c r="P77" s="216"/>
      <c r="Q77" s="113">
        <f t="shared" si="4"/>
        <v>0</v>
      </c>
      <c r="R77" s="113">
        <f t="shared" si="5"/>
        <v>0</v>
      </c>
      <c r="S77" s="217">
        <f t="shared" si="6"/>
        <v>0</v>
      </c>
      <c r="T77" s="2"/>
    </row>
    <row r="78" spans="1:20" ht="22.5" customHeight="1" x14ac:dyDescent="0.5">
      <c r="A78" s="208">
        <v>25</v>
      </c>
      <c r="B78" s="240" t="s">
        <v>162</v>
      </c>
      <c r="C78" s="83" t="s">
        <v>163</v>
      </c>
      <c r="D78" s="211">
        <v>984.4</v>
      </c>
      <c r="E78" s="212" t="s">
        <v>1105</v>
      </c>
      <c r="F78" s="234" t="s">
        <v>115</v>
      </c>
      <c r="G78" s="228" t="s">
        <v>115</v>
      </c>
      <c r="H78" s="224">
        <v>8029.9999999999973</v>
      </c>
      <c r="I78" s="241">
        <v>562.0999999999998</v>
      </c>
      <c r="J78" s="224">
        <v>8592.0999999999967</v>
      </c>
      <c r="K78" s="38" t="s">
        <v>1253</v>
      </c>
      <c r="L78" s="39" t="s">
        <v>1254</v>
      </c>
      <c r="M78" s="40">
        <v>9576.5</v>
      </c>
      <c r="N78" s="215"/>
      <c r="O78" s="215"/>
      <c r="P78" s="216"/>
      <c r="Q78" s="113">
        <f t="shared" si="4"/>
        <v>-3.3999801935436569E-12</v>
      </c>
      <c r="R78" s="113">
        <f t="shared" si="5"/>
        <v>-2.3799861354805596E-13</v>
      </c>
      <c r="S78" s="217">
        <f t="shared" si="6"/>
        <v>-3.637978807091713E-12</v>
      </c>
      <c r="T78" s="2"/>
    </row>
    <row r="79" spans="1:20" ht="22.5" customHeight="1" x14ac:dyDescent="0.5">
      <c r="A79" s="208">
        <v>26</v>
      </c>
      <c r="B79" s="209" t="s">
        <v>165</v>
      </c>
      <c r="C79" s="210" t="s">
        <v>166</v>
      </c>
      <c r="D79" s="211">
        <v>813.2</v>
      </c>
      <c r="E79" s="212"/>
      <c r="F79" s="212"/>
      <c r="G79" s="213"/>
      <c r="H79" s="219">
        <v>4.2499752419295712E-13</v>
      </c>
      <c r="I79" s="214">
        <v>2.9749826693506995E-14</v>
      </c>
      <c r="J79" s="219">
        <v>4.5474735088646412E-13</v>
      </c>
      <c r="K79" s="38" t="s">
        <v>1210</v>
      </c>
      <c r="L79" s="39" t="s">
        <v>1255</v>
      </c>
      <c r="M79" s="40">
        <v>813.2</v>
      </c>
      <c r="N79" s="215"/>
      <c r="O79" s="215"/>
      <c r="P79" s="216"/>
      <c r="Q79" s="113">
        <f t="shared" si="4"/>
        <v>4.2499752419295712E-13</v>
      </c>
      <c r="R79" s="113">
        <f t="shared" si="5"/>
        <v>2.9749826693506995E-14</v>
      </c>
      <c r="S79" s="217">
        <f t="shared" si="6"/>
        <v>4.5474735088646412E-13</v>
      </c>
      <c r="T79" s="2"/>
    </row>
    <row r="80" spans="1:20" ht="22.5" customHeight="1" x14ac:dyDescent="0.5">
      <c r="A80" s="242">
        <v>27</v>
      </c>
      <c r="B80" s="243" t="s">
        <v>168</v>
      </c>
      <c r="C80" s="244" t="s">
        <v>169</v>
      </c>
      <c r="D80" s="211">
        <v>2578.6999999999998</v>
      </c>
      <c r="E80" s="212" t="s">
        <v>1153</v>
      </c>
      <c r="F80" s="212" t="s">
        <v>33</v>
      </c>
      <c r="G80" s="213" t="s">
        <v>33</v>
      </c>
      <c r="H80" s="219">
        <v>1000</v>
      </c>
      <c r="I80" s="214">
        <v>70</v>
      </c>
      <c r="J80" s="219">
        <v>1070</v>
      </c>
      <c r="K80" s="30" t="s">
        <v>1256</v>
      </c>
      <c r="L80" s="31" t="s">
        <v>1257</v>
      </c>
      <c r="M80" s="32">
        <v>3648.7</v>
      </c>
      <c r="N80" s="215"/>
      <c r="O80" s="215"/>
      <c r="P80" s="216"/>
      <c r="Q80" s="113">
        <f t="shared" si="4"/>
        <v>0</v>
      </c>
      <c r="R80" s="113">
        <f t="shared" si="5"/>
        <v>0</v>
      </c>
      <c r="S80" s="217">
        <f t="shared" si="6"/>
        <v>0</v>
      </c>
      <c r="T80" s="2"/>
    </row>
    <row r="81" spans="1:20" ht="22.5" customHeight="1" x14ac:dyDescent="0.5">
      <c r="A81" s="208">
        <v>28</v>
      </c>
      <c r="B81" s="209" t="s">
        <v>171</v>
      </c>
      <c r="C81" s="210"/>
      <c r="D81" s="211">
        <v>545.70000000000005</v>
      </c>
      <c r="E81" s="212"/>
      <c r="F81" s="212"/>
      <c r="G81" s="213"/>
      <c r="H81" s="219">
        <v>0</v>
      </c>
      <c r="I81" s="214">
        <v>0</v>
      </c>
      <c r="J81" s="219">
        <v>0</v>
      </c>
      <c r="K81" s="38" t="s">
        <v>1210</v>
      </c>
      <c r="L81" s="39" t="s">
        <v>1258</v>
      </c>
      <c r="M81" s="40">
        <v>545.70000000000005</v>
      </c>
      <c r="N81" s="239"/>
      <c r="O81" s="239"/>
      <c r="P81" s="236"/>
      <c r="Q81" s="113">
        <f t="shared" si="4"/>
        <v>0</v>
      </c>
      <c r="R81" s="113">
        <f t="shared" si="5"/>
        <v>0</v>
      </c>
      <c r="S81" s="217">
        <f t="shared" si="6"/>
        <v>0</v>
      </c>
      <c r="T81" s="2"/>
    </row>
    <row r="82" spans="1:20" ht="22.5" customHeight="1" x14ac:dyDescent="0.5">
      <c r="A82" s="208">
        <v>29</v>
      </c>
      <c r="B82" s="209" t="s">
        <v>173</v>
      </c>
      <c r="C82" s="210" t="s">
        <v>174</v>
      </c>
      <c r="D82" s="211">
        <v>1284</v>
      </c>
      <c r="E82" s="212"/>
      <c r="F82" s="212"/>
      <c r="G82" s="213"/>
      <c r="H82" s="219">
        <v>0</v>
      </c>
      <c r="I82" s="214">
        <v>0</v>
      </c>
      <c r="J82" s="219">
        <v>0</v>
      </c>
      <c r="K82" s="38" t="s">
        <v>1259</v>
      </c>
      <c r="L82" s="39" t="s">
        <v>1260</v>
      </c>
      <c r="M82" s="40">
        <v>1284</v>
      </c>
      <c r="N82" s="215"/>
      <c r="O82" s="215"/>
      <c r="P82" s="216"/>
      <c r="Q82" s="113">
        <f t="shared" si="4"/>
        <v>0</v>
      </c>
      <c r="R82" s="113">
        <f t="shared" si="5"/>
        <v>0</v>
      </c>
      <c r="S82" s="217">
        <f t="shared" si="6"/>
        <v>0</v>
      </c>
      <c r="T82" s="2"/>
    </row>
    <row r="83" spans="1:20" ht="22.5" customHeight="1" x14ac:dyDescent="0.5">
      <c r="A83" s="208">
        <v>30</v>
      </c>
      <c r="B83" s="209" t="s">
        <v>175</v>
      </c>
      <c r="C83" s="210" t="s">
        <v>176</v>
      </c>
      <c r="D83" s="211">
        <v>2503.8000000000002</v>
      </c>
      <c r="E83" s="212" t="s">
        <v>1153</v>
      </c>
      <c r="F83" s="212" t="s">
        <v>33</v>
      </c>
      <c r="G83" s="213" t="s">
        <v>33</v>
      </c>
      <c r="H83" s="219">
        <v>2949.9999999999991</v>
      </c>
      <c r="I83" s="214">
        <v>206.49999999999994</v>
      </c>
      <c r="J83" s="219">
        <v>3156.4999999999991</v>
      </c>
      <c r="K83" s="30" t="s">
        <v>1261</v>
      </c>
      <c r="L83" s="31" t="s">
        <v>1262</v>
      </c>
      <c r="M83" s="32">
        <v>5660.3</v>
      </c>
      <c r="N83" s="215"/>
      <c r="O83" s="215"/>
      <c r="P83" s="216"/>
      <c r="Q83" s="113">
        <f t="shared" si="4"/>
        <v>-8.4999504838591423E-13</v>
      </c>
      <c r="R83" s="113">
        <f t="shared" si="5"/>
        <v>-5.9499653387013991E-14</v>
      </c>
      <c r="S83" s="217">
        <f t="shared" si="6"/>
        <v>-9.0949470177292824E-13</v>
      </c>
      <c r="T83" s="2"/>
    </row>
    <row r="84" spans="1:20" ht="22.5" customHeight="1" x14ac:dyDescent="0.5">
      <c r="A84" s="208">
        <v>31</v>
      </c>
      <c r="B84" s="209" t="s">
        <v>178</v>
      </c>
      <c r="C84" s="210" t="s">
        <v>179</v>
      </c>
      <c r="D84" s="211"/>
      <c r="E84" s="212"/>
      <c r="F84" s="212"/>
      <c r="G84" s="213"/>
      <c r="H84" s="219">
        <v>0</v>
      </c>
      <c r="I84" s="214">
        <v>0</v>
      </c>
      <c r="J84" s="219">
        <v>0</v>
      </c>
      <c r="K84" s="38"/>
      <c r="L84" s="39"/>
      <c r="M84" s="40"/>
      <c r="N84" s="215"/>
      <c r="O84" s="215"/>
      <c r="P84" s="216"/>
      <c r="Q84" s="113">
        <f t="shared" si="4"/>
        <v>0</v>
      </c>
      <c r="R84" s="113">
        <f t="shared" si="5"/>
        <v>0</v>
      </c>
      <c r="S84" s="217">
        <f t="shared" si="6"/>
        <v>0</v>
      </c>
      <c r="T84" s="2"/>
    </row>
    <row r="85" spans="1:20" ht="22.5" customHeight="1" x14ac:dyDescent="0.5">
      <c r="A85" s="208">
        <v>32</v>
      </c>
      <c r="B85" s="209" t="s">
        <v>181</v>
      </c>
      <c r="C85" s="210" t="s">
        <v>182</v>
      </c>
      <c r="D85" s="211">
        <v>438.7</v>
      </c>
      <c r="E85" s="212"/>
      <c r="F85" s="212"/>
      <c r="G85" s="213"/>
      <c r="H85" s="219">
        <v>0</v>
      </c>
      <c r="I85" s="214">
        <v>0</v>
      </c>
      <c r="J85" s="219">
        <v>0</v>
      </c>
      <c r="K85" s="38" t="s">
        <v>1185</v>
      </c>
      <c r="L85" s="39" t="s">
        <v>1263</v>
      </c>
      <c r="M85" s="40">
        <v>438.7</v>
      </c>
      <c r="N85" s="215"/>
      <c r="O85" s="215"/>
      <c r="P85" s="216"/>
      <c r="Q85" s="113">
        <f t="shared" si="4"/>
        <v>0</v>
      </c>
      <c r="R85" s="113">
        <f t="shared" si="5"/>
        <v>0</v>
      </c>
      <c r="S85" s="217">
        <f t="shared" si="6"/>
        <v>0</v>
      </c>
      <c r="T85" s="2"/>
    </row>
    <row r="86" spans="1:20" ht="22.5" customHeight="1" x14ac:dyDescent="0.5">
      <c r="A86" s="208">
        <v>33</v>
      </c>
      <c r="B86" s="209" t="s">
        <v>64</v>
      </c>
      <c r="C86" s="210" t="s">
        <v>184</v>
      </c>
      <c r="D86" s="211">
        <v>1904.6</v>
      </c>
      <c r="E86" s="212"/>
      <c r="F86" s="212"/>
      <c r="G86" s="213"/>
      <c r="H86" s="219">
        <v>0</v>
      </c>
      <c r="I86" s="214">
        <v>0</v>
      </c>
      <c r="J86" s="219">
        <v>0</v>
      </c>
      <c r="K86" s="38" t="s">
        <v>1185</v>
      </c>
      <c r="L86" s="245" t="s">
        <v>1264</v>
      </c>
      <c r="M86" s="246">
        <v>1904.6</v>
      </c>
      <c r="N86" s="215"/>
      <c r="O86" s="215"/>
      <c r="P86" s="216"/>
      <c r="Q86" s="113">
        <f t="shared" si="4"/>
        <v>0</v>
      </c>
      <c r="R86" s="113">
        <f t="shared" si="5"/>
        <v>0</v>
      </c>
      <c r="S86" s="217">
        <f t="shared" si="6"/>
        <v>0</v>
      </c>
      <c r="T86" s="2"/>
    </row>
    <row r="87" spans="1:20" ht="22.5" customHeight="1" x14ac:dyDescent="0.5">
      <c r="A87" s="208"/>
      <c r="B87" s="209" t="s">
        <v>64</v>
      </c>
      <c r="C87" s="210" t="s">
        <v>184</v>
      </c>
      <c r="D87" s="211">
        <v>1701.3</v>
      </c>
      <c r="E87" s="212"/>
      <c r="F87" s="212"/>
      <c r="G87" s="213"/>
      <c r="H87" s="219">
        <v>0</v>
      </c>
      <c r="I87" s="214">
        <v>0</v>
      </c>
      <c r="J87" s="219">
        <v>0</v>
      </c>
      <c r="K87" s="38" t="s">
        <v>1185</v>
      </c>
      <c r="L87" s="245" t="s">
        <v>1264</v>
      </c>
      <c r="M87" s="246">
        <v>1701.3</v>
      </c>
      <c r="N87" s="215"/>
      <c r="O87" s="215"/>
      <c r="P87" s="216"/>
      <c r="Q87" s="113">
        <f t="shared" si="4"/>
        <v>0</v>
      </c>
      <c r="R87" s="113">
        <f t="shared" si="5"/>
        <v>0</v>
      </c>
      <c r="S87" s="217">
        <f t="shared" si="6"/>
        <v>0</v>
      </c>
      <c r="T87" s="2"/>
    </row>
    <row r="88" spans="1:20" ht="22.5" customHeight="1" x14ac:dyDescent="0.5">
      <c r="A88" s="208">
        <v>34</v>
      </c>
      <c r="B88" s="209" t="s">
        <v>186</v>
      </c>
      <c r="C88" s="210" t="s">
        <v>187</v>
      </c>
      <c r="D88" s="211">
        <v>663.4</v>
      </c>
      <c r="E88" s="212"/>
      <c r="F88" s="212"/>
      <c r="G88" s="213"/>
      <c r="H88" s="219">
        <v>0</v>
      </c>
      <c r="I88" s="214">
        <v>0</v>
      </c>
      <c r="J88" s="219">
        <v>0</v>
      </c>
      <c r="K88" s="38" t="s">
        <v>1210</v>
      </c>
      <c r="L88" s="39" t="s">
        <v>1265</v>
      </c>
      <c r="M88" s="246">
        <v>663.4</v>
      </c>
      <c r="N88" s="247"/>
      <c r="O88" s="247"/>
      <c r="P88" s="248"/>
      <c r="Q88" s="113">
        <f t="shared" si="4"/>
        <v>0</v>
      </c>
      <c r="R88" s="113">
        <f t="shared" si="5"/>
        <v>0</v>
      </c>
      <c r="S88" s="217">
        <f t="shared" si="6"/>
        <v>0</v>
      </c>
      <c r="T88" s="2"/>
    </row>
    <row r="89" spans="1:20" ht="22.5" customHeight="1" x14ac:dyDescent="0.5">
      <c r="A89" s="208">
        <v>35</v>
      </c>
      <c r="B89" s="209" t="s">
        <v>189</v>
      </c>
      <c r="C89" s="210" t="s">
        <v>190</v>
      </c>
      <c r="D89" s="211"/>
      <c r="E89" s="212"/>
      <c r="F89" s="212"/>
      <c r="G89" s="213"/>
      <c r="H89" s="219">
        <v>0</v>
      </c>
      <c r="I89" s="214">
        <v>0</v>
      </c>
      <c r="J89" s="219">
        <v>0</v>
      </c>
      <c r="K89" s="38"/>
      <c r="L89" s="39"/>
      <c r="M89" s="246"/>
      <c r="N89" s="215"/>
      <c r="O89" s="215"/>
      <c r="P89" s="216"/>
      <c r="Q89" s="113">
        <f t="shared" si="4"/>
        <v>0</v>
      </c>
      <c r="R89" s="113">
        <f t="shared" si="5"/>
        <v>0</v>
      </c>
      <c r="S89" s="217">
        <f t="shared" si="6"/>
        <v>0</v>
      </c>
      <c r="T89" s="2"/>
    </row>
    <row r="90" spans="1:20" ht="22.5" customHeight="1" x14ac:dyDescent="0.5">
      <c r="A90" s="208"/>
      <c r="B90" s="209" t="s">
        <v>191</v>
      </c>
      <c r="C90" s="210" t="s">
        <v>190</v>
      </c>
      <c r="D90" s="211">
        <v>8260.4</v>
      </c>
      <c r="E90" s="212" t="s">
        <v>1153</v>
      </c>
      <c r="F90" s="212" t="s">
        <v>33</v>
      </c>
      <c r="G90" s="213" t="s">
        <v>33</v>
      </c>
      <c r="H90" s="219">
        <v>7600.0000000000018</v>
      </c>
      <c r="I90" s="214">
        <v>532.00000000000011</v>
      </c>
      <c r="J90" s="219">
        <v>8132.0000000000018</v>
      </c>
      <c r="K90" s="38" t="s">
        <v>1266</v>
      </c>
      <c r="L90" s="39" t="s">
        <v>1267</v>
      </c>
      <c r="M90" s="246">
        <v>8132</v>
      </c>
      <c r="N90" s="215" t="s">
        <v>1192</v>
      </c>
      <c r="O90" s="215" t="s">
        <v>33</v>
      </c>
      <c r="P90" s="216" t="s">
        <v>33</v>
      </c>
      <c r="Q90" s="113">
        <f t="shared" si="4"/>
        <v>7720.0000000000018</v>
      </c>
      <c r="R90" s="113">
        <f t="shared" si="5"/>
        <v>540.40000000000009</v>
      </c>
      <c r="S90" s="217">
        <f t="shared" si="6"/>
        <v>8260.4000000000015</v>
      </c>
      <c r="T90" s="2"/>
    </row>
    <row r="91" spans="1:20" ht="22.5" customHeight="1" x14ac:dyDescent="0.5">
      <c r="A91" s="208">
        <v>36</v>
      </c>
      <c r="B91" s="209" t="s">
        <v>193</v>
      </c>
      <c r="C91" s="210" t="s">
        <v>194</v>
      </c>
      <c r="D91" s="211">
        <v>567.1</v>
      </c>
      <c r="E91" s="212" t="s">
        <v>1153</v>
      </c>
      <c r="F91" s="212" t="s">
        <v>33</v>
      </c>
      <c r="G91" s="213" t="s">
        <v>33</v>
      </c>
      <c r="H91" s="219">
        <v>700.00000000000023</v>
      </c>
      <c r="I91" s="214">
        <v>49.000000000000014</v>
      </c>
      <c r="J91" s="219">
        <v>749.00000000000023</v>
      </c>
      <c r="K91" s="38" t="s">
        <v>1193</v>
      </c>
      <c r="L91" s="39" t="s">
        <v>1268</v>
      </c>
      <c r="M91" s="246">
        <v>749</v>
      </c>
      <c r="N91" s="215" t="s">
        <v>1192</v>
      </c>
      <c r="O91" s="215" t="s">
        <v>33</v>
      </c>
      <c r="P91" s="216" t="s">
        <v>33</v>
      </c>
      <c r="Q91" s="113">
        <f t="shared" si="4"/>
        <v>530.00000000000034</v>
      </c>
      <c r="R91" s="113">
        <f t="shared" si="5"/>
        <v>37.100000000000023</v>
      </c>
      <c r="S91" s="217">
        <f t="shared" si="6"/>
        <v>567.10000000000036</v>
      </c>
      <c r="T91" s="2"/>
    </row>
    <row r="92" spans="1:20" ht="22.5" customHeight="1" x14ac:dyDescent="0.5">
      <c r="A92" s="208">
        <v>37</v>
      </c>
      <c r="B92" s="209" t="s">
        <v>195</v>
      </c>
      <c r="C92" s="210" t="s">
        <v>196</v>
      </c>
      <c r="D92" s="211">
        <v>545.70000000000005</v>
      </c>
      <c r="E92" s="212"/>
      <c r="F92" s="212"/>
      <c r="G92" s="213"/>
      <c r="H92" s="219">
        <v>0</v>
      </c>
      <c r="I92" s="214">
        <v>0</v>
      </c>
      <c r="J92" s="219">
        <v>0</v>
      </c>
      <c r="K92" s="38" t="s">
        <v>1185</v>
      </c>
      <c r="L92" s="245" t="s">
        <v>1269</v>
      </c>
      <c r="M92" s="246">
        <v>545.70000000000005</v>
      </c>
      <c r="N92" s="247"/>
      <c r="O92" s="247"/>
      <c r="P92" s="248"/>
      <c r="Q92" s="113">
        <f t="shared" si="4"/>
        <v>0</v>
      </c>
      <c r="R92" s="113">
        <f t="shared" si="5"/>
        <v>0</v>
      </c>
      <c r="S92" s="217">
        <f t="shared" si="6"/>
        <v>0</v>
      </c>
      <c r="T92" s="2"/>
    </row>
    <row r="93" spans="1:20" ht="22.5" customHeight="1" x14ac:dyDescent="0.5">
      <c r="A93" s="208">
        <v>38</v>
      </c>
      <c r="B93" s="209" t="s">
        <v>198</v>
      </c>
      <c r="C93" s="210" t="s">
        <v>46</v>
      </c>
      <c r="D93" s="211"/>
      <c r="E93" s="212"/>
      <c r="F93" s="212"/>
      <c r="G93" s="213"/>
      <c r="H93" s="219">
        <v>-6.3749628628943565E-13</v>
      </c>
      <c r="I93" s="214">
        <v>-4.4624740040260496E-14</v>
      </c>
      <c r="J93" s="219">
        <v>-6.8212102632969618E-13</v>
      </c>
      <c r="K93" s="38"/>
      <c r="L93" s="245"/>
      <c r="M93" s="246"/>
      <c r="N93" s="215"/>
      <c r="O93" s="215"/>
      <c r="P93" s="216"/>
      <c r="Q93" s="113">
        <f t="shared" si="4"/>
        <v>-6.3749628628943565E-13</v>
      </c>
      <c r="R93" s="113">
        <f t="shared" si="5"/>
        <v>-4.4624740040260496E-14</v>
      </c>
      <c r="S93" s="217">
        <f t="shared" si="6"/>
        <v>-6.8212102632969618E-13</v>
      </c>
      <c r="T93" s="2"/>
    </row>
    <row r="94" spans="1:20" ht="22.5" customHeight="1" x14ac:dyDescent="0.5">
      <c r="A94" s="208"/>
      <c r="B94" s="209" t="s">
        <v>198</v>
      </c>
      <c r="C94" s="210" t="s">
        <v>567</v>
      </c>
      <c r="D94" s="211">
        <v>845.3</v>
      </c>
      <c r="E94" s="212" t="s">
        <v>1153</v>
      </c>
      <c r="F94" s="212" t="s">
        <v>33</v>
      </c>
      <c r="G94" s="213" t="s">
        <v>33</v>
      </c>
      <c r="H94" s="219">
        <v>890</v>
      </c>
      <c r="I94" s="214">
        <v>62.3</v>
      </c>
      <c r="J94" s="219">
        <v>952.3</v>
      </c>
      <c r="K94" s="38" t="s">
        <v>1197</v>
      </c>
      <c r="L94" s="245" t="s">
        <v>1270</v>
      </c>
      <c r="M94" s="246">
        <v>952.3</v>
      </c>
      <c r="N94" s="215" t="s">
        <v>1192</v>
      </c>
      <c r="O94" s="215" t="s">
        <v>33</v>
      </c>
      <c r="P94" s="216" t="s">
        <v>33</v>
      </c>
      <c r="Q94" s="113">
        <f t="shared" si="4"/>
        <v>790</v>
      </c>
      <c r="R94" s="113">
        <f t="shared" si="5"/>
        <v>55.3</v>
      </c>
      <c r="S94" s="217">
        <f t="shared" si="6"/>
        <v>845.3</v>
      </c>
      <c r="T94" s="2"/>
    </row>
    <row r="95" spans="1:20" ht="22.5" customHeight="1" x14ac:dyDescent="0.5">
      <c r="A95" s="208">
        <v>39</v>
      </c>
      <c r="B95" s="209" t="s">
        <v>200</v>
      </c>
      <c r="C95" s="210" t="s">
        <v>201</v>
      </c>
      <c r="D95" s="211"/>
      <c r="E95" s="212" t="s">
        <v>1153</v>
      </c>
      <c r="F95" s="212" t="s">
        <v>33</v>
      </c>
      <c r="G95" s="213" t="s">
        <v>33</v>
      </c>
      <c r="H95" s="219">
        <v>11699.999999999996</v>
      </c>
      <c r="I95" s="214">
        <v>818.99999999999977</v>
      </c>
      <c r="J95" s="219">
        <v>12518.999999999996</v>
      </c>
      <c r="K95" s="38"/>
      <c r="L95" s="245"/>
      <c r="M95" s="246"/>
      <c r="N95" s="215" t="s">
        <v>1192</v>
      </c>
      <c r="O95" s="216" t="s">
        <v>33</v>
      </c>
      <c r="P95" s="216" t="s">
        <v>284</v>
      </c>
      <c r="Q95" s="113">
        <f t="shared" si="4"/>
        <v>11699.999999999996</v>
      </c>
      <c r="R95" s="113">
        <f t="shared" si="5"/>
        <v>818.99999999999977</v>
      </c>
      <c r="S95" s="217">
        <f t="shared" si="6"/>
        <v>12518.999999999996</v>
      </c>
      <c r="T95" s="2"/>
    </row>
    <row r="96" spans="1:20" ht="22.5" customHeight="1" x14ac:dyDescent="0.5">
      <c r="A96" s="208">
        <v>40</v>
      </c>
      <c r="B96" s="209" t="s">
        <v>203</v>
      </c>
      <c r="C96" s="210" t="s">
        <v>204</v>
      </c>
      <c r="D96" s="211">
        <v>941.6</v>
      </c>
      <c r="E96" s="212"/>
      <c r="F96" s="212"/>
      <c r="G96" s="213"/>
      <c r="H96" s="219">
        <v>0</v>
      </c>
      <c r="I96" s="214">
        <v>0</v>
      </c>
      <c r="J96" s="219">
        <v>0</v>
      </c>
      <c r="K96" s="30" t="s">
        <v>1210</v>
      </c>
      <c r="L96" s="31" t="s">
        <v>1271</v>
      </c>
      <c r="M96" s="221">
        <v>941.6</v>
      </c>
      <c r="N96" s="215"/>
      <c r="O96" s="215"/>
      <c r="P96" s="216"/>
      <c r="Q96" s="113">
        <f t="shared" si="4"/>
        <v>0</v>
      </c>
      <c r="R96" s="113">
        <f t="shared" si="5"/>
        <v>0</v>
      </c>
      <c r="S96" s="217">
        <f t="shared" si="6"/>
        <v>0</v>
      </c>
      <c r="T96" s="2"/>
    </row>
    <row r="97" spans="1:20" ht="22.5" customHeight="1" x14ac:dyDescent="0.5">
      <c r="A97" s="208">
        <v>41</v>
      </c>
      <c r="B97" s="209" t="s">
        <v>205</v>
      </c>
      <c r="C97" s="210" t="s">
        <v>206</v>
      </c>
      <c r="D97" s="211">
        <v>963</v>
      </c>
      <c r="E97" s="212"/>
      <c r="F97" s="212"/>
      <c r="G97" s="213"/>
      <c r="H97" s="219">
        <v>0</v>
      </c>
      <c r="I97" s="214">
        <v>0</v>
      </c>
      <c r="J97" s="219">
        <v>0</v>
      </c>
      <c r="K97" s="30" t="s">
        <v>1210</v>
      </c>
      <c r="L97" s="249" t="s">
        <v>1272</v>
      </c>
      <c r="M97" s="221">
        <v>963</v>
      </c>
      <c r="N97" s="215"/>
      <c r="O97" s="215"/>
      <c r="P97" s="216"/>
      <c r="Q97" s="113">
        <f t="shared" si="4"/>
        <v>0</v>
      </c>
      <c r="R97" s="113">
        <f t="shared" si="5"/>
        <v>0</v>
      </c>
      <c r="S97" s="217">
        <f t="shared" si="6"/>
        <v>0</v>
      </c>
      <c r="T97" s="2"/>
    </row>
    <row r="98" spans="1:20" ht="22.5" customHeight="1" x14ac:dyDescent="0.5">
      <c r="A98" s="208">
        <v>42</v>
      </c>
      <c r="B98" s="209" t="s">
        <v>208</v>
      </c>
      <c r="C98" s="210"/>
      <c r="D98" s="211">
        <v>1348.2</v>
      </c>
      <c r="E98" s="212" t="s">
        <v>1122</v>
      </c>
      <c r="F98" s="212" t="s">
        <v>284</v>
      </c>
      <c r="G98" s="213" t="s">
        <v>284</v>
      </c>
      <c r="H98" s="219">
        <v>4419.9999999999982</v>
      </c>
      <c r="I98" s="214">
        <v>309.39999999999986</v>
      </c>
      <c r="J98" s="219">
        <v>4729.3999999999978</v>
      </c>
      <c r="K98" s="250" t="s">
        <v>1273</v>
      </c>
      <c r="L98" s="251" t="s">
        <v>1274</v>
      </c>
      <c r="M98" s="252">
        <v>6077.6</v>
      </c>
      <c r="N98" s="215"/>
      <c r="O98" s="215"/>
      <c r="P98" s="216"/>
      <c r="Q98" s="113">
        <f t="shared" si="4"/>
        <v>-2.5499851451577426E-12</v>
      </c>
      <c r="R98" s="113">
        <f t="shared" si="5"/>
        <v>-1.7849896016104199E-13</v>
      </c>
      <c r="S98" s="217">
        <f t="shared" si="6"/>
        <v>-2.7284841053187847E-12</v>
      </c>
      <c r="T98" s="2"/>
    </row>
    <row r="99" spans="1:20" ht="22.5" customHeight="1" x14ac:dyDescent="0.5">
      <c r="A99" s="208">
        <v>43</v>
      </c>
      <c r="B99" s="209" t="s">
        <v>210</v>
      </c>
      <c r="C99" s="210" t="s">
        <v>211</v>
      </c>
      <c r="D99" s="211">
        <v>5574.7</v>
      </c>
      <c r="E99" s="212" t="s">
        <v>1153</v>
      </c>
      <c r="F99" s="212" t="s">
        <v>33</v>
      </c>
      <c r="G99" s="213" t="s">
        <v>33</v>
      </c>
      <c r="H99" s="219">
        <v>8160.0000000000027</v>
      </c>
      <c r="I99" s="214">
        <v>571.20000000000016</v>
      </c>
      <c r="J99" s="219">
        <v>8731.2000000000025</v>
      </c>
      <c r="K99" s="38" t="s">
        <v>1275</v>
      </c>
      <c r="L99" s="39" t="s">
        <v>1276</v>
      </c>
      <c r="M99" s="246">
        <v>8731.2000000000007</v>
      </c>
      <c r="N99" s="239" t="s">
        <v>1192</v>
      </c>
      <c r="O99" s="239" t="s">
        <v>33</v>
      </c>
      <c r="P99" s="236" t="s">
        <v>33</v>
      </c>
      <c r="Q99" s="113">
        <f t="shared" si="4"/>
        <v>5210.0000000000009</v>
      </c>
      <c r="R99" s="113">
        <f t="shared" si="5"/>
        <v>364.7000000000001</v>
      </c>
      <c r="S99" s="217">
        <f t="shared" si="6"/>
        <v>5574.7000000000007</v>
      </c>
      <c r="T99" s="2"/>
    </row>
    <row r="100" spans="1:20" ht="22.5" customHeight="1" x14ac:dyDescent="0.5">
      <c r="A100" s="208">
        <v>44</v>
      </c>
      <c r="B100" s="209" t="s">
        <v>212</v>
      </c>
      <c r="C100" s="210" t="s">
        <v>213</v>
      </c>
      <c r="D100" s="211"/>
      <c r="E100" s="212"/>
      <c r="F100" s="212"/>
      <c r="G100" s="213"/>
      <c r="H100" s="219">
        <v>0</v>
      </c>
      <c r="I100" s="214">
        <v>0</v>
      </c>
      <c r="J100" s="219">
        <v>0</v>
      </c>
      <c r="K100" s="38"/>
      <c r="L100" s="39"/>
      <c r="M100" s="246"/>
      <c r="N100" s="239"/>
      <c r="O100" s="239"/>
      <c r="P100" s="236"/>
      <c r="Q100" s="113">
        <f t="shared" si="4"/>
        <v>0</v>
      </c>
      <c r="R100" s="113">
        <f t="shared" si="5"/>
        <v>0</v>
      </c>
      <c r="S100" s="217">
        <f t="shared" si="6"/>
        <v>0</v>
      </c>
      <c r="T100" s="2"/>
    </row>
    <row r="101" spans="1:20" ht="22.5" customHeight="1" x14ac:dyDescent="0.5">
      <c r="A101" s="208">
        <v>45</v>
      </c>
      <c r="B101" s="209" t="s">
        <v>214</v>
      </c>
      <c r="C101" s="210" t="s">
        <v>215</v>
      </c>
      <c r="D101" s="211">
        <v>963</v>
      </c>
      <c r="E101" s="212"/>
      <c r="F101" s="212"/>
      <c r="G101" s="213"/>
      <c r="H101" s="219">
        <v>0</v>
      </c>
      <c r="I101" s="214">
        <v>0</v>
      </c>
      <c r="J101" s="219">
        <v>0</v>
      </c>
      <c r="K101" s="38" t="s">
        <v>1259</v>
      </c>
      <c r="L101" s="39" t="s">
        <v>1277</v>
      </c>
      <c r="M101" s="246">
        <v>963</v>
      </c>
      <c r="N101" s="239"/>
      <c r="O101" s="239"/>
      <c r="P101" s="236"/>
      <c r="Q101" s="113">
        <f t="shared" si="4"/>
        <v>0</v>
      </c>
      <c r="R101" s="113">
        <f t="shared" si="5"/>
        <v>0</v>
      </c>
      <c r="S101" s="217">
        <f t="shared" si="6"/>
        <v>0</v>
      </c>
      <c r="T101" s="2"/>
    </row>
    <row r="102" spans="1:20" ht="22.5" customHeight="1" x14ac:dyDescent="0.5">
      <c r="A102" s="253">
        <v>46</v>
      </c>
      <c r="B102" s="254" t="s">
        <v>217</v>
      </c>
      <c r="C102" s="238" t="s">
        <v>218</v>
      </c>
      <c r="D102" s="211">
        <v>2033</v>
      </c>
      <c r="E102" s="167" t="s">
        <v>1153</v>
      </c>
      <c r="F102" s="167" t="s">
        <v>33</v>
      </c>
      <c r="G102" s="168" t="s">
        <v>33</v>
      </c>
      <c r="H102" s="255">
        <v>1890</v>
      </c>
      <c r="I102" s="256">
        <v>132.30000000000001</v>
      </c>
      <c r="J102" s="255">
        <v>2022.3</v>
      </c>
      <c r="K102" s="38" t="s">
        <v>1210</v>
      </c>
      <c r="L102" s="245" t="s">
        <v>1278</v>
      </c>
      <c r="M102" s="246">
        <v>4055.3</v>
      </c>
      <c r="N102" s="239"/>
      <c r="O102" s="239"/>
      <c r="P102" s="236"/>
      <c r="Q102" s="113">
        <f t="shared" si="4"/>
        <v>0</v>
      </c>
      <c r="R102" s="113">
        <f t="shared" si="5"/>
        <v>0</v>
      </c>
      <c r="S102" s="217">
        <f t="shared" si="6"/>
        <v>0</v>
      </c>
      <c r="T102" s="2"/>
    </row>
    <row r="103" spans="1:20" ht="22.5" customHeight="1" x14ac:dyDescent="0.5">
      <c r="A103" s="235">
        <v>47</v>
      </c>
      <c r="B103" s="257" t="s">
        <v>220</v>
      </c>
      <c r="C103" s="257" t="s">
        <v>221</v>
      </c>
      <c r="D103" s="211">
        <v>85.6</v>
      </c>
      <c r="E103" s="212"/>
      <c r="F103" s="212"/>
      <c r="G103" s="213"/>
      <c r="H103" s="219">
        <v>0</v>
      </c>
      <c r="I103" s="214">
        <v>0</v>
      </c>
      <c r="J103" s="258">
        <v>0</v>
      </c>
      <c r="K103" s="38"/>
      <c r="L103" s="39"/>
      <c r="M103" s="246"/>
      <c r="N103" s="239" t="s">
        <v>1192</v>
      </c>
      <c r="O103" s="239" t="s">
        <v>33</v>
      </c>
      <c r="P103" s="236" t="s">
        <v>33</v>
      </c>
      <c r="Q103" s="113">
        <f t="shared" si="4"/>
        <v>80</v>
      </c>
      <c r="R103" s="113">
        <f t="shared" si="5"/>
        <v>5.6</v>
      </c>
      <c r="S103" s="217">
        <f t="shared" si="6"/>
        <v>85.6</v>
      </c>
      <c r="T103" s="2"/>
    </row>
    <row r="104" spans="1:20" ht="22.5" customHeight="1" x14ac:dyDescent="0.5">
      <c r="A104" s="260">
        <v>48</v>
      </c>
      <c r="B104" s="261" t="s">
        <v>222</v>
      </c>
      <c r="C104" s="261" t="s">
        <v>223</v>
      </c>
      <c r="D104" s="262"/>
      <c r="E104" s="212"/>
      <c r="F104" s="212"/>
      <c r="G104" s="213"/>
      <c r="H104" s="219">
        <v>0</v>
      </c>
      <c r="I104" s="214">
        <v>0</v>
      </c>
      <c r="J104" s="258">
        <v>0</v>
      </c>
      <c r="K104" s="38"/>
      <c r="L104" s="39"/>
      <c r="M104" s="246"/>
      <c r="N104" s="215"/>
      <c r="O104" s="215"/>
      <c r="P104" s="216"/>
      <c r="Q104" s="113">
        <f t="shared" si="4"/>
        <v>0</v>
      </c>
      <c r="R104" s="113">
        <f t="shared" si="5"/>
        <v>0</v>
      </c>
      <c r="S104" s="217">
        <f t="shared" si="6"/>
        <v>0</v>
      </c>
      <c r="T104" s="2"/>
    </row>
    <row r="105" spans="1:20" ht="22.5" customHeight="1" x14ac:dyDescent="0.5">
      <c r="A105" s="260">
        <v>49</v>
      </c>
      <c r="B105" s="261" t="s">
        <v>224</v>
      </c>
      <c r="C105" s="261" t="s">
        <v>225</v>
      </c>
      <c r="D105" s="263">
        <v>363.8</v>
      </c>
      <c r="E105" s="212" t="s">
        <v>1153</v>
      </c>
      <c r="F105" s="212" t="s">
        <v>33</v>
      </c>
      <c r="G105" s="213" t="s">
        <v>33</v>
      </c>
      <c r="H105" s="219">
        <v>330</v>
      </c>
      <c r="I105" s="214">
        <v>23.1</v>
      </c>
      <c r="J105" s="258">
        <v>353.1</v>
      </c>
      <c r="K105" s="38" t="s">
        <v>1279</v>
      </c>
      <c r="L105" s="245" t="s">
        <v>1280</v>
      </c>
      <c r="M105" s="246">
        <v>353.1</v>
      </c>
      <c r="N105" s="215" t="s">
        <v>1192</v>
      </c>
      <c r="O105" s="215" t="s">
        <v>33</v>
      </c>
      <c r="P105" s="216" t="s">
        <v>33</v>
      </c>
      <c r="Q105" s="113">
        <f t="shared" si="4"/>
        <v>340.00000000000006</v>
      </c>
      <c r="R105" s="113">
        <f t="shared" si="5"/>
        <v>23.800000000000004</v>
      </c>
      <c r="S105" s="217">
        <f t="shared" si="6"/>
        <v>363.80000000000007</v>
      </c>
      <c r="T105" s="2"/>
    </row>
    <row r="106" spans="1:20" ht="22.5" customHeight="1" x14ac:dyDescent="0.5">
      <c r="A106" s="264">
        <v>50</v>
      </c>
      <c r="B106" s="265" t="s">
        <v>226</v>
      </c>
      <c r="C106" s="265" t="s">
        <v>227</v>
      </c>
      <c r="D106" s="266">
        <v>4943.3999999999996</v>
      </c>
      <c r="E106" s="267" t="s">
        <v>1153</v>
      </c>
      <c r="F106" s="267" t="s">
        <v>33</v>
      </c>
      <c r="G106" s="168" t="s">
        <v>33</v>
      </c>
      <c r="H106" s="255">
        <v>3350</v>
      </c>
      <c r="I106" s="256">
        <v>234.5</v>
      </c>
      <c r="J106" s="268">
        <v>3584.5</v>
      </c>
      <c r="K106" s="38" t="s">
        <v>1193</v>
      </c>
      <c r="L106" s="245" t="s">
        <v>1281</v>
      </c>
      <c r="M106" s="246">
        <v>3584.5</v>
      </c>
      <c r="N106" s="215" t="s">
        <v>1192</v>
      </c>
      <c r="O106" s="215" t="s">
        <v>33</v>
      </c>
      <c r="P106" s="216" t="s">
        <v>33</v>
      </c>
      <c r="Q106" s="113">
        <f>SUM(S106-R106)</f>
        <v>4620</v>
      </c>
      <c r="R106" s="113">
        <f t="shared" si="5"/>
        <v>323.39999999999998</v>
      </c>
      <c r="S106" s="217">
        <f>SUM(D106+J106-M106)</f>
        <v>4943.3999999999996</v>
      </c>
      <c r="T106" s="2"/>
    </row>
    <row r="107" spans="1:20" ht="22.5" customHeight="1" x14ac:dyDescent="0.5">
      <c r="A107" s="264">
        <v>51</v>
      </c>
      <c r="B107" s="265" t="s">
        <v>229</v>
      </c>
      <c r="C107" s="265" t="s">
        <v>230</v>
      </c>
      <c r="D107" s="266">
        <v>8313.9</v>
      </c>
      <c r="E107" s="267" t="s">
        <v>1153</v>
      </c>
      <c r="F107" s="267" t="s">
        <v>33</v>
      </c>
      <c r="G107" s="168" t="s">
        <v>33</v>
      </c>
      <c r="H107" s="255">
        <v>8290</v>
      </c>
      <c r="I107" s="256">
        <v>580.29999999999995</v>
      </c>
      <c r="J107" s="271">
        <v>8870.2999999999993</v>
      </c>
      <c r="K107" s="101" t="s">
        <v>1282</v>
      </c>
      <c r="L107" s="102" t="s">
        <v>1283</v>
      </c>
      <c r="M107" s="272">
        <v>17184.199999999997</v>
      </c>
      <c r="N107" s="273"/>
      <c r="O107" s="273"/>
      <c r="P107" s="274"/>
      <c r="Q107" s="113">
        <f t="shared" si="4"/>
        <v>0</v>
      </c>
      <c r="R107" s="113">
        <f t="shared" si="5"/>
        <v>0</v>
      </c>
      <c r="S107" s="217">
        <f t="shared" si="6"/>
        <v>0</v>
      </c>
      <c r="T107" s="2"/>
    </row>
    <row r="108" spans="1:20" ht="22.5" customHeight="1" x14ac:dyDescent="0.5">
      <c r="A108" s="264">
        <v>52</v>
      </c>
      <c r="B108" s="265" t="s">
        <v>566</v>
      </c>
      <c r="C108" s="265" t="s">
        <v>567</v>
      </c>
      <c r="D108" s="266">
        <v>2172.1</v>
      </c>
      <c r="E108" s="267"/>
      <c r="F108" s="267"/>
      <c r="G108" s="168"/>
      <c r="H108" s="255">
        <v>0</v>
      </c>
      <c r="I108" s="256">
        <v>0</v>
      </c>
      <c r="J108" s="268">
        <v>0</v>
      </c>
      <c r="K108" s="672" t="s">
        <v>1210</v>
      </c>
      <c r="L108" s="673" t="s">
        <v>1284</v>
      </c>
      <c r="M108" s="674">
        <v>2172.1</v>
      </c>
      <c r="N108" s="675"/>
      <c r="O108" s="675"/>
      <c r="P108" s="676"/>
      <c r="Q108" s="113">
        <f t="shared" si="4"/>
        <v>0</v>
      </c>
      <c r="R108" s="113">
        <f t="shared" si="5"/>
        <v>0</v>
      </c>
      <c r="S108" s="217">
        <f t="shared" si="6"/>
        <v>0</v>
      </c>
      <c r="T108" s="2"/>
    </row>
    <row r="109" spans="1:20" ht="22.5" customHeight="1" x14ac:dyDescent="0.5">
      <c r="A109" s="264"/>
      <c r="B109" s="265" t="s">
        <v>568</v>
      </c>
      <c r="C109" s="265" t="s">
        <v>567</v>
      </c>
      <c r="D109" s="266">
        <v>3135.1</v>
      </c>
      <c r="E109" s="267"/>
      <c r="F109" s="267"/>
      <c r="G109" s="168"/>
      <c r="H109" s="255">
        <v>0</v>
      </c>
      <c r="I109" s="256">
        <v>0</v>
      </c>
      <c r="J109" s="677">
        <v>0</v>
      </c>
      <c r="K109" s="678" t="s">
        <v>1210</v>
      </c>
      <c r="L109" s="679" t="s">
        <v>1284</v>
      </c>
      <c r="M109" s="680">
        <v>3135.1</v>
      </c>
      <c r="N109" s="681"/>
      <c r="O109" s="681"/>
      <c r="P109" s="682"/>
      <c r="Q109" s="113">
        <f t="shared" si="4"/>
        <v>0</v>
      </c>
      <c r="R109" s="113">
        <f t="shared" si="5"/>
        <v>0</v>
      </c>
      <c r="S109" s="217">
        <f t="shared" si="6"/>
        <v>0</v>
      </c>
      <c r="T109" s="2"/>
    </row>
    <row r="110" spans="1:20" ht="22.5" customHeight="1" x14ac:dyDescent="0.5">
      <c r="A110" s="269">
        <v>53</v>
      </c>
      <c r="B110" s="265" t="s">
        <v>705</v>
      </c>
      <c r="C110" s="794" t="s">
        <v>1288</v>
      </c>
      <c r="D110" s="266">
        <v>706.2</v>
      </c>
      <c r="E110" s="267"/>
      <c r="F110" s="267"/>
      <c r="G110" s="168"/>
      <c r="H110" s="255">
        <v>0</v>
      </c>
      <c r="I110" s="256">
        <v>0</v>
      </c>
      <c r="J110" s="268">
        <v>0</v>
      </c>
      <c r="K110" s="672" t="s">
        <v>1259</v>
      </c>
      <c r="L110" s="673" t="s">
        <v>1285</v>
      </c>
      <c r="M110" s="674">
        <v>706.2</v>
      </c>
      <c r="N110" s="675"/>
      <c r="O110" s="675"/>
      <c r="P110" s="776"/>
      <c r="Q110" s="113">
        <f>SUM(S110-R110)</f>
        <v>0</v>
      </c>
      <c r="R110" s="113">
        <f>SUM(S110*7/107)</f>
        <v>0</v>
      </c>
      <c r="S110" s="217">
        <f>SUM(D110+J110-M110)</f>
        <v>0</v>
      </c>
      <c r="T110" s="2"/>
    </row>
    <row r="111" spans="1:20" ht="22.5" customHeight="1" x14ac:dyDescent="0.5">
      <c r="A111" s="264">
        <v>54</v>
      </c>
      <c r="B111" s="265" t="s">
        <v>1287</v>
      </c>
      <c r="C111" s="265" t="s">
        <v>1288</v>
      </c>
      <c r="D111" s="266">
        <v>1326.8</v>
      </c>
      <c r="E111" s="267"/>
      <c r="F111" s="267"/>
      <c r="G111" s="168"/>
      <c r="H111" s="255">
        <v>0</v>
      </c>
      <c r="I111" s="256">
        <v>0</v>
      </c>
      <c r="J111" s="268">
        <v>0</v>
      </c>
      <c r="K111" s="672" t="s">
        <v>1210</v>
      </c>
      <c r="L111" s="673" t="s">
        <v>1286</v>
      </c>
      <c r="M111" s="674">
        <v>1326.8</v>
      </c>
      <c r="N111" s="675"/>
      <c r="O111" s="675"/>
      <c r="P111" s="776"/>
      <c r="Q111" s="113">
        <f>SUM(S111-R111)</f>
        <v>0</v>
      </c>
      <c r="R111" s="113">
        <f>SUM(S111*7/107)</f>
        <v>0</v>
      </c>
      <c r="S111" s="217">
        <f>SUM(D111+J111-M111)</f>
        <v>0</v>
      </c>
      <c r="T111" s="2"/>
    </row>
    <row r="112" spans="1:20" s="60" customFormat="1" ht="22.5" customHeight="1" thickBot="1" x14ac:dyDescent="0.35">
      <c r="A112" s="278"/>
      <c r="B112" s="278" t="s">
        <v>15</v>
      </c>
      <c r="C112" s="279"/>
      <c r="D112" s="280">
        <f>SUM(D44:D111)</f>
        <v>216300.5</v>
      </c>
      <c r="E112" s="281"/>
      <c r="F112" s="281"/>
      <c r="G112" s="282"/>
      <c r="H112" s="280">
        <f>SUM(H44:H111)</f>
        <v>181600</v>
      </c>
      <c r="I112" s="280">
        <f t="shared" ref="I112:S112" si="7">SUM(I44:I111)</f>
        <v>12711.999999999998</v>
      </c>
      <c r="J112" s="280">
        <f t="shared" si="7"/>
        <v>194311.99999999997</v>
      </c>
      <c r="K112" s="280">
        <f t="shared" si="7"/>
        <v>0</v>
      </c>
      <c r="L112" s="280">
        <f t="shared" si="7"/>
        <v>0</v>
      </c>
      <c r="M112" s="280">
        <f t="shared" si="7"/>
        <v>335979.99999999988</v>
      </c>
      <c r="N112" s="280">
        <f t="shared" si="7"/>
        <v>0</v>
      </c>
      <c r="O112" s="280">
        <f t="shared" si="7"/>
        <v>0</v>
      </c>
      <c r="P112" s="280">
        <f t="shared" si="7"/>
        <v>0</v>
      </c>
      <c r="Q112" s="280">
        <f>SUM(Q44:Q111)</f>
        <v>69750</v>
      </c>
      <c r="R112" s="280">
        <f t="shared" si="7"/>
        <v>4882.4999999999991</v>
      </c>
      <c r="S112" s="280">
        <f t="shared" si="7"/>
        <v>74632.5</v>
      </c>
      <c r="T112" s="59"/>
    </row>
    <row r="113" spans="1:20" ht="22.5" customHeight="1" thickTop="1" x14ac:dyDescent="0.3">
      <c r="A113" s="61"/>
      <c r="B113" s="121" t="s">
        <v>232</v>
      </c>
      <c r="C113" s="63"/>
      <c r="D113" s="64"/>
      <c r="E113" s="65"/>
      <c r="F113" s="65"/>
      <c r="G113" s="66"/>
      <c r="H113" s="67"/>
      <c r="I113" s="67"/>
      <c r="J113" s="67"/>
      <c r="K113" s="286"/>
      <c r="L113" s="287"/>
      <c r="M113" s="288"/>
      <c r="N113" s="69"/>
      <c r="O113" s="69"/>
      <c r="P113" s="70"/>
      <c r="Q113" s="71"/>
      <c r="R113" s="71"/>
      <c r="S113" s="289"/>
      <c r="T113" s="2"/>
    </row>
    <row r="114" spans="1:20" ht="22.5" customHeight="1" x14ac:dyDescent="0.5">
      <c r="A114" s="290"/>
      <c r="B114" s="291" t="s">
        <v>233</v>
      </c>
      <c r="C114" s="292"/>
      <c r="D114" s="293"/>
      <c r="E114" s="212"/>
      <c r="F114" s="212"/>
      <c r="G114" s="213"/>
      <c r="H114" s="219"/>
      <c r="I114" s="219"/>
      <c r="J114" s="219"/>
      <c r="K114" s="294"/>
      <c r="L114" s="295"/>
      <c r="M114" s="296"/>
      <c r="N114" s="41"/>
      <c r="O114" s="41"/>
      <c r="P114" s="34"/>
      <c r="Q114" s="114"/>
      <c r="R114" s="114"/>
      <c r="S114" s="36"/>
      <c r="T114" s="2"/>
    </row>
    <row r="115" spans="1:20" ht="22.5" customHeight="1" x14ac:dyDescent="0.5">
      <c r="A115" s="23">
        <v>1</v>
      </c>
      <c r="B115" s="73" t="s">
        <v>234</v>
      </c>
      <c r="C115" s="25" t="s">
        <v>235</v>
      </c>
      <c r="D115" s="43">
        <v>9450</v>
      </c>
      <c r="E115" s="212"/>
      <c r="F115" s="212"/>
      <c r="G115" s="213"/>
      <c r="H115" s="219">
        <v>0</v>
      </c>
      <c r="I115" s="219">
        <v>0</v>
      </c>
      <c r="J115" s="219">
        <v>0</v>
      </c>
      <c r="K115" s="30" t="s">
        <v>1210</v>
      </c>
      <c r="L115" s="31" t="s">
        <v>1289</v>
      </c>
      <c r="M115" s="32">
        <v>9450</v>
      </c>
      <c r="N115" s="215"/>
      <c r="O115" s="215"/>
      <c r="P115" s="216"/>
      <c r="Q115" s="114">
        <f>SUM(D115+J115-M115)</f>
        <v>0</v>
      </c>
      <c r="R115" s="114">
        <v>0</v>
      </c>
      <c r="S115" s="36">
        <f>SUM(Q115)</f>
        <v>0</v>
      </c>
      <c r="T115" s="2"/>
    </row>
    <row r="116" spans="1:20" ht="22.5" customHeight="1" x14ac:dyDescent="0.5">
      <c r="A116" s="23">
        <v>2</v>
      </c>
      <c r="B116" s="73" t="s">
        <v>237</v>
      </c>
      <c r="C116" s="25" t="s">
        <v>238</v>
      </c>
      <c r="D116" s="43">
        <v>3150</v>
      </c>
      <c r="E116" s="212"/>
      <c r="F116" s="212"/>
      <c r="G116" s="213"/>
      <c r="H116" s="219">
        <v>0</v>
      </c>
      <c r="I116" s="219">
        <v>0</v>
      </c>
      <c r="J116" s="219">
        <v>0</v>
      </c>
      <c r="K116" s="30" t="s">
        <v>1210</v>
      </c>
      <c r="L116" s="31" t="s">
        <v>1290</v>
      </c>
      <c r="M116" s="32">
        <v>3150</v>
      </c>
      <c r="N116" s="215"/>
      <c r="O116" s="215"/>
      <c r="P116" s="216"/>
      <c r="Q116" s="114">
        <f t="shared" ref="Q116:Q155" si="8">SUM(D116+J116-M116)</f>
        <v>0</v>
      </c>
      <c r="R116" s="114">
        <v>0</v>
      </c>
      <c r="S116" s="36">
        <f t="shared" ref="S116:S155" si="9">SUM(Q116)</f>
        <v>0</v>
      </c>
      <c r="T116" s="2"/>
    </row>
    <row r="117" spans="1:20" ht="22.5" customHeight="1" x14ac:dyDescent="0.5">
      <c r="A117" s="23">
        <v>3</v>
      </c>
      <c r="B117" s="73" t="s">
        <v>240</v>
      </c>
      <c r="C117" s="25" t="s">
        <v>241</v>
      </c>
      <c r="D117" s="43">
        <v>15750</v>
      </c>
      <c r="E117" s="212" t="s">
        <v>1153</v>
      </c>
      <c r="F117" s="212" t="s">
        <v>33</v>
      </c>
      <c r="G117" s="213" t="s">
        <v>33</v>
      </c>
      <c r="H117" s="219">
        <v>15750</v>
      </c>
      <c r="I117" s="219">
        <v>0</v>
      </c>
      <c r="J117" s="219">
        <v>15750</v>
      </c>
      <c r="K117" s="30" t="s">
        <v>1275</v>
      </c>
      <c r="L117" s="31" t="s">
        <v>1291</v>
      </c>
      <c r="M117" s="32">
        <v>15750</v>
      </c>
      <c r="N117" s="297" t="s">
        <v>1192</v>
      </c>
      <c r="O117" s="297" t="s">
        <v>33</v>
      </c>
      <c r="P117" s="216"/>
      <c r="Q117" s="114">
        <f t="shared" si="8"/>
        <v>15750</v>
      </c>
      <c r="R117" s="114">
        <v>0</v>
      </c>
      <c r="S117" s="36">
        <f t="shared" si="9"/>
        <v>15750</v>
      </c>
      <c r="T117" s="2"/>
    </row>
    <row r="118" spans="1:20" ht="22.5" customHeight="1" x14ac:dyDescent="0.5">
      <c r="A118" s="23">
        <v>4</v>
      </c>
      <c r="B118" s="73" t="s">
        <v>240</v>
      </c>
      <c r="C118" s="25" t="s">
        <v>242</v>
      </c>
      <c r="D118" s="43">
        <v>6300</v>
      </c>
      <c r="E118" s="212" t="s">
        <v>1153</v>
      </c>
      <c r="F118" s="212" t="s">
        <v>33</v>
      </c>
      <c r="G118" s="213" t="s">
        <v>33</v>
      </c>
      <c r="H118" s="219">
        <v>6300</v>
      </c>
      <c r="I118" s="219">
        <v>0</v>
      </c>
      <c r="J118" s="219">
        <v>6300</v>
      </c>
      <c r="K118" s="30" t="s">
        <v>1275</v>
      </c>
      <c r="L118" s="31" t="s">
        <v>1291</v>
      </c>
      <c r="M118" s="32">
        <v>6300</v>
      </c>
      <c r="N118" s="297" t="s">
        <v>1192</v>
      </c>
      <c r="O118" s="297" t="s">
        <v>33</v>
      </c>
      <c r="P118" s="216"/>
      <c r="Q118" s="114">
        <f t="shared" si="8"/>
        <v>6300</v>
      </c>
      <c r="R118" s="114">
        <v>0</v>
      </c>
      <c r="S118" s="36">
        <f t="shared" si="9"/>
        <v>6300</v>
      </c>
      <c r="T118" s="2"/>
    </row>
    <row r="119" spans="1:20" ht="22.5" customHeight="1" x14ac:dyDescent="0.5">
      <c r="A119" s="23">
        <v>5</v>
      </c>
      <c r="B119" s="73" t="s">
        <v>198</v>
      </c>
      <c r="C119" s="25" t="s">
        <v>243</v>
      </c>
      <c r="D119" s="43">
        <v>22050</v>
      </c>
      <c r="E119" s="212"/>
      <c r="F119" s="212"/>
      <c r="G119" s="213"/>
      <c r="H119" s="219">
        <v>0</v>
      </c>
      <c r="I119" s="219">
        <v>0</v>
      </c>
      <c r="J119" s="219">
        <v>0</v>
      </c>
      <c r="K119" s="30" t="s">
        <v>1197</v>
      </c>
      <c r="L119" s="31" t="s">
        <v>1292</v>
      </c>
      <c r="M119" s="32">
        <v>22050</v>
      </c>
      <c r="N119" s="297"/>
      <c r="O119" s="297"/>
      <c r="P119" s="216"/>
      <c r="Q119" s="114">
        <f t="shared" si="8"/>
        <v>0</v>
      </c>
      <c r="R119" s="114">
        <v>0</v>
      </c>
      <c r="S119" s="36">
        <f t="shared" si="9"/>
        <v>0</v>
      </c>
      <c r="T119" s="2"/>
    </row>
    <row r="120" spans="1:20" ht="22.5" customHeight="1" x14ac:dyDescent="0.5">
      <c r="A120" s="23">
        <v>6</v>
      </c>
      <c r="B120" s="73" t="s">
        <v>245</v>
      </c>
      <c r="C120" s="25" t="s">
        <v>246</v>
      </c>
      <c r="D120" s="43">
        <v>9450</v>
      </c>
      <c r="E120" s="212"/>
      <c r="F120" s="212"/>
      <c r="G120" s="213"/>
      <c r="H120" s="219">
        <v>0</v>
      </c>
      <c r="I120" s="219">
        <v>0</v>
      </c>
      <c r="J120" s="219">
        <v>0</v>
      </c>
      <c r="K120" s="30" t="s">
        <v>1248</v>
      </c>
      <c r="L120" s="31" t="s">
        <v>1293</v>
      </c>
      <c r="M120" s="32">
        <v>9450</v>
      </c>
      <c r="N120" s="297"/>
      <c r="O120" s="297"/>
      <c r="P120" s="216"/>
      <c r="Q120" s="114">
        <f t="shared" si="8"/>
        <v>0</v>
      </c>
      <c r="R120" s="114">
        <v>0</v>
      </c>
      <c r="S120" s="36">
        <f t="shared" si="9"/>
        <v>0</v>
      </c>
      <c r="T120" s="2"/>
    </row>
    <row r="121" spans="1:20" ht="22.5" customHeight="1" x14ac:dyDescent="0.5">
      <c r="A121" s="23">
        <v>7</v>
      </c>
      <c r="B121" s="73" t="s">
        <v>248</v>
      </c>
      <c r="C121" s="25" t="s">
        <v>249</v>
      </c>
      <c r="D121" s="43">
        <v>6300</v>
      </c>
      <c r="E121" s="212" t="s">
        <v>1105</v>
      </c>
      <c r="F121" s="212" t="s">
        <v>115</v>
      </c>
      <c r="G121" s="213" t="s">
        <v>115</v>
      </c>
      <c r="H121" s="219">
        <v>12600</v>
      </c>
      <c r="I121" s="219">
        <v>0</v>
      </c>
      <c r="J121" s="219">
        <v>12600</v>
      </c>
      <c r="K121" s="30" t="s">
        <v>1279</v>
      </c>
      <c r="L121" s="31" t="s">
        <v>1294</v>
      </c>
      <c r="M121" s="32">
        <v>12600</v>
      </c>
      <c r="N121" s="215" t="s">
        <v>1192</v>
      </c>
      <c r="O121" s="215" t="s">
        <v>33</v>
      </c>
      <c r="P121" s="216"/>
      <c r="Q121" s="114">
        <f t="shared" si="8"/>
        <v>6300</v>
      </c>
      <c r="R121" s="114">
        <v>0</v>
      </c>
      <c r="S121" s="36">
        <f t="shared" si="9"/>
        <v>6300</v>
      </c>
      <c r="T121" s="2"/>
    </row>
    <row r="122" spans="1:20" ht="22.5" customHeight="1" x14ac:dyDescent="0.5">
      <c r="A122" s="208">
        <v>8</v>
      </c>
      <c r="B122" s="209" t="s">
        <v>250</v>
      </c>
      <c r="C122" s="210" t="s">
        <v>251</v>
      </c>
      <c r="D122" s="298">
        <v>6300</v>
      </c>
      <c r="E122" s="299" t="s">
        <v>1153</v>
      </c>
      <c r="F122" s="299" t="s">
        <v>33</v>
      </c>
      <c r="G122" s="300" t="s">
        <v>33</v>
      </c>
      <c r="H122" s="214">
        <v>6300</v>
      </c>
      <c r="I122" s="219">
        <v>0</v>
      </c>
      <c r="J122" s="219">
        <v>6300</v>
      </c>
      <c r="K122" s="30" t="s">
        <v>1190</v>
      </c>
      <c r="L122" s="31" t="s">
        <v>1295</v>
      </c>
      <c r="M122" s="32">
        <v>6300</v>
      </c>
      <c r="N122" s="215" t="s">
        <v>1192</v>
      </c>
      <c r="O122" s="215" t="s">
        <v>33</v>
      </c>
      <c r="P122" s="216"/>
      <c r="Q122" s="114">
        <f t="shared" si="8"/>
        <v>6300</v>
      </c>
      <c r="R122" s="114">
        <v>0</v>
      </c>
      <c r="S122" s="36">
        <f t="shared" si="9"/>
        <v>6300</v>
      </c>
      <c r="T122" s="218"/>
    </row>
    <row r="123" spans="1:20" ht="22.5" customHeight="1" x14ac:dyDescent="0.5">
      <c r="A123" s="23">
        <v>9</v>
      </c>
      <c r="B123" s="73" t="s">
        <v>253</v>
      </c>
      <c r="C123" s="25" t="s">
        <v>254</v>
      </c>
      <c r="D123" s="43">
        <v>9450</v>
      </c>
      <c r="E123" s="212"/>
      <c r="F123" s="212"/>
      <c r="G123" s="213"/>
      <c r="H123" s="219">
        <v>0</v>
      </c>
      <c r="I123" s="219">
        <v>0</v>
      </c>
      <c r="J123" s="219">
        <v>0</v>
      </c>
      <c r="K123" s="30" t="s">
        <v>1231</v>
      </c>
      <c r="L123" s="31" t="s">
        <v>1296</v>
      </c>
      <c r="M123" s="32">
        <v>9450</v>
      </c>
      <c r="N123" s="215"/>
      <c r="O123" s="215"/>
      <c r="P123" s="216"/>
      <c r="Q123" s="114">
        <f t="shared" si="8"/>
        <v>0</v>
      </c>
      <c r="R123" s="114">
        <v>0</v>
      </c>
      <c r="S123" s="36">
        <f t="shared" si="9"/>
        <v>0</v>
      </c>
    </row>
    <row r="124" spans="1:20" ht="22.5" customHeight="1" x14ac:dyDescent="0.5">
      <c r="A124" s="23"/>
      <c r="B124" s="301" t="s">
        <v>256</v>
      </c>
      <c r="C124" s="25"/>
      <c r="D124" s="43"/>
      <c r="E124" s="302"/>
      <c r="F124" s="302"/>
      <c r="G124" s="303"/>
      <c r="H124" s="304">
        <v>0</v>
      </c>
      <c r="I124" s="304">
        <v>0</v>
      </c>
      <c r="J124" s="304">
        <v>0</v>
      </c>
      <c r="K124" s="30"/>
      <c r="L124" s="31"/>
      <c r="M124" s="32"/>
      <c r="N124" s="297"/>
      <c r="O124" s="297"/>
      <c r="P124" s="216"/>
      <c r="Q124" s="114">
        <f t="shared" si="8"/>
        <v>0</v>
      </c>
      <c r="R124" s="114">
        <v>0</v>
      </c>
      <c r="S124" s="36">
        <f t="shared" si="9"/>
        <v>0</v>
      </c>
    </row>
    <row r="125" spans="1:20" ht="22.5" customHeight="1" x14ac:dyDescent="0.5">
      <c r="A125" s="23">
        <v>10</v>
      </c>
      <c r="B125" s="73" t="s">
        <v>257</v>
      </c>
      <c r="C125" s="25" t="s">
        <v>258</v>
      </c>
      <c r="D125" s="43">
        <v>5600</v>
      </c>
      <c r="E125" s="212"/>
      <c r="F125" s="212"/>
      <c r="G125" s="213"/>
      <c r="H125" s="219">
        <v>0</v>
      </c>
      <c r="I125" s="219">
        <v>0</v>
      </c>
      <c r="J125" s="219">
        <v>0</v>
      </c>
      <c r="K125" s="30" t="s">
        <v>1248</v>
      </c>
      <c r="L125" s="31" t="s">
        <v>1297</v>
      </c>
      <c r="M125" s="32">
        <v>5600</v>
      </c>
      <c r="N125" s="297"/>
      <c r="O125" s="297"/>
      <c r="P125" s="216"/>
      <c r="Q125" s="114">
        <f t="shared" si="8"/>
        <v>0</v>
      </c>
      <c r="R125" s="114">
        <v>0</v>
      </c>
      <c r="S125" s="36">
        <f t="shared" si="9"/>
        <v>0</v>
      </c>
    </row>
    <row r="126" spans="1:20" ht="22.5" customHeight="1" x14ac:dyDescent="0.5">
      <c r="A126" s="23">
        <v>11</v>
      </c>
      <c r="B126" s="73" t="s">
        <v>198</v>
      </c>
      <c r="C126" s="25" t="s">
        <v>260</v>
      </c>
      <c r="D126" s="43">
        <v>2800</v>
      </c>
      <c r="E126" s="212"/>
      <c r="F126" s="212"/>
      <c r="G126" s="213"/>
      <c r="H126" s="219">
        <v>0</v>
      </c>
      <c r="I126" s="219">
        <v>0</v>
      </c>
      <c r="J126" s="219">
        <v>0</v>
      </c>
      <c r="K126" s="30" t="s">
        <v>1197</v>
      </c>
      <c r="L126" s="31" t="s">
        <v>1292</v>
      </c>
      <c r="M126" s="32">
        <v>2800</v>
      </c>
      <c r="N126" s="297"/>
      <c r="O126" s="297"/>
      <c r="P126" s="216"/>
      <c r="Q126" s="114">
        <f t="shared" si="8"/>
        <v>0</v>
      </c>
      <c r="R126" s="114">
        <v>0</v>
      </c>
      <c r="S126" s="36">
        <f t="shared" si="9"/>
        <v>0</v>
      </c>
    </row>
    <row r="127" spans="1:20" ht="22.5" customHeight="1" x14ac:dyDescent="0.5">
      <c r="A127" s="23">
        <v>12</v>
      </c>
      <c r="B127" s="73" t="s">
        <v>261</v>
      </c>
      <c r="C127" s="25" t="s">
        <v>262</v>
      </c>
      <c r="D127" s="43">
        <v>5600</v>
      </c>
      <c r="E127" s="212"/>
      <c r="F127" s="212"/>
      <c r="G127" s="213"/>
      <c r="H127" s="219">
        <v>0</v>
      </c>
      <c r="I127" s="219">
        <v>0</v>
      </c>
      <c r="J127" s="219">
        <v>0</v>
      </c>
      <c r="K127" s="30" t="s">
        <v>1259</v>
      </c>
      <c r="L127" s="31" t="s">
        <v>1298</v>
      </c>
      <c r="M127" s="32">
        <v>5600</v>
      </c>
      <c r="N127" s="215"/>
      <c r="O127" s="215"/>
      <c r="P127" s="216"/>
      <c r="Q127" s="114">
        <f t="shared" si="8"/>
        <v>0</v>
      </c>
      <c r="R127" s="114">
        <v>0</v>
      </c>
      <c r="S127" s="36">
        <f t="shared" si="9"/>
        <v>0</v>
      </c>
    </row>
    <row r="128" spans="1:20" ht="22.5" customHeight="1" x14ac:dyDescent="0.5">
      <c r="A128" s="23">
        <v>13</v>
      </c>
      <c r="B128" s="73" t="s">
        <v>264</v>
      </c>
      <c r="C128" s="25" t="s">
        <v>265</v>
      </c>
      <c r="D128" s="43">
        <v>5600</v>
      </c>
      <c r="E128" s="212"/>
      <c r="F128" s="212"/>
      <c r="G128" s="213"/>
      <c r="H128" s="219">
        <v>0</v>
      </c>
      <c r="I128" s="219">
        <v>0</v>
      </c>
      <c r="J128" s="219">
        <v>0</v>
      </c>
      <c r="K128" s="30" t="s">
        <v>1259</v>
      </c>
      <c r="L128" s="31" t="s">
        <v>1298</v>
      </c>
      <c r="M128" s="32">
        <v>5600</v>
      </c>
      <c r="N128" s="215"/>
      <c r="O128" s="215"/>
      <c r="P128" s="216"/>
      <c r="Q128" s="114">
        <f t="shared" si="8"/>
        <v>0</v>
      </c>
      <c r="R128" s="114">
        <v>0</v>
      </c>
      <c r="S128" s="36">
        <f t="shared" si="9"/>
        <v>0</v>
      </c>
    </row>
    <row r="129" spans="1:21" ht="22.5" customHeight="1" x14ac:dyDescent="0.5">
      <c r="A129" s="23">
        <v>14</v>
      </c>
      <c r="B129" s="73" t="s">
        <v>266</v>
      </c>
      <c r="C129" s="25" t="s">
        <v>267</v>
      </c>
      <c r="D129" s="43">
        <v>5600</v>
      </c>
      <c r="E129" s="212"/>
      <c r="F129" s="212"/>
      <c r="G129" s="213"/>
      <c r="H129" s="219">
        <v>0</v>
      </c>
      <c r="I129" s="219">
        <v>0</v>
      </c>
      <c r="J129" s="219">
        <v>0</v>
      </c>
      <c r="K129" s="30" t="s">
        <v>1240</v>
      </c>
      <c r="L129" s="31" t="s">
        <v>1299</v>
      </c>
      <c r="M129" s="32">
        <v>5600</v>
      </c>
      <c r="N129" s="297"/>
      <c r="O129" s="297"/>
      <c r="P129" s="216"/>
      <c r="Q129" s="114">
        <f t="shared" si="8"/>
        <v>0</v>
      </c>
      <c r="R129" s="114">
        <v>0</v>
      </c>
      <c r="S129" s="36">
        <f t="shared" si="9"/>
        <v>0</v>
      </c>
    </row>
    <row r="130" spans="1:21" ht="22.5" customHeight="1" x14ac:dyDescent="0.5">
      <c r="A130" s="23"/>
      <c r="B130" s="301" t="s">
        <v>269</v>
      </c>
      <c r="C130" s="25"/>
      <c r="D130" s="43"/>
      <c r="E130" s="302"/>
      <c r="F130" s="302"/>
      <c r="G130" s="303"/>
      <c r="H130" s="304">
        <v>0</v>
      </c>
      <c r="I130" s="304">
        <v>0</v>
      </c>
      <c r="J130" s="304">
        <v>0</v>
      </c>
      <c r="K130" s="30"/>
      <c r="L130" s="31"/>
      <c r="M130" s="32"/>
      <c r="N130" s="297"/>
      <c r="O130" s="297"/>
      <c r="P130" s="216"/>
      <c r="Q130" s="114">
        <f t="shared" si="8"/>
        <v>0</v>
      </c>
      <c r="R130" s="114">
        <v>0</v>
      </c>
      <c r="S130" s="36">
        <f t="shared" si="9"/>
        <v>0</v>
      </c>
    </row>
    <row r="131" spans="1:21" ht="22.5" customHeight="1" x14ac:dyDescent="0.5">
      <c r="A131" s="23">
        <v>1</v>
      </c>
      <c r="B131" s="73" t="s">
        <v>270</v>
      </c>
      <c r="C131" s="25" t="s">
        <v>271</v>
      </c>
      <c r="D131" s="43">
        <v>9450</v>
      </c>
      <c r="E131" s="212"/>
      <c r="F131" s="212"/>
      <c r="G131" s="213"/>
      <c r="H131" s="219">
        <v>0</v>
      </c>
      <c r="I131" s="219">
        <v>0</v>
      </c>
      <c r="J131" s="219">
        <v>0</v>
      </c>
      <c r="K131" s="30" t="s">
        <v>1300</v>
      </c>
      <c r="L131" s="31" t="s">
        <v>1301</v>
      </c>
      <c r="M131" s="32">
        <v>9450</v>
      </c>
      <c r="N131" s="307"/>
      <c r="O131" s="307"/>
      <c r="P131" s="308"/>
      <c r="Q131" s="114">
        <f t="shared" si="8"/>
        <v>0</v>
      </c>
      <c r="R131" s="114">
        <v>0</v>
      </c>
      <c r="S131" s="36">
        <f t="shared" si="9"/>
        <v>0</v>
      </c>
    </row>
    <row r="132" spans="1:21" ht="22.5" customHeight="1" x14ac:dyDescent="0.5">
      <c r="A132" s="23">
        <v>2</v>
      </c>
      <c r="B132" s="73" t="s">
        <v>261</v>
      </c>
      <c r="C132" s="25" t="s">
        <v>273</v>
      </c>
      <c r="D132" s="43">
        <v>9450</v>
      </c>
      <c r="E132" s="212"/>
      <c r="F132" s="212"/>
      <c r="G132" s="213"/>
      <c r="H132" s="219">
        <v>0</v>
      </c>
      <c r="I132" s="219">
        <v>0</v>
      </c>
      <c r="J132" s="219">
        <v>0</v>
      </c>
      <c r="K132" s="30" t="s">
        <v>1259</v>
      </c>
      <c r="L132" s="31" t="s">
        <v>1298</v>
      </c>
      <c r="M132" s="32">
        <v>9450</v>
      </c>
      <c r="N132" s="215"/>
      <c r="O132" s="215"/>
      <c r="P132" s="216"/>
      <c r="Q132" s="114">
        <f t="shared" si="8"/>
        <v>0</v>
      </c>
      <c r="R132" s="114">
        <v>0</v>
      </c>
      <c r="S132" s="36">
        <f t="shared" si="9"/>
        <v>0</v>
      </c>
    </row>
    <row r="133" spans="1:21" ht="22.5" customHeight="1" x14ac:dyDescent="0.5">
      <c r="A133" s="23">
        <v>3</v>
      </c>
      <c r="B133" s="73" t="s">
        <v>274</v>
      </c>
      <c r="C133" s="25" t="s">
        <v>275</v>
      </c>
      <c r="D133" s="43">
        <v>3150</v>
      </c>
      <c r="E133" s="212"/>
      <c r="F133" s="212"/>
      <c r="G133" s="213"/>
      <c r="H133" s="219">
        <v>0</v>
      </c>
      <c r="I133" s="219">
        <v>0</v>
      </c>
      <c r="J133" s="219">
        <v>0</v>
      </c>
      <c r="K133" s="30" t="s">
        <v>1302</v>
      </c>
      <c r="L133" s="31" t="s">
        <v>1303</v>
      </c>
      <c r="M133" s="32">
        <v>3150</v>
      </c>
      <c r="N133" s="297"/>
      <c r="O133" s="297"/>
      <c r="P133" s="216"/>
      <c r="Q133" s="114">
        <f t="shared" si="8"/>
        <v>0</v>
      </c>
      <c r="R133" s="114">
        <v>0</v>
      </c>
      <c r="S133" s="36">
        <f t="shared" si="9"/>
        <v>0</v>
      </c>
      <c r="T133" s="2"/>
    </row>
    <row r="134" spans="1:21" ht="22.5" customHeight="1" x14ac:dyDescent="0.5">
      <c r="A134" s="23">
        <v>4</v>
      </c>
      <c r="B134" s="73" t="s">
        <v>277</v>
      </c>
      <c r="C134" s="25" t="s">
        <v>278</v>
      </c>
      <c r="D134" s="43">
        <v>6300</v>
      </c>
      <c r="E134" s="212"/>
      <c r="F134" s="212"/>
      <c r="G134" s="213"/>
      <c r="H134" s="219">
        <v>0</v>
      </c>
      <c r="I134" s="219">
        <v>0</v>
      </c>
      <c r="J134" s="219">
        <v>0</v>
      </c>
      <c r="K134" s="30" t="s">
        <v>1199</v>
      </c>
      <c r="L134" s="31" t="s">
        <v>1304</v>
      </c>
      <c r="M134" s="32">
        <v>6300</v>
      </c>
      <c r="N134" s="297"/>
      <c r="O134" s="297"/>
      <c r="P134" s="216"/>
      <c r="Q134" s="114">
        <f t="shared" si="8"/>
        <v>0</v>
      </c>
      <c r="R134" s="114">
        <v>0</v>
      </c>
      <c r="S134" s="36">
        <f t="shared" si="9"/>
        <v>0</v>
      </c>
      <c r="T134" s="2"/>
    </row>
    <row r="135" spans="1:21" ht="22.5" customHeight="1" x14ac:dyDescent="0.5">
      <c r="A135" s="23"/>
      <c r="B135" s="301" t="s">
        <v>280</v>
      </c>
      <c r="C135" s="25"/>
      <c r="D135" s="43"/>
      <c r="E135" s="302"/>
      <c r="F135" s="302"/>
      <c r="G135" s="303"/>
      <c r="H135" s="304">
        <v>0</v>
      </c>
      <c r="I135" s="304">
        <v>0</v>
      </c>
      <c r="J135" s="304">
        <v>0</v>
      </c>
      <c r="K135" s="30"/>
      <c r="L135" s="31"/>
      <c r="M135" s="32"/>
      <c r="N135" s="297"/>
      <c r="O135" s="297"/>
      <c r="P135" s="216"/>
      <c r="Q135" s="114">
        <f t="shared" si="8"/>
        <v>0</v>
      </c>
      <c r="R135" s="114">
        <v>0</v>
      </c>
      <c r="S135" s="36">
        <f t="shared" si="9"/>
        <v>0</v>
      </c>
      <c r="T135" s="2"/>
    </row>
    <row r="136" spans="1:21" ht="22.5" customHeight="1" x14ac:dyDescent="0.5">
      <c r="A136" s="23">
        <v>1</v>
      </c>
      <c r="B136" s="73" t="s">
        <v>281</v>
      </c>
      <c r="C136" s="25" t="s">
        <v>282</v>
      </c>
      <c r="D136" s="43">
        <v>5600</v>
      </c>
      <c r="E136" s="212" t="s">
        <v>1153</v>
      </c>
      <c r="F136" s="212" t="s">
        <v>33</v>
      </c>
      <c r="G136" s="213" t="s">
        <v>33</v>
      </c>
      <c r="H136" s="219">
        <v>5600</v>
      </c>
      <c r="I136" s="219">
        <v>0</v>
      </c>
      <c r="J136" s="219">
        <v>5600</v>
      </c>
      <c r="K136" s="30" t="s">
        <v>1201</v>
      </c>
      <c r="L136" s="31" t="s">
        <v>1305</v>
      </c>
      <c r="M136" s="32">
        <v>5600</v>
      </c>
      <c r="N136" s="215" t="s">
        <v>1192</v>
      </c>
      <c r="O136" s="215" t="s">
        <v>33</v>
      </c>
      <c r="P136" s="216"/>
      <c r="Q136" s="114">
        <f t="shared" si="8"/>
        <v>5600</v>
      </c>
      <c r="R136" s="114">
        <v>0</v>
      </c>
      <c r="S136" s="36">
        <f t="shared" si="9"/>
        <v>5600</v>
      </c>
      <c r="T136" s="2"/>
    </row>
    <row r="137" spans="1:21" ht="22.5" customHeight="1" x14ac:dyDescent="0.5">
      <c r="A137" s="23">
        <v>2</v>
      </c>
      <c r="B137" s="73" t="s">
        <v>287</v>
      </c>
      <c r="C137" s="25" t="s">
        <v>288</v>
      </c>
      <c r="D137" s="43">
        <v>5600</v>
      </c>
      <c r="E137" s="212" t="s">
        <v>1153</v>
      </c>
      <c r="F137" s="212" t="s">
        <v>33</v>
      </c>
      <c r="G137" s="213" t="s">
        <v>33</v>
      </c>
      <c r="H137" s="219">
        <v>5600</v>
      </c>
      <c r="I137" s="219">
        <v>0</v>
      </c>
      <c r="J137" s="219">
        <v>5600</v>
      </c>
      <c r="K137" s="30" t="s">
        <v>1234</v>
      </c>
      <c r="L137" s="31" t="s">
        <v>1306</v>
      </c>
      <c r="M137" s="32">
        <v>11200</v>
      </c>
      <c r="N137" s="215"/>
      <c r="O137" s="215"/>
      <c r="P137" s="216"/>
      <c r="Q137" s="114">
        <f t="shared" si="8"/>
        <v>0</v>
      </c>
      <c r="R137" s="114">
        <v>0</v>
      </c>
      <c r="S137" s="36">
        <f t="shared" si="9"/>
        <v>0</v>
      </c>
      <c r="T137" s="2"/>
    </row>
    <row r="138" spans="1:21" ht="22.5" customHeight="1" x14ac:dyDescent="0.5">
      <c r="A138" s="23">
        <v>3</v>
      </c>
      <c r="B138" s="73" t="s">
        <v>290</v>
      </c>
      <c r="C138" s="25" t="s">
        <v>291</v>
      </c>
      <c r="D138" s="43">
        <v>5600</v>
      </c>
      <c r="E138" s="212"/>
      <c r="F138" s="212"/>
      <c r="G138" s="213"/>
      <c r="H138" s="219">
        <v>0</v>
      </c>
      <c r="I138" s="219">
        <v>0</v>
      </c>
      <c r="J138" s="219">
        <v>0</v>
      </c>
      <c r="K138" s="30" t="s">
        <v>1193</v>
      </c>
      <c r="L138" s="31" t="s">
        <v>1307</v>
      </c>
      <c r="M138" s="32">
        <v>5600</v>
      </c>
      <c r="N138" s="215"/>
      <c r="O138" s="215"/>
      <c r="P138" s="216"/>
      <c r="Q138" s="114">
        <f t="shared" si="8"/>
        <v>0</v>
      </c>
      <c r="R138" s="114">
        <v>0</v>
      </c>
      <c r="S138" s="36">
        <f t="shared" si="9"/>
        <v>0</v>
      </c>
      <c r="T138" s="2"/>
    </row>
    <row r="139" spans="1:21" ht="22.5" customHeight="1" x14ac:dyDescent="0.5">
      <c r="A139" s="23">
        <v>4</v>
      </c>
      <c r="B139" s="73" t="s">
        <v>293</v>
      </c>
      <c r="C139" s="25" t="s">
        <v>294</v>
      </c>
      <c r="D139" s="43">
        <v>2800</v>
      </c>
      <c r="E139" s="212"/>
      <c r="F139" s="212"/>
      <c r="G139" s="213"/>
      <c r="H139" s="219">
        <v>0</v>
      </c>
      <c r="I139" s="219">
        <v>0</v>
      </c>
      <c r="J139" s="219">
        <v>0</v>
      </c>
      <c r="K139" s="30" t="s">
        <v>1248</v>
      </c>
      <c r="L139" s="31" t="s">
        <v>1308</v>
      </c>
      <c r="M139" s="32">
        <v>2800</v>
      </c>
      <c r="N139" s="215"/>
      <c r="O139" s="215"/>
      <c r="P139" s="216"/>
      <c r="Q139" s="114">
        <f t="shared" si="8"/>
        <v>0</v>
      </c>
      <c r="R139" s="114">
        <v>0</v>
      </c>
      <c r="S139" s="36">
        <f t="shared" si="9"/>
        <v>0</v>
      </c>
      <c r="T139" s="2"/>
    </row>
    <row r="140" spans="1:21" ht="22.5" customHeight="1" x14ac:dyDescent="0.5">
      <c r="A140" s="23">
        <v>5</v>
      </c>
      <c r="B140" s="73" t="s">
        <v>296</v>
      </c>
      <c r="C140" s="25" t="s">
        <v>297</v>
      </c>
      <c r="D140" s="43">
        <v>5600</v>
      </c>
      <c r="E140" s="212" t="s">
        <v>1153</v>
      </c>
      <c r="F140" s="212" t="s">
        <v>33</v>
      </c>
      <c r="G140" s="213" t="s">
        <v>33</v>
      </c>
      <c r="H140" s="219">
        <v>5600</v>
      </c>
      <c r="I140" s="219">
        <v>0</v>
      </c>
      <c r="J140" s="219">
        <v>5600</v>
      </c>
      <c r="K140" s="30" t="s">
        <v>1238</v>
      </c>
      <c r="L140" s="31" t="s">
        <v>1309</v>
      </c>
      <c r="M140" s="32">
        <v>11200</v>
      </c>
      <c r="N140" s="297"/>
      <c r="O140" s="297"/>
      <c r="P140" s="216"/>
      <c r="Q140" s="114">
        <f t="shared" si="8"/>
        <v>0</v>
      </c>
      <c r="R140" s="114">
        <v>0</v>
      </c>
      <c r="S140" s="36">
        <f t="shared" si="9"/>
        <v>0</v>
      </c>
      <c r="T140" s="2"/>
      <c r="U140" s="3">
        <v>700</v>
      </c>
    </row>
    <row r="141" spans="1:21" ht="22.5" customHeight="1" x14ac:dyDescent="0.5">
      <c r="A141" s="23"/>
      <c r="B141" s="301" t="s">
        <v>299</v>
      </c>
      <c r="C141" s="25"/>
      <c r="D141" s="43"/>
      <c r="E141" s="302"/>
      <c r="F141" s="302"/>
      <c r="G141" s="303"/>
      <c r="H141" s="304">
        <v>0</v>
      </c>
      <c r="I141" s="304">
        <v>0</v>
      </c>
      <c r="J141" s="304">
        <v>0</v>
      </c>
      <c r="K141" s="30"/>
      <c r="L141" s="31"/>
      <c r="M141" s="32"/>
      <c r="N141" s="297"/>
      <c r="O141" s="297"/>
      <c r="P141" s="216"/>
      <c r="Q141" s="114">
        <f t="shared" si="8"/>
        <v>0</v>
      </c>
      <c r="R141" s="114">
        <v>0</v>
      </c>
      <c r="S141" s="36">
        <f t="shared" si="9"/>
        <v>0</v>
      </c>
      <c r="T141" s="2"/>
    </row>
    <row r="142" spans="1:21" ht="22.5" customHeight="1" x14ac:dyDescent="0.5">
      <c r="A142" s="208">
        <v>1</v>
      </c>
      <c r="B142" s="209" t="s">
        <v>300</v>
      </c>
      <c r="C142" s="210" t="s">
        <v>301</v>
      </c>
      <c r="D142" s="298">
        <v>5600</v>
      </c>
      <c r="E142" s="299" t="s">
        <v>1153</v>
      </c>
      <c r="F142" s="299" t="s">
        <v>33</v>
      </c>
      <c r="G142" s="300" t="s">
        <v>33</v>
      </c>
      <c r="H142" s="214">
        <v>5600</v>
      </c>
      <c r="I142" s="214">
        <v>0</v>
      </c>
      <c r="J142" s="214">
        <v>5600</v>
      </c>
      <c r="K142" s="30" t="s">
        <v>1279</v>
      </c>
      <c r="L142" s="31" t="s">
        <v>1310</v>
      </c>
      <c r="M142" s="32">
        <v>11200</v>
      </c>
      <c r="N142" s="215"/>
      <c r="O142" s="215"/>
      <c r="P142" s="216"/>
      <c r="Q142" s="114">
        <f t="shared" si="8"/>
        <v>0</v>
      </c>
      <c r="R142" s="114">
        <v>0</v>
      </c>
      <c r="S142" s="36">
        <f t="shared" si="9"/>
        <v>0</v>
      </c>
      <c r="T142" s="2"/>
    </row>
    <row r="143" spans="1:21" ht="22.5" customHeight="1" x14ac:dyDescent="0.5">
      <c r="A143" s="208">
        <v>2</v>
      </c>
      <c r="B143" s="209" t="s">
        <v>303</v>
      </c>
      <c r="C143" s="210" t="s">
        <v>304</v>
      </c>
      <c r="D143" s="298">
        <v>2800</v>
      </c>
      <c r="E143" s="299"/>
      <c r="F143" s="299"/>
      <c r="G143" s="300"/>
      <c r="H143" s="214">
        <v>0</v>
      </c>
      <c r="I143" s="214">
        <v>0</v>
      </c>
      <c r="J143" s="214">
        <v>0</v>
      </c>
      <c r="K143" s="30" t="s">
        <v>1256</v>
      </c>
      <c r="L143" s="249" t="s">
        <v>1311</v>
      </c>
      <c r="M143" s="221">
        <v>2800</v>
      </c>
      <c r="N143" s="215"/>
      <c r="O143" s="215"/>
      <c r="P143" s="216"/>
      <c r="Q143" s="114">
        <f t="shared" si="8"/>
        <v>0</v>
      </c>
      <c r="R143" s="114">
        <v>0</v>
      </c>
      <c r="S143" s="36">
        <f t="shared" si="9"/>
        <v>0</v>
      </c>
      <c r="T143" s="2"/>
    </row>
    <row r="144" spans="1:21" ht="22.5" customHeight="1" x14ac:dyDescent="0.5">
      <c r="A144" s="208">
        <v>3</v>
      </c>
      <c r="B144" s="209" t="s">
        <v>306</v>
      </c>
      <c r="C144" s="210" t="s">
        <v>307</v>
      </c>
      <c r="D144" s="298">
        <v>5600</v>
      </c>
      <c r="E144" s="299" t="s">
        <v>1153</v>
      </c>
      <c r="F144" s="299" t="s">
        <v>33</v>
      </c>
      <c r="G144" s="300" t="s">
        <v>33</v>
      </c>
      <c r="H144" s="214">
        <v>5600</v>
      </c>
      <c r="I144" s="214">
        <v>0</v>
      </c>
      <c r="J144" s="214">
        <v>5600</v>
      </c>
      <c r="K144" s="30" t="s">
        <v>1238</v>
      </c>
      <c r="L144" s="31" t="s">
        <v>1309</v>
      </c>
      <c r="M144" s="32">
        <v>11200</v>
      </c>
      <c r="N144" s="215"/>
      <c r="O144" s="215"/>
      <c r="P144" s="216"/>
      <c r="Q144" s="114">
        <f t="shared" si="8"/>
        <v>0</v>
      </c>
      <c r="R144" s="114">
        <v>0</v>
      </c>
      <c r="S144" s="36">
        <f t="shared" si="9"/>
        <v>0</v>
      </c>
      <c r="T144" s="218"/>
      <c r="U144" s="309"/>
    </row>
    <row r="145" spans="1:19" ht="22.5" customHeight="1" x14ac:dyDescent="0.5">
      <c r="A145" s="208">
        <v>4</v>
      </c>
      <c r="B145" s="73" t="s">
        <v>308</v>
      </c>
      <c r="C145" s="25" t="s">
        <v>309</v>
      </c>
      <c r="D145" s="43">
        <v>8400</v>
      </c>
      <c r="E145" s="212"/>
      <c r="F145" s="212"/>
      <c r="G145" s="213"/>
      <c r="H145" s="219">
        <v>0</v>
      </c>
      <c r="I145" s="219">
        <v>0</v>
      </c>
      <c r="J145" s="219">
        <v>0</v>
      </c>
      <c r="K145" s="30" t="s">
        <v>1190</v>
      </c>
      <c r="L145" s="31" t="s">
        <v>1312</v>
      </c>
      <c r="M145" s="32">
        <v>8400</v>
      </c>
      <c r="N145" s="215"/>
      <c r="O145" s="215"/>
      <c r="P145" s="216"/>
      <c r="Q145" s="114">
        <f t="shared" si="8"/>
        <v>0</v>
      </c>
      <c r="R145" s="114">
        <v>0</v>
      </c>
      <c r="S145" s="36">
        <f t="shared" si="9"/>
        <v>0</v>
      </c>
    </row>
    <row r="146" spans="1:19" ht="22.5" customHeight="1" x14ac:dyDescent="0.5">
      <c r="A146" s="208">
        <v>5</v>
      </c>
      <c r="B146" s="73" t="s">
        <v>261</v>
      </c>
      <c r="C146" s="25" t="s">
        <v>311</v>
      </c>
      <c r="D146" s="43">
        <v>2800</v>
      </c>
      <c r="E146" s="212"/>
      <c r="F146" s="212"/>
      <c r="G146" s="213"/>
      <c r="H146" s="219">
        <v>0</v>
      </c>
      <c r="I146" s="219">
        <v>0</v>
      </c>
      <c r="J146" s="219">
        <v>0</v>
      </c>
      <c r="K146" s="30" t="s">
        <v>1259</v>
      </c>
      <c r="L146" s="31" t="s">
        <v>1298</v>
      </c>
      <c r="M146" s="32">
        <v>2800</v>
      </c>
      <c r="N146" s="215"/>
      <c r="O146" s="215"/>
      <c r="P146" s="216"/>
      <c r="Q146" s="114">
        <f t="shared" si="8"/>
        <v>0</v>
      </c>
      <c r="R146" s="114">
        <v>0</v>
      </c>
      <c r="S146" s="36">
        <f t="shared" si="9"/>
        <v>0</v>
      </c>
    </row>
    <row r="147" spans="1:19" ht="22.5" customHeight="1" x14ac:dyDescent="0.5">
      <c r="A147" s="148">
        <v>6</v>
      </c>
      <c r="B147" s="310" t="s">
        <v>261</v>
      </c>
      <c r="C147" s="311" t="s">
        <v>312</v>
      </c>
      <c r="D147" s="312">
        <v>2800</v>
      </c>
      <c r="E147" s="27"/>
      <c r="F147" s="27"/>
      <c r="G147" s="75"/>
      <c r="H147" s="76">
        <v>0</v>
      </c>
      <c r="I147" s="76">
        <v>0</v>
      </c>
      <c r="J147" s="76">
        <v>0</v>
      </c>
      <c r="K147" s="30" t="s">
        <v>1259</v>
      </c>
      <c r="L147" s="31" t="s">
        <v>1298</v>
      </c>
      <c r="M147" s="32">
        <v>2800</v>
      </c>
      <c r="N147" s="215"/>
      <c r="O147" s="215"/>
      <c r="P147" s="216"/>
      <c r="Q147" s="114">
        <f t="shared" si="8"/>
        <v>0</v>
      </c>
      <c r="R147" s="114">
        <v>0</v>
      </c>
      <c r="S147" s="36">
        <f t="shared" si="9"/>
        <v>0</v>
      </c>
    </row>
    <row r="148" spans="1:19" ht="22.5" customHeight="1" x14ac:dyDescent="0.5">
      <c r="A148" s="208">
        <v>7</v>
      </c>
      <c r="B148" s="73" t="s">
        <v>313</v>
      </c>
      <c r="C148" s="25" t="s">
        <v>314</v>
      </c>
      <c r="D148" s="43">
        <v>2800</v>
      </c>
      <c r="E148" s="212"/>
      <c r="F148" s="212"/>
      <c r="G148" s="213"/>
      <c r="H148" s="219">
        <v>0</v>
      </c>
      <c r="I148" s="219">
        <v>0</v>
      </c>
      <c r="J148" s="219">
        <v>0</v>
      </c>
      <c r="K148" s="30" t="s">
        <v>1231</v>
      </c>
      <c r="L148" s="31" t="s">
        <v>1296</v>
      </c>
      <c r="M148" s="32">
        <v>2800</v>
      </c>
      <c r="N148" s="215"/>
      <c r="O148" s="215"/>
      <c r="P148" s="216"/>
      <c r="Q148" s="114">
        <f t="shared" si="8"/>
        <v>0</v>
      </c>
      <c r="R148" s="114">
        <v>0</v>
      </c>
      <c r="S148" s="36">
        <f t="shared" si="9"/>
        <v>0</v>
      </c>
    </row>
    <row r="149" spans="1:19" ht="22.5" customHeight="1" x14ac:dyDescent="0.5">
      <c r="A149" s="23"/>
      <c r="B149" s="301" t="s">
        <v>315</v>
      </c>
      <c r="C149" s="25"/>
      <c r="D149" s="43"/>
      <c r="E149" s="302"/>
      <c r="F149" s="302"/>
      <c r="G149" s="303"/>
      <c r="H149" s="304">
        <v>0</v>
      </c>
      <c r="I149" s="304">
        <v>0</v>
      </c>
      <c r="J149" s="304">
        <v>0</v>
      </c>
      <c r="K149" s="30"/>
      <c r="L149" s="31"/>
      <c r="M149" s="32"/>
      <c r="N149" s="297"/>
      <c r="O149" s="297"/>
      <c r="P149" s="216"/>
      <c r="Q149" s="114">
        <f t="shared" si="8"/>
        <v>0</v>
      </c>
      <c r="R149" s="114">
        <v>0</v>
      </c>
      <c r="S149" s="36">
        <f t="shared" si="9"/>
        <v>0</v>
      </c>
    </row>
    <row r="150" spans="1:19" ht="22.5" customHeight="1" x14ac:dyDescent="0.5">
      <c r="A150" s="23">
        <v>1</v>
      </c>
      <c r="B150" s="73" t="s">
        <v>261</v>
      </c>
      <c r="C150" s="25" t="s">
        <v>316</v>
      </c>
      <c r="D150" s="43">
        <v>2800</v>
      </c>
      <c r="E150" s="212"/>
      <c r="F150" s="212"/>
      <c r="G150" s="213"/>
      <c r="H150" s="219">
        <v>0</v>
      </c>
      <c r="I150" s="219">
        <v>0</v>
      </c>
      <c r="J150" s="219">
        <v>0</v>
      </c>
      <c r="K150" s="30" t="s">
        <v>1259</v>
      </c>
      <c r="L150" s="31" t="s">
        <v>1298</v>
      </c>
      <c r="M150" s="32">
        <v>2800</v>
      </c>
      <c r="N150" s="215"/>
      <c r="O150" s="215"/>
      <c r="P150" s="216"/>
      <c r="Q150" s="114">
        <f t="shared" si="8"/>
        <v>0</v>
      </c>
      <c r="R150" s="114">
        <v>0</v>
      </c>
      <c r="S150" s="36">
        <f t="shared" si="9"/>
        <v>0</v>
      </c>
    </row>
    <row r="151" spans="1:19" ht="22.5" customHeight="1" x14ac:dyDescent="0.5">
      <c r="A151" s="23">
        <v>2</v>
      </c>
      <c r="B151" s="73" t="s">
        <v>317</v>
      </c>
      <c r="C151" s="25" t="s">
        <v>318</v>
      </c>
      <c r="D151" s="43">
        <v>2800</v>
      </c>
      <c r="E151" s="212" t="s">
        <v>1150</v>
      </c>
      <c r="F151" s="212"/>
      <c r="G151" s="213"/>
      <c r="H151" s="313">
        <v>-2800</v>
      </c>
      <c r="I151" s="219">
        <v>0</v>
      </c>
      <c r="J151" s="313">
        <v>-2800</v>
      </c>
      <c r="K151" s="30"/>
      <c r="L151" s="31"/>
      <c r="M151" s="32"/>
      <c r="N151" s="307"/>
      <c r="O151" s="307"/>
      <c r="P151" s="307"/>
      <c r="Q151" s="114">
        <f t="shared" si="8"/>
        <v>0</v>
      </c>
      <c r="R151" s="114">
        <v>0</v>
      </c>
      <c r="S151" s="36">
        <f t="shared" si="9"/>
        <v>0</v>
      </c>
    </row>
    <row r="152" spans="1:19" ht="22.5" customHeight="1" x14ac:dyDescent="0.5">
      <c r="A152" s="23">
        <v>3</v>
      </c>
      <c r="B152" s="73" t="s">
        <v>320</v>
      </c>
      <c r="C152" s="25" t="s">
        <v>321</v>
      </c>
      <c r="D152" s="43">
        <v>2800</v>
      </c>
      <c r="E152" s="212"/>
      <c r="F152" s="212"/>
      <c r="G152" s="213"/>
      <c r="H152" s="219">
        <v>0</v>
      </c>
      <c r="I152" s="219">
        <v>0</v>
      </c>
      <c r="J152" s="219">
        <v>0</v>
      </c>
      <c r="K152" s="30" t="s">
        <v>1195</v>
      </c>
      <c r="L152" s="31" t="s">
        <v>1313</v>
      </c>
      <c r="M152" s="32">
        <v>2800</v>
      </c>
      <c r="N152" s="307"/>
      <c r="O152" s="307"/>
      <c r="P152" s="308"/>
      <c r="Q152" s="114">
        <f t="shared" si="8"/>
        <v>0</v>
      </c>
      <c r="R152" s="114">
        <v>0</v>
      </c>
      <c r="S152" s="36">
        <f t="shared" si="9"/>
        <v>0</v>
      </c>
    </row>
    <row r="153" spans="1:19" ht="22.5" customHeight="1" x14ac:dyDescent="0.5">
      <c r="A153" s="23">
        <v>4</v>
      </c>
      <c r="B153" s="73" t="s">
        <v>322</v>
      </c>
      <c r="C153" s="25" t="s">
        <v>323</v>
      </c>
      <c r="D153" s="43">
        <v>5600</v>
      </c>
      <c r="E153" s="212" t="s">
        <v>1034</v>
      </c>
      <c r="F153" s="212"/>
      <c r="G153" s="213"/>
      <c r="H153" s="219">
        <v>-11200</v>
      </c>
      <c r="I153" s="219">
        <v>0</v>
      </c>
      <c r="J153" s="219">
        <v>-11200</v>
      </c>
      <c r="K153" s="30" t="s">
        <v>1256</v>
      </c>
      <c r="L153" s="31" t="s">
        <v>1314</v>
      </c>
      <c r="M153" s="32">
        <v>5600</v>
      </c>
      <c r="N153" s="314" t="s">
        <v>1034</v>
      </c>
      <c r="O153" s="315"/>
      <c r="P153" s="315"/>
      <c r="Q153" s="114">
        <f t="shared" si="8"/>
        <v>-11200</v>
      </c>
      <c r="R153" s="114">
        <v>0</v>
      </c>
      <c r="S153" s="36">
        <f t="shared" si="9"/>
        <v>-11200</v>
      </c>
    </row>
    <row r="154" spans="1:19" ht="22.5" customHeight="1" x14ac:dyDescent="0.5">
      <c r="A154" s="23">
        <v>5</v>
      </c>
      <c r="B154" s="73" t="s">
        <v>293</v>
      </c>
      <c r="C154" s="25" t="s">
        <v>326</v>
      </c>
      <c r="D154" s="43">
        <v>5600</v>
      </c>
      <c r="E154" s="212"/>
      <c r="F154" s="212"/>
      <c r="G154" s="213"/>
      <c r="H154" s="219">
        <v>0</v>
      </c>
      <c r="I154" s="219">
        <v>0</v>
      </c>
      <c r="J154" s="219">
        <v>0</v>
      </c>
      <c r="K154" s="30" t="s">
        <v>1248</v>
      </c>
      <c r="L154" s="31" t="s">
        <v>1308</v>
      </c>
      <c r="M154" s="32">
        <v>5600</v>
      </c>
      <c r="N154" s="215"/>
      <c r="O154" s="215"/>
      <c r="P154" s="216"/>
      <c r="Q154" s="114">
        <f t="shared" si="8"/>
        <v>0</v>
      </c>
      <c r="R154" s="114">
        <v>0</v>
      </c>
      <c r="S154" s="36">
        <f t="shared" si="9"/>
        <v>0</v>
      </c>
    </row>
    <row r="155" spans="1:19" ht="22.5" customHeight="1" x14ac:dyDescent="0.5">
      <c r="A155" s="23">
        <v>6</v>
      </c>
      <c r="B155" s="73" t="s">
        <v>293</v>
      </c>
      <c r="C155" s="25" t="s">
        <v>327</v>
      </c>
      <c r="D155" s="43">
        <v>5600</v>
      </c>
      <c r="E155" s="212"/>
      <c r="F155" s="212"/>
      <c r="G155" s="213"/>
      <c r="H155" s="219">
        <v>0</v>
      </c>
      <c r="I155" s="219">
        <v>0</v>
      </c>
      <c r="J155" s="219">
        <v>0</v>
      </c>
      <c r="K155" s="30" t="s">
        <v>1248</v>
      </c>
      <c r="L155" s="31" t="s">
        <v>1308</v>
      </c>
      <c r="M155" s="32">
        <v>5600</v>
      </c>
      <c r="N155" s="215"/>
      <c r="O155" s="215"/>
      <c r="P155" s="216"/>
      <c r="Q155" s="114">
        <f t="shared" si="8"/>
        <v>0</v>
      </c>
      <c r="R155" s="114">
        <v>0</v>
      </c>
      <c r="S155" s="36">
        <f t="shared" si="9"/>
        <v>0</v>
      </c>
    </row>
    <row r="156" spans="1:19" s="60" customFormat="1" ht="22.5" customHeight="1" thickBot="1" x14ac:dyDescent="0.35">
      <c r="A156" s="317"/>
      <c r="B156" s="317" t="s">
        <v>15</v>
      </c>
      <c r="C156" s="318"/>
      <c r="D156" s="319">
        <f>SUM(D115:D155)</f>
        <v>222950</v>
      </c>
      <c r="E156" s="320"/>
      <c r="F156" s="320"/>
      <c r="G156" s="321"/>
      <c r="H156" s="319">
        <f>SUM(H115:H155)-H153-H151</f>
        <v>68950</v>
      </c>
      <c r="I156" s="319">
        <f t="shared" ref="I156:J156" si="10">SUM(I115:I155)-I153-I151</f>
        <v>0</v>
      </c>
      <c r="J156" s="319">
        <f t="shared" si="10"/>
        <v>68950</v>
      </c>
      <c r="K156" s="322"/>
      <c r="L156" s="322"/>
      <c r="M156" s="323">
        <f>SUM(M115:M155)</f>
        <v>248850</v>
      </c>
      <c r="N156" s="324"/>
      <c r="O156" s="324"/>
      <c r="P156" s="325"/>
      <c r="Q156" s="323">
        <f>SUM(Q115:Q155)-Q153-Q151</f>
        <v>40250</v>
      </c>
      <c r="R156" s="323">
        <f>SUM(R115:R155)-R153-R151</f>
        <v>0</v>
      </c>
      <c r="S156" s="323">
        <f>SUM(S115:S155)-S153-S151</f>
        <v>40250</v>
      </c>
    </row>
    <row r="157" spans="1:19" ht="22.5" customHeight="1" thickTop="1" x14ac:dyDescent="0.5">
      <c r="A157" s="61"/>
      <c r="B157" s="327" t="s">
        <v>328</v>
      </c>
      <c r="C157" s="63"/>
      <c r="D157" s="64"/>
      <c r="E157" s="65"/>
      <c r="F157" s="65"/>
      <c r="G157" s="66"/>
      <c r="H157" s="67"/>
      <c r="I157" s="67"/>
      <c r="J157" s="67"/>
      <c r="K157" s="286"/>
      <c r="L157" s="286"/>
      <c r="M157" s="328"/>
      <c r="N157" s="69"/>
      <c r="O157" s="69"/>
      <c r="P157" s="70"/>
      <c r="Q157" s="71"/>
      <c r="R157" s="71"/>
      <c r="S157" s="72"/>
    </row>
    <row r="158" spans="1:19" ht="22.5" customHeight="1" x14ac:dyDescent="0.5">
      <c r="A158" s="23">
        <v>1</v>
      </c>
      <c r="B158" s="24" t="s">
        <v>329</v>
      </c>
      <c r="C158" s="25" t="s">
        <v>330</v>
      </c>
      <c r="D158" s="43">
        <v>130536.37</v>
      </c>
      <c r="E158" s="212"/>
      <c r="F158" s="212"/>
      <c r="G158" s="213"/>
      <c r="H158" s="219">
        <v>0</v>
      </c>
      <c r="I158" s="329">
        <v>0</v>
      </c>
      <c r="J158" s="329">
        <v>0</v>
      </c>
      <c r="K158" s="30" t="s">
        <v>1197</v>
      </c>
      <c r="L158" s="31" t="s">
        <v>1315</v>
      </c>
      <c r="M158" s="32">
        <v>130536.37</v>
      </c>
      <c r="N158" s="41"/>
      <c r="O158" s="41"/>
      <c r="P158" s="34"/>
      <c r="Q158" s="330">
        <f>SUM(D158+J158-M158)</f>
        <v>0</v>
      </c>
      <c r="R158" s="330">
        <v>0</v>
      </c>
      <c r="S158" s="36">
        <f>SUM(D158+J158-M158)</f>
        <v>0</v>
      </c>
    </row>
    <row r="159" spans="1:19" ht="22.5" customHeight="1" x14ac:dyDescent="0.5">
      <c r="A159" s="23">
        <v>2</v>
      </c>
      <c r="B159" s="24" t="s">
        <v>329</v>
      </c>
      <c r="C159" s="25" t="s">
        <v>331</v>
      </c>
      <c r="D159" s="64">
        <v>96520.67</v>
      </c>
      <c r="E159" s="212"/>
      <c r="F159" s="212"/>
      <c r="G159" s="213"/>
      <c r="H159" s="219">
        <v>0</v>
      </c>
      <c r="I159" s="329">
        <v>0</v>
      </c>
      <c r="J159" s="329">
        <v>0</v>
      </c>
      <c r="K159" s="30" t="s">
        <v>1197</v>
      </c>
      <c r="L159" s="31" t="s">
        <v>1316</v>
      </c>
      <c r="M159" s="32">
        <v>96520.67</v>
      </c>
      <c r="N159" s="41"/>
      <c r="O159" s="41"/>
      <c r="P159" s="34"/>
      <c r="Q159" s="330">
        <f t="shared" ref="Q159:Q165" si="11">SUM(D159+J159-M159)</f>
        <v>0</v>
      </c>
      <c r="R159" s="330">
        <v>0</v>
      </c>
      <c r="S159" s="36">
        <f t="shared" ref="S159:S165" si="12">SUM(D159+J159-M159)</f>
        <v>0</v>
      </c>
    </row>
    <row r="160" spans="1:19" ht="22.5" customHeight="1" x14ac:dyDescent="0.5">
      <c r="A160" s="23">
        <v>3</v>
      </c>
      <c r="B160" s="24" t="s">
        <v>332</v>
      </c>
      <c r="C160" s="25" t="s">
        <v>333</v>
      </c>
      <c r="D160" s="43">
        <v>63810</v>
      </c>
      <c r="E160" s="212"/>
      <c r="F160" s="212"/>
      <c r="G160" s="213"/>
      <c r="H160" s="329">
        <v>0</v>
      </c>
      <c r="I160" s="329">
        <v>0</v>
      </c>
      <c r="J160" s="329">
        <v>0</v>
      </c>
      <c r="K160" s="30" t="s">
        <v>1199</v>
      </c>
      <c r="L160" s="31" t="s">
        <v>1317</v>
      </c>
      <c r="M160" s="32">
        <v>63810</v>
      </c>
      <c r="N160" s="41"/>
      <c r="O160" s="41"/>
      <c r="P160" s="34"/>
      <c r="Q160" s="330">
        <f t="shared" si="11"/>
        <v>0</v>
      </c>
      <c r="R160" s="330">
        <v>0</v>
      </c>
      <c r="S160" s="36">
        <f t="shared" si="12"/>
        <v>0</v>
      </c>
    </row>
    <row r="161" spans="1:19" ht="22.5" customHeight="1" x14ac:dyDescent="0.5">
      <c r="A161" s="331">
        <v>4</v>
      </c>
      <c r="B161" s="332" t="s">
        <v>335</v>
      </c>
      <c r="C161" s="81" t="s">
        <v>336</v>
      </c>
      <c r="D161" s="333">
        <v>60170</v>
      </c>
      <c r="E161" s="234"/>
      <c r="F161" s="234"/>
      <c r="G161" s="228"/>
      <c r="H161" s="334">
        <v>0</v>
      </c>
      <c r="I161" s="334">
        <v>0</v>
      </c>
      <c r="J161" s="334">
        <v>0</v>
      </c>
      <c r="K161" s="335" t="s">
        <v>1231</v>
      </c>
      <c r="L161" s="336" t="s">
        <v>1318</v>
      </c>
      <c r="M161" s="337">
        <v>60170</v>
      </c>
      <c r="N161" s="338"/>
      <c r="O161" s="338"/>
      <c r="P161" s="112"/>
      <c r="Q161" s="330">
        <f t="shared" si="11"/>
        <v>0</v>
      </c>
      <c r="R161" s="339">
        <v>0</v>
      </c>
      <c r="S161" s="36">
        <f t="shared" si="12"/>
        <v>0</v>
      </c>
    </row>
    <row r="162" spans="1:19" ht="22.5" customHeight="1" x14ac:dyDescent="0.5">
      <c r="A162" s="23">
        <v>5</v>
      </c>
      <c r="B162" s="24" t="s">
        <v>338</v>
      </c>
      <c r="C162" s="25" t="s">
        <v>339</v>
      </c>
      <c r="D162" s="341">
        <v>23527.65</v>
      </c>
      <c r="E162" s="212"/>
      <c r="F162" s="212"/>
      <c r="G162" s="213"/>
      <c r="H162" s="219">
        <v>0</v>
      </c>
      <c r="I162" s="329">
        <v>0</v>
      </c>
      <c r="J162" s="329">
        <v>0</v>
      </c>
      <c r="K162" s="335" t="s">
        <v>1190</v>
      </c>
      <c r="L162" s="336" t="s">
        <v>1319</v>
      </c>
      <c r="M162" s="342">
        <v>23527.65</v>
      </c>
      <c r="N162" s="41"/>
      <c r="O162" s="41"/>
      <c r="P162" s="34"/>
      <c r="Q162" s="330">
        <f t="shared" si="11"/>
        <v>0</v>
      </c>
      <c r="R162" s="330">
        <v>0</v>
      </c>
      <c r="S162" s="36">
        <f t="shared" si="12"/>
        <v>0</v>
      </c>
    </row>
    <row r="163" spans="1:19" ht="22.5" customHeight="1" x14ac:dyDescent="0.5">
      <c r="A163" s="61">
        <v>6</v>
      </c>
      <c r="B163" s="343" t="s">
        <v>341</v>
      </c>
      <c r="C163" s="165" t="s">
        <v>342</v>
      </c>
      <c r="D163" s="344">
        <v>20715.32</v>
      </c>
      <c r="E163" s="167"/>
      <c r="F163" s="167"/>
      <c r="G163" s="213"/>
      <c r="H163" s="219">
        <v>0</v>
      </c>
      <c r="I163" s="329">
        <v>0</v>
      </c>
      <c r="J163" s="329">
        <v>0</v>
      </c>
      <c r="K163" s="345" t="s">
        <v>1195</v>
      </c>
      <c r="L163" s="346" t="s">
        <v>1320</v>
      </c>
      <c r="M163" s="347">
        <v>20715.32</v>
      </c>
      <c r="N163" s="41"/>
      <c r="O163" s="41"/>
      <c r="P163" s="34"/>
      <c r="Q163" s="330">
        <f t="shared" si="11"/>
        <v>0</v>
      </c>
      <c r="R163" s="330">
        <v>0</v>
      </c>
      <c r="S163" s="36">
        <f t="shared" si="12"/>
        <v>0</v>
      </c>
    </row>
    <row r="164" spans="1:19" ht="22.5" customHeight="1" x14ac:dyDescent="0.5">
      <c r="A164" s="331">
        <v>7</v>
      </c>
      <c r="B164" s="332" t="s">
        <v>344</v>
      </c>
      <c r="C164" s="81" t="s">
        <v>345</v>
      </c>
      <c r="D164" s="348">
        <v>21986</v>
      </c>
      <c r="E164" s="349"/>
      <c r="F164" s="886"/>
      <c r="G164" s="213"/>
      <c r="H164" s="219">
        <v>0</v>
      </c>
      <c r="I164" s="329">
        <v>0</v>
      </c>
      <c r="J164" s="329">
        <v>0</v>
      </c>
      <c r="K164" s="182" t="s">
        <v>1187</v>
      </c>
      <c r="L164" s="350" t="s">
        <v>1321</v>
      </c>
      <c r="M164" s="337">
        <v>21986</v>
      </c>
      <c r="N164" s="41"/>
      <c r="O164" s="41"/>
      <c r="P164" s="34"/>
      <c r="Q164" s="330">
        <f t="shared" si="11"/>
        <v>0</v>
      </c>
      <c r="R164" s="339">
        <v>0</v>
      </c>
      <c r="S164" s="36">
        <f t="shared" si="12"/>
        <v>0</v>
      </c>
    </row>
    <row r="165" spans="1:19" s="356" customFormat="1" ht="22.5" customHeight="1" x14ac:dyDescent="0.5">
      <c r="A165" s="253">
        <v>8</v>
      </c>
      <c r="B165" s="24" t="s">
        <v>347</v>
      </c>
      <c r="C165" s="351" t="s">
        <v>348</v>
      </c>
      <c r="D165" s="352">
        <v>20000</v>
      </c>
      <c r="E165" s="353"/>
      <c r="F165" s="887"/>
      <c r="G165" s="228"/>
      <c r="H165" s="329">
        <v>0</v>
      </c>
      <c r="I165" s="329">
        <v>0</v>
      </c>
      <c r="J165" s="329">
        <v>0</v>
      </c>
      <c r="K165" s="30" t="s">
        <v>1185</v>
      </c>
      <c r="L165" s="31" t="s">
        <v>1322</v>
      </c>
      <c r="M165" s="32">
        <v>20000</v>
      </c>
      <c r="N165" s="354"/>
      <c r="O165" s="354"/>
      <c r="P165" s="355"/>
      <c r="Q165" s="330">
        <f t="shared" si="11"/>
        <v>0</v>
      </c>
      <c r="R165" s="330">
        <v>0</v>
      </c>
      <c r="S165" s="36">
        <f t="shared" si="12"/>
        <v>0</v>
      </c>
    </row>
    <row r="166" spans="1:19" s="60" customFormat="1" ht="22.5" customHeight="1" thickBot="1" x14ac:dyDescent="0.35">
      <c r="A166" s="317"/>
      <c r="B166" s="317" t="s">
        <v>15</v>
      </c>
      <c r="C166" s="357"/>
      <c r="D166" s="358">
        <f>SUM(D158:D165)</f>
        <v>437266.01</v>
      </c>
      <c r="E166" s="320"/>
      <c r="F166" s="320"/>
      <c r="G166" s="321"/>
      <c r="H166" s="359">
        <f>SUM(H158:H165)</f>
        <v>0</v>
      </c>
      <c r="I166" s="359">
        <f>SUM(I158:I165)</f>
        <v>0</v>
      </c>
      <c r="J166" s="359">
        <f>SUM(J158:J165)</f>
        <v>0</v>
      </c>
      <c r="K166" s="360"/>
      <c r="L166" s="361"/>
      <c r="M166" s="358">
        <f>SUM(M158:M165)</f>
        <v>437266.01</v>
      </c>
      <c r="N166" s="362"/>
      <c r="O166" s="362"/>
      <c r="P166" s="363"/>
      <c r="Q166" s="364">
        <f>SUM(Q158:Q165)</f>
        <v>0</v>
      </c>
      <c r="R166" s="364">
        <f>SUM(R158:R165)</f>
        <v>0</v>
      </c>
      <c r="S166" s="364">
        <f>SUM(S158:S165)</f>
        <v>0</v>
      </c>
    </row>
    <row r="167" spans="1:19" ht="22.5" customHeight="1" thickTop="1" x14ac:dyDescent="0.3">
      <c r="A167" s="115"/>
      <c r="B167" s="164" t="s">
        <v>350</v>
      </c>
      <c r="C167" s="366"/>
      <c r="D167" s="86"/>
      <c r="E167" s="167"/>
      <c r="F167" s="167"/>
      <c r="G167" s="168"/>
      <c r="H167" s="255"/>
      <c r="I167" s="255"/>
      <c r="J167" s="255"/>
      <c r="K167" s="367"/>
      <c r="L167" s="368"/>
      <c r="M167" s="369"/>
      <c r="N167" s="117"/>
      <c r="O167" s="117"/>
      <c r="P167" s="118"/>
      <c r="Q167" s="172"/>
      <c r="R167" s="172"/>
      <c r="S167" s="370"/>
    </row>
    <row r="168" spans="1:19" ht="22.5" customHeight="1" x14ac:dyDescent="0.5">
      <c r="A168" s="23">
        <v>1</v>
      </c>
      <c r="B168" s="290" t="s">
        <v>147</v>
      </c>
      <c r="C168" s="371" t="s">
        <v>351</v>
      </c>
      <c r="D168" s="43">
        <v>1400</v>
      </c>
      <c r="E168" s="212"/>
      <c r="F168" s="212"/>
      <c r="G168" s="213"/>
      <c r="H168" s="219">
        <v>0</v>
      </c>
      <c r="I168" s="219">
        <v>0</v>
      </c>
      <c r="J168" s="219">
        <v>0</v>
      </c>
      <c r="K168" s="30" t="s">
        <v>1300</v>
      </c>
      <c r="L168" s="220" t="s">
        <v>1323</v>
      </c>
      <c r="M168" s="221">
        <v>1400</v>
      </c>
      <c r="N168" s="372"/>
      <c r="O168" s="372"/>
      <c r="P168" s="373"/>
      <c r="Q168" s="114">
        <f t="shared" ref="Q168:Q173" si="13">SUM(D168+J168-M168)</f>
        <v>0</v>
      </c>
      <c r="R168" s="114">
        <v>0</v>
      </c>
      <c r="S168" s="36">
        <f t="shared" ref="S168:S173" si="14">SUM(Q168)</f>
        <v>0</v>
      </c>
    </row>
    <row r="169" spans="1:19" ht="22.5" customHeight="1" x14ac:dyDescent="0.5">
      <c r="A169" s="23">
        <v>2</v>
      </c>
      <c r="B169" s="290" t="s">
        <v>353</v>
      </c>
      <c r="C169" s="371" t="s">
        <v>354</v>
      </c>
      <c r="D169" s="43">
        <v>11000</v>
      </c>
      <c r="E169" s="212"/>
      <c r="F169" s="212"/>
      <c r="G169" s="213"/>
      <c r="H169" s="219">
        <v>0</v>
      </c>
      <c r="I169" s="219">
        <v>1</v>
      </c>
      <c r="J169" s="219">
        <v>0</v>
      </c>
      <c r="K169" s="30" t="s">
        <v>1231</v>
      </c>
      <c r="L169" s="220" t="s">
        <v>1324</v>
      </c>
      <c r="M169" s="221">
        <v>11000</v>
      </c>
      <c r="N169" s="215"/>
      <c r="O169" s="215"/>
      <c r="P169" s="216"/>
      <c r="Q169" s="114">
        <f t="shared" si="13"/>
        <v>0</v>
      </c>
      <c r="R169" s="114">
        <v>1</v>
      </c>
      <c r="S169" s="36">
        <f t="shared" si="14"/>
        <v>0</v>
      </c>
    </row>
    <row r="170" spans="1:19" ht="22.5" customHeight="1" x14ac:dyDescent="0.5">
      <c r="A170" s="23">
        <v>3</v>
      </c>
      <c r="B170" s="290" t="s">
        <v>355</v>
      </c>
      <c r="C170" s="371" t="s">
        <v>356</v>
      </c>
      <c r="D170" s="43">
        <v>9400</v>
      </c>
      <c r="E170" s="212" t="s">
        <v>1153</v>
      </c>
      <c r="F170" s="212" t="s">
        <v>33</v>
      </c>
      <c r="G170" s="213" t="s">
        <v>33</v>
      </c>
      <c r="H170" s="219">
        <v>9400</v>
      </c>
      <c r="I170" s="219">
        <v>2</v>
      </c>
      <c r="J170" s="219">
        <v>9400</v>
      </c>
      <c r="K170" s="30" t="s">
        <v>1187</v>
      </c>
      <c r="L170" s="220" t="s">
        <v>1325</v>
      </c>
      <c r="M170" s="221">
        <v>9400</v>
      </c>
      <c r="N170" s="215" t="s">
        <v>1192</v>
      </c>
      <c r="O170" s="215" t="s">
        <v>33</v>
      </c>
      <c r="P170" s="216" t="s">
        <v>33</v>
      </c>
      <c r="Q170" s="114">
        <f t="shared" si="13"/>
        <v>9400</v>
      </c>
      <c r="R170" s="114">
        <v>2</v>
      </c>
      <c r="S170" s="36">
        <f t="shared" si="14"/>
        <v>9400</v>
      </c>
    </row>
    <row r="171" spans="1:19" ht="22.5" customHeight="1" x14ac:dyDescent="0.5">
      <c r="A171" s="331">
        <v>5</v>
      </c>
      <c r="B171" s="374" t="s">
        <v>358</v>
      </c>
      <c r="C171" s="375" t="s">
        <v>356</v>
      </c>
      <c r="D171" s="79">
        <v>9810</v>
      </c>
      <c r="E171" s="234" t="s">
        <v>1153</v>
      </c>
      <c r="F171" s="234" t="s">
        <v>33</v>
      </c>
      <c r="G171" s="228" t="s">
        <v>33</v>
      </c>
      <c r="H171" s="219">
        <v>9810</v>
      </c>
      <c r="I171" s="219">
        <v>3</v>
      </c>
      <c r="J171" s="219">
        <v>9810</v>
      </c>
      <c r="K171" s="38" t="s">
        <v>1256</v>
      </c>
      <c r="L171" s="376" t="s">
        <v>1326</v>
      </c>
      <c r="M171" s="246">
        <v>9810</v>
      </c>
      <c r="N171" s="215" t="s">
        <v>1192</v>
      </c>
      <c r="O171" s="937" t="s">
        <v>33</v>
      </c>
      <c r="P171" s="216" t="s">
        <v>33</v>
      </c>
      <c r="Q171" s="114">
        <f t="shared" si="13"/>
        <v>9810</v>
      </c>
      <c r="R171" s="114">
        <v>3</v>
      </c>
      <c r="S171" s="36">
        <f t="shared" si="14"/>
        <v>9810</v>
      </c>
    </row>
    <row r="172" spans="1:19" ht="22.5" customHeight="1" x14ac:dyDescent="0.5">
      <c r="A172" s="377">
        <v>6</v>
      </c>
      <c r="B172" s="378" t="s">
        <v>359</v>
      </c>
      <c r="C172" s="311" t="s">
        <v>360</v>
      </c>
      <c r="D172" s="379">
        <v>6000</v>
      </c>
      <c r="E172" s="380"/>
      <c r="F172" s="380"/>
      <c r="G172" s="75"/>
      <c r="H172" s="76">
        <v>0</v>
      </c>
      <c r="I172" s="219">
        <v>4</v>
      </c>
      <c r="J172" s="76">
        <v>0</v>
      </c>
      <c r="K172" s="38" t="s">
        <v>1199</v>
      </c>
      <c r="L172" s="376" t="s">
        <v>1327</v>
      </c>
      <c r="M172" s="246">
        <v>6000</v>
      </c>
      <c r="N172" s="247"/>
      <c r="O172" s="247"/>
      <c r="P172" s="248"/>
      <c r="Q172" s="114">
        <f t="shared" si="13"/>
        <v>0</v>
      </c>
      <c r="R172" s="114">
        <v>4</v>
      </c>
      <c r="S172" s="36">
        <f t="shared" si="14"/>
        <v>0</v>
      </c>
    </row>
    <row r="173" spans="1:19" ht="22.5" customHeight="1" x14ac:dyDescent="0.5">
      <c r="A173" s="381">
        <v>7</v>
      </c>
      <c r="B173" s="149" t="s">
        <v>281</v>
      </c>
      <c r="C173" s="311" t="s">
        <v>360</v>
      </c>
      <c r="D173" s="382">
        <v>3000</v>
      </c>
      <c r="E173" s="96"/>
      <c r="F173" s="96"/>
      <c r="G173" s="97"/>
      <c r="H173" s="76">
        <v>0</v>
      </c>
      <c r="I173" s="219">
        <v>5</v>
      </c>
      <c r="J173" s="76">
        <v>0</v>
      </c>
      <c r="K173" s="30" t="s">
        <v>1201</v>
      </c>
      <c r="L173" s="31" t="s">
        <v>1328</v>
      </c>
      <c r="M173" s="32">
        <v>3000</v>
      </c>
      <c r="N173" s="215"/>
      <c r="O173" s="215"/>
      <c r="P173" s="216"/>
      <c r="Q173" s="114">
        <f t="shared" si="13"/>
        <v>0</v>
      </c>
      <c r="R173" s="114">
        <v>5</v>
      </c>
      <c r="S173" s="36">
        <f t="shared" si="14"/>
        <v>0</v>
      </c>
    </row>
    <row r="174" spans="1:19" s="60" customFormat="1" ht="22.5" customHeight="1" thickBot="1" x14ac:dyDescent="0.35">
      <c r="A174" s="317"/>
      <c r="B174" s="317" t="s">
        <v>15</v>
      </c>
      <c r="C174" s="357"/>
      <c r="D174" s="383">
        <f>SUM(D168:D173)</f>
        <v>40610</v>
      </c>
      <c r="E174" s="320"/>
      <c r="F174" s="320"/>
      <c r="G174" s="321"/>
      <c r="H174" s="383">
        <f>SUM(H168:H173)</f>
        <v>19210</v>
      </c>
      <c r="I174" s="383">
        <f>SUM(I168:I173)</f>
        <v>15</v>
      </c>
      <c r="J174" s="383">
        <f>SUM(J168:J173)</f>
        <v>19210</v>
      </c>
      <c r="K174" s="384"/>
      <c r="L174" s="384"/>
      <c r="M174" s="359">
        <f>SUM(M168:M173)</f>
        <v>40610</v>
      </c>
      <c r="N174" s="317"/>
      <c r="O174" s="317"/>
      <c r="P174" s="321"/>
      <c r="Q174" s="385">
        <f>SUM(Q168:Q173)</f>
        <v>19210</v>
      </c>
      <c r="R174" s="385">
        <v>0</v>
      </c>
      <c r="S174" s="386">
        <f>SUM(S168:S173)</f>
        <v>19210</v>
      </c>
    </row>
    <row r="175" spans="1:19" ht="22.5" customHeight="1" thickTop="1" x14ac:dyDescent="0.3">
      <c r="A175" s="61"/>
      <c r="B175" s="62" t="s">
        <v>363</v>
      </c>
      <c r="C175" s="63"/>
      <c r="D175" s="64"/>
      <c r="E175" s="65"/>
      <c r="F175" s="65"/>
      <c r="G175" s="66"/>
      <c r="H175" s="67"/>
      <c r="I175" s="67"/>
      <c r="J175" s="67"/>
      <c r="K175" s="286"/>
      <c r="L175" s="286"/>
      <c r="M175" s="328"/>
      <c r="N175" s="69"/>
      <c r="O175" s="69"/>
      <c r="P175" s="70"/>
      <c r="Q175" s="71"/>
      <c r="R175" s="71"/>
      <c r="S175" s="387"/>
    </row>
    <row r="176" spans="1:19" ht="22.5" customHeight="1" x14ac:dyDescent="0.5">
      <c r="A176" s="208">
        <v>1</v>
      </c>
      <c r="B176" s="73" t="s">
        <v>364</v>
      </c>
      <c r="C176" s="25" t="s">
        <v>365</v>
      </c>
      <c r="D176" s="43">
        <v>10000</v>
      </c>
      <c r="E176" s="212"/>
      <c r="F176" s="234"/>
      <c r="G176" s="228"/>
      <c r="H176" s="219">
        <v>0</v>
      </c>
      <c r="I176" s="219">
        <v>0</v>
      </c>
      <c r="J176" s="219">
        <v>0</v>
      </c>
      <c r="K176" s="30" t="s">
        <v>1231</v>
      </c>
      <c r="L176" s="31" t="s">
        <v>1329</v>
      </c>
      <c r="M176" s="32">
        <v>10000</v>
      </c>
      <c r="N176" s="41"/>
      <c r="O176" s="41"/>
      <c r="P176" s="34"/>
      <c r="Q176" s="114">
        <f>SUM(D176+J176-M176)</f>
        <v>0</v>
      </c>
      <c r="R176" s="114">
        <v>0</v>
      </c>
      <c r="S176" s="36">
        <f>SUM(Q176)</f>
        <v>0</v>
      </c>
    </row>
    <row r="177" spans="1:19" ht="22.5" customHeight="1" x14ac:dyDescent="0.5">
      <c r="A177" s="208">
        <v>2</v>
      </c>
      <c r="B177" s="290" t="s">
        <v>367</v>
      </c>
      <c r="C177" s="25" t="s">
        <v>368</v>
      </c>
      <c r="D177" s="388">
        <v>3500</v>
      </c>
      <c r="E177" s="212"/>
      <c r="F177" s="234"/>
      <c r="G177" s="228"/>
      <c r="H177" s="389">
        <v>0</v>
      </c>
      <c r="I177" s="219">
        <v>0</v>
      </c>
      <c r="J177" s="219">
        <v>0</v>
      </c>
      <c r="K177" s="250" t="s">
        <v>1197</v>
      </c>
      <c r="L177" s="251" t="s">
        <v>1330</v>
      </c>
      <c r="M177" s="390">
        <v>3500</v>
      </c>
      <c r="N177" s="41"/>
      <c r="O177" s="41"/>
      <c r="P177" s="34"/>
      <c r="Q177" s="114">
        <f t="shared" ref="Q177:Q182" si="15">SUM(D177+J177-M177)</f>
        <v>0</v>
      </c>
      <c r="R177" s="114">
        <v>0</v>
      </c>
      <c r="S177" s="36">
        <f t="shared" ref="S177:S182" si="16">SUM(Q177)</f>
        <v>0</v>
      </c>
    </row>
    <row r="178" spans="1:19" ht="22.5" customHeight="1" x14ac:dyDescent="0.5">
      <c r="A178" s="391">
        <v>3</v>
      </c>
      <c r="B178" s="392" t="s">
        <v>370</v>
      </c>
      <c r="C178" s="63" t="s">
        <v>371</v>
      </c>
      <c r="D178" s="393">
        <v>12000</v>
      </c>
      <c r="E178" s="394"/>
      <c r="F178" s="888"/>
      <c r="G178" s="395"/>
      <c r="H178" s="396">
        <v>0</v>
      </c>
      <c r="I178" s="397">
        <v>0</v>
      </c>
      <c r="J178" s="67">
        <v>0</v>
      </c>
      <c r="K178" s="30" t="s">
        <v>1210</v>
      </c>
      <c r="L178" s="31" t="s">
        <v>1331</v>
      </c>
      <c r="M178" s="32">
        <v>12000</v>
      </c>
      <c r="N178" s="41"/>
      <c r="O178" s="41"/>
      <c r="P178" s="34"/>
      <c r="Q178" s="114">
        <f t="shared" si="15"/>
        <v>0</v>
      </c>
      <c r="R178" s="114">
        <v>0</v>
      </c>
      <c r="S178" s="36">
        <f t="shared" si="16"/>
        <v>0</v>
      </c>
    </row>
    <row r="179" spans="1:19" ht="22.5" customHeight="1" x14ac:dyDescent="0.3">
      <c r="A179" s="253">
        <v>4</v>
      </c>
      <c r="B179" s="398" t="s">
        <v>373</v>
      </c>
      <c r="C179" s="165" t="s">
        <v>374</v>
      </c>
      <c r="D179" s="166">
        <v>4100</v>
      </c>
      <c r="E179" s="394"/>
      <c r="F179" s="888"/>
      <c r="G179" s="395"/>
      <c r="H179" s="396">
        <v>0</v>
      </c>
      <c r="I179" s="397">
        <v>0</v>
      </c>
      <c r="J179" s="397">
        <v>0</v>
      </c>
      <c r="K179" s="399" t="s">
        <v>1199</v>
      </c>
      <c r="L179" s="400" t="s">
        <v>1332</v>
      </c>
      <c r="M179" s="401">
        <v>4100</v>
      </c>
      <c r="N179" s="41"/>
      <c r="O179" s="41"/>
      <c r="P179" s="34"/>
      <c r="Q179" s="114">
        <f t="shared" si="15"/>
        <v>0</v>
      </c>
      <c r="R179" s="114">
        <v>0</v>
      </c>
      <c r="S179" s="36">
        <f t="shared" si="16"/>
        <v>0</v>
      </c>
    </row>
    <row r="180" spans="1:19" ht="22.5" customHeight="1" x14ac:dyDescent="0.5">
      <c r="A180" s="253">
        <v>5</v>
      </c>
      <c r="B180" s="402" t="s">
        <v>376</v>
      </c>
      <c r="C180" s="403" t="s">
        <v>377</v>
      </c>
      <c r="D180" s="166">
        <v>1850</v>
      </c>
      <c r="E180" s="65"/>
      <c r="F180" s="167"/>
      <c r="G180" s="168"/>
      <c r="H180" s="404">
        <v>0</v>
      </c>
      <c r="I180" s="67">
        <v>0</v>
      </c>
      <c r="J180" s="67">
        <v>0</v>
      </c>
      <c r="K180" s="30" t="s">
        <v>1248</v>
      </c>
      <c r="L180" s="31" t="s">
        <v>1333</v>
      </c>
      <c r="M180" s="32">
        <v>1850</v>
      </c>
      <c r="N180" s="41"/>
      <c r="O180" s="41"/>
      <c r="P180" s="34"/>
      <c r="Q180" s="114">
        <f t="shared" si="15"/>
        <v>0</v>
      </c>
      <c r="R180" s="114">
        <v>0</v>
      </c>
      <c r="S180" s="36">
        <f t="shared" si="16"/>
        <v>0</v>
      </c>
    </row>
    <row r="181" spans="1:19" ht="22.5" customHeight="1" x14ac:dyDescent="0.5">
      <c r="A181" s="253">
        <v>6</v>
      </c>
      <c r="B181" s="378" t="s">
        <v>380</v>
      </c>
      <c r="C181" s="405" t="s">
        <v>381</v>
      </c>
      <c r="D181" s="166">
        <v>0</v>
      </c>
      <c r="E181" s="65"/>
      <c r="F181" s="167"/>
      <c r="G181" s="168"/>
      <c r="H181" s="404">
        <v>0</v>
      </c>
      <c r="I181" s="67">
        <v>0</v>
      </c>
      <c r="J181" s="67">
        <v>0</v>
      </c>
      <c r="K181" s="30"/>
      <c r="L181" s="31"/>
      <c r="M181" s="32"/>
      <c r="N181" s="41"/>
      <c r="O181" s="41"/>
      <c r="P181" s="34"/>
      <c r="Q181" s="114">
        <f t="shared" si="15"/>
        <v>0</v>
      </c>
      <c r="R181" s="114">
        <v>0</v>
      </c>
      <c r="S181" s="36">
        <f t="shared" si="16"/>
        <v>0</v>
      </c>
    </row>
    <row r="182" spans="1:19" ht="22.5" customHeight="1" x14ac:dyDescent="0.5">
      <c r="A182" s="208">
        <v>7</v>
      </c>
      <c r="B182" s="149" t="s">
        <v>383</v>
      </c>
      <c r="C182" s="311" t="s">
        <v>384</v>
      </c>
      <c r="D182" s="166">
        <v>5400</v>
      </c>
      <c r="E182" s="65"/>
      <c r="F182" s="167"/>
      <c r="G182" s="168"/>
      <c r="H182" s="404">
        <v>0</v>
      </c>
      <c r="I182" s="67">
        <v>0</v>
      </c>
      <c r="J182" s="67">
        <v>0</v>
      </c>
      <c r="K182" s="250" t="s">
        <v>1199</v>
      </c>
      <c r="L182" s="251" t="s">
        <v>1334</v>
      </c>
      <c r="M182" s="390">
        <v>5400</v>
      </c>
      <c r="N182" s="41"/>
      <c r="O182" s="41"/>
      <c r="P182" s="34"/>
      <c r="Q182" s="114">
        <f t="shared" si="15"/>
        <v>0</v>
      </c>
      <c r="R182" s="114">
        <v>0</v>
      </c>
      <c r="S182" s="36">
        <f t="shared" si="16"/>
        <v>0</v>
      </c>
    </row>
    <row r="183" spans="1:19" s="60" customFormat="1" ht="22.5" customHeight="1" thickBot="1" x14ac:dyDescent="0.35">
      <c r="A183" s="317"/>
      <c r="B183" s="317" t="s">
        <v>15</v>
      </c>
      <c r="C183" s="318"/>
      <c r="D183" s="383">
        <v>38350</v>
      </c>
      <c r="E183" s="320"/>
      <c r="F183" s="320"/>
      <c r="G183" s="321"/>
      <c r="H183" s="358">
        <f>SUM(H179:H182)</f>
        <v>0</v>
      </c>
      <c r="I183" s="358">
        <f>SUM(I179:I182)</f>
        <v>0</v>
      </c>
      <c r="J183" s="358">
        <f>SUM(J179:J182)</f>
        <v>0</v>
      </c>
      <c r="K183" s="383"/>
      <c r="L183" s="383">
        <v>0</v>
      </c>
      <c r="M183" s="383">
        <f>SUM(M176:M182)</f>
        <v>36850</v>
      </c>
      <c r="N183" s="407"/>
      <c r="O183" s="407"/>
      <c r="P183" s="321"/>
      <c r="Q183" s="323">
        <f>SUM(Q176:Q182)</f>
        <v>0</v>
      </c>
      <c r="R183" s="323">
        <f>SUM(R176:R182)</f>
        <v>0</v>
      </c>
      <c r="S183" s="323">
        <f>SUM(S176:S182)</f>
        <v>0</v>
      </c>
    </row>
    <row r="184" spans="1:19" ht="22.5" customHeight="1" thickTop="1" x14ac:dyDescent="0.3">
      <c r="A184" s="61"/>
      <c r="B184" s="62" t="s">
        <v>386</v>
      </c>
      <c r="C184" s="63"/>
      <c r="D184" s="64"/>
      <c r="E184" s="65"/>
      <c r="F184" s="65"/>
      <c r="G184" s="66"/>
      <c r="H184" s="67"/>
      <c r="I184" s="67"/>
      <c r="J184" s="67"/>
      <c r="K184" s="68"/>
      <c r="L184" s="68"/>
      <c r="M184" s="64"/>
      <c r="N184" s="69"/>
      <c r="O184" s="69"/>
      <c r="P184" s="70"/>
      <c r="Q184" s="71"/>
      <c r="R184" s="71"/>
      <c r="S184" s="387"/>
    </row>
    <row r="185" spans="1:19" ht="22.5" customHeight="1" x14ac:dyDescent="0.3">
      <c r="A185" s="208">
        <v>1</v>
      </c>
      <c r="B185" s="73" t="s">
        <v>387</v>
      </c>
      <c r="C185" s="25" t="s">
        <v>388</v>
      </c>
      <c r="D185" s="43">
        <v>0</v>
      </c>
      <c r="E185" s="212"/>
      <c r="F185" s="212"/>
      <c r="G185" s="213"/>
      <c r="H185" s="219">
        <v>0</v>
      </c>
      <c r="I185" s="219">
        <v>0</v>
      </c>
      <c r="J185" s="219">
        <v>0</v>
      </c>
      <c r="K185" s="408"/>
      <c r="L185" s="408"/>
      <c r="M185" s="43"/>
      <c r="N185" s="41"/>
      <c r="O185" s="41"/>
      <c r="P185" s="34"/>
      <c r="Q185" s="114">
        <v>0</v>
      </c>
      <c r="R185" s="114">
        <v>0</v>
      </c>
      <c r="S185" s="409">
        <v>0</v>
      </c>
    </row>
    <row r="186" spans="1:19" ht="22.5" customHeight="1" x14ac:dyDescent="0.5">
      <c r="A186" s="208">
        <v>2</v>
      </c>
      <c r="B186" s="290" t="s">
        <v>389</v>
      </c>
      <c r="C186" s="25" t="s">
        <v>390</v>
      </c>
      <c r="D186" s="388">
        <v>3150</v>
      </c>
      <c r="E186" s="212" t="s">
        <v>1153</v>
      </c>
      <c r="F186" s="234" t="s">
        <v>33</v>
      </c>
      <c r="G186" s="228" t="s">
        <v>33</v>
      </c>
      <c r="H186" s="666">
        <v>3150</v>
      </c>
      <c r="I186" s="219">
        <v>0</v>
      </c>
      <c r="J186" s="219">
        <v>3150</v>
      </c>
      <c r="K186" s="335" t="s">
        <v>1226</v>
      </c>
      <c r="L186" s="410" t="s">
        <v>1335</v>
      </c>
      <c r="M186" s="411">
        <v>6300</v>
      </c>
      <c r="N186" s="215"/>
      <c r="O186" s="215"/>
      <c r="P186" s="216"/>
      <c r="Q186" s="114">
        <f>SUM(H186+D186-M186)</f>
        <v>0</v>
      </c>
      <c r="R186" s="114">
        <v>0</v>
      </c>
      <c r="S186" s="409">
        <f>SUM(Q186)</f>
        <v>0</v>
      </c>
    </row>
    <row r="187" spans="1:19" s="60" customFormat="1" ht="22.5" customHeight="1" thickBot="1" x14ac:dyDescent="0.35">
      <c r="A187" s="317"/>
      <c r="B187" s="317" t="s">
        <v>15</v>
      </c>
      <c r="C187" s="318"/>
      <c r="D187" s="383">
        <f>SUM(D185:D186)</f>
        <v>3150</v>
      </c>
      <c r="E187" s="320"/>
      <c r="F187" s="320"/>
      <c r="G187" s="321"/>
      <c r="H187" s="358">
        <f>SUM(H185:H186)</f>
        <v>3150</v>
      </c>
      <c r="I187" s="358">
        <f>SUM(I185:I186)</f>
        <v>0</v>
      </c>
      <c r="J187" s="358">
        <f>SUM(J185:J186)</f>
        <v>3150</v>
      </c>
      <c r="K187" s="383"/>
      <c r="L187" s="383">
        <v>0</v>
      </c>
      <c r="M187" s="383">
        <f>SUM(M185:M186)</f>
        <v>6300</v>
      </c>
      <c r="N187" s="407"/>
      <c r="O187" s="407"/>
      <c r="P187" s="321"/>
      <c r="Q187" s="323">
        <f>SUM(Q185:Q186)</f>
        <v>0</v>
      </c>
      <c r="R187" s="323">
        <v>0</v>
      </c>
      <c r="S187" s="386">
        <f>SUM(S185:S186)</f>
        <v>0</v>
      </c>
    </row>
    <row r="188" spans="1:19" ht="22.5" customHeight="1" thickTop="1" x14ac:dyDescent="0.3">
      <c r="A188" s="61"/>
      <c r="B188" s="62" t="s">
        <v>392</v>
      </c>
      <c r="C188" s="63"/>
      <c r="D188" s="64"/>
      <c r="E188" s="65"/>
      <c r="F188" s="65"/>
      <c r="G188" s="66"/>
      <c r="H188" s="67"/>
      <c r="I188" s="67"/>
      <c r="J188" s="67"/>
      <c r="K188" s="68"/>
      <c r="L188" s="68"/>
      <c r="M188" s="64"/>
      <c r="N188" s="69"/>
      <c r="O188" s="69"/>
      <c r="P188" s="70"/>
      <c r="Q188" s="71"/>
      <c r="R188" s="71"/>
      <c r="S188" s="72"/>
    </row>
    <row r="189" spans="1:19" ht="22.5" customHeight="1" x14ac:dyDescent="0.3">
      <c r="A189" s="61"/>
      <c r="B189" s="62" t="s">
        <v>1336</v>
      </c>
      <c r="C189" s="63"/>
      <c r="D189" s="64">
        <v>0</v>
      </c>
      <c r="E189" s="65"/>
      <c r="F189" s="167"/>
      <c r="G189" s="168"/>
      <c r="H189" s="67"/>
      <c r="I189" s="67"/>
      <c r="J189" s="67"/>
      <c r="K189" s="68"/>
      <c r="L189" s="68"/>
      <c r="M189" s="64"/>
      <c r="N189" s="69"/>
      <c r="O189" s="117"/>
      <c r="P189" s="118"/>
      <c r="Q189" s="71"/>
      <c r="R189" s="71"/>
      <c r="S189" s="72"/>
    </row>
    <row r="190" spans="1:19" ht="22.5" customHeight="1" x14ac:dyDescent="0.3">
      <c r="A190" s="61"/>
      <c r="B190" s="62" t="s">
        <v>1337</v>
      </c>
      <c r="C190" s="63"/>
      <c r="D190" s="64"/>
      <c r="E190" s="65"/>
      <c r="F190" s="167"/>
      <c r="G190" s="168"/>
      <c r="H190" s="67"/>
      <c r="I190" s="67"/>
      <c r="J190" s="67"/>
      <c r="K190" s="68"/>
      <c r="L190" s="68"/>
      <c r="M190" s="64"/>
      <c r="N190" s="69"/>
      <c r="O190" s="117"/>
      <c r="P190" s="118"/>
      <c r="Q190" s="71"/>
      <c r="R190" s="71"/>
      <c r="S190" s="72"/>
    </row>
    <row r="191" spans="1:19" ht="22.5" customHeight="1" x14ac:dyDescent="0.3">
      <c r="A191" s="61">
        <v>1</v>
      </c>
      <c r="B191" s="838" t="s">
        <v>1338</v>
      </c>
      <c r="C191" s="63" t="s">
        <v>1339</v>
      </c>
      <c r="D191" s="64">
        <v>1900.32</v>
      </c>
      <c r="E191" s="65"/>
      <c r="F191" s="167"/>
      <c r="G191" s="168"/>
      <c r="H191" s="67">
        <v>0</v>
      </c>
      <c r="I191" s="67">
        <v>0</v>
      </c>
      <c r="J191" s="67">
        <v>0</v>
      </c>
      <c r="K191" s="68" t="s">
        <v>1266</v>
      </c>
      <c r="L191" s="68" t="s">
        <v>1340</v>
      </c>
      <c r="M191" s="64">
        <v>1900.32</v>
      </c>
      <c r="N191" s="69"/>
      <c r="O191" s="117"/>
      <c r="P191" s="118"/>
      <c r="Q191" s="71">
        <v>0</v>
      </c>
      <c r="R191" s="71">
        <v>0</v>
      </c>
      <c r="S191" s="72">
        <v>0</v>
      </c>
    </row>
    <row r="192" spans="1:19" ht="22.5" customHeight="1" x14ac:dyDescent="0.3">
      <c r="A192" s="61">
        <v>2</v>
      </c>
      <c r="B192" s="838" t="s">
        <v>237</v>
      </c>
      <c r="C192" s="63" t="s">
        <v>1341</v>
      </c>
      <c r="D192" s="64">
        <v>633.44000000000005</v>
      </c>
      <c r="E192" s="65"/>
      <c r="F192" s="167"/>
      <c r="G192" s="168"/>
      <c r="H192" s="67">
        <v>0</v>
      </c>
      <c r="I192" s="67">
        <v>0</v>
      </c>
      <c r="J192" s="67">
        <v>0</v>
      </c>
      <c r="K192" s="68" t="s">
        <v>1266</v>
      </c>
      <c r="L192" s="68" t="s">
        <v>1342</v>
      </c>
      <c r="M192" s="64">
        <v>633.44000000000005</v>
      </c>
      <c r="N192" s="69"/>
      <c r="O192" s="117"/>
      <c r="P192" s="118"/>
      <c r="Q192" s="71">
        <v>0</v>
      </c>
      <c r="R192" s="71">
        <v>0</v>
      </c>
      <c r="S192" s="72">
        <v>0</v>
      </c>
    </row>
    <row r="193" spans="1:20" ht="22.5" customHeight="1" x14ac:dyDescent="0.3">
      <c r="A193" s="61">
        <v>3</v>
      </c>
      <c r="B193" s="838" t="s">
        <v>240</v>
      </c>
      <c r="C193" s="63" t="s">
        <v>1343</v>
      </c>
      <c r="D193" s="64">
        <v>633.44000000000005</v>
      </c>
      <c r="E193" s="65"/>
      <c r="F193" s="167"/>
      <c r="G193" s="168"/>
      <c r="H193" s="67">
        <v>0</v>
      </c>
      <c r="I193" s="67">
        <v>0</v>
      </c>
      <c r="J193" s="67">
        <v>0</v>
      </c>
      <c r="K193" s="68" t="s">
        <v>1256</v>
      </c>
      <c r="L193" s="68" t="s">
        <v>1344</v>
      </c>
      <c r="M193" s="64">
        <v>633.44000000000005</v>
      </c>
      <c r="N193" s="69"/>
      <c r="O193" s="117"/>
      <c r="P193" s="118"/>
      <c r="Q193" s="71">
        <v>0</v>
      </c>
      <c r="R193" s="71">
        <v>0</v>
      </c>
      <c r="S193" s="72">
        <v>0</v>
      </c>
    </row>
    <row r="194" spans="1:20" ht="22.5" customHeight="1" x14ac:dyDescent="0.3">
      <c r="A194" s="61">
        <v>4</v>
      </c>
      <c r="B194" s="838" t="s">
        <v>1345</v>
      </c>
      <c r="C194" s="63" t="s">
        <v>1346</v>
      </c>
      <c r="D194" s="64">
        <v>1266.8800000000001</v>
      </c>
      <c r="E194" s="65"/>
      <c r="F194" s="167"/>
      <c r="G194" s="168"/>
      <c r="H194" s="67">
        <v>0</v>
      </c>
      <c r="I194" s="67">
        <v>0</v>
      </c>
      <c r="J194" s="67">
        <v>0</v>
      </c>
      <c r="K194" s="68" t="s">
        <v>1256</v>
      </c>
      <c r="L194" s="68" t="s">
        <v>1344</v>
      </c>
      <c r="M194" s="64">
        <v>1266.8800000000001</v>
      </c>
      <c r="N194" s="69"/>
      <c r="O194" s="117"/>
      <c r="P194" s="118"/>
      <c r="Q194" s="71">
        <v>0</v>
      </c>
      <c r="R194" s="71">
        <v>0</v>
      </c>
      <c r="S194" s="72">
        <v>0</v>
      </c>
    </row>
    <row r="195" spans="1:20" ht="22.5" customHeight="1" x14ac:dyDescent="0.3">
      <c r="A195" s="61">
        <v>5</v>
      </c>
      <c r="B195" s="838" t="s">
        <v>198</v>
      </c>
      <c r="C195" s="63" t="s">
        <v>1347</v>
      </c>
      <c r="D195" s="64">
        <v>4434.08</v>
      </c>
      <c r="E195" s="65"/>
      <c r="F195" s="167"/>
      <c r="G195" s="168"/>
      <c r="H195" s="67">
        <v>0</v>
      </c>
      <c r="I195" s="67">
        <v>0</v>
      </c>
      <c r="J195" s="67">
        <v>0</v>
      </c>
      <c r="K195" s="68" t="s">
        <v>1240</v>
      </c>
      <c r="L195" s="68" t="s">
        <v>1348</v>
      </c>
      <c r="M195" s="64">
        <v>4434.08</v>
      </c>
      <c r="N195" s="69"/>
      <c r="O195" s="117"/>
      <c r="P195" s="118"/>
      <c r="Q195" s="71">
        <v>0</v>
      </c>
      <c r="R195" s="71">
        <v>0</v>
      </c>
      <c r="S195" s="72">
        <v>0</v>
      </c>
    </row>
    <row r="196" spans="1:20" ht="22.5" customHeight="1" x14ac:dyDescent="0.3">
      <c r="A196" s="61">
        <v>6</v>
      </c>
      <c r="B196" s="838" t="s">
        <v>245</v>
      </c>
      <c r="C196" s="63" t="s">
        <v>1349</v>
      </c>
      <c r="D196" s="64">
        <v>1900.32</v>
      </c>
      <c r="E196" s="65"/>
      <c r="F196" s="167"/>
      <c r="G196" s="168"/>
      <c r="H196" s="67">
        <v>0</v>
      </c>
      <c r="I196" s="67">
        <v>0</v>
      </c>
      <c r="J196" s="67">
        <v>0</v>
      </c>
      <c r="K196" s="68" t="s">
        <v>1248</v>
      </c>
      <c r="L196" s="68" t="s">
        <v>1350</v>
      </c>
      <c r="M196" s="64">
        <v>1900.32</v>
      </c>
      <c r="N196" s="69"/>
      <c r="O196" s="117"/>
      <c r="P196" s="118"/>
      <c r="Q196" s="71">
        <v>0</v>
      </c>
      <c r="R196" s="71">
        <v>0</v>
      </c>
      <c r="S196" s="72">
        <v>0</v>
      </c>
    </row>
    <row r="197" spans="1:20" ht="22.5" customHeight="1" x14ac:dyDescent="0.3">
      <c r="A197" s="61">
        <v>7</v>
      </c>
      <c r="B197" s="838" t="s">
        <v>240</v>
      </c>
      <c r="C197" s="63" t="s">
        <v>1351</v>
      </c>
      <c r="D197" s="64">
        <v>2533.7600000000002</v>
      </c>
      <c r="E197" s="65"/>
      <c r="F197" s="167"/>
      <c r="G197" s="168"/>
      <c r="H197" s="67">
        <v>0</v>
      </c>
      <c r="I197" s="67">
        <v>0</v>
      </c>
      <c r="J197" s="67">
        <v>0</v>
      </c>
      <c r="K197" s="68" t="s">
        <v>1256</v>
      </c>
      <c r="L197" s="68" t="s">
        <v>1344</v>
      </c>
      <c r="M197" s="64">
        <v>2533.7600000000002</v>
      </c>
      <c r="N197" s="69"/>
      <c r="O197" s="117"/>
      <c r="P197" s="118"/>
      <c r="Q197" s="71">
        <v>0</v>
      </c>
      <c r="R197" s="71">
        <v>0</v>
      </c>
      <c r="S197" s="72">
        <v>0</v>
      </c>
    </row>
    <row r="198" spans="1:20" ht="22.5" customHeight="1" x14ac:dyDescent="0.3">
      <c r="A198" s="61">
        <v>8</v>
      </c>
      <c r="B198" s="838" t="s">
        <v>1352</v>
      </c>
      <c r="C198" s="63" t="s">
        <v>1353</v>
      </c>
      <c r="D198" s="64"/>
      <c r="E198" s="65"/>
      <c r="F198" s="167"/>
      <c r="G198" s="168"/>
      <c r="H198" s="67">
        <v>0</v>
      </c>
      <c r="I198" s="67">
        <v>0</v>
      </c>
      <c r="J198" s="67">
        <v>0</v>
      </c>
      <c r="K198" s="68"/>
      <c r="L198" s="68"/>
      <c r="M198" s="64"/>
      <c r="N198" s="69"/>
      <c r="O198" s="117"/>
      <c r="P198" s="118"/>
      <c r="Q198" s="71">
        <v>0</v>
      </c>
      <c r="R198" s="71">
        <v>0</v>
      </c>
      <c r="S198" s="72">
        <v>0</v>
      </c>
    </row>
    <row r="199" spans="1:20" ht="22.5" customHeight="1" x14ac:dyDescent="0.3">
      <c r="A199" s="61">
        <v>9</v>
      </c>
      <c r="B199" s="838" t="s">
        <v>1354</v>
      </c>
      <c r="C199" s="63" t="s">
        <v>1355</v>
      </c>
      <c r="D199" s="64">
        <v>1266.8800000000001</v>
      </c>
      <c r="E199" s="65"/>
      <c r="F199" s="167"/>
      <c r="G199" s="168"/>
      <c r="H199" s="67">
        <v>0</v>
      </c>
      <c r="I199" s="67">
        <v>0</v>
      </c>
      <c r="J199" s="67">
        <v>0</v>
      </c>
      <c r="K199" s="68"/>
      <c r="L199" s="68"/>
      <c r="M199" s="64"/>
      <c r="N199" s="69" t="s">
        <v>1336</v>
      </c>
      <c r="O199" s="117"/>
      <c r="P199" s="118"/>
      <c r="Q199" s="71">
        <v>1266.8800000000001</v>
      </c>
      <c r="R199" s="71">
        <v>0</v>
      </c>
      <c r="S199" s="72">
        <v>1266.8800000000001</v>
      </c>
    </row>
    <row r="200" spans="1:20" ht="22.5" customHeight="1" x14ac:dyDescent="0.3">
      <c r="A200" s="61">
        <v>10</v>
      </c>
      <c r="B200" s="838" t="s">
        <v>313</v>
      </c>
      <c r="C200" s="63" t="s">
        <v>1356</v>
      </c>
      <c r="D200" s="64">
        <v>1900.32</v>
      </c>
      <c r="E200" s="65"/>
      <c r="F200" s="167"/>
      <c r="G200" s="168"/>
      <c r="H200" s="67">
        <v>0</v>
      </c>
      <c r="I200" s="67">
        <v>0</v>
      </c>
      <c r="J200" s="67">
        <v>0</v>
      </c>
      <c r="K200" s="68" t="s">
        <v>1231</v>
      </c>
      <c r="L200" s="68" t="s">
        <v>1357</v>
      </c>
      <c r="M200" s="64">
        <v>1900.32</v>
      </c>
      <c r="N200" s="69"/>
      <c r="O200" s="117"/>
      <c r="P200" s="118"/>
      <c r="Q200" s="71">
        <v>0</v>
      </c>
      <c r="R200" s="71">
        <v>0</v>
      </c>
      <c r="S200" s="72">
        <v>0</v>
      </c>
    </row>
    <row r="201" spans="1:20" ht="22.5" customHeight="1" x14ac:dyDescent="0.3">
      <c r="A201" s="61">
        <v>11</v>
      </c>
      <c r="B201" s="838" t="s">
        <v>257</v>
      </c>
      <c r="C201" s="63" t="s">
        <v>1358</v>
      </c>
      <c r="D201" s="64">
        <v>985.36</v>
      </c>
      <c r="E201" s="65"/>
      <c r="F201" s="167"/>
      <c r="G201" s="168"/>
      <c r="H201" s="67">
        <v>0</v>
      </c>
      <c r="I201" s="67">
        <v>0</v>
      </c>
      <c r="J201" s="67">
        <v>0</v>
      </c>
      <c r="K201" s="68" t="s">
        <v>1248</v>
      </c>
      <c r="L201" s="68" t="s">
        <v>1359</v>
      </c>
      <c r="M201" s="64">
        <v>985.36</v>
      </c>
      <c r="N201" s="69"/>
      <c r="O201" s="117"/>
      <c r="P201" s="118"/>
      <c r="Q201" s="71">
        <v>0</v>
      </c>
      <c r="R201" s="71">
        <v>0</v>
      </c>
      <c r="S201" s="72">
        <v>0</v>
      </c>
    </row>
    <row r="202" spans="1:20" ht="22.5" customHeight="1" x14ac:dyDescent="0.3">
      <c r="A202" s="61">
        <v>12</v>
      </c>
      <c r="B202" s="838" t="s">
        <v>198</v>
      </c>
      <c r="C202" s="63" t="s">
        <v>1360</v>
      </c>
      <c r="D202" s="64">
        <v>492.68</v>
      </c>
      <c r="E202" s="65"/>
      <c r="F202" s="167"/>
      <c r="G202" s="168"/>
      <c r="H202" s="67">
        <v>0</v>
      </c>
      <c r="I202" s="67">
        <v>0</v>
      </c>
      <c r="J202" s="67">
        <v>0</v>
      </c>
      <c r="K202" s="68" t="s">
        <v>1240</v>
      </c>
      <c r="L202" s="68" t="s">
        <v>1348</v>
      </c>
      <c r="M202" s="64">
        <v>492.68</v>
      </c>
      <c r="N202" s="69"/>
      <c r="O202" s="117"/>
      <c r="P202" s="118"/>
      <c r="Q202" s="71">
        <v>0</v>
      </c>
      <c r="R202" s="71">
        <v>0</v>
      </c>
      <c r="S202" s="72">
        <v>0</v>
      </c>
      <c r="T202" s="3" t="s">
        <v>1361</v>
      </c>
    </row>
    <row r="203" spans="1:20" ht="22.5" customHeight="1" x14ac:dyDescent="0.3">
      <c r="A203" s="61">
        <v>13</v>
      </c>
      <c r="B203" s="838" t="s">
        <v>1362</v>
      </c>
      <c r="C203" s="63" t="s">
        <v>1363</v>
      </c>
      <c r="D203" s="64">
        <v>985.36</v>
      </c>
      <c r="E203" s="65"/>
      <c r="F203" s="167"/>
      <c r="G203" s="168"/>
      <c r="H203" s="67">
        <v>0</v>
      </c>
      <c r="I203" s="67">
        <v>0</v>
      </c>
      <c r="J203" s="67">
        <v>0</v>
      </c>
      <c r="K203" s="68" t="s">
        <v>1201</v>
      </c>
      <c r="L203" s="68" t="s">
        <v>1364</v>
      </c>
      <c r="M203" s="64">
        <v>985.36</v>
      </c>
      <c r="N203" s="69"/>
      <c r="O203" s="117"/>
      <c r="P203" s="118"/>
      <c r="Q203" s="71">
        <v>0</v>
      </c>
      <c r="R203" s="71">
        <v>0</v>
      </c>
      <c r="S203" s="72">
        <v>0</v>
      </c>
    </row>
    <row r="204" spans="1:20" ht="22.5" customHeight="1" x14ac:dyDescent="0.3">
      <c r="A204" s="61">
        <v>14</v>
      </c>
      <c r="B204" s="838" t="s">
        <v>261</v>
      </c>
      <c r="C204" s="63" t="s">
        <v>1365</v>
      </c>
      <c r="D204" s="64">
        <v>985.36</v>
      </c>
      <c r="E204" s="65"/>
      <c r="F204" s="167"/>
      <c r="G204" s="168"/>
      <c r="H204" s="67">
        <v>0</v>
      </c>
      <c r="I204" s="67">
        <v>0</v>
      </c>
      <c r="J204" s="67">
        <v>0</v>
      </c>
      <c r="K204" s="68" t="s">
        <v>1201</v>
      </c>
      <c r="L204" s="68" t="s">
        <v>1364</v>
      </c>
      <c r="M204" s="64">
        <v>985.36</v>
      </c>
      <c r="N204" s="69"/>
      <c r="O204" s="117"/>
      <c r="P204" s="118"/>
      <c r="Q204" s="71">
        <v>0</v>
      </c>
      <c r="R204" s="71">
        <v>0</v>
      </c>
      <c r="S204" s="72">
        <v>0</v>
      </c>
    </row>
    <row r="205" spans="1:20" ht="22.5" customHeight="1" x14ac:dyDescent="0.3">
      <c r="A205" s="61">
        <v>15</v>
      </c>
      <c r="B205" s="838" t="s">
        <v>266</v>
      </c>
      <c r="C205" s="63" t="s">
        <v>1366</v>
      </c>
      <c r="D205" s="64">
        <v>985.36</v>
      </c>
      <c r="E205" s="65"/>
      <c r="F205" s="167"/>
      <c r="G205" s="168"/>
      <c r="H205" s="67">
        <v>0</v>
      </c>
      <c r="I205" s="67">
        <v>0</v>
      </c>
      <c r="J205" s="67">
        <v>0</v>
      </c>
      <c r="K205" s="68" t="s">
        <v>1240</v>
      </c>
      <c r="L205" s="68" t="s">
        <v>1367</v>
      </c>
      <c r="M205" s="64">
        <v>985.36</v>
      </c>
      <c r="N205" s="69"/>
      <c r="O205" s="117"/>
      <c r="P205" s="118"/>
      <c r="Q205" s="71">
        <v>0</v>
      </c>
      <c r="R205" s="71">
        <v>0</v>
      </c>
      <c r="S205" s="72">
        <v>0</v>
      </c>
    </row>
    <row r="206" spans="1:20" ht="22.5" customHeight="1" x14ac:dyDescent="0.3">
      <c r="A206" s="61"/>
      <c r="B206" s="838" t="s">
        <v>1368</v>
      </c>
      <c r="C206" s="63"/>
      <c r="D206" s="64"/>
      <c r="E206" s="65"/>
      <c r="F206" s="167"/>
      <c r="G206" s="168"/>
      <c r="H206" s="67"/>
      <c r="I206" s="67"/>
      <c r="J206" s="67"/>
      <c r="K206" s="68"/>
      <c r="L206" s="68"/>
      <c r="M206" s="64"/>
      <c r="N206" s="69"/>
      <c r="O206" s="117"/>
      <c r="P206" s="118"/>
      <c r="Q206" s="71"/>
      <c r="R206" s="71"/>
      <c r="S206" s="72"/>
    </row>
    <row r="207" spans="1:20" ht="22.5" customHeight="1" x14ac:dyDescent="0.3">
      <c r="A207" s="61">
        <v>17</v>
      </c>
      <c r="B207" s="838" t="s">
        <v>270</v>
      </c>
      <c r="C207" s="63" t="s">
        <v>1339</v>
      </c>
      <c r="D207" s="64"/>
      <c r="E207" s="65"/>
      <c r="F207" s="167"/>
      <c r="G207" s="168"/>
      <c r="H207" s="67">
        <v>0</v>
      </c>
      <c r="I207" s="67">
        <v>0</v>
      </c>
      <c r="J207" s="67">
        <v>0</v>
      </c>
      <c r="K207" s="68"/>
      <c r="L207" s="68"/>
      <c r="M207" s="64"/>
      <c r="N207" s="69"/>
      <c r="O207" s="117"/>
      <c r="P207" s="118"/>
      <c r="Q207" s="71">
        <v>0</v>
      </c>
      <c r="R207" s="71">
        <v>0</v>
      </c>
      <c r="S207" s="72">
        <v>0</v>
      </c>
    </row>
    <row r="208" spans="1:20" ht="22.5" customHeight="1" x14ac:dyDescent="0.3">
      <c r="A208" s="61">
        <v>18</v>
      </c>
      <c r="B208" s="838" t="s">
        <v>261</v>
      </c>
      <c r="C208" s="63" t="s">
        <v>1369</v>
      </c>
      <c r="D208" s="64">
        <v>1900.68</v>
      </c>
      <c r="E208" s="65"/>
      <c r="F208" s="167"/>
      <c r="G208" s="168"/>
      <c r="H208" s="67">
        <v>0</v>
      </c>
      <c r="I208" s="67">
        <v>0</v>
      </c>
      <c r="J208" s="67">
        <v>0</v>
      </c>
      <c r="K208" s="68" t="s">
        <v>1201</v>
      </c>
      <c r="L208" s="68" t="s">
        <v>1364</v>
      </c>
      <c r="M208" s="64">
        <v>1900.68</v>
      </c>
      <c r="N208" s="69"/>
      <c r="O208" s="117"/>
      <c r="P208" s="118"/>
      <c r="Q208" s="71">
        <v>0</v>
      </c>
      <c r="R208" s="71">
        <v>0</v>
      </c>
      <c r="S208" s="72">
        <v>0</v>
      </c>
    </row>
    <row r="209" spans="1:19" ht="22.5" customHeight="1" x14ac:dyDescent="0.3">
      <c r="A209" s="61">
        <v>19</v>
      </c>
      <c r="B209" s="838" t="s">
        <v>274</v>
      </c>
      <c r="C209" s="63" t="s">
        <v>1370</v>
      </c>
      <c r="D209" s="64">
        <v>633.55999999999995</v>
      </c>
      <c r="E209" s="65"/>
      <c r="F209" s="167"/>
      <c r="G209" s="168"/>
      <c r="H209" s="67">
        <v>0</v>
      </c>
      <c r="I209" s="67">
        <v>0</v>
      </c>
      <c r="J209" s="67">
        <v>0</v>
      </c>
      <c r="K209" s="68" t="s">
        <v>1302</v>
      </c>
      <c r="L209" s="68" t="s">
        <v>1371</v>
      </c>
      <c r="M209" s="64">
        <v>633.55999999999995</v>
      </c>
      <c r="N209" s="69"/>
      <c r="O209" s="117"/>
      <c r="P209" s="118"/>
      <c r="Q209" s="71">
        <v>0</v>
      </c>
      <c r="R209" s="71">
        <v>0</v>
      </c>
      <c r="S209" s="72">
        <v>0</v>
      </c>
    </row>
    <row r="210" spans="1:19" ht="22.5" customHeight="1" x14ac:dyDescent="0.3">
      <c r="A210" s="61">
        <v>20</v>
      </c>
      <c r="B210" s="838" t="s">
        <v>277</v>
      </c>
      <c r="C210" s="63" t="s">
        <v>1372</v>
      </c>
      <c r="D210" s="64"/>
      <c r="E210" s="65"/>
      <c r="F210" s="167"/>
      <c r="G210" s="168"/>
      <c r="H210" s="67">
        <v>0</v>
      </c>
      <c r="I210" s="67">
        <v>0</v>
      </c>
      <c r="J210" s="67">
        <v>0</v>
      </c>
      <c r="K210" s="68"/>
      <c r="L210" s="68"/>
      <c r="M210" s="64"/>
      <c r="N210" s="69"/>
      <c r="O210" s="117"/>
      <c r="P210" s="118"/>
      <c r="Q210" s="71">
        <v>0</v>
      </c>
      <c r="R210" s="71">
        <v>0</v>
      </c>
      <c r="S210" s="72">
        <v>0</v>
      </c>
    </row>
    <row r="211" spans="1:19" ht="22.5" customHeight="1" x14ac:dyDescent="0.3">
      <c r="A211" s="61"/>
      <c r="B211" s="838" t="s">
        <v>1373</v>
      </c>
      <c r="C211" s="63"/>
      <c r="D211" s="64"/>
      <c r="E211" s="65"/>
      <c r="F211" s="167"/>
      <c r="G211" s="168"/>
      <c r="H211" s="67"/>
      <c r="I211" s="67"/>
      <c r="J211" s="67"/>
      <c r="K211" s="68"/>
      <c r="L211" s="68"/>
      <c r="M211" s="64"/>
      <c r="N211" s="69"/>
      <c r="O211" s="117"/>
      <c r="P211" s="118"/>
      <c r="Q211" s="71"/>
      <c r="R211" s="71"/>
      <c r="S211" s="72"/>
    </row>
    <row r="212" spans="1:19" ht="22.5" customHeight="1" x14ac:dyDescent="0.3">
      <c r="A212" s="61">
        <v>22</v>
      </c>
      <c r="B212" s="838" t="s">
        <v>281</v>
      </c>
      <c r="C212" s="63" t="s">
        <v>1374</v>
      </c>
      <c r="D212" s="64">
        <v>1266.8800000000001</v>
      </c>
      <c r="E212" s="65"/>
      <c r="F212" s="167"/>
      <c r="G212" s="168"/>
      <c r="H212" s="67">
        <v>0</v>
      </c>
      <c r="I212" s="67">
        <v>0</v>
      </c>
      <c r="J212" s="67">
        <v>0</v>
      </c>
      <c r="K212" s="68"/>
      <c r="L212" s="68"/>
      <c r="M212" s="64"/>
      <c r="N212" s="69" t="s">
        <v>1336</v>
      </c>
      <c r="O212" s="117"/>
      <c r="P212" s="118"/>
      <c r="Q212" s="71">
        <v>1266.8800000000001</v>
      </c>
      <c r="R212" s="71">
        <v>0</v>
      </c>
      <c r="S212" s="72">
        <v>1266.8800000000001</v>
      </c>
    </row>
    <row r="213" spans="1:19" ht="22.5" customHeight="1" x14ac:dyDescent="0.3">
      <c r="A213" s="61">
        <v>23</v>
      </c>
      <c r="B213" s="838" t="s">
        <v>1375</v>
      </c>
      <c r="C213" s="63" t="s">
        <v>1376</v>
      </c>
      <c r="D213" s="64">
        <v>1266.8800000000001</v>
      </c>
      <c r="E213" s="65"/>
      <c r="F213" s="167"/>
      <c r="G213" s="168"/>
      <c r="H213" s="67">
        <v>0</v>
      </c>
      <c r="I213" s="67">
        <v>0</v>
      </c>
      <c r="J213" s="67">
        <v>0</v>
      </c>
      <c r="K213" s="68" t="s">
        <v>1256</v>
      </c>
      <c r="L213" s="68" t="s">
        <v>1377</v>
      </c>
      <c r="M213" s="64">
        <v>1266.8800000000001</v>
      </c>
      <c r="N213" s="69"/>
      <c r="O213" s="117"/>
      <c r="P213" s="118"/>
      <c r="Q213" s="71">
        <v>0</v>
      </c>
      <c r="R213" s="71">
        <v>0</v>
      </c>
      <c r="S213" s="72">
        <v>0</v>
      </c>
    </row>
    <row r="214" spans="1:19" ht="22.5" customHeight="1" x14ac:dyDescent="0.3">
      <c r="A214" s="61">
        <v>24</v>
      </c>
      <c r="B214" s="838" t="s">
        <v>1378</v>
      </c>
      <c r="C214" s="63" t="s">
        <v>1379</v>
      </c>
      <c r="D214" s="64"/>
      <c r="E214" s="65"/>
      <c r="F214" s="167"/>
      <c r="G214" s="168"/>
      <c r="H214" s="67">
        <v>0</v>
      </c>
      <c r="I214" s="67">
        <v>0</v>
      </c>
      <c r="J214" s="67">
        <v>0</v>
      </c>
      <c r="K214" s="68"/>
      <c r="L214" s="68"/>
      <c r="M214" s="64"/>
      <c r="N214" s="69"/>
      <c r="O214" s="117"/>
      <c r="P214" s="118"/>
      <c r="Q214" s="71">
        <v>0</v>
      </c>
      <c r="R214" s="71">
        <v>0</v>
      </c>
      <c r="S214" s="72">
        <v>0</v>
      </c>
    </row>
    <row r="215" spans="1:19" ht="22.5" customHeight="1" x14ac:dyDescent="0.3">
      <c r="A215" s="61">
        <v>25</v>
      </c>
      <c r="B215" s="838" t="s">
        <v>1380</v>
      </c>
      <c r="C215" s="63" t="s">
        <v>1370</v>
      </c>
      <c r="D215" s="64">
        <v>1266.8800000000001</v>
      </c>
      <c r="E215" s="65"/>
      <c r="F215" s="167"/>
      <c r="G215" s="168"/>
      <c r="H215" s="67">
        <v>0</v>
      </c>
      <c r="I215" s="67">
        <v>0</v>
      </c>
      <c r="J215" s="67">
        <v>0</v>
      </c>
      <c r="K215" s="68"/>
      <c r="L215" s="68"/>
      <c r="M215" s="64"/>
      <c r="N215" s="69" t="s">
        <v>1336</v>
      </c>
      <c r="O215" s="117"/>
      <c r="P215" s="118"/>
      <c r="Q215" s="71">
        <v>1266.8800000000001</v>
      </c>
      <c r="R215" s="71">
        <v>0</v>
      </c>
      <c r="S215" s="72">
        <v>1266.8800000000001</v>
      </c>
    </row>
    <row r="216" spans="1:19" ht="22.5" customHeight="1" x14ac:dyDescent="0.3">
      <c r="A216" s="61">
        <v>26</v>
      </c>
      <c r="B216" s="838" t="s">
        <v>293</v>
      </c>
      <c r="C216" s="63" t="s">
        <v>1381</v>
      </c>
      <c r="D216" s="64">
        <v>633.44000000000005</v>
      </c>
      <c r="E216" s="65"/>
      <c r="F216" s="167"/>
      <c r="G216" s="168"/>
      <c r="H216" s="67">
        <v>0</v>
      </c>
      <c r="I216" s="67">
        <v>0</v>
      </c>
      <c r="J216" s="67">
        <v>0</v>
      </c>
      <c r="K216" s="68" t="s">
        <v>1248</v>
      </c>
      <c r="L216" s="68" t="s">
        <v>1382</v>
      </c>
      <c r="M216" s="64">
        <v>633.44000000000005</v>
      </c>
      <c r="N216" s="69"/>
      <c r="O216" s="117"/>
      <c r="P216" s="118"/>
      <c r="Q216" s="71">
        <v>0</v>
      </c>
      <c r="R216" s="71">
        <v>0</v>
      </c>
      <c r="S216" s="72">
        <v>0</v>
      </c>
    </row>
    <row r="217" spans="1:19" ht="22.5" customHeight="1" x14ac:dyDescent="0.3">
      <c r="A217" s="61">
        <v>27</v>
      </c>
      <c r="B217" s="838" t="s">
        <v>296</v>
      </c>
      <c r="C217" s="63" t="s">
        <v>1383</v>
      </c>
      <c r="D217" s="64">
        <v>1266.8800000000001</v>
      </c>
      <c r="E217" s="65"/>
      <c r="F217" s="167"/>
      <c r="G217" s="168"/>
      <c r="H217" s="67">
        <v>0</v>
      </c>
      <c r="I217" s="67">
        <v>0</v>
      </c>
      <c r="J217" s="67">
        <v>0</v>
      </c>
      <c r="K217" s="68" t="s">
        <v>1300</v>
      </c>
      <c r="L217" s="68" t="s">
        <v>1384</v>
      </c>
      <c r="M217" s="64">
        <v>1266.8800000000001</v>
      </c>
      <c r="N217" s="69"/>
      <c r="O217" s="117"/>
      <c r="P217" s="118"/>
      <c r="Q217" s="71">
        <v>0</v>
      </c>
      <c r="R217" s="71">
        <v>0</v>
      </c>
      <c r="S217" s="72">
        <v>0</v>
      </c>
    </row>
    <row r="218" spans="1:19" ht="22.5" customHeight="1" x14ac:dyDescent="0.3">
      <c r="A218" s="61"/>
      <c r="B218" s="838" t="s">
        <v>1385</v>
      </c>
      <c r="C218" s="63"/>
      <c r="D218" s="64"/>
      <c r="E218" s="65"/>
      <c r="F218" s="167"/>
      <c r="G218" s="168"/>
      <c r="H218" s="67"/>
      <c r="I218" s="67"/>
      <c r="J218" s="67"/>
      <c r="K218" s="68"/>
      <c r="L218" s="68"/>
      <c r="M218" s="64"/>
      <c r="N218" s="69"/>
      <c r="O218" s="117"/>
      <c r="P218" s="118"/>
      <c r="Q218" s="71"/>
      <c r="R218" s="71"/>
      <c r="S218" s="72"/>
    </row>
    <row r="219" spans="1:19" ht="22.5" customHeight="1" x14ac:dyDescent="0.3">
      <c r="A219" s="61">
        <v>29</v>
      </c>
      <c r="B219" s="838" t="s">
        <v>300</v>
      </c>
      <c r="C219" s="63" t="s">
        <v>1374</v>
      </c>
      <c r="D219" s="64">
        <v>1266.8800000000001</v>
      </c>
      <c r="E219" s="65"/>
      <c r="F219" s="167"/>
      <c r="G219" s="168"/>
      <c r="H219" s="67">
        <v>0</v>
      </c>
      <c r="I219" s="67">
        <v>0</v>
      </c>
      <c r="J219" s="67">
        <v>0</v>
      </c>
      <c r="K219" s="68" t="s">
        <v>1279</v>
      </c>
      <c r="L219" s="68" t="s">
        <v>1386</v>
      </c>
      <c r="M219" s="64">
        <v>1266.8800000000001</v>
      </c>
      <c r="N219" s="69"/>
      <c r="O219" s="117"/>
      <c r="P219" s="118"/>
      <c r="Q219" s="71">
        <v>0</v>
      </c>
      <c r="R219" s="71">
        <v>0</v>
      </c>
      <c r="S219" s="72">
        <v>0</v>
      </c>
    </row>
    <row r="220" spans="1:19" ht="22.5" customHeight="1" x14ac:dyDescent="0.3">
      <c r="A220" s="61">
        <v>30</v>
      </c>
      <c r="B220" s="838" t="s">
        <v>303</v>
      </c>
      <c r="C220" s="63" t="s">
        <v>1387</v>
      </c>
      <c r="D220" s="64">
        <v>633.44000000000005</v>
      </c>
      <c r="E220" s="65"/>
      <c r="F220" s="167"/>
      <c r="G220" s="168"/>
      <c r="H220" s="67">
        <v>0</v>
      </c>
      <c r="I220" s="67">
        <v>0</v>
      </c>
      <c r="J220" s="67">
        <v>0</v>
      </c>
      <c r="K220" s="68"/>
      <c r="L220" s="68"/>
      <c r="M220" s="64"/>
      <c r="N220" s="69" t="s">
        <v>1336</v>
      </c>
      <c r="O220" s="117"/>
      <c r="P220" s="118"/>
      <c r="Q220" s="71">
        <v>633.44000000000005</v>
      </c>
      <c r="R220" s="71">
        <v>0</v>
      </c>
      <c r="S220" s="72">
        <v>633.44000000000005</v>
      </c>
    </row>
    <row r="221" spans="1:19" ht="22.5" customHeight="1" x14ac:dyDescent="0.3">
      <c r="A221" s="61">
        <v>31</v>
      </c>
      <c r="B221" s="838" t="s">
        <v>296</v>
      </c>
      <c r="C221" s="63" t="s">
        <v>1388</v>
      </c>
      <c r="D221" s="64">
        <v>1266.8800000000001</v>
      </c>
      <c r="E221" s="65"/>
      <c r="F221" s="167"/>
      <c r="G221" s="168"/>
      <c r="H221" s="67">
        <v>0</v>
      </c>
      <c r="I221" s="67">
        <v>0</v>
      </c>
      <c r="J221" s="67">
        <v>0</v>
      </c>
      <c r="K221" s="68" t="s">
        <v>1300</v>
      </c>
      <c r="L221" s="68" t="s">
        <v>1384</v>
      </c>
      <c r="M221" s="64">
        <v>1266.8800000000001</v>
      </c>
      <c r="N221" s="69"/>
      <c r="O221" s="117"/>
      <c r="P221" s="118"/>
      <c r="Q221" s="71">
        <v>0</v>
      </c>
      <c r="R221" s="71">
        <v>0</v>
      </c>
      <c r="S221" s="72">
        <v>0</v>
      </c>
    </row>
    <row r="222" spans="1:19" ht="22.5" customHeight="1" x14ac:dyDescent="0.3">
      <c r="A222" s="61">
        <v>32</v>
      </c>
      <c r="B222" s="838" t="s">
        <v>308</v>
      </c>
      <c r="C222" s="63" t="s">
        <v>1389</v>
      </c>
      <c r="D222" s="64">
        <v>1900.32</v>
      </c>
      <c r="E222" s="65"/>
      <c r="F222" s="167"/>
      <c r="G222" s="168"/>
      <c r="H222" s="67">
        <v>0</v>
      </c>
      <c r="I222" s="67">
        <v>0</v>
      </c>
      <c r="J222" s="67">
        <v>0</v>
      </c>
      <c r="K222" s="68"/>
      <c r="L222" s="68"/>
      <c r="M222" s="64"/>
      <c r="N222" s="69" t="s">
        <v>1336</v>
      </c>
      <c r="O222" s="117"/>
      <c r="P222" s="118"/>
      <c r="Q222" s="71">
        <v>1900.32</v>
      </c>
      <c r="R222" s="71">
        <v>0</v>
      </c>
      <c r="S222" s="72">
        <v>1900.32</v>
      </c>
    </row>
    <row r="223" spans="1:19" ht="22.5" customHeight="1" x14ac:dyDescent="0.3">
      <c r="A223" s="61">
        <v>33</v>
      </c>
      <c r="B223" s="838" t="s">
        <v>261</v>
      </c>
      <c r="C223" s="63" t="s">
        <v>1381</v>
      </c>
      <c r="D223" s="64">
        <v>633.44000000000005</v>
      </c>
      <c r="E223" s="65"/>
      <c r="F223" s="167"/>
      <c r="G223" s="168"/>
      <c r="H223" s="67">
        <v>0</v>
      </c>
      <c r="I223" s="67">
        <v>0</v>
      </c>
      <c r="J223" s="67">
        <v>0</v>
      </c>
      <c r="K223" s="68" t="s">
        <v>1201</v>
      </c>
      <c r="L223" s="68" t="s">
        <v>1364</v>
      </c>
      <c r="M223" s="64">
        <v>633.44000000000005</v>
      </c>
      <c r="N223" s="69"/>
      <c r="O223" s="117"/>
      <c r="P223" s="118"/>
      <c r="Q223" s="71">
        <v>0</v>
      </c>
      <c r="R223" s="71">
        <v>0</v>
      </c>
      <c r="S223" s="72">
        <v>0</v>
      </c>
    </row>
    <row r="224" spans="1:19" ht="22.5" customHeight="1" x14ac:dyDescent="0.3">
      <c r="A224" s="61">
        <v>34</v>
      </c>
      <c r="B224" s="838" t="s">
        <v>261</v>
      </c>
      <c r="C224" s="63" t="s">
        <v>1390</v>
      </c>
      <c r="D224" s="64">
        <v>633.44000000000005</v>
      </c>
      <c r="E224" s="65"/>
      <c r="F224" s="167"/>
      <c r="G224" s="168"/>
      <c r="H224" s="67">
        <v>0</v>
      </c>
      <c r="I224" s="67">
        <v>0</v>
      </c>
      <c r="J224" s="67">
        <v>0</v>
      </c>
      <c r="K224" s="68" t="s">
        <v>1201</v>
      </c>
      <c r="L224" s="68" t="s">
        <v>1364</v>
      </c>
      <c r="M224" s="64">
        <v>633.44000000000005</v>
      </c>
      <c r="N224" s="69"/>
      <c r="O224" s="117"/>
      <c r="P224" s="118"/>
      <c r="Q224" s="71">
        <v>0</v>
      </c>
      <c r="R224" s="71">
        <v>0</v>
      </c>
      <c r="S224" s="72">
        <v>0</v>
      </c>
    </row>
    <row r="225" spans="1:19" ht="22.5" customHeight="1" x14ac:dyDescent="0.3">
      <c r="A225" s="61">
        <v>35</v>
      </c>
      <c r="B225" s="838" t="s">
        <v>313</v>
      </c>
      <c r="C225" s="63" t="s">
        <v>1391</v>
      </c>
      <c r="D225" s="64">
        <v>633.44000000000005</v>
      </c>
      <c r="E225" s="65"/>
      <c r="F225" s="167"/>
      <c r="G225" s="168"/>
      <c r="H225" s="67">
        <v>0</v>
      </c>
      <c r="I225" s="67">
        <v>0</v>
      </c>
      <c r="J225" s="67">
        <v>0</v>
      </c>
      <c r="K225" s="68" t="s">
        <v>1231</v>
      </c>
      <c r="L225" s="68" t="s">
        <v>1357</v>
      </c>
      <c r="M225" s="64">
        <v>633.44000000000005</v>
      </c>
      <c r="N225" s="69"/>
      <c r="O225" s="117"/>
      <c r="P225" s="118"/>
      <c r="Q225" s="71">
        <v>0</v>
      </c>
      <c r="R225" s="71">
        <v>0</v>
      </c>
      <c r="S225" s="72">
        <v>0</v>
      </c>
    </row>
    <row r="226" spans="1:19" ht="22.5" customHeight="1" x14ac:dyDescent="0.3">
      <c r="A226" s="61"/>
      <c r="B226" s="838" t="s">
        <v>1392</v>
      </c>
      <c r="C226" s="63"/>
      <c r="D226" s="64"/>
      <c r="E226" s="65"/>
      <c r="F226" s="167"/>
      <c r="G226" s="168"/>
      <c r="H226" s="67"/>
      <c r="I226" s="67"/>
      <c r="J226" s="67"/>
      <c r="K226" s="68"/>
      <c r="L226" s="68"/>
      <c r="M226" s="64"/>
      <c r="N226" s="69"/>
      <c r="O226" s="117"/>
      <c r="P226" s="118"/>
      <c r="Q226" s="71"/>
      <c r="R226" s="71"/>
      <c r="S226" s="72"/>
    </row>
    <row r="227" spans="1:19" ht="22.5" customHeight="1" x14ac:dyDescent="0.3">
      <c r="A227" s="61">
        <v>37</v>
      </c>
      <c r="B227" s="838" t="s">
        <v>261</v>
      </c>
      <c r="C227" s="63" t="s">
        <v>1393</v>
      </c>
      <c r="D227" s="64">
        <v>632.96</v>
      </c>
      <c r="E227" s="65"/>
      <c r="F227" s="167"/>
      <c r="G227" s="168"/>
      <c r="H227" s="67">
        <v>0</v>
      </c>
      <c r="I227" s="67">
        <v>0</v>
      </c>
      <c r="J227" s="67">
        <v>0</v>
      </c>
      <c r="K227" s="68" t="s">
        <v>1201</v>
      </c>
      <c r="L227" s="68" t="s">
        <v>1364</v>
      </c>
      <c r="M227" s="64">
        <v>632.96</v>
      </c>
      <c r="N227" s="69"/>
      <c r="O227" s="117"/>
      <c r="P227" s="118"/>
      <c r="Q227" s="71">
        <v>0</v>
      </c>
      <c r="R227" s="71">
        <v>0</v>
      </c>
      <c r="S227" s="72">
        <v>0</v>
      </c>
    </row>
    <row r="228" spans="1:19" ht="22.5" customHeight="1" x14ac:dyDescent="0.3">
      <c r="A228" s="61">
        <v>38</v>
      </c>
      <c r="B228" s="838" t="s">
        <v>149</v>
      </c>
      <c r="C228" s="63" t="s">
        <v>1394</v>
      </c>
      <c r="D228" s="64"/>
      <c r="E228" s="65"/>
      <c r="F228" s="167"/>
      <c r="G228" s="168"/>
      <c r="H228" s="67">
        <v>0</v>
      </c>
      <c r="I228" s="67">
        <v>0</v>
      </c>
      <c r="J228" s="67">
        <v>0</v>
      </c>
      <c r="K228" s="68"/>
      <c r="L228" s="68"/>
      <c r="M228" s="64"/>
      <c r="N228" s="69"/>
      <c r="O228" s="117"/>
      <c r="P228" s="118"/>
      <c r="Q228" s="71">
        <v>0</v>
      </c>
      <c r="R228" s="71">
        <v>0</v>
      </c>
      <c r="S228" s="72">
        <v>0</v>
      </c>
    </row>
    <row r="229" spans="1:19" ht="22.5" customHeight="1" x14ac:dyDescent="0.3">
      <c r="A229" s="61">
        <v>39</v>
      </c>
      <c r="B229" s="838" t="s">
        <v>320</v>
      </c>
      <c r="C229" s="63" t="s">
        <v>1387</v>
      </c>
      <c r="D229" s="64">
        <v>632.96</v>
      </c>
      <c r="E229" s="65"/>
      <c r="F229" s="167"/>
      <c r="G229" s="168"/>
      <c r="H229" s="67">
        <v>0</v>
      </c>
      <c r="I229" s="67">
        <v>0</v>
      </c>
      <c r="J229" s="67">
        <v>0</v>
      </c>
      <c r="K229" s="68" t="s">
        <v>1195</v>
      </c>
      <c r="L229" s="68" t="s">
        <v>1395</v>
      </c>
      <c r="M229" s="64">
        <v>632.96</v>
      </c>
      <c r="N229" s="69"/>
      <c r="O229" s="117"/>
      <c r="P229" s="118"/>
      <c r="Q229" s="71">
        <v>0</v>
      </c>
      <c r="R229" s="71">
        <v>0</v>
      </c>
      <c r="S229" s="72">
        <v>0</v>
      </c>
    </row>
    <row r="230" spans="1:19" ht="22.5" customHeight="1" x14ac:dyDescent="0.3">
      <c r="A230" s="61">
        <v>40</v>
      </c>
      <c r="B230" s="838" t="s">
        <v>322</v>
      </c>
      <c r="C230" s="63" t="s">
        <v>1388</v>
      </c>
      <c r="D230" s="64"/>
      <c r="E230" s="65"/>
      <c r="F230" s="167"/>
      <c r="G230" s="168"/>
      <c r="H230" s="67">
        <v>0</v>
      </c>
      <c r="I230" s="67">
        <v>0</v>
      </c>
      <c r="J230" s="67">
        <v>0</v>
      </c>
      <c r="K230" s="68"/>
      <c r="L230" s="68"/>
      <c r="M230" s="64"/>
      <c r="N230" s="69"/>
      <c r="O230" s="117"/>
      <c r="P230" s="118"/>
      <c r="Q230" s="71">
        <v>0</v>
      </c>
      <c r="R230" s="71">
        <v>0</v>
      </c>
      <c r="S230" s="72">
        <v>0</v>
      </c>
    </row>
    <row r="231" spans="1:19" ht="22.5" customHeight="1" x14ac:dyDescent="0.3">
      <c r="A231" s="61">
        <v>41</v>
      </c>
      <c r="B231" s="838" t="s">
        <v>293</v>
      </c>
      <c r="C231" s="63" t="s">
        <v>1346</v>
      </c>
      <c r="D231" s="64">
        <v>1265.92</v>
      </c>
      <c r="E231" s="65"/>
      <c r="F231" s="167"/>
      <c r="G231" s="168"/>
      <c r="H231" s="67">
        <v>0</v>
      </c>
      <c r="I231" s="67">
        <v>0</v>
      </c>
      <c r="J231" s="67">
        <v>0</v>
      </c>
      <c r="K231" s="68" t="s">
        <v>1248</v>
      </c>
      <c r="L231" s="68" t="s">
        <v>1382</v>
      </c>
      <c r="M231" s="64">
        <v>1265.92</v>
      </c>
      <c r="N231" s="69"/>
      <c r="O231" s="117"/>
      <c r="P231" s="118"/>
      <c r="Q231" s="71">
        <v>0</v>
      </c>
      <c r="R231" s="71">
        <v>0</v>
      </c>
      <c r="S231" s="72">
        <v>0</v>
      </c>
    </row>
    <row r="232" spans="1:19" ht="22.5" customHeight="1" x14ac:dyDescent="0.3">
      <c r="A232" s="61">
        <v>42</v>
      </c>
      <c r="B232" s="838" t="s">
        <v>293</v>
      </c>
      <c r="C232" s="63" t="s">
        <v>1372</v>
      </c>
      <c r="D232" s="64">
        <v>1265.92</v>
      </c>
      <c r="E232" s="65"/>
      <c r="F232" s="167"/>
      <c r="G232" s="168"/>
      <c r="H232" s="67">
        <v>0</v>
      </c>
      <c r="I232" s="67">
        <v>0</v>
      </c>
      <c r="J232" s="67">
        <v>0</v>
      </c>
      <c r="K232" s="68" t="s">
        <v>1248</v>
      </c>
      <c r="L232" s="68" t="s">
        <v>1382</v>
      </c>
      <c r="M232" s="64">
        <v>1265.92</v>
      </c>
      <c r="N232" s="69"/>
      <c r="O232" s="117"/>
      <c r="P232" s="118"/>
      <c r="Q232" s="71">
        <v>0</v>
      </c>
      <c r="R232" s="71">
        <v>0</v>
      </c>
      <c r="S232" s="72">
        <v>0</v>
      </c>
    </row>
    <row r="233" spans="1:19" s="60" customFormat="1" ht="22.5" customHeight="1" thickBot="1" x14ac:dyDescent="0.35">
      <c r="A233" s="317"/>
      <c r="B233" s="317" t="s">
        <v>15</v>
      </c>
      <c r="C233" s="318"/>
      <c r="D233" s="383">
        <f>SUM(D191:D232)</f>
        <v>39904.360000000008</v>
      </c>
      <c r="E233" s="383">
        <f t="shared" ref="E233:S233" si="17">SUM(E191:E232)</f>
        <v>0</v>
      </c>
      <c r="F233" s="383">
        <f t="shared" si="17"/>
        <v>0</v>
      </c>
      <c r="G233" s="383">
        <f t="shared" si="17"/>
        <v>0</v>
      </c>
      <c r="H233" s="383">
        <f t="shared" si="17"/>
        <v>0</v>
      </c>
      <c r="I233" s="383">
        <f t="shared" si="17"/>
        <v>0</v>
      </c>
      <c r="J233" s="383">
        <f t="shared" si="17"/>
        <v>0</v>
      </c>
      <c r="K233" s="383">
        <f t="shared" si="17"/>
        <v>0</v>
      </c>
      <c r="L233" s="383">
        <f t="shared" si="17"/>
        <v>0</v>
      </c>
      <c r="M233" s="383">
        <f t="shared" si="17"/>
        <v>33569.96</v>
      </c>
      <c r="N233" s="383">
        <f t="shared" si="17"/>
        <v>0</v>
      </c>
      <c r="O233" s="383">
        <f t="shared" si="17"/>
        <v>0</v>
      </c>
      <c r="P233" s="383">
        <f t="shared" si="17"/>
        <v>0</v>
      </c>
      <c r="Q233" s="383">
        <f t="shared" si="17"/>
        <v>6334.4</v>
      </c>
      <c r="R233" s="383">
        <f t="shared" si="17"/>
        <v>0</v>
      </c>
      <c r="S233" s="383">
        <f t="shared" si="17"/>
        <v>6334.4</v>
      </c>
    </row>
    <row r="234" spans="1:19" ht="22.5" customHeight="1" thickTop="1" x14ac:dyDescent="0.3">
      <c r="A234" s="115"/>
      <c r="B234" s="412" t="s">
        <v>395</v>
      </c>
      <c r="C234" s="165"/>
      <c r="D234" s="86"/>
      <c r="E234" s="413"/>
      <c r="F234" s="413"/>
      <c r="G234" s="414"/>
      <c r="H234" s="415"/>
      <c r="I234" s="415"/>
      <c r="J234" s="415"/>
      <c r="K234" s="170"/>
      <c r="L234" s="171"/>
      <c r="M234" s="86"/>
      <c r="N234" s="115"/>
      <c r="O234" s="115"/>
      <c r="P234" s="414"/>
      <c r="Q234" s="416"/>
      <c r="R234" s="416"/>
      <c r="S234" s="417"/>
    </row>
    <row r="235" spans="1:19" ht="22.5" customHeight="1" x14ac:dyDescent="0.3">
      <c r="A235" s="115"/>
      <c r="B235" s="412"/>
      <c r="C235" s="165"/>
      <c r="D235" s="86"/>
      <c r="E235" s="413"/>
      <c r="F235" s="413"/>
      <c r="G235" s="414"/>
      <c r="H235" s="415"/>
      <c r="I235" s="415"/>
      <c r="J235" s="415"/>
      <c r="K235" s="170"/>
      <c r="L235" s="171"/>
      <c r="M235" s="86"/>
      <c r="N235" s="115"/>
      <c r="O235" s="115"/>
      <c r="P235" s="414"/>
      <c r="Q235" s="416"/>
      <c r="R235" s="416"/>
      <c r="S235" s="417"/>
    </row>
    <row r="236" spans="1:19" ht="22.5" customHeight="1" x14ac:dyDescent="0.3">
      <c r="A236" s="115"/>
      <c r="B236" s="412"/>
      <c r="C236" s="165"/>
      <c r="D236" s="86"/>
      <c r="E236" s="413"/>
      <c r="F236" s="413"/>
      <c r="G236" s="414"/>
      <c r="H236" s="415"/>
      <c r="I236" s="415"/>
      <c r="J236" s="415"/>
      <c r="K236" s="170"/>
      <c r="L236" s="171"/>
      <c r="M236" s="86"/>
      <c r="N236" s="115"/>
      <c r="O236" s="115"/>
      <c r="P236" s="414"/>
      <c r="Q236" s="416"/>
      <c r="R236" s="416"/>
      <c r="S236" s="417"/>
    </row>
    <row r="237" spans="1:19" s="60" customFormat="1" ht="22.2" customHeight="1" thickBot="1" x14ac:dyDescent="0.35">
      <c r="A237" s="418"/>
      <c r="B237" s="419" t="s">
        <v>15</v>
      </c>
      <c r="C237" s="420"/>
      <c r="D237" s="421">
        <v>0</v>
      </c>
      <c r="E237" s="422"/>
      <c r="F237" s="422"/>
      <c r="G237" s="423"/>
      <c r="H237" s="424"/>
      <c r="I237" s="424"/>
      <c r="J237" s="424"/>
      <c r="K237" s="425"/>
      <c r="L237" s="426"/>
      <c r="M237" s="421">
        <v>0</v>
      </c>
      <c r="N237" s="418"/>
      <c r="O237" s="418"/>
      <c r="P237" s="423"/>
      <c r="Q237" s="427">
        <v>0</v>
      </c>
      <c r="R237" s="427">
        <v>0</v>
      </c>
      <c r="S237" s="428">
        <v>0</v>
      </c>
    </row>
    <row r="238" spans="1:19" ht="22.5" customHeight="1" thickTop="1" x14ac:dyDescent="0.3">
      <c r="A238" s="429"/>
      <c r="B238" s="430"/>
      <c r="C238" s="431"/>
      <c r="D238" s="432"/>
      <c r="E238" s="433"/>
      <c r="F238" s="433"/>
      <c r="G238" s="434"/>
      <c r="H238" s="435"/>
      <c r="I238" s="435"/>
      <c r="J238" s="435"/>
      <c r="K238" s="436"/>
      <c r="L238" s="437"/>
      <c r="M238" s="438"/>
      <c r="N238" s="439"/>
      <c r="O238" s="439"/>
      <c r="P238" s="440"/>
      <c r="Q238" s="441"/>
      <c r="R238" s="441"/>
      <c r="S238" s="442"/>
    </row>
    <row r="239" spans="1:19" ht="22.5" customHeight="1" x14ac:dyDescent="0.3">
      <c r="A239" s="61"/>
      <c r="B239" s="4" t="s">
        <v>396</v>
      </c>
      <c r="C239" s="63"/>
      <c r="D239" s="382"/>
      <c r="E239" s="443"/>
      <c r="F239" s="443"/>
      <c r="G239" s="66"/>
      <c r="H239" s="444"/>
      <c r="I239" s="444"/>
      <c r="J239" s="444"/>
      <c r="K239" s="68"/>
      <c r="L239" s="445"/>
      <c r="M239" s="64"/>
      <c r="N239" s="69"/>
      <c r="O239" s="69"/>
      <c r="P239" s="70"/>
      <c r="Q239" s="71"/>
      <c r="R239" s="71"/>
      <c r="S239" s="387"/>
    </row>
    <row r="240" spans="1:19" ht="22.5" customHeight="1" x14ac:dyDescent="0.5">
      <c r="A240" s="446">
        <v>1</v>
      </c>
      <c r="B240" s="447" t="s">
        <v>398</v>
      </c>
      <c r="C240" s="63"/>
      <c r="D240" s="382"/>
      <c r="E240" s="443"/>
      <c r="F240" s="443"/>
      <c r="G240" s="66"/>
      <c r="H240" s="448">
        <v>0</v>
      </c>
      <c r="I240" s="448">
        <v>0</v>
      </c>
      <c r="J240" s="448">
        <v>0</v>
      </c>
      <c r="K240" s="449"/>
      <c r="L240" s="450"/>
      <c r="M240" s="451"/>
      <c r="N240" s="69"/>
      <c r="O240" s="69"/>
      <c r="P240" s="70"/>
      <c r="Q240" s="71">
        <f>SUM(S240)</f>
        <v>0</v>
      </c>
      <c r="R240" s="71">
        <v>0</v>
      </c>
      <c r="S240" s="387">
        <f>SUM(D240+J240-M240)</f>
        <v>0</v>
      </c>
    </row>
    <row r="241" spans="1:20" ht="22.5" customHeight="1" x14ac:dyDescent="0.3">
      <c r="A241" s="61"/>
      <c r="B241" s="164" t="s">
        <v>399</v>
      </c>
      <c r="C241" s="63"/>
      <c r="D241" s="382"/>
      <c r="E241" s="443"/>
      <c r="F241" s="443"/>
      <c r="G241" s="66"/>
      <c r="H241" s="444"/>
      <c r="I241" s="444"/>
      <c r="J241" s="444"/>
      <c r="K241" s="68"/>
      <c r="L241" s="445"/>
      <c r="M241" s="64"/>
      <c r="N241" s="69"/>
      <c r="O241" s="69"/>
      <c r="P241" s="70"/>
      <c r="Q241" s="71"/>
      <c r="R241" s="71"/>
      <c r="S241" s="387"/>
    </row>
    <row r="242" spans="1:20" ht="22.5" customHeight="1" x14ac:dyDescent="0.5">
      <c r="A242" s="61">
        <v>1</v>
      </c>
      <c r="B242" s="290" t="s">
        <v>400</v>
      </c>
      <c r="C242" s="25" t="s">
        <v>333</v>
      </c>
      <c r="D242" s="452"/>
      <c r="E242" s="443"/>
      <c r="F242" s="443"/>
      <c r="G242" s="66"/>
      <c r="H242" s="67">
        <v>0</v>
      </c>
      <c r="I242" s="67">
        <v>0</v>
      </c>
      <c r="J242" s="67">
        <v>0</v>
      </c>
      <c r="K242" s="449"/>
      <c r="L242" s="450"/>
      <c r="M242" s="451"/>
      <c r="N242" s="69"/>
      <c r="O242" s="69"/>
      <c r="P242" s="70"/>
      <c r="Q242" s="71">
        <f t="shared" ref="Q242:Q291" si="18">SUM(S242)</f>
        <v>0</v>
      </c>
      <c r="R242" s="71">
        <v>0</v>
      </c>
      <c r="S242" s="387">
        <f t="shared" ref="S242:S291" si="19">SUM(D242+J242-M242)</f>
        <v>0</v>
      </c>
    </row>
    <row r="243" spans="1:20" ht="22.5" customHeight="1" x14ac:dyDescent="0.5">
      <c r="A243" s="61">
        <v>2</v>
      </c>
      <c r="B243" s="290" t="s">
        <v>401</v>
      </c>
      <c r="C243" s="81" t="s">
        <v>336</v>
      </c>
      <c r="D243" s="452"/>
      <c r="E243" s="443"/>
      <c r="F243" s="443"/>
      <c r="G243" s="66"/>
      <c r="H243" s="67">
        <v>0</v>
      </c>
      <c r="I243" s="67">
        <v>0</v>
      </c>
      <c r="J243" s="67">
        <v>0</v>
      </c>
      <c r="K243" s="449"/>
      <c r="L243" s="450"/>
      <c r="M243" s="451"/>
      <c r="N243" s="69"/>
      <c r="O243" s="69"/>
      <c r="P243" s="70"/>
      <c r="Q243" s="71">
        <f t="shared" si="18"/>
        <v>0</v>
      </c>
      <c r="R243" s="71">
        <v>0</v>
      </c>
      <c r="S243" s="387">
        <f t="shared" si="19"/>
        <v>0</v>
      </c>
    </row>
    <row r="244" spans="1:20" ht="22.5" customHeight="1" x14ac:dyDescent="0.5">
      <c r="A244" s="61">
        <v>3</v>
      </c>
      <c r="B244" s="290" t="s">
        <v>403</v>
      </c>
      <c r="C244" s="25" t="s">
        <v>339</v>
      </c>
      <c r="D244" s="452"/>
      <c r="E244" s="443"/>
      <c r="F244" s="443"/>
      <c r="G244" s="66"/>
      <c r="H244" s="67">
        <v>0</v>
      </c>
      <c r="I244" s="67">
        <v>0</v>
      </c>
      <c r="J244" s="67">
        <v>0</v>
      </c>
      <c r="K244" s="449"/>
      <c r="L244" s="450"/>
      <c r="M244" s="451"/>
      <c r="N244" s="69"/>
      <c r="O244" s="69"/>
      <c r="P244" s="70"/>
      <c r="Q244" s="71">
        <f t="shared" si="18"/>
        <v>0</v>
      </c>
      <c r="R244" s="71">
        <v>0</v>
      </c>
      <c r="S244" s="387">
        <f t="shared" si="19"/>
        <v>0</v>
      </c>
    </row>
    <row r="245" spans="1:20" ht="22.5" customHeight="1" x14ac:dyDescent="0.5">
      <c r="A245" s="61">
        <v>4</v>
      </c>
      <c r="B245" s="290" t="s">
        <v>405</v>
      </c>
      <c r="C245" s="25" t="s">
        <v>406</v>
      </c>
      <c r="D245" s="452"/>
      <c r="E245" s="443"/>
      <c r="F245" s="443"/>
      <c r="G245" s="66"/>
      <c r="H245" s="67">
        <v>0</v>
      </c>
      <c r="I245" s="67">
        <v>0</v>
      </c>
      <c r="J245" s="67">
        <v>0</v>
      </c>
      <c r="K245" s="449"/>
      <c r="L245" s="450"/>
      <c r="M245" s="451"/>
      <c r="N245" s="69"/>
      <c r="O245" s="69"/>
      <c r="P245" s="70"/>
      <c r="Q245" s="71">
        <f t="shared" si="18"/>
        <v>0</v>
      </c>
      <c r="R245" s="71">
        <v>0</v>
      </c>
      <c r="S245" s="387">
        <f t="shared" si="19"/>
        <v>0</v>
      </c>
    </row>
    <row r="246" spans="1:20" ht="22.5" customHeight="1" x14ac:dyDescent="0.5">
      <c r="A246" s="61">
        <v>5</v>
      </c>
      <c r="B246" s="290" t="s">
        <v>407</v>
      </c>
      <c r="C246" s="63" t="s">
        <v>331</v>
      </c>
      <c r="D246" s="452"/>
      <c r="E246" s="443"/>
      <c r="F246" s="443"/>
      <c r="G246" s="66"/>
      <c r="H246" s="67">
        <v>0</v>
      </c>
      <c r="I246" s="67">
        <v>0</v>
      </c>
      <c r="J246" s="67">
        <v>0</v>
      </c>
      <c r="K246" s="449"/>
      <c r="L246" s="450"/>
      <c r="M246" s="451"/>
      <c r="N246" s="69"/>
      <c r="O246" s="69"/>
      <c r="P246" s="70"/>
      <c r="Q246" s="71">
        <f t="shared" si="18"/>
        <v>0</v>
      </c>
      <c r="R246" s="71">
        <v>0</v>
      </c>
      <c r="S246" s="387">
        <f t="shared" si="19"/>
        <v>0</v>
      </c>
    </row>
    <row r="247" spans="1:20" ht="22.5" customHeight="1" x14ac:dyDescent="0.5">
      <c r="A247" s="61">
        <v>6</v>
      </c>
      <c r="B247" s="290" t="s">
        <v>408</v>
      </c>
      <c r="C247" s="63" t="s">
        <v>331</v>
      </c>
      <c r="D247" s="452"/>
      <c r="E247" s="443"/>
      <c r="F247" s="443"/>
      <c r="G247" s="66"/>
      <c r="H247" s="67">
        <v>0</v>
      </c>
      <c r="I247" s="67">
        <v>0</v>
      </c>
      <c r="J247" s="67">
        <v>0</v>
      </c>
      <c r="K247" s="449"/>
      <c r="L247" s="450"/>
      <c r="M247" s="451"/>
      <c r="N247" s="69"/>
      <c r="O247" s="69"/>
      <c r="P247" s="70"/>
      <c r="Q247" s="71">
        <f t="shared" si="18"/>
        <v>0</v>
      </c>
      <c r="R247" s="71">
        <v>0</v>
      </c>
      <c r="S247" s="387">
        <f t="shared" si="19"/>
        <v>0</v>
      </c>
    </row>
    <row r="248" spans="1:20" ht="22.5" customHeight="1" x14ac:dyDescent="0.5">
      <c r="A248" s="61">
        <v>7</v>
      </c>
      <c r="B248" s="290" t="s">
        <v>410</v>
      </c>
      <c r="C248" s="63" t="s">
        <v>411</v>
      </c>
      <c r="D248" s="452"/>
      <c r="E248" s="443"/>
      <c r="F248" s="443"/>
      <c r="G248" s="66"/>
      <c r="H248" s="67">
        <v>0</v>
      </c>
      <c r="I248" s="67">
        <v>0</v>
      </c>
      <c r="J248" s="67">
        <v>0</v>
      </c>
      <c r="K248" s="449"/>
      <c r="L248" s="450"/>
      <c r="M248" s="451"/>
      <c r="N248" s="69"/>
      <c r="O248" s="69"/>
      <c r="P248" s="70"/>
      <c r="Q248" s="71">
        <f t="shared" si="18"/>
        <v>0</v>
      </c>
      <c r="R248" s="71">
        <v>0</v>
      </c>
      <c r="S248" s="387">
        <f t="shared" si="19"/>
        <v>0</v>
      </c>
    </row>
    <row r="249" spans="1:20" ht="22.5" customHeight="1" x14ac:dyDescent="0.5">
      <c r="A249" s="61">
        <v>8</v>
      </c>
      <c r="B249" s="290" t="s">
        <v>413</v>
      </c>
      <c r="C249" s="63"/>
      <c r="D249" s="452"/>
      <c r="E249" s="443"/>
      <c r="F249" s="443"/>
      <c r="G249" s="66"/>
      <c r="H249" s="67">
        <v>0</v>
      </c>
      <c r="I249" s="67">
        <v>0</v>
      </c>
      <c r="J249" s="67">
        <v>0</v>
      </c>
      <c r="K249" s="449"/>
      <c r="L249" s="450"/>
      <c r="M249" s="451"/>
      <c r="N249" s="69"/>
      <c r="O249" s="69"/>
      <c r="P249" s="70"/>
      <c r="Q249" s="71">
        <f t="shared" si="18"/>
        <v>0</v>
      </c>
      <c r="R249" s="71">
        <v>0</v>
      </c>
      <c r="S249" s="387">
        <f t="shared" si="19"/>
        <v>0</v>
      </c>
    </row>
    <row r="250" spans="1:20" ht="22.5" customHeight="1" x14ac:dyDescent="0.5">
      <c r="A250" s="61">
        <v>9</v>
      </c>
      <c r="B250" s="290" t="s">
        <v>414</v>
      </c>
      <c r="C250" s="63" t="s">
        <v>415</v>
      </c>
      <c r="D250" s="452"/>
      <c r="E250" s="443"/>
      <c r="F250" s="443"/>
      <c r="G250" s="66"/>
      <c r="H250" s="67">
        <v>0</v>
      </c>
      <c r="I250" s="67">
        <v>0</v>
      </c>
      <c r="J250" s="67">
        <v>0</v>
      </c>
      <c r="K250" s="449"/>
      <c r="L250" s="450"/>
      <c r="M250" s="451"/>
      <c r="N250" s="69"/>
      <c r="O250" s="69"/>
      <c r="P250" s="70"/>
      <c r="Q250" s="71">
        <f t="shared" si="18"/>
        <v>0</v>
      </c>
      <c r="R250" s="71">
        <v>0</v>
      </c>
      <c r="S250" s="387">
        <f t="shared" si="19"/>
        <v>0</v>
      </c>
    </row>
    <row r="251" spans="1:20" ht="22.5" customHeight="1" x14ac:dyDescent="0.5">
      <c r="A251" s="61">
        <v>10</v>
      </c>
      <c r="B251" s="290" t="s">
        <v>359</v>
      </c>
      <c r="C251" s="63" t="s">
        <v>417</v>
      </c>
      <c r="D251" s="452"/>
      <c r="E251" s="443"/>
      <c r="F251" s="443"/>
      <c r="G251" s="66"/>
      <c r="H251" s="67">
        <v>0</v>
      </c>
      <c r="I251" s="67">
        <v>0</v>
      </c>
      <c r="J251" s="67">
        <v>0</v>
      </c>
      <c r="K251" s="449"/>
      <c r="L251" s="450"/>
      <c r="M251" s="451"/>
      <c r="N251" s="69"/>
      <c r="O251" s="69"/>
      <c r="P251" s="70"/>
      <c r="Q251" s="71">
        <f t="shared" si="18"/>
        <v>0</v>
      </c>
      <c r="R251" s="71">
        <v>0</v>
      </c>
      <c r="S251" s="387">
        <f t="shared" si="19"/>
        <v>0</v>
      </c>
    </row>
    <row r="252" spans="1:20" ht="22.5" customHeight="1" x14ac:dyDescent="0.5">
      <c r="A252" s="61">
        <v>11</v>
      </c>
      <c r="B252" s="290" t="s">
        <v>397</v>
      </c>
      <c r="C252" s="63" t="s">
        <v>417</v>
      </c>
      <c r="D252" s="452"/>
      <c r="E252" s="443"/>
      <c r="F252" s="443"/>
      <c r="G252" s="66"/>
      <c r="H252" s="67">
        <v>0</v>
      </c>
      <c r="I252" s="67">
        <v>0</v>
      </c>
      <c r="J252" s="67">
        <v>0</v>
      </c>
      <c r="K252" s="449"/>
      <c r="L252" s="450"/>
      <c r="M252" s="451"/>
      <c r="N252" s="69"/>
      <c r="O252" s="69"/>
      <c r="P252" s="70"/>
      <c r="Q252" s="71">
        <f t="shared" si="18"/>
        <v>0</v>
      </c>
      <c r="R252" s="71">
        <v>0</v>
      </c>
      <c r="S252" s="387">
        <f t="shared" si="19"/>
        <v>0</v>
      </c>
    </row>
    <row r="253" spans="1:20" ht="22.5" customHeight="1" x14ac:dyDescent="0.5">
      <c r="A253" s="61">
        <v>12</v>
      </c>
      <c r="B253" s="290" t="s">
        <v>358</v>
      </c>
      <c r="C253" s="63" t="s">
        <v>417</v>
      </c>
      <c r="D253" s="452"/>
      <c r="E253" s="443"/>
      <c r="F253" s="443"/>
      <c r="G253" s="66"/>
      <c r="H253" s="67">
        <v>0</v>
      </c>
      <c r="I253" s="67">
        <v>0</v>
      </c>
      <c r="J253" s="67">
        <v>0</v>
      </c>
      <c r="K253" s="449"/>
      <c r="L253" s="450"/>
      <c r="M253" s="451"/>
      <c r="N253" s="69"/>
      <c r="O253" s="69"/>
      <c r="P253" s="70"/>
      <c r="Q253" s="71">
        <f t="shared" si="18"/>
        <v>0</v>
      </c>
      <c r="R253" s="71">
        <v>0</v>
      </c>
      <c r="S253" s="387">
        <f t="shared" si="19"/>
        <v>0</v>
      </c>
    </row>
    <row r="254" spans="1:20" ht="22.5" customHeight="1" x14ac:dyDescent="0.5">
      <c r="A254" s="61">
        <v>13</v>
      </c>
      <c r="B254" s="290" t="s">
        <v>419</v>
      </c>
      <c r="C254" s="63" t="s">
        <v>417</v>
      </c>
      <c r="D254" s="452"/>
      <c r="E254" s="443"/>
      <c r="F254" s="443"/>
      <c r="G254" s="66"/>
      <c r="H254" s="67">
        <v>0</v>
      </c>
      <c r="I254" s="67">
        <v>0</v>
      </c>
      <c r="J254" s="67">
        <v>0</v>
      </c>
      <c r="K254" s="30"/>
      <c r="L254" s="249"/>
      <c r="M254" s="451"/>
      <c r="N254" s="69"/>
      <c r="O254" s="69"/>
      <c r="P254" s="70"/>
      <c r="Q254" s="71">
        <f t="shared" si="18"/>
        <v>0</v>
      </c>
      <c r="R254" s="71">
        <v>0</v>
      </c>
      <c r="S254" s="387">
        <f t="shared" si="19"/>
        <v>0</v>
      </c>
      <c r="T254" s="3" t="s">
        <v>420</v>
      </c>
    </row>
    <row r="255" spans="1:20" ht="22.5" customHeight="1" x14ac:dyDescent="0.5">
      <c r="A255" s="61">
        <v>14</v>
      </c>
      <c r="B255" s="290" t="s">
        <v>353</v>
      </c>
      <c r="C255" s="63" t="s">
        <v>417</v>
      </c>
      <c r="D255" s="452"/>
      <c r="E255" s="443"/>
      <c r="F255" s="443"/>
      <c r="G255" s="66"/>
      <c r="H255" s="67">
        <v>0</v>
      </c>
      <c r="I255" s="67">
        <v>0</v>
      </c>
      <c r="J255" s="67">
        <v>0</v>
      </c>
      <c r="K255" s="449"/>
      <c r="L255" s="450"/>
      <c r="M255" s="451"/>
      <c r="N255" s="69"/>
      <c r="O255" s="69"/>
      <c r="P255" s="70"/>
      <c r="Q255" s="71">
        <f t="shared" si="18"/>
        <v>0</v>
      </c>
      <c r="R255" s="71">
        <v>0</v>
      </c>
      <c r="S255" s="387">
        <f t="shared" si="19"/>
        <v>0</v>
      </c>
    </row>
    <row r="256" spans="1:20" ht="22.5" customHeight="1" x14ac:dyDescent="0.5">
      <c r="A256" s="61">
        <v>15</v>
      </c>
      <c r="B256" s="290" t="s">
        <v>398</v>
      </c>
      <c r="C256" s="63" t="s">
        <v>417</v>
      </c>
      <c r="D256" s="452"/>
      <c r="E256" s="443"/>
      <c r="F256" s="443"/>
      <c r="G256" s="66"/>
      <c r="H256" s="67">
        <v>0</v>
      </c>
      <c r="I256" s="67">
        <v>0</v>
      </c>
      <c r="J256" s="67">
        <v>0</v>
      </c>
      <c r="K256" s="449"/>
      <c r="L256" s="450"/>
      <c r="M256" s="451"/>
      <c r="N256" s="69"/>
      <c r="O256" s="69"/>
      <c r="P256" s="70"/>
      <c r="Q256" s="71">
        <f t="shared" si="18"/>
        <v>0</v>
      </c>
      <c r="R256" s="71">
        <v>0</v>
      </c>
      <c r="S256" s="387">
        <f t="shared" si="19"/>
        <v>0</v>
      </c>
    </row>
    <row r="257" spans="1:19" ht="22.5" customHeight="1" x14ac:dyDescent="0.5">
      <c r="A257" s="61">
        <v>16</v>
      </c>
      <c r="B257" s="290" t="s">
        <v>421</v>
      </c>
      <c r="C257" s="63" t="s">
        <v>422</v>
      </c>
      <c r="D257" s="452"/>
      <c r="E257" s="443"/>
      <c r="F257" s="443"/>
      <c r="G257" s="66"/>
      <c r="H257" s="67">
        <v>0</v>
      </c>
      <c r="I257" s="67">
        <v>0</v>
      </c>
      <c r="J257" s="67">
        <v>0</v>
      </c>
      <c r="K257" s="449"/>
      <c r="L257" s="450"/>
      <c r="M257" s="451"/>
      <c r="N257" s="69"/>
      <c r="O257" s="69"/>
      <c r="P257" s="70"/>
      <c r="Q257" s="71">
        <f t="shared" si="18"/>
        <v>0</v>
      </c>
      <c r="R257" s="71">
        <v>0</v>
      </c>
      <c r="S257" s="387">
        <f t="shared" si="19"/>
        <v>0</v>
      </c>
    </row>
    <row r="258" spans="1:19" ht="22.5" customHeight="1" x14ac:dyDescent="0.5">
      <c r="A258" s="61">
        <v>17</v>
      </c>
      <c r="B258" s="290" t="s">
        <v>423</v>
      </c>
      <c r="C258" s="63" t="s">
        <v>424</v>
      </c>
      <c r="D258" s="452"/>
      <c r="E258" s="443"/>
      <c r="F258" s="443"/>
      <c r="G258" s="66"/>
      <c r="H258" s="67">
        <v>0</v>
      </c>
      <c r="I258" s="67">
        <v>0</v>
      </c>
      <c r="J258" s="67">
        <v>0</v>
      </c>
      <c r="K258" s="449"/>
      <c r="L258" s="450"/>
      <c r="M258" s="451"/>
      <c r="N258" s="69"/>
      <c r="O258" s="69"/>
      <c r="P258" s="70"/>
      <c r="Q258" s="71">
        <f t="shared" si="18"/>
        <v>0</v>
      </c>
      <c r="R258" s="71">
        <v>0</v>
      </c>
      <c r="S258" s="387">
        <f t="shared" si="19"/>
        <v>0</v>
      </c>
    </row>
    <row r="259" spans="1:19" ht="22.5" customHeight="1" x14ac:dyDescent="0.5">
      <c r="A259" s="61">
        <v>18</v>
      </c>
      <c r="B259" s="290" t="s">
        <v>425</v>
      </c>
      <c r="C259" s="63" t="s">
        <v>426</v>
      </c>
      <c r="D259" s="452"/>
      <c r="E259" s="443"/>
      <c r="F259" s="443"/>
      <c r="G259" s="66"/>
      <c r="H259" s="67">
        <v>0</v>
      </c>
      <c r="I259" s="67">
        <v>0</v>
      </c>
      <c r="J259" s="67">
        <v>0</v>
      </c>
      <c r="K259" s="449"/>
      <c r="L259" s="450"/>
      <c r="M259" s="451"/>
      <c r="N259" s="69"/>
      <c r="O259" s="69"/>
      <c r="P259" s="70"/>
      <c r="Q259" s="71">
        <f t="shared" si="18"/>
        <v>0</v>
      </c>
      <c r="R259" s="71">
        <v>0</v>
      </c>
      <c r="S259" s="387">
        <f t="shared" si="19"/>
        <v>0</v>
      </c>
    </row>
    <row r="260" spans="1:19" ht="22.5" customHeight="1" x14ac:dyDescent="0.5">
      <c r="A260" s="61">
        <v>19</v>
      </c>
      <c r="B260" s="290" t="s">
        <v>428</v>
      </c>
      <c r="C260" s="63" t="s">
        <v>429</v>
      </c>
      <c r="D260" s="452"/>
      <c r="E260" s="443"/>
      <c r="F260" s="443"/>
      <c r="G260" s="66"/>
      <c r="H260" s="67">
        <v>0</v>
      </c>
      <c r="I260" s="67">
        <v>0</v>
      </c>
      <c r="J260" s="67">
        <v>0</v>
      </c>
      <c r="K260" s="449"/>
      <c r="L260" s="450"/>
      <c r="M260" s="451"/>
      <c r="N260" s="69"/>
      <c r="O260" s="69"/>
      <c r="P260" s="70"/>
      <c r="Q260" s="71">
        <f t="shared" si="18"/>
        <v>0</v>
      </c>
      <c r="R260" s="71">
        <v>0</v>
      </c>
      <c r="S260" s="387">
        <f t="shared" si="19"/>
        <v>0</v>
      </c>
    </row>
    <row r="261" spans="1:19" ht="22.5" customHeight="1" x14ac:dyDescent="0.5">
      <c r="A261" s="61">
        <v>20</v>
      </c>
      <c r="B261" s="290" t="s">
        <v>431</v>
      </c>
      <c r="C261" s="63" t="s">
        <v>432</v>
      </c>
      <c r="D261" s="452"/>
      <c r="E261" s="443"/>
      <c r="F261" s="443"/>
      <c r="G261" s="66"/>
      <c r="H261" s="67">
        <v>0</v>
      </c>
      <c r="I261" s="67">
        <v>0</v>
      </c>
      <c r="J261" s="67">
        <v>0</v>
      </c>
      <c r="K261" s="449"/>
      <c r="L261" s="450"/>
      <c r="M261" s="451"/>
      <c r="N261" s="69"/>
      <c r="O261" s="69"/>
      <c r="P261" s="70"/>
      <c r="Q261" s="71">
        <f t="shared" si="18"/>
        <v>0</v>
      </c>
      <c r="R261" s="71">
        <v>0</v>
      </c>
      <c r="S261" s="387">
        <f t="shared" si="19"/>
        <v>0</v>
      </c>
    </row>
    <row r="262" spans="1:19" ht="22.5" customHeight="1" x14ac:dyDescent="0.5">
      <c r="A262" s="61">
        <v>21</v>
      </c>
      <c r="B262" s="290" t="s">
        <v>433</v>
      </c>
      <c r="C262" s="63" t="s">
        <v>434</v>
      </c>
      <c r="D262" s="452"/>
      <c r="E262" s="443"/>
      <c r="F262" s="443"/>
      <c r="G262" s="66"/>
      <c r="H262" s="67">
        <v>0</v>
      </c>
      <c r="I262" s="67">
        <v>0</v>
      </c>
      <c r="J262" s="67">
        <v>0</v>
      </c>
      <c r="K262" s="449"/>
      <c r="L262" s="450"/>
      <c r="M262" s="451"/>
      <c r="N262" s="69"/>
      <c r="O262" s="69"/>
      <c r="P262" s="70"/>
      <c r="Q262" s="71">
        <f t="shared" si="18"/>
        <v>0</v>
      </c>
      <c r="R262" s="71">
        <v>0</v>
      </c>
      <c r="S262" s="387">
        <f t="shared" si="19"/>
        <v>0</v>
      </c>
    </row>
    <row r="263" spans="1:19" ht="22.5" customHeight="1" x14ac:dyDescent="0.5">
      <c r="A263" s="61">
        <v>22</v>
      </c>
      <c r="B263" s="290" t="s">
        <v>435</v>
      </c>
      <c r="C263" s="63" t="s">
        <v>436</v>
      </c>
      <c r="D263" s="452"/>
      <c r="E263" s="443"/>
      <c r="F263" s="443"/>
      <c r="G263" s="66"/>
      <c r="H263" s="67">
        <v>0</v>
      </c>
      <c r="I263" s="67">
        <v>0</v>
      </c>
      <c r="J263" s="67">
        <v>0</v>
      </c>
      <c r="K263" s="449"/>
      <c r="L263" s="450"/>
      <c r="M263" s="451"/>
      <c r="N263" s="69"/>
      <c r="O263" s="69"/>
      <c r="P263" s="70"/>
      <c r="Q263" s="71">
        <f t="shared" si="18"/>
        <v>0</v>
      </c>
      <c r="R263" s="71">
        <v>0</v>
      </c>
      <c r="S263" s="387">
        <f t="shared" si="19"/>
        <v>0</v>
      </c>
    </row>
    <row r="264" spans="1:19" ht="22.5" customHeight="1" x14ac:dyDescent="0.5">
      <c r="A264" s="61">
        <v>23</v>
      </c>
      <c r="B264" s="290" t="s">
        <v>437</v>
      </c>
      <c r="C264" s="63" t="s">
        <v>438</v>
      </c>
      <c r="D264" s="452"/>
      <c r="E264" s="443"/>
      <c r="F264" s="443"/>
      <c r="G264" s="66"/>
      <c r="H264" s="67">
        <v>0</v>
      </c>
      <c r="I264" s="67">
        <v>0</v>
      </c>
      <c r="J264" s="67">
        <v>0</v>
      </c>
      <c r="K264" s="449"/>
      <c r="L264" s="450"/>
      <c r="M264" s="451"/>
      <c r="N264" s="69"/>
      <c r="O264" s="69"/>
      <c r="P264" s="70"/>
      <c r="Q264" s="71">
        <f t="shared" si="18"/>
        <v>0</v>
      </c>
      <c r="R264" s="71">
        <v>0</v>
      </c>
      <c r="S264" s="387">
        <f t="shared" si="19"/>
        <v>0</v>
      </c>
    </row>
    <row r="265" spans="1:19" ht="22.5" customHeight="1" x14ac:dyDescent="0.5">
      <c r="A265" s="61">
        <v>24</v>
      </c>
      <c r="B265" s="290" t="s">
        <v>439</v>
      </c>
      <c r="C265" s="63" t="s">
        <v>440</v>
      </c>
      <c r="D265" s="452"/>
      <c r="E265" s="443"/>
      <c r="F265" s="443"/>
      <c r="G265" s="66"/>
      <c r="H265" s="67">
        <v>0</v>
      </c>
      <c r="I265" s="67">
        <v>0</v>
      </c>
      <c r="J265" s="67">
        <v>0</v>
      </c>
      <c r="K265" s="449"/>
      <c r="L265" s="450"/>
      <c r="M265" s="451"/>
      <c r="N265" s="69"/>
      <c r="O265" s="69"/>
      <c r="P265" s="70"/>
      <c r="Q265" s="71">
        <f t="shared" si="18"/>
        <v>0</v>
      </c>
      <c r="R265" s="71">
        <v>0</v>
      </c>
      <c r="S265" s="387">
        <f t="shared" si="19"/>
        <v>0</v>
      </c>
    </row>
    <row r="266" spans="1:19" ht="22.5" customHeight="1" x14ac:dyDescent="0.5">
      <c r="A266" s="61">
        <v>25</v>
      </c>
      <c r="B266" s="453" t="s">
        <v>441</v>
      </c>
      <c r="C266" s="63" t="s">
        <v>442</v>
      </c>
      <c r="D266" s="452"/>
      <c r="E266" s="443"/>
      <c r="F266" s="443"/>
      <c r="G266" s="66"/>
      <c r="H266" s="67">
        <v>0</v>
      </c>
      <c r="I266" s="67">
        <v>0</v>
      </c>
      <c r="J266" s="67">
        <v>0</v>
      </c>
      <c r="K266" s="449"/>
      <c r="L266" s="450"/>
      <c r="M266" s="451"/>
      <c r="N266" s="69"/>
      <c r="O266" s="69"/>
      <c r="P266" s="70"/>
      <c r="Q266" s="71">
        <f t="shared" si="18"/>
        <v>0</v>
      </c>
      <c r="R266" s="71">
        <v>0</v>
      </c>
      <c r="S266" s="387">
        <f t="shared" si="19"/>
        <v>0</v>
      </c>
    </row>
    <row r="267" spans="1:19" ht="22.5" customHeight="1" x14ac:dyDescent="0.5">
      <c r="A267" s="61">
        <v>26</v>
      </c>
      <c r="B267" s="290" t="s">
        <v>443</v>
      </c>
      <c r="C267" s="63" t="s">
        <v>444</v>
      </c>
      <c r="D267" s="452"/>
      <c r="E267" s="443"/>
      <c r="F267" s="443"/>
      <c r="G267" s="66"/>
      <c r="H267" s="67">
        <v>0</v>
      </c>
      <c r="I267" s="67">
        <v>0</v>
      </c>
      <c r="J267" s="67">
        <v>0</v>
      </c>
      <c r="K267" s="449"/>
      <c r="L267" s="450"/>
      <c r="M267" s="451"/>
      <c r="N267" s="69"/>
      <c r="O267" s="69"/>
      <c r="P267" s="70"/>
      <c r="Q267" s="71">
        <f t="shared" si="18"/>
        <v>0</v>
      </c>
      <c r="R267" s="71">
        <v>0</v>
      </c>
      <c r="S267" s="387">
        <f t="shared" si="19"/>
        <v>0</v>
      </c>
    </row>
    <row r="268" spans="1:19" ht="22.5" customHeight="1" x14ac:dyDescent="0.5">
      <c r="A268" s="61">
        <v>27</v>
      </c>
      <c r="B268" s="290" t="s">
        <v>445</v>
      </c>
      <c r="C268" s="63" t="s">
        <v>446</v>
      </c>
      <c r="D268" s="452"/>
      <c r="E268" s="443"/>
      <c r="F268" s="443"/>
      <c r="G268" s="66"/>
      <c r="H268" s="67">
        <v>0</v>
      </c>
      <c r="I268" s="67">
        <v>0</v>
      </c>
      <c r="J268" s="67">
        <v>0</v>
      </c>
      <c r="K268" s="449"/>
      <c r="L268" s="450"/>
      <c r="M268" s="451"/>
      <c r="N268" s="69"/>
      <c r="O268" s="69"/>
      <c r="P268" s="70"/>
      <c r="Q268" s="71">
        <f t="shared" si="18"/>
        <v>0</v>
      </c>
      <c r="R268" s="71">
        <v>0</v>
      </c>
      <c r="S268" s="387">
        <f t="shared" si="19"/>
        <v>0</v>
      </c>
    </row>
    <row r="269" spans="1:19" ht="22.5" customHeight="1" x14ac:dyDescent="0.5">
      <c r="A269" s="61">
        <v>28</v>
      </c>
      <c r="B269" s="290" t="s">
        <v>447</v>
      </c>
      <c r="C269" s="63" t="s">
        <v>448</v>
      </c>
      <c r="D269" s="452"/>
      <c r="E269" s="443"/>
      <c r="F269" s="443"/>
      <c r="G269" s="66"/>
      <c r="H269" s="67">
        <v>0</v>
      </c>
      <c r="I269" s="67">
        <v>0</v>
      </c>
      <c r="J269" s="67">
        <v>0</v>
      </c>
      <c r="K269" s="449"/>
      <c r="L269" s="450"/>
      <c r="M269" s="451"/>
      <c r="N269" s="69"/>
      <c r="O269" s="69"/>
      <c r="P269" s="70"/>
      <c r="Q269" s="71">
        <f t="shared" si="18"/>
        <v>0</v>
      </c>
      <c r="R269" s="71">
        <v>0</v>
      </c>
      <c r="S269" s="387">
        <f t="shared" si="19"/>
        <v>0</v>
      </c>
    </row>
    <row r="270" spans="1:19" ht="22.5" customHeight="1" x14ac:dyDescent="0.5">
      <c r="A270" s="61">
        <v>29</v>
      </c>
      <c r="B270" s="290" t="s">
        <v>449</v>
      </c>
      <c r="C270" s="63" t="s">
        <v>450</v>
      </c>
      <c r="D270" s="452"/>
      <c r="E270" s="443"/>
      <c r="F270" s="443"/>
      <c r="G270" s="66"/>
      <c r="H270" s="67">
        <v>0</v>
      </c>
      <c r="I270" s="67">
        <v>0</v>
      </c>
      <c r="J270" s="67">
        <v>0</v>
      </c>
      <c r="K270" s="449"/>
      <c r="L270" s="450"/>
      <c r="M270" s="451"/>
      <c r="N270" s="69"/>
      <c r="O270" s="69"/>
      <c r="P270" s="70"/>
      <c r="Q270" s="71">
        <f t="shared" si="18"/>
        <v>0</v>
      </c>
      <c r="R270" s="71">
        <v>0</v>
      </c>
      <c r="S270" s="387">
        <f t="shared" si="19"/>
        <v>0</v>
      </c>
    </row>
    <row r="271" spans="1:19" ht="22.5" customHeight="1" x14ac:dyDescent="0.5">
      <c r="A271" s="61">
        <v>30</v>
      </c>
      <c r="B271" s="290" t="s">
        <v>451</v>
      </c>
      <c r="C271" s="63" t="s">
        <v>452</v>
      </c>
      <c r="D271" s="452"/>
      <c r="E271" s="443"/>
      <c r="F271" s="443"/>
      <c r="G271" s="66"/>
      <c r="H271" s="67">
        <v>0</v>
      </c>
      <c r="I271" s="67">
        <v>0</v>
      </c>
      <c r="J271" s="67">
        <v>0</v>
      </c>
      <c r="K271" s="449"/>
      <c r="L271" s="450"/>
      <c r="M271" s="451"/>
      <c r="N271" s="69"/>
      <c r="O271" s="69"/>
      <c r="P271" s="70"/>
      <c r="Q271" s="71">
        <f t="shared" si="18"/>
        <v>0</v>
      </c>
      <c r="R271" s="71">
        <v>0</v>
      </c>
      <c r="S271" s="387">
        <f t="shared" si="19"/>
        <v>0</v>
      </c>
    </row>
    <row r="272" spans="1:19" ht="22.5" customHeight="1" x14ac:dyDescent="0.5">
      <c r="A272" s="61">
        <v>31</v>
      </c>
      <c r="B272" s="290" t="s">
        <v>454</v>
      </c>
      <c r="C272" s="63" t="s">
        <v>455</v>
      </c>
      <c r="D272" s="452"/>
      <c r="E272" s="443"/>
      <c r="F272" s="443"/>
      <c r="G272" s="66"/>
      <c r="H272" s="67">
        <v>0</v>
      </c>
      <c r="I272" s="67">
        <v>0</v>
      </c>
      <c r="J272" s="67">
        <v>0</v>
      </c>
      <c r="K272" s="449"/>
      <c r="L272" s="450"/>
      <c r="M272" s="451"/>
      <c r="N272" s="69"/>
      <c r="O272" s="69"/>
      <c r="P272" s="70"/>
      <c r="Q272" s="71">
        <f t="shared" si="18"/>
        <v>0</v>
      </c>
      <c r="R272" s="71">
        <v>0</v>
      </c>
      <c r="S272" s="387">
        <f t="shared" si="19"/>
        <v>0</v>
      </c>
    </row>
    <row r="273" spans="1:19" ht="22.5" customHeight="1" x14ac:dyDescent="0.5">
      <c r="A273" s="61">
        <v>32</v>
      </c>
      <c r="B273" s="290" t="s">
        <v>456</v>
      </c>
      <c r="C273" s="63" t="s">
        <v>457</v>
      </c>
      <c r="D273" s="452"/>
      <c r="E273" s="443"/>
      <c r="F273" s="443"/>
      <c r="G273" s="66"/>
      <c r="H273" s="67">
        <v>0</v>
      </c>
      <c r="I273" s="67">
        <v>0</v>
      </c>
      <c r="J273" s="67">
        <v>0</v>
      </c>
      <c r="K273" s="449"/>
      <c r="L273" s="450"/>
      <c r="M273" s="451"/>
      <c r="N273" s="69"/>
      <c r="O273" s="69"/>
      <c r="P273" s="70"/>
      <c r="Q273" s="71">
        <f t="shared" si="18"/>
        <v>0</v>
      </c>
      <c r="R273" s="71">
        <v>0</v>
      </c>
      <c r="S273" s="387">
        <f t="shared" si="19"/>
        <v>0</v>
      </c>
    </row>
    <row r="274" spans="1:19" ht="22.5" customHeight="1" x14ac:dyDescent="0.5">
      <c r="A274" s="61">
        <v>33</v>
      </c>
      <c r="B274" s="290" t="s">
        <v>458</v>
      </c>
      <c r="C274" s="63" t="s">
        <v>459</v>
      </c>
      <c r="D274" s="452"/>
      <c r="E274" s="443"/>
      <c r="F274" s="443"/>
      <c r="G274" s="66"/>
      <c r="H274" s="67">
        <v>0</v>
      </c>
      <c r="I274" s="67">
        <v>0</v>
      </c>
      <c r="J274" s="67">
        <v>0</v>
      </c>
      <c r="K274" s="449"/>
      <c r="L274" s="450"/>
      <c r="M274" s="451"/>
      <c r="N274" s="69"/>
      <c r="O274" s="69"/>
      <c r="P274" s="70"/>
      <c r="Q274" s="71">
        <f t="shared" si="18"/>
        <v>0</v>
      </c>
      <c r="R274" s="71">
        <v>0</v>
      </c>
      <c r="S274" s="387">
        <f t="shared" si="19"/>
        <v>0</v>
      </c>
    </row>
    <row r="275" spans="1:19" ht="22.5" customHeight="1" x14ac:dyDescent="0.5">
      <c r="A275" s="61">
        <v>34</v>
      </c>
      <c r="B275" s="290" t="s">
        <v>460</v>
      </c>
      <c r="C275" s="63" t="s">
        <v>461</v>
      </c>
      <c r="D275" s="452"/>
      <c r="E275" s="443"/>
      <c r="F275" s="443"/>
      <c r="G275" s="66"/>
      <c r="H275" s="67">
        <v>0</v>
      </c>
      <c r="I275" s="67">
        <v>0</v>
      </c>
      <c r="J275" s="67">
        <v>0</v>
      </c>
      <c r="K275" s="449"/>
      <c r="L275" s="450"/>
      <c r="M275" s="451"/>
      <c r="N275" s="69"/>
      <c r="O275" s="69"/>
      <c r="P275" s="70"/>
      <c r="Q275" s="71">
        <f t="shared" si="18"/>
        <v>0</v>
      </c>
      <c r="R275" s="71">
        <v>0</v>
      </c>
      <c r="S275" s="387">
        <f t="shared" si="19"/>
        <v>0</v>
      </c>
    </row>
    <row r="276" spans="1:19" ht="22.5" customHeight="1" x14ac:dyDescent="0.5">
      <c r="A276" s="61">
        <v>35</v>
      </c>
      <c r="B276" s="290" t="s">
        <v>463</v>
      </c>
      <c r="C276" s="63" t="s">
        <v>464</v>
      </c>
      <c r="D276" s="452"/>
      <c r="E276" s="443" t="s">
        <v>795</v>
      </c>
      <c r="F276" s="443"/>
      <c r="G276" s="66"/>
      <c r="H276" s="67">
        <v>1064.44</v>
      </c>
      <c r="I276" s="67">
        <v>0</v>
      </c>
      <c r="J276" s="67">
        <v>1064.44</v>
      </c>
      <c r="K276" s="449"/>
      <c r="L276" s="450"/>
      <c r="M276" s="451"/>
      <c r="N276" s="69" t="s">
        <v>795</v>
      </c>
      <c r="O276" s="69"/>
      <c r="P276" s="70"/>
      <c r="Q276" s="71">
        <f t="shared" si="18"/>
        <v>1064.44</v>
      </c>
      <c r="R276" s="71">
        <v>0</v>
      </c>
      <c r="S276" s="387">
        <f t="shared" si="19"/>
        <v>1064.44</v>
      </c>
    </row>
    <row r="277" spans="1:19" ht="22.5" customHeight="1" x14ac:dyDescent="0.5">
      <c r="A277" s="61">
        <v>36</v>
      </c>
      <c r="B277" s="290" t="s">
        <v>465</v>
      </c>
      <c r="C277" s="63" t="s">
        <v>466</v>
      </c>
      <c r="D277" s="452"/>
      <c r="E277" s="443"/>
      <c r="F277" s="443"/>
      <c r="G277" s="66"/>
      <c r="H277" s="67">
        <v>0</v>
      </c>
      <c r="I277" s="67">
        <v>0</v>
      </c>
      <c r="J277" s="67">
        <v>0</v>
      </c>
      <c r="K277" s="449"/>
      <c r="L277" s="450"/>
      <c r="M277" s="451"/>
      <c r="N277" s="69"/>
      <c r="O277" s="69"/>
      <c r="P277" s="70"/>
      <c r="Q277" s="71">
        <f t="shared" si="18"/>
        <v>0</v>
      </c>
      <c r="R277" s="71">
        <v>0</v>
      </c>
      <c r="S277" s="387">
        <f t="shared" si="19"/>
        <v>0</v>
      </c>
    </row>
    <row r="278" spans="1:19" ht="22.5" customHeight="1" x14ac:dyDescent="0.5">
      <c r="A278" s="61">
        <v>37</v>
      </c>
      <c r="B278" s="290" t="s">
        <v>467</v>
      </c>
      <c r="C278" s="63" t="s">
        <v>468</v>
      </c>
      <c r="D278" s="452"/>
      <c r="E278" s="443"/>
      <c r="F278" s="443"/>
      <c r="G278" s="66"/>
      <c r="H278" s="67">
        <v>0</v>
      </c>
      <c r="I278" s="67">
        <v>0</v>
      </c>
      <c r="J278" s="67">
        <v>0</v>
      </c>
      <c r="K278" s="449"/>
      <c r="L278" s="450"/>
      <c r="M278" s="451"/>
      <c r="N278" s="69"/>
      <c r="O278" s="69"/>
      <c r="P278" s="70"/>
      <c r="Q278" s="71">
        <f t="shared" si="18"/>
        <v>0</v>
      </c>
      <c r="R278" s="71">
        <v>0</v>
      </c>
      <c r="S278" s="387">
        <f t="shared" si="19"/>
        <v>0</v>
      </c>
    </row>
    <row r="279" spans="1:19" ht="22.5" customHeight="1" x14ac:dyDescent="0.5">
      <c r="A279" s="61">
        <v>38</v>
      </c>
      <c r="B279" s="290" t="s">
        <v>469</v>
      </c>
      <c r="C279" s="63" t="s">
        <v>470</v>
      </c>
      <c r="D279" s="452"/>
      <c r="E279" s="443"/>
      <c r="F279" s="443"/>
      <c r="G279" s="66"/>
      <c r="H279" s="67">
        <v>0</v>
      </c>
      <c r="I279" s="67">
        <v>0</v>
      </c>
      <c r="J279" s="67">
        <v>0</v>
      </c>
      <c r="K279" s="449"/>
      <c r="L279" s="450"/>
      <c r="M279" s="451"/>
      <c r="N279" s="69"/>
      <c r="O279" s="69"/>
      <c r="P279" s="70"/>
      <c r="Q279" s="71">
        <f t="shared" si="18"/>
        <v>0</v>
      </c>
      <c r="R279" s="71">
        <v>0</v>
      </c>
      <c r="S279" s="387">
        <f t="shared" si="19"/>
        <v>0</v>
      </c>
    </row>
    <row r="280" spans="1:19" ht="22.5" customHeight="1" x14ac:dyDescent="0.5">
      <c r="A280" s="61">
        <v>39</v>
      </c>
      <c r="B280" s="290" t="s">
        <v>471</v>
      </c>
      <c r="C280" s="63" t="s">
        <v>472</v>
      </c>
      <c r="D280" s="452"/>
      <c r="E280" s="443"/>
      <c r="F280" s="443"/>
      <c r="G280" s="66"/>
      <c r="H280" s="67">
        <v>0</v>
      </c>
      <c r="I280" s="67">
        <v>0</v>
      </c>
      <c r="J280" s="67">
        <v>0</v>
      </c>
      <c r="K280" s="449"/>
      <c r="L280" s="450"/>
      <c r="M280" s="451"/>
      <c r="N280" s="69"/>
      <c r="O280" s="69"/>
      <c r="P280" s="70"/>
      <c r="Q280" s="71">
        <f t="shared" si="18"/>
        <v>0</v>
      </c>
      <c r="R280" s="71">
        <v>0</v>
      </c>
      <c r="S280" s="387">
        <f t="shared" si="19"/>
        <v>0</v>
      </c>
    </row>
    <row r="281" spans="1:19" ht="22.5" customHeight="1" x14ac:dyDescent="0.5">
      <c r="A281" s="61">
        <v>40</v>
      </c>
      <c r="B281" s="290" t="s">
        <v>473</v>
      </c>
      <c r="C281" s="63" t="s">
        <v>474</v>
      </c>
      <c r="D281" s="452"/>
      <c r="E281" s="443"/>
      <c r="F281" s="443"/>
      <c r="G281" s="66"/>
      <c r="H281" s="67">
        <v>0</v>
      </c>
      <c r="I281" s="67">
        <v>0</v>
      </c>
      <c r="J281" s="67">
        <v>0</v>
      </c>
      <c r="K281" s="449"/>
      <c r="L281" s="450"/>
      <c r="M281" s="451"/>
      <c r="N281" s="69"/>
      <c r="O281" s="69"/>
      <c r="P281" s="70"/>
      <c r="Q281" s="71">
        <f t="shared" si="18"/>
        <v>0</v>
      </c>
      <c r="R281" s="71">
        <v>0</v>
      </c>
      <c r="S281" s="387">
        <f t="shared" si="19"/>
        <v>0</v>
      </c>
    </row>
    <row r="282" spans="1:19" ht="22.5" customHeight="1" x14ac:dyDescent="0.5">
      <c r="A282" s="61">
        <v>41</v>
      </c>
      <c r="B282" s="290" t="s">
        <v>475</v>
      </c>
      <c r="C282" s="63" t="s">
        <v>476</v>
      </c>
      <c r="D282" s="452"/>
      <c r="E282" s="443"/>
      <c r="F282" s="443"/>
      <c r="G282" s="66"/>
      <c r="H282" s="67">
        <v>0</v>
      </c>
      <c r="I282" s="67">
        <v>0</v>
      </c>
      <c r="J282" s="67">
        <v>0</v>
      </c>
      <c r="K282" s="449"/>
      <c r="L282" s="450"/>
      <c r="M282" s="451"/>
      <c r="N282" s="69"/>
      <c r="O282" s="69"/>
      <c r="P282" s="70"/>
      <c r="Q282" s="71">
        <f t="shared" si="18"/>
        <v>0</v>
      </c>
      <c r="R282" s="71">
        <v>0</v>
      </c>
      <c r="S282" s="387">
        <f t="shared" si="19"/>
        <v>0</v>
      </c>
    </row>
    <row r="283" spans="1:19" ht="22.5" customHeight="1" x14ac:dyDescent="0.5">
      <c r="A283" s="61">
        <v>42</v>
      </c>
      <c r="B283" s="290" t="s">
        <v>477</v>
      </c>
      <c r="C283" s="63" t="s">
        <v>478</v>
      </c>
      <c r="D283" s="452"/>
      <c r="E283" s="443"/>
      <c r="F283" s="443"/>
      <c r="G283" s="66"/>
      <c r="H283" s="67">
        <v>0</v>
      </c>
      <c r="I283" s="67">
        <v>0</v>
      </c>
      <c r="J283" s="67">
        <v>0</v>
      </c>
      <c r="K283" s="449"/>
      <c r="L283" s="450"/>
      <c r="M283" s="451"/>
      <c r="N283" s="69"/>
      <c r="O283" s="69"/>
      <c r="P283" s="70"/>
      <c r="Q283" s="71">
        <f t="shared" si="18"/>
        <v>0</v>
      </c>
      <c r="R283" s="71">
        <v>0</v>
      </c>
      <c r="S283" s="387">
        <f t="shared" si="19"/>
        <v>0</v>
      </c>
    </row>
    <row r="284" spans="1:19" ht="22.5" customHeight="1" x14ac:dyDescent="0.5">
      <c r="A284" s="61">
        <v>43</v>
      </c>
      <c r="B284" s="290" t="s">
        <v>479</v>
      </c>
      <c r="C284" s="63" t="s">
        <v>480</v>
      </c>
      <c r="D284" s="452"/>
      <c r="E284" s="443"/>
      <c r="F284" s="443"/>
      <c r="G284" s="66"/>
      <c r="H284" s="67">
        <v>0</v>
      </c>
      <c r="I284" s="67">
        <v>0</v>
      </c>
      <c r="J284" s="67">
        <v>0</v>
      </c>
      <c r="K284" s="449"/>
      <c r="L284" s="450"/>
      <c r="M284" s="451"/>
      <c r="N284" s="69"/>
      <c r="O284" s="69"/>
      <c r="P284" s="70"/>
      <c r="Q284" s="71">
        <f t="shared" si="18"/>
        <v>0</v>
      </c>
      <c r="R284" s="71">
        <v>0</v>
      </c>
      <c r="S284" s="387">
        <f t="shared" si="19"/>
        <v>0</v>
      </c>
    </row>
    <row r="285" spans="1:19" ht="22.5" customHeight="1" x14ac:dyDescent="0.5">
      <c r="A285" s="61">
        <v>44</v>
      </c>
      <c r="B285" s="290" t="s">
        <v>482</v>
      </c>
      <c r="C285" s="63" t="s">
        <v>483</v>
      </c>
      <c r="D285" s="452"/>
      <c r="E285" s="443"/>
      <c r="F285" s="443"/>
      <c r="G285" s="66"/>
      <c r="H285" s="67">
        <v>0</v>
      </c>
      <c r="I285" s="67">
        <v>0</v>
      </c>
      <c r="J285" s="67">
        <v>0</v>
      </c>
      <c r="K285" s="449"/>
      <c r="L285" s="450"/>
      <c r="M285" s="451"/>
      <c r="N285" s="69"/>
      <c r="O285" s="69"/>
      <c r="P285" s="70"/>
      <c r="Q285" s="71">
        <f t="shared" si="18"/>
        <v>0</v>
      </c>
      <c r="R285" s="71">
        <v>0</v>
      </c>
      <c r="S285" s="387">
        <f t="shared" si="19"/>
        <v>0</v>
      </c>
    </row>
    <row r="286" spans="1:19" ht="22.5" customHeight="1" x14ac:dyDescent="0.5">
      <c r="A286" s="61">
        <v>45</v>
      </c>
      <c r="B286" s="290" t="s">
        <v>484</v>
      </c>
      <c r="C286" s="63" t="s">
        <v>485</v>
      </c>
      <c r="D286" s="452"/>
      <c r="E286" s="443"/>
      <c r="F286" s="443"/>
      <c r="G286" s="66"/>
      <c r="H286" s="67">
        <v>0</v>
      </c>
      <c r="I286" s="67">
        <v>0</v>
      </c>
      <c r="J286" s="67">
        <v>0</v>
      </c>
      <c r="K286" s="449"/>
      <c r="L286" s="450"/>
      <c r="M286" s="451"/>
      <c r="N286" s="69"/>
      <c r="O286" s="69"/>
      <c r="P286" s="70"/>
      <c r="Q286" s="71">
        <f t="shared" si="18"/>
        <v>0</v>
      </c>
      <c r="R286" s="71">
        <v>0</v>
      </c>
      <c r="S286" s="387">
        <f t="shared" si="19"/>
        <v>0</v>
      </c>
    </row>
    <row r="287" spans="1:19" ht="22.5" customHeight="1" x14ac:dyDescent="0.5">
      <c r="A287" s="23">
        <v>46</v>
      </c>
      <c r="B287" s="290" t="s">
        <v>486</v>
      </c>
      <c r="C287" s="25" t="s">
        <v>487</v>
      </c>
      <c r="D287" s="452"/>
      <c r="E287" s="454"/>
      <c r="F287" s="454"/>
      <c r="G287" s="213"/>
      <c r="H287" s="219">
        <v>0</v>
      </c>
      <c r="I287" s="219">
        <v>0</v>
      </c>
      <c r="J287" s="219">
        <v>0</v>
      </c>
      <c r="K287" s="449"/>
      <c r="L287" s="450"/>
      <c r="M287" s="451"/>
      <c r="N287" s="41"/>
      <c r="O287" s="41"/>
      <c r="P287" s="34"/>
      <c r="Q287" s="71">
        <f t="shared" si="18"/>
        <v>0</v>
      </c>
      <c r="R287" s="71">
        <v>0</v>
      </c>
      <c r="S287" s="387">
        <f t="shared" si="19"/>
        <v>0</v>
      </c>
    </row>
    <row r="288" spans="1:19" ht="22.5" customHeight="1" x14ac:dyDescent="0.5">
      <c r="A288" s="61">
        <v>47</v>
      </c>
      <c r="B288" s="392" t="s">
        <v>489</v>
      </c>
      <c r="C288" s="63" t="s">
        <v>490</v>
      </c>
      <c r="D288" s="452"/>
      <c r="E288" s="443"/>
      <c r="F288" s="443"/>
      <c r="G288" s="66"/>
      <c r="H288" s="67">
        <v>0</v>
      </c>
      <c r="I288" s="67">
        <v>0</v>
      </c>
      <c r="J288" s="67">
        <v>0</v>
      </c>
      <c r="K288" s="449"/>
      <c r="L288" s="450"/>
      <c r="M288" s="451"/>
      <c r="N288" s="69"/>
      <c r="O288" s="69"/>
      <c r="P288" s="70"/>
      <c r="Q288" s="71">
        <f t="shared" si="18"/>
        <v>0</v>
      </c>
      <c r="R288" s="71">
        <v>0</v>
      </c>
      <c r="S288" s="387">
        <f t="shared" si="19"/>
        <v>0</v>
      </c>
    </row>
    <row r="289" spans="1:20" ht="22.5" customHeight="1" x14ac:dyDescent="0.5">
      <c r="A289" s="23">
        <v>48</v>
      </c>
      <c r="B289" s="290" t="s">
        <v>491</v>
      </c>
      <c r="C289" s="25" t="s">
        <v>492</v>
      </c>
      <c r="D289" s="452"/>
      <c r="E289" s="454"/>
      <c r="F289" s="454"/>
      <c r="G289" s="213"/>
      <c r="H289" s="219">
        <v>0</v>
      </c>
      <c r="I289" s="219">
        <v>0</v>
      </c>
      <c r="J289" s="219">
        <v>0</v>
      </c>
      <c r="K289" s="449"/>
      <c r="L289" s="450"/>
      <c r="M289" s="451"/>
      <c r="N289" s="41"/>
      <c r="O289" s="41"/>
      <c r="P289" s="34"/>
      <c r="Q289" s="71">
        <f t="shared" si="18"/>
        <v>0</v>
      </c>
      <c r="R289" s="71">
        <v>0</v>
      </c>
      <c r="S289" s="387">
        <f t="shared" si="19"/>
        <v>0</v>
      </c>
    </row>
    <row r="290" spans="1:20" ht="22.5" customHeight="1" x14ac:dyDescent="0.5">
      <c r="A290" s="23">
        <v>49</v>
      </c>
      <c r="B290" s="290" t="s">
        <v>493</v>
      </c>
      <c r="C290" s="25" t="s">
        <v>494</v>
      </c>
      <c r="D290" s="452"/>
      <c r="E290" s="454"/>
      <c r="F290" s="454"/>
      <c r="G290" s="213"/>
      <c r="H290" s="219">
        <v>0</v>
      </c>
      <c r="I290" s="219">
        <v>0</v>
      </c>
      <c r="J290" s="219">
        <v>0</v>
      </c>
      <c r="K290" s="449"/>
      <c r="L290" s="450"/>
      <c r="M290" s="451"/>
      <c r="N290" s="41"/>
      <c r="O290" s="41"/>
      <c r="P290" s="34"/>
      <c r="Q290" s="71">
        <f t="shared" si="18"/>
        <v>0</v>
      </c>
      <c r="R290" s="71">
        <v>0</v>
      </c>
      <c r="S290" s="387">
        <f t="shared" si="19"/>
        <v>0</v>
      </c>
    </row>
    <row r="291" spans="1:20" ht="22.5" customHeight="1" x14ac:dyDescent="0.5">
      <c r="A291" s="23">
        <v>50</v>
      </c>
      <c r="B291" s="290" t="s">
        <v>495</v>
      </c>
      <c r="C291" s="25" t="s">
        <v>496</v>
      </c>
      <c r="D291" s="452"/>
      <c r="E291" s="454" t="s">
        <v>795</v>
      </c>
      <c r="F291" s="454"/>
      <c r="G291" s="213"/>
      <c r="H291" s="219">
        <v>20595.900000000001</v>
      </c>
      <c r="I291" s="219">
        <v>0</v>
      </c>
      <c r="J291" s="219">
        <v>20595.900000000001</v>
      </c>
      <c r="K291" s="449"/>
      <c r="L291" s="450"/>
      <c r="M291" s="451"/>
      <c r="N291" s="41" t="s">
        <v>795</v>
      </c>
      <c r="O291" s="41"/>
      <c r="P291" s="34"/>
      <c r="Q291" s="71">
        <f t="shared" si="18"/>
        <v>20595.900000000001</v>
      </c>
      <c r="R291" s="71">
        <v>0</v>
      </c>
      <c r="S291" s="387">
        <f t="shared" si="19"/>
        <v>20595.900000000001</v>
      </c>
    </row>
    <row r="292" spans="1:20" s="60" customFormat="1" ht="22.5" customHeight="1" thickBot="1" x14ac:dyDescent="0.35">
      <c r="A292" s="362"/>
      <c r="B292" s="362" t="s">
        <v>15</v>
      </c>
      <c r="C292" s="455"/>
      <c r="D292" s="456">
        <v>0</v>
      </c>
      <c r="E292" s="362"/>
      <c r="F292" s="362"/>
      <c r="G292" s="363"/>
      <c r="H292" s="456">
        <f>SUM(H240:H291)</f>
        <v>21660.34</v>
      </c>
      <c r="I292" s="456">
        <f>SUM(I240:I291)</f>
        <v>0</v>
      </c>
      <c r="J292" s="456">
        <f>SUM(J240:J291)</f>
        <v>21660.34</v>
      </c>
      <c r="K292" s="457"/>
      <c r="L292" s="458"/>
      <c r="M292" s="458">
        <f>SUM(M240:M291)</f>
        <v>0</v>
      </c>
      <c r="N292" s="362"/>
      <c r="O292" s="362"/>
      <c r="P292" s="363"/>
      <c r="Q292" s="364">
        <f>SUM(Q240:Q291)</f>
        <v>21660.34</v>
      </c>
      <c r="R292" s="364">
        <f>SUM(R240:R291)</f>
        <v>0</v>
      </c>
      <c r="S292" s="364">
        <f>SUM(S240:S291)</f>
        <v>21660.34</v>
      </c>
    </row>
    <row r="293" spans="1:20" s="60" customFormat="1" ht="22.5" customHeight="1" thickTop="1" thickBot="1" x14ac:dyDescent="0.35">
      <c r="A293" s="459"/>
      <c r="B293" s="460" t="s">
        <v>497</v>
      </c>
      <c r="C293" s="461"/>
      <c r="D293" s="462">
        <f>SUM(D12+D27+D31+D35+D38+D42+D112+D156+D166+D174+D183+D187+D233+D237+D292)</f>
        <v>1120366.5200000003</v>
      </c>
      <c r="E293" s="462">
        <f>SUM(E12+E27+E31+E35+E38+E42+E112+E156+E166+E174+E183+E187+E233+E237+E292)</f>
        <v>0</v>
      </c>
      <c r="F293" s="462"/>
      <c r="G293" s="462">
        <f t="shared" ref="G293:N293" si="20">SUM(G12+G27+G31+G35+G38+G42+G112+G156+G166+G174+G183+G187+G233+G237+G292)</f>
        <v>0</v>
      </c>
      <c r="H293" s="462">
        <f t="shared" si="20"/>
        <v>306225.33775700937</v>
      </c>
      <c r="I293" s="462">
        <f t="shared" si="20"/>
        <v>13542.849842990652</v>
      </c>
      <c r="J293" s="462">
        <f t="shared" si="20"/>
        <v>319753.1876</v>
      </c>
      <c r="K293" s="462">
        <f t="shared" si="20"/>
        <v>0</v>
      </c>
      <c r="L293" s="462">
        <f t="shared" si="20"/>
        <v>0</v>
      </c>
      <c r="M293" s="462">
        <f t="shared" si="20"/>
        <v>1263556.7699999998</v>
      </c>
      <c r="N293" s="462">
        <f t="shared" si="20"/>
        <v>0</v>
      </c>
      <c r="O293" s="462"/>
      <c r="P293" s="462">
        <f>SUM(P12+P27+P31+P35+P38+P42+P112+P156+P166+P174+P183+P187+P233+P237+P292)</f>
        <v>0</v>
      </c>
      <c r="Q293" s="462">
        <f>SUM(Q12+Q27+Q31+Q35+Q38+Q42+Q112+Q156+Q166+Q174+Q183+Q187+Q233+Q237+Q292)</f>
        <v>166714.73775700934</v>
      </c>
      <c r="R293" s="462">
        <f>SUM(R12+R27+R31+R35+R38+R42+R112+R156+R166+R174+R183+R187+R233+R237+R292)</f>
        <v>5548.1998429906535</v>
      </c>
      <c r="S293" s="462">
        <f>SUM(S12+S27+S31+S35+S38+S42+S112+S156+S166+S174+S183+S187+S233+S237+S292)</f>
        <v>172262.9376</v>
      </c>
    </row>
    <row r="294" spans="1:20" ht="22.5" customHeight="1" thickTop="1" x14ac:dyDescent="0.3">
      <c r="E294" s="469"/>
      <c r="F294" s="469"/>
      <c r="G294" s="470"/>
      <c r="H294" s="3"/>
      <c r="I294" s="3"/>
      <c r="J294" s="3"/>
      <c r="N294" s="3"/>
      <c r="O294" s="3"/>
      <c r="P294" s="470"/>
      <c r="Q294" s="471"/>
      <c r="R294" s="471"/>
      <c r="S294" s="472"/>
    </row>
    <row r="295" spans="1:20" ht="22.5" customHeight="1" x14ac:dyDescent="0.3">
      <c r="A295" s="1123" t="s">
        <v>671</v>
      </c>
      <c r="B295" s="1124"/>
      <c r="C295" s="1124"/>
      <c r="D295" s="1124"/>
      <c r="E295" s="1124"/>
      <c r="F295" s="1124"/>
      <c r="G295" s="1124"/>
      <c r="H295" s="1124"/>
      <c r="I295" s="1124"/>
      <c r="J295" s="1124"/>
      <c r="K295" s="1124"/>
      <c r="L295" s="1124"/>
      <c r="M295" s="1124"/>
      <c r="N295" s="1124"/>
      <c r="O295" s="1124"/>
      <c r="P295" s="1124"/>
      <c r="Q295" s="1124"/>
      <c r="R295" s="1124"/>
      <c r="S295" s="1125"/>
      <c r="T295" s="2"/>
    </row>
    <row r="296" spans="1:20" ht="22.5" customHeight="1" x14ac:dyDescent="0.3">
      <c r="A296" s="115"/>
      <c r="B296" s="164" t="s">
        <v>499</v>
      </c>
      <c r="C296" s="165"/>
      <c r="D296" s="86"/>
      <c r="E296" s="167"/>
      <c r="F296" s="167"/>
      <c r="G296" s="168"/>
      <c r="H296" s="473"/>
      <c r="I296" s="473"/>
      <c r="J296" s="473"/>
      <c r="K296" s="170"/>
      <c r="L296" s="171"/>
      <c r="M296" s="86"/>
      <c r="N296" s="117"/>
      <c r="O296" s="117"/>
      <c r="P296" s="118"/>
      <c r="Q296" s="474"/>
      <c r="R296" s="474"/>
      <c r="S296" s="370"/>
      <c r="T296" s="2"/>
    </row>
    <row r="297" spans="1:20" ht="22.5" customHeight="1" x14ac:dyDescent="0.3">
      <c r="A297" s="475">
        <v>1</v>
      </c>
      <c r="B297" s="489" t="s">
        <v>1397</v>
      </c>
      <c r="C297" s="498"/>
      <c r="D297" s="499">
        <v>0</v>
      </c>
      <c r="E297" s="500"/>
      <c r="F297" s="889"/>
      <c r="G297" s="501"/>
      <c r="H297" s="481">
        <v>325409.68</v>
      </c>
      <c r="I297" s="482">
        <v>0</v>
      </c>
      <c r="J297" s="481">
        <v>325409.68</v>
      </c>
      <c r="K297" s="492"/>
      <c r="L297" s="492"/>
      <c r="M297" s="493"/>
      <c r="N297" s="484"/>
      <c r="O297" s="892"/>
      <c r="P297" s="494"/>
      <c r="Q297" s="495">
        <v>325409.68</v>
      </c>
      <c r="R297" s="496">
        <v>0</v>
      </c>
      <c r="S297" s="497">
        <v>325409.68</v>
      </c>
      <c r="T297" s="2" t="s">
        <v>1398</v>
      </c>
    </row>
    <row r="298" spans="1:20" ht="22.5" customHeight="1" x14ac:dyDescent="0.3">
      <c r="A298" s="502"/>
      <c r="B298" s="503" t="s">
        <v>1399</v>
      </c>
      <c r="C298" s="504"/>
      <c r="D298" s="505"/>
      <c r="E298" s="506"/>
      <c r="F298" s="890"/>
      <c r="G298" s="507"/>
      <c r="H298" s="508"/>
      <c r="I298" s="508"/>
      <c r="J298" s="508"/>
      <c r="K298" s="492"/>
      <c r="L298" s="492"/>
      <c r="M298" s="298"/>
      <c r="N298" s="509"/>
      <c r="O298" s="893"/>
      <c r="P298" s="510"/>
      <c r="Q298" s="511"/>
      <c r="R298" s="512"/>
      <c r="S298" s="513"/>
      <c r="T298" s="2"/>
    </row>
    <row r="299" spans="1:20" ht="22.5" customHeight="1" x14ac:dyDescent="0.3">
      <c r="A299" s="488"/>
      <c r="B299" s="489" t="s">
        <v>1400</v>
      </c>
      <c r="C299" s="514"/>
      <c r="D299" s="515"/>
      <c r="E299" s="516">
        <v>436596</v>
      </c>
      <c r="F299" s="516"/>
      <c r="G299" s="517"/>
      <c r="H299" s="518"/>
      <c r="I299" s="519"/>
      <c r="J299" s="518"/>
      <c r="K299" s="492"/>
      <c r="L299" s="492"/>
      <c r="M299" s="493"/>
      <c r="N299" s="520"/>
      <c r="O299" s="520"/>
      <c r="P299" s="521"/>
      <c r="Q299" s="522"/>
      <c r="R299" s="523"/>
      <c r="S299" s="524"/>
    </row>
    <row r="300" spans="1:20" ht="22.5" customHeight="1" x14ac:dyDescent="0.3">
      <c r="A300" s="488">
        <v>2</v>
      </c>
      <c r="B300" s="525" t="s">
        <v>1401</v>
      </c>
      <c r="C300" s="526"/>
      <c r="D300" s="515">
        <v>0</v>
      </c>
      <c r="E300" s="527"/>
      <c r="F300" s="527"/>
      <c r="G300" s="517"/>
      <c r="H300" s="528">
        <v>108369.18</v>
      </c>
      <c r="I300" s="519">
        <v>0</v>
      </c>
      <c r="J300" s="528">
        <v>108369.18</v>
      </c>
      <c r="K300" s="515"/>
      <c r="L300" s="492"/>
      <c r="M300" s="493"/>
      <c r="N300" s="521"/>
      <c r="O300" s="529"/>
      <c r="P300" s="529"/>
      <c r="Q300" s="530">
        <v>108369.18</v>
      </c>
      <c r="R300" s="531">
        <v>0</v>
      </c>
      <c r="S300" s="532">
        <v>108369.18</v>
      </c>
      <c r="T300" s="3" t="s">
        <v>1398</v>
      </c>
    </row>
    <row r="301" spans="1:20" ht="22.5" customHeight="1" x14ac:dyDescent="0.3">
      <c r="A301" s="488"/>
      <c r="B301" s="525" t="s">
        <v>1402</v>
      </c>
      <c r="C301" s="526"/>
      <c r="D301" s="515"/>
      <c r="E301" s="527"/>
      <c r="F301" s="527"/>
      <c r="G301" s="517"/>
      <c r="H301" s="528"/>
      <c r="I301" s="519"/>
      <c r="J301" s="528"/>
      <c r="K301" s="515"/>
      <c r="L301" s="492"/>
      <c r="M301" s="493"/>
      <c r="N301" s="521"/>
      <c r="O301" s="529"/>
      <c r="P301" s="529"/>
      <c r="Q301" s="530"/>
      <c r="R301" s="531"/>
      <c r="S301" s="532"/>
    </row>
    <row r="302" spans="1:20" ht="22.5" customHeight="1" x14ac:dyDescent="0.3">
      <c r="A302" s="737"/>
      <c r="B302" s="525" t="s">
        <v>1403</v>
      </c>
      <c r="C302" s="526"/>
      <c r="D302" s="927"/>
      <c r="E302" s="517"/>
      <c r="F302" s="517"/>
      <c r="G302" s="517"/>
      <c r="H302" s="928"/>
      <c r="I302" s="929"/>
      <c r="J302" s="928"/>
      <c r="K302" s="927"/>
      <c r="L302" s="930"/>
      <c r="M302" s="931"/>
      <c r="N302" s="521"/>
      <c r="O302" s="521"/>
      <c r="P302" s="521"/>
      <c r="Q302" s="531"/>
      <c r="R302" s="531"/>
      <c r="S302" s="932"/>
    </row>
    <row r="303" spans="1:20" ht="22.5" customHeight="1" x14ac:dyDescent="0.3">
      <c r="A303" s="737">
        <v>3</v>
      </c>
      <c r="B303" s="525" t="s">
        <v>1404</v>
      </c>
      <c r="C303" s="526"/>
      <c r="D303" s="927">
        <v>0</v>
      </c>
      <c r="E303" s="517"/>
      <c r="F303" s="517"/>
      <c r="G303" s="517"/>
      <c r="H303" s="928">
        <v>39949.17</v>
      </c>
      <c r="I303" s="929">
        <v>0</v>
      </c>
      <c r="J303" s="928">
        <v>39949.17</v>
      </c>
      <c r="K303" s="927"/>
      <c r="L303" s="930"/>
      <c r="M303" s="931"/>
      <c r="N303" s="521"/>
      <c r="O303" s="521"/>
      <c r="P303" s="521"/>
      <c r="Q303" s="531">
        <v>39949.17</v>
      </c>
      <c r="R303" s="531">
        <v>0</v>
      </c>
      <c r="S303" s="932">
        <v>39949.17</v>
      </c>
      <c r="T303" s="3" t="s">
        <v>1398</v>
      </c>
    </row>
    <row r="304" spans="1:20" ht="22.5" customHeight="1" x14ac:dyDescent="0.3">
      <c r="A304" s="737"/>
      <c r="B304" s="525" t="s">
        <v>1405</v>
      </c>
      <c r="C304" s="526"/>
      <c r="D304" s="927"/>
      <c r="E304" s="517"/>
      <c r="F304" s="517"/>
      <c r="G304" s="517"/>
      <c r="H304" s="928"/>
      <c r="I304" s="929"/>
      <c r="J304" s="928"/>
      <c r="K304" s="927"/>
      <c r="L304" s="930"/>
      <c r="M304" s="931"/>
      <c r="N304" s="521"/>
      <c r="O304" s="521"/>
      <c r="P304" s="521"/>
      <c r="Q304" s="531"/>
      <c r="R304" s="531"/>
      <c r="S304" s="932"/>
    </row>
    <row r="305" spans="1:22" ht="22.5" customHeight="1" x14ac:dyDescent="0.3">
      <c r="A305" s="737"/>
      <c r="B305" s="525" t="s">
        <v>1406</v>
      </c>
      <c r="C305" s="526"/>
      <c r="D305" s="927"/>
      <c r="E305" s="517"/>
      <c r="F305" s="517"/>
      <c r="G305" s="517"/>
      <c r="H305" s="928"/>
      <c r="I305" s="929"/>
      <c r="J305" s="928"/>
      <c r="K305" s="927"/>
      <c r="L305" s="930"/>
      <c r="M305" s="931"/>
      <c r="N305" s="521"/>
      <c r="O305" s="521"/>
      <c r="P305" s="521"/>
      <c r="Q305" s="531"/>
      <c r="R305" s="531"/>
      <c r="S305" s="932"/>
    </row>
    <row r="306" spans="1:22" ht="22.5" customHeight="1" x14ac:dyDescent="0.3">
      <c r="A306" s="737">
        <v>4</v>
      </c>
      <c r="B306" s="525" t="s">
        <v>1407</v>
      </c>
      <c r="C306" s="526"/>
      <c r="D306" s="927">
        <v>0</v>
      </c>
      <c r="E306" s="517"/>
      <c r="F306" s="517"/>
      <c r="G306" s="517"/>
      <c r="H306" s="928">
        <v>796450.34</v>
      </c>
      <c r="I306" s="929">
        <v>0</v>
      </c>
      <c r="J306" s="928">
        <v>796450.34</v>
      </c>
      <c r="K306" s="927"/>
      <c r="L306" s="930"/>
      <c r="M306" s="931"/>
      <c r="N306" s="521"/>
      <c r="O306" s="521"/>
      <c r="P306" s="521"/>
      <c r="Q306" s="531">
        <v>796450.34</v>
      </c>
      <c r="R306" s="531">
        <v>0</v>
      </c>
      <c r="S306" s="932">
        <v>796450.34</v>
      </c>
    </row>
    <row r="307" spans="1:22" ht="22.5" customHeight="1" x14ac:dyDescent="0.3">
      <c r="A307" s="737"/>
      <c r="B307" s="525" t="s">
        <v>1408</v>
      </c>
      <c r="C307" s="526"/>
      <c r="D307" s="927"/>
      <c r="E307" s="517"/>
      <c r="F307" s="517"/>
      <c r="G307" s="517"/>
      <c r="H307" s="928"/>
      <c r="I307" s="929"/>
      <c r="J307" s="928"/>
      <c r="K307" s="927"/>
      <c r="L307" s="930"/>
      <c r="M307" s="931"/>
      <c r="N307" s="521"/>
      <c r="O307" s="521"/>
      <c r="P307" s="521"/>
      <c r="Q307" s="531"/>
      <c r="R307" s="531"/>
      <c r="S307" s="932"/>
    </row>
    <row r="308" spans="1:22" ht="22.5" customHeight="1" x14ac:dyDescent="0.3">
      <c r="A308" s="737"/>
      <c r="B308" s="525" t="s">
        <v>1409</v>
      </c>
      <c r="C308" s="526"/>
      <c r="D308" s="927">
        <v>0</v>
      </c>
      <c r="E308" s="517"/>
      <c r="F308" s="517"/>
      <c r="G308" s="517"/>
      <c r="H308" s="928">
        <v>93330</v>
      </c>
      <c r="I308" s="929">
        <v>0</v>
      </c>
      <c r="J308" s="928">
        <v>93330</v>
      </c>
      <c r="K308" s="927"/>
      <c r="L308" s="930"/>
      <c r="M308" s="931"/>
      <c r="N308" s="521"/>
      <c r="O308" s="521"/>
      <c r="P308" s="521"/>
      <c r="Q308" s="531">
        <v>93330</v>
      </c>
      <c r="R308" s="531">
        <v>0</v>
      </c>
      <c r="S308" s="932">
        <v>93330</v>
      </c>
    </row>
    <row r="309" spans="1:22" s="60" customFormat="1" ht="22.5" customHeight="1" thickBot="1" x14ac:dyDescent="0.35">
      <c r="A309" s="921"/>
      <c r="B309" s="921" t="s">
        <v>15</v>
      </c>
      <c r="C309" s="922"/>
      <c r="D309" s="923">
        <v>0</v>
      </c>
      <c r="E309" s="924"/>
      <c r="F309" s="924"/>
      <c r="G309" s="925"/>
      <c r="H309" s="926">
        <f t="shared" ref="H309:S309" si="21">SUM(H297:H308)</f>
        <v>1363508.3699999999</v>
      </c>
      <c r="I309" s="926">
        <f t="shared" si="21"/>
        <v>0</v>
      </c>
      <c r="J309" s="926">
        <f t="shared" si="21"/>
        <v>1363508.3699999999</v>
      </c>
      <c r="K309" s="926">
        <f t="shared" si="21"/>
        <v>0</v>
      </c>
      <c r="L309" s="926">
        <f t="shared" si="21"/>
        <v>0</v>
      </c>
      <c r="M309" s="926">
        <f t="shared" si="21"/>
        <v>0</v>
      </c>
      <c r="N309" s="926">
        <f t="shared" si="21"/>
        <v>0</v>
      </c>
      <c r="O309" s="926">
        <f t="shared" si="21"/>
        <v>0</v>
      </c>
      <c r="P309" s="926">
        <f t="shared" si="21"/>
        <v>0</v>
      </c>
      <c r="Q309" s="926">
        <f t="shared" si="21"/>
        <v>1363508.3699999999</v>
      </c>
      <c r="R309" s="926">
        <f t="shared" si="21"/>
        <v>0</v>
      </c>
      <c r="S309" s="926">
        <f t="shared" si="21"/>
        <v>1363508.3699999999</v>
      </c>
      <c r="T309" s="59"/>
    </row>
    <row r="310" spans="1:22" ht="22.5" customHeight="1" thickTop="1" x14ac:dyDescent="0.3">
      <c r="A310" s="559"/>
      <c r="B310" s="560" t="s">
        <v>92</v>
      </c>
      <c r="C310" s="561"/>
      <c r="D310" s="562"/>
      <c r="E310" s="563"/>
      <c r="F310" s="563"/>
      <c r="G310" s="564"/>
      <c r="H310" s="565"/>
      <c r="I310" s="565"/>
      <c r="J310" s="565"/>
      <c r="K310" s="566"/>
      <c r="L310" s="566"/>
      <c r="M310" s="562"/>
      <c r="N310" s="567"/>
      <c r="O310" s="567"/>
      <c r="P310" s="568"/>
      <c r="Q310" s="569"/>
      <c r="R310" s="569"/>
      <c r="S310" s="570"/>
      <c r="T310" s="2"/>
    </row>
    <row r="311" spans="1:22" ht="22.5" customHeight="1" x14ac:dyDescent="0.3">
      <c r="A311" s="23">
        <v>1</v>
      </c>
      <c r="B311" s="73" t="s">
        <v>512</v>
      </c>
      <c r="C311" s="25" t="s">
        <v>97</v>
      </c>
      <c r="D311" s="43">
        <v>0</v>
      </c>
      <c r="E311" s="212" t="s">
        <v>513</v>
      </c>
      <c r="F311" s="212"/>
      <c r="G311" s="213" t="s">
        <v>514</v>
      </c>
      <c r="H311" s="219">
        <v>9813.08</v>
      </c>
      <c r="I311" s="219">
        <v>686.91560000000004</v>
      </c>
      <c r="J311" s="219">
        <v>10499.9956</v>
      </c>
      <c r="K311" s="408"/>
      <c r="L311" s="408"/>
      <c r="M311" s="43"/>
      <c r="N311" s="41" t="s">
        <v>513</v>
      </c>
      <c r="O311" s="41"/>
      <c r="P311" s="34" t="s">
        <v>514</v>
      </c>
      <c r="Q311" s="114">
        <v>9813.08</v>
      </c>
      <c r="R311" s="114">
        <v>686.91560000000004</v>
      </c>
      <c r="S311" s="36">
        <v>10499.9956</v>
      </c>
      <c r="T311" s="2"/>
    </row>
    <row r="312" spans="1:22" s="60" customFormat="1" ht="22.5" customHeight="1" thickBot="1" x14ac:dyDescent="0.35">
      <c r="A312" s="548"/>
      <c r="B312" s="548" t="s">
        <v>15</v>
      </c>
      <c r="C312" s="549"/>
      <c r="D312" s="550"/>
      <c r="E312" s="571"/>
      <c r="F312" s="571"/>
      <c r="G312" s="552"/>
      <c r="H312" s="553">
        <v>9813.08</v>
      </c>
      <c r="I312" s="553">
        <v>686.91560000000004</v>
      </c>
      <c r="J312" s="553">
        <v>10499.9956</v>
      </c>
      <c r="K312" s="554"/>
      <c r="L312" s="554"/>
      <c r="M312" s="550"/>
      <c r="N312" s="548"/>
      <c r="O312" s="548"/>
      <c r="P312" s="552"/>
      <c r="Q312" s="557">
        <v>9813.08</v>
      </c>
      <c r="R312" s="557">
        <v>686.91560000000004</v>
      </c>
      <c r="S312" s="558">
        <v>10499.9956</v>
      </c>
      <c r="T312" s="59"/>
    </row>
    <row r="313" spans="1:22" s="60" customFormat="1" ht="22.5" customHeight="1" thickTop="1" thickBot="1" x14ac:dyDescent="0.35">
      <c r="A313" s="572"/>
      <c r="B313" s="572" t="s">
        <v>515</v>
      </c>
      <c r="C313" s="573"/>
      <c r="D313" s="574"/>
      <c r="E313" s="575"/>
      <c r="F313" s="575"/>
      <c r="G313" s="576"/>
      <c r="H313" s="577">
        <v>1332104.04</v>
      </c>
      <c r="I313" s="577">
        <v>686.91560000000004</v>
      </c>
      <c r="J313" s="577">
        <v>1332790.9556</v>
      </c>
      <c r="K313" s="578"/>
      <c r="L313" s="578"/>
      <c r="M313" s="579">
        <v>0</v>
      </c>
      <c r="N313" s="580"/>
      <c r="O313" s="580"/>
      <c r="P313" s="581"/>
      <c r="Q313" s="582">
        <f>SUM(Q309+Q312)</f>
        <v>1373321.45</v>
      </c>
      <c r="R313" s="582">
        <v>686.91560000000004</v>
      </c>
      <c r="S313" s="583">
        <f>SUM(S309+S312)</f>
        <v>1374008.3655999999</v>
      </c>
      <c r="T313" s="59"/>
    </row>
    <row r="314" spans="1:22" ht="22.5" customHeight="1" thickTop="1" x14ac:dyDescent="0.3">
      <c r="E314" s="469"/>
      <c r="F314" s="469"/>
      <c r="G314" s="470"/>
      <c r="H314" s="3"/>
      <c r="I314" s="3"/>
      <c r="J314" s="3"/>
      <c r="K314" s="584"/>
      <c r="L314" s="585"/>
      <c r="N314" s="470"/>
      <c r="O314" s="470"/>
      <c r="P314" s="586"/>
      <c r="Q314" s="471"/>
      <c r="R314" s="471"/>
      <c r="S314" s="472"/>
      <c r="T314" s="2"/>
    </row>
    <row r="315" spans="1:22" s="589" customFormat="1" ht="20.399999999999999" x14ac:dyDescent="0.5">
      <c r="A315" s="1126" t="s">
        <v>1183</v>
      </c>
      <c r="B315" s="1127"/>
      <c r="C315" s="1127"/>
      <c r="D315" s="1127"/>
      <c r="E315" s="1127"/>
      <c r="F315" s="1127"/>
      <c r="G315" s="1127"/>
      <c r="H315" s="1127"/>
      <c r="I315" s="1127"/>
      <c r="J315" s="1127"/>
      <c r="K315" s="1127"/>
      <c r="L315" s="1127"/>
      <c r="M315" s="1127"/>
      <c r="N315" s="1127"/>
      <c r="O315" s="1127"/>
      <c r="P315" s="1127"/>
      <c r="Q315" s="1127"/>
      <c r="R315" s="1127"/>
      <c r="S315" s="1127"/>
      <c r="T315" s="587"/>
      <c r="U315" s="587"/>
      <c r="V315" s="588"/>
    </row>
    <row r="316" spans="1:22" s="599" customFormat="1" x14ac:dyDescent="0.6">
      <c r="A316" s="590">
        <v>1</v>
      </c>
      <c r="B316" s="591" t="s">
        <v>517</v>
      </c>
      <c r="C316" s="591" t="s">
        <v>518</v>
      </c>
      <c r="D316" s="592">
        <v>0</v>
      </c>
      <c r="E316" s="593"/>
      <c r="F316" s="593"/>
      <c r="G316" s="594"/>
      <c r="H316" s="595">
        <v>0</v>
      </c>
      <c r="I316" s="595">
        <v>0</v>
      </c>
      <c r="J316" s="595">
        <v>0</v>
      </c>
      <c r="K316" s="596"/>
      <c r="L316" s="596"/>
      <c r="M316" s="597"/>
      <c r="N316" s="598"/>
      <c r="O316" s="598"/>
      <c r="P316" s="594"/>
      <c r="Q316" s="595">
        <v>0</v>
      </c>
      <c r="R316" s="595">
        <v>0</v>
      </c>
      <c r="S316" s="595">
        <v>0</v>
      </c>
      <c r="V316" s="600"/>
    </row>
    <row r="317" spans="1:22" s="599" customFormat="1" x14ac:dyDescent="0.6">
      <c r="A317" s="601">
        <v>2</v>
      </c>
      <c r="B317" s="602" t="s">
        <v>519</v>
      </c>
      <c r="C317" s="602" t="s">
        <v>520</v>
      </c>
      <c r="D317" s="603">
        <v>0</v>
      </c>
      <c r="E317" s="604"/>
      <c r="F317" s="604"/>
      <c r="G317" s="605"/>
      <c r="H317" s="606">
        <v>54000</v>
      </c>
      <c r="I317" s="606">
        <v>0</v>
      </c>
      <c r="J317" s="606">
        <v>54000</v>
      </c>
      <c r="K317" s="607"/>
      <c r="L317" s="607"/>
      <c r="M317" s="608"/>
      <c r="N317" s="604"/>
      <c r="O317" s="604"/>
      <c r="P317" s="605"/>
      <c r="Q317" s="609">
        <v>54000</v>
      </c>
      <c r="R317" s="609">
        <v>0</v>
      </c>
      <c r="S317" s="609">
        <v>54000</v>
      </c>
      <c r="V317" s="600"/>
    </row>
    <row r="318" spans="1:22" s="599" customFormat="1" x14ac:dyDescent="0.6">
      <c r="A318" s="610">
        <v>3</v>
      </c>
      <c r="B318" s="611" t="s">
        <v>521</v>
      </c>
      <c r="C318" s="611" t="s">
        <v>522</v>
      </c>
      <c r="D318" s="612">
        <v>0</v>
      </c>
      <c r="E318" s="613"/>
      <c r="F318" s="613"/>
      <c r="G318" s="614"/>
      <c r="H318" s="615">
        <v>0</v>
      </c>
      <c r="I318" s="615">
        <v>0</v>
      </c>
      <c r="J318" s="615">
        <v>0</v>
      </c>
      <c r="K318" s="616"/>
      <c r="L318" s="616"/>
      <c r="M318" s="617"/>
      <c r="N318" s="618"/>
      <c r="O318" s="618"/>
      <c r="P318" s="614"/>
      <c r="Q318" s="609">
        <v>0</v>
      </c>
      <c r="R318" s="609">
        <v>0</v>
      </c>
      <c r="S318" s="609">
        <v>0</v>
      </c>
      <c r="V318" s="600"/>
    </row>
    <row r="319" spans="1:22" s="599" customFormat="1" ht="24" thickBot="1" x14ac:dyDescent="0.65">
      <c r="A319" s="619"/>
      <c r="B319" s="620" t="s">
        <v>1184</v>
      </c>
      <c r="C319" s="621"/>
      <c r="D319" s="622">
        <v>0</v>
      </c>
      <c r="E319" s="623"/>
      <c r="F319" s="623"/>
      <c r="G319" s="624"/>
      <c r="H319" s="625">
        <v>54000</v>
      </c>
      <c r="I319" s="625">
        <v>0</v>
      </c>
      <c r="J319" s="625">
        <v>54000</v>
      </c>
      <c r="K319" s="624"/>
      <c r="L319" s="624"/>
      <c r="M319" s="622">
        <v>0</v>
      </c>
      <c r="N319" s="623"/>
      <c r="O319" s="623"/>
      <c r="P319" s="624"/>
      <c r="Q319" s="626">
        <v>54000</v>
      </c>
      <c r="R319" s="626">
        <v>0</v>
      </c>
      <c r="S319" s="626">
        <v>54000</v>
      </c>
      <c r="T319" s="627">
        <v>2034140.3755999999</v>
      </c>
      <c r="V319" s="600"/>
    </row>
    <row r="320" spans="1:22" s="636" customFormat="1" ht="24" thickTop="1" x14ac:dyDescent="0.6">
      <c r="A320" s="628"/>
      <c r="B320" s="629"/>
      <c r="C320" s="630"/>
      <c r="D320" s="631"/>
      <c r="E320" s="632"/>
      <c r="F320" s="632"/>
      <c r="G320" s="633"/>
      <c r="H320" s="634"/>
      <c r="I320" s="634"/>
      <c r="J320" s="634"/>
      <c r="K320" s="633"/>
      <c r="L320" s="633"/>
      <c r="M320" s="631"/>
      <c r="N320" s="632"/>
      <c r="O320" s="632"/>
      <c r="P320" s="633"/>
      <c r="Q320" s="635"/>
      <c r="R320" s="635"/>
      <c r="S320" s="635"/>
      <c r="V320" s="637"/>
    </row>
    <row r="321" spans="1:22" s="636" customFormat="1" x14ac:dyDescent="0.6">
      <c r="A321" s="1128" t="s">
        <v>524</v>
      </c>
      <c r="B321" s="1128"/>
      <c r="C321" s="1128"/>
      <c r="D321" s="1128"/>
      <c r="E321" s="1128"/>
      <c r="F321" s="1128"/>
      <c r="G321" s="1128"/>
      <c r="H321" s="1128"/>
      <c r="I321" s="1128"/>
      <c r="J321" s="1128"/>
      <c r="K321" s="1128"/>
      <c r="L321" s="1128"/>
      <c r="M321" s="1128"/>
      <c r="N321" s="1128"/>
      <c r="O321" s="1128"/>
      <c r="P321" s="1128"/>
      <c r="Q321" s="1128"/>
      <c r="R321" s="1128"/>
      <c r="S321" s="1128"/>
      <c r="V321" s="637"/>
    </row>
    <row r="322" spans="1:22" s="599" customFormat="1" x14ac:dyDescent="0.6">
      <c r="A322" s="638">
        <v>1</v>
      </c>
      <c r="B322" s="639" t="s">
        <v>519</v>
      </c>
      <c r="C322" s="639" t="s">
        <v>518</v>
      </c>
      <c r="D322" s="640">
        <v>5600</v>
      </c>
      <c r="E322" s="641" t="s">
        <v>1066</v>
      </c>
      <c r="F322" s="641"/>
      <c r="G322" s="642">
        <v>15</v>
      </c>
      <c r="H322" s="643">
        <v>84000</v>
      </c>
      <c r="I322" s="643">
        <v>0</v>
      </c>
      <c r="J322" s="643">
        <v>84000</v>
      </c>
      <c r="K322" s="884"/>
      <c r="L322" s="884"/>
      <c r="M322" s="884"/>
      <c r="N322" s="884" t="s">
        <v>1182</v>
      </c>
      <c r="O322" s="884"/>
      <c r="P322" s="884">
        <v>16</v>
      </c>
      <c r="Q322" s="643">
        <f>SUM(D322+J322-M322)</f>
        <v>89600</v>
      </c>
      <c r="R322" s="643">
        <v>0</v>
      </c>
      <c r="S322" s="643">
        <f>SUM(D322+J322-M322)</f>
        <v>89600</v>
      </c>
      <c r="V322" s="600"/>
    </row>
    <row r="323" spans="1:22" s="599" customFormat="1" x14ac:dyDescent="0.6">
      <c r="A323" s="646">
        <v>2</v>
      </c>
      <c r="B323" s="647" t="s">
        <v>521</v>
      </c>
      <c r="C323" s="647" t="s">
        <v>522</v>
      </c>
      <c r="D323" s="648">
        <v>8400</v>
      </c>
      <c r="E323" s="649" t="s">
        <v>1177</v>
      </c>
      <c r="F323" s="649" t="s">
        <v>33</v>
      </c>
      <c r="G323" s="650" t="s">
        <v>33</v>
      </c>
      <c r="H323" s="651">
        <v>6917.6500000000015</v>
      </c>
      <c r="I323" s="615">
        <v>0</v>
      </c>
      <c r="J323" s="615">
        <v>6917.6500000000015</v>
      </c>
      <c r="K323" s="644" t="s">
        <v>1300</v>
      </c>
      <c r="L323" s="644" t="s">
        <v>1396</v>
      </c>
      <c r="M323" s="645">
        <v>15317.65</v>
      </c>
      <c r="N323" s="641"/>
      <c r="O323" s="641"/>
      <c r="P323" s="642"/>
      <c r="Q323" s="643">
        <f>SUM(D323+J323-M323)</f>
        <v>1.8189894035458565E-12</v>
      </c>
      <c r="R323" s="606">
        <v>0</v>
      </c>
      <c r="S323" s="643">
        <f>SUM(D323+J323-M323)</f>
        <v>1.8189894035458565E-12</v>
      </c>
      <c r="V323" s="600"/>
    </row>
    <row r="324" spans="1:22" s="599" customFormat="1" x14ac:dyDescent="0.6">
      <c r="A324" s="646"/>
      <c r="B324" s="653" t="s">
        <v>534</v>
      </c>
      <c r="C324" s="647"/>
      <c r="D324" s="648"/>
      <c r="E324" s="649"/>
      <c r="F324" s="649"/>
      <c r="G324" s="650"/>
      <c r="H324" s="651"/>
      <c r="I324" s="651"/>
      <c r="J324" s="651"/>
      <c r="K324" s="30"/>
      <c r="L324" s="249"/>
      <c r="M324" s="221"/>
      <c r="N324" s="652"/>
      <c r="O324" s="652"/>
      <c r="P324" s="373"/>
      <c r="Q324" s="651"/>
      <c r="R324" s="651"/>
      <c r="S324" s="651"/>
      <c r="V324" s="600"/>
    </row>
    <row r="325" spans="1:22" s="599" customFormat="1" ht="24" thickBot="1" x14ac:dyDescent="0.65">
      <c r="A325" s="619"/>
      <c r="B325" s="620" t="s">
        <v>535</v>
      </c>
      <c r="C325" s="621"/>
      <c r="D325" s="622">
        <v>14000</v>
      </c>
      <c r="E325" s="623"/>
      <c r="F325" s="623"/>
      <c r="G325" s="624"/>
      <c r="H325" s="625">
        <f>SUM(H322:H324)-H323</f>
        <v>84000</v>
      </c>
      <c r="I325" s="625">
        <f>SUM(I322:I324)-I323</f>
        <v>0</v>
      </c>
      <c r="J325" s="625">
        <f>SUM(J322:J324)-J323</f>
        <v>84000</v>
      </c>
      <c r="K325" s="625"/>
      <c r="L325" s="625"/>
      <c r="M325" s="625">
        <f>SUM(M323:M324)</f>
        <v>15317.65</v>
      </c>
      <c r="N325" s="625"/>
      <c r="O325" s="625"/>
      <c r="P325" s="625"/>
      <c r="Q325" s="625">
        <f>SUM(Q322:Q324)</f>
        <v>89600</v>
      </c>
      <c r="R325" s="625">
        <f>SUM(R322:R324)</f>
        <v>0</v>
      </c>
      <c r="S325" s="625">
        <f>SUM(S322:S324)</f>
        <v>89600</v>
      </c>
      <c r="V325" s="600"/>
    </row>
    <row r="326" spans="1:22" ht="22.5" customHeight="1" thickTop="1" x14ac:dyDescent="0.3">
      <c r="E326" s="469"/>
      <c r="F326" s="469"/>
      <c r="G326" s="470"/>
      <c r="H326" s="3"/>
      <c r="I326" s="3"/>
      <c r="J326" s="3"/>
      <c r="K326" s="584"/>
      <c r="L326" s="585"/>
      <c r="N326" s="470"/>
      <c r="O326" s="470"/>
      <c r="P326" s="586"/>
      <c r="Q326" s="471"/>
      <c r="R326" s="471"/>
      <c r="S326" s="472"/>
      <c r="T326" s="2"/>
    </row>
    <row r="327" spans="1:22" ht="22.5" customHeight="1" thickBot="1" x14ac:dyDescent="0.35">
      <c r="E327" s="469"/>
      <c r="F327" s="469"/>
      <c r="G327" s="470"/>
      <c r="H327" s="3"/>
      <c r="I327" s="3"/>
      <c r="J327" s="3"/>
      <c r="K327" s="584"/>
      <c r="L327" s="585"/>
      <c r="M327" s="657">
        <f>SUM(M293+M313+M319+M325)</f>
        <v>1278874.4199999997</v>
      </c>
      <c r="N327" s="470"/>
      <c r="O327" s="470"/>
      <c r="P327" s="586"/>
      <c r="Q327" s="1148" t="s">
        <v>536</v>
      </c>
      <c r="R327" s="1148"/>
      <c r="S327" s="658">
        <f>SUM(S293+S313+S319+S325)+0.01</f>
        <v>1689871.3132</v>
      </c>
      <c r="T327" s="2"/>
    </row>
    <row r="328" spans="1:22" ht="22.5" customHeight="1" thickTop="1" x14ac:dyDescent="0.5">
      <c r="B328" s="587" t="s">
        <v>537</v>
      </c>
      <c r="C328" s="587"/>
      <c r="D328" s="587"/>
      <c r="E328" s="587"/>
      <c r="F328" s="587"/>
      <c r="G328" s="587"/>
      <c r="H328" s="587"/>
      <c r="I328" s="587"/>
      <c r="J328" s="587"/>
      <c r="K328" s="587"/>
      <c r="N328" s="3"/>
      <c r="O328" s="3"/>
      <c r="P328" s="470"/>
      <c r="Q328" s="471"/>
      <c r="R328" s="471"/>
      <c r="S328" s="472"/>
    </row>
    <row r="329" spans="1:22" x14ac:dyDescent="0.5">
      <c r="B329" s="1129" t="s">
        <v>538</v>
      </c>
      <c r="C329" s="1129"/>
      <c r="D329" s="1129"/>
      <c r="E329" s="1129"/>
      <c r="F329" s="1129"/>
      <c r="G329" s="1129"/>
      <c r="H329" s="1129"/>
      <c r="I329" s="1129"/>
      <c r="J329" s="1129"/>
      <c r="K329" s="1129"/>
      <c r="N329" s="3"/>
      <c r="O329" s="3"/>
      <c r="P329" s="470"/>
      <c r="Q329" s="471"/>
      <c r="R329" s="471"/>
      <c r="S329" s="472"/>
    </row>
    <row r="330" spans="1:22" x14ac:dyDescent="0.5">
      <c r="B330" s="1129" t="s">
        <v>539</v>
      </c>
      <c r="C330" s="1129"/>
      <c r="D330" s="1129"/>
      <c r="E330" s="1129"/>
      <c r="F330" s="1129"/>
      <c r="G330" s="1129"/>
      <c r="H330" s="1129"/>
      <c r="I330" s="1129"/>
      <c r="J330" s="1129"/>
      <c r="K330" s="1129"/>
      <c r="N330" s="3"/>
      <c r="O330" s="3"/>
      <c r="P330" s="470"/>
      <c r="Q330" s="471"/>
      <c r="R330" s="471"/>
      <c r="S330" s="472"/>
    </row>
    <row r="331" spans="1:22" x14ac:dyDescent="0.3">
      <c r="E331" s="469"/>
      <c r="F331" s="469"/>
      <c r="G331" s="470"/>
      <c r="H331" s="3"/>
      <c r="I331" s="3"/>
      <c r="J331" s="3"/>
      <c r="N331" s="3"/>
      <c r="O331" s="3"/>
      <c r="P331" s="470"/>
      <c r="Q331" s="471"/>
      <c r="R331" s="471"/>
      <c r="S331" s="472"/>
    </row>
    <row r="332" spans="1:22" x14ac:dyDescent="0.3">
      <c r="E332" s="469"/>
      <c r="F332" s="469"/>
      <c r="G332" s="470"/>
      <c r="H332" s="3"/>
      <c r="I332" s="3"/>
      <c r="J332" s="3"/>
      <c r="N332" s="3"/>
      <c r="O332" s="3"/>
      <c r="P332" s="470"/>
      <c r="Q332" s="471"/>
      <c r="R332" s="471"/>
      <c r="S332" s="472"/>
    </row>
    <row r="333" spans="1:22" x14ac:dyDescent="0.3">
      <c r="E333" s="469"/>
      <c r="F333" s="469"/>
      <c r="G333" s="470"/>
      <c r="H333" s="3"/>
      <c r="I333" s="3"/>
      <c r="J333" s="3"/>
      <c r="N333" s="3"/>
      <c r="O333" s="3"/>
      <c r="P333" s="470"/>
      <c r="Q333" s="471"/>
      <c r="R333" s="471"/>
      <c r="S333" s="472"/>
    </row>
    <row r="334" spans="1:22" x14ac:dyDescent="0.3">
      <c r="E334" s="469"/>
      <c r="F334" s="469"/>
      <c r="G334" s="470"/>
      <c r="H334" s="3"/>
      <c r="I334" s="3"/>
      <c r="J334" s="3"/>
      <c r="N334" s="3"/>
      <c r="O334" s="3"/>
      <c r="P334" s="470"/>
      <c r="Q334" s="471"/>
      <c r="R334" s="471"/>
      <c r="S334" s="472"/>
    </row>
    <row r="335" spans="1:22" x14ac:dyDescent="0.3">
      <c r="E335" s="469"/>
      <c r="F335" s="469"/>
      <c r="G335" s="470"/>
      <c r="H335" s="3"/>
      <c r="I335" s="3"/>
      <c r="J335" s="3"/>
      <c r="N335" s="3"/>
      <c r="O335" s="3"/>
      <c r="P335" s="470"/>
      <c r="Q335" s="471"/>
      <c r="R335" s="471"/>
      <c r="S335" s="472"/>
    </row>
    <row r="336" spans="1:22" x14ac:dyDescent="0.3">
      <c r="E336" s="469"/>
      <c r="F336" s="469"/>
      <c r="G336" s="470"/>
      <c r="H336" s="3"/>
      <c r="I336" s="3"/>
      <c r="J336" s="3"/>
      <c r="N336" s="3"/>
      <c r="O336" s="3"/>
      <c r="P336" s="470"/>
      <c r="Q336" s="471"/>
      <c r="R336" s="471"/>
      <c r="S336" s="472"/>
    </row>
    <row r="337" spans="5:19" x14ac:dyDescent="0.3">
      <c r="E337" s="469"/>
      <c r="F337" s="469"/>
      <c r="G337" s="470"/>
      <c r="H337" s="3"/>
      <c r="I337" s="3"/>
      <c r="J337" s="3"/>
      <c r="N337" s="3"/>
      <c r="O337" s="3"/>
      <c r="P337" s="470"/>
      <c r="Q337" s="471"/>
      <c r="R337" s="471"/>
      <c r="S337" s="472"/>
    </row>
  </sheetData>
  <mergeCells count="22">
    <mergeCell ref="B330:K330"/>
    <mergeCell ref="E5:E6"/>
    <mergeCell ref="G5:G6"/>
    <mergeCell ref="H5:J5"/>
    <mergeCell ref="N5:N6"/>
    <mergeCell ref="A295:S295"/>
    <mergeCell ref="A315:S315"/>
    <mergeCell ref="A321:S321"/>
    <mergeCell ref="Q327:R327"/>
    <mergeCell ref="B329:K329"/>
    <mergeCell ref="P5:P6"/>
    <mergeCell ref="Q5:S5"/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</mergeCells>
  <pageMargins left="0.7" right="0.7" top="0.75" bottom="0.75" header="0.3" footer="0.3"/>
  <pageSetup scale="4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0F2F-1D49-4D33-A0A5-02EE98485A98}">
  <sheetPr>
    <tabColor rgb="FFFFFF00"/>
  </sheetPr>
  <dimension ref="A1:AC195"/>
  <sheetViews>
    <sheetView zoomScale="80" zoomScaleNormal="80" workbookViewId="0">
      <pane ySplit="6" topLeftCell="A179" activePane="bottomLeft" state="frozen"/>
      <selection pane="bottomLeft" activeCell="K188" sqref="K188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2.44140625" style="88" customWidth="1"/>
    <col min="5" max="5" width="18.6640625" style="88" customWidth="1"/>
    <col min="6" max="6" width="16.33203125" style="88" customWidth="1"/>
    <col min="7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7" ht="22.5" customHeight="1" x14ac:dyDescent="0.3">
      <c r="A3" s="1110" t="s">
        <v>1181</v>
      </c>
      <c r="B3" s="1111"/>
      <c r="C3" s="1111"/>
      <c r="D3" s="1111"/>
      <c r="E3" s="1111"/>
      <c r="F3" s="1111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7" ht="22.5" customHeight="1" x14ac:dyDescent="0.3">
      <c r="A5" s="1113"/>
      <c r="B5" s="1113"/>
      <c r="C5" s="1116"/>
      <c r="D5" s="5"/>
      <c r="E5" s="6"/>
      <c r="F5" s="6"/>
    </row>
    <row r="6" spans="1:7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7" ht="22.5" customHeight="1" x14ac:dyDescent="0.3">
      <c r="A7" s="11"/>
      <c r="B7" s="12" t="s">
        <v>19</v>
      </c>
      <c r="C7" s="13"/>
      <c r="D7" s="18"/>
      <c r="E7" s="18"/>
      <c r="F7" s="14"/>
    </row>
    <row r="8" spans="1:7" ht="22.5" customHeight="1" x14ac:dyDescent="0.5">
      <c r="A8" s="23">
        <v>1</v>
      </c>
      <c r="B8" s="24" t="s">
        <v>20</v>
      </c>
      <c r="C8" s="25" t="s">
        <v>21</v>
      </c>
      <c r="D8" s="30" t="s">
        <v>1185</v>
      </c>
      <c r="E8" s="31" t="s">
        <v>1186</v>
      </c>
      <c r="F8" s="32">
        <v>2400.1799999999998</v>
      </c>
    </row>
    <row r="9" spans="1:7" ht="22.5" customHeight="1" x14ac:dyDescent="0.5">
      <c r="A9" s="23">
        <v>2</v>
      </c>
      <c r="B9" s="24" t="s">
        <v>24</v>
      </c>
      <c r="C9" s="25" t="s">
        <v>25</v>
      </c>
      <c r="D9" s="30" t="s">
        <v>1187</v>
      </c>
      <c r="E9" s="31" t="s">
        <v>1188</v>
      </c>
      <c r="F9" s="32">
        <v>4292.7700000000004</v>
      </c>
    </row>
    <row r="10" spans="1:7" ht="22.5" customHeight="1" x14ac:dyDescent="0.5">
      <c r="A10" s="23">
        <v>3</v>
      </c>
      <c r="B10" s="24" t="s">
        <v>27</v>
      </c>
      <c r="C10" s="25" t="s">
        <v>28</v>
      </c>
      <c r="D10" s="38" t="s">
        <v>1187</v>
      </c>
      <c r="E10" s="39" t="s">
        <v>1189</v>
      </c>
      <c r="F10" s="40">
        <v>802.5</v>
      </c>
    </row>
    <row r="11" spans="1:7" ht="22.5" customHeight="1" x14ac:dyDescent="0.5">
      <c r="A11" s="23">
        <v>4</v>
      </c>
      <c r="B11" s="24" t="s">
        <v>30</v>
      </c>
      <c r="C11" s="25" t="s">
        <v>31</v>
      </c>
      <c r="D11" s="30" t="s">
        <v>1190</v>
      </c>
      <c r="E11" s="31" t="s">
        <v>1191</v>
      </c>
      <c r="F11" s="32">
        <v>1540.8</v>
      </c>
    </row>
    <row r="12" spans="1:7" s="60" customFormat="1" ht="22.5" customHeight="1" thickBot="1" x14ac:dyDescent="0.35">
      <c r="A12" s="48"/>
      <c r="B12" s="48" t="s">
        <v>15</v>
      </c>
      <c r="C12" s="49"/>
      <c r="D12" s="54"/>
      <c r="E12" s="55"/>
      <c r="F12" s="50">
        <v>9036.25</v>
      </c>
      <c r="G12" s="683">
        <f>SUM(F8:F11)</f>
        <v>9036.25</v>
      </c>
    </row>
    <row r="13" spans="1:7" ht="22.5" customHeight="1" thickTop="1" x14ac:dyDescent="0.3">
      <c r="A13" s="61"/>
      <c r="B13" s="62" t="s">
        <v>37</v>
      </c>
      <c r="C13" s="63"/>
      <c r="D13" s="68"/>
      <c r="E13" s="68"/>
      <c r="F13" s="64"/>
    </row>
    <row r="14" spans="1:7" ht="22.5" customHeight="1" x14ac:dyDescent="0.5">
      <c r="A14" s="23">
        <v>1</v>
      </c>
      <c r="B14" s="73" t="s">
        <v>38</v>
      </c>
      <c r="C14" s="25" t="s">
        <v>39</v>
      </c>
      <c r="D14" s="30" t="s">
        <v>1193</v>
      </c>
      <c r="E14" s="31" t="s">
        <v>1194</v>
      </c>
      <c r="F14" s="32">
        <v>1284</v>
      </c>
    </row>
    <row r="15" spans="1:7" ht="22.5" customHeight="1" x14ac:dyDescent="0.5">
      <c r="A15" s="23">
        <v>2</v>
      </c>
      <c r="B15" s="73" t="s">
        <v>42</v>
      </c>
      <c r="C15" s="25" t="s">
        <v>43</v>
      </c>
      <c r="D15" s="30" t="s">
        <v>1195</v>
      </c>
      <c r="E15" s="31" t="s">
        <v>1196</v>
      </c>
      <c r="F15" s="32">
        <v>1733.4</v>
      </c>
    </row>
    <row r="16" spans="1:7" ht="22.5" customHeight="1" x14ac:dyDescent="0.5">
      <c r="A16" s="23">
        <v>3</v>
      </c>
      <c r="B16" s="73" t="s">
        <v>45</v>
      </c>
      <c r="C16" s="25" t="s">
        <v>46</v>
      </c>
      <c r="D16" s="30" t="s">
        <v>1197</v>
      </c>
      <c r="E16" s="31" t="s">
        <v>1198</v>
      </c>
      <c r="F16" s="32">
        <v>1444.5</v>
      </c>
    </row>
    <row r="17" spans="1:7" ht="22.5" customHeight="1" x14ac:dyDescent="0.5">
      <c r="A17" s="23">
        <v>4</v>
      </c>
      <c r="B17" s="73" t="s">
        <v>48</v>
      </c>
      <c r="C17" s="25" t="s">
        <v>49</v>
      </c>
      <c r="D17" s="30" t="s">
        <v>1199</v>
      </c>
      <c r="E17" s="31" t="s">
        <v>1200</v>
      </c>
      <c r="F17" s="32">
        <v>3129.75</v>
      </c>
    </row>
    <row r="18" spans="1:7" ht="22.5" customHeight="1" x14ac:dyDescent="0.5">
      <c r="A18" s="23">
        <v>5</v>
      </c>
      <c r="B18" s="73" t="s">
        <v>51</v>
      </c>
      <c r="C18" s="25" t="s">
        <v>52</v>
      </c>
      <c r="D18" s="30" t="s">
        <v>1201</v>
      </c>
      <c r="E18" s="31" t="s">
        <v>1202</v>
      </c>
      <c r="F18" s="32">
        <v>4622.3999999999996</v>
      </c>
    </row>
    <row r="19" spans="1:7" ht="22.5" customHeight="1" x14ac:dyDescent="0.5">
      <c r="A19" s="23">
        <v>6</v>
      </c>
      <c r="B19" s="73" t="s">
        <v>30</v>
      </c>
      <c r="C19" s="25" t="s">
        <v>31</v>
      </c>
      <c r="D19" s="30" t="s">
        <v>1190</v>
      </c>
      <c r="E19" s="31" t="s">
        <v>1203</v>
      </c>
      <c r="F19" s="32">
        <v>6420</v>
      </c>
    </row>
    <row r="20" spans="1:7" ht="22.5" customHeight="1" x14ac:dyDescent="0.5">
      <c r="A20" s="23">
        <v>7</v>
      </c>
      <c r="B20" s="78" t="s">
        <v>54</v>
      </c>
      <c r="C20" s="25" t="s">
        <v>55</v>
      </c>
      <c r="D20" s="38" t="s">
        <v>1204</v>
      </c>
      <c r="E20" s="39" t="s">
        <v>1205</v>
      </c>
      <c r="F20" s="40">
        <v>3514.95</v>
      </c>
    </row>
    <row r="21" spans="1:7" ht="22.5" customHeight="1" x14ac:dyDescent="0.5">
      <c r="A21" s="23">
        <v>8</v>
      </c>
      <c r="B21" s="78" t="s">
        <v>56</v>
      </c>
      <c r="C21" s="81" t="s">
        <v>57</v>
      </c>
      <c r="D21" s="38" t="s">
        <v>1195</v>
      </c>
      <c r="E21" s="39" t="s">
        <v>1206</v>
      </c>
      <c r="F21" s="40">
        <v>866.7</v>
      </c>
    </row>
    <row r="22" spans="1:7" ht="22.5" customHeight="1" x14ac:dyDescent="0.5">
      <c r="A22" s="23">
        <v>9</v>
      </c>
      <c r="B22" s="78" t="s">
        <v>59</v>
      </c>
      <c r="C22" s="83" t="s">
        <v>60</v>
      </c>
      <c r="D22" s="38" t="s">
        <v>1197</v>
      </c>
      <c r="E22" s="39" t="s">
        <v>1207</v>
      </c>
      <c r="F22" s="40">
        <v>21400</v>
      </c>
    </row>
    <row r="23" spans="1:7" s="88" customFormat="1" ht="22.5" customHeight="1" x14ac:dyDescent="0.5">
      <c r="A23" s="23">
        <v>10</v>
      </c>
      <c r="B23" s="84" t="s">
        <v>62</v>
      </c>
      <c r="C23" s="85" t="s">
        <v>28</v>
      </c>
      <c r="D23" s="38" t="s">
        <v>1187</v>
      </c>
      <c r="E23" s="39" t="s">
        <v>1208</v>
      </c>
      <c r="F23" s="40">
        <v>856</v>
      </c>
    </row>
    <row r="24" spans="1:7" ht="22.5" customHeight="1" x14ac:dyDescent="0.5">
      <c r="A24" s="23">
        <v>11</v>
      </c>
      <c r="B24" s="89" t="s">
        <v>64</v>
      </c>
      <c r="C24" s="90" t="s">
        <v>65</v>
      </c>
      <c r="D24" s="38" t="s">
        <v>1185</v>
      </c>
      <c r="E24" s="39" t="s">
        <v>1209</v>
      </c>
      <c r="F24" s="40">
        <v>21400</v>
      </c>
    </row>
    <row r="25" spans="1:7" ht="22.5" customHeight="1" x14ac:dyDescent="0.5">
      <c r="A25" s="23">
        <v>12</v>
      </c>
      <c r="B25" s="94" t="s">
        <v>67</v>
      </c>
      <c r="C25" s="95" t="s">
        <v>68</v>
      </c>
      <c r="D25" s="38" t="s">
        <v>1210</v>
      </c>
      <c r="E25" s="39" t="s">
        <v>1211</v>
      </c>
      <c r="F25" s="40">
        <v>3210</v>
      </c>
    </row>
    <row r="26" spans="1:7" ht="22.5" customHeight="1" x14ac:dyDescent="0.5">
      <c r="A26" s="23">
        <v>13</v>
      </c>
      <c r="B26" s="99" t="s">
        <v>70</v>
      </c>
      <c r="C26" s="100" t="s">
        <v>60</v>
      </c>
      <c r="D26" s="101" t="s">
        <v>1197</v>
      </c>
      <c r="E26" s="102" t="s">
        <v>1212</v>
      </c>
      <c r="F26" s="103">
        <v>3210</v>
      </c>
    </row>
    <row r="27" spans="1:7" s="60" customFormat="1" ht="22.5" customHeight="1" thickBot="1" x14ac:dyDescent="0.35">
      <c r="A27" s="48"/>
      <c r="B27" s="48" t="s">
        <v>15</v>
      </c>
      <c r="C27" s="49"/>
      <c r="D27" s="104"/>
      <c r="E27" s="104"/>
      <c r="F27" s="104">
        <v>73091.7</v>
      </c>
      <c r="G27" s="683">
        <f>SUM(F14:F26)</f>
        <v>73091.7</v>
      </c>
    </row>
    <row r="28" spans="1:7" ht="22.5" customHeight="1" thickTop="1" x14ac:dyDescent="0.3">
      <c r="A28" s="61"/>
      <c r="B28" s="62" t="s">
        <v>71</v>
      </c>
      <c r="C28" s="63"/>
      <c r="D28" s="68"/>
      <c r="E28" s="68"/>
      <c r="F28" s="64"/>
    </row>
    <row r="29" spans="1:7" ht="22.5" customHeight="1" x14ac:dyDescent="0.5">
      <c r="A29" s="23">
        <v>1</v>
      </c>
      <c r="B29" s="73" t="s">
        <v>72</v>
      </c>
      <c r="C29" s="25" t="s">
        <v>73</v>
      </c>
      <c r="D29" s="38" t="s">
        <v>1195</v>
      </c>
      <c r="E29" s="39" t="s">
        <v>1213</v>
      </c>
      <c r="F29" s="32">
        <v>6692.85</v>
      </c>
    </row>
    <row r="30" spans="1:7" ht="22.5" customHeight="1" x14ac:dyDescent="0.5">
      <c r="A30" s="115">
        <v>2</v>
      </c>
      <c r="B30" s="4" t="s">
        <v>75</v>
      </c>
      <c r="C30" s="25" t="s">
        <v>76</v>
      </c>
      <c r="D30" s="101" t="s">
        <v>1214</v>
      </c>
      <c r="E30" s="102" t="s">
        <v>1215</v>
      </c>
      <c r="F30" s="103">
        <v>14445</v>
      </c>
    </row>
    <row r="31" spans="1:7" s="60" customFormat="1" ht="22.5" customHeight="1" thickBot="1" x14ac:dyDescent="0.35">
      <c r="A31" s="48"/>
      <c r="B31" s="48" t="s">
        <v>15</v>
      </c>
      <c r="C31" s="49"/>
      <c r="D31" s="50"/>
      <c r="E31" s="50">
        <v>0</v>
      </c>
      <c r="F31" s="50">
        <v>21137.85</v>
      </c>
      <c r="G31" s="683">
        <f>SUM(F29:F30)</f>
        <v>21137.85</v>
      </c>
    </row>
    <row r="32" spans="1:7" ht="22.5" customHeight="1" thickTop="1" x14ac:dyDescent="0.3">
      <c r="A32" s="61"/>
      <c r="B32" s="121" t="s">
        <v>78</v>
      </c>
      <c r="C32" s="63"/>
      <c r="D32" s="68"/>
      <c r="E32" s="68"/>
      <c r="F32" s="64"/>
    </row>
    <row r="33" spans="1:29" s="134" customFormat="1" ht="22.5" customHeight="1" x14ac:dyDescent="0.6">
      <c r="A33" s="122">
        <v>1</v>
      </c>
      <c r="B33" s="123" t="s">
        <v>79</v>
      </c>
      <c r="C33" s="124" t="s">
        <v>60</v>
      </c>
      <c r="D33" s="38" t="s">
        <v>1197</v>
      </c>
      <c r="E33" s="39" t="s">
        <v>1216</v>
      </c>
      <c r="F33" s="40">
        <v>5350</v>
      </c>
      <c r="G33" s="130"/>
      <c r="H33" s="131"/>
      <c r="I33" s="132"/>
      <c r="J33" s="131"/>
      <c r="K33" s="132"/>
      <c r="L33" s="132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</row>
    <row r="34" spans="1:29" s="134" customFormat="1" ht="22.5" customHeight="1" x14ac:dyDescent="0.6">
      <c r="A34" s="122">
        <v>2</v>
      </c>
      <c r="B34" s="123" t="s">
        <v>80</v>
      </c>
      <c r="C34" s="124" t="s">
        <v>65</v>
      </c>
      <c r="D34" s="38" t="s">
        <v>1185</v>
      </c>
      <c r="E34" s="39" t="s">
        <v>1217</v>
      </c>
      <c r="F34" s="40">
        <v>5350</v>
      </c>
      <c r="G34" s="130"/>
      <c r="H34" s="131"/>
      <c r="I34" s="132"/>
      <c r="J34" s="131"/>
      <c r="K34" s="132"/>
      <c r="L34" s="132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</row>
    <row r="35" spans="1:29" s="60" customFormat="1" ht="22.5" customHeight="1" thickBot="1" x14ac:dyDescent="0.35">
      <c r="A35" s="48"/>
      <c r="B35" s="48" t="s">
        <v>15</v>
      </c>
      <c r="C35" s="49"/>
      <c r="D35" s="109"/>
      <c r="E35" s="109"/>
      <c r="F35" s="138">
        <v>10700</v>
      </c>
      <c r="G35" s="683">
        <f>SUM(F33:F34)</f>
        <v>10700</v>
      </c>
    </row>
    <row r="36" spans="1:29" ht="22.5" customHeight="1" thickTop="1" x14ac:dyDescent="0.3">
      <c r="A36" s="139"/>
      <c r="B36" s="140" t="s">
        <v>81</v>
      </c>
      <c r="C36" s="141"/>
      <c r="D36" s="68"/>
      <c r="E36" s="68"/>
      <c r="F36" s="64"/>
    </row>
    <row r="37" spans="1:29" ht="22.5" customHeight="1" x14ac:dyDescent="0.5">
      <c r="A37" s="148">
        <v>1</v>
      </c>
      <c r="B37" s="149" t="s">
        <v>82</v>
      </c>
      <c r="C37" s="90" t="s">
        <v>83</v>
      </c>
      <c r="D37" s="30" t="s">
        <v>1190</v>
      </c>
      <c r="E37" s="31" t="s">
        <v>1218</v>
      </c>
      <c r="F37" s="32">
        <v>6955</v>
      </c>
    </row>
    <row r="38" spans="1:29" s="60" customFormat="1" ht="22.5" customHeight="1" thickBot="1" x14ac:dyDescent="0.35">
      <c r="A38" s="158"/>
      <c r="B38" s="158" t="s">
        <v>15</v>
      </c>
      <c r="C38" s="159"/>
      <c r="D38" s="161"/>
      <c r="E38" s="161"/>
      <c r="F38" s="162">
        <v>6955</v>
      </c>
      <c r="G38" s="683">
        <f>SUM(F37)</f>
        <v>6955</v>
      </c>
    </row>
    <row r="39" spans="1:29" ht="22.5" customHeight="1" thickTop="1" x14ac:dyDescent="0.3">
      <c r="A39" s="115"/>
      <c r="B39" s="164" t="s">
        <v>85</v>
      </c>
      <c r="C39" s="165"/>
      <c r="D39" s="170"/>
      <c r="E39" s="170"/>
      <c r="F39" s="171"/>
    </row>
    <row r="40" spans="1:29" ht="22.5" customHeight="1" x14ac:dyDescent="0.3">
      <c r="A40" s="174">
        <v>1</v>
      </c>
      <c r="B40" s="175" t="s">
        <v>86</v>
      </c>
      <c r="C40" s="176" t="s">
        <v>87</v>
      </c>
      <c r="D40" s="182"/>
      <c r="E40" s="183"/>
      <c r="F40" s="184"/>
    </row>
    <row r="41" spans="1:29" ht="22.5" customHeight="1" x14ac:dyDescent="0.5">
      <c r="A41" s="174">
        <v>2</v>
      </c>
      <c r="B41" s="189" t="s">
        <v>89</v>
      </c>
      <c r="C41" s="190" t="s">
        <v>90</v>
      </c>
      <c r="D41" s="38" t="s">
        <v>1210</v>
      </c>
      <c r="E41" s="39" t="s">
        <v>1219</v>
      </c>
      <c r="F41" s="40">
        <v>3210</v>
      </c>
    </row>
    <row r="42" spans="1:29" s="60" customFormat="1" ht="22.5" customHeight="1" thickBot="1" x14ac:dyDescent="0.35">
      <c r="A42" s="194"/>
      <c r="B42" s="194" t="s">
        <v>15</v>
      </c>
      <c r="C42" s="195"/>
      <c r="D42" s="198"/>
      <c r="E42" s="199"/>
      <c r="F42" s="200">
        <v>3210</v>
      </c>
      <c r="G42" s="683">
        <f>SUM(F41)</f>
        <v>3210</v>
      </c>
    </row>
    <row r="43" spans="1:29" ht="22.5" customHeight="1" thickTop="1" x14ac:dyDescent="0.3">
      <c r="A43" s="61"/>
      <c r="B43" s="62" t="s">
        <v>92</v>
      </c>
      <c r="C43" s="63"/>
      <c r="D43" s="68"/>
      <c r="E43" s="68"/>
      <c r="F43" s="64"/>
    </row>
    <row r="44" spans="1:29" ht="22.5" customHeight="1" x14ac:dyDescent="0.5">
      <c r="A44" s="208">
        <v>1</v>
      </c>
      <c r="B44" s="209" t="s">
        <v>93</v>
      </c>
      <c r="C44" s="210" t="s">
        <v>43</v>
      </c>
      <c r="D44" s="30" t="s">
        <v>1195</v>
      </c>
      <c r="E44" s="31" t="s">
        <v>1220</v>
      </c>
      <c r="F44" s="32">
        <v>3926.9</v>
      </c>
    </row>
    <row r="45" spans="1:29" ht="22.5" customHeight="1" x14ac:dyDescent="0.5">
      <c r="A45" s="208">
        <v>2</v>
      </c>
      <c r="B45" s="209" t="s">
        <v>95</v>
      </c>
      <c r="C45" s="210" t="s">
        <v>43</v>
      </c>
      <c r="D45" s="30" t="s">
        <v>1195</v>
      </c>
      <c r="E45" s="31" t="s">
        <v>1220</v>
      </c>
      <c r="F45" s="32">
        <v>6762.4</v>
      </c>
    </row>
    <row r="46" spans="1:29" ht="22.5" customHeight="1" x14ac:dyDescent="0.5">
      <c r="A46" s="208">
        <v>3</v>
      </c>
      <c r="B46" s="73" t="s">
        <v>96</v>
      </c>
      <c r="C46" s="25" t="s">
        <v>97</v>
      </c>
      <c r="D46" s="30" t="s">
        <v>1187</v>
      </c>
      <c r="E46" s="220" t="s">
        <v>1221</v>
      </c>
      <c r="F46" s="221">
        <v>5874.3</v>
      </c>
    </row>
    <row r="47" spans="1:29" ht="22.5" customHeight="1" x14ac:dyDescent="0.5">
      <c r="A47" s="208">
        <v>4</v>
      </c>
      <c r="B47" s="73" t="s">
        <v>99</v>
      </c>
      <c r="C47" s="25" t="s">
        <v>100</v>
      </c>
      <c r="D47" s="30" t="s">
        <v>1222</v>
      </c>
      <c r="E47" s="31" t="s">
        <v>1223</v>
      </c>
      <c r="F47" s="32">
        <v>8014.2999999999993</v>
      </c>
    </row>
    <row r="48" spans="1:29" ht="22.5" customHeight="1" x14ac:dyDescent="0.5">
      <c r="A48" s="208">
        <v>5</v>
      </c>
      <c r="B48" s="24" t="s">
        <v>102</v>
      </c>
      <c r="C48" s="222" t="s">
        <v>100</v>
      </c>
      <c r="D48" s="30" t="s">
        <v>1222</v>
      </c>
      <c r="E48" s="31" t="s">
        <v>1223</v>
      </c>
      <c r="F48" s="32">
        <v>406.6</v>
      </c>
    </row>
    <row r="49" spans="1:6" ht="22.5" customHeight="1" x14ac:dyDescent="0.5">
      <c r="A49" s="208">
        <v>6</v>
      </c>
      <c r="B49" s="73" t="s">
        <v>104</v>
      </c>
      <c r="C49" s="25" t="s">
        <v>97</v>
      </c>
      <c r="D49" s="30" t="s">
        <v>1201</v>
      </c>
      <c r="E49" s="31" t="s">
        <v>1224</v>
      </c>
      <c r="F49" s="32">
        <v>15001.4</v>
      </c>
    </row>
    <row r="50" spans="1:6" ht="22.5" customHeight="1" x14ac:dyDescent="0.5">
      <c r="A50" s="208">
        <v>7</v>
      </c>
      <c r="B50" s="73" t="s">
        <v>105</v>
      </c>
      <c r="C50" s="25" t="s">
        <v>97</v>
      </c>
      <c r="D50" s="30" t="s">
        <v>1199</v>
      </c>
      <c r="E50" s="31" t="s">
        <v>1225</v>
      </c>
      <c r="F50" s="32">
        <v>10582.3</v>
      </c>
    </row>
    <row r="51" spans="1:6" ht="22.5" customHeight="1" x14ac:dyDescent="0.5">
      <c r="A51" s="208">
        <v>8</v>
      </c>
      <c r="B51" s="73" t="s">
        <v>107</v>
      </c>
      <c r="C51" s="25" t="s">
        <v>97</v>
      </c>
      <c r="D51" s="30" t="s">
        <v>1226</v>
      </c>
      <c r="E51" s="31" t="s">
        <v>1227</v>
      </c>
      <c r="F51" s="32">
        <v>1070</v>
      </c>
    </row>
    <row r="52" spans="1:6" ht="22.5" customHeight="1" x14ac:dyDescent="0.5">
      <c r="A52" s="208">
        <v>9</v>
      </c>
      <c r="B52" s="209" t="s">
        <v>109</v>
      </c>
      <c r="C52" s="210" t="s">
        <v>97</v>
      </c>
      <c r="D52" s="30" t="s">
        <v>1228</v>
      </c>
      <c r="E52" s="31" t="s">
        <v>1229</v>
      </c>
      <c r="F52" s="32">
        <v>71037.3</v>
      </c>
    </row>
    <row r="53" spans="1:6" ht="22.5" customHeight="1" x14ac:dyDescent="0.5">
      <c r="A53" s="208">
        <v>10</v>
      </c>
      <c r="B53" s="73" t="s">
        <v>110</v>
      </c>
      <c r="C53" s="25" t="s">
        <v>87</v>
      </c>
      <c r="D53" s="30" t="s">
        <v>1187</v>
      </c>
      <c r="E53" s="31" t="s">
        <v>1230</v>
      </c>
      <c r="F53" s="32">
        <v>7179.7</v>
      </c>
    </row>
    <row r="54" spans="1:6" ht="22.5" customHeight="1" x14ac:dyDescent="0.5">
      <c r="A54" s="208">
        <v>11</v>
      </c>
      <c r="B54" s="73" t="s">
        <v>112</v>
      </c>
      <c r="C54" s="25" t="s">
        <v>113</v>
      </c>
      <c r="D54" s="30" t="s">
        <v>1231</v>
      </c>
      <c r="E54" s="31" t="s">
        <v>1232</v>
      </c>
      <c r="F54" s="32">
        <v>1968.8</v>
      </c>
    </row>
    <row r="55" spans="1:6" ht="22.5" customHeight="1" x14ac:dyDescent="0.5">
      <c r="A55" s="208">
        <v>12</v>
      </c>
      <c r="B55" s="73" t="s">
        <v>117</v>
      </c>
      <c r="C55" s="25" t="s">
        <v>118</v>
      </c>
      <c r="D55" s="30" t="s">
        <v>1234</v>
      </c>
      <c r="E55" s="31" t="s">
        <v>1235</v>
      </c>
      <c r="F55" s="32">
        <v>1605</v>
      </c>
    </row>
    <row r="56" spans="1:6" ht="22.5" customHeight="1" x14ac:dyDescent="0.5">
      <c r="A56" s="208">
        <v>13</v>
      </c>
      <c r="B56" s="73" t="s">
        <v>120</v>
      </c>
      <c r="C56" s="25" t="s">
        <v>118</v>
      </c>
      <c r="D56" s="30" t="s">
        <v>1234</v>
      </c>
      <c r="E56" s="31" t="s">
        <v>1235</v>
      </c>
      <c r="F56" s="32">
        <v>5820.8</v>
      </c>
    </row>
    <row r="57" spans="1:6" ht="22.5" customHeight="1" x14ac:dyDescent="0.5">
      <c r="A57" s="208">
        <v>14</v>
      </c>
      <c r="B57" s="73" t="s">
        <v>121</v>
      </c>
      <c r="C57" s="83" t="s">
        <v>122</v>
      </c>
      <c r="D57" s="30" t="s">
        <v>1236</v>
      </c>
      <c r="E57" s="31" t="s">
        <v>1237</v>
      </c>
      <c r="F57" s="32">
        <v>14177.5</v>
      </c>
    </row>
    <row r="58" spans="1:6" ht="22.5" customHeight="1" x14ac:dyDescent="0.5">
      <c r="A58" s="208">
        <v>15</v>
      </c>
      <c r="B58" s="73" t="s">
        <v>121</v>
      </c>
      <c r="C58" s="83" t="s">
        <v>122</v>
      </c>
      <c r="D58" s="30" t="s">
        <v>1236</v>
      </c>
      <c r="E58" s="31" t="s">
        <v>1237</v>
      </c>
      <c r="F58" s="32">
        <v>6987.0999999999995</v>
      </c>
    </row>
    <row r="59" spans="1:6" ht="22.5" customHeight="1" x14ac:dyDescent="0.5">
      <c r="A59" s="208">
        <v>16</v>
      </c>
      <c r="B59" s="73" t="s">
        <v>124</v>
      </c>
      <c r="C59" s="83" t="s">
        <v>125</v>
      </c>
      <c r="D59" s="30" t="s">
        <v>1238</v>
      </c>
      <c r="E59" s="31" t="s">
        <v>1239</v>
      </c>
      <c r="F59" s="32">
        <v>10550.2</v>
      </c>
    </row>
    <row r="60" spans="1:6" ht="22.5" customHeight="1" x14ac:dyDescent="0.5">
      <c r="A60" s="208">
        <v>17</v>
      </c>
      <c r="B60" s="78" t="s">
        <v>129</v>
      </c>
      <c r="C60" s="210" t="s">
        <v>130</v>
      </c>
      <c r="D60" s="30" t="s">
        <v>1240</v>
      </c>
      <c r="E60" s="31" t="s">
        <v>1241</v>
      </c>
      <c r="F60" s="32">
        <v>5531.9</v>
      </c>
    </row>
    <row r="61" spans="1:6" ht="22.5" customHeight="1" x14ac:dyDescent="0.5">
      <c r="A61" s="208">
        <v>18</v>
      </c>
      <c r="B61" s="78" t="s">
        <v>132</v>
      </c>
      <c r="C61" s="210" t="s">
        <v>130</v>
      </c>
      <c r="D61" s="30" t="s">
        <v>1240</v>
      </c>
      <c r="E61" s="31" t="s">
        <v>1241</v>
      </c>
      <c r="F61" s="32">
        <v>23005</v>
      </c>
    </row>
    <row r="62" spans="1:6" ht="22.5" customHeight="1" x14ac:dyDescent="0.5">
      <c r="A62" s="208">
        <v>19</v>
      </c>
      <c r="B62" s="78" t="s">
        <v>134</v>
      </c>
      <c r="C62" s="165" t="s">
        <v>135</v>
      </c>
      <c r="D62" s="38" t="s">
        <v>1195</v>
      </c>
      <c r="E62" s="39" t="s">
        <v>1242</v>
      </c>
      <c r="F62" s="40">
        <v>1540.8</v>
      </c>
    </row>
    <row r="63" spans="1:6" s="229" customFormat="1" ht="22.5" customHeight="1" x14ac:dyDescent="0.5">
      <c r="A63" s="208">
        <v>20</v>
      </c>
      <c r="B63" s="226" t="s">
        <v>137</v>
      </c>
      <c r="C63" s="227"/>
      <c r="D63" s="38" t="s">
        <v>1201</v>
      </c>
      <c r="E63" s="39" t="s">
        <v>1243</v>
      </c>
      <c r="F63" s="40">
        <v>3648.7</v>
      </c>
    </row>
    <row r="64" spans="1:6" ht="22.5" customHeight="1" x14ac:dyDescent="0.5">
      <c r="A64" s="208">
        <v>21</v>
      </c>
      <c r="B64" s="78" t="s">
        <v>54</v>
      </c>
      <c r="C64" s="81" t="s">
        <v>55</v>
      </c>
      <c r="D64" s="38" t="s">
        <v>1204</v>
      </c>
      <c r="E64" s="39" t="s">
        <v>1244</v>
      </c>
      <c r="F64" s="40">
        <v>20886.400000000001</v>
      </c>
    </row>
    <row r="65" spans="1:6" ht="22.5" customHeight="1" x14ac:dyDescent="0.5">
      <c r="A65" s="208">
        <v>22</v>
      </c>
      <c r="B65" s="78" t="s">
        <v>141</v>
      </c>
      <c r="C65" s="81" t="s">
        <v>142</v>
      </c>
      <c r="D65" s="38" t="s">
        <v>1185</v>
      </c>
      <c r="E65" s="39" t="s">
        <v>1245</v>
      </c>
      <c r="F65" s="40">
        <v>4055.3</v>
      </c>
    </row>
    <row r="66" spans="1:6" ht="22.5" customHeight="1" x14ac:dyDescent="0.5">
      <c r="A66" s="208">
        <v>23</v>
      </c>
      <c r="B66" s="78" t="s">
        <v>144</v>
      </c>
      <c r="C66" s="81" t="s">
        <v>145</v>
      </c>
      <c r="D66" s="38" t="s">
        <v>1246</v>
      </c>
      <c r="E66" s="39" t="s">
        <v>1247</v>
      </c>
      <c r="F66" s="40">
        <v>898.8</v>
      </c>
    </row>
    <row r="67" spans="1:6" ht="22.5" customHeight="1" x14ac:dyDescent="0.5">
      <c r="A67" s="208">
        <v>24</v>
      </c>
      <c r="B67" s="73" t="s">
        <v>147</v>
      </c>
      <c r="C67" s="25" t="s">
        <v>148</v>
      </c>
      <c r="D67" s="38" t="s">
        <v>1248</v>
      </c>
      <c r="E67" s="39" t="s">
        <v>1249</v>
      </c>
      <c r="F67" s="40">
        <v>203.3</v>
      </c>
    </row>
    <row r="68" spans="1:6" ht="22.5" customHeight="1" x14ac:dyDescent="0.5">
      <c r="A68" s="208">
        <v>25</v>
      </c>
      <c r="B68" s="237" t="s">
        <v>149</v>
      </c>
      <c r="C68" s="238" t="s">
        <v>150</v>
      </c>
      <c r="D68" s="38" t="s">
        <v>1187</v>
      </c>
      <c r="E68" s="39" t="s">
        <v>1250</v>
      </c>
      <c r="F68" s="40">
        <v>1144.9000000000001</v>
      </c>
    </row>
    <row r="69" spans="1:6" ht="22.5" customHeight="1" x14ac:dyDescent="0.5">
      <c r="A69" s="208">
        <v>26</v>
      </c>
      <c r="B69" s="240" t="s">
        <v>569</v>
      </c>
      <c r="C69" s="83" t="s">
        <v>153</v>
      </c>
      <c r="D69" s="38" t="s">
        <v>1195</v>
      </c>
      <c r="E69" s="39" t="s">
        <v>1251</v>
      </c>
      <c r="F69" s="40">
        <v>4996.8999999999996</v>
      </c>
    </row>
    <row r="70" spans="1:6" ht="22.5" customHeight="1" x14ac:dyDescent="0.5">
      <c r="A70" s="208">
        <v>27</v>
      </c>
      <c r="B70" s="240" t="s">
        <v>569</v>
      </c>
      <c r="C70" s="83"/>
      <c r="D70" s="38" t="s">
        <v>1195</v>
      </c>
      <c r="E70" s="39" t="s">
        <v>1251</v>
      </c>
      <c r="F70" s="40">
        <v>10603.7</v>
      </c>
    </row>
    <row r="71" spans="1:6" ht="22.5" customHeight="1" x14ac:dyDescent="0.5">
      <c r="A71" s="208">
        <v>28</v>
      </c>
      <c r="B71" s="240" t="s">
        <v>157</v>
      </c>
      <c r="C71" s="83" t="s">
        <v>158</v>
      </c>
      <c r="D71" s="38" t="s">
        <v>1185</v>
      </c>
      <c r="E71" s="39" t="s">
        <v>1252</v>
      </c>
      <c r="F71" s="40">
        <v>1690.6</v>
      </c>
    </row>
    <row r="72" spans="1:6" ht="22.5" customHeight="1" x14ac:dyDescent="0.5">
      <c r="A72" s="208">
        <v>29</v>
      </c>
      <c r="B72" s="240" t="s">
        <v>162</v>
      </c>
      <c r="C72" s="83" t="s">
        <v>163</v>
      </c>
      <c r="D72" s="38" t="s">
        <v>1253</v>
      </c>
      <c r="E72" s="39" t="s">
        <v>1254</v>
      </c>
      <c r="F72" s="40">
        <v>9576.5</v>
      </c>
    </row>
    <row r="73" spans="1:6" ht="22.5" customHeight="1" x14ac:dyDescent="0.5">
      <c r="A73" s="208">
        <v>30</v>
      </c>
      <c r="B73" s="209" t="s">
        <v>165</v>
      </c>
      <c r="C73" s="210" t="s">
        <v>166</v>
      </c>
      <c r="D73" s="38" t="s">
        <v>1210</v>
      </c>
      <c r="E73" s="39" t="s">
        <v>1255</v>
      </c>
      <c r="F73" s="40">
        <v>813.2</v>
      </c>
    </row>
    <row r="74" spans="1:6" ht="22.5" customHeight="1" x14ac:dyDescent="0.5">
      <c r="A74" s="208">
        <v>31</v>
      </c>
      <c r="B74" s="243" t="s">
        <v>168</v>
      </c>
      <c r="C74" s="244" t="s">
        <v>169</v>
      </c>
      <c r="D74" s="30" t="s">
        <v>1256</v>
      </c>
      <c r="E74" s="31" t="s">
        <v>1257</v>
      </c>
      <c r="F74" s="32">
        <v>3648.7</v>
      </c>
    </row>
    <row r="75" spans="1:6" ht="22.5" customHeight="1" x14ac:dyDescent="0.5">
      <c r="A75" s="208">
        <v>32</v>
      </c>
      <c r="B75" s="209" t="s">
        <v>171</v>
      </c>
      <c r="C75" s="210"/>
      <c r="D75" s="38" t="s">
        <v>1210</v>
      </c>
      <c r="E75" s="39" t="s">
        <v>1258</v>
      </c>
      <c r="F75" s="40">
        <v>545.70000000000005</v>
      </c>
    </row>
    <row r="76" spans="1:6" ht="22.5" customHeight="1" x14ac:dyDescent="0.5">
      <c r="A76" s="208">
        <v>33</v>
      </c>
      <c r="B76" s="209" t="s">
        <v>173</v>
      </c>
      <c r="C76" s="210" t="s">
        <v>174</v>
      </c>
      <c r="D76" s="38" t="s">
        <v>1259</v>
      </c>
      <c r="E76" s="39" t="s">
        <v>1260</v>
      </c>
      <c r="F76" s="40">
        <v>1284</v>
      </c>
    </row>
    <row r="77" spans="1:6" ht="22.5" customHeight="1" x14ac:dyDescent="0.5">
      <c r="A77" s="208">
        <v>34</v>
      </c>
      <c r="B77" s="209" t="s">
        <v>175</v>
      </c>
      <c r="C77" s="210" t="s">
        <v>176</v>
      </c>
      <c r="D77" s="30" t="s">
        <v>1261</v>
      </c>
      <c r="E77" s="31" t="s">
        <v>1262</v>
      </c>
      <c r="F77" s="32">
        <v>5660.3</v>
      </c>
    </row>
    <row r="78" spans="1:6" ht="22.5" customHeight="1" x14ac:dyDescent="0.5">
      <c r="A78" s="208">
        <v>35</v>
      </c>
      <c r="B78" s="209" t="s">
        <v>181</v>
      </c>
      <c r="C78" s="210" t="s">
        <v>182</v>
      </c>
      <c r="D78" s="38" t="s">
        <v>1185</v>
      </c>
      <c r="E78" s="39" t="s">
        <v>1263</v>
      </c>
      <c r="F78" s="40">
        <v>438.7</v>
      </c>
    </row>
    <row r="79" spans="1:6" ht="22.5" customHeight="1" x14ac:dyDescent="0.5">
      <c r="A79" s="208">
        <v>36</v>
      </c>
      <c r="B79" s="209" t="s">
        <v>64</v>
      </c>
      <c r="C79" s="210" t="s">
        <v>184</v>
      </c>
      <c r="D79" s="38" t="s">
        <v>1185</v>
      </c>
      <c r="E79" s="245" t="s">
        <v>1264</v>
      </c>
      <c r="F79" s="246">
        <v>1904.6</v>
      </c>
    </row>
    <row r="80" spans="1:6" ht="22.5" customHeight="1" x14ac:dyDescent="0.5">
      <c r="A80" s="208">
        <v>37</v>
      </c>
      <c r="B80" s="209" t="s">
        <v>64</v>
      </c>
      <c r="C80" s="210" t="s">
        <v>184</v>
      </c>
      <c r="D80" s="38" t="s">
        <v>1185</v>
      </c>
      <c r="E80" s="245" t="s">
        <v>1264</v>
      </c>
      <c r="F80" s="246">
        <v>1701.3</v>
      </c>
    </row>
    <row r="81" spans="1:6" ht="22.5" customHeight="1" x14ac:dyDescent="0.5">
      <c r="A81" s="208">
        <v>38</v>
      </c>
      <c r="B81" s="209" t="s">
        <v>186</v>
      </c>
      <c r="C81" s="210" t="s">
        <v>187</v>
      </c>
      <c r="D81" s="38" t="s">
        <v>1210</v>
      </c>
      <c r="E81" s="39" t="s">
        <v>1265</v>
      </c>
      <c r="F81" s="246">
        <v>663.4</v>
      </c>
    </row>
    <row r="82" spans="1:6" ht="22.5" customHeight="1" x14ac:dyDescent="0.5">
      <c r="A82" s="208">
        <v>39</v>
      </c>
      <c r="B82" s="209" t="s">
        <v>191</v>
      </c>
      <c r="C82" s="210" t="s">
        <v>190</v>
      </c>
      <c r="D82" s="38" t="s">
        <v>1266</v>
      </c>
      <c r="E82" s="39" t="s">
        <v>1267</v>
      </c>
      <c r="F82" s="246">
        <v>8132</v>
      </c>
    </row>
    <row r="83" spans="1:6" ht="22.5" customHeight="1" x14ac:dyDescent="0.5">
      <c r="A83" s="208">
        <v>40</v>
      </c>
      <c r="B83" s="209" t="s">
        <v>193</v>
      </c>
      <c r="C83" s="210" t="s">
        <v>194</v>
      </c>
      <c r="D83" s="38" t="s">
        <v>1193</v>
      </c>
      <c r="E83" s="39" t="s">
        <v>1268</v>
      </c>
      <c r="F83" s="246">
        <v>749</v>
      </c>
    </row>
    <row r="84" spans="1:6" ht="22.5" customHeight="1" x14ac:dyDescent="0.5">
      <c r="A84" s="208">
        <v>41</v>
      </c>
      <c r="B84" s="209" t="s">
        <v>195</v>
      </c>
      <c r="C84" s="210" t="s">
        <v>196</v>
      </c>
      <c r="D84" s="38" t="s">
        <v>1185</v>
      </c>
      <c r="E84" s="245" t="s">
        <v>1269</v>
      </c>
      <c r="F84" s="246">
        <v>545.70000000000005</v>
      </c>
    </row>
    <row r="85" spans="1:6" ht="22.5" customHeight="1" x14ac:dyDescent="0.5">
      <c r="A85" s="208">
        <v>42</v>
      </c>
      <c r="B85" s="209" t="s">
        <v>198</v>
      </c>
      <c r="C85" s="210" t="s">
        <v>567</v>
      </c>
      <c r="D85" s="38" t="s">
        <v>1197</v>
      </c>
      <c r="E85" s="245" t="s">
        <v>1270</v>
      </c>
      <c r="F85" s="246">
        <v>952.3</v>
      </c>
    </row>
    <row r="86" spans="1:6" ht="22.5" customHeight="1" x14ac:dyDescent="0.5">
      <c r="A86" s="208">
        <v>43</v>
      </c>
      <c r="B86" s="209" t="s">
        <v>203</v>
      </c>
      <c r="C86" s="210" t="s">
        <v>204</v>
      </c>
      <c r="D86" s="30" t="s">
        <v>1210</v>
      </c>
      <c r="E86" s="31" t="s">
        <v>1271</v>
      </c>
      <c r="F86" s="221">
        <v>941.6</v>
      </c>
    </row>
    <row r="87" spans="1:6" ht="22.5" customHeight="1" x14ac:dyDescent="0.5">
      <c r="A87" s="208">
        <v>44</v>
      </c>
      <c r="B87" s="209" t="s">
        <v>205</v>
      </c>
      <c r="C87" s="210" t="s">
        <v>206</v>
      </c>
      <c r="D87" s="30" t="s">
        <v>1210</v>
      </c>
      <c r="E87" s="249" t="s">
        <v>1272</v>
      </c>
      <c r="F87" s="221">
        <v>963</v>
      </c>
    </row>
    <row r="88" spans="1:6" ht="22.5" customHeight="1" x14ac:dyDescent="0.5">
      <c r="A88" s="208">
        <v>45</v>
      </c>
      <c r="B88" s="209" t="s">
        <v>208</v>
      </c>
      <c r="C88" s="210"/>
      <c r="D88" s="250" t="s">
        <v>1273</v>
      </c>
      <c r="E88" s="251" t="s">
        <v>1274</v>
      </c>
      <c r="F88" s="252">
        <v>6077.6</v>
      </c>
    </row>
    <row r="89" spans="1:6" ht="22.5" customHeight="1" x14ac:dyDescent="0.5">
      <c r="A89" s="208">
        <v>46</v>
      </c>
      <c r="B89" s="209" t="s">
        <v>210</v>
      </c>
      <c r="C89" s="210" t="s">
        <v>211</v>
      </c>
      <c r="D89" s="38" t="s">
        <v>1275</v>
      </c>
      <c r="E89" s="39" t="s">
        <v>1276</v>
      </c>
      <c r="F89" s="246">
        <v>8731.2000000000007</v>
      </c>
    </row>
    <row r="90" spans="1:6" ht="22.5" customHeight="1" x14ac:dyDescent="0.5">
      <c r="A90" s="208">
        <v>47</v>
      </c>
      <c r="B90" s="209" t="s">
        <v>214</v>
      </c>
      <c r="C90" s="210" t="s">
        <v>215</v>
      </c>
      <c r="D90" s="38" t="s">
        <v>1259</v>
      </c>
      <c r="E90" s="39" t="s">
        <v>1277</v>
      </c>
      <c r="F90" s="246">
        <v>963</v>
      </c>
    </row>
    <row r="91" spans="1:6" ht="22.5" customHeight="1" x14ac:dyDescent="0.5">
      <c r="A91" s="208">
        <v>48</v>
      </c>
      <c r="B91" s="254" t="s">
        <v>217</v>
      </c>
      <c r="C91" s="238" t="s">
        <v>218</v>
      </c>
      <c r="D91" s="38" t="s">
        <v>1210</v>
      </c>
      <c r="E91" s="245" t="s">
        <v>1278</v>
      </c>
      <c r="F91" s="246">
        <v>4055.3</v>
      </c>
    </row>
    <row r="92" spans="1:6" ht="22.5" customHeight="1" x14ac:dyDescent="0.5">
      <c r="A92" s="208">
        <v>49</v>
      </c>
      <c r="B92" s="261" t="s">
        <v>224</v>
      </c>
      <c r="C92" s="261" t="s">
        <v>225</v>
      </c>
      <c r="D92" s="38" t="s">
        <v>1279</v>
      </c>
      <c r="E92" s="245" t="s">
        <v>1280</v>
      </c>
      <c r="F92" s="246">
        <v>353.1</v>
      </c>
    </row>
    <row r="93" spans="1:6" ht="22.5" customHeight="1" x14ac:dyDescent="0.5">
      <c r="A93" s="208">
        <v>50</v>
      </c>
      <c r="B93" s="265" t="s">
        <v>226</v>
      </c>
      <c r="C93" s="265" t="s">
        <v>227</v>
      </c>
      <c r="D93" s="38" t="s">
        <v>1193</v>
      </c>
      <c r="E93" s="245" t="s">
        <v>1281</v>
      </c>
      <c r="F93" s="246">
        <v>3584.5</v>
      </c>
    </row>
    <row r="94" spans="1:6" ht="22.5" customHeight="1" x14ac:dyDescent="0.5">
      <c r="A94" s="208">
        <v>51</v>
      </c>
      <c r="B94" s="265" t="s">
        <v>229</v>
      </c>
      <c r="C94" s="265" t="s">
        <v>230</v>
      </c>
      <c r="D94" s="101" t="s">
        <v>1282</v>
      </c>
      <c r="E94" s="102" t="s">
        <v>1283</v>
      </c>
      <c r="F94" s="272">
        <v>17184.199999999997</v>
      </c>
    </row>
    <row r="95" spans="1:6" ht="22.5" customHeight="1" x14ac:dyDescent="0.5">
      <c r="A95" s="208">
        <v>52</v>
      </c>
      <c r="B95" s="265" t="s">
        <v>566</v>
      </c>
      <c r="C95" s="265" t="s">
        <v>567</v>
      </c>
      <c r="D95" s="672" t="s">
        <v>1210</v>
      </c>
      <c r="E95" s="673" t="s">
        <v>1284</v>
      </c>
      <c r="F95" s="674">
        <v>2172.1</v>
      </c>
    </row>
    <row r="96" spans="1:6" ht="22.5" customHeight="1" x14ac:dyDescent="0.5">
      <c r="A96" s="208">
        <v>53</v>
      </c>
      <c r="B96" s="265" t="s">
        <v>568</v>
      </c>
      <c r="C96" s="265" t="s">
        <v>567</v>
      </c>
      <c r="D96" s="678" t="s">
        <v>1210</v>
      </c>
      <c r="E96" s="679" t="s">
        <v>1284</v>
      </c>
      <c r="F96" s="680">
        <v>3135.1</v>
      </c>
    </row>
    <row r="97" spans="1:7" ht="22.5" customHeight="1" x14ac:dyDescent="0.5">
      <c r="A97" s="208">
        <v>54</v>
      </c>
      <c r="B97" s="265" t="s">
        <v>705</v>
      </c>
      <c r="C97" s="794" t="s">
        <v>1288</v>
      </c>
      <c r="D97" s="672" t="s">
        <v>1259</v>
      </c>
      <c r="E97" s="673" t="s">
        <v>1285</v>
      </c>
      <c r="F97" s="674">
        <v>706.2</v>
      </c>
    </row>
    <row r="98" spans="1:7" ht="22.5" customHeight="1" x14ac:dyDescent="0.5">
      <c r="A98" s="208">
        <v>55</v>
      </c>
      <c r="B98" s="265" t="s">
        <v>1287</v>
      </c>
      <c r="C98" s="265" t="s">
        <v>1288</v>
      </c>
      <c r="D98" s="672" t="s">
        <v>1210</v>
      </c>
      <c r="E98" s="673" t="s">
        <v>1286</v>
      </c>
      <c r="F98" s="674">
        <v>1326.8</v>
      </c>
    </row>
    <row r="99" spans="1:7" s="60" customFormat="1" ht="22.5" customHeight="1" thickBot="1" x14ac:dyDescent="0.35">
      <c r="A99" s="278"/>
      <c r="B99" s="278" t="s">
        <v>15</v>
      </c>
      <c r="C99" s="279"/>
      <c r="D99" s="280">
        <v>0</v>
      </c>
      <c r="E99" s="280">
        <v>0</v>
      </c>
      <c r="F99" s="280">
        <v>335979.99999999988</v>
      </c>
      <c r="G99" s="683">
        <f>SUM(F44:F98)</f>
        <v>335979.99999999988</v>
      </c>
    </row>
    <row r="100" spans="1:7" ht="22.5" customHeight="1" thickTop="1" x14ac:dyDescent="0.3">
      <c r="A100" s="61"/>
      <c r="B100" s="121" t="s">
        <v>232</v>
      </c>
      <c r="C100" s="63"/>
      <c r="D100" s="286"/>
      <c r="E100" s="287"/>
      <c r="F100" s="288"/>
    </row>
    <row r="101" spans="1:7" ht="22.5" customHeight="1" x14ac:dyDescent="0.5">
      <c r="A101" s="23">
        <v>1</v>
      </c>
      <c r="B101" s="73" t="s">
        <v>234</v>
      </c>
      <c r="C101" s="25" t="s">
        <v>235</v>
      </c>
      <c r="D101" s="30" t="s">
        <v>1210</v>
      </c>
      <c r="E101" s="31" t="s">
        <v>1289</v>
      </c>
      <c r="F101" s="32">
        <v>9450</v>
      </c>
    </row>
    <row r="102" spans="1:7" ht="22.5" customHeight="1" x14ac:dyDescent="0.5">
      <c r="A102" s="23">
        <v>2</v>
      </c>
      <c r="B102" s="73" t="s">
        <v>237</v>
      </c>
      <c r="C102" s="25" t="s">
        <v>238</v>
      </c>
      <c r="D102" s="30" t="s">
        <v>1210</v>
      </c>
      <c r="E102" s="31" t="s">
        <v>1290</v>
      </c>
      <c r="F102" s="32">
        <v>3150</v>
      </c>
    </row>
    <row r="103" spans="1:7" ht="22.5" customHeight="1" x14ac:dyDescent="0.5">
      <c r="A103" s="23">
        <v>3</v>
      </c>
      <c r="B103" s="73" t="s">
        <v>240</v>
      </c>
      <c r="C103" s="25" t="s">
        <v>241</v>
      </c>
      <c r="D103" s="30" t="s">
        <v>1275</v>
      </c>
      <c r="E103" s="31" t="s">
        <v>1291</v>
      </c>
      <c r="F103" s="32">
        <v>15750</v>
      </c>
    </row>
    <row r="104" spans="1:7" ht="22.5" customHeight="1" x14ac:dyDescent="0.5">
      <c r="A104" s="23">
        <v>4</v>
      </c>
      <c r="B104" s="73" t="s">
        <v>240</v>
      </c>
      <c r="C104" s="25" t="s">
        <v>242</v>
      </c>
      <c r="D104" s="30" t="s">
        <v>1275</v>
      </c>
      <c r="E104" s="31" t="s">
        <v>1291</v>
      </c>
      <c r="F104" s="32">
        <v>6300</v>
      </c>
    </row>
    <row r="105" spans="1:7" ht="22.5" customHeight="1" x14ac:dyDescent="0.5">
      <c r="A105" s="23">
        <v>5</v>
      </c>
      <c r="B105" s="73" t="s">
        <v>198</v>
      </c>
      <c r="C105" s="25" t="s">
        <v>243</v>
      </c>
      <c r="D105" s="30" t="s">
        <v>1197</v>
      </c>
      <c r="E105" s="31" t="s">
        <v>1292</v>
      </c>
      <c r="F105" s="32">
        <v>22050</v>
      </c>
    </row>
    <row r="106" spans="1:7" ht="22.5" customHeight="1" x14ac:dyDescent="0.5">
      <c r="A106" s="23">
        <v>6</v>
      </c>
      <c r="B106" s="73" t="s">
        <v>245</v>
      </c>
      <c r="C106" s="25" t="s">
        <v>246</v>
      </c>
      <c r="D106" s="30" t="s">
        <v>1248</v>
      </c>
      <c r="E106" s="31" t="s">
        <v>1293</v>
      </c>
      <c r="F106" s="32">
        <v>9450</v>
      </c>
    </row>
    <row r="107" spans="1:7" ht="22.5" customHeight="1" x14ac:dyDescent="0.5">
      <c r="A107" s="23">
        <v>7</v>
      </c>
      <c r="B107" s="73" t="s">
        <v>248</v>
      </c>
      <c r="C107" s="25" t="s">
        <v>249</v>
      </c>
      <c r="D107" s="30" t="s">
        <v>1279</v>
      </c>
      <c r="E107" s="31" t="s">
        <v>1294</v>
      </c>
      <c r="F107" s="32">
        <v>12600</v>
      </c>
    </row>
    <row r="108" spans="1:7" ht="22.5" customHeight="1" x14ac:dyDescent="0.5">
      <c r="A108" s="23">
        <v>8</v>
      </c>
      <c r="B108" s="209" t="s">
        <v>250</v>
      </c>
      <c r="C108" s="210" t="s">
        <v>251</v>
      </c>
      <c r="D108" s="30" t="s">
        <v>1190</v>
      </c>
      <c r="E108" s="31" t="s">
        <v>1295</v>
      </c>
      <c r="F108" s="32">
        <v>6300</v>
      </c>
    </row>
    <row r="109" spans="1:7" ht="22.5" customHeight="1" x14ac:dyDescent="0.5">
      <c r="A109" s="23">
        <v>9</v>
      </c>
      <c r="B109" s="73" t="s">
        <v>253</v>
      </c>
      <c r="C109" s="25" t="s">
        <v>254</v>
      </c>
      <c r="D109" s="30" t="s">
        <v>1231</v>
      </c>
      <c r="E109" s="31" t="s">
        <v>1296</v>
      </c>
      <c r="F109" s="32">
        <v>9450</v>
      </c>
    </row>
    <row r="110" spans="1:7" ht="22.5" customHeight="1" x14ac:dyDescent="0.5">
      <c r="A110" s="23">
        <v>10</v>
      </c>
      <c r="B110" s="73" t="s">
        <v>257</v>
      </c>
      <c r="C110" s="25" t="s">
        <v>258</v>
      </c>
      <c r="D110" s="30" t="s">
        <v>1248</v>
      </c>
      <c r="E110" s="31" t="s">
        <v>1297</v>
      </c>
      <c r="F110" s="32">
        <v>5600</v>
      </c>
    </row>
    <row r="111" spans="1:7" ht="22.5" customHeight="1" x14ac:dyDescent="0.5">
      <c r="A111" s="23">
        <v>11</v>
      </c>
      <c r="B111" s="73" t="s">
        <v>198</v>
      </c>
      <c r="C111" s="25" t="s">
        <v>260</v>
      </c>
      <c r="D111" s="30" t="s">
        <v>1197</v>
      </c>
      <c r="E111" s="31" t="s">
        <v>1292</v>
      </c>
      <c r="F111" s="32">
        <v>2800</v>
      </c>
    </row>
    <row r="112" spans="1:7" ht="22.5" customHeight="1" x14ac:dyDescent="0.5">
      <c r="A112" s="23">
        <v>12</v>
      </c>
      <c r="B112" s="73" t="s">
        <v>261</v>
      </c>
      <c r="C112" s="25" t="s">
        <v>262</v>
      </c>
      <c r="D112" s="30" t="s">
        <v>1259</v>
      </c>
      <c r="E112" s="31" t="s">
        <v>1298</v>
      </c>
      <c r="F112" s="32">
        <v>5600</v>
      </c>
    </row>
    <row r="113" spans="1:7" ht="22.5" customHeight="1" x14ac:dyDescent="0.5">
      <c r="A113" s="23">
        <v>13</v>
      </c>
      <c r="B113" s="73" t="s">
        <v>264</v>
      </c>
      <c r="C113" s="25" t="s">
        <v>265</v>
      </c>
      <c r="D113" s="30" t="s">
        <v>1259</v>
      </c>
      <c r="E113" s="31" t="s">
        <v>1298</v>
      </c>
      <c r="F113" s="32">
        <v>5600</v>
      </c>
    </row>
    <row r="114" spans="1:7" ht="22.5" customHeight="1" x14ac:dyDescent="0.5">
      <c r="A114" s="23">
        <v>14</v>
      </c>
      <c r="B114" s="73" t="s">
        <v>266</v>
      </c>
      <c r="C114" s="25" t="s">
        <v>267</v>
      </c>
      <c r="D114" s="30" t="s">
        <v>1240</v>
      </c>
      <c r="E114" s="31" t="s">
        <v>1299</v>
      </c>
      <c r="F114" s="32">
        <v>5600</v>
      </c>
    </row>
    <row r="115" spans="1:7" ht="22.5" customHeight="1" x14ac:dyDescent="0.5">
      <c r="A115" s="23">
        <v>15</v>
      </c>
      <c r="B115" s="73" t="s">
        <v>270</v>
      </c>
      <c r="C115" s="25" t="s">
        <v>271</v>
      </c>
      <c r="D115" s="30" t="s">
        <v>1300</v>
      </c>
      <c r="E115" s="31" t="s">
        <v>1301</v>
      </c>
      <c r="F115" s="32">
        <v>9450</v>
      </c>
    </row>
    <row r="116" spans="1:7" ht="22.5" customHeight="1" x14ac:dyDescent="0.5">
      <c r="A116" s="23">
        <v>16</v>
      </c>
      <c r="B116" s="73" t="s">
        <v>261</v>
      </c>
      <c r="C116" s="25" t="s">
        <v>273</v>
      </c>
      <c r="D116" s="30" t="s">
        <v>1259</v>
      </c>
      <c r="E116" s="31" t="s">
        <v>1298</v>
      </c>
      <c r="F116" s="32">
        <v>9450</v>
      </c>
    </row>
    <row r="117" spans="1:7" ht="22.5" customHeight="1" x14ac:dyDescent="0.5">
      <c r="A117" s="23">
        <v>17</v>
      </c>
      <c r="B117" s="73" t="s">
        <v>274</v>
      </c>
      <c r="C117" s="25" t="s">
        <v>275</v>
      </c>
      <c r="D117" s="30" t="s">
        <v>1302</v>
      </c>
      <c r="E117" s="31" t="s">
        <v>1303</v>
      </c>
      <c r="F117" s="32">
        <v>3150</v>
      </c>
    </row>
    <row r="118" spans="1:7" ht="22.5" customHeight="1" x14ac:dyDescent="0.5">
      <c r="A118" s="23">
        <v>18</v>
      </c>
      <c r="B118" s="73" t="s">
        <v>277</v>
      </c>
      <c r="C118" s="25" t="s">
        <v>278</v>
      </c>
      <c r="D118" s="30" t="s">
        <v>1199</v>
      </c>
      <c r="E118" s="31" t="s">
        <v>1304</v>
      </c>
      <c r="F118" s="32">
        <v>6300</v>
      </c>
    </row>
    <row r="119" spans="1:7" ht="22.5" customHeight="1" x14ac:dyDescent="0.5">
      <c r="A119" s="23">
        <v>19</v>
      </c>
      <c r="B119" s="73" t="s">
        <v>281</v>
      </c>
      <c r="C119" s="25" t="s">
        <v>282</v>
      </c>
      <c r="D119" s="30" t="s">
        <v>1201</v>
      </c>
      <c r="E119" s="31" t="s">
        <v>1305</v>
      </c>
      <c r="F119" s="32">
        <v>5600</v>
      </c>
    </row>
    <row r="120" spans="1:7" ht="22.5" customHeight="1" x14ac:dyDescent="0.5">
      <c r="A120" s="23">
        <v>20</v>
      </c>
      <c r="B120" s="73" t="s">
        <v>287</v>
      </c>
      <c r="C120" s="25" t="s">
        <v>288</v>
      </c>
      <c r="D120" s="30" t="s">
        <v>1234</v>
      </c>
      <c r="E120" s="31" t="s">
        <v>1306</v>
      </c>
      <c r="F120" s="32">
        <v>11200</v>
      </c>
    </row>
    <row r="121" spans="1:7" ht="22.5" customHeight="1" x14ac:dyDescent="0.5">
      <c r="A121" s="23">
        <v>21</v>
      </c>
      <c r="B121" s="73" t="s">
        <v>290</v>
      </c>
      <c r="C121" s="25" t="s">
        <v>291</v>
      </c>
      <c r="D121" s="30" t="s">
        <v>1193</v>
      </c>
      <c r="E121" s="31" t="s">
        <v>1307</v>
      </c>
      <c r="F121" s="32">
        <v>5600</v>
      </c>
    </row>
    <row r="122" spans="1:7" ht="22.5" customHeight="1" x14ac:dyDescent="0.5">
      <c r="A122" s="23">
        <v>22</v>
      </c>
      <c r="B122" s="73" t="s">
        <v>293</v>
      </c>
      <c r="C122" s="25" t="s">
        <v>294</v>
      </c>
      <c r="D122" s="30" t="s">
        <v>1248</v>
      </c>
      <c r="E122" s="31" t="s">
        <v>1308</v>
      </c>
      <c r="F122" s="32">
        <v>2800</v>
      </c>
    </row>
    <row r="123" spans="1:7" ht="22.5" customHeight="1" x14ac:dyDescent="0.5">
      <c r="A123" s="23">
        <v>23</v>
      </c>
      <c r="B123" s="73" t="s">
        <v>296</v>
      </c>
      <c r="C123" s="25" t="s">
        <v>297</v>
      </c>
      <c r="D123" s="30" t="s">
        <v>1238</v>
      </c>
      <c r="E123" s="31" t="s">
        <v>1309</v>
      </c>
      <c r="F123" s="32">
        <v>11200</v>
      </c>
    </row>
    <row r="124" spans="1:7" ht="22.5" customHeight="1" x14ac:dyDescent="0.5">
      <c r="A124" s="23">
        <v>24</v>
      </c>
      <c r="B124" s="209" t="s">
        <v>300</v>
      </c>
      <c r="C124" s="210" t="s">
        <v>301</v>
      </c>
      <c r="D124" s="30" t="s">
        <v>1279</v>
      </c>
      <c r="E124" s="31" t="s">
        <v>1310</v>
      </c>
      <c r="F124" s="32">
        <v>11200</v>
      </c>
    </row>
    <row r="125" spans="1:7" ht="22.5" customHeight="1" x14ac:dyDescent="0.5">
      <c r="A125" s="23">
        <v>25</v>
      </c>
      <c r="B125" s="209" t="s">
        <v>303</v>
      </c>
      <c r="C125" s="210" t="s">
        <v>304</v>
      </c>
      <c r="D125" s="30" t="s">
        <v>1256</v>
      </c>
      <c r="E125" s="249" t="s">
        <v>1311</v>
      </c>
      <c r="F125" s="221">
        <v>2800</v>
      </c>
    </row>
    <row r="126" spans="1:7" ht="22.5" customHeight="1" x14ac:dyDescent="0.5">
      <c r="A126" s="23">
        <v>26</v>
      </c>
      <c r="B126" s="209" t="s">
        <v>306</v>
      </c>
      <c r="C126" s="210" t="s">
        <v>307</v>
      </c>
      <c r="D126" s="30" t="s">
        <v>1238</v>
      </c>
      <c r="E126" s="31" t="s">
        <v>1309</v>
      </c>
      <c r="F126" s="32">
        <v>11200</v>
      </c>
      <c r="G126" s="309"/>
    </row>
    <row r="127" spans="1:7" ht="22.5" customHeight="1" x14ac:dyDescent="0.5">
      <c r="A127" s="23">
        <v>27</v>
      </c>
      <c r="B127" s="73" t="s">
        <v>308</v>
      </c>
      <c r="C127" s="25" t="s">
        <v>309</v>
      </c>
      <c r="D127" s="30" t="s">
        <v>1190</v>
      </c>
      <c r="E127" s="31" t="s">
        <v>1312</v>
      </c>
      <c r="F127" s="32">
        <v>8400</v>
      </c>
    </row>
    <row r="128" spans="1:7" ht="22.5" customHeight="1" x14ac:dyDescent="0.5">
      <c r="A128" s="23">
        <v>28</v>
      </c>
      <c r="B128" s="73" t="s">
        <v>261</v>
      </c>
      <c r="C128" s="25" t="s">
        <v>311</v>
      </c>
      <c r="D128" s="30" t="s">
        <v>1259</v>
      </c>
      <c r="E128" s="31" t="s">
        <v>1298</v>
      </c>
      <c r="F128" s="32">
        <v>2800</v>
      </c>
    </row>
    <row r="129" spans="1:6" ht="22.5" customHeight="1" x14ac:dyDescent="0.5">
      <c r="A129" s="23">
        <v>29</v>
      </c>
      <c r="B129" s="310" t="s">
        <v>261</v>
      </c>
      <c r="C129" s="311" t="s">
        <v>312</v>
      </c>
      <c r="D129" s="30" t="s">
        <v>1259</v>
      </c>
      <c r="E129" s="31" t="s">
        <v>1298</v>
      </c>
      <c r="F129" s="32">
        <v>2800</v>
      </c>
    </row>
    <row r="130" spans="1:6" ht="22.5" customHeight="1" x14ac:dyDescent="0.5">
      <c r="A130" s="23">
        <v>30</v>
      </c>
      <c r="B130" s="73" t="s">
        <v>313</v>
      </c>
      <c r="C130" s="25" t="s">
        <v>314</v>
      </c>
      <c r="D130" s="30" t="s">
        <v>1231</v>
      </c>
      <c r="E130" s="31" t="s">
        <v>1296</v>
      </c>
      <c r="F130" s="32">
        <v>2800</v>
      </c>
    </row>
    <row r="131" spans="1:6" ht="22.5" customHeight="1" x14ac:dyDescent="0.5">
      <c r="A131" s="23">
        <v>31</v>
      </c>
      <c r="B131" s="73" t="s">
        <v>261</v>
      </c>
      <c r="C131" s="25" t="s">
        <v>316</v>
      </c>
      <c r="D131" s="30" t="s">
        <v>1259</v>
      </c>
      <c r="E131" s="31" t="s">
        <v>1298</v>
      </c>
      <c r="F131" s="32">
        <v>2800</v>
      </c>
    </row>
    <row r="132" spans="1:6" ht="22.5" customHeight="1" x14ac:dyDescent="0.5">
      <c r="A132" s="23">
        <v>32</v>
      </c>
      <c r="B132" s="73" t="s">
        <v>320</v>
      </c>
      <c r="C132" s="25" t="s">
        <v>321</v>
      </c>
      <c r="D132" s="30" t="s">
        <v>1195</v>
      </c>
      <c r="E132" s="31" t="s">
        <v>1313</v>
      </c>
      <c r="F132" s="32">
        <v>2800</v>
      </c>
    </row>
    <row r="133" spans="1:6" ht="22.5" customHeight="1" x14ac:dyDescent="0.5">
      <c r="A133" s="23">
        <v>33</v>
      </c>
      <c r="B133" s="73" t="s">
        <v>322</v>
      </c>
      <c r="C133" s="25" t="s">
        <v>323</v>
      </c>
      <c r="D133" s="30" t="s">
        <v>1256</v>
      </c>
      <c r="E133" s="31" t="s">
        <v>1314</v>
      </c>
      <c r="F133" s="32">
        <v>5600</v>
      </c>
    </row>
    <row r="134" spans="1:6" ht="22.5" customHeight="1" x14ac:dyDescent="0.5">
      <c r="A134" s="23">
        <v>34</v>
      </c>
      <c r="B134" s="73" t="s">
        <v>293</v>
      </c>
      <c r="C134" s="25" t="s">
        <v>326</v>
      </c>
      <c r="D134" s="30" t="s">
        <v>1248</v>
      </c>
      <c r="E134" s="31" t="s">
        <v>1308</v>
      </c>
      <c r="F134" s="32">
        <v>5600</v>
      </c>
    </row>
    <row r="135" spans="1:6" ht="22.5" customHeight="1" x14ac:dyDescent="0.5">
      <c r="A135" s="23">
        <v>35</v>
      </c>
      <c r="B135" s="73" t="s">
        <v>293</v>
      </c>
      <c r="C135" s="25" t="s">
        <v>327</v>
      </c>
      <c r="D135" s="30" t="s">
        <v>1248</v>
      </c>
      <c r="E135" s="31" t="s">
        <v>1308</v>
      </c>
      <c r="F135" s="32">
        <v>5600</v>
      </c>
    </row>
    <row r="136" spans="1:6" ht="22.5" customHeight="1" x14ac:dyDescent="0.5">
      <c r="A136" s="23">
        <v>36</v>
      </c>
      <c r="B136" s="24" t="s">
        <v>329</v>
      </c>
      <c r="C136" s="25" t="s">
        <v>330</v>
      </c>
      <c r="D136" s="30" t="s">
        <v>1197</v>
      </c>
      <c r="E136" s="31" t="s">
        <v>1315</v>
      </c>
      <c r="F136" s="32">
        <v>130536.37</v>
      </c>
    </row>
    <row r="137" spans="1:6" ht="22.5" customHeight="1" x14ac:dyDescent="0.5">
      <c r="A137" s="23">
        <v>37</v>
      </c>
      <c r="B137" s="24" t="s">
        <v>329</v>
      </c>
      <c r="C137" s="25" t="s">
        <v>331</v>
      </c>
      <c r="D137" s="30" t="s">
        <v>1197</v>
      </c>
      <c r="E137" s="31" t="s">
        <v>1316</v>
      </c>
      <c r="F137" s="32">
        <v>96520.67</v>
      </c>
    </row>
    <row r="138" spans="1:6" ht="22.5" customHeight="1" x14ac:dyDescent="0.5">
      <c r="A138" s="23">
        <v>38</v>
      </c>
      <c r="B138" s="24" t="s">
        <v>332</v>
      </c>
      <c r="C138" s="25" t="s">
        <v>333</v>
      </c>
      <c r="D138" s="30" t="s">
        <v>1199</v>
      </c>
      <c r="E138" s="31" t="s">
        <v>1317</v>
      </c>
      <c r="F138" s="32">
        <v>63810</v>
      </c>
    </row>
    <row r="139" spans="1:6" ht="22.5" customHeight="1" x14ac:dyDescent="0.5">
      <c r="A139" s="23">
        <v>39</v>
      </c>
      <c r="B139" s="332" t="s">
        <v>335</v>
      </c>
      <c r="C139" s="81" t="s">
        <v>336</v>
      </c>
      <c r="D139" s="335" t="s">
        <v>1231</v>
      </c>
      <c r="E139" s="336" t="s">
        <v>1318</v>
      </c>
      <c r="F139" s="337">
        <v>60170</v>
      </c>
    </row>
    <row r="140" spans="1:6" ht="22.5" customHeight="1" x14ac:dyDescent="0.5">
      <c r="A140" s="23">
        <v>40</v>
      </c>
      <c r="B140" s="24" t="s">
        <v>338</v>
      </c>
      <c r="C140" s="25" t="s">
        <v>339</v>
      </c>
      <c r="D140" s="335" t="s">
        <v>1190</v>
      </c>
      <c r="E140" s="336" t="s">
        <v>1319</v>
      </c>
      <c r="F140" s="342">
        <v>23527.65</v>
      </c>
    </row>
    <row r="141" spans="1:6" ht="22.5" customHeight="1" x14ac:dyDescent="0.5">
      <c r="A141" s="23">
        <v>41</v>
      </c>
      <c r="B141" s="343" t="s">
        <v>341</v>
      </c>
      <c r="C141" s="165" t="s">
        <v>342</v>
      </c>
      <c r="D141" s="345" t="s">
        <v>1195</v>
      </c>
      <c r="E141" s="346" t="s">
        <v>1320</v>
      </c>
      <c r="F141" s="347">
        <v>20715.32</v>
      </c>
    </row>
    <row r="142" spans="1:6" ht="22.5" customHeight="1" x14ac:dyDescent="0.5">
      <c r="A142" s="23">
        <v>42</v>
      </c>
      <c r="B142" s="332" t="s">
        <v>344</v>
      </c>
      <c r="C142" s="81" t="s">
        <v>345</v>
      </c>
      <c r="D142" s="182" t="s">
        <v>1187</v>
      </c>
      <c r="E142" s="350" t="s">
        <v>1321</v>
      </c>
      <c r="F142" s="337">
        <v>21986</v>
      </c>
    </row>
    <row r="143" spans="1:6" s="356" customFormat="1" ht="22.5" customHeight="1" x14ac:dyDescent="0.5">
      <c r="A143" s="23">
        <v>43</v>
      </c>
      <c r="B143" s="24" t="s">
        <v>347</v>
      </c>
      <c r="C143" s="351" t="s">
        <v>348</v>
      </c>
      <c r="D143" s="30" t="s">
        <v>1185</v>
      </c>
      <c r="E143" s="31" t="s">
        <v>1322</v>
      </c>
      <c r="F143" s="32">
        <v>20000</v>
      </c>
    </row>
    <row r="144" spans="1:6" ht="22.5" customHeight="1" x14ac:dyDescent="0.5">
      <c r="A144" s="23">
        <v>44</v>
      </c>
      <c r="B144" s="290" t="s">
        <v>147</v>
      </c>
      <c r="C144" s="371" t="s">
        <v>351</v>
      </c>
      <c r="D144" s="30" t="s">
        <v>1300</v>
      </c>
      <c r="E144" s="220" t="s">
        <v>1323</v>
      </c>
      <c r="F144" s="221">
        <v>1400</v>
      </c>
    </row>
    <row r="145" spans="1:7" ht="22.5" customHeight="1" x14ac:dyDescent="0.5">
      <c r="A145" s="23">
        <v>45</v>
      </c>
      <c r="B145" s="290" t="s">
        <v>353</v>
      </c>
      <c r="C145" s="371" t="s">
        <v>354</v>
      </c>
      <c r="D145" s="30" t="s">
        <v>1231</v>
      </c>
      <c r="E145" s="220" t="s">
        <v>1324</v>
      </c>
      <c r="F145" s="221">
        <v>11000</v>
      </c>
    </row>
    <row r="146" spans="1:7" ht="22.5" customHeight="1" x14ac:dyDescent="0.5">
      <c r="A146" s="23">
        <v>46</v>
      </c>
      <c r="B146" s="290" t="s">
        <v>355</v>
      </c>
      <c r="C146" s="371" t="s">
        <v>356</v>
      </c>
      <c r="D146" s="30" t="s">
        <v>1187</v>
      </c>
      <c r="E146" s="220" t="s">
        <v>1325</v>
      </c>
      <c r="F146" s="221">
        <v>9400</v>
      </c>
    </row>
    <row r="147" spans="1:7" ht="22.5" customHeight="1" x14ac:dyDescent="0.5">
      <c r="A147" s="23">
        <v>47</v>
      </c>
      <c r="B147" s="374" t="s">
        <v>358</v>
      </c>
      <c r="C147" s="375" t="s">
        <v>356</v>
      </c>
      <c r="D147" s="38" t="s">
        <v>1256</v>
      </c>
      <c r="E147" s="376" t="s">
        <v>1326</v>
      </c>
      <c r="F147" s="246">
        <v>9810</v>
      </c>
    </row>
    <row r="148" spans="1:7" ht="22.5" customHeight="1" x14ac:dyDescent="0.5">
      <c r="A148" s="23">
        <v>48</v>
      </c>
      <c r="B148" s="378" t="s">
        <v>359</v>
      </c>
      <c r="C148" s="311" t="s">
        <v>360</v>
      </c>
      <c r="D148" s="38" t="s">
        <v>1199</v>
      </c>
      <c r="E148" s="376" t="s">
        <v>1327</v>
      </c>
      <c r="F148" s="246">
        <v>6000</v>
      </c>
    </row>
    <row r="149" spans="1:7" ht="22.5" customHeight="1" x14ac:dyDescent="0.5">
      <c r="A149" s="23">
        <v>49</v>
      </c>
      <c r="B149" s="149" t="s">
        <v>281</v>
      </c>
      <c r="C149" s="311" t="s">
        <v>360</v>
      </c>
      <c r="D149" s="30" t="s">
        <v>1201</v>
      </c>
      <c r="E149" s="31" t="s">
        <v>1328</v>
      </c>
      <c r="F149" s="32">
        <v>3000</v>
      </c>
    </row>
    <row r="150" spans="1:7" ht="22.5" customHeight="1" x14ac:dyDescent="0.5">
      <c r="A150" s="23">
        <v>50</v>
      </c>
      <c r="B150" s="73" t="s">
        <v>364</v>
      </c>
      <c r="C150" s="25" t="s">
        <v>365</v>
      </c>
      <c r="D150" s="30" t="s">
        <v>1231</v>
      </c>
      <c r="E150" s="31" t="s">
        <v>1329</v>
      </c>
      <c r="F150" s="32">
        <v>10000</v>
      </c>
    </row>
    <row r="151" spans="1:7" ht="22.5" customHeight="1" x14ac:dyDescent="0.5">
      <c r="A151" s="23">
        <v>51</v>
      </c>
      <c r="B151" s="290" t="s">
        <v>367</v>
      </c>
      <c r="C151" s="25" t="s">
        <v>368</v>
      </c>
      <c r="D151" s="250" t="s">
        <v>1197</v>
      </c>
      <c r="E151" s="251" t="s">
        <v>1330</v>
      </c>
      <c r="F151" s="390">
        <v>3500</v>
      </c>
    </row>
    <row r="152" spans="1:7" ht="22.5" customHeight="1" x14ac:dyDescent="0.5">
      <c r="A152" s="23">
        <v>52</v>
      </c>
      <c r="B152" s="392" t="s">
        <v>370</v>
      </c>
      <c r="C152" s="63" t="s">
        <v>371</v>
      </c>
      <c r="D152" s="30" t="s">
        <v>1210</v>
      </c>
      <c r="E152" s="31" t="s">
        <v>1331</v>
      </c>
      <c r="F152" s="32">
        <v>12000</v>
      </c>
    </row>
    <row r="153" spans="1:7" ht="22.5" customHeight="1" x14ac:dyDescent="0.3">
      <c r="A153" s="23">
        <v>53</v>
      </c>
      <c r="B153" s="398" t="s">
        <v>373</v>
      </c>
      <c r="C153" s="165" t="s">
        <v>374</v>
      </c>
      <c r="D153" s="399" t="s">
        <v>1199</v>
      </c>
      <c r="E153" s="400" t="s">
        <v>1332</v>
      </c>
      <c r="F153" s="401">
        <v>4100</v>
      </c>
    </row>
    <row r="154" spans="1:7" ht="22.5" customHeight="1" x14ac:dyDescent="0.5">
      <c r="A154" s="23">
        <v>54</v>
      </c>
      <c r="B154" s="402" t="s">
        <v>376</v>
      </c>
      <c r="C154" s="403" t="s">
        <v>377</v>
      </c>
      <c r="D154" s="30" t="s">
        <v>1248</v>
      </c>
      <c r="E154" s="31" t="s">
        <v>1333</v>
      </c>
      <c r="F154" s="32">
        <v>1850</v>
      </c>
    </row>
    <row r="155" spans="1:7" ht="22.5" customHeight="1" x14ac:dyDescent="0.5">
      <c r="A155" s="23">
        <v>55</v>
      </c>
      <c r="B155" s="149" t="s">
        <v>383</v>
      </c>
      <c r="C155" s="311" t="s">
        <v>384</v>
      </c>
      <c r="D155" s="250" t="s">
        <v>1199</v>
      </c>
      <c r="E155" s="251" t="s">
        <v>1334</v>
      </c>
      <c r="F155" s="390">
        <v>5400</v>
      </c>
    </row>
    <row r="156" spans="1:7" s="60" customFormat="1" ht="22.5" customHeight="1" thickBot="1" x14ac:dyDescent="0.35">
      <c r="A156" s="317"/>
      <c r="B156" s="317" t="s">
        <v>15</v>
      </c>
      <c r="C156" s="318"/>
      <c r="D156" s="383"/>
      <c r="E156" s="383">
        <v>0</v>
      </c>
      <c r="F156" s="383">
        <f>SUM(F101:F155)</f>
        <v>763576.01</v>
      </c>
      <c r="G156" s="683">
        <f>SUM(F101:F155)</f>
        <v>763576.01</v>
      </c>
    </row>
    <row r="157" spans="1:7" ht="22.5" customHeight="1" thickTop="1" x14ac:dyDescent="0.3">
      <c r="A157" s="61"/>
      <c r="B157" s="62" t="s">
        <v>386</v>
      </c>
      <c r="C157" s="63"/>
      <c r="D157" s="68"/>
      <c r="E157" s="68"/>
      <c r="F157" s="64"/>
    </row>
    <row r="158" spans="1:7" ht="22.5" customHeight="1" x14ac:dyDescent="0.3">
      <c r="A158" s="208">
        <v>2</v>
      </c>
      <c r="B158" s="290" t="s">
        <v>389</v>
      </c>
      <c r="C158" s="25" t="s">
        <v>390</v>
      </c>
      <c r="D158" s="335" t="s">
        <v>1226</v>
      </c>
      <c r="E158" s="410" t="s">
        <v>1335</v>
      </c>
      <c r="F158" s="411">
        <v>6300</v>
      </c>
    </row>
    <row r="159" spans="1:7" s="60" customFormat="1" ht="22.5" customHeight="1" thickBot="1" x14ac:dyDescent="0.35">
      <c r="A159" s="317"/>
      <c r="B159" s="317" t="s">
        <v>15</v>
      </c>
      <c r="C159" s="318"/>
      <c r="D159" s="383"/>
      <c r="E159" s="383">
        <v>0</v>
      </c>
      <c r="F159" s="383">
        <v>6300</v>
      </c>
      <c r="G159" s="683">
        <f>SUM(F158)</f>
        <v>6300</v>
      </c>
    </row>
    <row r="160" spans="1:7" ht="22.5" customHeight="1" thickTop="1" x14ac:dyDescent="0.3">
      <c r="A160" s="61"/>
      <c r="B160" s="62" t="s">
        <v>392</v>
      </c>
      <c r="C160" s="63"/>
      <c r="D160" s="68"/>
      <c r="E160" s="68"/>
      <c r="F160" s="64"/>
    </row>
    <row r="161" spans="1:6" ht="22.5" customHeight="1" x14ac:dyDescent="0.3">
      <c r="A161" s="61">
        <v>1</v>
      </c>
      <c r="B161" s="838" t="s">
        <v>1338</v>
      </c>
      <c r="C161" s="63" t="s">
        <v>1339</v>
      </c>
      <c r="D161" s="68" t="s">
        <v>1266</v>
      </c>
      <c r="E161" s="68" t="s">
        <v>1340</v>
      </c>
      <c r="F161" s="64">
        <v>1900.32</v>
      </c>
    </row>
    <row r="162" spans="1:6" ht="22.5" customHeight="1" x14ac:dyDescent="0.3">
      <c r="A162" s="61">
        <v>2</v>
      </c>
      <c r="B162" s="838" t="s">
        <v>237</v>
      </c>
      <c r="C162" s="63" t="s">
        <v>1341</v>
      </c>
      <c r="D162" s="68" t="s">
        <v>1266</v>
      </c>
      <c r="E162" s="68" t="s">
        <v>1342</v>
      </c>
      <c r="F162" s="64">
        <v>633.44000000000005</v>
      </c>
    </row>
    <row r="163" spans="1:6" ht="22.5" customHeight="1" x14ac:dyDescent="0.3">
      <c r="A163" s="61">
        <v>3</v>
      </c>
      <c r="B163" s="838" t="s">
        <v>240</v>
      </c>
      <c r="C163" s="63" t="s">
        <v>1343</v>
      </c>
      <c r="D163" s="68" t="s">
        <v>1256</v>
      </c>
      <c r="E163" s="68" t="s">
        <v>1344</v>
      </c>
      <c r="F163" s="64">
        <v>633.44000000000005</v>
      </c>
    </row>
    <row r="164" spans="1:6" ht="22.5" customHeight="1" x14ac:dyDescent="0.3">
      <c r="A164" s="61">
        <v>4</v>
      </c>
      <c r="B164" s="838" t="s">
        <v>1345</v>
      </c>
      <c r="C164" s="63" t="s">
        <v>1346</v>
      </c>
      <c r="D164" s="68" t="s">
        <v>1256</v>
      </c>
      <c r="E164" s="68" t="s">
        <v>1344</v>
      </c>
      <c r="F164" s="64">
        <v>1266.8800000000001</v>
      </c>
    </row>
    <row r="165" spans="1:6" ht="22.5" customHeight="1" x14ac:dyDescent="0.3">
      <c r="A165" s="61">
        <v>5</v>
      </c>
      <c r="B165" s="838" t="s">
        <v>198</v>
      </c>
      <c r="C165" s="63" t="s">
        <v>1347</v>
      </c>
      <c r="D165" s="68" t="s">
        <v>1240</v>
      </c>
      <c r="E165" s="68" t="s">
        <v>1348</v>
      </c>
      <c r="F165" s="64">
        <v>4434.08</v>
      </c>
    </row>
    <row r="166" spans="1:6" ht="22.5" customHeight="1" x14ac:dyDescent="0.3">
      <c r="A166" s="61">
        <v>6</v>
      </c>
      <c r="B166" s="838" t="s">
        <v>245</v>
      </c>
      <c r="C166" s="63" t="s">
        <v>1349</v>
      </c>
      <c r="D166" s="68" t="s">
        <v>1248</v>
      </c>
      <c r="E166" s="68" t="s">
        <v>1350</v>
      </c>
      <c r="F166" s="64">
        <v>1900.32</v>
      </c>
    </row>
    <row r="167" spans="1:6" ht="22.5" customHeight="1" x14ac:dyDescent="0.3">
      <c r="A167" s="61">
        <v>7</v>
      </c>
      <c r="B167" s="838" t="s">
        <v>240</v>
      </c>
      <c r="C167" s="63" t="s">
        <v>1351</v>
      </c>
      <c r="D167" s="68" t="s">
        <v>1256</v>
      </c>
      <c r="E167" s="68" t="s">
        <v>1344</v>
      </c>
      <c r="F167" s="64">
        <v>2533.7600000000002</v>
      </c>
    </row>
    <row r="168" spans="1:6" ht="22.5" customHeight="1" x14ac:dyDescent="0.3">
      <c r="A168" s="61">
        <v>8</v>
      </c>
      <c r="B168" s="838" t="s">
        <v>313</v>
      </c>
      <c r="C168" s="63" t="s">
        <v>1356</v>
      </c>
      <c r="D168" s="68" t="s">
        <v>1231</v>
      </c>
      <c r="E168" s="68" t="s">
        <v>1357</v>
      </c>
      <c r="F168" s="64">
        <v>1900.32</v>
      </c>
    </row>
    <row r="169" spans="1:6" ht="22.5" customHeight="1" x14ac:dyDescent="0.3">
      <c r="A169" s="61">
        <v>9</v>
      </c>
      <c r="B169" s="838" t="s">
        <v>257</v>
      </c>
      <c r="C169" s="63" t="s">
        <v>1358</v>
      </c>
      <c r="D169" s="68" t="s">
        <v>1248</v>
      </c>
      <c r="E169" s="68" t="s">
        <v>1359</v>
      </c>
      <c r="F169" s="64">
        <v>985.36</v>
      </c>
    </row>
    <row r="170" spans="1:6" ht="22.5" customHeight="1" x14ac:dyDescent="0.3">
      <c r="A170" s="61">
        <v>10</v>
      </c>
      <c r="B170" s="838" t="s">
        <v>198</v>
      </c>
      <c r="C170" s="63" t="s">
        <v>1360</v>
      </c>
      <c r="D170" s="68" t="s">
        <v>1240</v>
      </c>
      <c r="E170" s="68" t="s">
        <v>1348</v>
      </c>
      <c r="F170" s="64">
        <v>492.68</v>
      </c>
    </row>
    <row r="171" spans="1:6" ht="22.5" customHeight="1" x14ac:dyDescent="0.3">
      <c r="A171" s="61">
        <v>11</v>
      </c>
      <c r="B171" s="838" t="s">
        <v>198</v>
      </c>
      <c r="C171" s="63" t="s">
        <v>1363</v>
      </c>
      <c r="D171" s="68" t="s">
        <v>1201</v>
      </c>
      <c r="E171" s="68" t="s">
        <v>1364</v>
      </c>
      <c r="F171" s="64">
        <v>985.36</v>
      </c>
    </row>
    <row r="172" spans="1:6" ht="22.5" customHeight="1" x14ac:dyDescent="0.3">
      <c r="A172" s="61">
        <v>12</v>
      </c>
      <c r="B172" s="838" t="s">
        <v>261</v>
      </c>
      <c r="C172" s="63" t="s">
        <v>1365</v>
      </c>
      <c r="D172" s="68" t="s">
        <v>1201</v>
      </c>
      <c r="E172" s="68" t="s">
        <v>1364</v>
      </c>
      <c r="F172" s="64">
        <v>985.36</v>
      </c>
    </row>
    <row r="173" spans="1:6" ht="22.5" customHeight="1" x14ac:dyDescent="0.3">
      <c r="A173" s="61">
        <v>13</v>
      </c>
      <c r="B173" s="838" t="s">
        <v>266</v>
      </c>
      <c r="C173" s="63" t="s">
        <v>1366</v>
      </c>
      <c r="D173" s="68" t="s">
        <v>1240</v>
      </c>
      <c r="E173" s="68" t="s">
        <v>1367</v>
      </c>
      <c r="F173" s="64">
        <v>985.36</v>
      </c>
    </row>
    <row r="174" spans="1:6" ht="22.5" customHeight="1" x14ac:dyDescent="0.3">
      <c r="A174" s="61">
        <v>14</v>
      </c>
      <c r="B174" s="838" t="s">
        <v>261</v>
      </c>
      <c r="C174" s="63" t="s">
        <v>1369</v>
      </c>
      <c r="D174" s="68" t="s">
        <v>1201</v>
      </c>
      <c r="E174" s="68" t="s">
        <v>1364</v>
      </c>
      <c r="F174" s="64">
        <v>1900.68</v>
      </c>
    </row>
    <row r="175" spans="1:6" ht="22.5" customHeight="1" x14ac:dyDescent="0.3">
      <c r="A175" s="61">
        <v>15</v>
      </c>
      <c r="B175" s="838" t="s">
        <v>274</v>
      </c>
      <c r="C175" s="63" t="s">
        <v>1370</v>
      </c>
      <c r="D175" s="68" t="s">
        <v>1302</v>
      </c>
      <c r="E175" s="68" t="s">
        <v>1371</v>
      </c>
      <c r="F175" s="64">
        <v>633.55999999999995</v>
      </c>
    </row>
    <row r="176" spans="1:6" ht="22.5" customHeight="1" x14ac:dyDescent="0.3">
      <c r="A176" s="61">
        <v>16</v>
      </c>
      <c r="B176" s="838" t="s">
        <v>1375</v>
      </c>
      <c r="C176" s="63" t="s">
        <v>1376</v>
      </c>
      <c r="D176" s="68" t="s">
        <v>1256</v>
      </c>
      <c r="E176" s="68" t="s">
        <v>1377</v>
      </c>
      <c r="F176" s="64">
        <v>1266.8800000000001</v>
      </c>
    </row>
    <row r="177" spans="1:8" ht="22.5" customHeight="1" x14ac:dyDescent="0.3">
      <c r="A177" s="61">
        <v>17</v>
      </c>
      <c r="B177" s="838" t="s">
        <v>293</v>
      </c>
      <c r="C177" s="63" t="s">
        <v>1381</v>
      </c>
      <c r="D177" s="68" t="s">
        <v>1248</v>
      </c>
      <c r="E177" s="68" t="s">
        <v>1382</v>
      </c>
      <c r="F177" s="64">
        <v>633.44000000000005</v>
      </c>
    </row>
    <row r="178" spans="1:8" ht="22.5" customHeight="1" x14ac:dyDescent="0.3">
      <c r="A178" s="61">
        <v>18</v>
      </c>
      <c r="B178" s="838" t="s">
        <v>296</v>
      </c>
      <c r="C178" s="63" t="s">
        <v>1383</v>
      </c>
      <c r="D178" s="68" t="s">
        <v>1300</v>
      </c>
      <c r="E178" s="68" t="s">
        <v>1384</v>
      </c>
      <c r="F178" s="64">
        <v>1266.8800000000001</v>
      </c>
    </row>
    <row r="179" spans="1:8" ht="22.5" customHeight="1" x14ac:dyDescent="0.3">
      <c r="A179" s="61">
        <v>19</v>
      </c>
      <c r="B179" s="838" t="s">
        <v>300</v>
      </c>
      <c r="C179" s="63" t="s">
        <v>1374</v>
      </c>
      <c r="D179" s="68" t="s">
        <v>1279</v>
      </c>
      <c r="E179" s="68" t="s">
        <v>1386</v>
      </c>
      <c r="F179" s="64">
        <v>1266.8800000000001</v>
      </c>
    </row>
    <row r="180" spans="1:8" ht="22.5" customHeight="1" x14ac:dyDescent="0.3">
      <c r="A180" s="61">
        <v>20</v>
      </c>
      <c r="B180" s="838" t="s">
        <v>296</v>
      </c>
      <c r="C180" s="63" t="s">
        <v>1388</v>
      </c>
      <c r="D180" s="68" t="s">
        <v>1300</v>
      </c>
      <c r="E180" s="68" t="s">
        <v>1384</v>
      </c>
      <c r="F180" s="64">
        <v>1266.8800000000001</v>
      </c>
    </row>
    <row r="181" spans="1:8" ht="22.5" customHeight="1" x14ac:dyDescent="0.3">
      <c r="A181" s="61">
        <v>21</v>
      </c>
      <c r="B181" s="838" t="s">
        <v>261</v>
      </c>
      <c r="C181" s="63" t="s">
        <v>1381</v>
      </c>
      <c r="D181" s="68" t="s">
        <v>1201</v>
      </c>
      <c r="E181" s="68" t="s">
        <v>1364</v>
      </c>
      <c r="F181" s="64">
        <v>633.44000000000005</v>
      </c>
    </row>
    <row r="182" spans="1:8" ht="22.5" customHeight="1" x14ac:dyDescent="0.3">
      <c r="A182" s="61">
        <v>22</v>
      </c>
      <c r="B182" s="838" t="s">
        <v>261</v>
      </c>
      <c r="C182" s="63" t="s">
        <v>1390</v>
      </c>
      <c r="D182" s="68" t="s">
        <v>1201</v>
      </c>
      <c r="E182" s="68" t="s">
        <v>1364</v>
      </c>
      <c r="F182" s="64">
        <v>633.44000000000005</v>
      </c>
    </row>
    <row r="183" spans="1:8" ht="22.5" customHeight="1" x14ac:dyDescent="0.3">
      <c r="A183" s="61">
        <v>23</v>
      </c>
      <c r="B183" s="838" t="s">
        <v>313</v>
      </c>
      <c r="C183" s="63" t="s">
        <v>1391</v>
      </c>
      <c r="D183" s="68" t="s">
        <v>1231</v>
      </c>
      <c r="E183" s="68" t="s">
        <v>1357</v>
      </c>
      <c r="F183" s="64">
        <v>633.44000000000005</v>
      </c>
    </row>
    <row r="184" spans="1:8" ht="22.5" customHeight="1" x14ac:dyDescent="0.3">
      <c r="A184" s="61">
        <v>24</v>
      </c>
      <c r="B184" s="838" t="s">
        <v>261</v>
      </c>
      <c r="C184" s="63" t="s">
        <v>1393</v>
      </c>
      <c r="D184" s="68" t="s">
        <v>1201</v>
      </c>
      <c r="E184" s="68" t="s">
        <v>1364</v>
      </c>
      <c r="F184" s="64">
        <v>632.96</v>
      </c>
    </row>
    <row r="185" spans="1:8" ht="22.5" customHeight="1" x14ac:dyDescent="0.3">
      <c r="A185" s="61">
        <v>25</v>
      </c>
      <c r="B185" s="838" t="s">
        <v>320</v>
      </c>
      <c r="C185" s="63" t="s">
        <v>1387</v>
      </c>
      <c r="D185" s="68" t="s">
        <v>1195</v>
      </c>
      <c r="E185" s="68" t="s">
        <v>1395</v>
      </c>
      <c r="F185" s="64">
        <v>632.96</v>
      </c>
    </row>
    <row r="186" spans="1:8" ht="22.5" customHeight="1" x14ac:dyDescent="0.3">
      <c r="A186" s="61">
        <v>26</v>
      </c>
      <c r="B186" s="838" t="s">
        <v>293</v>
      </c>
      <c r="C186" s="63" t="s">
        <v>1346</v>
      </c>
      <c r="D186" s="68" t="s">
        <v>1248</v>
      </c>
      <c r="E186" s="68" t="s">
        <v>1382</v>
      </c>
      <c r="F186" s="64">
        <v>1265.92</v>
      </c>
    </row>
    <row r="187" spans="1:8" ht="22.5" customHeight="1" x14ac:dyDescent="0.3">
      <c r="A187" s="61">
        <v>27</v>
      </c>
      <c r="B187" s="838" t="s">
        <v>293</v>
      </c>
      <c r="C187" s="63" t="s">
        <v>1372</v>
      </c>
      <c r="D187" s="68" t="s">
        <v>1248</v>
      </c>
      <c r="E187" s="68" t="s">
        <v>1382</v>
      </c>
      <c r="F187" s="64">
        <v>1265.92</v>
      </c>
    </row>
    <row r="188" spans="1:8" s="60" customFormat="1" ht="22.5" customHeight="1" thickBot="1" x14ac:dyDescent="0.35">
      <c r="A188" s="317"/>
      <c r="B188" s="317" t="s">
        <v>15</v>
      </c>
      <c r="C188" s="318"/>
      <c r="D188" s="383">
        <v>0</v>
      </c>
      <c r="E188" s="383">
        <v>0</v>
      </c>
      <c r="F188" s="383">
        <v>33569.96</v>
      </c>
      <c r="G188" s="59">
        <f>SUM(F161:F187)</f>
        <v>33569.96</v>
      </c>
    </row>
    <row r="189" spans="1:8" s="60" customFormat="1" ht="22.5" customHeight="1" thickTop="1" thickBot="1" x14ac:dyDescent="0.35">
      <c r="A189" s="459"/>
      <c r="B189" s="460" t="s">
        <v>497</v>
      </c>
      <c r="C189" s="461"/>
      <c r="D189" s="462">
        <v>0</v>
      </c>
      <c r="E189" s="462">
        <v>0</v>
      </c>
      <c r="F189" s="462">
        <v>1263556.7699999998</v>
      </c>
      <c r="H189" s="683">
        <f>SUM(G12:G188)</f>
        <v>1263556.7699999998</v>
      </c>
    </row>
    <row r="190" spans="1:8" ht="22.5" customHeight="1" thickTop="1" x14ac:dyDescent="0.3"/>
    <row r="191" spans="1:8" s="636" customFormat="1" x14ac:dyDescent="0.6">
      <c r="A191" s="1128" t="s">
        <v>524</v>
      </c>
      <c r="B191" s="1128"/>
      <c r="C191" s="1128"/>
      <c r="D191" s="1128"/>
      <c r="E191" s="1128"/>
      <c r="F191" s="1128"/>
      <c r="H191" s="637"/>
    </row>
    <row r="192" spans="1:8" s="599" customFormat="1" x14ac:dyDescent="0.6">
      <c r="A192" s="646">
        <v>2</v>
      </c>
      <c r="B192" s="647" t="s">
        <v>521</v>
      </c>
      <c r="C192" s="647" t="s">
        <v>522</v>
      </c>
      <c r="D192" s="644" t="s">
        <v>1300</v>
      </c>
      <c r="E192" s="644" t="s">
        <v>1396</v>
      </c>
      <c r="F192" s="645">
        <v>15317.65</v>
      </c>
      <c r="H192" s="600"/>
    </row>
    <row r="193" spans="1:8" s="599" customFormat="1" ht="24" thickBot="1" x14ac:dyDescent="0.65">
      <c r="A193" s="619"/>
      <c r="B193" s="620" t="s">
        <v>535</v>
      </c>
      <c r="C193" s="621"/>
      <c r="D193" s="625"/>
      <c r="E193" s="625"/>
      <c r="F193" s="625">
        <v>15317.65</v>
      </c>
      <c r="G193" s="691">
        <f>SUM(F192)</f>
        <v>15317.65</v>
      </c>
      <c r="H193" s="600"/>
    </row>
    <row r="194" spans="1:8" ht="22.5" customHeight="1" thickTop="1" x14ac:dyDescent="0.3">
      <c r="D194" s="584"/>
      <c r="E194" s="585"/>
    </row>
    <row r="195" spans="1:8" ht="22.5" customHeight="1" x14ac:dyDescent="0.3">
      <c r="D195" s="584"/>
      <c r="E195" s="585"/>
      <c r="F195" s="657">
        <v>1278874.4199999997</v>
      </c>
      <c r="H195" s="908">
        <f>SUM(H189+G193)</f>
        <v>1278874.4199999997</v>
      </c>
    </row>
  </sheetData>
  <mergeCells count="8">
    <mergeCell ref="A191:F191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4A51-1B97-4235-9A76-338AB23D00A2}">
  <sheetPr>
    <tabColor rgb="FFFFFF00"/>
  </sheetPr>
  <dimension ref="A1:J93"/>
  <sheetViews>
    <sheetView zoomScale="80" zoomScaleNormal="80" workbookViewId="0">
      <pane ySplit="6" topLeftCell="A66" activePane="bottomLeft" state="frozen"/>
      <selection pane="bottomLeft" activeCell="C84" sqref="C84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21.77734375" style="696" customWidth="1"/>
    <col min="5" max="5" width="14.5546875" style="662" customWidth="1"/>
    <col min="6" max="6" width="5.77734375" style="662" customWidth="1"/>
    <col min="7" max="7" width="16.5546875" style="665" customWidth="1"/>
    <col min="8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2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2"/>
    </row>
    <row r="3" spans="1:8" ht="22.5" customHeight="1" x14ac:dyDescent="0.3">
      <c r="A3" s="1110" t="s">
        <v>1181</v>
      </c>
      <c r="B3" s="1111"/>
      <c r="C3" s="1111"/>
      <c r="D3" s="1111"/>
      <c r="E3" s="1111"/>
      <c r="F3" s="1111"/>
      <c r="G3" s="1111"/>
      <c r="H3" s="2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796"/>
      <c r="E4" s="1118" t="s">
        <v>9</v>
      </c>
      <c r="F4" s="1119"/>
      <c r="G4" s="1120"/>
      <c r="H4" s="2"/>
    </row>
    <row r="5" spans="1:8" ht="22.5" customHeight="1" x14ac:dyDescent="0.3">
      <c r="A5" s="1113"/>
      <c r="B5" s="1113"/>
      <c r="C5" s="1116"/>
      <c r="D5" s="797" t="s">
        <v>618</v>
      </c>
      <c r="E5" s="1121" t="s">
        <v>10</v>
      </c>
      <c r="F5" s="882"/>
      <c r="G5" s="667"/>
      <c r="H5" s="2"/>
    </row>
    <row r="6" spans="1:8" ht="22.5" customHeight="1" x14ac:dyDescent="0.3">
      <c r="A6" s="1114"/>
      <c r="B6" s="1114"/>
      <c r="C6" s="1117"/>
      <c r="D6" s="695"/>
      <c r="E6" s="1122"/>
      <c r="F6" s="883" t="s">
        <v>937</v>
      </c>
      <c r="G6" s="10" t="s">
        <v>15</v>
      </c>
      <c r="H6" s="2"/>
    </row>
    <row r="7" spans="1:8" ht="22.5" customHeight="1" x14ac:dyDescent="0.3">
      <c r="A7" s="11"/>
      <c r="B7" s="12" t="s">
        <v>19</v>
      </c>
      <c r="C7" s="13"/>
      <c r="D7" s="933"/>
      <c r="E7" s="19"/>
      <c r="F7" s="19"/>
      <c r="G7" s="22"/>
      <c r="H7" s="2"/>
    </row>
    <row r="8" spans="1:8" ht="22.5" customHeight="1" x14ac:dyDescent="0.5">
      <c r="A8" s="23">
        <v>1</v>
      </c>
      <c r="B8" s="24" t="s">
        <v>30</v>
      </c>
      <c r="C8" s="25" t="s">
        <v>31</v>
      </c>
      <c r="D8" s="799"/>
      <c r="E8" s="33" t="s">
        <v>1192</v>
      </c>
      <c r="F8" s="33" t="s">
        <v>33</v>
      </c>
      <c r="G8" s="340">
        <v>1155.5999999999997</v>
      </c>
      <c r="H8" s="47"/>
    </row>
    <row r="9" spans="1:8" s="60" customFormat="1" ht="22.5" customHeight="1" thickBot="1" x14ac:dyDescent="0.35">
      <c r="A9" s="48"/>
      <c r="B9" s="48" t="s">
        <v>15</v>
      </c>
      <c r="C9" s="49"/>
      <c r="D9" s="800"/>
      <c r="E9" s="48"/>
      <c r="F9" s="48"/>
      <c r="G9" s="671">
        <v>1155.5975999999973</v>
      </c>
      <c r="H9" s="59">
        <f>SUM(G8)</f>
        <v>1155.5999999999997</v>
      </c>
    </row>
    <row r="10" spans="1:8" ht="22.5" customHeight="1" thickTop="1" x14ac:dyDescent="0.3">
      <c r="A10" s="61"/>
      <c r="B10" s="62" t="s">
        <v>37</v>
      </c>
      <c r="C10" s="63"/>
      <c r="D10" s="798"/>
      <c r="E10" s="69"/>
      <c r="F10" s="69"/>
      <c r="G10" s="72"/>
      <c r="H10" s="2"/>
    </row>
    <row r="11" spans="1:8" ht="22.5" customHeight="1" x14ac:dyDescent="0.3">
      <c r="A11" s="23">
        <v>1</v>
      </c>
      <c r="B11" s="73" t="s">
        <v>45</v>
      </c>
      <c r="C11" s="25" t="s">
        <v>46</v>
      </c>
      <c r="D11" s="799"/>
      <c r="E11" s="33" t="s">
        <v>1192</v>
      </c>
      <c r="F11" s="747" t="s">
        <v>33</v>
      </c>
      <c r="G11" s="36">
        <v>1605</v>
      </c>
      <c r="H11" s="2"/>
    </row>
    <row r="12" spans="1:8" ht="22.5" customHeight="1" x14ac:dyDescent="0.3">
      <c r="A12" s="23">
        <v>2</v>
      </c>
      <c r="B12" s="73" t="s">
        <v>48</v>
      </c>
      <c r="C12" s="25" t="s">
        <v>49</v>
      </c>
      <c r="D12" s="799"/>
      <c r="E12" s="33" t="s">
        <v>1192</v>
      </c>
      <c r="F12" s="747" t="s">
        <v>33</v>
      </c>
      <c r="G12" s="36">
        <v>3081.5999999999985</v>
      </c>
      <c r="H12" s="2"/>
    </row>
    <row r="13" spans="1:8" ht="22.5" customHeight="1" x14ac:dyDescent="0.3">
      <c r="A13" s="23">
        <v>3</v>
      </c>
      <c r="B13" s="73" t="s">
        <v>51</v>
      </c>
      <c r="C13" s="25" t="s">
        <v>52</v>
      </c>
      <c r="D13" s="799"/>
      <c r="E13" s="33" t="s">
        <v>1192</v>
      </c>
      <c r="F13" s="747" t="s">
        <v>33</v>
      </c>
      <c r="G13" s="36">
        <v>4333.5000000000036</v>
      </c>
      <c r="H13" s="2"/>
    </row>
    <row r="14" spans="1:8" s="60" customFormat="1" ht="22.5" customHeight="1" thickBot="1" x14ac:dyDescent="0.35">
      <c r="A14" s="48"/>
      <c r="B14" s="48" t="s">
        <v>15</v>
      </c>
      <c r="C14" s="49"/>
      <c r="D14" s="800"/>
      <c r="E14" s="107"/>
      <c r="F14" s="107"/>
      <c r="G14" s="110">
        <v>9020.1000000000022</v>
      </c>
      <c r="H14" s="683">
        <f>SUM(G11:G13)</f>
        <v>9020.1000000000022</v>
      </c>
    </row>
    <row r="15" spans="1:8" ht="22.5" customHeight="1" thickTop="1" x14ac:dyDescent="0.3">
      <c r="A15" s="61"/>
      <c r="B15" s="62" t="s">
        <v>92</v>
      </c>
      <c r="C15" s="63"/>
      <c r="D15" s="798"/>
      <c r="E15" s="61"/>
      <c r="F15" s="61"/>
      <c r="G15" s="207"/>
      <c r="H15" s="2"/>
    </row>
    <row r="16" spans="1:8" ht="22.5" customHeight="1" x14ac:dyDescent="0.5">
      <c r="A16" s="208">
        <v>1</v>
      </c>
      <c r="B16" s="73" t="s">
        <v>96</v>
      </c>
      <c r="C16" s="25" t="s">
        <v>97</v>
      </c>
      <c r="D16" s="801"/>
      <c r="E16" s="215" t="s">
        <v>1192</v>
      </c>
      <c r="F16" s="215" t="s">
        <v>33</v>
      </c>
      <c r="G16" s="217">
        <v>8880.9999999999964</v>
      </c>
      <c r="H16" s="2"/>
    </row>
    <row r="17" spans="1:8" ht="22.5" customHeight="1" x14ac:dyDescent="0.5">
      <c r="A17" s="208">
        <v>2</v>
      </c>
      <c r="B17" s="73" t="s">
        <v>103</v>
      </c>
      <c r="C17" s="25" t="s">
        <v>97</v>
      </c>
      <c r="D17" s="801"/>
      <c r="E17" s="215" t="s">
        <v>1192</v>
      </c>
      <c r="F17" s="215" t="s">
        <v>33</v>
      </c>
      <c r="G17" s="217">
        <v>4483.3</v>
      </c>
      <c r="H17" s="2"/>
    </row>
    <row r="18" spans="1:8" ht="22.5" customHeight="1" x14ac:dyDescent="0.5">
      <c r="A18" s="208">
        <v>3</v>
      </c>
      <c r="B18" s="73" t="s">
        <v>104</v>
      </c>
      <c r="C18" s="25" t="s">
        <v>97</v>
      </c>
      <c r="D18" s="801"/>
      <c r="E18" s="215" t="s">
        <v>1192</v>
      </c>
      <c r="F18" s="215" t="s">
        <v>33</v>
      </c>
      <c r="G18" s="217">
        <v>11481.1</v>
      </c>
      <c r="H18" s="2"/>
    </row>
    <row r="19" spans="1:8" ht="22.5" customHeight="1" x14ac:dyDescent="0.5">
      <c r="A19" s="208">
        <v>4</v>
      </c>
      <c r="B19" s="73" t="s">
        <v>105</v>
      </c>
      <c r="C19" s="25" t="s">
        <v>97</v>
      </c>
      <c r="D19" s="801"/>
      <c r="E19" s="215" t="s">
        <v>1192</v>
      </c>
      <c r="F19" s="215" t="s">
        <v>33</v>
      </c>
      <c r="G19" s="217">
        <v>9801.200000000008</v>
      </c>
      <c r="H19" s="2"/>
    </row>
    <row r="20" spans="1:8" ht="22.5" customHeight="1" x14ac:dyDescent="0.5">
      <c r="A20" s="208">
        <v>5</v>
      </c>
      <c r="B20" s="73" t="s">
        <v>112</v>
      </c>
      <c r="C20" s="25" t="s">
        <v>113</v>
      </c>
      <c r="D20" s="801"/>
      <c r="E20" s="215" t="s">
        <v>1192</v>
      </c>
      <c r="F20" s="215" t="s">
        <v>33</v>
      </c>
      <c r="G20" s="217">
        <v>963.00000000000068</v>
      </c>
      <c r="H20" s="2"/>
    </row>
    <row r="21" spans="1:8" ht="22.5" customHeight="1" x14ac:dyDescent="0.5">
      <c r="A21" s="208">
        <v>6</v>
      </c>
      <c r="B21" s="73" t="s">
        <v>116</v>
      </c>
      <c r="C21" s="25" t="s">
        <v>113</v>
      </c>
      <c r="D21" s="801"/>
      <c r="E21" s="215" t="s">
        <v>1233</v>
      </c>
      <c r="F21" s="215" t="s">
        <v>115</v>
      </c>
      <c r="G21" s="217">
        <v>2856.9000000000024</v>
      </c>
      <c r="H21" s="2"/>
    </row>
    <row r="22" spans="1:8" s="229" customFormat="1" ht="22.5" customHeight="1" x14ac:dyDescent="0.5">
      <c r="A22" s="208">
        <v>7</v>
      </c>
      <c r="B22" s="226" t="s">
        <v>137</v>
      </c>
      <c r="C22" s="227"/>
      <c r="D22" s="804"/>
      <c r="E22" s="215" t="s">
        <v>1192</v>
      </c>
      <c r="F22" s="215" t="s">
        <v>33</v>
      </c>
      <c r="G22" s="217">
        <v>3006.7</v>
      </c>
      <c r="H22" s="47"/>
    </row>
    <row r="23" spans="1:8" ht="22.5" customHeight="1" x14ac:dyDescent="0.5">
      <c r="A23" s="208">
        <v>8</v>
      </c>
      <c r="B23" s="209" t="s">
        <v>191</v>
      </c>
      <c r="C23" s="210" t="s">
        <v>190</v>
      </c>
      <c r="D23" s="803"/>
      <c r="E23" s="215" t="s">
        <v>1192</v>
      </c>
      <c r="F23" s="215" t="s">
        <v>33</v>
      </c>
      <c r="G23" s="217">
        <v>8260.4000000000015</v>
      </c>
      <c r="H23" s="2"/>
    </row>
    <row r="24" spans="1:8" ht="22.5" customHeight="1" x14ac:dyDescent="0.5">
      <c r="A24" s="208">
        <v>9</v>
      </c>
      <c r="B24" s="209" t="s">
        <v>193</v>
      </c>
      <c r="C24" s="210" t="s">
        <v>194</v>
      </c>
      <c r="D24" s="803"/>
      <c r="E24" s="215" t="s">
        <v>1192</v>
      </c>
      <c r="F24" s="215" t="s">
        <v>33</v>
      </c>
      <c r="G24" s="217">
        <v>567.10000000000036</v>
      </c>
      <c r="H24" s="2"/>
    </row>
    <row r="25" spans="1:8" ht="22.5" customHeight="1" x14ac:dyDescent="0.5">
      <c r="A25" s="208">
        <v>10</v>
      </c>
      <c r="B25" s="209" t="s">
        <v>198</v>
      </c>
      <c r="C25" s="210" t="s">
        <v>567</v>
      </c>
      <c r="D25" s="803"/>
      <c r="E25" s="215" t="s">
        <v>1192</v>
      </c>
      <c r="F25" s="215" t="s">
        <v>33</v>
      </c>
      <c r="G25" s="217">
        <v>845.3</v>
      </c>
      <c r="H25" s="2"/>
    </row>
    <row r="26" spans="1:8" ht="22.5" customHeight="1" x14ac:dyDescent="0.5">
      <c r="A26" s="208">
        <v>11</v>
      </c>
      <c r="B26" s="209" t="s">
        <v>200</v>
      </c>
      <c r="C26" s="210" t="s">
        <v>201</v>
      </c>
      <c r="D26" s="803"/>
      <c r="E26" s="215" t="s">
        <v>1192</v>
      </c>
      <c r="F26" s="216" t="s">
        <v>33</v>
      </c>
      <c r="G26" s="217">
        <v>12518.999999999996</v>
      </c>
      <c r="H26" s="2"/>
    </row>
    <row r="27" spans="1:8" ht="22.5" customHeight="1" x14ac:dyDescent="0.5">
      <c r="A27" s="208">
        <v>12</v>
      </c>
      <c r="B27" s="209" t="s">
        <v>210</v>
      </c>
      <c r="C27" s="210" t="s">
        <v>211</v>
      </c>
      <c r="D27" s="803"/>
      <c r="E27" s="239" t="s">
        <v>1192</v>
      </c>
      <c r="F27" s="239" t="s">
        <v>33</v>
      </c>
      <c r="G27" s="217">
        <v>5574.7000000000007</v>
      </c>
      <c r="H27" s="2"/>
    </row>
    <row r="28" spans="1:8" ht="22.5" customHeight="1" x14ac:dyDescent="0.5">
      <c r="A28" s="208">
        <v>13</v>
      </c>
      <c r="B28" s="257" t="s">
        <v>220</v>
      </c>
      <c r="C28" s="257" t="s">
        <v>221</v>
      </c>
      <c r="D28" s="805"/>
      <c r="E28" s="239" t="s">
        <v>1192</v>
      </c>
      <c r="F28" s="239" t="s">
        <v>33</v>
      </c>
      <c r="G28" s="217">
        <v>85.6</v>
      </c>
      <c r="H28" s="2"/>
    </row>
    <row r="29" spans="1:8" ht="22.5" customHeight="1" x14ac:dyDescent="0.5">
      <c r="A29" s="208">
        <v>14</v>
      </c>
      <c r="B29" s="261" t="s">
        <v>224</v>
      </c>
      <c r="C29" s="261" t="s">
        <v>225</v>
      </c>
      <c r="D29" s="805"/>
      <c r="E29" s="215" t="s">
        <v>1192</v>
      </c>
      <c r="F29" s="215" t="s">
        <v>33</v>
      </c>
      <c r="G29" s="217">
        <v>363.80000000000007</v>
      </c>
      <c r="H29" s="2"/>
    </row>
    <row r="30" spans="1:8" ht="22.5" customHeight="1" x14ac:dyDescent="0.5">
      <c r="A30" s="208">
        <v>15</v>
      </c>
      <c r="B30" s="265" t="s">
        <v>226</v>
      </c>
      <c r="C30" s="265" t="s">
        <v>227</v>
      </c>
      <c r="D30" s="806"/>
      <c r="E30" s="215" t="s">
        <v>1192</v>
      </c>
      <c r="F30" s="215" t="s">
        <v>33</v>
      </c>
      <c r="G30" s="217">
        <v>4943.3999999999996</v>
      </c>
      <c r="H30" s="2"/>
    </row>
    <row r="31" spans="1:8" s="60" customFormat="1" ht="22.5" customHeight="1" thickBot="1" x14ac:dyDescent="0.35">
      <c r="A31" s="278"/>
      <c r="B31" s="278" t="s">
        <v>15</v>
      </c>
      <c r="C31" s="279"/>
      <c r="D31" s="808"/>
      <c r="E31" s="280">
        <v>0</v>
      </c>
      <c r="F31" s="280">
        <v>0</v>
      </c>
      <c r="G31" s="280">
        <v>74632.5</v>
      </c>
      <c r="H31" s="59">
        <f>SUM(G16:G30)</f>
        <v>74632.5</v>
      </c>
    </row>
    <row r="32" spans="1:8" ht="22.5" customHeight="1" thickTop="1" x14ac:dyDescent="0.3">
      <c r="A32" s="61"/>
      <c r="B32" s="121" t="s">
        <v>232</v>
      </c>
      <c r="C32" s="63"/>
      <c r="D32" s="798"/>
      <c r="E32" s="69"/>
      <c r="F32" s="69"/>
      <c r="G32" s="289"/>
      <c r="H32" s="2"/>
    </row>
    <row r="33" spans="1:8" ht="22.5" customHeight="1" x14ac:dyDescent="0.5">
      <c r="A33" s="23">
        <v>3</v>
      </c>
      <c r="B33" s="73" t="s">
        <v>240</v>
      </c>
      <c r="C33" s="25" t="s">
        <v>241</v>
      </c>
      <c r="D33" s="801"/>
      <c r="E33" s="297" t="s">
        <v>1192</v>
      </c>
      <c r="F33" s="297" t="s">
        <v>33</v>
      </c>
      <c r="G33" s="36">
        <v>15750</v>
      </c>
      <c r="H33" s="2"/>
    </row>
    <row r="34" spans="1:8" ht="22.5" customHeight="1" x14ac:dyDescent="0.5">
      <c r="A34" s="23">
        <v>4</v>
      </c>
      <c r="B34" s="73" t="s">
        <v>240</v>
      </c>
      <c r="C34" s="25" t="s">
        <v>242</v>
      </c>
      <c r="D34" s="801"/>
      <c r="E34" s="297" t="s">
        <v>1192</v>
      </c>
      <c r="F34" s="297" t="s">
        <v>33</v>
      </c>
      <c r="G34" s="36">
        <v>6300</v>
      </c>
      <c r="H34" s="2"/>
    </row>
    <row r="35" spans="1:8" ht="22.5" customHeight="1" x14ac:dyDescent="0.5">
      <c r="A35" s="23">
        <v>7</v>
      </c>
      <c r="B35" s="73" t="s">
        <v>248</v>
      </c>
      <c r="C35" s="25" t="s">
        <v>249</v>
      </c>
      <c r="D35" s="801"/>
      <c r="E35" s="215" t="s">
        <v>1192</v>
      </c>
      <c r="F35" s="215" t="s">
        <v>33</v>
      </c>
      <c r="G35" s="36">
        <v>6300</v>
      </c>
      <c r="H35" s="2"/>
    </row>
    <row r="36" spans="1:8" ht="22.5" customHeight="1" x14ac:dyDescent="0.5">
      <c r="A36" s="208">
        <v>8</v>
      </c>
      <c r="B36" s="209" t="s">
        <v>250</v>
      </c>
      <c r="C36" s="210" t="s">
        <v>251</v>
      </c>
      <c r="D36" s="803"/>
      <c r="E36" s="215" t="s">
        <v>1192</v>
      </c>
      <c r="F36" s="215" t="s">
        <v>33</v>
      </c>
      <c r="G36" s="36">
        <v>6300</v>
      </c>
      <c r="H36" s="218"/>
    </row>
    <row r="37" spans="1:8" ht="22.5" customHeight="1" x14ac:dyDescent="0.5">
      <c r="A37" s="23">
        <v>1</v>
      </c>
      <c r="B37" s="73" t="s">
        <v>281</v>
      </c>
      <c r="C37" s="25" t="s">
        <v>282</v>
      </c>
      <c r="D37" s="801"/>
      <c r="E37" s="215" t="s">
        <v>1192</v>
      </c>
      <c r="F37" s="215" t="s">
        <v>33</v>
      </c>
      <c r="G37" s="36">
        <v>5600</v>
      </c>
      <c r="H37" s="2"/>
    </row>
    <row r="38" spans="1:8" ht="22.5" customHeight="1" x14ac:dyDescent="0.3">
      <c r="A38" s="23">
        <v>4</v>
      </c>
      <c r="B38" s="73" t="s">
        <v>322</v>
      </c>
      <c r="C38" s="25" t="s">
        <v>323</v>
      </c>
      <c r="D38" s="801">
        <v>11200</v>
      </c>
      <c r="E38" s="314"/>
      <c r="F38" s="315"/>
      <c r="G38" s="36"/>
    </row>
    <row r="39" spans="1:8" ht="22.5" customHeight="1" x14ac:dyDescent="0.5">
      <c r="A39" s="23">
        <v>3</v>
      </c>
      <c r="B39" s="290" t="s">
        <v>355</v>
      </c>
      <c r="C39" s="371" t="s">
        <v>356</v>
      </c>
      <c r="D39" s="801"/>
      <c r="E39" s="215" t="s">
        <v>1192</v>
      </c>
      <c r="F39" s="215" t="s">
        <v>33</v>
      </c>
      <c r="G39" s="36">
        <v>9400</v>
      </c>
    </row>
    <row r="40" spans="1:8" ht="22.5" customHeight="1" x14ac:dyDescent="0.5">
      <c r="A40" s="331">
        <v>5</v>
      </c>
      <c r="B40" s="374" t="s">
        <v>358</v>
      </c>
      <c r="C40" s="375" t="s">
        <v>356</v>
      </c>
      <c r="D40" s="801"/>
      <c r="E40" s="215" t="s">
        <v>1233</v>
      </c>
      <c r="F40" s="215" t="s">
        <v>115</v>
      </c>
      <c r="G40" s="36">
        <v>9810</v>
      </c>
    </row>
    <row r="41" spans="1:8" s="60" customFormat="1" ht="22.5" customHeight="1" thickBot="1" x14ac:dyDescent="0.35">
      <c r="A41" s="317"/>
      <c r="B41" s="317" t="s">
        <v>15</v>
      </c>
      <c r="C41" s="357"/>
      <c r="D41" s="809"/>
      <c r="E41" s="317"/>
      <c r="F41" s="317"/>
      <c r="G41" s="386">
        <f>SUM(G33:G40)</f>
        <v>59460</v>
      </c>
      <c r="H41" s="683">
        <f>SUM(G33:G40)</f>
        <v>59460</v>
      </c>
    </row>
    <row r="42" spans="1:8" ht="22.5" customHeight="1" thickTop="1" x14ac:dyDescent="0.3">
      <c r="A42" s="61"/>
      <c r="B42" s="62" t="s">
        <v>392</v>
      </c>
      <c r="C42" s="63"/>
      <c r="D42" s="798"/>
      <c r="E42" s="69"/>
      <c r="F42" s="69"/>
      <c r="G42" s="72"/>
    </row>
    <row r="43" spans="1:8" ht="22.5" customHeight="1" x14ac:dyDescent="0.3">
      <c r="A43" s="61">
        <v>1</v>
      </c>
      <c r="B43" s="838" t="s">
        <v>1354</v>
      </c>
      <c r="C43" s="63" t="s">
        <v>1355</v>
      </c>
      <c r="D43" s="798"/>
      <c r="E43" s="69" t="s">
        <v>1336</v>
      </c>
      <c r="F43" s="117"/>
      <c r="G43" s="72">
        <v>1266.8800000000001</v>
      </c>
    </row>
    <row r="44" spans="1:8" ht="22.5" customHeight="1" x14ac:dyDescent="0.3">
      <c r="A44" s="61">
        <v>2</v>
      </c>
      <c r="B44" s="838" t="s">
        <v>281</v>
      </c>
      <c r="C44" s="63" t="s">
        <v>1374</v>
      </c>
      <c r="D44" s="798"/>
      <c r="E44" s="69" t="s">
        <v>1336</v>
      </c>
      <c r="F44" s="117"/>
      <c r="G44" s="72">
        <v>1266.8800000000001</v>
      </c>
    </row>
    <row r="45" spans="1:8" ht="22.5" customHeight="1" x14ac:dyDescent="0.3">
      <c r="A45" s="61">
        <v>3</v>
      </c>
      <c r="B45" s="838" t="s">
        <v>1380</v>
      </c>
      <c r="C45" s="63" t="s">
        <v>1370</v>
      </c>
      <c r="D45" s="798"/>
      <c r="E45" s="69" t="s">
        <v>1336</v>
      </c>
      <c r="F45" s="117"/>
      <c r="G45" s="72">
        <v>1266.8800000000001</v>
      </c>
    </row>
    <row r="46" spans="1:8" ht="22.5" customHeight="1" x14ac:dyDescent="0.3">
      <c r="A46" s="61">
        <v>4</v>
      </c>
      <c r="B46" s="838" t="s">
        <v>303</v>
      </c>
      <c r="C46" s="63" t="s">
        <v>1387</v>
      </c>
      <c r="D46" s="798"/>
      <c r="E46" s="69" t="s">
        <v>1336</v>
      </c>
      <c r="F46" s="117"/>
      <c r="G46" s="72">
        <v>633.44000000000005</v>
      </c>
    </row>
    <row r="47" spans="1:8" ht="22.5" customHeight="1" x14ac:dyDescent="0.3">
      <c r="A47" s="61">
        <v>5</v>
      </c>
      <c r="B47" s="838" t="s">
        <v>308</v>
      </c>
      <c r="C47" s="63" t="s">
        <v>1389</v>
      </c>
      <c r="D47" s="798"/>
      <c r="E47" s="69" t="s">
        <v>1336</v>
      </c>
      <c r="F47" s="117"/>
      <c r="G47" s="72">
        <v>1900.32</v>
      </c>
    </row>
    <row r="48" spans="1:8" s="60" customFormat="1" ht="22.5" customHeight="1" thickBot="1" x14ac:dyDescent="0.35">
      <c r="A48" s="317"/>
      <c r="B48" s="317" t="s">
        <v>15</v>
      </c>
      <c r="C48" s="318"/>
      <c r="D48" s="809"/>
      <c r="E48" s="383">
        <v>0</v>
      </c>
      <c r="F48" s="383">
        <v>0</v>
      </c>
      <c r="G48" s="383">
        <v>6334.4</v>
      </c>
      <c r="H48" s="683">
        <f>SUM(G43:G47)</f>
        <v>6334.4</v>
      </c>
    </row>
    <row r="49" spans="1:9" ht="22.5" customHeight="1" thickTop="1" x14ac:dyDescent="0.3">
      <c r="A49" s="61"/>
      <c r="B49" s="164" t="s">
        <v>399</v>
      </c>
      <c r="C49" s="63"/>
      <c r="D49" s="798"/>
      <c r="E49" s="69"/>
      <c r="F49" s="69"/>
      <c r="G49" s="387"/>
    </row>
    <row r="50" spans="1:9" ht="22.5" customHeight="1" x14ac:dyDescent="0.3">
      <c r="A50" s="61">
        <v>1</v>
      </c>
      <c r="B50" s="290" t="s">
        <v>463</v>
      </c>
      <c r="C50" s="63" t="s">
        <v>464</v>
      </c>
      <c r="D50" s="798"/>
      <c r="E50" s="69" t="s">
        <v>795</v>
      </c>
      <c r="F50" s="69"/>
      <c r="G50" s="387">
        <v>1064.44</v>
      </c>
    </row>
    <row r="51" spans="1:9" ht="22.5" customHeight="1" x14ac:dyDescent="0.3">
      <c r="A51" s="23">
        <v>2</v>
      </c>
      <c r="B51" s="290" t="s">
        <v>495</v>
      </c>
      <c r="C51" s="25" t="s">
        <v>496</v>
      </c>
      <c r="D51" s="799"/>
      <c r="E51" s="41" t="s">
        <v>795</v>
      </c>
      <c r="F51" s="41"/>
      <c r="G51" s="387">
        <v>20595.900000000001</v>
      </c>
    </row>
    <row r="52" spans="1:9" s="60" customFormat="1" ht="22.5" customHeight="1" thickBot="1" x14ac:dyDescent="0.35">
      <c r="A52" s="362"/>
      <c r="B52" s="362" t="s">
        <v>15</v>
      </c>
      <c r="C52" s="455"/>
      <c r="D52" s="812"/>
      <c r="E52" s="362"/>
      <c r="F52" s="362"/>
      <c r="G52" s="364">
        <v>21660.34</v>
      </c>
      <c r="H52" s="683">
        <f>SUM(G50:G51)</f>
        <v>21660.34</v>
      </c>
    </row>
    <row r="53" spans="1:9" s="60" customFormat="1" ht="22.5" customHeight="1" thickTop="1" thickBot="1" x14ac:dyDescent="0.35">
      <c r="A53" s="459"/>
      <c r="B53" s="460" t="s">
        <v>497</v>
      </c>
      <c r="C53" s="461"/>
      <c r="D53" s="813"/>
      <c r="E53" s="462">
        <v>0</v>
      </c>
      <c r="F53" s="462"/>
      <c r="G53" s="462">
        <v>172262.9376</v>
      </c>
      <c r="I53" s="59">
        <f>SUM(H9:H52)</f>
        <v>172262.94</v>
      </c>
    </row>
    <row r="54" spans="1:9" ht="22.5" customHeight="1" thickTop="1" x14ac:dyDescent="0.3">
      <c r="E54" s="3"/>
      <c r="F54" s="3"/>
      <c r="G54" s="472"/>
    </row>
    <row r="55" spans="1:9" ht="22.5" customHeight="1" x14ac:dyDescent="0.3">
      <c r="A55" s="1123" t="s">
        <v>671</v>
      </c>
      <c r="B55" s="1124"/>
      <c r="C55" s="1124"/>
      <c r="D55" s="1124"/>
      <c r="E55" s="1124"/>
      <c r="F55" s="1124"/>
      <c r="G55" s="1125"/>
      <c r="H55" s="2"/>
    </row>
    <row r="56" spans="1:9" ht="22.5" customHeight="1" x14ac:dyDescent="0.3">
      <c r="A56" s="115"/>
      <c r="B56" s="164" t="s">
        <v>499</v>
      </c>
      <c r="C56" s="165"/>
      <c r="D56" s="810"/>
      <c r="E56" s="117"/>
      <c r="F56" s="117"/>
      <c r="G56" s="370"/>
      <c r="H56" s="2"/>
    </row>
    <row r="57" spans="1:9" ht="22.5" customHeight="1" x14ac:dyDescent="0.3">
      <c r="A57" s="475">
        <v>1</v>
      </c>
      <c r="B57" s="489" t="s">
        <v>1397</v>
      </c>
      <c r="C57" s="498"/>
      <c r="D57" s="698"/>
      <c r="E57" s="484"/>
      <c r="F57" s="892"/>
      <c r="G57" s="497">
        <v>325409.68</v>
      </c>
      <c r="H57" s="2"/>
    </row>
    <row r="58" spans="1:9" ht="22.5" customHeight="1" x14ac:dyDescent="0.3">
      <c r="A58" s="502"/>
      <c r="B58" s="503" t="s">
        <v>1399</v>
      </c>
      <c r="C58" s="504"/>
      <c r="D58" s="815"/>
      <c r="E58" s="509"/>
      <c r="F58" s="893"/>
      <c r="G58" s="513"/>
      <c r="H58" s="2"/>
    </row>
    <row r="59" spans="1:9" ht="22.5" customHeight="1" x14ac:dyDescent="0.3">
      <c r="A59" s="488"/>
      <c r="B59" s="489" t="s">
        <v>1400</v>
      </c>
      <c r="C59" s="514"/>
      <c r="D59" s="699"/>
      <c r="E59" s="520"/>
      <c r="F59" s="520"/>
      <c r="G59" s="524"/>
    </row>
    <row r="60" spans="1:9" ht="22.5" customHeight="1" x14ac:dyDescent="0.3">
      <c r="A60" s="488">
        <v>2</v>
      </c>
      <c r="B60" s="525" t="s">
        <v>1401</v>
      </c>
      <c r="C60" s="526"/>
      <c r="D60" s="816"/>
      <c r="E60" s="521"/>
      <c r="F60" s="529"/>
      <c r="G60" s="532">
        <v>108369.18</v>
      </c>
    </row>
    <row r="61" spans="1:9" ht="22.5" customHeight="1" x14ac:dyDescent="0.3">
      <c r="A61" s="488"/>
      <c r="B61" s="525" t="s">
        <v>1402</v>
      </c>
      <c r="C61" s="526"/>
      <c r="D61" s="816"/>
      <c r="E61" s="521"/>
      <c r="F61" s="529"/>
      <c r="G61" s="532"/>
    </row>
    <row r="62" spans="1:9" ht="22.5" customHeight="1" x14ac:dyDescent="0.3">
      <c r="A62" s="737"/>
      <c r="B62" s="525" t="s">
        <v>1403</v>
      </c>
      <c r="C62" s="526"/>
      <c r="D62" s="816"/>
      <c r="E62" s="521"/>
      <c r="F62" s="521"/>
      <c r="G62" s="932"/>
    </row>
    <row r="63" spans="1:9" ht="22.5" customHeight="1" x14ac:dyDescent="0.3">
      <c r="A63" s="737">
        <v>3</v>
      </c>
      <c r="B63" s="525" t="s">
        <v>1404</v>
      </c>
      <c r="C63" s="526"/>
      <c r="D63" s="816"/>
      <c r="E63" s="521"/>
      <c r="F63" s="521"/>
      <c r="G63" s="932">
        <v>39949.17</v>
      </c>
    </row>
    <row r="64" spans="1:9" ht="22.5" customHeight="1" x14ac:dyDescent="0.3">
      <c r="A64" s="737"/>
      <c r="B64" s="525" t="s">
        <v>1405</v>
      </c>
      <c r="C64" s="526"/>
      <c r="D64" s="816"/>
      <c r="E64" s="521"/>
      <c r="F64" s="521"/>
      <c r="G64" s="932"/>
    </row>
    <row r="65" spans="1:10" ht="22.5" customHeight="1" x14ac:dyDescent="0.3">
      <c r="A65" s="737"/>
      <c r="B65" s="525" t="s">
        <v>1406</v>
      </c>
      <c r="C65" s="526"/>
      <c r="D65" s="816"/>
      <c r="E65" s="521"/>
      <c r="F65" s="521"/>
      <c r="G65" s="932"/>
    </row>
    <row r="66" spans="1:10" ht="22.5" customHeight="1" x14ac:dyDescent="0.3">
      <c r="A66" s="737">
        <v>4</v>
      </c>
      <c r="B66" s="525" t="s">
        <v>1407</v>
      </c>
      <c r="C66" s="526"/>
      <c r="D66" s="816"/>
      <c r="E66" s="521"/>
      <c r="F66" s="521"/>
      <c r="G66" s="932">
        <v>796450.34</v>
      </c>
    </row>
    <row r="67" spans="1:10" ht="22.5" customHeight="1" x14ac:dyDescent="0.3">
      <c r="A67" s="737"/>
      <c r="B67" s="525" t="s">
        <v>1408</v>
      </c>
      <c r="C67" s="526"/>
      <c r="D67" s="816"/>
      <c r="E67" s="521"/>
      <c r="F67" s="521"/>
      <c r="G67" s="932"/>
    </row>
    <row r="68" spans="1:10" ht="22.5" customHeight="1" x14ac:dyDescent="0.3">
      <c r="A68" s="737"/>
      <c r="B68" s="525" t="s">
        <v>1409</v>
      </c>
      <c r="C68" s="526"/>
      <c r="D68" s="816"/>
      <c r="E68" s="521"/>
      <c r="F68" s="521"/>
      <c r="G68" s="932">
        <v>93330</v>
      </c>
    </row>
    <row r="69" spans="1:10" s="60" customFormat="1" ht="22.5" customHeight="1" thickBot="1" x14ac:dyDescent="0.35">
      <c r="A69" s="921"/>
      <c r="B69" s="921" t="s">
        <v>15</v>
      </c>
      <c r="C69" s="922"/>
      <c r="D69" s="934"/>
      <c r="E69" s="926">
        <v>0</v>
      </c>
      <c r="F69" s="926">
        <v>0</v>
      </c>
      <c r="G69" s="926">
        <f>SUM(G57:G68)</f>
        <v>1363508.3699999999</v>
      </c>
      <c r="H69" s="59">
        <f>SUM(G57:G68)</f>
        <v>1363508.3699999999</v>
      </c>
    </row>
    <row r="70" spans="1:10" ht="22.5" customHeight="1" thickTop="1" x14ac:dyDescent="0.3">
      <c r="A70" s="559"/>
      <c r="B70" s="560" t="s">
        <v>92</v>
      </c>
      <c r="C70" s="561"/>
      <c r="D70" s="819"/>
      <c r="E70" s="567"/>
      <c r="F70" s="567"/>
      <c r="G70" s="570"/>
      <c r="H70" s="2"/>
    </row>
    <row r="71" spans="1:10" ht="22.5" customHeight="1" x14ac:dyDescent="0.3">
      <c r="A71" s="23">
        <v>1</v>
      </c>
      <c r="B71" s="73" t="s">
        <v>512</v>
      </c>
      <c r="C71" s="25" t="s">
        <v>97</v>
      </c>
      <c r="D71" s="799"/>
      <c r="E71" s="41" t="s">
        <v>513</v>
      </c>
      <c r="F71" s="41"/>
      <c r="G71" s="36">
        <v>10499.9956</v>
      </c>
      <c r="H71" s="2"/>
    </row>
    <row r="72" spans="1:10" s="60" customFormat="1" ht="22.5" customHeight="1" thickBot="1" x14ac:dyDescent="0.35">
      <c r="A72" s="548"/>
      <c r="B72" s="548" t="s">
        <v>15</v>
      </c>
      <c r="C72" s="549"/>
      <c r="D72" s="818"/>
      <c r="E72" s="548"/>
      <c r="F72" s="548"/>
      <c r="G72" s="558">
        <v>10499.9956</v>
      </c>
      <c r="H72" s="59">
        <f>SUM(G71)</f>
        <v>10499.9956</v>
      </c>
    </row>
    <row r="73" spans="1:10" s="60" customFormat="1" ht="22.5" customHeight="1" thickTop="1" thickBot="1" x14ac:dyDescent="0.35">
      <c r="A73" s="572"/>
      <c r="B73" s="572" t="s">
        <v>515</v>
      </c>
      <c r="C73" s="573"/>
      <c r="D73" s="820"/>
      <c r="E73" s="580"/>
      <c r="F73" s="580"/>
      <c r="G73" s="583">
        <f>SUM(G69+G72)</f>
        <v>1374008.3655999999</v>
      </c>
      <c r="H73" s="59"/>
      <c r="I73" s="59">
        <f>SUM(H69:H72)</f>
        <v>1374008.3655999999</v>
      </c>
    </row>
    <row r="74" spans="1:10" ht="22.5" customHeight="1" thickTop="1" x14ac:dyDescent="0.3">
      <c r="E74" s="470"/>
      <c r="F74" s="470"/>
      <c r="G74" s="472"/>
      <c r="H74" s="2"/>
    </row>
    <row r="75" spans="1:10" s="589" customFormat="1" ht="20.399999999999999" x14ac:dyDescent="0.5">
      <c r="A75" s="1126" t="s">
        <v>1183</v>
      </c>
      <c r="B75" s="1127"/>
      <c r="C75" s="1127"/>
      <c r="D75" s="1127"/>
      <c r="E75" s="1127"/>
      <c r="F75" s="1127"/>
      <c r="G75" s="1127"/>
      <c r="H75" s="587"/>
      <c r="I75" s="587"/>
      <c r="J75" s="588"/>
    </row>
    <row r="76" spans="1:10" s="599" customFormat="1" x14ac:dyDescent="0.6">
      <c r="A76" s="601">
        <v>2</v>
      </c>
      <c r="B76" s="602" t="s">
        <v>519</v>
      </c>
      <c r="C76" s="602" t="s">
        <v>520</v>
      </c>
      <c r="D76" s="821"/>
      <c r="E76" s="604"/>
      <c r="F76" s="604"/>
      <c r="G76" s="609">
        <v>54000</v>
      </c>
      <c r="J76" s="600"/>
    </row>
    <row r="77" spans="1:10" s="599" customFormat="1" ht="24" thickBot="1" x14ac:dyDescent="0.65">
      <c r="A77" s="619"/>
      <c r="B77" s="620" t="s">
        <v>1184</v>
      </c>
      <c r="C77" s="621"/>
      <c r="D77" s="822"/>
      <c r="E77" s="623"/>
      <c r="F77" s="623"/>
      <c r="G77" s="626">
        <v>54000</v>
      </c>
      <c r="H77" s="627">
        <f>SUM(G76)</f>
        <v>54000</v>
      </c>
      <c r="J77" s="600"/>
    </row>
    <row r="78" spans="1:10" s="636" customFormat="1" ht="24" thickTop="1" x14ac:dyDescent="0.6">
      <c r="A78" s="628"/>
      <c r="B78" s="629"/>
      <c r="C78" s="630"/>
      <c r="D78" s="823"/>
      <c r="E78" s="632"/>
      <c r="F78" s="632"/>
      <c r="G78" s="635"/>
      <c r="J78" s="637"/>
    </row>
    <row r="79" spans="1:10" s="636" customFormat="1" x14ac:dyDescent="0.6">
      <c r="A79" s="1128" t="s">
        <v>524</v>
      </c>
      <c r="B79" s="1128"/>
      <c r="C79" s="1128"/>
      <c r="D79" s="1128"/>
      <c r="E79" s="1128"/>
      <c r="F79" s="1128"/>
      <c r="G79" s="1128"/>
      <c r="J79" s="637"/>
    </row>
    <row r="80" spans="1:10" s="599" customFormat="1" x14ac:dyDescent="0.6">
      <c r="A80" s="638">
        <v>1</v>
      </c>
      <c r="B80" s="639" t="s">
        <v>519</v>
      </c>
      <c r="C80" s="639" t="s">
        <v>518</v>
      </c>
      <c r="D80" s="824"/>
      <c r="E80" s="884" t="s">
        <v>1182</v>
      </c>
      <c r="F80" s="884"/>
      <c r="G80" s="643">
        <v>89600</v>
      </c>
      <c r="J80" s="600"/>
    </row>
    <row r="81" spans="1:10" s="599" customFormat="1" ht="24" thickBot="1" x14ac:dyDescent="0.65">
      <c r="A81" s="619"/>
      <c r="B81" s="620" t="s">
        <v>535</v>
      </c>
      <c r="C81" s="621"/>
      <c r="D81" s="822"/>
      <c r="E81" s="625"/>
      <c r="F81" s="625"/>
      <c r="G81" s="625">
        <v>89600</v>
      </c>
      <c r="H81" s="731">
        <f>SUM(G80)</f>
        <v>89600</v>
      </c>
      <c r="J81" s="600"/>
    </row>
    <row r="82" spans="1:10" ht="22.5" customHeight="1" thickTop="1" x14ac:dyDescent="0.3">
      <c r="E82" s="470"/>
      <c r="F82" s="470"/>
      <c r="G82" s="472"/>
      <c r="H82" s="2"/>
    </row>
    <row r="83" spans="1:10" ht="22.5" customHeight="1" thickBot="1" x14ac:dyDescent="0.35">
      <c r="E83" s="470"/>
      <c r="F83" s="470"/>
      <c r="G83" s="658">
        <v>1689871.3132</v>
      </c>
      <c r="H83" s="2"/>
      <c r="I83" s="908">
        <f>SUM(I53:I73)+H77+H81</f>
        <v>1689871.3055999998</v>
      </c>
    </row>
    <row r="84" spans="1:10" ht="22.5" customHeight="1" thickTop="1" x14ac:dyDescent="0.5">
      <c r="B84" s="587" t="s">
        <v>537</v>
      </c>
      <c r="C84" s="587"/>
      <c r="D84" s="826"/>
      <c r="E84" s="3"/>
      <c r="F84" s="3"/>
      <c r="G84" s="472"/>
    </row>
    <row r="85" spans="1:10" x14ac:dyDescent="0.5">
      <c r="B85" s="1129" t="s">
        <v>538</v>
      </c>
      <c r="C85" s="1129"/>
      <c r="D85" s="827"/>
      <c r="E85" s="3"/>
      <c r="F85" s="3"/>
      <c r="G85" s="472"/>
    </row>
    <row r="86" spans="1:10" x14ac:dyDescent="0.5">
      <c r="B86" s="1129" t="s">
        <v>539</v>
      </c>
      <c r="C86" s="1129"/>
      <c r="D86" s="827"/>
      <c r="E86" s="3"/>
      <c r="F86" s="3"/>
      <c r="G86" s="472"/>
    </row>
    <row r="87" spans="1:10" x14ac:dyDescent="0.3">
      <c r="E87" s="3"/>
      <c r="F87" s="3"/>
      <c r="G87" s="472"/>
    </row>
    <row r="88" spans="1:10" x14ac:dyDescent="0.3">
      <c r="E88" s="3"/>
      <c r="F88" s="3"/>
      <c r="G88" s="472"/>
    </row>
    <row r="89" spans="1:10" x14ac:dyDescent="0.3">
      <c r="E89" s="3"/>
      <c r="F89" s="3"/>
      <c r="G89" s="472"/>
    </row>
    <row r="90" spans="1:10" x14ac:dyDescent="0.3">
      <c r="E90" s="3"/>
      <c r="F90" s="3"/>
      <c r="G90" s="472"/>
    </row>
    <row r="91" spans="1:10" x14ac:dyDescent="0.3">
      <c r="E91" s="3"/>
      <c r="F91" s="3"/>
      <c r="G91" s="472"/>
    </row>
    <row r="92" spans="1:10" x14ac:dyDescent="0.3">
      <c r="E92" s="3"/>
      <c r="F92" s="3"/>
      <c r="G92" s="472"/>
    </row>
    <row r="93" spans="1:10" x14ac:dyDescent="0.3">
      <c r="E93" s="3"/>
      <c r="F93" s="3"/>
      <c r="G93" s="472"/>
    </row>
  </sheetData>
  <mergeCells count="13">
    <mergeCell ref="A55:G55"/>
    <mergeCell ref="A75:G75"/>
    <mergeCell ref="A79:G79"/>
    <mergeCell ref="B85:C85"/>
    <mergeCell ref="B86:C86"/>
    <mergeCell ref="E5:E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3AEF-63B1-4B4D-9C8D-E4C47B58C0D9}">
  <sheetPr>
    <tabColor rgb="FFFFFF00"/>
  </sheetPr>
  <dimension ref="A1:I85"/>
  <sheetViews>
    <sheetView zoomScale="80" zoomScaleNormal="80" workbookViewId="0">
      <pane ySplit="6" topLeftCell="A28" activePane="bottomLeft" state="frozen"/>
      <selection pane="bottomLeft" activeCell="G37" sqref="G37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5546875" style="662" customWidth="1"/>
    <col min="5" max="5" width="5.77734375" style="662" customWidth="1"/>
    <col min="6" max="6" width="16.5546875" style="665" customWidth="1"/>
    <col min="7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7" ht="22.5" customHeight="1" x14ac:dyDescent="0.3">
      <c r="A3" s="1110" t="s">
        <v>1181</v>
      </c>
      <c r="B3" s="1111"/>
      <c r="C3" s="1111"/>
      <c r="D3" s="1111"/>
      <c r="E3" s="1111"/>
      <c r="F3" s="1111"/>
      <c r="G3" s="2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19"/>
      <c r="F4" s="1120"/>
      <c r="G4" s="2"/>
    </row>
    <row r="5" spans="1:7" ht="22.5" customHeight="1" x14ac:dyDescent="0.3">
      <c r="A5" s="1113"/>
      <c r="B5" s="1113"/>
      <c r="C5" s="1116"/>
      <c r="D5" s="1121" t="s">
        <v>10</v>
      </c>
      <c r="E5" s="882"/>
      <c r="F5" s="667"/>
      <c r="G5" s="2"/>
    </row>
    <row r="6" spans="1:7" ht="22.5" customHeight="1" x14ac:dyDescent="0.3">
      <c r="A6" s="1114"/>
      <c r="B6" s="1114"/>
      <c r="C6" s="1117"/>
      <c r="D6" s="1122"/>
      <c r="E6" s="883" t="s">
        <v>937</v>
      </c>
      <c r="F6" s="10" t="s">
        <v>15</v>
      </c>
      <c r="G6" s="2"/>
    </row>
    <row r="7" spans="1:7" ht="22.5" customHeight="1" x14ac:dyDescent="0.3">
      <c r="A7" s="4"/>
      <c r="B7" s="3" t="s">
        <v>799</v>
      </c>
      <c r="C7" s="668"/>
      <c r="D7" s="784"/>
      <c r="E7" s="784"/>
      <c r="F7" s="173"/>
      <c r="G7" s="2"/>
    </row>
    <row r="8" spans="1:7" ht="22.5" customHeight="1" x14ac:dyDescent="0.5">
      <c r="A8" s="23">
        <v>1</v>
      </c>
      <c r="B8" s="24" t="s">
        <v>30</v>
      </c>
      <c r="C8" s="25" t="s">
        <v>31</v>
      </c>
      <c r="D8" s="33" t="s">
        <v>1192</v>
      </c>
      <c r="E8" s="33" t="s">
        <v>33</v>
      </c>
      <c r="F8" s="340">
        <v>1155.5999999999997</v>
      </c>
      <c r="G8" s="47"/>
    </row>
    <row r="9" spans="1:7" ht="22.5" customHeight="1" x14ac:dyDescent="0.3">
      <c r="A9" s="23">
        <v>2</v>
      </c>
      <c r="B9" s="73" t="s">
        <v>45</v>
      </c>
      <c r="C9" s="25" t="s">
        <v>46</v>
      </c>
      <c r="D9" s="33" t="s">
        <v>1192</v>
      </c>
      <c r="E9" s="747" t="s">
        <v>33</v>
      </c>
      <c r="F9" s="36">
        <v>1605</v>
      </c>
      <c r="G9" s="2"/>
    </row>
    <row r="10" spans="1:7" ht="22.5" customHeight="1" x14ac:dyDescent="0.3">
      <c r="A10" s="23">
        <v>3</v>
      </c>
      <c r="B10" s="73" t="s">
        <v>48</v>
      </c>
      <c r="C10" s="25" t="s">
        <v>49</v>
      </c>
      <c r="D10" s="33" t="s">
        <v>1192</v>
      </c>
      <c r="E10" s="747" t="s">
        <v>33</v>
      </c>
      <c r="F10" s="36">
        <v>3081.5999999999985</v>
      </c>
      <c r="G10" s="2"/>
    </row>
    <row r="11" spans="1:7" ht="22.5" customHeight="1" x14ac:dyDescent="0.3">
      <c r="A11" s="23">
        <v>4</v>
      </c>
      <c r="B11" s="73" t="s">
        <v>51</v>
      </c>
      <c r="C11" s="25" t="s">
        <v>52</v>
      </c>
      <c r="D11" s="33" t="s">
        <v>1192</v>
      </c>
      <c r="E11" s="747" t="s">
        <v>33</v>
      </c>
      <c r="F11" s="36">
        <v>4333.5000000000036</v>
      </c>
      <c r="G11" s="2"/>
    </row>
    <row r="12" spans="1:7" ht="22.5" customHeight="1" x14ac:dyDescent="0.5">
      <c r="A12" s="23">
        <v>5</v>
      </c>
      <c r="B12" s="73" t="s">
        <v>96</v>
      </c>
      <c r="C12" s="25" t="s">
        <v>97</v>
      </c>
      <c r="D12" s="215" t="s">
        <v>1192</v>
      </c>
      <c r="E12" s="215" t="s">
        <v>33</v>
      </c>
      <c r="F12" s="217">
        <v>8880.9999999999964</v>
      </c>
      <c r="G12" s="2"/>
    </row>
    <row r="13" spans="1:7" ht="22.5" customHeight="1" x14ac:dyDescent="0.5">
      <c r="A13" s="23">
        <v>6</v>
      </c>
      <c r="B13" s="73" t="s">
        <v>103</v>
      </c>
      <c r="C13" s="25" t="s">
        <v>97</v>
      </c>
      <c r="D13" s="215" t="s">
        <v>1192</v>
      </c>
      <c r="E13" s="215" t="s">
        <v>33</v>
      </c>
      <c r="F13" s="217">
        <v>4483.3</v>
      </c>
      <c r="G13" s="2"/>
    </row>
    <row r="14" spans="1:7" ht="22.5" customHeight="1" x14ac:dyDescent="0.5">
      <c r="A14" s="23">
        <v>7</v>
      </c>
      <c r="B14" s="73" t="s">
        <v>104</v>
      </c>
      <c r="C14" s="25" t="s">
        <v>97</v>
      </c>
      <c r="D14" s="215" t="s">
        <v>1192</v>
      </c>
      <c r="E14" s="215" t="s">
        <v>33</v>
      </c>
      <c r="F14" s="217">
        <v>11481.1</v>
      </c>
      <c r="G14" s="2"/>
    </row>
    <row r="15" spans="1:7" ht="22.5" customHeight="1" x14ac:dyDescent="0.5">
      <c r="A15" s="23">
        <v>8</v>
      </c>
      <c r="B15" s="73" t="s">
        <v>105</v>
      </c>
      <c r="C15" s="25" t="s">
        <v>97</v>
      </c>
      <c r="D15" s="215" t="s">
        <v>1192</v>
      </c>
      <c r="E15" s="215" t="s">
        <v>33</v>
      </c>
      <c r="F15" s="217">
        <v>9801.200000000008</v>
      </c>
      <c r="G15" s="2"/>
    </row>
    <row r="16" spans="1:7" ht="22.5" customHeight="1" x14ac:dyDescent="0.5">
      <c r="A16" s="23">
        <v>9</v>
      </c>
      <c r="B16" s="73" t="s">
        <v>112</v>
      </c>
      <c r="C16" s="25" t="s">
        <v>113</v>
      </c>
      <c r="D16" s="215" t="s">
        <v>1192</v>
      </c>
      <c r="E16" s="215" t="s">
        <v>33</v>
      </c>
      <c r="F16" s="217">
        <v>963.00000000000068</v>
      </c>
      <c r="G16" s="2"/>
    </row>
    <row r="17" spans="1:7" ht="22.5" customHeight="1" x14ac:dyDescent="0.5">
      <c r="A17" s="23">
        <v>10</v>
      </c>
      <c r="B17" s="489" t="s">
        <v>137</v>
      </c>
      <c r="C17" s="741"/>
      <c r="D17" s="215" t="s">
        <v>1192</v>
      </c>
      <c r="E17" s="215" t="s">
        <v>33</v>
      </c>
      <c r="F17" s="217">
        <v>3006.7</v>
      </c>
      <c r="G17" s="2"/>
    </row>
    <row r="18" spans="1:7" s="229" customFormat="1" ht="22.5" customHeight="1" x14ac:dyDescent="0.5">
      <c r="A18" s="23">
        <v>11</v>
      </c>
      <c r="B18" s="240" t="s">
        <v>191</v>
      </c>
      <c r="C18" s="83" t="s">
        <v>190</v>
      </c>
      <c r="D18" s="215" t="s">
        <v>1192</v>
      </c>
      <c r="E18" s="215" t="s">
        <v>33</v>
      </c>
      <c r="F18" s="217">
        <v>8260.4000000000015</v>
      </c>
      <c r="G18" s="47"/>
    </row>
    <row r="19" spans="1:7" ht="22.5" customHeight="1" x14ac:dyDescent="0.5">
      <c r="A19" s="23">
        <v>12</v>
      </c>
      <c r="B19" s="209" t="s">
        <v>193</v>
      </c>
      <c r="C19" s="210" t="s">
        <v>194</v>
      </c>
      <c r="D19" s="215" t="s">
        <v>1192</v>
      </c>
      <c r="E19" s="215" t="s">
        <v>33</v>
      </c>
      <c r="F19" s="217">
        <v>567.10000000000036</v>
      </c>
      <c r="G19" s="2"/>
    </row>
    <row r="20" spans="1:7" ht="22.5" customHeight="1" x14ac:dyDescent="0.5">
      <c r="A20" s="23">
        <v>13</v>
      </c>
      <c r="B20" s="209" t="s">
        <v>198</v>
      </c>
      <c r="C20" s="210" t="s">
        <v>567</v>
      </c>
      <c r="D20" s="215" t="s">
        <v>1192</v>
      </c>
      <c r="E20" s="215" t="s">
        <v>33</v>
      </c>
      <c r="F20" s="217">
        <v>845.3</v>
      </c>
      <c r="G20" s="2"/>
    </row>
    <row r="21" spans="1:7" ht="22.5" customHeight="1" x14ac:dyDescent="0.5">
      <c r="A21" s="23">
        <v>14</v>
      </c>
      <c r="B21" s="209" t="s">
        <v>200</v>
      </c>
      <c r="C21" s="210" t="s">
        <v>201</v>
      </c>
      <c r="D21" s="215" t="s">
        <v>1192</v>
      </c>
      <c r="E21" s="216" t="s">
        <v>33</v>
      </c>
      <c r="F21" s="217">
        <v>12518.999999999996</v>
      </c>
      <c r="G21" s="2"/>
    </row>
    <row r="22" spans="1:7" ht="22.5" customHeight="1" x14ac:dyDescent="0.5">
      <c r="A22" s="23">
        <v>15</v>
      </c>
      <c r="B22" s="209" t="s">
        <v>210</v>
      </c>
      <c r="C22" s="210" t="s">
        <v>211</v>
      </c>
      <c r="D22" s="215" t="s">
        <v>1192</v>
      </c>
      <c r="E22" s="215" t="s">
        <v>33</v>
      </c>
      <c r="F22" s="217">
        <v>5574.7000000000007</v>
      </c>
      <c r="G22" s="2"/>
    </row>
    <row r="23" spans="1:7" ht="22.5" customHeight="1" x14ac:dyDescent="0.5">
      <c r="A23" s="23">
        <v>16</v>
      </c>
      <c r="B23" s="736" t="s">
        <v>220</v>
      </c>
      <c r="C23" s="736" t="s">
        <v>221</v>
      </c>
      <c r="D23" s="239" t="s">
        <v>1192</v>
      </c>
      <c r="E23" s="239" t="s">
        <v>33</v>
      </c>
      <c r="F23" s="217">
        <v>85.6</v>
      </c>
      <c r="G23" s="2"/>
    </row>
    <row r="24" spans="1:7" ht="22.5" customHeight="1" x14ac:dyDescent="0.5">
      <c r="A24" s="23">
        <v>17</v>
      </c>
      <c r="B24" s="257" t="s">
        <v>224</v>
      </c>
      <c r="C24" s="257" t="s">
        <v>225</v>
      </c>
      <c r="D24" s="239" t="s">
        <v>1192</v>
      </c>
      <c r="E24" s="239" t="s">
        <v>33</v>
      </c>
      <c r="F24" s="217">
        <v>363.80000000000007</v>
      </c>
      <c r="G24" s="2"/>
    </row>
    <row r="25" spans="1:7" ht="22.5" customHeight="1" x14ac:dyDescent="0.5">
      <c r="A25" s="23">
        <v>18</v>
      </c>
      <c r="B25" s="261" t="s">
        <v>226</v>
      </c>
      <c r="C25" s="261" t="s">
        <v>227</v>
      </c>
      <c r="D25" s="215" t="s">
        <v>1192</v>
      </c>
      <c r="E25" s="215" t="s">
        <v>33</v>
      </c>
      <c r="F25" s="217">
        <v>4943.3999999999996</v>
      </c>
      <c r="G25" s="2"/>
    </row>
    <row r="26" spans="1:7" ht="22.5" customHeight="1" x14ac:dyDescent="0.5">
      <c r="A26" s="23">
        <v>19</v>
      </c>
      <c r="B26" s="189" t="s">
        <v>240</v>
      </c>
      <c r="C26" s="176" t="s">
        <v>241</v>
      </c>
      <c r="D26" s="297" t="s">
        <v>1192</v>
      </c>
      <c r="E26" s="297" t="s">
        <v>33</v>
      </c>
      <c r="F26" s="36">
        <v>15750</v>
      </c>
      <c r="G26" s="2"/>
    </row>
    <row r="27" spans="1:7" ht="22.5" customHeight="1" x14ac:dyDescent="0.5">
      <c r="A27" s="23">
        <v>20</v>
      </c>
      <c r="B27" s="73" t="s">
        <v>240</v>
      </c>
      <c r="C27" s="25" t="s">
        <v>242</v>
      </c>
      <c r="D27" s="297" t="s">
        <v>1192</v>
      </c>
      <c r="E27" s="297" t="s">
        <v>33</v>
      </c>
      <c r="F27" s="36">
        <v>6300</v>
      </c>
      <c r="G27" s="2"/>
    </row>
    <row r="28" spans="1:7" ht="22.5" customHeight="1" x14ac:dyDescent="0.5">
      <c r="A28" s="23">
        <v>21</v>
      </c>
      <c r="B28" s="73" t="s">
        <v>248</v>
      </c>
      <c r="C28" s="25" t="s">
        <v>249</v>
      </c>
      <c r="D28" s="215" t="s">
        <v>1192</v>
      </c>
      <c r="E28" s="215" t="s">
        <v>33</v>
      </c>
      <c r="F28" s="36">
        <v>6300</v>
      </c>
      <c r="G28" s="2"/>
    </row>
    <row r="29" spans="1:7" ht="22.5" customHeight="1" x14ac:dyDescent="0.5">
      <c r="A29" s="23">
        <v>22</v>
      </c>
      <c r="B29" s="209" t="s">
        <v>250</v>
      </c>
      <c r="C29" s="210" t="s">
        <v>251</v>
      </c>
      <c r="D29" s="215" t="s">
        <v>1192</v>
      </c>
      <c r="E29" s="215" t="s">
        <v>33</v>
      </c>
      <c r="F29" s="36">
        <v>6300</v>
      </c>
      <c r="G29" s="2"/>
    </row>
    <row r="30" spans="1:7" ht="22.5" customHeight="1" x14ac:dyDescent="0.5">
      <c r="A30" s="23">
        <v>23</v>
      </c>
      <c r="B30" s="73" t="s">
        <v>281</v>
      </c>
      <c r="C30" s="25" t="s">
        <v>282</v>
      </c>
      <c r="D30" s="215" t="s">
        <v>1192</v>
      </c>
      <c r="E30" s="215" t="s">
        <v>33</v>
      </c>
      <c r="F30" s="36">
        <v>5600</v>
      </c>
      <c r="G30" s="218"/>
    </row>
    <row r="31" spans="1:7" ht="22.5" customHeight="1" x14ac:dyDescent="0.5">
      <c r="A31" s="23">
        <v>24</v>
      </c>
      <c r="B31" s="374" t="s">
        <v>355</v>
      </c>
      <c r="C31" s="375" t="s">
        <v>356</v>
      </c>
      <c r="D31" s="239" t="s">
        <v>1192</v>
      </c>
      <c r="E31" s="239" t="s">
        <v>33</v>
      </c>
      <c r="F31" s="340">
        <v>9400</v>
      </c>
      <c r="G31" s="2"/>
    </row>
    <row r="32" spans="1:7" ht="22.5" customHeight="1" thickBot="1" x14ac:dyDescent="0.55000000000000004">
      <c r="A32" s="905"/>
      <c r="B32" s="834" t="s">
        <v>497</v>
      </c>
      <c r="C32" s="936"/>
      <c r="D32" s="781"/>
      <c r="E32" s="781"/>
      <c r="F32" s="840">
        <f>SUM(F8:F31)</f>
        <v>131601.29999999999</v>
      </c>
      <c r="G32" s="2"/>
    </row>
    <row r="33" spans="1:8" ht="22.5" customHeight="1" thickTop="1" x14ac:dyDescent="0.5">
      <c r="A33" s="61"/>
      <c r="B33" s="392" t="s">
        <v>800</v>
      </c>
      <c r="C33" s="935"/>
      <c r="D33" s="831"/>
      <c r="E33" s="831"/>
      <c r="F33" s="72"/>
      <c r="G33" s="2"/>
    </row>
    <row r="34" spans="1:8" ht="22.5" customHeight="1" x14ac:dyDescent="0.5">
      <c r="A34" s="208">
        <v>1</v>
      </c>
      <c r="B34" s="73" t="s">
        <v>116</v>
      </c>
      <c r="C34" s="25" t="s">
        <v>113</v>
      </c>
      <c r="D34" s="215" t="s">
        <v>1233</v>
      </c>
      <c r="E34" s="215" t="s">
        <v>115</v>
      </c>
      <c r="F34" s="217">
        <v>2856.9000000000024</v>
      </c>
    </row>
    <row r="35" spans="1:8" ht="22.5" customHeight="1" x14ac:dyDescent="0.5">
      <c r="A35" s="331">
        <v>2</v>
      </c>
      <c r="B35" s="374" t="s">
        <v>358</v>
      </c>
      <c r="C35" s="375" t="s">
        <v>356</v>
      </c>
      <c r="D35" s="239" t="s">
        <v>1233</v>
      </c>
      <c r="E35" s="239" t="s">
        <v>115</v>
      </c>
      <c r="F35" s="340">
        <v>9810</v>
      </c>
    </row>
    <row r="36" spans="1:8" ht="22.5" customHeight="1" thickBot="1" x14ac:dyDescent="0.55000000000000004">
      <c r="A36" s="905"/>
      <c r="B36" s="834" t="s">
        <v>497</v>
      </c>
      <c r="C36" s="936"/>
      <c r="D36" s="847"/>
      <c r="E36" s="847"/>
      <c r="F36" s="840">
        <f>SUM(F34:F35)</f>
        <v>12666.900000000001</v>
      </c>
    </row>
    <row r="37" spans="1:8" ht="22.5" customHeight="1" thickTop="1" x14ac:dyDescent="0.5">
      <c r="A37" s="115"/>
      <c r="B37" s="398" t="s">
        <v>1410</v>
      </c>
      <c r="C37" s="366"/>
      <c r="D37" s="675"/>
      <c r="E37" s="675"/>
      <c r="F37" s="72"/>
    </row>
    <row r="38" spans="1:8" ht="22.5" customHeight="1" x14ac:dyDescent="0.3">
      <c r="A38" s="61">
        <v>1</v>
      </c>
      <c r="B38" s="838" t="s">
        <v>1354</v>
      </c>
      <c r="C38" s="63" t="s">
        <v>1355</v>
      </c>
      <c r="D38" s="69" t="s">
        <v>1336</v>
      </c>
      <c r="E38" s="117"/>
      <c r="F38" s="72">
        <v>1266.8800000000001</v>
      </c>
    </row>
    <row r="39" spans="1:8" ht="22.5" customHeight="1" x14ac:dyDescent="0.3">
      <c r="A39" s="61">
        <v>2</v>
      </c>
      <c r="B39" s="838" t="s">
        <v>281</v>
      </c>
      <c r="C39" s="63" t="s">
        <v>1374</v>
      </c>
      <c r="D39" s="69" t="s">
        <v>1336</v>
      </c>
      <c r="E39" s="117"/>
      <c r="F39" s="72">
        <v>1266.8800000000001</v>
      </c>
    </row>
    <row r="40" spans="1:8" ht="22.5" customHeight="1" x14ac:dyDescent="0.3">
      <c r="A40" s="61">
        <v>3</v>
      </c>
      <c r="B40" s="838" t="s">
        <v>1380</v>
      </c>
      <c r="C40" s="63" t="s">
        <v>1370</v>
      </c>
      <c r="D40" s="69" t="s">
        <v>1336</v>
      </c>
      <c r="E40" s="117"/>
      <c r="F40" s="72">
        <v>1266.8800000000001</v>
      </c>
    </row>
    <row r="41" spans="1:8" ht="22.5" customHeight="1" x14ac:dyDescent="0.3">
      <c r="A41" s="61">
        <v>4</v>
      </c>
      <c r="B41" s="838" t="s">
        <v>303</v>
      </c>
      <c r="C41" s="63" t="s">
        <v>1387</v>
      </c>
      <c r="D41" s="69" t="s">
        <v>1336</v>
      </c>
      <c r="E41" s="117"/>
      <c r="F41" s="72">
        <v>633.44000000000005</v>
      </c>
    </row>
    <row r="42" spans="1:8" ht="22.5" customHeight="1" x14ac:dyDescent="0.3">
      <c r="A42" s="61">
        <v>5</v>
      </c>
      <c r="B42" s="838" t="s">
        <v>308</v>
      </c>
      <c r="C42" s="63" t="s">
        <v>1389</v>
      </c>
      <c r="D42" s="69" t="s">
        <v>1336</v>
      </c>
      <c r="E42" s="117"/>
      <c r="F42" s="72">
        <v>1900.32</v>
      </c>
    </row>
    <row r="43" spans="1:8" ht="22.5" customHeight="1" x14ac:dyDescent="0.3">
      <c r="A43" s="61">
        <v>1</v>
      </c>
      <c r="B43" s="290" t="s">
        <v>463</v>
      </c>
      <c r="C43" s="63" t="s">
        <v>464</v>
      </c>
      <c r="D43" s="69" t="s">
        <v>795</v>
      </c>
      <c r="E43" s="69"/>
      <c r="F43" s="387">
        <v>1064.44</v>
      </c>
      <c r="H43" s="908">
        <f>SUM(F32+F36+F45)</f>
        <v>172262.93999999997</v>
      </c>
    </row>
    <row r="44" spans="1:8" ht="22.5" customHeight="1" thickBot="1" x14ac:dyDescent="0.35">
      <c r="A44" s="23">
        <v>2</v>
      </c>
      <c r="B44" s="290" t="s">
        <v>495</v>
      </c>
      <c r="C44" s="25" t="s">
        <v>496</v>
      </c>
      <c r="D44" s="41" t="s">
        <v>795</v>
      </c>
      <c r="E44" s="41"/>
      <c r="F44" s="387">
        <v>20595.900000000001</v>
      </c>
    </row>
    <row r="45" spans="1:8" s="60" customFormat="1" ht="22.5" customHeight="1" thickTop="1" thickBot="1" x14ac:dyDescent="0.35">
      <c r="A45" s="459"/>
      <c r="B45" s="460" t="s">
        <v>497</v>
      </c>
      <c r="C45" s="461"/>
      <c r="D45" s="462">
        <v>0</v>
      </c>
      <c r="E45" s="462"/>
      <c r="F45" s="462">
        <f>SUM(F38:F44)</f>
        <v>27994.74</v>
      </c>
      <c r="H45" s="59">
        <v>172262.94</v>
      </c>
    </row>
    <row r="46" spans="1:8" ht="22.5" customHeight="1" thickTop="1" x14ac:dyDescent="0.3">
      <c r="D46" s="3"/>
      <c r="E46" s="3"/>
      <c r="F46" s="472"/>
    </row>
    <row r="47" spans="1:8" ht="22.5" customHeight="1" x14ac:dyDescent="0.3">
      <c r="A47" s="1123" t="s">
        <v>671</v>
      </c>
      <c r="B47" s="1124"/>
      <c r="C47" s="1124"/>
      <c r="D47" s="1124"/>
      <c r="E47" s="1124"/>
      <c r="F47" s="1125"/>
      <c r="G47" s="2"/>
    </row>
    <row r="48" spans="1:8" ht="22.5" customHeight="1" x14ac:dyDescent="0.3">
      <c r="A48" s="115"/>
      <c r="B48" s="164" t="s">
        <v>499</v>
      </c>
      <c r="C48" s="165"/>
      <c r="D48" s="117"/>
      <c r="E48" s="117"/>
      <c r="F48" s="370"/>
      <c r="G48" s="2"/>
    </row>
    <row r="49" spans="1:7" ht="22.5" customHeight="1" x14ac:dyDescent="0.3">
      <c r="A49" s="475">
        <v>1</v>
      </c>
      <c r="B49" s="489" t="s">
        <v>1397</v>
      </c>
      <c r="C49" s="498"/>
      <c r="D49" s="484"/>
      <c r="E49" s="892"/>
      <c r="F49" s="497">
        <v>325409.68</v>
      </c>
      <c r="G49" s="2"/>
    </row>
    <row r="50" spans="1:7" ht="22.5" customHeight="1" x14ac:dyDescent="0.3">
      <c r="A50" s="502"/>
      <c r="B50" s="503" t="s">
        <v>1399</v>
      </c>
      <c r="C50" s="504"/>
      <c r="D50" s="509"/>
      <c r="E50" s="893"/>
      <c r="F50" s="513"/>
      <c r="G50" s="2"/>
    </row>
    <row r="51" spans="1:7" ht="22.5" customHeight="1" x14ac:dyDescent="0.3">
      <c r="A51" s="488"/>
      <c r="B51" s="489" t="s">
        <v>1400</v>
      </c>
      <c r="C51" s="514"/>
      <c r="D51" s="520"/>
      <c r="E51" s="520"/>
      <c r="F51" s="524"/>
    </row>
    <row r="52" spans="1:7" ht="22.5" customHeight="1" x14ac:dyDescent="0.3">
      <c r="A52" s="488">
        <v>2</v>
      </c>
      <c r="B52" s="525" t="s">
        <v>1401</v>
      </c>
      <c r="C52" s="526"/>
      <c r="D52" s="521"/>
      <c r="E52" s="529"/>
      <c r="F52" s="532">
        <v>108369.18</v>
      </c>
    </row>
    <row r="53" spans="1:7" ht="22.5" customHeight="1" x14ac:dyDescent="0.3">
      <c r="A53" s="488"/>
      <c r="B53" s="525" t="s">
        <v>1402</v>
      </c>
      <c r="C53" s="526"/>
      <c r="D53" s="521"/>
      <c r="E53" s="529"/>
      <c r="F53" s="532"/>
    </row>
    <row r="54" spans="1:7" ht="22.5" customHeight="1" x14ac:dyDescent="0.3">
      <c r="A54" s="737"/>
      <c r="B54" s="525" t="s">
        <v>1403</v>
      </c>
      <c r="C54" s="526"/>
      <c r="D54" s="521"/>
      <c r="E54" s="521"/>
      <c r="F54" s="932"/>
    </row>
    <row r="55" spans="1:7" ht="22.5" customHeight="1" x14ac:dyDescent="0.3">
      <c r="A55" s="737">
        <v>3</v>
      </c>
      <c r="B55" s="525" t="s">
        <v>1404</v>
      </c>
      <c r="C55" s="526"/>
      <c r="D55" s="521"/>
      <c r="E55" s="521"/>
      <c r="F55" s="932">
        <v>39949.17</v>
      </c>
    </row>
    <row r="56" spans="1:7" ht="22.5" customHeight="1" x14ac:dyDescent="0.3">
      <c r="A56" s="737"/>
      <c r="B56" s="525" t="s">
        <v>1405</v>
      </c>
      <c r="C56" s="526"/>
      <c r="D56" s="521"/>
      <c r="E56" s="521"/>
      <c r="F56" s="932"/>
    </row>
    <row r="57" spans="1:7" ht="22.5" customHeight="1" x14ac:dyDescent="0.3">
      <c r="A57" s="737"/>
      <c r="B57" s="525" t="s">
        <v>1406</v>
      </c>
      <c r="C57" s="526"/>
      <c r="D57" s="521"/>
      <c r="E57" s="521"/>
      <c r="F57" s="932"/>
    </row>
    <row r="58" spans="1:7" ht="22.5" customHeight="1" x14ac:dyDescent="0.3">
      <c r="A58" s="737">
        <v>4</v>
      </c>
      <c r="B58" s="525" t="s">
        <v>1407</v>
      </c>
      <c r="C58" s="526"/>
      <c r="D58" s="521"/>
      <c r="E58" s="521"/>
      <c r="F58" s="932">
        <v>796450.34</v>
      </c>
    </row>
    <row r="59" spans="1:7" ht="22.5" customHeight="1" x14ac:dyDescent="0.3">
      <c r="A59" s="737"/>
      <c r="B59" s="525" t="s">
        <v>1408</v>
      </c>
      <c r="C59" s="526"/>
      <c r="D59" s="521"/>
      <c r="E59" s="521"/>
      <c r="F59" s="932"/>
    </row>
    <row r="60" spans="1:7" ht="22.5" customHeight="1" x14ac:dyDescent="0.3">
      <c r="A60" s="737"/>
      <c r="B60" s="525" t="s">
        <v>1409</v>
      </c>
      <c r="C60" s="526"/>
      <c r="D60" s="521"/>
      <c r="E60" s="521"/>
      <c r="F60" s="932">
        <v>93330</v>
      </c>
    </row>
    <row r="61" spans="1:7" s="60" customFormat="1" ht="22.5" customHeight="1" thickBot="1" x14ac:dyDescent="0.35">
      <c r="A61" s="921"/>
      <c r="B61" s="921" t="s">
        <v>15</v>
      </c>
      <c r="C61" s="922"/>
      <c r="D61" s="926">
        <v>0</v>
      </c>
      <c r="E61" s="926">
        <v>0</v>
      </c>
      <c r="F61" s="926">
        <f>SUM(F49:F60)</f>
        <v>1363508.3699999999</v>
      </c>
      <c r="G61" s="59">
        <f>SUM(F49:F60)</f>
        <v>1363508.3699999999</v>
      </c>
    </row>
    <row r="62" spans="1:7" ht="22.5" customHeight="1" thickTop="1" x14ac:dyDescent="0.3">
      <c r="A62" s="559"/>
      <c r="B62" s="560" t="s">
        <v>92</v>
      </c>
      <c r="C62" s="561"/>
      <c r="D62" s="567"/>
      <c r="E62" s="567"/>
      <c r="F62" s="570"/>
      <c r="G62" s="2"/>
    </row>
    <row r="63" spans="1:7" ht="22.5" customHeight="1" x14ac:dyDescent="0.3">
      <c r="A63" s="23">
        <v>1</v>
      </c>
      <c r="B63" s="73" t="s">
        <v>512</v>
      </c>
      <c r="C63" s="25" t="s">
        <v>97</v>
      </c>
      <c r="D63" s="41" t="s">
        <v>513</v>
      </c>
      <c r="E63" s="41"/>
      <c r="F63" s="36">
        <v>10499.9956</v>
      </c>
      <c r="G63" s="2"/>
    </row>
    <row r="64" spans="1:7" s="60" customFormat="1" ht="22.5" customHeight="1" thickBot="1" x14ac:dyDescent="0.35">
      <c r="A64" s="548"/>
      <c r="B64" s="548" t="s">
        <v>15</v>
      </c>
      <c r="C64" s="549"/>
      <c r="D64" s="548"/>
      <c r="E64" s="548"/>
      <c r="F64" s="558">
        <v>10499.9956</v>
      </c>
      <c r="G64" s="59">
        <v>10499.9956</v>
      </c>
    </row>
    <row r="65" spans="1:9" s="60" customFormat="1" ht="22.5" customHeight="1" thickTop="1" thickBot="1" x14ac:dyDescent="0.35">
      <c r="A65" s="572"/>
      <c r="B65" s="572" t="s">
        <v>515</v>
      </c>
      <c r="C65" s="573"/>
      <c r="D65" s="580"/>
      <c r="E65" s="580"/>
      <c r="F65" s="583">
        <f>SUM(F61+F64)</f>
        <v>1374008.3655999999</v>
      </c>
      <c r="G65" s="59"/>
      <c r="H65" s="59">
        <f>SUM(F65)</f>
        <v>1374008.3655999999</v>
      </c>
    </row>
    <row r="66" spans="1:9" ht="22.5" customHeight="1" thickTop="1" x14ac:dyDescent="0.3">
      <c r="D66" s="470"/>
      <c r="E66" s="470"/>
      <c r="F66" s="472"/>
      <c r="G66" s="2"/>
    </row>
    <row r="67" spans="1:9" s="589" customFormat="1" ht="20.399999999999999" x14ac:dyDescent="0.5">
      <c r="A67" s="1126" t="s">
        <v>1183</v>
      </c>
      <c r="B67" s="1127"/>
      <c r="C67" s="1127"/>
      <c r="D67" s="1127"/>
      <c r="E67" s="1127"/>
      <c r="F67" s="1127"/>
      <c r="G67" s="587"/>
      <c r="H67" s="587"/>
      <c r="I67" s="588"/>
    </row>
    <row r="68" spans="1:9" s="599" customFormat="1" x14ac:dyDescent="0.6">
      <c r="A68" s="601">
        <v>2</v>
      </c>
      <c r="B68" s="602" t="s">
        <v>519</v>
      </c>
      <c r="C68" s="602" t="s">
        <v>520</v>
      </c>
      <c r="D68" s="604"/>
      <c r="E68" s="604"/>
      <c r="F68" s="609">
        <v>54000</v>
      </c>
      <c r="I68" s="600"/>
    </row>
    <row r="69" spans="1:9" s="599" customFormat="1" ht="24" thickBot="1" x14ac:dyDescent="0.65">
      <c r="A69" s="619"/>
      <c r="B69" s="620" t="s">
        <v>1184</v>
      </c>
      <c r="C69" s="621"/>
      <c r="D69" s="623"/>
      <c r="E69" s="623"/>
      <c r="F69" s="626">
        <v>54000</v>
      </c>
      <c r="G69" s="627">
        <v>54000</v>
      </c>
      <c r="I69" s="600"/>
    </row>
    <row r="70" spans="1:9" s="636" customFormat="1" ht="24" thickTop="1" x14ac:dyDescent="0.6">
      <c r="A70" s="628"/>
      <c r="B70" s="629"/>
      <c r="C70" s="630"/>
      <c r="D70" s="632"/>
      <c r="E70" s="632"/>
      <c r="F70" s="635"/>
      <c r="I70" s="637"/>
    </row>
    <row r="71" spans="1:9" s="636" customFormat="1" x14ac:dyDescent="0.6">
      <c r="A71" s="1128" t="s">
        <v>524</v>
      </c>
      <c r="B71" s="1128"/>
      <c r="C71" s="1128"/>
      <c r="D71" s="1128"/>
      <c r="E71" s="1128"/>
      <c r="F71" s="1128"/>
      <c r="I71" s="637"/>
    </row>
    <row r="72" spans="1:9" s="599" customFormat="1" x14ac:dyDescent="0.6">
      <c r="A72" s="638">
        <v>1</v>
      </c>
      <c r="B72" s="639" t="s">
        <v>519</v>
      </c>
      <c r="C72" s="639" t="s">
        <v>518</v>
      </c>
      <c r="D72" s="884" t="s">
        <v>1182</v>
      </c>
      <c r="E72" s="884"/>
      <c r="F72" s="643">
        <v>89600</v>
      </c>
      <c r="I72" s="600"/>
    </row>
    <row r="73" spans="1:9" s="599" customFormat="1" ht="24" thickBot="1" x14ac:dyDescent="0.65">
      <c r="A73" s="619"/>
      <c r="B73" s="620" t="s">
        <v>535</v>
      </c>
      <c r="C73" s="621"/>
      <c r="D73" s="625"/>
      <c r="E73" s="625"/>
      <c r="F73" s="625">
        <v>89600</v>
      </c>
      <c r="G73" s="731">
        <v>89600</v>
      </c>
      <c r="I73" s="600"/>
    </row>
    <row r="74" spans="1:9" ht="22.5" customHeight="1" thickTop="1" x14ac:dyDescent="0.3">
      <c r="D74" s="470"/>
      <c r="E74" s="470"/>
      <c r="F74" s="472"/>
      <c r="G74" s="2"/>
    </row>
    <row r="75" spans="1:9" ht="22.5" customHeight="1" thickBot="1" x14ac:dyDescent="0.35">
      <c r="D75" s="470"/>
      <c r="E75" s="470"/>
      <c r="F75" s="658">
        <v>1689871.3132</v>
      </c>
      <c r="G75" s="2"/>
      <c r="H75" s="908">
        <v>1689871.3132</v>
      </c>
    </row>
    <row r="76" spans="1:9" ht="22.5" customHeight="1" thickTop="1" x14ac:dyDescent="0.5">
      <c r="B76" s="587" t="s">
        <v>537</v>
      </c>
      <c r="C76" s="587"/>
      <c r="D76" s="3"/>
      <c r="E76" s="3"/>
      <c r="F76" s="472"/>
    </row>
    <row r="77" spans="1:9" x14ac:dyDescent="0.5">
      <c r="B77" s="1129" t="s">
        <v>538</v>
      </c>
      <c r="C77" s="1129"/>
      <c r="D77" s="3"/>
      <c r="E77" s="3"/>
      <c r="F77" s="472"/>
    </row>
    <row r="78" spans="1:9" x14ac:dyDescent="0.5">
      <c r="B78" s="1129" t="s">
        <v>539</v>
      </c>
      <c r="C78" s="1129"/>
      <c r="D78" s="3"/>
      <c r="E78" s="3"/>
      <c r="F78" s="472"/>
    </row>
    <row r="79" spans="1:9" x14ac:dyDescent="0.3">
      <c r="D79" s="3"/>
      <c r="E79" s="3"/>
      <c r="F79" s="472"/>
    </row>
    <row r="80" spans="1:9" x14ac:dyDescent="0.3">
      <c r="D80" s="3"/>
      <c r="E80" s="3"/>
      <c r="F80" s="472"/>
    </row>
    <row r="81" spans="4:6" x14ac:dyDescent="0.3">
      <c r="D81" s="3"/>
      <c r="E81" s="3"/>
      <c r="F81" s="472"/>
    </row>
    <row r="82" spans="4:6" x14ac:dyDescent="0.3">
      <c r="D82" s="3"/>
      <c r="E82" s="3"/>
      <c r="F82" s="472"/>
    </row>
    <row r="83" spans="4:6" x14ac:dyDescent="0.3">
      <c r="D83" s="3"/>
      <c r="E83" s="3"/>
      <c r="F83" s="472"/>
    </row>
    <row r="84" spans="4:6" x14ac:dyDescent="0.3">
      <c r="D84" s="3"/>
      <c r="E84" s="3"/>
      <c r="F84" s="472"/>
    </row>
    <row r="85" spans="4:6" x14ac:dyDescent="0.3">
      <c r="D85" s="3"/>
      <c r="E85" s="3"/>
      <c r="F85" s="472"/>
    </row>
  </sheetData>
  <sortState xmlns:xlrd2="http://schemas.microsoft.com/office/spreadsheetml/2017/richdata2" ref="A9:F44">
    <sortCondition ref="E9:E44"/>
  </sortState>
  <mergeCells count="13">
    <mergeCell ref="A47:F47"/>
    <mergeCell ref="A67:F67"/>
    <mergeCell ref="A71:F71"/>
    <mergeCell ref="B77:C77"/>
    <mergeCell ref="B78:C78"/>
    <mergeCell ref="A1:F1"/>
    <mergeCell ref="A2:F2"/>
    <mergeCell ref="A3:F3"/>
    <mergeCell ref="A4:A6"/>
    <mergeCell ref="B4:B6"/>
    <mergeCell ref="C4:C6"/>
    <mergeCell ref="D4:F4"/>
    <mergeCell ref="D5:D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B233-F4D6-4651-B6F1-0E6E17E52C8C}">
  <sheetPr>
    <tabColor rgb="FF00B0F0"/>
  </sheetPr>
  <dimension ref="A1:AQ289"/>
  <sheetViews>
    <sheetView zoomScale="80" zoomScaleNormal="80" workbookViewId="0">
      <pane ySplit="6" topLeftCell="A240" activePane="bottomLeft" state="frozen"/>
      <selection pane="bottomLeft" activeCell="C271" sqref="C271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88671875" style="88" customWidth="1"/>
    <col min="5" max="5" width="13.33203125" style="659" customWidth="1"/>
    <col min="6" max="6" width="5.5546875" style="659" customWidth="1"/>
    <col min="7" max="7" width="7.88671875" style="660" customWidth="1"/>
    <col min="8" max="8" width="14.88671875" style="661" customWidth="1"/>
    <col min="9" max="9" width="14.6640625" style="661" customWidth="1"/>
    <col min="10" max="10" width="14.44140625" style="661" customWidth="1"/>
    <col min="11" max="11" width="12.44140625" style="88" customWidth="1"/>
    <col min="12" max="12" width="18.6640625" style="88" customWidth="1"/>
    <col min="13" max="13" width="16.33203125" style="88" customWidth="1"/>
    <col min="14" max="14" width="14.5546875" style="662" customWidth="1"/>
    <col min="15" max="15" width="5.77734375" style="662" customWidth="1"/>
    <col min="16" max="16" width="8" style="663" customWidth="1"/>
    <col min="17" max="17" width="16.33203125" style="664" customWidth="1"/>
    <col min="18" max="18" width="13.88671875" style="664" customWidth="1"/>
    <col min="19" max="19" width="16.5546875" style="665" customWidth="1"/>
    <col min="20" max="16384" width="27.109375" style="3"/>
  </cols>
  <sheetData>
    <row r="1" spans="1:20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09"/>
      <c r="S1" s="1109"/>
      <c r="T1" s="2"/>
    </row>
    <row r="2" spans="1:20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2"/>
    </row>
    <row r="3" spans="1:20" ht="22.5" customHeight="1" x14ac:dyDescent="0.3">
      <c r="A3" s="1110" t="s">
        <v>1065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1111"/>
      <c r="S3" s="1111"/>
      <c r="T3" s="2"/>
    </row>
    <row r="4" spans="1:20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44"/>
      <c r="G4" s="1135"/>
      <c r="H4" s="1135"/>
      <c r="I4" s="1135"/>
      <c r="J4" s="1136"/>
      <c r="K4" s="1145" t="s">
        <v>8</v>
      </c>
      <c r="L4" s="1146"/>
      <c r="M4" s="1147"/>
      <c r="N4" s="1118" t="s">
        <v>9</v>
      </c>
      <c r="O4" s="1119"/>
      <c r="P4" s="1140"/>
      <c r="Q4" s="1140"/>
      <c r="R4" s="1140"/>
      <c r="S4" s="1120"/>
      <c r="T4" s="2"/>
    </row>
    <row r="5" spans="1:20" ht="22.5" customHeight="1" x14ac:dyDescent="0.3">
      <c r="A5" s="1113"/>
      <c r="B5" s="1113"/>
      <c r="C5" s="1116"/>
      <c r="D5" s="1142"/>
      <c r="E5" s="1130" t="s">
        <v>10</v>
      </c>
      <c r="F5" s="880" t="s">
        <v>937</v>
      </c>
      <c r="G5" s="1132" t="s">
        <v>11</v>
      </c>
      <c r="H5" s="1134" t="s">
        <v>12</v>
      </c>
      <c r="I5" s="1135"/>
      <c r="J5" s="1136"/>
      <c r="K5" s="5"/>
      <c r="L5" s="6"/>
      <c r="M5" s="6"/>
      <c r="N5" s="1121" t="s">
        <v>10</v>
      </c>
      <c r="O5" s="882"/>
      <c r="P5" s="1138" t="s">
        <v>11</v>
      </c>
      <c r="Q5" s="1118" t="s">
        <v>12</v>
      </c>
      <c r="R5" s="1140"/>
      <c r="S5" s="1120"/>
      <c r="T5" s="2"/>
    </row>
    <row r="6" spans="1:20" ht="22.5" customHeight="1" x14ac:dyDescent="0.3">
      <c r="A6" s="1114"/>
      <c r="B6" s="1114"/>
      <c r="C6" s="1117"/>
      <c r="D6" s="1143"/>
      <c r="E6" s="1131"/>
      <c r="F6" s="881"/>
      <c r="G6" s="1133"/>
      <c r="H6" s="7" t="s">
        <v>13</v>
      </c>
      <c r="I6" s="7" t="s">
        <v>14</v>
      </c>
      <c r="J6" s="7" t="s">
        <v>15</v>
      </c>
      <c r="K6" s="5" t="s">
        <v>16</v>
      </c>
      <c r="L6" s="8" t="s">
        <v>17</v>
      </c>
      <c r="M6" s="6" t="s">
        <v>13</v>
      </c>
      <c r="N6" s="1122"/>
      <c r="O6" s="883" t="s">
        <v>937</v>
      </c>
      <c r="P6" s="1139"/>
      <c r="Q6" s="9" t="s">
        <v>18</v>
      </c>
      <c r="R6" s="9" t="s">
        <v>14</v>
      </c>
      <c r="S6" s="10" t="s">
        <v>15</v>
      </c>
      <c r="T6" s="2"/>
    </row>
    <row r="7" spans="1:20" ht="22.5" customHeight="1" x14ac:dyDescent="0.3">
      <c r="A7" s="11"/>
      <c r="B7" s="12" t="s">
        <v>19</v>
      </c>
      <c r="C7" s="13"/>
      <c r="D7" s="14"/>
      <c r="E7" s="15"/>
      <c r="F7" s="15"/>
      <c r="G7" s="16"/>
      <c r="H7" s="7"/>
      <c r="I7" s="17"/>
      <c r="J7" s="17"/>
      <c r="K7" s="18"/>
      <c r="L7" s="18"/>
      <c r="M7" s="14"/>
      <c r="N7" s="19"/>
      <c r="O7" s="19"/>
      <c r="P7" s="20"/>
      <c r="Q7" s="21"/>
      <c r="R7" s="21"/>
      <c r="S7" s="22"/>
      <c r="T7" s="2"/>
    </row>
    <row r="8" spans="1:20" ht="22.5" customHeight="1" x14ac:dyDescent="0.6">
      <c r="A8" s="23">
        <v>1</v>
      </c>
      <c r="B8" s="24" t="s">
        <v>20</v>
      </c>
      <c r="C8" s="25" t="s">
        <v>21</v>
      </c>
      <c r="D8" s="26">
        <v>5847.33</v>
      </c>
      <c r="E8" s="27"/>
      <c r="F8" s="27"/>
      <c r="G8" s="28"/>
      <c r="H8" s="29">
        <v>-2.2429906553425609E-3</v>
      </c>
      <c r="I8" s="29">
        <v>-1.5700934587397925E-4</v>
      </c>
      <c r="J8" s="29">
        <v>-2.4000000012165401E-3</v>
      </c>
      <c r="K8" s="30">
        <v>25261</v>
      </c>
      <c r="L8" s="31" t="s">
        <v>1067</v>
      </c>
      <c r="M8" s="32">
        <v>5847.33</v>
      </c>
      <c r="N8" s="33"/>
      <c r="O8" s="33"/>
      <c r="P8" s="34"/>
      <c r="Q8" s="35">
        <f>SUM(S8-R8)</f>
        <v>-2.2429906553425609E-3</v>
      </c>
      <c r="R8" s="35">
        <f>SUM(S8*7/107)</f>
        <v>-1.5700934587397925E-4</v>
      </c>
      <c r="S8" s="36">
        <f>SUM(D8+J8-M8)</f>
        <v>-2.4000000012165401E-3</v>
      </c>
      <c r="T8" s="47"/>
    </row>
    <row r="9" spans="1:20" ht="22.5" customHeight="1" x14ac:dyDescent="0.6">
      <c r="A9" s="23">
        <v>2</v>
      </c>
      <c r="B9" s="24" t="s">
        <v>24</v>
      </c>
      <c r="C9" s="25" t="s">
        <v>25</v>
      </c>
      <c r="D9" s="26">
        <v>4942.2099999999991</v>
      </c>
      <c r="E9" s="27"/>
      <c r="F9" s="27"/>
      <c r="G9" s="28"/>
      <c r="H9" s="29">
        <v>-8.4999504838591423E-13</v>
      </c>
      <c r="I9" s="29">
        <v>-5.9499653387013991E-14</v>
      </c>
      <c r="J9" s="29">
        <v>-9.0949470177292824E-13</v>
      </c>
      <c r="K9" s="30">
        <v>25262</v>
      </c>
      <c r="L9" s="31" t="s">
        <v>1068</v>
      </c>
      <c r="M9" s="32">
        <v>4942.21</v>
      </c>
      <c r="N9" s="33"/>
      <c r="O9" s="33"/>
      <c r="P9" s="34"/>
      <c r="Q9" s="35">
        <f>SUM(S9-R9)</f>
        <v>-1.6999900967718285E-12</v>
      </c>
      <c r="R9" s="35">
        <f>SUM(S9*7/107)</f>
        <v>-1.1899930677402798E-13</v>
      </c>
      <c r="S9" s="36">
        <f>SUM(D9+J9-M9)</f>
        <v>-1.8189894035458565E-12</v>
      </c>
      <c r="T9" s="47"/>
    </row>
    <row r="10" spans="1:20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7"/>
      <c r="G10" s="28"/>
      <c r="H10" s="29">
        <v>0</v>
      </c>
      <c r="I10" s="29">
        <v>0</v>
      </c>
      <c r="J10" s="29">
        <v>0</v>
      </c>
      <c r="K10" s="38">
        <v>25261</v>
      </c>
      <c r="L10" s="39" t="s">
        <v>1069</v>
      </c>
      <c r="M10" s="40">
        <v>802.5</v>
      </c>
      <c r="N10" s="41"/>
      <c r="O10" s="41"/>
      <c r="P10" s="34"/>
      <c r="Q10" s="35">
        <f>SUM(S10-R10)</f>
        <v>0</v>
      </c>
      <c r="R10" s="35">
        <f>SUM(S10*7/107)</f>
        <v>0</v>
      </c>
      <c r="S10" s="36">
        <f>SUM(D10+J10-M10)</f>
        <v>0</v>
      </c>
      <c r="T10" s="2"/>
    </row>
    <row r="11" spans="1:20" ht="22.5" customHeight="1" x14ac:dyDescent="0.6">
      <c r="A11" s="23">
        <v>4</v>
      </c>
      <c r="B11" s="24" t="s">
        <v>30</v>
      </c>
      <c r="C11" s="25" t="s">
        <v>31</v>
      </c>
      <c r="D11" s="43"/>
      <c r="E11" s="894" t="s">
        <v>958</v>
      </c>
      <c r="F11" s="895" t="s">
        <v>33</v>
      </c>
      <c r="G11" s="895" t="s">
        <v>33</v>
      </c>
      <c r="H11" s="896">
        <v>1620</v>
      </c>
      <c r="I11" s="896">
        <v>113.4</v>
      </c>
      <c r="J11" s="896">
        <v>1733.4</v>
      </c>
      <c r="K11" s="30">
        <v>25239</v>
      </c>
      <c r="L11" s="31" t="s">
        <v>1070</v>
      </c>
      <c r="M11" s="32">
        <v>1733.4</v>
      </c>
      <c r="N11" s="33"/>
      <c r="O11" s="33"/>
      <c r="P11" s="34"/>
      <c r="Q11" s="669">
        <f>SUM(S11-R11)</f>
        <v>0</v>
      </c>
      <c r="R11" s="669">
        <f>SUM(S11*7/107)</f>
        <v>0</v>
      </c>
      <c r="S11" s="340">
        <f>SUM(D11+J11-M11)</f>
        <v>0</v>
      </c>
      <c r="T11" s="47"/>
    </row>
    <row r="12" spans="1:20" s="60" customFormat="1" ht="22.5" customHeight="1" thickBot="1" x14ac:dyDescent="0.35">
      <c r="A12" s="48"/>
      <c r="B12" s="48" t="s">
        <v>15</v>
      </c>
      <c r="C12" s="49"/>
      <c r="D12" s="50">
        <f>SUM(D8:D11)</f>
        <v>11592.039999999999</v>
      </c>
      <c r="E12" s="51"/>
      <c r="F12" s="51"/>
      <c r="G12" s="52"/>
      <c r="H12" s="53">
        <f>SUM(H8:H11)</f>
        <v>1619.9977570093438</v>
      </c>
      <c r="I12" s="53">
        <f>SUM(I8:I11)</f>
        <v>113.39984299065408</v>
      </c>
      <c r="J12" s="53">
        <f>SUM(J8:J11)</f>
        <v>1733.397599999998</v>
      </c>
      <c r="K12" s="54"/>
      <c r="L12" s="55"/>
      <c r="M12" s="50">
        <f>SUM(M8:M11)</f>
        <v>13325.44</v>
      </c>
      <c r="N12" s="48"/>
      <c r="O12" s="48"/>
      <c r="P12" s="56"/>
      <c r="Q12" s="670">
        <f>SUM(S12-R12)</f>
        <v>-2.2429906570425508E-3</v>
      </c>
      <c r="R12" s="670">
        <f>SUM(S12*7/107)</f>
        <v>-1.5700934599297857E-4</v>
      </c>
      <c r="S12" s="671">
        <f>SUM(D12+J12-M12)</f>
        <v>-2.4000000030355295E-3</v>
      </c>
      <c r="T12" s="59"/>
    </row>
    <row r="13" spans="1:20" ht="22.5" customHeight="1" thickTop="1" x14ac:dyDescent="0.3">
      <c r="A13" s="61"/>
      <c r="B13" s="62" t="s">
        <v>37</v>
      </c>
      <c r="C13" s="63"/>
      <c r="D13" s="64"/>
      <c r="E13" s="65"/>
      <c r="F13" s="65"/>
      <c r="G13" s="66"/>
      <c r="H13" s="67"/>
      <c r="I13" s="67"/>
      <c r="J13" s="67"/>
      <c r="K13" s="68"/>
      <c r="L13" s="68"/>
      <c r="M13" s="64"/>
      <c r="N13" s="69"/>
      <c r="O13" s="69"/>
      <c r="P13" s="70"/>
      <c r="Q13" s="71"/>
      <c r="R13" s="71"/>
      <c r="S13" s="72"/>
      <c r="T13" s="2"/>
    </row>
    <row r="14" spans="1:20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4"/>
      <c r="G14" s="75"/>
      <c r="H14" s="76">
        <v>0</v>
      </c>
      <c r="I14" s="76">
        <v>0</v>
      </c>
      <c r="J14" s="76">
        <v>0</v>
      </c>
      <c r="K14" s="30">
        <v>25238</v>
      </c>
      <c r="L14" s="31" t="s">
        <v>1071</v>
      </c>
      <c r="M14" s="32">
        <v>1284</v>
      </c>
      <c r="N14" s="69"/>
      <c r="O14" s="69"/>
      <c r="P14" s="70"/>
      <c r="Q14" s="35">
        <f>SUM(S14-R14)</f>
        <v>0</v>
      </c>
      <c r="R14" s="42">
        <f>SUM(S14*7/107)</f>
        <v>0</v>
      </c>
      <c r="S14" s="36">
        <f>SUM(D14+J14-M14)</f>
        <v>0</v>
      </c>
      <c r="T14" s="2"/>
    </row>
    <row r="15" spans="1:20" ht="22.5" customHeight="1" x14ac:dyDescent="0.5">
      <c r="A15" s="23">
        <v>2</v>
      </c>
      <c r="B15" s="73" t="s">
        <v>42</v>
      </c>
      <c r="C15" s="25" t="s">
        <v>43</v>
      </c>
      <c r="D15" s="43">
        <v>1540.8</v>
      </c>
      <c r="E15" s="74"/>
      <c r="F15" s="80"/>
      <c r="G15" s="77"/>
      <c r="H15" s="76">
        <v>-4.2499752419295712E-13</v>
      </c>
      <c r="I15" s="76">
        <v>-2.9749826693506995E-14</v>
      </c>
      <c r="J15" s="76">
        <v>-4.5474735088646412E-13</v>
      </c>
      <c r="K15" s="30">
        <v>25259</v>
      </c>
      <c r="L15" s="31" t="s">
        <v>1072</v>
      </c>
      <c r="M15" s="32">
        <v>1540.8</v>
      </c>
      <c r="N15" s="33"/>
      <c r="O15" s="747"/>
      <c r="P15" s="70"/>
      <c r="Q15" s="35">
        <f t="shared" ref="Q15:Q26" si="0">SUM(S15-R15)</f>
        <v>-4.2499752419295712E-13</v>
      </c>
      <c r="R15" s="42">
        <f t="shared" ref="R15:R26" si="1">SUM(S15*7/107)</f>
        <v>-2.9749826693506995E-14</v>
      </c>
      <c r="S15" s="36">
        <f t="shared" ref="S15:S26" si="2">SUM(D15+J15-M15)</f>
        <v>-4.5474735088646412E-13</v>
      </c>
      <c r="T15" s="2"/>
    </row>
    <row r="16" spans="1:20" ht="22.5" customHeight="1" x14ac:dyDescent="0.5">
      <c r="A16" s="23">
        <v>3</v>
      </c>
      <c r="B16" s="73" t="s">
        <v>45</v>
      </c>
      <c r="C16" s="25" t="s">
        <v>46</v>
      </c>
      <c r="D16" s="43">
        <v>1444.5</v>
      </c>
      <c r="E16" s="74" t="s">
        <v>958</v>
      </c>
      <c r="F16" s="80" t="s">
        <v>33</v>
      </c>
      <c r="G16" s="77" t="s">
        <v>33</v>
      </c>
      <c r="H16" s="76">
        <v>1589.9999999999998</v>
      </c>
      <c r="I16" s="76">
        <v>111.29999999999998</v>
      </c>
      <c r="J16" s="76">
        <v>1701.2999999999997</v>
      </c>
      <c r="K16" s="30">
        <v>25254</v>
      </c>
      <c r="L16" s="31" t="s">
        <v>1073</v>
      </c>
      <c r="M16" s="32">
        <v>1701.3</v>
      </c>
      <c r="N16" s="33">
        <v>25235</v>
      </c>
      <c r="O16" s="747" t="s">
        <v>33</v>
      </c>
      <c r="P16" s="70" t="s">
        <v>33</v>
      </c>
      <c r="Q16" s="35">
        <f t="shared" si="0"/>
        <v>1349.9999999999998</v>
      </c>
      <c r="R16" s="42">
        <f t="shared" si="1"/>
        <v>94.499999999999986</v>
      </c>
      <c r="S16" s="36">
        <f t="shared" si="2"/>
        <v>1444.4999999999998</v>
      </c>
      <c r="T16" s="2"/>
    </row>
    <row r="17" spans="1:20" ht="22.5" customHeight="1" x14ac:dyDescent="0.5">
      <c r="A17" s="23">
        <v>4</v>
      </c>
      <c r="B17" s="73" t="s">
        <v>48</v>
      </c>
      <c r="C17" s="25" t="s">
        <v>49</v>
      </c>
      <c r="D17" s="43">
        <v>3129.75</v>
      </c>
      <c r="E17" s="74"/>
      <c r="F17" s="80"/>
      <c r="G17" s="77"/>
      <c r="H17" s="76">
        <v>-1.2749925725788713E-12</v>
      </c>
      <c r="I17" s="76">
        <v>-8.9249480080520993E-14</v>
      </c>
      <c r="J17" s="76">
        <v>-1.3642420526593924E-12</v>
      </c>
      <c r="K17" s="30"/>
      <c r="L17" s="31"/>
      <c r="M17" s="32"/>
      <c r="N17" s="33">
        <v>25235</v>
      </c>
      <c r="O17" s="747" t="s">
        <v>33</v>
      </c>
      <c r="P17" s="70" t="s">
        <v>33</v>
      </c>
      <c r="Q17" s="35">
        <f t="shared" si="0"/>
        <v>2924.9999999999986</v>
      </c>
      <c r="R17" s="42">
        <f t="shared" si="1"/>
        <v>204.74999999999989</v>
      </c>
      <c r="S17" s="36">
        <f t="shared" si="2"/>
        <v>3129.7499999999986</v>
      </c>
      <c r="T17" s="2"/>
    </row>
    <row r="18" spans="1:20" ht="22.5" customHeight="1" x14ac:dyDescent="0.5">
      <c r="A18" s="23">
        <v>5</v>
      </c>
      <c r="B18" s="73" t="s">
        <v>51</v>
      </c>
      <c r="C18" s="25" t="s">
        <v>52</v>
      </c>
      <c r="D18" s="43">
        <v>4622.3999999999996</v>
      </c>
      <c r="E18" s="74"/>
      <c r="F18" s="80"/>
      <c r="G18" s="77"/>
      <c r="H18" s="76">
        <v>3.3999801935436569E-12</v>
      </c>
      <c r="I18" s="76">
        <v>2.3799861354805596E-13</v>
      </c>
      <c r="J18" s="76">
        <v>3.637978807091713E-12</v>
      </c>
      <c r="K18" s="30"/>
      <c r="L18" s="31"/>
      <c r="M18" s="32"/>
      <c r="N18" s="33">
        <v>25235</v>
      </c>
      <c r="O18" s="747" t="s">
        <v>33</v>
      </c>
      <c r="P18" s="70" t="s">
        <v>33</v>
      </c>
      <c r="Q18" s="35">
        <f t="shared" si="0"/>
        <v>4320.0000000000027</v>
      </c>
      <c r="R18" s="42">
        <f t="shared" si="1"/>
        <v>302.4000000000002</v>
      </c>
      <c r="S18" s="36">
        <f t="shared" si="2"/>
        <v>4622.4000000000033</v>
      </c>
      <c r="T18" s="2"/>
    </row>
    <row r="19" spans="1:20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4"/>
      <c r="G19" s="75"/>
      <c r="H19" s="76">
        <v>0</v>
      </c>
      <c r="I19" s="76">
        <v>0</v>
      </c>
      <c r="J19" s="76">
        <v>0</v>
      </c>
      <c r="K19" s="30">
        <v>25239</v>
      </c>
      <c r="L19" s="31" t="s">
        <v>1074</v>
      </c>
      <c r="M19" s="32">
        <v>6420</v>
      </c>
      <c r="N19" s="69"/>
      <c r="O19" s="69"/>
      <c r="P19" s="70"/>
      <c r="Q19" s="35">
        <f t="shared" si="0"/>
        <v>0</v>
      </c>
      <c r="R19" s="42">
        <f t="shared" si="1"/>
        <v>0</v>
      </c>
      <c r="S19" s="36">
        <f t="shared" si="2"/>
        <v>0</v>
      </c>
      <c r="T19" s="2"/>
    </row>
    <row r="20" spans="1:20" ht="22.5" customHeight="1" x14ac:dyDescent="0.5">
      <c r="A20" s="23">
        <v>7</v>
      </c>
      <c r="B20" s="78" t="s">
        <v>54</v>
      </c>
      <c r="C20" s="25" t="s">
        <v>55</v>
      </c>
      <c r="D20" s="79">
        <v>1733.4</v>
      </c>
      <c r="E20" s="80"/>
      <c r="F20" s="80"/>
      <c r="G20" s="77"/>
      <c r="H20" s="76">
        <v>0</v>
      </c>
      <c r="I20" s="76">
        <v>0</v>
      </c>
      <c r="J20" s="76">
        <v>0</v>
      </c>
      <c r="K20" s="38"/>
      <c r="L20" s="39"/>
      <c r="M20" s="40"/>
      <c r="N20" s="33">
        <v>25235</v>
      </c>
      <c r="O20" s="747" t="s">
        <v>33</v>
      </c>
      <c r="P20" s="70" t="s">
        <v>33</v>
      </c>
      <c r="Q20" s="35">
        <f t="shared" si="0"/>
        <v>1620</v>
      </c>
      <c r="R20" s="42">
        <f t="shared" si="1"/>
        <v>113.4</v>
      </c>
      <c r="S20" s="36">
        <f t="shared" si="2"/>
        <v>1733.4</v>
      </c>
      <c r="T20" s="2"/>
    </row>
    <row r="21" spans="1:20" ht="22.5" customHeight="1" x14ac:dyDescent="0.5">
      <c r="A21" s="23">
        <v>8</v>
      </c>
      <c r="B21" s="78" t="s">
        <v>56</v>
      </c>
      <c r="C21" s="81" t="s">
        <v>57</v>
      </c>
      <c r="D21" s="79">
        <v>1203.75</v>
      </c>
      <c r="E21" s="74"/>
      <c r="F21" s="80"/>
      <c r="G21" s="77"/>
      <c r="H21" s="82">
        <v>0</v>
      </c>
      <c r="I21" s="82">
        <v>0</v>
      </c>
      <c r="J21" s="82">
        <v>0</v>
      </c>
      <c r="K21" s="38">
        <v>25261</v>
      </c>
      <c r="L21" s="39" t="s">
        <v>1075</v>
      </c>
      <c r="M21" s="40">
        <v>1203.75</v>
      </c>
      <c r="N21" s="33"/>
      <c r="O21" s="747"/>
      <c r="P21" s="70"/>
      <c r="Q21" s="35">
        <f t="shared" si="0"/>
        <v>0</v>
      </c>
      <c r="R21" s="42">
        <f t="shared" si="1"/>
        <v>0</v>
      </c>
      <c r="S21" s="36">
        <f t="shared" si="2"/>
        <v>0</v>
      </c>
      <c r="T21" s="2"/>
    </row>
    <row r="22" spans="1:20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4"/>
      <c r="G22" s="75"/>
      <c r="H22" s="76">
        <v>0</v>
      </c>
      <c r="I22" s="76">
        <v>0</v>
      </c>
      <c r="J22" s="76">
        <v>0</v>
      </c>
      <c r="K22" s="38">
        <v>25248</v>
      </c>
      <c r="L22" s="39" t="s">
        <v>1076</v>
      </c>
      <c r="M22" s="40">
        <v>21400</v>
      </c>
      <c r="N22" s="69"/>
      <c r="O22" s="69"/>
      <c r="P22" s="70"/>
      <c r="Q22" s="35">
        <f t="shared" si="0"/>
        <v>0</v>
      </c>
      <c r="R22" s="42">
        <f t="shared" si="1"/>
        <v>0</v>
      </c>
      <c r="S22" s="36">
        <f t="shared" si="2"/>
        <v>0</v>
      </c>
      <c r="T22" s="2"/>
    </row>
    <row r="23" spans="1:20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4"/>
      <c r="G23" s="75"/>
      <c r="H23" s="76">
        <v>0</v>
      </c>
      <c r="I23" s="76">
        <v>0</v>
      </c>
      <c r="J23" s="76">
        <v>0</v>
      </c>
      <c r="K23" s="38">
        <v>25261</v>
      </c>
      <c r="L23" s="39" t="s">
        <v>1077</v>
      </c>
      <c r="M23" s="40">
        <v>856</v>
      </c>
      <c r="N23" s="69"/>
      <c r="O23" s="69"/>
      <c r="P23" s="70"/>
      <c r="Q23" s="35">
        <f t="shared" si="0"/>
        <v>0</v>
      </c>
      <c r="R23" s="42">
        <f t="shared" si="1"/>
        <v>0</v>
      </c>
      <c r="S23" s="36">
        <f t="shared" si="2"/>
        <v>0</v>
      </c>
      <c r="T23" s="87"/>
    </row>
    <row r="24" spans="1:20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 t="s">
        <v>958</v>
      </c>
      <c r="F24" s="885" t="s">
        <v>33</v>
      </c>
      <c r="G24" s="92" t="s">
        <v>33</v>
      </c>
      <c r="H24" s="76">
        <v>20000</v>
      </c>
      <c r="I24" s="76">
        <v>1400</v>
      </c>
      <c r="J24" s="76">
        <v>21400</v>
      </c>
      <c r="K24" s="38">
        <v>25258</v>
      </c>
      <c r="L24" s="39" t="s">
        <v>1078</v>
      </c>
      <c r="M24" s="40">
        <v>42800</v>
      </c>
      <c r="N24" s="69"/>
      <c r="O24" s="69"/>
      <c r="P24" s="70"/>
      <c r="Q24" s="35">
        <f t="shared" si="0"/>
        <v>0</v>
      </c>
      <c r="R24" s="42">
        <f t="shared" si="1"/>
        <v>0</v>
      </c>
      <c r="S24" s="36">
        <f t="shared" si="2"/>
        <v>0</v>
      </c>
      <c r="T24" s="93"/>
    </row>
    <row r="25" spans="1:20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6"/>
      <c r="G25" s="97"/>
      <c r="H25" s="98">
        <v>0</v>
      </c>
      <c r="I25" s="98">
        <v>0</v>
      </c>
      <c r="J25" s="98">
        <v>0</v>
      </c>
      <c r="K25" s="38">
        <v>25254</v>
      </c>
      <c r="L25" s="39" t="s">
        <v>1079</v>
      </c>
      <c r="M25" s="40">
        <v>3210</v>
      </c>
      <c r="N25" s="69"/>
      <c r="O25" s="69"/>
      <c r="P25" s="70"/>
      <c r="Q25" s="35">
        <f t="shared" si="0"/>
        <v>0</v>
      </c>
      <c r="R25" s="42">
        <f t="shared" si="1"/>
        <v>0</v>
      </c>
      <c r="S25" s="36">
        <f t="shared" si="2"/>
        <v>0</v>
      </c>
    </row>
    <row r="26" spans="1:20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6"/>
      <c r="G26" s="97"/>
      <c r="H26" s="98">
        <v>0</v>
      </c>
      <c r="I26" s="98">
        <v>0</v>
      </c>
      <c r="J26" s="98">
        <v>0</v>
      </c>
      <c r="K26" s="101">
        <v>25248</v>
      </c>
      <c r="L26" s="102" t="s">
        <v>1080</v>
      </c>
      <c r="M26" s="103">
        <v>3210</v>
      </c>
      <c r="N26" s="69"/>
      <c r="O26" s="69"/>
      <c r="P26" s="70"/>
      <c r="Q26" s="35">
        <f t="shared" si="0"/>
        <v>0</v>
      </c>
      <c r="R26" s="42">
        <f t="shared" si="1"/>
        <v>0</v>
      </c>
      <c r="S26" s="36">
        <f t="shared" si="2"/>
        <v>0</v>
      </c>
      <c r="T26" s="93"/>
    </row>
    <row r="27" spans="1:20" s="60" customFormat="1" ht="22.5" customHeight="1" thickBot="1" x14ac:dyDescent="0.35">
      <c r="A27" s="48"/>
      <c r="B27" s="48" t="s">
        <v>15</v>
      </c>
      <c r="C27" s="49"/>
      <c r="D27" s="104">
        <f>SUM(D14:D26)</f>
        <v>71454.600000000006</v>
      </c>
      <c r="E27" s="105"/>
      <c r="F27" s="105"/>
      <c r="G27" s="56"/>
      <c r="H27" s="106">
        <f>SUM(H14:H26)</f>
        <v>21590</v>
      </c>
      <c r="I27" s="106">
        <f>SUM(I14:I26)</f>
        <v>1511.3000000000002</v>
      </c>
      <c r="J27" s="106">
        <f>SUM(J14:J26)</f>
        <v>23101.300000000003</v>
      </c>
      <c r="K27" s="104"/>
      <c r="L27" s="104"/>
      <c r="M27" s="104">
        <f>SUM(M14:M26)</f>
        <v>83625.850000000006</v>
      </c>
      <c r="N27" s="107"/>
      <c r="O27" s="107"/>
      <c r="P27" s="108"/>
      <c r="Q27" s="109">
        <f>SUM(Q14:Q26)</f>
        <v>10215</v>
      </c>
      <c r="R27" s="109">
        <f>SUM(R14:R26)</f>
        <v>715.05000000000007</v>
      </c>
      <c r="S27" s="110">
        <f>SUM(S14:S26)</f>
        <v>10930.050000000001</v>
      </c>
    </row>
    <row r="28" spans="1:20" ht="22.5" customHeight="1" thickTop="1" x14ac:dyDescent="0.3">
      <c r="A28" s="61"/>
      <c r="B28" s="62" t="s">
        <v>71</v>
      </c>
      <c r="C28" s="63"/>
      <c r="D28" s="64"/>
      <c r="E28" s="65"/>
      <c r="F28" s="65"/>
      <c r="G28" s="66"/>
      <c r="H28" s="67"/>
      <c r="I28" s="67"/>
      <c r="J28" s="67"/>
      <c r="K28" s="68"/>
      <c r="L28" s="68"/>
      <c r="M28" s="64"/>
      <c r="N28" s="69"/>
      <c r="O28" s="69"/>
      <c r="P28" s="70"/>
      <c r="Q28" s="71"/>
      <c r="R28" s="71"/>
      <c r="S28" s="72"/>
    </row>
    <row r="29" spans="1:20" ht="22.5" customHeight="1" x14ac:dyDescent="0.5">
      <c r="A29" s="23">
        <v>1</v>
      </c>
      <c r="B29" s="73" t="s">
        <v>72</v>
      </c>
      <c r="C29" s="25" t="s">
        <v>73</v>
      </c>
      <c r="D29" s="43">
        <v>7037.93</v>
      </c>
      <c r="E29" s="74"/>
      <c r="F29" s="80"/>
      <c r="G29" s="77"/>
      <c r="H29" s="76">
        <v>0</v>
      </c>
      <c r="I29" s="76">
        <v>0</v>
      </c>
      <c r="J29" s="76">
        <v>0</v>
      </c>
      <c r="K29" s="38">
        <v>25261</v>
      </c>
      <c r="L29" s="39" t="s">
        <v>1081</v>
      </c>
      <c r="M29" s="32">
        <v>6363.83</v>
      </c>
      <c r="N29" s="111"/>
      <c r="O29" s="111"/>
      <c r="P29" s="112"/>
      <c r="Q29" s="113">
        <v>0</v>
      </c>
      <c r="R29" s="114">
        <v>0</v>
      </c>
      <c r="S29" s="36">
        <v>0</v>
      </c>
    </row>
    <row r="30" spans="1:20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116"/>
      <c r="G30" s="97"/>
      <c r="H30" s="76">
        <v>0</v>
      </c>
      <c r="I30" s="76">
        <v>0</v>
      </c>
      <c r="J30" s="76">
        <v>0</v>
      </c>
      <c r="K30" s="101">
        <v>25244</v>
      </c>
      <c r="L30" s="102" t="s">
        <v>1082</v>
      </c>
      <c r="M30" s="103">
        <v>14445</v>
      </c>
      <c r="N30" s="117"/>
      <c r="O30" s="117"/>
      <c r="P30" s="118"/>
      <c r="Q30" s="113">
        <v>0</v>
      </c>
      <c r="R30" s="114">
        <v>0</v>
      </c>
      <c r="S30" s="36">
        <v>0</v>
      </c>
    </row>
    <row r="31" spans="1:20" s="60" customFormat="1" ht="22.5" customHeight="1" thickBot="1" x14ac:dyDescent="0.35">
      <c r="A31" s="48"/>
      <c r="B31" s="48" t="s">
        <v>15</v>
      </c>
      <c r="C31" s="49"/>
      <c r="D31" s="50">
        <f>SUM(D29:D30)</f>
        <v>21482.93</v>
      </c>
      <c r="E31" s="50">
        <f t="shared" ref="E31:S31" si="3">SUM(E29:E30)</f>
        <v>0</v>
      </c>
      <c r="F31" s="50"/>
      <c r="G31" s="50">
        <f t="shared" si="3"/>
        <v>0</v>
      </c>
      <c r="H31" s="50">
        <f t="shared" si="3"/>
        <v>0</v>
      </c>
      <c r="I31" s="50">
        <f t="shared" si="3"/>
        <v>0</v>
      </c>
      <c r="J31" s="50">
        <f t="shared" si="3"/>
        <v>0</v>
      </c>
      <c r="K31" s="50"/>
      <c r="L31" s="50">
        <f t="shared" si="3"/>
        <v>0</v>
      </c>
      <c r="M31" s="50">
        <f t="shared" si="3"/>
        <v>20808.830000000002</v>
      </c>
      <c r="N31" s="50">
        <f t="shared" si="3"/>
        <v>0</v>
      </c>
      <c r="O31" s="50"/>
      <c r="P31" s="50">
        <f t="shared" si="3"/>
        <v>0</v>
      </c>
      <c r="Q31" s="50">
        <f t="shared" si="3"/>
        <v>0</v>
      </c>
      <c r="R31" s="50">
        <f t="shared" si="3"/>
        <v>0</v>
      </c>
      <c r="S31" s="50">
        <f t="shared" si="3"/>
        <v>0</v>
      </c>
    </row>
    <row r="32" spans="1:20" ht="22.5" customHeight="1" thickTop="1" x14ac:dyDescent="0.3">
      <c r="A32" s="61"/>
      <c r="B32" s="121" t="s">
        <v>78</v>
      </c>
      <c r="C32" s="63"/>
      <c r="D32" s="64"/>
      <c r="E32" s="65"/>
      <c r="F32" s="65"/>
      <c r="G32" s="66"/>
      <c r="H32" s="67"/>
      <c r="I32" s="67"/>
      <c r="J32" s="67"/>
      <c r="K32" s="68"/>
      <c r="L32" s="68"/>
      <c r="M32" s="64"/>
      <c r="N32" s="69"/>
      <c r="O32" s="69"/>
      <c r="P32" s="70"/>
      <c r="Q32" s="71"/>
      <c r="R32" s="71"/>
      <c r="S32" s="72"/>
    </row>
    <row r="33" spans="1:43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5"/>
      <c r="G33" s="126"/>
      <c r="H33" s="76">
        <v>0</v>
      </c>
      <c r="I33" s="127">
        <v>0</v>
      </c>
      <c r="J33" s="76">
        <v>0</v>
      </c>
      <c r="K33" s="38">
        <v>25248</v>
      </c>
      <c r="L33" s="39" t="s">
        <v>1083</v>
      </c>
      <c r="M33" s="40">
        <v>5350</v>
      </c>
      <c r="N33" s="128"/>
      <c r="O33" s="128"/>
      <c r="P33" s="129"/>
      <c r="Q33" s="113">
        <f>SUM(S33-R33)</f>
        <v>0</v>
      </c>
      <c r="R33" s="114">
        <f>SUM(S33*7/107)</f>
        <v>0</v>
      </c>
      <c r="S33" s="36">
        <f>SUM(D33+J33-M33)</f>
        <v>0</v>
      </c>
      <c r="T33" s="130"/>
      <c r="U33" s="130"/>
      <c r="V33" s="131"/>
      <c r="W33" s="132"/>
      <c r="X33" s="131"/>
      <c r="Y33" s="132"/>
      <c r="Z33" s="132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</row>
    <row r="34" spans="1:43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 t="s">
        <v>958</v>
      </c>
      <c r="F34" s="135" t="s">
        <v>33</v>
      </c>
      <c r="G34" s="136" t="s">
        <v>33</v>
      </c>
      <c r="H34" s="127">
        <v>5000</v>
      </c>
      <c r="I34" s="127">
        <v>350</v>
      </c>
      <c r="J34" s="98">
        <v>5350</v>
      </c>
      <c r="K34" s="38">
        <v>25258</v>
      </c>
      <c r="L34" s="39" t="s">
        <v>1084</v>
      </c>
      <c r="M34" s="40">
        <v>10700</v>
      </c>
      <c r="N34" s="137"/>
      <c r="O34" s="137"/>
      <c r="P34" s="137"/>
      <c r="Q34" s="113">
        <f>SUM(S34-R34)</f>
        <v>0</v>
      </c>
      <c r="R34" s="114">
        <f>SUM(S34*7/107)</f>
        <v>0</v>
      </c>
      <c r="S34" s="36">
        <f>SUM(D34+J34-M34)</f>
        <v>0</v>
      </c>
      <c r="T34" s="130"/>
      <c r="U34" s="130"/>
      <c r="V34" s="131"/>
      <c r="W34" s="132"/>
      <c r="X34" s="131"/>
      <c r="Y34" s="132"/>
      <c r="Z34" s="132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</row>
    <row r="35" spans="1:43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105"/>
      <c r="G35" s="56"/>
      <c r="H35" s="109">
        <f>SUM(H33:H34)</f>
        <v>5000</v>
      </c>
      <c r="I35" s="109">
        <f>SUM(I33:I34)</f>
        <v>350</v>
      </c>
      <c r="J35" s="109">
        <f>SUM(J33:J34)</f>
        <v>5350</v>
      </c>
      <c r="K35" s="109"/>
      <c r="L35" s="109"/>
      <c r="M35" s="138">
        <f>SUM(M33:M34)</f>
        <v>16050</v>
      </c>
      <c r="N35" s="119"/>
      <c r="O35" s="119"/>
      <c r="P35" s="108"/>
      <c r="Q35" s="109">
        <f>SUM(Q33:Q34)</f>
        <v>0</v>
      </c>
      <c r="R35" s="109">
        <f>SUM(R33:R34)</f>
        <v>0</v>
      </c>
      <c r="S35" s="138">
        <f>SUM(S33:S34)</f>
        <v>0</v>
      </c>
    </row>
    <row r="36" spans="1:43" ht="22.5" customHeight="1" thickTop="1" x14ac:dyDescent="0.3">
      <c r="A36" s="139"/>
      <c r="B36" s="140" t="s">
        <v>81</v>
      </c>
      <c r="C36" s="141"/>
      <c r="D36" s="91"/>
      <c r="E36" s="142"/>
      <c r="F36" s="142"/>
      <c r="G36" s="92"/>
      <c r="H36" s="143"/>
      <c r="I36" s="143"/>
      <c r="J36" s="143"/>
      <c r="K36" s="68"/>
      <c r="L36" s="68"/>
      <c r="M36" s="64"/>
      <c r="N36" s="144"/>
      <c r="O36" s="144"/>
      <c r="P36" s="145"/>
      <c r="Q36" s="146"/>
      <c r="R36" s="146"/>
      <c r="S36" s="147"/>
    </row>
    <row r="37" spans="1:43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1"/>
      <c r="G37" s="152"/>
      <c r="H37" s="153">
        <v>0</v>
      </c>
      <c r="I37" s="153">
        <v>0</v>
      </c>
      <c r="J37" s="153">
        <v>0</v>
      </c>
      <c r="K37" s="30">
        <v>25246</v>
      </c>
      <c r="L37" s="31" t="s">
        <v>1085</v>
      </c>
      <c r="M37" s="32">
        <v>6955</v>
      </c>
      <c r="N37" s="154"/>
      <c r="O37" s="154"/>
      <c r="P37" s="155"/>
      <c r="Q37" s="156">
        <v>0</v>
      </c>
      <c r="R37" s="156">
        <v>0</v>
      </c>
      <c r="S37" s="157">
        <v>0</v>
      </c>
    </row>
    <row r="38" spans="1:43" s="60" customFormat="1" ht="22.5" customHeight="1" thickBot="1" x14ac:dyDescent="0.35">
      <c r="A38" s="158"/>
      <c r="B38" s="158" t="s">
        <v>15</v>
      </c>
      <c r="C38" s="159"/>
      <c r="D38" s="160">
        <v>6955</v>
      </c>
      <c r="E38" s="161"/>
      <c r="F38" s="161"/>
      <c r="G38" s="161"/>
      <c r="H38" s="162">
        <f>SUM(H37)</f>
        <v>0</v>
      </c>
      <c r="I38" s="162">
        <f>SUM(I37)</f>
        <v>0</v>
      </c>
      <c r="J38" s="162">
        <f>SUM(J37)</f>
        <v>0</v>
      </c>
      <c r="K38" s="161"/>
      <c r="L38" s="161"/>
      <c r="M38" s="162">
        <f>SUM(M37)</f>
        <v>6955</v>
      </c>
      <c r="N38" s="158"/>
      <c r="O38" s="158"/>
      <c r="P38" s="161"/>
      <c r="Q38" s="162">
        <f>SUM(Q37)</f>
        <v>0</v>
      </c>
      <c r="R38" s="162">
        <f>SUM(R37)</f>
        <v>0</v>
      </c>
      <c r="S38" s="163">
        <f>SUM(S37)</f>
        <v>0</v>
      </c>
    </row>
    <row r="39" spans="1:43" ht="22.5" customHeight="1" thickTop="1" x14ac:dyDescent="0.3">
      <c r="A39" s="115"/>
      <c r="B39" s="164" t="s">
        <v>85</v>
      </c>
      <c r="C39" s="165"/>
      <c r="D39" s="166"/>
      <c r="E39" s="167"/>
      <c r="F39" s="167"/>
      <c r="G39" s="168"/>
      <c r="H39" s="169"/>
      <c r="I39" s="169"/>
      <c r="J39" s="169"/>
      <c r="K39" s="170"/>
      <c r="L39" s="170"/>
      <c r="M39" s="171"/>
      <c r="N39" s="117"/>
      <c r="O39" s="117"/>
      <c r="P39" s="118"/>
      <c r="Q39" s="172"/>
      <c r="R39" s="172"/>
      <c r="S39" s="173"/>
    </row>
    <row r="40" spans="1:43" ht="22.5" customHeight="1" x14ac:dyDescent="0.3">
      <c r="A40" s="174">
        <v>1</v>
      </c>
      <c r="B40" s="175" t="s">
        <v>86</v>
      </c>
      <c r="C40" s="176" t="s">
        <v>87</v>
      </c>
      <c r="D40" s="177"/>
      <c r="E40" s="178"/>
      <c r="F40" s="178"/>
      <c r="G40" s="179"/>
      <c r="H40" s="180">
        <v>0</v>
      </c>
      <c r="I40" s="180">
        <v>0</v>
      </c>
      <c r="J40" s="181">
        <v>0</v>
      </c>
      <c r="K40" s="182"/>
      <c r="L40" s="183"/>
      <c r="M40" s="184"/>
      <c r="N40" s="185"/>
      <c r="O40" s="185"/>
      <c r="P40" s="186"/>
      <c r="Q40" s="187">
        <v>0</v>
      </c>
      <c r="R40" s="187">
        <v>0</v>
      </c>
      <c r="S40" s="188">
        <v>0</v>
      </c>
      <c r="T40" s="3" t="s">
        <v>751</v>
      </c>
    </row>
    <row r="41" spans="1:43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78"/>
      <c r="G41" s="192"/>
      <c r="H41" s="180">
        <v>0</v>
      </c>
      <c r="I41" s="180">
        <v>0</v>
      </c>
      <c r="J41" s="181">
        <v>0</v>
      </c>
      <c r="K41" s="38">
        <v>25254</v>
      </c>
      <c r="L41" s="39" t="s">
        <v>1086</v>
      </c>
      <c r="M41" s="40">
        <v>3210</v>
      </c>
      <c r="N41" s="111"/>
      <c r="O41" s="891"/>
      <c r="P41" s="193"/>
      <c r="Q41" s="187">
        <v>0</v>
      </c>
      <c r="R41" s="187">
        <v>0</v>
      </c>
      <c r="S41" s="188">
        <v>0</v>
      </c>
    </row>
    <row r="42" spans="1:43" s="60" customFormat="1" ht="22.5" customHeight="1" thickBot="1" x14ac:dyDescent="0.35">
      <c r="A42" s="194"/>
      <c r="B42" s="194" t="s">
        <v>15</v>
      </c>
      <c r="C42" s="195"/>
      <c r="D42" s="53">
        <f>SUM(D40:D41)</f>
        <v>3210</v>
      </c>
      <c r="E42" s="196"/>
      <c r="F42" s="196"/>
      <c r="G42" s="197"/>
      <c r="H42" s="109">
        <f>SUM(H40:H41)</f>
        <v>0</v>
      </c>
      <c r="I42" s="109">
        <f>SUM(I40:I41)</f>
        <v>0</v>
      </c>
      <c r="J42" s="109">
        <f>SUM(J40:J41)</f>
        <v>0</v>
      </c>
      <c r="K42" s="198"/>
      <c r="L42" s="199"/>
      <c r="M42" s="200">
        <f>SUM(M40:M41)</f>
        <v>3210</v>
      </c>
      <c r="N42" s="201"/>
      <c r="O42" s="201"/>
      <c r="P42" s="202"/>
      <c r="Q42" s="162">
        <f>SUM(Q40:Q41)</f>
        <v>0</v>
      </c>
      <c r="R42" s="162">
        <f>SUM(R40:R41)</f>
        <v>0</v>
      </c>
      <c r="S42" s="162">
        <f>SUM(S40:S41)</f>
        <v>0</v>
      </c>
      <c r="T42" s="59"/>
    </row>
    <row r="43" spans="1:43" ht="22.5" customHeight="1" thickTop="1" x14ac:dyDescent="0.3">
      <c r="A43" s="61"/>
      <c r="B43" s="62" t="s">
        <v>92</v>
      </c>
      <c r="C43" s="63"/>
      <c r="D43" s="64"/>
      <c r="E43" s="203"/>
      <c r="F43" s="203"/>
      <c r="G43" s="204"/>
      <c r="H43" s="205"/>
      <c r="I43" s="205"/>
      <c r="J43" s="205"/>
      <c r="K43" s="68"/>
      <c r="L43" s="68"/>
      <c r="M43" s="64"/>
      <c r="N43" s="61"/>
      <c r="O43" s="61"/>
      <c r="P43" s="204"/>
      <c r="Q43" s="206"/>
      <c r="R43" s="206"/>
      <c r="S43" s="207"/>
      <c r="T43" s="2"/>
    </row>
    <row r="44" spans="1:43" ht="22.5" customHeight="1" x14ac:dyDescent="0.5">
      <c r="A44" s="208">
        <v>1</v>
      </c>
      <c r="B44" s="209" t="s">
        <v>93</v>
      </c>
      <c r="C44" s="210" t="s">
        <v>43</v>
      </c>
      <c r="D44" s="211">
        <v>4387</v>
      </c>
      <c r="E44" s="212"/>
      <c r="F44" s="212"/>
      <c r="G44" s="213"/>
      <c r="H44" s="214">
        <v>0</v>
      </c>
      <c r="I44" s="214">
        <v>0</v>
      </c>
      <c r="J44" s="214">
        <v>0</v>
      </c>
      <c r="K44" s="30">
        <v>25259</v>
      </c>
      <c r="L44" s="31" t="s">
        <v>1087</v>
      </c>
      <c r="M44" s="32">
        <v>4387</v>
      </c>
      <c r="N44" s="215"/>
      <c r="O44" s="215"/>
      <c r="P44" s="216"/>
      <c r="Q44" s="113">
        <f>SUM(S44-R44)</f>
        <v>0</v>
      </c>
      <c r="R44" s="113">
        <f>SUM(S44*7/107)</f>
        <v>0</v>
      </c>
      <c r="S44" s="217">
        <f>SUM(D44+J44-M44)</f>
        <v>0</v>
      </c>
      <c r="T44" s="218"/>
    </row>
    <row r="45" spans="1:43" ht="22.5" customHeight="1" x14ac:dyDescent="0.5">
      <c r="A45" s="208"/>
      <c r="B45" s="209" t="s">
        <v>95</v>
      </c>
      <c r="C45" s="210" t="s">
        <v>43</v>
      </c>
      <c r="D45" s="211">
        <v>8025</v>
      </c>
      <c r="E45" s="212"/>
      <c r="F45" s="212"/>
      <c r="G45" s="213"/>
      <c r="H45" s="214">
        <v>0</v>
      </c>
      <c r="I45" s="214">
        <v>0</v>
      </c>
      <c r="J45" s="214">
        <v>0</v>
      </c>
      <c r="K45" s="30">
        <v>25259</v>
      </c>
      <c r="L45" s="31" t="s">
        <v>1087</v>
      </c>
      <c r="M45" s="32">
        <v>8025</v>
      </c>
      <c r="N45" s="215"/>
      <c r="O45" s="215"/>
      <c r="P45" s="216"/>
      <c r="Q45" s="113">
        <f t="shared" ref="Q45:Q109" si="4">SUM(S45-R45)</f>
        <v>0</v>
      </c>
      <c r="R45" s="113">
        <f t="shared" ref="R45:R109" si="5">SUM(S45*7/107)</f>
        <v>0</v>
      </c>
      <c r="S45" s="217">
        <f t="shared" ref="S45:S109" si="6">SUM(D45+J45-M45)</f>
        <v>0</v>
      </c>
      <c r="T45" s="218"/>
    </row>
    <row r="46" spans="1:43" ht="22.5" customHeight="1" x14ac:dyDescent="0.5">
      <c r="A46" s="208">
        <v>2</v>
      </c>
      <c r="B46" s="73" t="s">
        <v>96</v>
      </c>
      <c r="C46" s="25" t="s">
        <v>97</v>
      </c>
      <c r="D46" s="211">
        <v>5874.3</v>
      </c>
      <c r="E46" s="212" t="s">
        <v>958</v>
      </c>
      <c r="F46" s="212" t="s">
        <v>33</v>
      </c>
      <c r="G46" s="213" t="s">
        <v>33</v>
      </c>
      <c r="H46" s="219">
        <v>6389.9999999999964</v>
      </c>
      <c r="I46" s="214">
        <v>447.29999999999978</v>
      </c>
      <c r="J46" s="219">
        <v>6837.2999999999965</v>
      </c>
      <c r="K46" s="30">
        <v>25258</v>
      </c>
      <c r="L46" s="220" t="s">
        <v>1088</v>
      </c>
      <c r="M46" s="221">
        <v>6837.3</v>
      </c>
      <c r="N46" s="215">
        <v>25235</v>
      </c>
      <c r="O46" s="215" t="s">
        <v>33</v>
      </c>
      <c r="P46" s="216" t="s">
        <v>33</v>
      </c>
      <c r="Q46" s="113">
        <f t="shared" si="4"/>
        <v>5489.9999999999964</v>
      </c>
      <c r="R46" s="113">
        <f t="shared" si="5"/>
        <v>384.29999999999978</v>
      </c>
      <c r="S46" s="217">
        <f t="shared" si="6"/>
        <v>5874.2999999999965</v>
      </c>
      <c r="T46" s="2"/>
    </row>
    <row r="47" spans="1:43" ht="22.5" customHeight="1" x14ac:dyDescent="0.5">
      <c r="A47" s="208">
        <v>3</v>
      </c>
      <c r="B47" s="73" t="s">
        <v>99</v>
      </c>
      <c r="C47" s="25" t="s">
        <v>100</v>
      </c>
      <c r="D47" s="211">
        <v>4194.3999999999996</v>
      </c>
      <c r="E47" s="212"/>
      <c r="F47" s="212"/>
      <c r="G47" s="213"/>
      <c r="H47" s="219">
        <v>-8.4999504838591423E-13</v>
      </c>
      <c r="I47" s="214">
        <v>-5.9499653387013991E-14</v>
      </c>
      <c r="J47" s="219">
        <v>-9.0949470177292824E-13</v>
      </c>
      <c r="K47" s="30"/>
      <c r="L47" s="31"/>
      <c r="M47" s="32"/>
      <c r="N47" s="215">
        <v>25235</v>
      </c>
      <c r="O47" s="215" t="s">
        <v>33</v>
      </c>
      <c r="P47" s="216" t="s">
        <v>33</v>
      </c>
      <c r="Q47" s="113">
        <f t="shared" si="4"/>
        <v>3919.9999999999986</v>
      </c>
      <c r="R47" s="113">
        <f t="shared" si="5"/>
        <v>274.39999999999992</v>
      </c>
      <c r="S47" s="217">
        <f t="shared" si="6"/>
        <v>4194.3999999999987</v>
      </c>
      <c r="T47" s="2"/>
    </row>
    <row r="48" spans="1:43" ht="22.5" customHeight="1" x14ac:dyDescent="0.5">
      <c r="A48" s="208"/>
      <c r="B48" s="24" t="s">
        <v>102</v>
      </c>
      <c r="C48" s="222" t="s">
        <v>100</v>
      </c>
      <c r="D48" s="211">
        <v>224.7</v>
      </c>
      <c r="E48" s="212"/>
      <c r="F48" s="212"/>
      <c r="G48" s="213"/>
      <c r="H48" s="219">
        <v>0</v>
      </c>
      <c r="I48" s="214">
        <v>0</v>
      </c>
      <c r="J48" s="219">
        <v>0</v>
      </c>
      <c r="K48" s="30"/>
      <c r="L48" s="31"/>
      <c r="M48" s="32"/>
      <c r="N48" s="215">
        <v>25235</v>
      </c>
      <c r="O48" s="215" t="s">
        <v>33</v>
      </c>
      <c r="P48" s="216" t="s">
        <v>33</v>
      </c>
      <c r="Q48" s="113">
        <f t="shared" si="4"/>
        <v>210</v>
      </c>
      <c r="R48" s="113">
        <f t="shared" si="5"/>
        <v>14.7</v>
      </c>
      <c r="S48" s="217">
        <f t="shared" si="6"/>
        <v>224.7</v>
      </c>
      <c r="T48" s="2"/>
    </row>
    <row r="49" spans="1:20" ht="22.5" customHeight="1" x14ac:dyDescent="0.5">
      <c r="A49" s="208">
        <v>4</v>
      </c>
      <c r="B49" s="73" t="s">
        <v>103</v>
      </c>
      <c r="C49" s="25" t="s">
        <v>97</v>
      </c>
      <c r="D49" s="211"/>
      <c r="E49" s="212"/>
      <c r="F49" s="212"/>
      <c r="G49" s="213"/>
      <c r="H49" s="219">
        <v>0</v>
      </c>
      <c r="I49" s="214">
        <v>0</v>
      </c>
      <c r="J49" s="219">
        <v>0</v>
      </c>
      <c r="K49" s="30"/>
      <c r="L49" s="31"/>
      <c r="M49" s="32"/>
      <c r="N49" s="215"/>
      <c r="O49" s="215"/>
      <c r="P49" s="216"/>
      <c r="Q49" s="113">
        <f t="shared" si="4"/>
        <v>0</v>
      </c>
      <c r="R49" s="113">
        <f t="shared" si="5"/>
        <v>0</v>
      </c>
      <c r="S49" s="217">
        <f t="shared" si="6"/>
        <v>0</v>
      </c>
      <c r="T49" s="2"/>
    </row>
    <row r="50" spans="1:20" ht="22.5" customHeight="1" x14ac:dyDescent="0.5">
      <c r="A50" s="208"/>
      <c r="B50" s="73" t="s">
        <v>104</v>
      </c>
      <c r="C50" s="25" t="s">
        <v>97</v>
      </c>
      <c r="D50" s="211">
        <v>15001.4</v>
      </c>
      <c r="E50" s="212"/>
      <c r="F50" s="212"/>
      <c r="G50" s="213"/>
      <c r="H50" s="219">
        <v>0</v>
      </c>
      <c r="I50" s="214">
        <v>0</v>
      </c>
      <c r="J50" s="219">
        <v>0</v>
      </c>
      <c r="K50" s="30"/>
      <c r="L50" s="31"/>
      <c r="M50" s="32"/>
      <c r="N50" s="215">
        <v>25235</v>
      </c>
      <c r="O50" s="215" t="s">
        <v>33</v>
      </c>
      <c r="P50" s="216" t="s">
        <v>33</v>
      </c>
      <c r="Q50" s="113">
        <f t="shared" si="4"/>
        <v>14020</v>
      </c>
      <c r="R50" s="113">
        <f t="shared" si="5"/>
        <v>981.4</v>
      </c>
      <c r="S50" s="217">
        <f t="shared" si="6"/>
        <v>15001.4</v>
      </c>
      <c r="T50" s="2"/>
    </row>
    <row r="51" spans="1:20" ht="22.5" customHeight="1" x14ac:dyDescent="0.5">
      <c r="A51" s="208">
        <v>5</v>
      </c>
      <c r="B51" s="73" t="s">
        <v>105</v>
      </c>
      <c r="C51" s="25" t="s">
        <v>97</v>
      </c>
      <c r="D51" s="211">
        <v>10582.3</v>
      </c>
      <c r="E51" s="212"/>
      <c r="F51" s="212"/>
      <c r="G51" s="213"/>
      <c r="H51" s="219">
        <v>6.7999603870873139E-12</v>
      </c>
      <c r="I51" s="214">
        <v>4.7599722709611193E-13</v>
      </c>
      <c r="J51" s="219">
        <v>7.2759576141834259E-12</v>
      </c>
      <c r="K51" s="30"/>
      <c r="L51" s="31"/>
      <c r="M51" s="32"/>
      <c r="N51" s="215">
        <v>25235</v>
      </c>
      <c r="O51" s="215" t="s">
        <v>33</v>
      </c>
      <c r="P51" s="216" t="s">
        <v>33</v>
      </c>
      <c r="Q51" s="113">
        <f t="shared" si="4"/>
        <v>9890.0000000000055</v>
      </c>
      <c r="R51" s="113">
        <f t="shared" si="5"/>
        <v>692.30000000000041</v>
      </c>
      <c r="S51" s="217">
        <f t="shared" si="6"/>
        <v>10582.300000000007</v>
      </c>
      <c r="T51" s="2"/>
    </row>
    <row r="52" spans="1:20" ht="22.5" customHeight="1" x14ac:dyDescent="0.5">
      <c r="A52" s="208">
        <v>6</v>
      </c>
      <c r="B52" s="73" t="s">
        <v>107</v>
      </c>
      <c r="C52" s="25" t="s">
        <v>97</v>
      </c>
      <c r="D52" s="211">
        <v>535</v>
      </c>
      <c r="E52" s="212" t="s">
        <v>958</v>
      </c>
      <c r="F52" s="212" t="s">
        <v>33</v>
      </c>
      <c r="G52" s="213" t="s">
        <v>33</v>
      </c>
      <c r="H52" s="219">
        <v>500</v>
      </c>
      <c r="I52" s="214">
        <v>35</v>
      </c>
      <c r="J52" s="219">
        <v>535</v>
      </c>
      <c r="K52" s="30">
        <v>25236</v>
      </c>
      <c r="L52" s="31" t="s">
        <v>1089</v>
      </c>
      <c r="M52" s="32">
        <v>535</v>
      </c>
      <c r="N52" s="215">
        <v>25235</v>
      </c>
      <c r="O52" s="215" t="s">
        <v>33</v>
      </c>
      <c r="P52" s="216" t="s">
        <v>33</v>
      </c>
      <c r="Q52" s="113">
        <f t="shared" si="4"/>
        <v>500</v>
      </c>
      <c r="R52" s="113">
        <f t="shared" si="5"/>
        <v>35</v>
      </c>
      <c r="S52" s="217">
        <f t="shared" si="6"/>
        <v>535</v>
      </c>
      <c r="T52" s="2" t="s">
        <v>832</v>
      </c>
    </row>
    <row r="53" spans="1:20" ht="22.5" customHeight="1" x14ac:dyDescent="0.5">
      <c r="A53" s="208">
        <v>7</v>
      </c>
      <c r="B53" s="209" t="s">
        <v>109</v>
      </c>
      <c r="C53" s="210" t="s">
        <v>97</v>
      </c>
      <c r="D53" s="211">
        <v>39162</v>
      </c>
      <c r="E53" s="212"/>
      <c r="F53" s="212"/>
      <c r="G53" s="213"/>
      <c r="H53" s="214">
        <v>0</v>
      </c>
      <c r="I53" s="214">
        <v>0</v>
      </c>
      <c r="J53" s="214">
        <v>0</v>
      </c>
      <c r="K53" s="30"/>
      <c r="L53" s="31"/>
      <c r="M53" s="32"/>
      <c r="N53" s="215">
        <v>25235</v>
      </c>
      <c r="O53" s="215" t="s">
        <v>33</v>
      </c>
      <c r="P53" s="216" t="s">
        <v>33</v>
      </c>
      <c r="Q53" s="113">
        <f t="shared" si="4"/>
        <v>36600</v>
      </c>
      <c r="R53" s="113">
        <f t="shared" si="5"/>
        <v>2562</v>
      </c>
      <c r="S53" s="217">
        <f t="shared" si="6"/>
        <v>39162</v>
      </c>
      <c r="T53" s="218"/>
    </row>
    <row r="54" spans="1:20" ht="22.5" customHeight="1" x14ac:dyDescent="0.5">
      <c r="A54" s="208">
        <v>8</v>
      </c>
      <c r="B54" s="73" t="s">
        <v>110</v>
      </c>
      <c r="C54" s="25" t="s">
        <v>87</v>
      </c>
      <c r="D54" s="211">
        <v>8410.2000000000007</v>
      </c>
      <c r="E54" s="212"/>
      <c r="F54" s="212"/>
      <c r="G54" s="213"/>
      <c r="H54" s="219">
        <v>0</v>
      </c>
      <c r="I54" s="214">
        <v>0</v>
      </c>
      <c r="J54" s="219">
        <v>0</v>
      </c>
      <c r="K54" s="30">
        <v>25261</v>
      </c>
      <c r="L54" s="31" t="s">
        <v>1090</v>
      </c>
      <c r="M54" s="32">
        <v>8410.2000000000007</v>
      </c>
      <c r="N54" s="215"/>
      <c r="O54" s="215"/>
      <c r="P54" s="216"/>
      <c r="Q54" s="113">
        <f t="shared" si="4"/>
        <v>0</v>
      </c>
      <c r="R54" s="113">
        <f t="shared" si="5"/>
        <v>0</v>
      </c>
      <c r="S54" s="217">
        <f t="shared" si="6"/>
        <v>0</v>
      </c>
      <c r="T54" s="2"/>
    </row>
    <row r="55" spans="1:20" ht="22.5" customHeight="1" x14ac:dyDescent="0.5">
      <c r="A55" s="208">
        <v>9</v>
      </c>
      <c r="B55" s="73" t="s">
        <v>112</v>
      </c>
      <c r="C55" s="25" t="s">
        <v>113</v>
      </c>
      <c r="D55" s="211">
        <v>1968.8</v>
      </c>
      <c r="E55" s="212" t="s">
        <v>958</v>
      </c>
      <c r="F55" s="212" t="s">
        <v>33</v>
      </c>
      <c r="G55" s="213" t="s">
        <v>33</v>
      </c>
      <c r="H55" s="219">
        <v>2270.0000000000009</v>
      </c>
      <c r="I55" s="214">
        <v>158.90000000000006</v>
      </c>
      <c r="J55" s="219">
        <v>2428.900000000001</v>
      </c>
      <c r="K55" s="30">
        <v>25251</v>
      </c>
      <c r="L55" s="31" t="s">
        <v>1091</v>
      </c>
      <c r="M55" s="32">
        <v>2428.9</v>
      </c>
      <c r="N55" s="215">
        <v>25235</v>
      </c>
      <c r="O55" s="215" t="s">
        <v>33</v>
      </c>
      <c r="P55" s="216" t="s">
        <v>33</v>
      </c>
      <c r="Q55" s="113">
        <f t="shared" si="4"/>
        <v>1840.0000000000007</v>
      </c>
      <c r="R55" s="113">
        <f t="shared" si="5"/>
        <v>128.80000000000004</v>
      </c>
      <c r="S55" s="217">
        <f t="shared" si="6"/>
        <v>1968.8000000000006</v>
      </c>
      <c r="T55" s="2"/>
    </row>
    <row r="56" spans="1:20" ht="22.5" customHeight="1" x14ac:dyDescent="0.5">
      <c r="A56" s="208"/>
      <c r="B56" s="73" t="s">
        <v>116</v>
      </c>
      <c r="C56" s="25" t="s">
        <v>113</v>
      </c>
      <c r="D56" s="211">
        <v>1829.7</v>
      </c>
      <c r="E56" s="212" t="s">
        <v>970</v>
      </c>
      <c r="F56" s="212" t="s">
        <v>115</v>
      </c>
      <c r="G56" s="213" t="s">
        <v>115</v>
      </c>
      <c r="H56" s="219">
        <v>9060.0000000000018</v>
      </c>
      <c r="I56" s="214">
        <v>634.20000000000027</v>
      </c>
      <c r="J56" s="219">
        <v>9694.2000000000025</v>
      </c>
      <c r="K56" s="30">
        <v>25239</v>
      </c>
      <c r="L56" s="31" t="s">
        <v>1092</v>
      </c>
      <c r="M56" s="32">
        <v>9694.2000000000007</v>
      </c>
      <c r="N56" s="215">
        <v>25235</v>
      </c>
      <c r="O56" s="215" t="s">
        <v>33</v>
      </c>
      <c r="P56" s="216" t="s">
        <v>33</v>
      </c>
      <c r="Q56" s="113">
        <f t="shared" si="4"/>
        <v>1710.0000000000023</v>
      </c>
      <c r="R56" s="113">
        <f t="shared" si="5"/>
        <v>119.70000000000017</v>
      </c>
      <c r="S56" s="217">
        <f t="shared" si="6"/>
        <v>1829.7000000000025</v>
      </c>
      <c r="T56" s="2"/>
    </row>
    <row r="57" spans="1:20" ht="22.5" customHeight="1" x14ac:dyDescent="0.5">
      <c r="A57" s="208">
        <v>10</v>
      </c>
      <c r="B57" s="73" t="s">
        <v>117</v>
      </c>
      <c r="C57" s="25" t="s">
        <v>118</v>
      </c>
      <c r="D57" s="211">
        <v>845.3</v>
      </c>
      <c r="E57" s="212" t="s">
        <v>958</v>
      </c>
      <c r="F57" s="212" t="s">
        <v>33</v>
      </c>
      <c r="G57" s="213" t="s">
        <v>33</v>
      </c>
      <c r="H57" s="219">
        <v>1240</v>
      </c>
      <c r="I57" s="214">
        <v>86.8</v>
      </c>
      <c r="J57" s="219">
        <v>1326.8</v>
      </c>
      <c r="K57" s="30">
        <v>25238</v>
      </c>
      <c r="L57" s="31" t="s">
        <v>1093</v>
      </c>
      <c r="M57" s="32">
        <v>1326.8</v>
      </c>
      <c r="N57" s="215">
        <v>25235</v>
      </c>
      <c r="O57" s="215" t="s">
        <v>33</v>
      </c>
      <c r="P57" s="216" t="s">
        <v>33</v>
      </c>
      <c r="Q57" s="113">
        <f t="shared" si="4"/>
        <v>790</v>
      </c>
      <c r="R57" s="113">
        <f t="shared" si="5"/>
        <v>55.3</v>
      </c>
      <c r="S57" s="217">
        <f t="shared" si="6"/>
        <v>845.3</v>
      </c>
      <c r="T57" s="2"/>
    </row>
    <row r="58" spans="1:20" ht="22.5" customHeight="1" x14ac:dyDescent="0.5">
      <c r="A58" s="208"/>
      <c r="B58" s="73" t="s">
        <v>120</v>
      </c>
      <c r="C58" s="25" t="s">
        <v>118</v>
      </c>
      <c r="D58" s="211">
        <v>5392.8</v>
      </c>
      <c r="E58" s="212" t="s">
        <v>958</v>
      </c>
      <c r="F58" s="212" t="s">
        <v>33</v>
      </c>
      <c r="G58" s="213" t="s">
        <v>33</v>
      </c>
      <c r="H58" s="219">
        <v>8670.0000000000018</v>
      </c>
      <c r="I58" s="214">
        <v>606.90000000000009</v>
      </c>
      <c r="J58" s="219">
        <v>9276.9000000000015</v>
      </c>
      <c r="K58" s="30">
        <v>25238</v>
      </c>
      <c r="L58" s="31" t="s">
        <v>1093</v>
      </c>
      <c r="M58" s="32">
        <v>9276.9</v>
      </c>
      <c r="N58" s="215">
        <v>25235</v>
      </c>
      <c r="O58" s="215" t="s">
        <v>33</v>
      </c>
      <c r="P58" s="216" t="s">
        <v>33</v>
      </c>
      <c r="Q58" s="113">
        <f t="shared" si="4"/>
        <v>5040.0000000000009</v>
      </c>
      <c r="R58" s="113">
        <f t="shared" si="5"/>
        <v>352.80000000000007</v>
      </c>
      <c r="S58" s="217">
        <f t="shared" si="6"/>
        <v>5392.8000000000011</v>
      </c>
      <c r="T58" s="2"/>
    </row>
    <row r="59" spans="1:20" ht="22.5" customHeight="1" x14ac:dyDescent="0.5">
      <c r="A59" s="208">
        <v>11</v>
      </c>
      <c r="B59" s="73" t="s">
        <v>121</v>
      </c>
      <c r="C59" s="83" t="s">
        <v>122</v>
      </c>
      <c r="D59" s="211">
        <v>6462.8</v>
      </c>
      <c r="E59" s="212"/>
      <c r="F59" s="212"/>
      <c r="G59" s="213"/>
      <c r="H59" s="219">
        <v>-1.6999900967718285E-12</v>
      </c>
      <c r="I59" s="214">
        <v>-1.1899930677402798E-13</v>
      </c>
      <c r="J59" s="219">
        <v>-1.8189894035458565E-12</v>
      </c>
      <c r="K59" s="30"/>
      <c r="L59" s="31"/>
      <c r="M59" s="32"/>
      <c r="N59" s="215">
        <v>25235</v>
      </c>
      <c r="O59" s="215" t="s">
        <v>33</v>
      </c>
      <c r="P59" s="216" t="s">
        <v>33</v>
      </c>
      <c r="Q59" s="113">
        <f t="shared" si="4"/>
        <v>6039.9999999999982</v>
      </c>
      <c r="R59" s="113">
        <f t="shared" si="5"/>
        <v>422.7999999999999</v>
      </c>
      <c r="S59" s="217">
        <f t="shared" si="6"/>
        <v>6462.7999999999984</v>
      </c>
      <c r="T59" s="223"/>
    </row>
    <row r="60" spans="1:20" ht="22.5" customHeight="1" x14ac:dyDescent="0.5">
      <c r="A60" s="208"/>
      <c r="B60" s="73" t="s">
        <v>121</v>
      </c>
      <c r="C60" s="83" t="s">
        <v>122</v>
      </c>
      <c r="D60" s="211">
        <v>2792.7</v>
      </c>
      <c r="E60" s="212"/>
      <c r="F60" s="212"/>
      <c r="G60" s="213"/>
      <c r="H60" s="219">
        <v>0</v>
      </c>
      <c r="I60" s="214">
        <v>0</v>
      </c>
      <c r="J60" s="219">
        <v>0</v>
      </c>
      <c r="K60" s="30"/>
      <c r="L60" s="31"/>
      <c r="M60" s="32"/>
      <c r="N60" s="215">
        <v>25235</v>
      </c>
      <c r="O60" s="215" t="s">
        <v>33</v>
      </c>
      <c r="P60" s="216" t="s">
        <v>33</v>
      </c>
      <c r="Q60" s="113">
        <f t="shared" si="4"/>
        <v>2610</v>
      </c>
      <c r="R60" s="113">
        <f t="shared" si="5"/>
        <v>182.7</v>
      </c>
      <c r="S60" s="217">
        <f t="shared" si="6"/>
        <v>2792.7</v>
      </c>
      <c r="T60" s="223"/>
    </row>
    <row r="61" spans="1:20" ht="22.5" customHeight="1" x14ac:dyDescent="0.5">
      <c r="A61" s="208">
        <v>12</v>
      </c>
      <c r="B61" s="73" t="s">
        <v>124</v>
      </c>
      <c r="C61" s="83" t="s">
        <v>125</v>
      </c>
      <c r="D61" s="211">
        <v>4504.7</v>
      </c>
      <c r="E61" s="212" t="s">
        <v>958</v>
      </c>
      <c r="F61" s="212" t="s">
        <v>33</v>
      </c>
      <c r="G61" s="213" t="s">
        <v>33</v>
      </c>
      <c r="H61" s="219">
        <v>4650</v>
      </c>
      <c r="I61" s="214">
        <v>325.5</v>
      </c>
      <c r="J61" s="219">
        <v>4975.5</v>
      </c>
      <c r="K61" s="30">
        <v>25238</v>
      </c>
      <c r="L61" s="31" t="s">
        <v>1094</v>
      </c>
      <c r="M61" s="32">
        <v>4975.5</v>
      </c>
      <c r="N61" s="215">
        <v>25235</v>
      </c>
      <c r="O61" s="215" t="s">
        <v>33</v>
      </c>
      <c r="P61" s="216" t="s">
        <v>33</v>
      </c>
      <c r="Q61" s="113">
        <f t="shared" si="4"/>
        <v>4210.0000000000009</v>
      </c>
      <c r="R61" s="113">
        <f t="shared" si="5"/>
        <v>294.70000000000005</v>
      </c>
      <c r="S61" s="217">
        <f t="shared" si="6"/>
        <v>4504.7000000000007</v>
      </c>
      <c r="T61" s="2"/>
    </row>
    <row r="62" spans="1:20" ht="22.5" customHeight="1" x14ac:dyDescent="0.5">
      <c r="A62" s="208">
        <v>13</v>
      </c>
      <c r="B62" s="78" t="s">
        <v>127</v>
      </c>
      <c r="C62" s="25" t="s">
        <v>128</v>
      </c>
      <c r="D62" s="211"/>
      <c r="E62" s="212"/>
      <c r="F62" s="212"/>
      <c r="G62" s="213"/>
      <c r="H62" s="224">
        <v>0</v>
      </c>
      <c r="I62" s="214">
        <v>0</v>
      </c>
      <c r="J62" s="219">
        <v>0</v>
      </c>
      <c r="K62" s="38"/>
      <c r="L62" s="39"/>
      <c r="M62" s="40"/>
      <c r="N62" s="215"/>
      <c r="O62" s="215"/>
      <c r="P62" s="216"/>
      <c r="Q62" s="113">
        <f t="shared" si="4"/>
        <v>0</v>
      </c>
      <c r="R62" s="113">
        <f t="shared" si="5"/>
        <v>0</v>
      </c>
      <c r="S62" s="217">
        <f t="shared" si="6"/>
        <v>0</v>
      </c>
      <c r="T62" s="2"/>
    </row>
    <row r="63" spans="1:20" ht="22.5" customHeight="1" x14ac:dyDescent="0.5">
      <c r="A63" s="208">
        <v>14</v>
      </c>
      <c r="B63" s="78" t="s">
        <v>129</v>
      </c>
      <c r="C63" s="210" t="s">
        <v>130</v>
      </c>
      <c r="D63" s="211">
        <v>3659.4</v>
      </c>
      <c r="E63" s="212" t="s">
        <v>958</v>
      </c>
      <c r="F63" s="212" t="s">
        <v>33</v>
      </c>
      <c r="G63" s="213" t="s">
        <v>33</v>
      </c>
      <c r="H63" s="224">
        <v>4099.9999999999991</v>
      </c>
      <c r="I63" s="214">
        <v>286.99999999999994</v>
      </c>
      <c r="J63" s="219">
        <v>4386.9999999999991</v>
      </c>
      <c r="K63" s="30">
        <v>25245</v>
      </c>
      <c r="L63" s="31" t="s">
        <v>1095</v>
      </c>
      <c r="M63" s="32">
        <v>4387</v>
      </c>
      <c r="N63" s="215">
        <v>25235</v>
      </c>
      <c r="O63" s="215" t="s">
        <v>33</v>
      </c>
      <c r="P63" s="216" t="s">
        <v>33</v>
      </c>
      <c r="Q63" s="113">
        <f t="shared" si="4"/>
        <v>3419.9999999999995</v>
      </c>
      <c r="R63" s="113">
        <f t="shared" si="5"/>
        <v>239.39999999999995</v>
      </c>
      <c r="S63" s="217">
        <f t="shared" si="6"/>
        <v>3659.3999999999996</v>
      </c>
      <c r="T63" s="2"/>
    </row>
    <row r="64" spans="1:20" ht="22.5" customHeight="1" x14ac:dyDescent="0.5">
      <c r="A64" s="208"/>
      <c r="B64" s="78" t="s">
        <v>132</v>
      </c>
      <c r="C64" s="210" t="s">
        <v>130</v>
      </c>
      <c r="D64" s="211">
        <v>10967.5</v>
      </c>
      <c r="E64" s="212" t="s">
        <v>958</v>
      </c>
      <c r="F64" s="212" t="s">
        <v>33</v>
      </c>
      <c r="G64" s="213" t="s">
        <v>33</v>
      </c>
      <c r="H64" s="224">
        <v>8829.9999999999927</v>
      </c>
      <c r="I64" s="214">
        <v>618.09999999999957</v>
      </c>
      <c r="J64" s="219">
        <v>9448.0999999999931</v>
      </c>
      <c r="K64" s="30">
        <v>25245</v>
      </c>
      <c r="L64" s="31" t="s">
        <v>1095</v>
      </c>
      <c r="M64" s="32">
        <v>9448.1</v>
      </c>
      <c r="N64" s="215">
        <v>25235</v>
      </c>
      <c r="O64" s="215" t="s">
        <v>33</v>
      </c>
      <c r="P64" s="216" t="s">
        <v>33</v>
      </c>
      <c r="Q64" s="113">
        <f t="shared" si="4"/>
        <v>10249.999999999991</v>
      </c>
      <c r="R64" s="113">
        <f t="shared" si="5"/>
        <v>717.49999999999943</v>
      </c>
      <c r="S64" s="217">
        <f t="shared" si="6"/>
        <v>10967.499999999991</v>
      </c>
      <c r="T64" s="2"/>
    </row>
    <row r="65" spans="1:20" ht="22.5" customHeight="1" x14ac:dyDescent="0.5">
      <c r="A65" s="208">
        <v>15</v>
      </c>
      <c r="B65" s="78" t="s">
        <v>134</v>
      </c>
      <c r="C65" s="165" t="s">
        <v>135</v>
      </c>
      <c r="D65" s="211">
        <v>1423.1</v>
      </c>
      <c r="E65" s="212"/>
      <c r="F65" s="212"/>
      <c r="G65" s="213"/>
      <c r="H65" s="224">
        <v>0</v>
      </c>
      <c r="I65" s="214">
        <v>0</v>
      </c>
      <c r="J65" s="219">
        <v>0</v>
      </c>
      <c r="K65" s="38">
        <v>25261</v>
      </c>
      <c r="L65" s="39" t="s">
        <v>1096</v>
      </c>
      <c r="M65" s="40">
        <v>1423.1</v>
      </c>
      <c r="N65" s="215"/>
      <c r="O65" s="215"/>
      <c r="P65" s="216"/>
      <c r="Q65" s="113">
        <f t="shared" si="4"/>
        <v>0</v>
      </c>
      <c r="R65" s="113">
        <f t="shared" si="5"/>
        <v>0</v>
      </c>
      <c r="S65" s="217">
        <f t="shared" si="6"/>
        <v>0</v>
      </c>
      <c r="T65" s="2"/>
    </row>
    <row r="66" spans="1:20" s="229" customFormat="1" ht="22.5" customHeight="1" x14ac:dyDescent="0.5">
      <c r="A66" s="225">
        <v>16</v>
      </c>
      <c r="B66" s="226" t="s">
        <v>137</v>
      </c>
      <c r="C66" s="227"/>
      <c r="D66" s="211">
        <v>3648.7</v>
      </c>
      <c r="E66" s="212" t="s">
        <v>958</v>
      </c>
      <c r="F66" s="234" t="s">
        <v>33</v>
      </c>
      <c r="G66" s="228" t="s">
        <v>33</v>
      </c>
      <c r="H66" s="224">
        <v>3760.0000000000005</v>
      </c>
      <c r="I66" s="214">
        <v>263.2</v>
      </c>
      <c r="J66" s="224">
        <v>4023.2000000000003</v>
      </c>
      <c r="K66" s="38">
        <v>25243</v>
      </c>
      <c r="L66" s="39" t="s">
        <v>1097</v>
      </c>
      <c r="M66" s="40">
        <v>4023.2</v>
      </c>
      <c r="N66" s="215">
        <v>25235</v>
      </c>
      <c r="O66" s="215" t="s">
        <v>33</v>
      </c>
      <c r="P66" s="216" t="s">
        <v>33</v>
      </c>
      <c r="Q66" s="113">
        <f t="shared" si="4"/>
        <v>3410</v>
      </c>
      <c r="R66" s="113">
        <f t="shared" si="5"/>
        <v>238.7</v>
      </c>
      <c r="S66" s="217">
        <f t="shared" si="6"/>
        <v>3648.7</v>
      </c>
      <c r="T66" s="47"/>
    </row>
    <row r="67" spans="1:20" s="229" customFormat="1" ht="22.5" customHeight="1" x14ac:dyDescent="0.5">
      <c r="A67" s="225"/>
      <c r="B67" s="226" t="s">
        <v>139</v>
      </c>
      <c r="C67" s="227" t="s">
        <v>140</v>
      </c>
      <c r="D67" s="211"/>
      <c r="E67" s="230"/>
      <c r="F67" s="230"/>
      <c r="G67" s="231"/>
      <c r="H67" s="232">
        <v>0</v>
      </c>
      <c r="I67" s="233">
        <v>0</v>
      </c>
      <c r="J67" s="232">
        <v>0</v>
      </c>
      <c r="K67" s="38"/>
      <c r="L67" s="39"/>
      <c r="M67" s="40"/>
      <c r="N67" s="215"/>
      <c r="O67" s="215"/>
      <c r="P67" s="216"/>
      <c r="Q67" s="113">
        <f t="shared" si="4"/>
        <v>0</v>
      </c>
      <c r="R67" s="113">
        <f t="shared" si="5"/>
        <v>0</v>
      </c>
      <c r="S67" s="217">
        <f t="shared" si="6"/>
        <v>0</v>
      </c>
      <c r="T67" s="47"/>
    </row>
    <row r="68" spans="1:20" ht="22.5" customHeight="1" x14ac:dyDescent="0.5">
      <c r="A68" s="208">
        <v>17</v>
      </c>
      <c r="B68" s="78" t="s">
        <v>54</v>
      </c>
      <c r="C68" s="81" t="s">
        <v>55</v>
      </c>
      <c r="D68" s="211">
        <v>13000.5</v>
      </c>
      <c r="E68" s="212"/>
      <c r="F68" s="234"/>
      <c r="G68" s="228"/>
      <c r="H68" s="224">
        <v>0</v>
      </c>
      <c r="I68" s="214">
        <v>0</v>
      </c>
      <c r="J68" s="224">
        <v>0</v>
      </c>
      <c r="K68" s="38"/>
      <c r="L68" s="39"/>
      <c r="M68" s="40"/>
      <c r="N68" s="215">
        <v>25235</v>
      </c>
      <c r="O68" s="215" t="s">
        <v>33</v>
      </c>
      <c r="P68" s="216" t="s">
        <v>33</v>
      </c>
      <c r="Q68" s="113">
        <f t="shared" si="4"/>
        <v>12150</v>
      </c>
      <c r="R68" s="113">
        <f t="shared" si="5"/>
        <v>850.5</v>
      </c>
      <c r="S68" s="217">
        <f t="shared" si="6"/>
        <v>13000.5</v>
      </c>
      <c r="T68" s="2"/>
    </row>
    <row r="69" spans="1:20" ht="22.5" customHeight="1" x14ac:dyDescent="0.5">
      <c r="A69" s="208">
        <v>18</v>
      </c>
      <c r="B69" s="78" t="s">
        <v>141</v>
      </c>
      <c r="C69" s="81" t="s">
        <v>142</v>
      </c>
      <c r="D69" s="211">
        <v>5061.1000000000004</v>
      </c>
      <c r="E69" s="234"/>
      <c r="F69" s="234"/>
      <c r="G69" s="228"/>
      <c r="H69" s="224">
        <v>0</v>
      </c>
      <c r="I69" s="214">
        <v>0</v>
      </c>
      <c r="J69" s="224">
        <v>0</v>
      </c>
      <c r="K69" s="38">
        <v>25260</v>
      </c>
      <c r="L69" s="39" t="s">
        <v>1098</v>
      </c>
      <c r="M69" s="40">
        <v>5061.1000000000004</v>
      </c>
      <c r="N69" s="235"/>
      <c r="O69" s="235"/>
      <c r="P69" s="236"/>
      <c r="Q69" s="113">
        <f t="shared" si="4"/>
        <v>0</v>
      </c>
      <c r="R69" s="113">
        <f t="shared" si="5"/>
        <v>0</v>
      </c>
      <c r="S69" s="217">
        <f t="shared" si="6"/>
        <v>0</v>
      </c>
      <c r="T69" s="2"/>
    </row>
    <row r="70" spans="1:20" ht="22.5" customHeight="1" x14ac:dyDescent="0.5">
      <c r="A70" s="208">
        <v>19</v>
      </c>
      <c r="B70" s="78" t="s">
        <v>144</v>
      </c>
      <c r="C70" s="81" t="s">
        <v>145</v>
      </c>
      <c r="D70" s="211">
        <v>353.1</v>
      </c>
      <c r="E70" s="212"/>
      <c r="F70" s="212"/>
      <c r="G70" s="213"/>
      <c r="H70" s="224">
        <v>-4.2499752419295712E-13</v>
      </c>
      <c r="I70" s="214">
        <v>-2.9749826693506995E-14</v>
      </c>
      <c r="J70" s="224">
        <v>-4.5474735088646412E-13</v>
      </c>
      <c r="K70" s="38">
        <v>25259</v>
      </c>
      <c r="L70" s="39" t="s">
        <v>1099</v>
      </c>
      <c r="M70" s="40">
        <v>353.1</v>
      </c>
      <c r="N70" s="215"/>
      <c r="O70" s="215"/>
      <c r="P70" s="216"/>
      <c r="Q70" s="113">
        <f t="shared" si="4"/>
        <v>-4.2499752419295712E-13</v>
      </c>
      <c r="R70" s="113">
        <f t="shared" si="5"/>
        <v>-2.9749826693506995E-14</v>
      </c>
      <c r="S70" s="217">
        <f t="shared" si="6"/>
        <v>-4.5474735088646412E-13</v>
      </c>
      <c r="T70" s="2"/>
    </row>
    <row r="71" spans="1:20" ht="22.5" customHeight="1" x14ac:dyDescent="0.6">
      <c r="A71" s="208">
        <v>20</v>
      </c>
      <c r="B71" s="73" t="s">
        <v>147</v>
      </c>
      <c r="C71" s="25" t="s">
        <v>148</v>
      </c>
      <c r="D71" s="211"/>
      <c r="E71" s="234" t="s">
        <v>958</v>
      </c>
      <c r="F71" s="234" t="s">
        <v>33</v>
      </c>
      <c r="G71" s="228" t="s">
        <v>33</v>
      </c>
      <c r="H71" s="224">
        <v>140</v>
      </c>
      <c r="I71" s="214">
        <v>9.8000000000000007</v>
      </c>
      <c r="J71" s="224">
        <v>149.80000000000001</v>
      </c>
      <c r="K71" s="38">
        <v>25240</v>
      </c>
      <c r="L71" s="39" t="s">
        <v>1100</v>
      </c>
      <c r="M71" s="40">
        <v>149.80000000000001</v>
      </c>
      <c r="N71" s="215"/>
      <c r="O71" s="215"/>
      <c r="P71" s="216"/>
      <c r="Q71" s="113">
        <f t="shared" si="4"/>
        <v>0</v>
      </c>
      <c r="R71" s="113">
        <f t="shared" si="5"/>
        <v>0</v>
      </c>
      <c r="S71" s="217">
        <f t="shared" si="6"/>
        <v>0</v>
      </c>
      <c r="T71" s="898" t="s">
        <v>962</v>
      </c>
    </row>
    <row r="72" spans="1:20" ht="22.5" customHeight="1" x14ac:dyDescent="0.5">
      <c r="A72" s="208"/>
      <c r="B72" s="897"/>
      <c r="C72" s="165"/>
      <c r="D72" s="211"/>
      <c r="E72" s="234"/>
      <c r="F72" s="234"/>
      <c r="G72" s="228"/>
      <c r="H72" s="224"/>
      <c r="I72" s="214"/>
      <c r="J72" s="224"/>
      <c r="K72" s="38"/>
      <c r="L72" s="39"/>
      <c r="M72" s="40"/>
      <c r="N72" s="239"/>
      <c r="O72" s="239"/>
      <c r="P72" s="236"/>
      <c r="Q72" s="113"/>
      <c r="R72" s="113"/>
      <c r="S72" s="217"/>
      <c r="T72" s="2"/>
    </row>
    <row r="73" spans="1:20" ht="22.5" customHeight="1" x14ac:dyDescent="0.5">
      <c r="A73" s="208">
        <v>21</v>
      </c>
      <c r="B73" s="237" t="s">
        <v>149</v>
      </c>
      <c r="C73" s="238" t="s">
        <v>150</v>
      </c>
      <c r="D73" s="211">
        <v>1605</v>
      </c>
      <c r="E73" s="234"/>
      <c r="F73" s="234"/>
      <c r="G73" s="228"/>
      <c r="H73" s="224">
        <v>0</v>
      </c>
      <c r="I73" s="214">
        <v>0</v>
      </c>
      <c r="J73" s="224">
        <v>0</v>
      </c>
      <c r="K73" s="38">
        <v>25258</v>
      </c>
      <c r="L73" s="39" t="s">
        <v>1101</v>
      </c>
      <c r="M73" s="40">
        <v>1605</v>
      </c>
      <c r="N73" s="239"/>
      <c r="O73" s="239"/>
      <c r="P73" s="236"/>
      <c r="Q73" s="113">
        <f t="shared" si="4"/>
        <v>0</v>
      </c>
      <c r="R73" s="113">
        <f t="shared" si="5"/>
        <v>0</v>
      </c>
      <c r="S73" s="217">
        <f t="shared" si="6"/>
        <v>0</v>
      </c>
      <c r="T73" s="2"/>
    </row>
    <row r="74" spans="1:20" ht="22.5" customHeight="1" x14ac:dyDescent="0.5">
      <c r="A74" s="208">
        <v>22</v>
      </c>
      <c r="B74" s="240" t="s">
        <v>569</v>
      </c>
      <c r="C74" s="83" t="s">
        <v>153</v>
      </c>
      <c r="D74" s="211">
        <v>5296.5</v>
      </c>
      <c r="E74" s="234"/>
      <c r="F74" s="234"/>
      <c r="G74" s="228"/>
      <c r="H74" s="224">
        <v>-3.3999801935436569E-12</v>
      </c>
      <c r="I74" s="214">
        <v>-2.3799861354805596E-13</v>
      </c>
      <c r="J74" s="224">
        <v>-3.637978807091713E-12</v>
      </c>
      <c r="K74" s="38">
        <v>25258</v>
      </c>
      <c r="L74" s="39" t="s">
        <v>1102</v>
      </c>
      <c r="M74" s="40">
        <v>5296.5</v>
      </c>
      <c r="N74" s="215"/>
      <c r="O74" s="215"/>
      <c r="P74" s="216"/>
      <c r="Q74" s="113">
        <f t="shared" si="4"/>
        <v>-3.3999801935436569E-12</v>
      </c>
      <c r="R74" s="113">
        <f t="shared" si="5"/>
        <v>-2.3799861354805596E-13</v>
      </c>
      <c r="S74" s="217">
        <f t="shared" si="6"/>
        <v>-3.637978807091713E-12</v>
      </c>
      <c r="T74" s="2"/>
    </row>
    <row r="75" spans="1:20" ht="22.5" customHeight="1" x14ac:dyDescent="0.5">
      <c r="A75" s="208"/>
      <c r="B75" s="240" t="s">
        <v>569</v>
      </c>
      <c r="C75" s="83"/>
      <c r="D75" s="211">
        <v>11844.9</v>
      </c>
      <c r="E75" s="234"/>
      <c r="F75" s="234"/>
      <c r="G75" s="228"/>
      <c r="H75" s="224">
        <v>0</v>
      </c>
      <c r="I75" s="241">
        <v>0</v>
      </c>
      <c r="J75" s="224">
        <v>0</v>
      </c>
      <c r="K75" s="38">
        <v>25258</v>
      </c>
      <c r="L75" s="39" t="s">
        <v>1102</v>
      </c>
      <c r="M75" s="40">
        <v>11844.9</v>
      </c>
      <c r="N75" s="215"/>
      <c r="O75" s="215"/>
      <c r="P75" s="216"/>
      <c r="Q75" s="113">
        <f t="shared" si="4"/>
        <v>0</v>
      </c>
      <c r="R75" s="113">
        <f t="shared" si="5"/>
        <v>0</v>
      </c>
      <c r="S75" s="217">
        <f t="shared" si="6"/>
        <v>0</v>
      </c>
      <c r="T75" s="2"/>
    </row>
    <row r="76" spans="1:20" ht="22.5" customHeight="1" x14ac:dyDescent="0.5">
      <c r="A76" s="208">
        <v>23</v>
      </c>
      <c r="B76" s="240" t="s">
        <v>157</v>
      </c>
      <c r="C76" s="83" t="s">
        <v>158</v>
      </c>
      <c r="D76" s="211">
        <v>2846.2</v>
      </c>
      <c r="E76" s="234"/>
      <c r="F76" s="234"/>
      <c r="G76" s="228"/>
      <c r="H76" s="224">
        <v>0</v>
      </c>
      <c r="I76" s="241">
        <v>0</v>
      </c>
      <c r="J76" s="224">
        <v>0</v>
      </c>
      <c r="K76" s="38">
        <v>25259</v>
      </c>
      <c r="L76" s="39" t="s">
        <v>1103</v>
      </c>
      <c r="M76" s="40">
        <v>2846.2</v>
      </c>
      <c r="N76" s="239"/>
      <c r="O76" s="239"/>
      <c r="P76" s="236"/>
      <c r="Q76" s="113">
        <f t="shared" si="4"/>
        <v>0</v>
      </c>
      <c r="R76" s="113">
        <f t="shared" si="5"/>
        <v>0</v>
      </c>
      <c r="S76" s="217">
        <f t="shared" si="6"/>
        <v>0</v>
      </c>
      <c r="T76" s="2"/>
    </row>
    <row r="77" spans="1:20" ht="22.5" customHeight="1" x14ac:dyDescent="0.5">
      <c r="A77" s="208">
        <v>24</v>
      </c>
      <c r="B77" s="240" t="s">
        <v>160</v>
      </c>
      <c r="C77" s="83" t="s">
        <v>161</v>
      </c>
      <c r="D77" s="211"/>
      <c r="E77" s="212"/>
      <c r="F77" s="234"/>
      <c r="G77" s="228"/>
      <c r="H77" s="224">
        <v>0</v>
      </c>
      <c r="I77" s="241">
        <v>0</v>
      </c>
      <c r="J77" s="224">
        <v>0</v>
      </c>
      <c r="K77" s="38"/>
      <c r="L77" s="39"/>
      <c r="M77" s="40"/>
      <c r="N77" s="215"/>
      <c r="O77" s="215"/>
      <c r="P77" s="216"/>
      <c r="Q77" s="113">
        <f t="shared" si="4"/>
        <v>0</v>
      </c>
      <c r="R77" s="113">
        <f t="shared" si="5"/>
        <v>0</v>
      </c>
      <c r="S77" s="217">
        <f t="shared" si="6"/>
        <v>0</v>
      </c>
      <c r="T77" s="2"/>
    </row>
    <row r="78" spans="1:20" ht="22.5" customHeight="1" x14ac:dyDescent="0.5">
      <c r="A78" s="208">
        <v>25</v>
      </c>
      <c r="B78" s="240" t="s">
        <v>162</v>
      </c>
      <c r="C78" s="83" t="s">
        <v>163</v>
      </c>
      <c r="D78" s="211">
        <v>1679.9</v>
      </c>
      <c r="E78" s="212" t="s">
        <v>970</v>
      </c>
      <c r="F78" s="234" t="s">
        <v>115</v>
      </c>
      <c r="G78" s="228" t="s">
        <v>115</v>
      </c>
      <c r="H78" s="224">
        <v>12129.999999999996</v>
      </c>
      <c r="I78" s="241">
        <v>849.0999999999998</v>
      </c>
      <c r="J78" s="224">
        <v>12979.099999999997</v>
      </c>
      <c r="K78" s="38">
        <v>25236</v>
      </c>
      <c r="L78" s="39" t="s">
        <v>1104</v>
      </c>
      <c r="M78" s="40">
        <v>6066.9</v>
      </c>
      <c r="N78" s="215" t="s">
        <v>1105</v>
      </c>
      <c r="O78" s="215" t="s">
        <v>115</v>
      </c>
      <c r="P78" s="216" t="s">
        <v>115</v>
      </c>
      <c r="Q78" s="113">
        <f t="shared" si="4"/>
        <v>8029.9999999999973</v>
      </c>
      <c r="R78" s="113">
        <f t="shared" si="5"/>
        <v>562.0999999999998</v>
      </c>
      <c r="S78" s="217">
        <f t="shared" si="6"/>
        <v>8592.0999999999967</v>
      </c>
      <c r="T78" s="2"/>
    </row>
    <row r="79" spans="1:20" ht="22.5" customHeight="1" x14ac:dyDescent="0.5">
      <c r="A79" s="208">
        <v>26</v>
      </c>
      <c r="B79" s="209" t="s">
        <v>165</v>
      </c>
      <c r="C79" s="210" t="s">
        <v>166</v>
      </c>
      <c r="D79" s="211">
        <v>524.29999999999995</v>
      </c>
      <c r="E79" s="212"/>
      <c r="F79" s="212"/>
      <c r="G79" s="213"/>
      <c r="H79" s="219">
        <v>4.2499752419295712E-13</v>
      </c>
      <c r="I79" s="214">
        <v>2.9749826693506995E-14</v>
      </c>
      <c r="J79" s="219">
        <v>4.5474735088646412E-13</v>
      </c>
      <c r="K79" s="38">
        <v>25261</v>
      </c>
      <c r="L79" s="39" t="s">
        <v>1106</v>
      </c>
      <c r="M79" s="40">
        <v>524.29999999999995</v>
      </c>
      <c r="N79" s="215"/>
      <c r="O79" s="215"/>
      <c r="P79" s="216"/>
      <c r="Q79" s="113">
        <f t="shared" si="4"/>
        <v>4.2499752419295712E-13</v>
      </c>
      <c r="R79" s="113">
        <f t="shared" si="5"/>
        <v>2.9749826693506995E-14</v>
      </c>
      <c r="S79" s="217">
        <f t="shared" si="6"/>
        <v>4.5474735088646412E-13</v>
      </c>
      <c r="T79" s="2"/>
    </row>
    <row r="80" spans="1:20" ht="22.5" customHeight="1" x14ac:dyDescent="0.5">
      <c r="A80" s="242">
        <v>27</v>
      </c>
      <c r="B80" s="243" t="s">
        <v>168</v>
      </c>
      <c r="C80" s="244" t="s">
        <v>169</v>
      </c>
      <c r="D80" s="211">
        <v>1070</v>
      </c>
      <c r="E80" s="212" t="s">
        <v>970</v>
      </c>
      <c r="F80" s="212" t="s">
        <v>115</v>
      </c>
      <c r="G80" s="213" t="s">
        <v>115</v>
      </c>
      <c r="H80" s="219">
        <v>8310</v>
      </c>
      <c r="I80" s="214">
        <v>581.70000000000005</v>
      </c>
      <c r="J80" s="219">
        <v>8891.7000000000007</v>
      </c>
      <c r="K80" s="30">
        <v>25253</v>
      </c>
      <c r="L80" s="31" t="s">
        <v>1107</v>
      </c>
      <c r="M80" s="32">
        <v>8891.7000000000007</v>
      </c>
      <c r="N80" s="215">
        <v>25235</v>
      </c>
      <c r="O80" s="215" t="s">
        <v>33</v>
      </c>
      <c r="P80" s="216" t="s">
        <v>33</v>
      </c>
      <c r="Q80" s="113">
        <f t="shared" si="4"/>
        <v>1000</v>
      </c>
      <c r="R80" s="113">
        <f t="shared" si="5"/>
        <v>70</v>
      </c>
      <c r="S80" s="217">
        <f t="shared" si="6"/>
        <v>1070</v>
      </c>
      <c r="T80" s="2"/>
    </row>
    <row r="81" spans="1:20" ht="22.5" customHeight="1" x14ac:dyDescent="0.5">
      <c r="A81" s="208">
        <v>28</v>
      </c>
      <c r="B81" s="209" t="s">
        <v>171</v>
      </c>
      <c r="C81" s="210"/>
      <c r="D81" s="211">
        <v>759.7</v>
      </c>
      <c r="E81" s="212"/>
      <c r="F81" s="212"/>
      <c r="G81" s="213"/>
      <c r="H81" s="219">
        <v>0</v>
      </c>
      <c r="I81" s="214">
        <v>0</v>
      </c>
      <c r="J81" s="219">
        <v>0</v>
      </c>
      <c r="K81" s="38">
        <v>25258</v>
      </c>
      <c r="L81" s="39" t="s">
        <v>1108</v>
      </c>
      <c r="M81" s="40">
        <v>759.7</v>
      </c>
      <c r="N81" s="239"/>
      <c r="O81" s="239"/>
      <c r="P81" s="236"/>
      <c r="Q81" s="113">
        <f t="shared" si="4"/>
        <v>0</v>
      </c>
      <c r="R81" s="113">
        <f t="shared" si="5"/>
        <v>0</v>
      </c>
      <c r="S81" s="217">
        <f t="shared" si="6"/>
        <v>0</v>
      </c>
      <c r="T81" s="2"/>
    </row>
    <row r="82" spans="1:20" ht="22.5" customHeight="1" x14ac:dyDescent="0.5">
      <c r="A82" s="208">
        <v>29</v>
      </c>
      <c r="B82" s="209" t="s">
        <v>173</v>
      </c>
      <c r="C82" s="210" t="s">
        <v>174</v>
      </c>
      <c r="D82" s="211">
        <v>909.5</v>
      </c>
      <c r="E82" s="212"/>
      <c r="F82" s="212"/>
      <c r="G82" s="213"/>
      <c r="H82" s="219">
        <v>0</v>
      </c>
      <c r="I82" s="214">
        <v>0</v>
      </c>
      <c r="J82" s="219">
        <v>0</v>
      </c>
      <c r="K82" s="38">
        <v>25258</v>
      </c>
      <c r="L82" s="39" t="s">
        <v>1109</v>
      </c>
      <c r="M82" s="40">
        <v>909.5</v>
      </c>
      <c r="N82" s="215"/>
      <c r="O82" s="215"/>
      <c r="P82" s="216"/>
      <c r="Q82" s="113">
        <f t="shared" si="4"/>
        <v>0</v>
      </c>
      <c r="R82" s="113">
        <f t="shared" si="5"/>
        <v>0</v>
      </c>
      <c r="S82" s="217">
        <f t="shared" si="6"/>
        <v>0</v>
      </c>
      <c r="T82" s="2"/>
    </row>
    <row r="83" spans="1:20" ht="22.5" customHeight="1" x14ac:dyDescent="0.5">
      <c r="A83" s="208">
        <v>30</v>
      </c>
      <c r="B83" s="209" t="s">
        <v>175</v>
      </c>
      <c r="C83" s="210" t="s">
        <v>176</v>
      </c>
      <c r="D83" s="211">
        <v>3156.5</v>
      </c>
      <c r="E83" s="212"/>
      <c r="F83" s="212"/>
      <c r="G83" s="213"/>
      <c r="H83" s="219">
        <v>-8.4999504838591423E-13</v>
      </c>
      <c r="I83" s="214">
        <v>-5.9499653387013991E-14</v>
      </c>
      <c r="J83" s="219">
        <v>-9.0949470177292824E-13</v>
      </c>
      <c r="K83" s="30"/>
      <c r="L83" s="31"/>
      <c r="M83" s="32"/>
      <c r="N83" s="215">
        <v>25235</v>
      </c>
      <c r="O83" s="215" t="s">
        <v>33</v>
      </c>
      <c r="P83" s="216" t="s">
        <v>33</v>
      </c>
      <c r="Q83" s="113">
        <f t="shared" si="4"/>
        <v>2949.9999999999991</v>
      </c>
      <c r="R83" s="113">
        <f t="shared" si="5"/>
        <v>206.49999999999994</v>
      </c>
      <c r="S83" s="217">
        <f t="shared" si="6"/>
        <v>3156.4999999999991</v>
      </c>
      <c r="T83" s="2"/>
    </row>
    <row r="84" spans="1:20" ht="22.5" customHeight="1" x14ac:dyDescent="0.5">
      <c r="A84" s="208">
        <v>31</v>
      </c>
      <c r="B84" s="209" t="s">
        <v>178</v>
      </c>
      <c r="C84" s="210" t="s">
        <v>179</v>
      </c>
      <c r="D84" s="211"/>
      <c r="E84" s="212"/>
      <c r="F84" s="212"/>
      <c r="G84" s="213"/>
      <c r="H84" s="219">
        <v>0</v>
      </c>
      <c r="I84" s="214">
        <v>0</v>
      </c>
      <c r="J84" s="219">
        <v>0</v>
      </c>
      <c r="K84" s="38"/>
      <c r="L84" s="39"/>
      <c r="M84" s="40"/>
      <c r="N84" s="215"/>
      <c r="O84" s="215"/>
      <c r="P84" s="216"/>
      <c r="Q84" s="113">
        <f t="shared" si="4"/>
        <v>0</v>
      </c>
      <c r="R84" s="113">
        <f t="shared" si="5"/>
        <v>0</v>
      </c>
      <c r="S84" s="217">
        <f t="shared" si="6"/>
        <v>0</v>
      </c>
      <c r="T84" s="2"/>
    </row>
    <row r="85" spans="1:20" ht="22.5" customHeight="1" x14ac:dyDescent="0.5">
      <c r="A85" s="208">
        <v>32</v>
      </c>
      <c r="B85" s="209" t="s">
        <v>181</v>
      </c>
      <c r="C85" s="210" t="s">
        <v>182</v>
      </c>
      <c r="D85" s="211">
        <v>845.3</v>
      </c>
      <c r="E85" s="212"/>
      <c r="F85" s="212"/>
      <c r="G85" s="213"/>
      <c r="H85" s="219">
        <v>0</v>
      </c>
      <c r="I85" s="214">
        <v>0</v>
      </c>
      <c r="J85" s="219">
        <v>0</v>
      </c>
      <c r="K85" s="38">
        <v>25262</v>
      </c>
      <c r="L85" s="39" t="s">
        <v>1110</v>
      </c>
      <c r="M85" s="40">
        <v>845.3</v>
      </c>
      <c r="N85" s="215"/>
      <c r="O85" s="215"/>
      <c r="P85" s="216"/>
      <c r="Q85" s="113">
        <f t="shared" si="4"/>
        <v>0</v>
      </c>
      <c r="R85" s="113">
        <f t="shared" si="5"/>
        <v>0</v>
      </c>
      <c r="S85" s="217">
        <f t="shared" si="6"/>
        <v>0</v>
      </c>
      <c r="T85" s="2"/>
    </row>
    <row r="86" spans="1:20" ht="22.5" customHeight="1" x14ac:dyDescent="0.5">
      <c r="A86" s="208">
        <v>33</v>
      </c>
      <c r="B86" s="209" t="s">
        <v>64</v>
      </c>
      <c r="C86" s="210" t="s">
        <v>184</v>
      </c>
      <c r="D86" s="211">
        <v>1712</v>
      </c>
      <c r="E86" s="212"/>
      <c r="F86" s="212"/>
      <c r="G86" s="213"/>
      <c r="H86" s="219">
        <v>0</v>
      </c>
      <c r="I86" s="214">
        <v>0</v>
      </c>
      <c r="J86" s="219">
        <v>0</v>
      </c>
      <c r="K86" s="38">
        <v>25258</v>
      </c>
      <c r="L86" s="245" t="s">
        <v>1111</v>
      </c>
      <c r="M86" s="246">
        <v>1712</v>
      </c>
      <c r="N86" s="215"/>
      <c r="O86" s="215"/>
      <c r="P86" s="216"/>
      <c r="Q86" s="113">
        <f t="shared" si="4"/>
        <v>0</v>
      </c>
      <c r="R86" s="113">
        <f t="shared" si="5"/>
        <v>0</v>
      </c>
      <c r="S86" s="217">
        <f t="shared" si="6"/>
        <v>0</v>
      </c>
      <c r="T86" s="2"/>
    </row>
    <row r="87" spans="1:20" ht="22.5" customHeight="1" x14ac:dyDescent="0.5">
      <c r="A87" s="208"/>
      <c r="B87" s="209" t="s">
        <v>64</v>
      </c>
      <c r="C87" s="210" t="s">
        <v>184</v>
      </c>
      <c r="D87" s="211">
        <v>2653.6</v>
      </c>
      <c r="E87" s="212"/>
      <c r="F87" s="212"/>
      <c r="G87" s="213"/>
      <c r="H87" s="219">
        <v>0</v>
      </c>
      <c r="I87" s="214">
        <v>0</v>
      </c>
      <c r="J87" s="219">
        <v>0</v>
      </c>
      <c r="K87" s="38">
        <v>25258</v>
      </c>
      <c r="L87" s="245" t="s">
        <v>1111</v>
      </c>
      <c r="M87" s="246">
        <v>2653.6</v>
      </c>
      <c r="N87" s="215"/>
      <c r="O87" s="215"/>
      <c r="P87" s="216"/>
      <c r="Q87" s="113">
        <f t="shared" si="4"/>
        <v>0</v>
      </c>
      <c r="R87" s="113">
        <f t="shared" si="5"/>
        <v>0</v>
      </c>
      <c r="S87" s="217">
        <f t="shared" si="6"/>
        <v>0</v>
      </c>
      <c r="T87" s="2"/>
    </row>
    <row r="88" spans="1:20" ht="22.5" customHeight="1" x14ac:dyDescent="0.5">
      <c r="A88" s="208">
        <v>34</v>
      </c>
      <c r="B88" s="209" t="s">
        <v>186</v>
      </c>
      <c r="C88" s="210" t="s">
        <v>187</v>
      </c>
      <c r="D88" s="211">
        <v>599.20000000000005</v>
      </c>
      <c r="E88" s="212"/>
      <c r="F88" s="212"/>
      <c r="G88" s="213"/>
      <c r="H88" s="219">
        <v>0</v>
      </c>
      <c r="I88" s="214">
        <v>0</v>
      </c>
      <c r="J88" s="219">
        <v>0</v>
      </c>
      <c r="K88" s="38">
        <v>25259</v>
      </c>
      <c r="L88" s="39" t="s">
        <v>1112</v>
      </c>
      <c r="M88" s="246">
        <v>599.20000000000005</v>
      </c>
      <c r="N88" s="247"/>
      <c r="O88" s="247"/>
      <c r="P88" s="248"/>
      <c r="Q88" s="113">
        <f t="shared" si="4"/>
        <v>0</v>
      </c>
      <c r="R88" s="113">
        <f t="shared" si="5"/>
        <v>0</v>
      </c>
      <c r="S88" s="217">
        <f t="shared" si="6"/>
        <v>0</v>
      </c>
      <c r="T88" s="2"/>
    </row>
    <row r="89" spans="1:20" ht="22.5" customHeight="1" x14ac:dyDescent="0.5">
      <c r="A89" s="208">
        <v>35</v>
      </c>
      <c r="B89" s="209" t="s">
        <v>189</v>
      </c>
      <c r="C89" s="210" t="s">
        <v>190</v>
      </c>
      <c r="D89" s="211"/>
      <c r="E89" s="212"/>
      <c r="F89" s="212"/>
      <c r="G89" s="213"/>
      <c r="H89" s="219">
        <v>0</v>
      </c>
      <c r="I89" s="214">
        <v>0</v>
      </c>
      <c r="J89" s="219">
        <v>0</v>
      </c>
      <c r="K89" s="38"/>
      <c r="L89" s="39"/>
      <c r="M89" s="246"/>
      <c r="N89" s="215"/>
      <c r="O89" s="215"/>
      <c r="P89" s="216"/>
      <c r="Q89" s="113">
        <f t="shared" si="4"/>
        <v>0</v>
      </c>
      <c r="R89" s="113">
        <f t="shared" si="5"/>
        <v>0</v>
      </c>
      <c r="S89" s="217">
        <f t="shared" si="6"/>
        <v>0</v>
      </c>
      <c r="T89" s="2"/>
    </row>
    <row r="90" spans="1:20" ht="22.5" customHeight="1" x14ac:dyDescent="0.5">
      <c r="A90" s="208"/>
      <c r="B90" s="209" t="s">
        <v>191</v>
      </c>
      <c r="C90" s="210" t="s">
        <v>190</v>
      </c>
      <c r="D90" s="211">
        <v>8132</v>
      </c>
      <c r="E90" s="212" t="s">
        <v>958</v>
      </c>
      <c r="F90" s="212" t="s">
        <v>33</v>
      </c>
      <c r="G90" s="213" t="s">
        <v>33</v>
      </c>
      <c r="H90" s="219">
        <v>11030.000000000002</v>
      </c>
      <c r="I90" s="214">
        <v>772.10000000000014</v>
      </c>
      <c r="J90" s="219">
        <v>11802.100000000002</v>
      </c>
      <c r="K90" s="38">
        <v>25258</v>
      </c>
      <c r="L90" s="39" t="s">
        <v>1113</v>
      </c>
      <c r="M90" s="246">
        <v>11802.1</v>
      </c>
      <c r="N90" s="215">
        <v>25235</v>
      </c>
      <c r="O90" s="215" t="s">
        <v>33</v>
      </c>
      <c r="P90" s="216" t="s">
        <v>33</v>
      </c>
      <c r="Q90" s="113">
        <f t="shared" si="4"/>
        <v>7600.0000000000018</v>
      </c>
      <c r="R90" s="113">
        <f t="shared" si="5"/>
        <v>532.00000000000011</v>
      </c>
      <c r="S90" s="217">
        <f t="shared" si="6"/>
        <v>8132.0000000000018</v>
      </c>
      <c r="T90" s="2"/>
    </row>
    <row r="91" spans="1:20" ht="22.5" customHeight="1" x14ac:dyDescent="0.5">
      <c r="A91" s="208">
        <v>36</v>
      </c>
      <c r="B91" s="209" t="s">
        <v>193</v>
      </c>
      <c r="C91" s="210" t="s">
        <v>194</v>
      </c>
      <c r="D91" s="211">
        <v>749</v>
      </c>
      <c r="E91" s="212" t="s">
        <v>958</v>
      </c>
      <c r="F91" s="212" t="s">
        <v>33</v>
      </c>
      <c r="G91" s="213" t="s">
        <v>33</v>
      </c>
      <c r="H91" s="219">
        <v>1590</v>
      </c>
      <c r="I91" s="214">
        <v>111.3</v>
      </c>
      <c r="J91" s="219">
        <v>1701.3</v>
      </c>
      <c r="K91" s="38">
        <v>25239</v>
      </c>
      <c r="L91" s="39" t="s">
        <v>1114</v>
      </c>
      <c r="M91" s="246">
        <v>1701.3</v>
      </c>
      <c r="N91" s="215">
        <v>25235</v>
      </c>
      <c r="O91" s="215" t="s">
        <v>33</v>
      </c>
      <c r="P91" s="216" t="s">
        <v>33</v>
      </c>
      <c r="Q91" s="113">
        <f t="shared" si="4"/>
        <v>700.00000000000023</v>
      </c>
      <c r="R91" s="113">
        <f t="shared" si="5"/>
        <v>49.000000000000014</v>
      </c>
      <c r="S91" s="217">
        <f t="shared" si="6"/>
        <v>749.00000000000023</v>
      </c>
      <c r="T91" s="2"/>
    </row>
    <row r="92" spans="1:20" ht="22.5" customHeight="1" x14ac:dyDescent="0.5">
      <c r="A92" s="208">
        <v>37</v>
      </c>
      <c r="B92" s="209" t="s">
        <v>195</v>
      </c>
      <c r="C92" s="210" t="s">
        <v>196</v>
      </c>
      <c r="D92" s="211">
        <v>674.1</v>
      </c>
      <c r="E92" s="212"/>
      <c r="F92" s="212"/>
      <c r="G92" s="213"/>
      <c r="H92" s="219">
        <v>0</v>
      </c>
      <c r="I92" s="214">
        <v>0</v>
      </c>
      <c r="J92" s="219">
        <v>0</v>
      </c>
      <c r="K92" s="38">
        <v>25260</v>
      </c>
      <c r="L92" s="245" t="s">
        <v>1115</v>
      </c>
      <c r="M92" s="246">
        <v>674.1</v>
      </c>
      <c r="N92" s="247"/>
      <c r="O92" s="247"/>
      <c r="P92" s="248"/>
      <c r="Q92" s="113">
        <f t="shared" si="4"/>
        <v>0</v>
      </c>
      <c r="R92" s="113">
        <f t="shared" si="5"/>
        <v>0</v>
      </c>
      <c r="S92" s="217">
        <f t="shared" si="6"/>
        <v>0</v>
      </c>
      <c r="T92" s="2"/>
    </row>
    <row r="93" spans="1:20" ht="22.5" customHeight="1" x14ac:dyDescent="0.5">
      <c r="A93" s="208">
        <v>38</v>
      </c>
      <c r="B93" s="209" t="s">
        <v>198</v>
      </c>
      <c r="C93" s="210" t="s">
        <v>46</v>
      </c>
      <c r="D93" s="211"/>
      <c r="E93" s="212" t="s">
        <v>958</v>
      </c>
      <c r="F93" s="212" t="s">
        <v>33</v>
      </c>
      <c r="G93" s="213" t="s">
        <v>33</v>
      </c>
      <c r="H93" s="219">
        <v>239.99999999999937</v>
      </c>
      <c r="I93" s="214">
        <v>16.799999999999958</v>
      </c>
      <c r="J93" s="219">
        <v>256.79999999999933</v>
      </c>
      <c r="K93" s="38">
        <v>25254</v>
      </c>
      <c r="L93" s="245" t="s">
        <v>1116</v>
      </c>
      <c r="M93" s="246">
        <v>256.8</v>
      </c>
      <c r="N93" s="215"/>
      <c r="O93" s="215"/>
      <c r="P93" s="216"/>
      <c r="Q93" s="113">
        <f t="shared" si="4"/>
        <v>-6.3749628628943565E-13</v>
      </c>
      <c r="R93" s="113">
        <f t="shared" si="5"/>
        <v>-4.4624740040260496E-14</v>
      </c>
      <c r="S93" s="217">
        <f t="shared" si="6"/>
        <v>-6.8212102632969618E-13</v>
      </c>
      <c r="T93" s="2"/>
    </row>
    <row r="94" spans="1:20" ht="22.5" customHeight="1" x14ac:dyDescent="0.5">
      <c r="A94" s="208"/>
      <c r="B94" s="209" t="s">
        <v>198</v>
      </c>
      <c r="C94" s="210" t="s">
        <v>567</v>
      </c>
      <c r="D94" s="211">
        <v>952.3</v>
      </c>
      <c r="E94" s="212" t="s">
        <v>958</v>
      </c>
      <c r="F94" s="212" t="s">
        <v>33</v>
      </c>
      <c r="G94" s="213" t="s">
        <v>33</v>
      </c>
      <c r="H94" s="219">
        <v>940</v>
      </c>
      <c r="I94" s="214">
        <v>65.8</v>
      </c>
      <c r="J94" s="219">
        <v>1005.8</v>
      </c>
      <c r="K94" s="38">
        <v>25254</v>
      </c>
      <c r="L94" s="245" t="s">
        <v>1116</v>
      </c>
      <c r="M94" s="246">
        <v>1005.8</v>
      </c>
      <c r="N94" s="215">
        <v>25235</v>
      </c>
      <c r="O94" s="215" t="s">
        <v>33</v>
      </c>
      <c r="P94" s="216" t="s">
        <v>33</v>
      </c>
      <c r="Q94" s="113">
        <f t="shared" si="4"/>
        <v>890</v>
      </c>
      <c r="R94" s="113">
        <f t="shared" si="5"/>
        <v>62.3</v>
      </c>
      <c r="S94" s="217">
        <f t="shared" si="6"/>
        <v>952.3</v>
      </c>
      <c r="T94" s="2"/>
    </row>
    <row r="95" spans="1:20" ht="22.5" customHeight="1" x14ac:dyDescent="0.5">
      <c r="A95" s="208">
        <v>39</v>
      </c>
      <c r="B95" s="209" t="s">
        <v>200</v>
      </c>
      <c r="C95" s="210" t="s">
        <v>201</v>
      </c>
      <c r="D95" s="211"/>
      <c r="E95" s="212" t="s">
        <v>1000</v>
      </c>
      <c r="F95" s="212" t="s">
        <v>284</v>
      </c>
      <c r="G95" s="213" t="s">
        <v>284</v>
      </c>
      <c r="H95" s="219">
        <v>17839.999999999996</v>
      </c>
      <c r="I95" s="214">
        <v>1248.7999999999997</v>
      </c>
      <c r="J95" s="219">
        <v>19088.799999999996</v>
      </c>
      <c r="K95" s="38" t="s">
        <v>1117</v>
      </c>
      <c r="L95" s="245" t="s">
        <v>1118</v>
      </c>
      <c r="M95" s="246">
        <v>6569.8</v>
      </c>
      <c r="N95" s="215">
        <v>25204</v>
      </c>
      <c r="O95" s="216" t="s">
        <v>33</v>
      </c>
      <c r="P95" s="216" t="s">
        <v>33</v>
      </c>
      <c r="Q95" s="113">
        <f t="shared" si="4"/>
        <v>11699.999999999996</v>
      </c>
      <c r="R95" s="113">
        <f t="shared" si="5"/>
        <v>818.99999999999977</v>
      </c>
      <c r="S95" s="217">
        <f t="shared" si="6"/>
        <v>12518.999999999996</v>
      </c>
      <c r="T95" s="2"/>
    </row>
    <row r="96" spans="1:20" ht="22.5" customHeight="1" x14ac:dyDescent="0.5">
      <c r="A96" s="208">
        <v>40</v>
      </c>
      <c r="B96" s="209" t="s">
        <v>203</v>
      </c>
      <c r="C96" s="210" t="s">
        <v>204</v>
      </c>
      <c r="D96" s="211">
        <v>1958.1</v>
      </c>
      <c r="E96" s="212" t="s">
        <v>958</v>
      </c>
      <c r="F96" s="212" t="s">
        <v>33</v>
      </c>
      <c r="G96" s="213" t="s">
        <v>33</v>
      </c>
      <c r="H96" s="219">
        <v>680</v>
      </c>
      <c r="I96" s="214">
        <v>47.6</v>
      </c>
      <c r="J96" s="219">
        <v>727.6</v>
      </c>
      <c r="K96" s="30">
        <v>25258</v>
      </c>
      <c r="L96" s="31" t="s">
        <v>1119</v>
      </c>
      <c r="M96" s="221">
        <v>2685.7</v>
      </c>
      <c r="N96" s="215"/>
      <c r="O96" s="215"/>
      <c r="P96" s="216"/>
      <c r="Q96" s="113">
        <f t="shared" si="4"/>
        <v>0</v>
      </c>
      <c r="R96" s="113">
        <f t="shared" si="5"/>
        <v>0</v>
      </c>
      <c r="S96" s="217">
        <f t="shared" si="6"/>
        <v>0</v>
      </c>
      <c r="T96" s="2"/>
    </row>
    <row r="97" spans="1:20" ht="22.5" customHeight="1" x14ac:dyDescent="0.5">
      <c r="A97" s="208">
        <v>41</v>
      </c>
      <c r="B97" s="209" t="s">
        <v>205</v>
      </c>
      <c r="C97" s="210" t="s">
        <v>206</v>
      </c>
      <c r="D97" s="211">
        <v>1251.9000000000001</v>
      </c>
      <c r="E97" s="212" t="s">
        <v>958</v>
      </c>
      <c r="F97" s="212" t="s">
        <v>33</v>
      </c>
      <c r="G97" s="213" t="s">
        <v>33</v>
      </c>
      <c r="H97" s="219">
        <v>1280</v>
      </c>
      <c r="I97" s="214">
        <v>89.6</v>
      </c>
      <c r="J97" s="219">
        <v>1369.6</v>
      </c>
      <c r="K97" s="30" t="s">
        <v>1120</v>
      </c>
      <c r="L97" s="249" t="s">
        <v>1121</v>
      </c>
      <c r="M97" s="221">
        <v>2621.5</v>
      </c>
      <c r="N97" s="215"/>
      <c r="O97" s="215"/>
      <c r="P97" s="216"/>
      <c r="Q97" s="113">
        <f t="shared" si="4"/>
        <v>0</v>
      </c>
      <c r="R97" s="113">
        <f t="shared" si="5"/>
        <v>0</v>
      </c>
      <c r="S97" s="217">
        <f t="shared" si="6"/>
        <v>0</v>
      </c>
      <c r="T97" s="2"/>
    </row>
    <row r="98" spans="1:20" ht="22.5" customHeight="1" x14ac:dyDescent="0.5">
      <c r="A98" s="208">
        <v>42</v>
      </c>
      <c r="B98" s="209" t="s">
        <v>208</v>
      </c>
      <c r="C98" s="210"/>
      <c r="D98" s="211">
        <v>1926</v>
      </c>
      <c r="E98" s="212" t="s">
        <v>970</v>
      </c>
      <c r="F98" s="212" t="s">
        <v>115</v>
      </c>
      <c r="G98" s="213" t="s">
        <v>115</v>
      </c>
      <c r="H98" s="219">
        <v>2619.9999999999982</v>
      </c>
      <c r="I98" s="214">
        <v>183.39999999999986</v>
      </c>
      <c r="J98" s="219">
        <v>2803.3999999999978</v>
      </c>
      <c r="K98" s="250"/>
      <c r="L98" s="251"/>
      <c r="M98" s="252"/>
      <c r="N98" s="215" t="s">
        <v>1122</v>
      </c>
      <c r="O98" s="215" t="s">
        <v>284</v>
      </c>
      <c r="P98" s="216" t="s">
        <v>284</v>
      </c>
      <c r="Q98" s="113">
        <f t="shared" si="4"/>
        <v>4419.9999999999982</v>
      </c>
      <c r="R98" s="113">
        <f t="shared" si="5"/>
        <v>309.39999999999986</v>
      </c>
      <c r="S98" s="217">
        <f t="shared" si="6"/>
        <v>4729.3999999999978</v>
      </c>
      <c r="T98" s="2"/>
    </row>
    <row r="99" spans="1:20" ht="22.5" customHeight="1" x14ac:dyDescent="0.5">
      <c r="A99" s="208">
        <v>43</v>
      </c>
      <c r="B99" s="209" t="s">
        <v>210</v>
      </c>
      <c r="C99" s="210" t="s">
        <v>211</v>
      </c>
      <c r="D99" s="211">
        <v>8731.2000000000007</v>
      </c>
      <c r="E99" s="212" t="s">
        <v>958</v>
      </c>
      <c r="F99" s="212" t="s">
        <v>33</v>
      </c>
      <c r="G99" s="213" t="s">
        <v>33</v>
      </c>
      <c r="H99" s="219">
        <v>9770.0000000000018</v>
      </c>
      <c r="I99" s="214">
        <v>683.9000000000002</v>
      </c>
      <c r="J99" s="219">
        <v>10453.900000000001</v>
      </c>
      <c r="K99" s="38">
        <v>25253</v>
      </c>
      <c r="L99" s="39" t="s">
        <v>1123</v>
      </c>
      <c r="M99" s="246">
        <v>10453.9</v>
      </c>
      <c r="N99" s="239">
        <v>25235</v>
      </c>
      <c r="O99" s="239" t="s">
        <v>33</v>
      </c>
      <c r="P99" s="236" t="s">
        <v>33</v>
      </c>
      <c r="Q99" s="113">
        <f t="shared" si="4"/>
        <v>8160.0000000000027</v>
      </c>
      <c r="R99" s="113">
        <f t="shared" si="5"/>
        <v>571.20000000000016</v>
      </c>
      <c r="S99" s="217">
        <f t="shared" si="6"/>
        <v>8731.2000000000025</v>
      </c>
      <c r="T99" s="2"/>
    </row>
    <row r="100" spans="1:20" ht="22.5" customHeight="1" x14ac:dyDescent="0.5">
      <c r="A100" s="208">
        <v>44</v>
      </c>
      <c r="B100" s="209" t="s">
        <v>212</v>
      </c>
      <c r="C100" s="210" t="s">
        <v>213</v>
      </c>
      <c r="D100" s="211"/>
      <c r="E100" s="212"/>
      <c r="F100" s="212"/>
      <c r="G100" s="213"/>
      <c r="H100" s="219">
        <v>0</v>
      </c>
      <c r="I100" s="214">
        <v>0</v>
      </c>
      <c r="J100" s="219">
        <v>0</v>
      </c>
      <c r="K100" s="38"/>
      <c r="L100" s="39"/>
      <c r="M100" s="246"/>
      <c r="N100" s="239"/>
      <c r="O100" s="239"/>
      <c r="P100" s="236"/>
      <c r="Q100" s="113">
        <f t="shared" si="4"/>
        <v>0</v>
      </c>
      <c r="R100" s="113">
        <f t="shared" si="5"/>
        <v>0</v>
      </c>
      <c r="S100" s="217">
        <f t="shared" si="6"/>
        <v>0</v>
      </c>
      <c r="T100" s="2"/>
    </row>
    <row r="101" spans="1:20" ht="22.5" customHeight="1" x14ac:dyDescent="0.5">
      <c r="A101" s="208">
        <v>45</v>
      </c>
      <c r="B101" s="209" t="s">
        <v>214</v>
      </c>
      <c r="C101" s="210" t="s">
        <v>215</v>
      </c>
      <c r="D101" s="211">
        <v>1241.2</v>
      </c>
      <c r="E101" s="212"/>
      <c r="F101" s="212"/>
      <c r="G101" s="213"/>
      <c r="H101" s="219">
        <v>0</v>
      </c>
      <c r="I101" s="214">
        <v>0</v>
      </c>
      <c r="J101" s="219">
        <v>0</v>
      </c>
      <c r="K101" s="38">
        <v>25259</v>
      </c>
      <c r="L101" s="39" t="s">
        <v>1124</v>
      </c>
      <c r="M101" s="246">
        <v>1241.2</v>
      </c>
      <c r="N101" s="239"/>
      <c r="O101" s="239"/>
      <c r="P101" s="236"/>
      <c r="Q101" s="113">
        <f t="shared" si="4"/>
        <v>0</v>
      </c>
      <c r="R101" s="113">
        <f t="shared" si="5"/>
        <v>0</v>
      </c>
      <c r="S101" s="217">
        <f t="shared" si="6"/>
        <v>0</v>
      </c>
      <c r="T101" s="2"/>
    </row>
    <row r="102" spans="1:20" ht="22.5" customHeight="1" x14ac:dyDescent="0.5">
      <c r="A102" s="253">
        <v>46</v>
      </c>
      <c r="B102" s="254" t="s">
        <v>217</v>
      </c>
      <c r="C102" s="238" t="s">
        <v>218</v>
      </c>
      <c r="D102" s="211">
        <v>2022.3</v>
      </c>
      <c r="E102" s="167"/>
      <c r="F102" s="167"/>
      <c r="G102" s="168"/>
      <c r="H102" s="255">
        <v>0</v>
      </c>
      <c r="I102" s="256">
        <v>0</v>
      </c>
      <c r="J102" s="255">
        <v>0</v>
      </c>
      <c r="K102" s="38"/>
      <c r="L102" s="245"/>
      <c r="M102" s="246"/>
      <c r="N102" s="239">
        <v>25235</v>
      </c>
      <c r="O102" s="239" t="s">
        <v>33</v>
      </c>
      <c r="P102" s="236" t="s">
        <v>33</v>
      </c>
      <c r="Q102" s="113">
        <f t="shared" si="4"/>
        <v>1890</v>
      </c>
      <c r="R102" s="113">
        <f t="shared" si="5"/>
        <v>132.30000000000001</v>
      </c>
      <c r="S102" s="217">
        <f t="shared" si="6"/>
        <v>2022.3</v>
      </c>
      <c r="T102" s="2"/>
    </row>
    <row r="103" spans="1:20" ht="22.5" customHeight="1" x14ac:dyDescent="0.5">
      <c r="A103" s="235">
        <v>47</v>
      </c>
      <c r="B103" s="257" t="s">
        <v>220</v>
      </c>
      <c r="C103" s="257" t="s">
        <v>221</v>
      </c>
      <c r="D103" s="211"/>
      <c r="E103" s="212"/>
      <c r="F103" s="212"/>
      <c r="G103" s="213"/>
      <c r="H103" s="219">
        <v>0</v>
      </c>
      <c r="I103" s="214">
        <v>0</v>
      </c>
      <c r="J103" s="258">
        <v>0</v>
      </c>
      <c r="K103" s="38"/>
      <c r="L103" s="39"/>
      <c r="M103" s="246"/>
      <c r="N103" s="239"/>
      <c r="O103" s="239"/>
      <c r="P103" s="236"/>
      <c r="Q103" s="113">
        <f t="shared" si="4"/>
        <v>0</v>
      </c>
      <c r="R103" s="113">
        <f t="shared" si="5"/>
        <v>0</v>
      </c>
      <c r="S103" s="217">
        <f t="shared" si="6"/>
        <v>0</v>
      </c>
      <c r="T103" s="2"/>
    </row>
    <row r="104" spans="1:20" ht="22.5" customHeight="1" x14ac:dyDescent="0.5">
      <c r="A104" s="260">
        <v>48</v>
      </c>
      <c r="B104" s="261" t="s">
        <v>222</v>
      </c>
      <c r="C104" s="261" t="s">
        <v>223</v>
      </c>
      <c r="D104" s="262"/>
      <c r="E104" s="212"/>
      <c r="F104" s="212"/>
      <c r="G104" s="213"/>
      <c r="H104" s="219">
        <v>0</v>
      </c>
      <c r="I104" s="214">
        <v>0</v>
      </c>
      <c r="J104" s="258">
        <v>0</v>
      </c>
      <c r="K104" s="38"/>
      <c r="L104" s="39"/>
      <c r="M104" s="246"/>
      <c r="N104" s="215"/>
      <c r="O104" s="215"/>
      <c r="P104" s="216"/>
      <c r="Q104" s="113">
        <f t="shared" si="4"/>
        <v>0</v>
      </c>
      <c r="R104" s="113">
        <f t="shared" si="5"/>
        <v>0</v>
      </c>
      <c r="S104" s="217">
        <f t="shared" si="6"/>
        <v>0</v>
      </c>
      <c r="T104" s="2"/>
    </row>
    <row r="105" spans="1:20" ht="22.5" customHeight="1" x14ac:dyDescent="0.5">
      <c r="A105" s="260">
        <v>49</v>
      </c>
      <c r="B105" s="261" t="s">
        <v>224</v>
      </c>
      <c r="C105" s="261" t="s">
        <v>225</v>
      </c>
      <c r="D105" s="263">
        <v>353.1</v>
      </c>
      <c r="E105" s="212"/>
      <c r="F105" s="212"/>
      <c r="G105" s="213"/>
      <c r="H105" s="219">
        <v>0</v>
      </c>
      <c r="I105" s="214">
        <v>0</v>
      </c>
      <c r="J105" s="258">
        <v>0</v>
      </c>
      <c r="K105" s="38"/>
      <c r="L105" s="245"/>
      <c r="M105" s="246"/>
      <c r="N105" s="215">
        <v>25235</v>
      </c>
      <c r="O105" s="215" t="s">
        <v>33</v>
      </c>
      <c r="P105" s="216" t="s">
        <v>33</v>
      </c>
      <c r="Q105" s="113">
        <f t="shared" si="4"/>
        <v>330</v>
      </c>
      <c r="R105" s="113">
        <f t="shared" si="5"/>
        <v>23.1</v>
      </c>
      <c r="S105" s="217">
        <f t="shared" si="6"/>
        <v>353.1</v>
      </c>
      <c r="T105" s="2"/>
    </row>
    <row r="106" spans="1:20" ht="22.5" customHeight="1" x14ac:dyDescent="0.5">
      <c r="A106" s="264">
        <v>50</v>
      </c>
      <c r="B106" s="265" t="s">
        <v>226</v>
      </c>
      <c r="C106" s="265" t="s">
        <v>227</v>
      </c>
      <c r="D106" s="266">
        <v>3584.5</v>
      </c>
      <c r="E106" s="267" t="s">
        <v>958</v>
      </c>
      <c r="F106" s="267" t="s">
        <v>33</v>
      </c>
      <c r="G106" s="168" t="s">
        <v>33</v>
      </c>
      <c r="H106" s="255">
        <v>7030</v>
      </c>
      <c r="I106" s="256">
        <v>492.1</v>
      </c>
      <c r="J106" s="268">
        <v>7522.1</v>
      </c>
      <c r="K106" s="38">
        <v>25236</v>
      </c>
      <c r="L106" s="245" t="s">
        <v>1125</v>
      </c>
      <c r="M106" s="246">
        <v>7522.1</v>
      </c>
      <c r="N106" s="215">
        <v>25235</v>
      </c>
      <c r="O106" s="215" t="s">
        <v>33</v>
      </c>
      <c r="P106" s="216" t="s">
        <v>33</v>
      </c>
      <c r="Q106" s="113">
        <f>SUM(S106-R106)</f>
        <v>3350</v>
      </c>
      <c r="R106" s="113">
        <f t="shared" si="5"/>
        <v>234.5</v>
      </c>
      <c r="S106" s="217">
        <f>SUM(D106+J106-M106)</f>
        <v>3584.5</v>
      </c>
      <c r="T106" s="2"/>
    </row>
    <row r="107" spans="1:20" ht="22.5" customHeight="1" x14ac:dyDescent="0.5">
      <c r="A107" s="264">
        <v>51</v>
      </c>
      <c r="B107" s="265" t="s">
        <v>229</v>
      </c>
      <c r="C107" s="265" t="s">
        <v>230</v>
      </c>
      <c r="D107" s="266">
        <v>8870.2999999999993</v>
      </c>
      <c r="E107" s="267"/>
      <c r="F107" s="267"/>
      <c r="G107" s="168"/>
      <c r="H107" s="255">
        <v>0</v>
      </c>
      <c r="I107" s="256">
        <v>0</v>
      </c>
      <c r="J107" s="271">
        <v>0</v>
      </c>
      <c r="K107" s="101"/>
      <c r="L107" s="102"/>
      <c r="M107" s="272"/>
      <c r="N107" s="273">
        <v>25235</v>
      </c>
      <c r="O107" s="273" t="s">
        <v>33</v>
      </c>
      <c r="P107" s="274" t="s">
        <v>33</v>
      </c>
      <c r="Q107" s="113">
        <f t="shared" si="4"/>
        <v>8290</v>
      </c>
      <c r="R107" s="113">
        <f t="shared" si="5"/>
        <v>580.29999999999995</v>
      </c>
      <c r="S107" s="217">
        <f t="shared" si="6"/>
        <v>8870.2999999999993</v>
      </c>
      <c r="T107" s="2"/>
    </row>
    <row r="108" spans="1:20" ht="22.5" customHeight="1" x14ac:dyDescent="0.5">
      <c r="A108" s="264">
        <v>52</v>
      </c>
      <c r="B108" s="265" t="s">
        <v>566</v>
      </c>
      <c r="C108" s="265" t="s">
        <v>567</v>
      </c>
      <c r="D108" s="266">
        <v>3038.8</v>
      </c>
      <c r="E108" s="267"/>
      <c r="F108" s="267"/>
      <c r="G108" s="168"/>
      <c r="H108" s="255">
        <v>0</v>
      </c>
      <c r="I108" s="256">
        <v>0</v>
      </c>
      <c r="J108" s="268">
        <v>0</v>
      </c>
      <c r="K108" s="672">
        <v>25258</v>
      </c>
      <c r="L108" s="673" t="s">
        <v>1126</v>
      </c>
      <c r="M108" s="674">
        <v>3038.8</v>
      </c>
      <c r="N108" s="675"/>
      <c r="O108" s="675"/>
      <c r="P108" s="676"/>
      <c r="Q108" s="113">
        <f t="shared" si="4"/>
        <v>0</v>
      </c>
      <c r="R108" s="113">
        <f t="shared" si="5"/>
        <v>0</v>
      </c>
      <c r="S108" s="217">
        <f t="shared" si="6"/>
        <v>0</v>
      </c>
      <c r="T108" s="2"/>
    </row>
    <row r="109" spans="1:20" ht="22.5" customHeight="1" x14ac:dyDescent="0.5">
      <c r="A109" s="264"/>
      <c r="B109" s="265" t="s">
        <v>568</v>
      </c>
      <c r="C109" s="265" t="s">
        <v>567</v>
      </c>
      <c r="D109" s="266">
        <v>2107.9</v>
      </c>
      <c r="E109" s="267"/>
      <c r="F109" s="267"/>
      <c r="G109" s="168"/>
      <c r="H109" s="255">
        <v>0</v>
      </c>
      <c r="I109" s="256">
        <v>0</v>
      </c>
      <c r="J109" s="677">
        <v>0</v>
      </c>
      <c r="K109" s="678">
        <v>25258</v>
      </c>
      <c r="L109" s="679" t="s">
        <v>1126</v>
      </c>
      <c r="M109" s="680">
        <v>2107.9</v>
      </c>
      <c r="N109" s="681"/>
      <c r="O109" s="681"/>
      <c r="P109" s="682"/>
      <c r="Q109" s="113">
        <f t="shared" si="4"/>
        <v>0</v>
      </c>
      <c r="R109" s="113">
        <f t="shared" si="5"/>
        <v>0</v>
      </c>
      <c r="S109" s="217">
        <f t="shared" si="6"/>
        <v>0</v>
      </c>
      <c r="T109" s="2"/>
    </row>
    <row r="110" spans="1:20" ht="22.5" customHeight="1" x14ac:dyDescent="0.5">
      <c r="A110" s="269">
        <v>53</v>
      </c>
      <c r="B110" s="265" t="s">
        <v>705</v>
      </c>
      <c r="C110" s="794"/>
      <c r="D110" s="266">
        <v>930.9</v>
      </c>
      <c r="E110" s="267"/>
      <c r="F110" s="267"/>
      <c r="G110" s="168"/>
      <c r="H110" s="255"/>
      <c r="I110" s="256"/>
      <c r="J110" s="268"/>
      <c r="K110" s="672">
        <v>25259</v>
      </c>
      <c r="L110" s="673" t="s">
        <v>1127</v>
      </c>
      <c r="M110" s="674">
        <v>930.9</v>
      </c>
      <c r="N110" s="675"/>
      <c r="O110" s="675"/>
      <c r="P110" s="776"/>
      <c r="Q110" s="113">
        <f>SUM(S110-R110)</f>
        <v>0</v>
      </c>
      <c r="R110" s="113">
        <f>SUM(S110*7/107)</f>
        <v>0</v>
      </c>
      <c r="S110" s="217">
        <f>SUM(D110+J110-M110)</f>
        <v>0</v>
      </c>
      <c r="T110" s="2"/>
    </row>
    <row r="111" spans="1:20" s="60" customFormat="1" ht="22.5" customHeight="1" thickBot="1" x14ac:dyDescent="0.35">
      <c r="A111" s="278"/>
      <c r="B111" s="278" t="s">
        <v>15</v>
      </c>
      <c r="C111" s="279"/>
      <c r="D111" s="280">
        <f>SUM(D44:D110)</f>
        <v>240332.7</v>
      </c>
      <c r="E111" s="281"/>
      <c r="F111" s="281"/>
      <c r="G111" s="282"/>
      <c r="H111" s="280">
        <f>SUM(H44:H110)</f>
        <v>123070</v>
      </c>
      <c r="I111" s="280">
        <f>SUM(I44:I110)</f>
        <v>8614.9</v>
      </c>
      <c r="J111" s="280">
        <f>SUM(J44:J110)</f>
        <v>131684.9</v>
      </c>
      <c r="K111" s="280"/>
      <c r="L111" s="280">
        <f>SUM(L44:L109)</f>
        <v>0</v>
      </c>
      <c r="M111" s="280">
        <f>SUM(M44:M110)</f>
        <v>177908.89999999997</v>
      </c>
      <c r="N111" s="280"/>
      <c r="O111" s="280"/>
      <c r="P111" s="280">
        <f>SUM(P44:P109)</f>
        <v>0</v>
      </c>
      <c r="Q111" s="280">
        <f>SUM(Q44:Q110)</f>
        <v>181410</v>
      </c>
      <c r="R111" s="280">
        <f>SUM(R44:R110)</f>
        <v>12698.699999999999</v>
      </c>
      <c r="S111" s="280">
        <f>SUM(S44:S110)</f>
        <v>194108.69999999995</v>
      </c>
      <c r="T111" s="59"/>
    </row>
    <row r="112" spans="1:20" ht="22.5" customHeight="1" thickTop="1" x14ac:dyDescent="0.3">
      <c r="A112" s="61"/>
      <c r="B112" s="121" t="s">
        <v>232</v>
      </c>
      <c r="C112" s="63"/>
      <c r="D112" s="64"/>
      <c r="E112" s="65"/>
      <c r="F112" s="65"/>
      <c r="G112" s="66"/>
      <c r="H112" s="67"/>
      <c r="I112" s="67"/>
      <c r="J112" s="67"/>
      <c r="K112" s="286"/>
      <c r="L112" s="287"/>
      <c r="M112" s="288"/>
      <c r="N112" s="69"/>
      <c r="O112" s="69"/>
      <c r="P112" s="70"/>
      <c r="Q112" s="71"/>
      <c r="R112" s="71"/>
      <c r="S112" s="289"/>
      <c r="T112" s="2"/>
    </row>
    <row r="113" spans="1:20" ht="22.5" customHeight="1" x14ac:dyDescent="0.5">
      <c r="A113" s="290"/>
      <c r="B113" s="291" t="s">
        <v>233</v>
      </c>
      <c r="C113" s="292"/>
      <c r="D113" s="293"/>
      <c r="E113" s="212"/>
      <c r="F113" s="212"/>
      <c r="G113" s="213"/>
      <c r="H113" s="219"/>
      <c r="I113" s="219"/>
      <c r="J113" s="219"/>
      <c r="K113" s="294"/>
      <c r="L113" s="295"/>
      <c r="M113" s="296"/>
      <c r="N113" s="41"/>
      <c r="O113" s="41"/>
      <c r="P113" s="34"/>
      <c r="Q113" s="114"/>
      <c r="R113" s="114"/>
      <c r="S113" s="36"/>
      <c r="T113" s="2"/>
    </row>
    <row r="114" spans="1:20" ht="22.5" customHeight="1" x14ac:dyDescent="0.5">
      <c r="A114" s="23">
        <v>1</v>
      </c>
      <c r="B114" s="73" t="s">
        <v>234</v>
      </c>
      <c r="C114" s="25" t="s">
        <v>235</v>
      </c>
      <c r="D114" s="43">
        <v>9450</v>
      </c>
      <c r="E114" s="212"/>
      <c r="F114" s="212"/>
      <c r="G114" s="213"/>
      <c r="H114" s="219">
        <v>0</v>
      </c>
      <c r="I114" s="219">
        <v>0</v>
      </c>
      <c r="J114" s="219">
        <v>0</v>
      </c>
      <c r="K114" s="30">
        <v>25245</v>
      </c>
      <c r="L114" s="31" t="s">
        <v>1128</v>
      </c>
      <c r="M114" s="32">
        <v>9450</v>
      </c>
      <c r="N114" s="215"/>
      <c r="O114" s="215"/>
      <c r="P114" s="216"/>
      <c r="Q114" s="114">
        <f>SUM(D114+J114-M114)</f>
        <v>0</v>
      </c>
      <c r="R114" s="114">
        <v>0</v>
      </c>
      <c r="S114" s="36">
        <f>SUM(Q114)</f>
        <v>0</v>
      </c>
      <c r="T114" s="2"/>
    </row>
    <row r="115" spans="1:20" ht="22.5" customHeight="1" x14ac:dyDescent="0.5">
      <c r="A115" s="23">
        <v>2</v>
      </c>
      <c r="B115" s="73" t="s">
        <v>237</v>
      </c>
      <c r="C115" s="25" t="s">
        <v>238</v>
      </c>
      <c r="D115" s="43">
        <v>3150</v>
      </c>
      <c r="E115" s="212"/>
      <c r="F115" s="212"/>
      <c r="G115" s="213"/>
      <c r="H115" s="219">
        <v>0</v>
      </c>
      <c r="I115" s="219">
        <v>0</v>
      </c>
      <c r="J115" s="219">
        <v>0</v>
      </c>
      <c r="K115" s="30">
        <v>25245</v>
      </c>
      <c r="L115" s="31" t="s">
        <v>1129</v>
      </c>
      <c r="M115" s="32">
        <v>3150</v>
      </c>
      <c r="N115" s="215"/>
      <c r="O115" s="215"/>
      <c r="P115" s="216"/>
      <c r="Q115" s="114">
        <f t="shared" ref="Q115:Q154" si="7">SUM(D115+J115-M115)</f>
        <v>0</v>
      </c>
      <c r="R115" s="114">
        <v>0</v>
      </c>
      <c r="S115" s="36">
        <f t="shared" ref="S115:S154" si="8">SUM(Q115)</f>
        <v>0</v>
      </c>
      <c r="T115" s="2"/>
    </row>
    <row r="116" spans="1:20" ht="22.5" customHeight="1" x14ac:dyDescent="0.5">
      <c r="A116" s="23">
        <v>3</v>
      </c>
      <c r="B116" s="73" t="s">
        <v>240</v>
      </c>
      <c r="C116" s="25" t="s">
        <v>241</v>
      </c>
      <c r="D116" s="43">
        <v>15750</v>
      </c>
      <c r="E116" s="212"/>
      <c r="F116" s="212"/>
      <c r="G116" s="213"/>
      <c r="H116" s="219">
        <v>0</v>
      </c>
      <c r="I116" s="219">
        <v>0</v>
      </c>
      <c r="J116" s="219">
        <v>0</v>
      </c>
      <c r="K116" s="30"/>
      <c r="L116" s="31"/>
      <c r="M116" s="32"/>
      <c r="N116" s="297" t="s">
        <v>1153</v>
      </c>
      <c r="O116" s="297" t="s">
        <v>33</v>
      </c>
      <c r="P116" s="216" t="s">
        <v>33</v>
      </c>
      <c r="Q116" s="114">
        <f t="shared" si="7"/>
        <v>15750</v>
      </c>
      <c r="R116" s="114">
        <v>0</v>
      </c>
      <c r="S116" s="36">
        <f t="shared" si="8"/>
        <v>15750</v>
      </c>
      <c r="T116" s="2"/>
    </row>
    <row r="117" spans="1:20" ht="22.5" customHeight="1" x14ac:dyDescent="0.5">
      <c r="A117" s="23">
        <v>4</v>
      </c>
      <c r="B117" s="73" t="s">
        <v>240</v>
      </c>
      <c r="C117" s="25" t="s">
        <v>242</v>
      </c>
      <c r="D117" s="43">
        <v>6300</v>
      </c>
      <c r="E117" s="212"/>
      <c r="F117" s="212"/>
      <c r="G117" s="213"/>
      <c r="H117" s="219">
        <v>0</v>
      </c>
      <c r="I117" s="219">
        <v>0</v>
      </c>
      <c r="J117" s="219">
        <v>0</v>
      </c>
      <c r="K117" s="30"/>
      <c r="L117" s="31"/>
      <c r="M117" s="32"/>
      <c r="N117" s="297" t="s">
        <v>1153</v>
      </c>
      <c r="O117" s="297" t="s">
        <v>33</v>
      </c>
      <c r="P117" s="216" t="s">
        <v>33</v>
      </c>
      <c r="Q117" s="114">
        <f t="shared" si="7"/>
        <v>6300</v>
      </c>
      <c r="R117" s="114">
        <v>0</v>
      </c>
      <c r="S117" s="36">
        <f t="shared" si="8"/>
        <v>6300</v>
      </c>
      <c r="T117" s="2"/>
    </row>
    <row r="118" spans="1:20" ht="22.5" customHeight="1" x14ac:dyDescent="0.5">
      <c r="A118" s="23">
        <v>5</v>
      </c>
      <c r="B118" s="73" t="s">
        <v>198</v>
      </c>
      <c r="C118" s="25" t="s">
        <v>243</v>
      </c>
      <c r="D118" s="43">
        <v>22050</v>
      </c>
      <c r="E118" s="212"/>
      <c r="F118" s="212"/>
      <c r="G118" s="213"/>
      <c r="H118" s="219">
        <v>0</v>
      </c>
      <c r="I118" s="219">
        <v>0</v>
      </c>
      <c r="J118" s="219">
        <v>0</v>
      </c>
      <c r="K118" s="30">
        <v>25254</v>
      </c>
      <c r="L118" s="31" t="s">
        <v>1130</v>
      </c>
      <c r="M118" s="32">
        <v>22050</v>
      </c>
      <c r="N118" s="297"/>
      <c r="O118" s="297"/>
      <c r="P118" s="216"/>
      <c r="Q118" s="114">
        <f t="shared" si="7"/>
        <v>0</v>
      </c>
      <c r="R118" s="114">
        <v>0</v>
      </c>
      <c r="S118" s="36">
        <f t="shared" si="8"/>
        <v>0</v>
      </c>
      <c r="T118" s="2"/>
    </row>
    <row r="119" spans="1:20" ht="22.5" customHeight="1" x14ac:dyDescent="0.5">
      <c r="A119" s="23">
        <v>6</v>
      </c>
      <c r="B119" s="73" t="s">
        <v>245</v>
      </c>
      <c r="C119" s="25" t="s">
        <v>246</v>
      </c>
      <c r="D119" s="43">
        <v>9450</v>
      </c>
      <c r="E119" s="212"/>
      <c r="F119" s="212"/>
      <c r="G119" s="213"/>
      <c r="H119" s="219">
        <v>0</v>
      </c>
      <c r="I119" s="219">
        <v>0</v>
      </c>
      <c r="J119" s="219">
        <v>0</v>
      </c>
      <c r="K119" s="30">
        <v>25240</v>
      </c>
      <c r="L119" s="31" t="s">
        <v>1131</v>
      </c>
      <c r="M119" s="32">
        <v>9450</v>
      </c>
      <c r="N119" s="297"/>
      <c r="O119" s="297"/>
      <c r="P119" s="216"/>
      <c r="Q119" s="114">
        <f t="shared" si="7"/>
        <v>0</v>
      </c>
      <c r="R119" s="114">
        <v>0</v>
      </c>
      <c r="S119" s="36">
        <f t="shared" si="8"/>
        <v>0</v>
      </c>
      <c r="T119" s="2"/>
    </row>
    <row r="120" spans="1:20" ht="22.5" customHeight="1" x14ac:dyDescent="0.5">
      <c r="A120" s="23">
        <v>7</v>
      </c>
      <c r="B120" s="73" t="s">
        <v>248</v>
      </c>
      <c r="C120" s="25" t="s">
        <v>249</v>
      </c>
      <c r="D120" s="43">
        <v>6300</v>
      </c>
      <c r="E120" s="212" t="s">
        <v>958</v>
      </c>
      <c r="F120" s="212" t="s">
        <v>33</v>
      </c>
      <c r="G120" s="213" t="s">
        <v>33</v>
      </c>
      <c r="H120" s="219">
        <v>6300</v>
      </c>
      <c r="I120" s="219">
        <v>0</v>
      </c>
      <c r="J120" s="219">
        <v>6300</v>
      </c>
      <c r="K120" s="30"/>
      <c r="L120" s="31"/>
      <c r="M120" s="32"/>
      <c r="N120" s="215" t="s">
        <v>1105</v>
      </c>
      <c r="O120" s="215" t="s">
        <v>115</v>
      </c>
      <c r="P120" s="216" t="s">
        <v>115</v>
      </c>
      <c r="Q120" s="114">
        <f t="shared" si="7"/>
        <v>12600</v>
      </c>
      <c r="R120" s="114">
        <v>0</v>
      </c>
      <c r="S120" s="36">
        <f t="shared" si="8"/>
        <v>12600</v>
      </c>
      <c r="T120" s="2"/>
    </row>
    <row r="121" spans="1:20" ht="22.5" customHeight="1" x14ac:dyDescent="0.5">
      <c r="A121" s="208">
        <v>8</v>
      </c>
      <c r="B121" s="209" t="s">
        <v>250</v>
      </c>
      <c r="C121" s="210" t="s">
        <v>251</v>
      </c>
      <c r="D121" s="298">
        <v>6300</v>
      </c>
      <c r="E121" s="299" t="s">
        <v>958</v>
      </c>
      <c r="F121" s="299" t="s">
        <v>33</v>
      </c>
      <c r="G121" s="300" t="s">
        <v>33</v>
      </c>
      <c r="H121" s="214">
        <v>6300</v>
      </c>
      <c r="I121" s="219">
        <v>0</v>
      </c>
      <c r="J121" s="219">
        <v>6300</v>
      </c>
      <c r="K121" s="30">
        <v>25246</v>
      </c>
      <c r="L121" s="31" t="s">
        <v>1132</v>
      </c>
      <c r="M121" s="32">
        <v>6300</v>
      </c>
      <c r="N121" s="215" t="s">
        <v>1153</v>
      </c>
      <c r="O121" s="215" t="s">
        <v>33</v>
      </c>
      <c r="P121" s="216" t="s">
        <v>33</v>
      </c>
      <c r="Q121" s="114">
        <f t="shared" si="7"/>
        <v>6300</v>
      </c>
      <c r="R121" s="114">
        <v>0</v>
      </c>
      <c r="S121" s="36">
        <f t="shared" si="8"/>
        <v>6300</v>
      </c>
      <c r="T121" s="218"/>
    </row>
    <row r="122" spans="1:20" ht="22.5" customHeight="1" x14ac:dyDescent="0.5">
      <c r="A122" s="23">
        <v>9</v>
      </c>
      <c r="B122" s="73" t="s">
        <v>253</v>
      </c>
      <c r="C122" s="25" t="s">
        <v>254</v>
      </c>
      <c r="D122" s="43">
        <v>9450</v>
      </c>
      <c r="E122" s="212"/>
      <c r="F122" s="212"/>
      <c r="G122" s="213"/>
      <c r="H122" s="219">
        <v>0</v>
      </c>
      <c r="I122" s="219">
        <v>0</v>
      </c>
      <c r="J122" s="219">
        <v>0</v>
      </c>
      <c r="K122" s="30">
        <v>25258</v>
      </c>
      <c r="L122" s="31" t="s">
        <v>1133</v>
      </c>
      <c r="M122" s="32">
        <v>9450</v>
      </c>
      <c r="N122" s="215"/>
      <c r="O122" s="215"/>
      <c r="P122" s="216"/>
      <c r="Q122" s="114">
        <f t="shared" si="7"/>
        <v>0</v>
      </c>
      <c r="R122" s="114">
        <v>0</v>
      </c>
      <c r="S122" s="36">
        <f t="shared" si="8"/>
        <v>0</v>
      </c>
    </row>
    <row r="123" spans="1:20" ht="22.5" customHeight="1" x14ac:dyDescent="0.5">
      <c r="A123" s="23"/>
      <c r="B123" s="301" t="s">
        <v>256</v>
      </c>
      <c r="C123" s="25"/>
      <c r="D123" s="43"/>
      <c r="E123" s="302"/>
      <c r="F123" s="302"/>
      <c r="G123" s="303"/>
      <c r="H123" s="304">
        <v>0</v>
      </c>
      <c r="I123" s="304">
        <v>0</v>
      </c>
      <c r="J123" s="304">
        <v>0</v>
      </c>
      <c r="K123" s="30"/>
      <c r="L123" s="31"/>
      <c r="M123" s="32"/>
      <c r="N123" s="297"/>
      <c r="O123" s="297"/>
      <c r="P123" s="216"/>
      <c r="Q123" s="114">
        <f t="shared" si="7"/>
        <v>0</v>
      </c>
      <c r="R123" s="114">
        <v>0</v>
      </c>
      <c r="S123" s="36">
        <f t="shared" si="8"/>
        <v>0</v>
      </c>
    </row>
    <row r="124" spans="1:20" ht="22.5" customHeight="1" x14ac:dyDescent="0.5">
      <c r="A124" s="23">
        <v>10</v>
      </c>
      <c r="B124" s="73" t="s">
        <v>257</v>
      </c>
      <c r="C124" s="25" t="s">
        <v>258</v>
      </c>
      <c r="D124" s="43">
        <v>5600</v>
      </c>
      <c r="E124" s="212"/>
      <c r="F124" s="212"/>
      <c r="G124" s="213"/>
      <c r="H124" s="219">
        <v>0</v>
      </c>
      <c r="I124" s="219">
        <v>0</v>
      </c>
      <c r="J124" s="219">
        <v>0</v>
      </c>
      <c r="K124" s="30">
        <v>25240</v>
      </c>
      <c r="L124" s="31" t="s">
        <v>1134</v>
      </c>
      <c r="M124" s="32">
        <v>5600</v>
      </c>
      <c r="N124" s="297"/>
      <c r="O124" s="297"/>
      <c r="P124" s="216"/>
      <c r="Q124" s="114">
        <f t="shared" si="7"/>
        <v>0</v>
      </c>
      <c r="R124" s="114">
        <v>0</v>
      </c>
      <c r="S124" s="36">
        <f t="shared" si="8"/>
        <v>0</v>
      </c>
    </row>
    <row r="125" spans="1:20" ht="22.5" customHeight="1" x14ac:dyDescent="0.5">
      <c r="A125" s="23">
        <v>11</v>
      </c>
      <c r="B125" s="73" t="s">
        <v>198</v>
      </c>
      <c r="C125" s="25" t="s">
        <v>260</v>
      </c>
      <c r="D125" s="43">
        <v>2800</v>
      </c>
      <c r="E125" s="212"/>
      <c r="F125" s="212"/>
      <c r="G125" s="213"/>
      <c r="H125" s="219">
        <v>0</v>
      </c>
      <c r="I125" s="219">
        <v>0</v>
      </c>
      <c r="J125" s="219">
        <v>0</v>
      </c>
      <c r="K125" s="30">
        <v>25254</v>
      </c>
      <c r="L125" s="31" t="s">
        <v>1130</v>
      </c>
      <c r="M125" s="32">
        <v>2800</v>
      </c>
      <c r="N125" s="297"/>
      <c r="O125" s="297"/>
      <c r="P125" s="216"/>
      <c r="Q125" s="114">
        <f t="shared" si="7"/>
        <v>0</v>
      </c>
      <c r="R125" s="114">
        <v>0</v>
      </c>
      <c r="S125" s="36">
        <f t="shared" si="8"/>
        <v>0</v>
      </c>
    </row>
    <row r="126" spans="1:20" ht="22.5" customHeight="1" x14ac:dyDescent="0.5">
      <c r="A126" s="23">
        <v>12</v>
      </c>
      <c r="B126" s="73" t="s">
        <v>261</v>
      </c>
      <c r="C126" s="25" t="s">
        <v>262</v>
      </c>
      <c r="D126" s="43">
        <v>5600</v>
      </c>
      <c r="E126" s="212"/>
      <c r="F126" s="212"/>
      <c r="G126" s="213"/>
      <c r="H126" s="219">
        <v>0</v>
      </c>
      <c r="I126" s="219">
        <v>0</v>
      </c>
      <c r="J126" s="219">
        <v>0</v>
      </c>
      <c r="K126" s="30">
        <v>25243</v>
      </c>
      <c r="L126" s="31" t="s">
        <v>1135</v>
      </c>
      <c r="M126" s="32">
        <v>5600</v>
      </c>
      <c r="N126" s="215"/>
      <c r="O126" s="215"/>
      <c r="P126" s="216"/>
      <c r="Q126" s="114">
        <f t="shared" si="7"/>
        <v>0</v>
      </c>
      <c r="R126" s="114">
        <v>0</v>
      </c>
      <c r="S126" s="36">
        <f t="shared" si="8"/>
        <v>0</v>
      </c>
    </row>
    <row r="127" spans="1:20" ht="22.5" customHeight="1" x14ac:dyDescent="0.5">
      <c r="A127" s="23">
        <v>13</v>
      </c>
      <c r="B127" s="73" t="s">
        <v>264</v>
      </c>
      <c r="C127" s="25" t="s">
        <v>265</v>
      </c>
      <c r="D127" s="43">
        <v>5600</v>
      </c>
      <c r="E127" s="212"/>
      <c r="F127" s="212"/>
      <c r="G127" s="213"/>
      <c r="H127" s="219">
        <v>0</v>
      </c>
      <c r="I127" s="219">
        <v>0</v>
      </c>
      <c r="J127" s="219">
        <v>0</v>
      </c>
      <c r="K127" s="30">
        <v>25243</v>
      </c>
      <c r="L127" s="31" t="s">
        <v>1135</v>
      </c>
      <c r="M127" s="32">
        <v>5600</v>
      </c>
      <c r="N127" s="215"/>
      <c r="O127" s="215"/>
      <c r="P127" s="216"/>
      <c r="Q127" s="114">
        <f t="shared" si="7"/>
        <v>0</v>
      </c>
      <c r="R127" s="114">
        <v>0</v>
      </c>
      <c r="S127" s="36">
        <f t="shared" si="8"/>
        <v>0</v>
      </c>
    </row>
    <row r="128" spans="1:20" ht="22.5" customHeight="1" x14ac:dyDescent="0.5">
      <c r="A128" s="23">
        <v>14</v>
      </c>
      <c r="B128" s="73" t="s">
        <v>266</v>
      </c>
      <c r="C128" s="25" t="s">
        <v>267</v>
      </c>
      <c r="D128" s="43">
        <v>5600</v>
      </c>
      <c r="E128" s="212"/>
      <c r="F128" s="212"/>
      <c r="G128" s="213"/>
      <c r="H128" s="219">
        <v>0</v>
      </c>
      <c r="I128" s="219">
        <v>0</v>
      </c>
      <c r="J128" s="219">
        <v>0</v>
      </c>
      <c r="K128" s="30">
        <v>25240</v>
      </c>
      <c r="L128" s="31" t="s">
        <v>1136</v>
      </c>
      <c r="M128" s="32">
        <v>5600</v>
      </c>
      <c r="N128" s="297"/>
      <c r="O128" s="297"/>
      <c r="P128" s="216"/>
      <c r="Q128" s="114">
        <f t="shared" si="7"/>
        <v>0</v>
      </c>
      <c r="R128" s="114">
        <v>0</v>
      </c>
      <c r="S128" s="36">
        <f t="shared" si="8"/>
        <v>0</v>
      </c>
    </row>
    <row r="129" spans="1:21" ht="22.5" customHeight="1" x14ac:dyDescent="0.5">
      <c r="A129" s="23"/>
      <c r="B129" s="301" t="s">
        <v>269</v>
      </c>
      <c r="C129" s="25"/>
      <c r="D129" s="43"/>
      <c r="E129" s="302"/>
      <c r="F129" s="302"/>
      <c r="G129" s="303"/>
      <c r="H129" s="304">
        <v>0</v>
      </c>
      <c r="I129" s="304">
        <v>0</v>
      </c>
      <c r="J129" s="304">
        <v>0</v>
      </c>
      <c r="K129" s="30"/>
      <c r="L129" s="31"/>
      <c r="M129" s="32"/>
      <c r="N129" s="297"/>
      <c r="O129" s="297"/>
      <c r="P129" s="216"/>
      <c r="Q129" s="114">
        <f t="shared" si="7"/>
        <v>0</v>
      </c>
      <c r="R129" s="114">
        <v>0</v>
      </c>
      <c r="S129" s="36">
        <f t="shared" si="8"/>
        <v>0</v>
      </c>
    </row>
    <row r="130" spans="1:21" ht="22.5" customHeight="1" x14ac:dyDescent="0.5">
      <c r="A130" s="23">
        <v>1</v>
      </c>
      <c r="B130" s="73" t="s">
        <v>270</v>
      </c>
      <c r="C130" s="25" t="s">
        <v>271</v>
      </c>
      <c r="D130" s="43">
        <v>9450</v>
      </c>
      <c r="E130" s="212"/>
      <c r="F130" s="212"/>
      <c r="G130" s="213"/>
      <c r="H130" s="219">
        <v>0</v>
      </c>
      <c r="I130" s="219">
        <v>0</v>
      </c>
      <c r="J130" s="219">
        <v>0</v>
      </c>
      <c r="K130" s="30">
        <v>25238</v>
      </c>
      <c r="L130" s="31" t="s">
        <v>1137</v>
      </c>
      <c r="M130" s="32">
        <v>9450</v>
      </c>
      <c r="N130" s="307"/>
      <c r="O130" s="307"/>
      <c r="P130" s="308"/>
      <c r="Q130" s="114">
        <f t="shared" si="7"/>
        <v>0</v>
      </c>
      <c r="R130" s="114">
        <v>0</v>
      </c>
      <c r="S130" s="36">
        <f t="shared" si="8"/>
        <v>0</v>
      </c>
    </row>
    <row r="131" spans="1:21" ht="22.5" customHeight="1" x14ac:dyDescent="0.5">
      <c r="A131" s="23">
        <v>2</v>
      </c>
      <c r="B131" s="73" t="s">
        <v>261</v>
      </c>
      <c r="C131" s="25" t="s">
        <v>273</v>
      </c>
      <c r="D131" s="43">
        <v>9450</v>
      </c>
      <c r="E131" s="212"/>
      <c r="F131" s="212"/>
      <c r="G131" s="213"/>
      <c r="H131" s="219">
        <v>0</v>
      </c>
      <c r="I131" s="219">
        <v>0</v>
      </c>
      <c r="J131" s="219">
        <v>0</v>
      </c>
      <c r="K131" s="30">
        <v>25243</v>
      </c>
      <c r="L131" s="31" t="s">
        <v>1135</v>
      </c>
      <c r="M131" s="32">
        <v>9450</v>
      </c>
      <c r="N131" s="215"/>
      <c r="O131" s="215"/>
      <c r="P131" s="216"/>
      <c r="Q131" s="114">
        <f t="shared" si="7"/>
        <v>0</v>
      </c>
      <c r="R131" s="114">
        <v>0</v>
      </c>
      <c r="S131" s="36">
        <f t="shared" si="8"/>
        <v>0</v>
      </c>
    </row>
    <row r="132" spans="1:21" ht="22.5" customHeight="1" x14ac:dyDescent="0.5">
      <c r="A132" s="23">
        <v>3</v>
      </c>
      <c r="B132" s="73" t="s">
        <v>274</v>
      </c>
      <c r="C132" s="25" t="s">
        <v>275</v>
      </c>
      <c r="D132" s="43">
        <v>3150</v>
      </c>
      <c r="E132" s="212"/>
      <c r="F132" s="212"/>
      <c r="G132" s="213"/>
      <c r="H132" s="219">
        <v>0</v>
      </c>
      <c r="I132" s="219">
        <v>0</v>
      </c>
      <c r="J132" s="219">
        <v>0</v>
      </c>
      <c r="K132" s="30">
        <v>25245</v>
      </c>
      <c r="L132" s="31" t="s">
        <v>1138</v>
      </c>
      <c r="M132" s="32">
        <v>3150</v>
      </c>
      <c r="N132" s="297"/>
      <c r="O132" s="297"/>
      <c r="P132" s="216"/>
      <c r="Q132" s="114">
        <f t="shared" si="7"/>
        <v>0</v>
      </c>
      <c r="R132" s="114">
        <v>0</v>
      </c>
      <c r="S132" s="36">
        <f t="shared" si="8"/>
        <v>0</v>
      </c>
      <c r="T132" s="2"/>
    </row>
    <row r="133" spans="1:21" ht="22.5" customHeight="1" x14ac:dyDescent="0.5">
      <c r="A133" s="23">
        <v>4</v>
      </c>
      <c r="B133" s="73" t="s">
        <v>277</v>
      </c>
      <c r="C133" s="25" t="s">
        <v>278</v>
      </c>
      <c r="D133" s="43">
        <v>6300</v>
      </c>
      <c r="E133" s="212"/>
      <c r="F133" s="212"/>
      <c r="G133" s="213"/>
      <c r="H133" s="219">
        <v>0</v>
      </c>
      <c r="I133" s="219">
        <v>0</v>
      </c>
      <c r="J133" s="219">
        <v>0</v>
      </c>
      <c r="K133" s="30">
        <v>25238</v>
      </c>
      <c r="L133" s="31" t="s">
        <v>1139</v>
      </c>
      <c r="M133" s="32">
        <v>6300</v>
      </c>
      <c r="N133" s="297"/>
      <c r="O133" s="297"/>
      <c r="P133" s="216"/>
      <c r="Q133" s="114">
        <f t="shared" si="7"/>
        <v>0</v>
      </c>
      <c r="R133" s="114">
        <v>0</v>
      </c>
      <c r="S133" s="36">
        <f t="shared" si="8"/>
        <v>0</v>
      </c>
      <c r="T133" s="2"/>
    </row>
    <row r="134" spans="1:21" ht="22.5" customHeight="1" x14ac:dyDescent="0.5">
      <c r="A134" s="23"/>
      <c r="B134" s="301" t="s">
        <v>280</v>
      </c>
      <c r="C134" s="25"/>
      <c r="D134" s="43"/>
      <c r="E134" s="302"/>
      <c r="F134" s="302"/>
      <c r="G134" s="303"/>
      <c r="H134" s="304">
        <v>0</v>
      </c>
      <c r="I134" s="304">
        <v>0</v>
      </c>
      <c r="J134" s="304">
        <v>0</v>
      </c>
      <c r="K134" s="30"/>
      <c r="L134" s="31"/>
      <c r="M134" s="32"/>
      <c r="N134" s="297"/>
      <c r="O134" s="297"/>
      <c r="P134" s="216"/>
      <c r="Q134" s="114">
        <f t="shared" si="7"/>
        <v>0</v>
      </c>
      <c r="R134" s="114">
        <v>0</v>
      </c>
      <c r="S134" s="36">
        <f t="shared" si="8"/>
        <v>0</v>
      </c>
      <c r="T134" s="2"/>
    </row>
    <row r="135" spans="1:21" ht="22.5" customHeight="1" x14ac:dyDescent="0.5">
      <c r="A135" s="23">
        <v>1</v>
      </c>
      <c r="B135" s="73" t="s">
        <v>281</v>
      </c>
      <c r="C135" s="25" t="s">
        <v>282</v>
      </c>
      <c r="D135" s="43">
        <v>5600</v>
      </c>
      <c r="E135" s="212" t="s">
        <v>958</v>
      </c>
      <c r="F135" s="212" t="s">
        <v>33</v>
      </c>
      <c r="G135" s="213" t="s">
        <v>33</v>
      </c>
      <c r="H135" s="219">
        <v>5600</v>
      </c>
      <c r="I135" s="219">
        <v>0</v>
      </c>
      <c r="J135" s="219">
        <v>5600</v>
      </c>
      <c r="K135" s="30">
        <v>25261</v>
      </c>
      <c r="L135" s="31" t="s">
        <v>1140</v>
      </c>
      <c r="M135" s="32">
        <v>5600</v>
      </c>
      <c r="N135" s="215" t="s">
        <v>1153</v>
      </c>
      <c r="O135" s="215" t="s">
        <v>33</v>
      </c>
      <c r="P135" s="216" t="s">
        <v>33</v>
      </c>
      <c r="Q135" s="114">
        <f t="shared" si="7"/>
        <v>5600</v>
      </c>
      <c r="R135" s="114">
        <v>0</v>
      </c>
      <c r="S135" s="36">
        <f t="shared" si="8"/>
        <v>5600</v>
      </c>
      <c r="T135" s="2"/>
    </row>
    <row r="136" spans="1:21" ht="22.5" customHeight="1" x14ac:dyDescent="0.5">
      <c r="A136" s="23">
        <v>2</v>
      </c>
      <c r="B136" s="73" t="s">
        <v>287</v>
      </c>
      <c r="C136" s="25" t="s">
        <v>288</v>
      </c>
      <c r="D136" s="43">
        <v>5600</v>
      </c>
      <c r="E136" s="212" t="s">
        <v>958</v>
      </c>
      <c r="F136" s="212" t="s">
        <v>33</v>
      </c>
      <c r="G136" s="213" t="s">
        <v>33</v>
      </c>
      <c r="H136" s="219">
        <v>5600</v>
      </c>
      <c r="I136" s="219">
        <v>0</v>
      </c>
      <c r="J136" s="219">
        <v>5600</v>
      </c>
      <c r="K136" s="30">
        <v>25238</v>
      </c>
      <c r="L136" s="31" t="s">
        <v>1141</v>
      </c>
      <c r="M136" s="32">
        <v>5600</v>
      </c>
      <c r="N136" s="215" t="s">
        <v>1153</v>
      </c>
      <c r="O136" s="215" t="s">
        <v>33</v>
      </c>
      <c r="P136" s="216" t="s">
        <v>33</v>
      </c>
      <c r="Q136" s="114">
        <f t="shared" si="7"/>
        <v>5600</v>
      </c>
      <c r="R136" s="114">
        <v>0</v>
      </c>
      <c r="S136" s="36">
        <f t="shared" si="8"/>
        <v>5600</v>
      </c>
      <c r="T136" s="2"/>
    </row>
    <row r="137" spans="1:21" ht="22.5" customHeight="1" x14ac:dyDescent="0.5">
      <c r="A137" s="23">
        <v>3</v>
      </c>
      <c r="B137" s="73" t="s">
        <v>290</v>
      </c>
      <c r="C137" s="25" t="s">
        <v>291</v>
      </c>
      <c r="D137" s="43">
        <v>5600</v>
      </c>
      <c r="E137" s="212"/>
      <c r="F137" s="212"/>
      <c r="G137" s="213"/>
      <c r="H137" s="219">
        <v>0</v>
      </c>
      <c r="I137" s="219">
        <v>0</v>
      </c>
      <c r="J137" s="219">
        <v>0</v>
      </c>
      <c r="K137" s="30">
        <v>25238</v>
      </c>
      <c r="L137" s="31" t="s">
        <v>1142</v>
      </c>
      <c r="M137" s="32">
        <v>5600</v>
      </c>
      <c r="N137" s="215"/>
      <c r="O137" s="215"/>
      <c r="P137" s="216"/>
      <c r="Q137" s="114">
        <f t="shared" si="7"/>
        <v>0</v>
      </c>
      <c r="R137" s="114">
        <v>0</v>
      </c>
      <c r="S137" s="36">
        <f t="shared" si="8"/>
        <v>0</v>
      </c>
      <c r="T137" s="2"/>
    </row>
    <row r="138" spans="1:21" ht="22.5" customHeight="1" x14ac:dyDescent="0.5">
      <c r="A138" s="23">
        <v>4</v>
      </c>
      <c r="B138" s="73" t="s">
        <v>293</v>
      </c>
      <c r="C138" s="25" t="s">
        <v>294</v>
      </c>
      <c r="D138" s="43">
        <v>2800</v>
      </c>
      <c r="E138" s="212"/>
      <c r="F138" s="212"/>
      <c r="G138" s="213"/>
      <c r="H138" s="219">
        <v>0</v>
      </c>
      <c r="I138" s="219">
        <v>0</v>
      </c>
      <c r="J138" s="219">
        <v>0</v>
      </c>
      <c r="K138" s="30">
        <v>25240</v>
      </c>
      <c r="L138" s="31" t="s">
        <v>1143</v>
      </c>
      <c r="M138" s="32">
        <v>2800</v>
      </c>
      <c r="N138" s="215"/>
      <c r="O138" s="215"/>
      <c r="P138" s="216"/>
      <c r="Q138" s="114">
        <f t="shared" si="7"/>
        <v>0</v>
      </c>
      <c r="R138" s="114">
        <v>0</v>
      </c>
      <c r="S138" s="36">
        <f t="shared" si="8"/>
        <v>0</v>
      </c>
      <c r="T138" s="2"/>
    </row>
    <row r="139" spans="1:21" ht="22.5" customHeight="1" x14ac:dyDescent="0.5">
      <c r="A139" s="23">
        <v>5</v>
      </c>
      <c r="B139" s="73" t="s">
        <v>296</v>
      </c>
      <c r="C139" s="25" t="s">
        <v>297</v>
      </c>
      <c r="D139" s="43">
        <v>5600</v>
      </c>
      <c r="E139" s="212" t="s">
        <v>958</v>
      </c>
      <c r="F139" s="212" t="s">
        <v>33</v>
      </c>
      <c r="G139" s="213" t="s">
        <v>33</v>
      </c>
      <c r="H139" s="219">
        <v>5600</v>
      </c>
      <c r="I139" s="219">
        <v>0</v>
      </c>
      <c r="J139" s="219">
        <v>5600</v>
      </c>
      <c r="K139" s="30">
        <v>25238</v>
      </c>
      <c r="L139" s="31" t="s">
        <v>1144</v>
      </c>
      <c r="M139" s="32">
        <v>5600</v>
      </c>
      <c r="N139" s="297" t="s">
        <v>1153</v>
      </c>
      <c r="O139" s="297" t="s">
        <v>33</v>
      </c>
      <c r="P139" s="216" t="s">
        <v>33</v>
      </c>
      <c r="Q139" s="114">
        <f t="shared" si="7"/>
        <v>5600</v>
      </c>
      <c r="R139" s="114">
        <v>0</v>
      </c>
      <c r="S139" s="36">
        <f t="shared" si="8"/>
        <v>5600</v>
      </c>
      <c r="T139" s="2"/>
      <c r="U139" s="3">
        <v>700</v>
      </c>
    </row>
    <row r="140" spans="1:21" ht="22.5" customHeight="1" x14ac:dyDescent="0.5">
      <c r="A140" s="23"/>
      <c r="B140" s="301" t="s">
        <v>299</v>
      </c>
      <c r="C140" s="25"/>
      <c r="D140" s="43"/>
      <c r="E140" s="302"/>
      <c r="F140" s="302"/>
      <c r="G140" s="303"/>
      <c r="H140" s="304">
        <v>0</v>
      </c>
      <c r="I140" s="304">
        <v>0</v>
      </c>
      <c r="J140" s="304">
        <v>0</v>
      </c>
      <c r="K140" s="30"/>
      <c r="L140" s="31"/>
      <c r="M140" s="32"/>
      <c r="N140" s="297"/>
      <c r="O140" s="297"/>
      <c r="P140" s="216"/>
      <c r="Q140" s="114">
        <f t="shared" si="7"/>
        <v>0</v>
      </c>
      <c r="R140" s="114">
        <v>0</v>
      </c>
      <c r="S140" s="36">
        <f t="shared" si="8"/>
        <v>0</v>
      </c>
      <c r="T140" s="2"/>
    </row>
    <row r="141" spans="1:21" ht="22.5" customHeight="1" x14ac:dyDescent="0.5">
      <c r="A141" s="208">
        <v>1</v>
      </c>
      <c r="B141" s="209" t="s">
        <v>300</v>
      </c>
      <c r="C141" s="210" t="s">
        <v>301</v>
      </c>
      <c r="D141" s="298">
        <v>5600</v>
      </c>
      <c r="E141" s="299" t="s">
        <v>958</v>
      </c>
      <c r="F141" s="299" t="s">
        <v>33</v>
      </c>
      <c r="G141" s="300" t="s">
        <v>33</v>
      </c>
      <c r="H141" s="214">
        <v>5600</v>
      </c>
      <c r="I141" s="214">
        <v>0</v>
      </c>
      <c r="J141" s="214">
        <v>5600</v>
      </c>
      <c r="K141" s="30">
        <v>25247</v>
      </c>
      <c r="L141" s="31" t="s">
        <v>1145</v>
      </c>
      <c r="M141" s="32">
        <v>5600</v>
      </c>
      <c r="N141" s="215" t="s">
        <v>1153</v>
      </c>
      <c r="O141" s="215" t="s">
        <v>33</v>
      </c>
      <c r="P141" s="216" t="s">
        <v>33</v>
      </c>
      <c r="Q141" s="114">
        <f t="shared" si="7"/>
        <v>5600</v>
      </c>
      <c r="R141" s="114">
        <v>0</v>
      </c>
      <c r="S141" s="36">
        <f t="shared" si="8"/>
        <v>5600</v>
      </c>
      <c r="T141" s="2"/>
    </row>
    <row r="142" spans="1:21" ht="22.5" customHeight="1" x14ac:dyDescent="0.5">
      <c r="A142" s="208">
        <v>2</v>
      </c>
      <c r="B142" s="209" t="s">
        <v>303</v>
      </c>
      <c r="C142" s="210" t="s">
        <v>304</v>
      </c>
      <c r="D142" s="298">
        <v>2800</v>
      </c>
      <c r="E142" s="299"/>
      <c r="F142" s="299"/>
      <c r="G142" s="300"/>
      <c r="H142" s="214">
        <v>0</v>
      </c>
      <c r="I142" s="214">
        <v>0</v>
      </c>
      <c r="J142" s="214">
        <v>0</v>
      </c>
      <c r="K142" s="30">
        <v>25261</v>
      </c>
      <c r="L142" s="249" t="s">
        <v>1146</v>
      </c>
      <c r="M142" s="221">
        <v>2800</v>
      </c>
      <c r="N142" s="215"/>
      <c r="O142" s="215"/>
      <c r="P142" s="216"/>
      <c r="Q142" s="114">
        <f t="shared" si="7"/>
        <v>0</v>
      </c>
      <c r="R142" s="114">
        <v>0</v>
      </c>
      <c r="S142" s="36">
        <f t="shared" si="8"/>
        <v>0</v>
      </c>
      <c r="T142" s="2"/>
    </row>
    <row r="143" spans="1:21" ht="22.5" customHeight="1" x14ac:dyDescent="0.5">
      <c r="A143" s="208">
        <v>3</v>
      </c>
      <c r="B143" s="209" t="s">
        <v>306</v>
      </c>
      <c r="C143" s="210" t="s">
        <v>307</v>
      </c>
      <c r="D143" s="298">
        <v>5600</v>
      </c>
      <c r="E143" s="299" t="s">
        <v>958</v>
      </c>
      <c r="F143" s="299" t="s">
        <v>33</v>
      </c>
      <c r="G143" s="300" t="s">
        <v>33</v>
      </c>
      <c r="H143" s="214">
        <v>5600</v>
      </c>
      <c r="I143" s="214">
        <v>0</v>
      </c>
      <c r="J143" s="214">
        <v>5600</v>
      </c>
      <c r="K143" s="30">
        <v>25238</v>
      </c>
      <c r="L143" s="31" t="s">
        <v>1144</v>
      </c>
      <c r="M143" s="32">
        <v>5600</v>
      </c>
      <c r="N143" s="215" t="s">
        <v>1153</v>
      </c>
      <c r="O143" s="215" t="s">
        <v>33</v>
      </c>
      <c r="P143" s="216" t="s">
        <v>33</v>
      </c>
      <c r="Q143" s="114">
        <f t="shared" si="7"/>
        <v>5600</v>
      </c>
      <c r="R143" s="114">
        <v>0</v>
      </c>
      <c r="S143" s="36">
        <f t="shared" si="8"/>
        <v>5600</v>
      </c>
      <c r="T143" s="218"/>
      <c r="U143" s="309"/>
    </row>
    <row r="144" spans="1:21" ht="22.5" customHeight="1" x14ac:dyDescent="0.5">
      <c r="A144" s="208">
        <v>4</v>
      </c>
      <c r="B144" s="73" t="s">
        <v>308</v>
      </c>
      <c r="C144" s="25" t="s">
        <v>309</v>
      </c>
      <c r="D144" s="43">
        <v>8400</v>
      </c>
      <c r="E144" s="212"/>
      <c r="F144" s="212"/>
      <c r="G144" s="213"/>
      <c r="H144" s="219">
        <v>0</v>
      </c>
      <c r="I144" s="219">
        <v>0</v>
      </c>
      <c r="J144" s="219">
        <v>0</v>
      </c>
      <c r="K144" s="30">
        <v>25259</v>
      </c>
      <c r="L144" s="31" t="s">
        <v>1147</v>
      </c>
      <c r="M144" s="32">
        <v>8400</v>
      </c>
      <c r="N144" s="215"/>
      <c r="O144" s="215"/>
      <c r="P144" s="216"/>
      <c r="Q144" s="114">
        <f t="shared" si="7"/>
        <v>0</v>
      </c>
      <c r="R144" s="114">
        <v>0</v>
      </c>
      <c r="S144" s="36">
        <f t="shared" si="8"/>
        <v>0</v>
      </c>
    </row>
    <row r="145" spans="1:19" ht="22.5" customHeight="1" x14ac:dyDescent="0.5">
      <c r="A145" s="208">
        <v>5</v>
      </c>
      <c r="B145" s="73" t="s">
        <v>261</v>
      </c>
      <c r="C145" s="25" t="s">
        <v>311</v>
      </c>
      <c r="D145" s="43">
        <v>2800</v>
      </c>
      <c r="E145" s="212"/>
      <c r="F145" s="212"/>
      <c r="G145" s="213"/>
      <c r="H145" s="219">
        <v>0</v>
      </c>
      <c r="I145" s="219">
        <v>0</v>
      </c>
      <c r="J145" s="219">
        <v>0</v>
      </c>
      <c r="K145" s="30">
        <v>25243</v>
      </c>
      <c r="L145" s="31" t="s">
        <v>1135</v>
      </c>
      <c r="M145" s="32">
        <v>2800</v>
      </c>
      <c r="N145" s="215"/>
      <c r="O145" s="215"/>
      <c r="P145" s="216"/>
      <c r="Q145" s="114">
        <f t="shared" si="7"/>
        <v>0</v>
      </c>
      <c r="R145" s="114">
        <v>0</v>
      </c>
      <c r="S145" s="36">
        <f t="shared" si="8"/>
        <v>0</v>
      </c>
    </row>
    <row r="146" spans="1:19" ht="22.5" customHeight="1" x14ac:dyDescent="0.5">
      <c r="A146" s="148">
        <v>6</v>
      </c>
      <c r="B146" s="310" t="s">
        <v>261</v>
      </c>
      <c r="C146" s="311" t="s">
        <v>312</v>
      </c>
      <c r="D146" s="312">
        <v>2800</v>
      </c>
      <c r="E146" s="27"/>
      <c r="F146" s="27"/>
      <c r="G146" s="75"/>
      <c r="H146" s="76">
        <v>0</v>
      </c>
      <c r="I146" s="76">
        <v>0</v>
      </c>
      <c r="J146" s="76">
        <v>0</v>
      </c>
      <c r="K146" s="30">
        <v>25243</v>
      </c>
      <c r="L146" s="31" t="s">
        <v>1135</v>
      </c>
      <c r="M146" s="32">
        <v>2800</v>
      </c>
      <c r="N146" s="215"/>
      <c r="O146" s="215"/>
      <c r="P146" s="216"/>
      <c r="Q146" s="114">
        <f t="shared" si="7"/>
        <v>0</v>
      </c>
      <c r="R146" s="114">
        <v>0</v>
      </c>
      <c r="S146" s="36">
        <f t="shared" si="8"/>
        <v>0</v>
      </c>
    </row>
    <row r="147" spans="1:19" ht="22.5" customHeight="1" x14ac:dyDescent="0.5">
      <c r="A147" s="208">
        <v>7</v>
      </c>
      <c r="B147" s="73" t="s">
        <v>313</v>
      </c>
      <c r="C147" s="25" t="s">
        <v>314</v>
      </c>
      <c r="D147" s="43">
        <v>2800</v>
      </c>
      <c r="E147" s="212"/>
      <c r="F147" s="212"/>
      <c r="G147" s="213"/>
      <c r="H147" s="219">
        <v>0</v>
      </c>
      <c r="I147" s="219">
        <v>0</v>
      </c>
      <c r="J147" s="219">
        <v>0</v>
      </c>
      <c r="K147" s="30">
        <v>25258</v>
      </c>
      <c r="L147" s="31" t="s">
        <v>1133</v>
      </c>
      <c r="M147" s="32">
        <v>2800</v>
      </c>
      <c r="N147" s="215"/>
      <c r="O147" s="215"/>
      <c r="P147" s="216"/>
      <c r="Q147" s="114">
        <f t="shared" si="7"/>
        <v>0</v>
      </c>
      <c r="R147" s="114">
        <v>0</v>
      </c>
      <c r="S147" s="36">
        <f t="shared" si="8"/>
        <v>0</v>
      </c>
    </row>
    <row r="148" spans="1:19" ht="22.5" customHeight="1" x14ac:dyDescent="0.5">
      <c r="A148" s="23"/>
      <c r="B148" s="301" t="s">
        <v>315</v>
      </c>
      <c r="C148" s="25"/>
      <c r="D148" s="43"/>
      <c r="E148" s="302"/>
      <c r="F148" s="302"/>
      <c r="G148" s="303"/>
      <c r="H148" s="304">
        <v>0</v>
      </c>
      <c r="I148" s="304">
        <v>0</v>
      </c>
      <c r="J148" s="304">
        <v>0</v>
      </c>
      <c r="K148" s="30"/>
      <c r="L148" s="31"/>
      <c r="M148" s="32"/>
      <c r="N148" s="297"/>
      <c r="O148" s="297"/>
      <c r="P148" s="216"/>
      <c r="Q148" s="114">
        <f t="shared" si="7"/>
        <v>0</v>
      </c>
      <c r="R148" s="114">
        <v>0</v>
      </c>
      <c r="S148" s="36">
        <f t="shared" si="8"/>
        <v>0</v>
      </c>
    </row>
    <row r="149" spans="1:19" ht="22.5" customHeight="1" x14ac:dyDescent="0.5">
      <c r="A149" s="23">
        <v>1</v>
      </c>
      <c r="B149" s="73" t="s">
        <v>261</v>
      </c>
      <c r="C149" s="25" t="s">
        <v>316</v>
      </c>
      <c r="D149" s="43">
        <v>2800</v>
      </c>
      <c r="E149" s="212"/>
      <c r="F149" s="212"/>
      <c r="G149" s="213"/>
      <c r="H149" s="219">
        <v>0</v>
      </c>
      <c r="I149" s="219">
        <v>0</v>
      </c>
      <c r="J149" s="219">
        <v>0</v>
      </c>
      <c r="K149" s="30">
        <v>25243</v>
      </c>
      <c r="L149" s="31" t="s">
        <v>1135</v>
      </c>
      <c r="M149" s="32">
        <v>2800</v>
      </c>
      <c r="N149" s="215"/>
      <c r="O149" s="215"/>
      <c r="P149" s="216"/>
      <c r="Q149" s="114">
        <f t="shared" si="7"/>
        <v>0</v>
      </c>
      <c r="R149" s="114">
        <v>0</v>
      </c>
      <c r="S149" s="36">
        <f t="shared" si="8"/>
        <v>0</v>
      </c>
    </row>
    <row r="150" spans="1:19" ht="22.5" customHeight="1" x14ac:dyDescent="0.5">
      <c r="A150" s="23">
        <v>2</v>
      </c>
      <c r="B150" s="73" t="s">
        <v>317</v>
      </c>
      <c r="C150" s="25" t="s">
        <v>318</v>
      </c>
      <c r="D150" s="43">
        <v>2800</v>
      </c>
      <c r="E150" s="212"/>
      <c r="F150" s="212"/>
      <c r="G150" s="213"/>
      <c r="H150" s="313">
        <v>0</v>
      </c>
      <c r="I150" s="219">
        <v>0</v>
      </c>
      <c r="J150" s="313">
        <v>0</v>
      </c>
      <c r="K150" s="30" t="s">
        <v>1148</v>
      </c>
      <c r="L150" s="31" t="s">
        <v>1149</v>
      </c>
      <c r="M150" s="32">
        <v>5600</v>
      </c>
      <c r="N150" s="307" t="s">
        <v>1150</v>
      </c>
      <c r="O150" s="307"/>
      <c r="P150" s="307"/>
      <c r="Q150" s="114">
        <f t="shared" si="7"/>
        <v>-2800</v>
      </c>
      <c r="R150" s="114">
        <v>0</v>
      </c>
      <c r="S150" s="36">
        <f t="shared" si="8"/>
        <v>-2800</v>
      </c>
    </row>
    <row r="151" spans="1:19" ht="22.5" customHeight="1" x14ac:dyDescent="0.5">
      <c r="A151" s="23">
        <v>3</v>
      </c>
      <c r="B151" s="73" t="s">
        <v>320</v>
      </c>
      <c r="C151" s="25" t="s">
        <v>321</v>
      </c>
      <c r="D151" s="43">
        <v>2800</v>
      </c>
      <c r="E151" s="212"/>
      <c r="F151" s="212"/>
      <c r="G151" s="213"/>
      <c r="H151" s="219">
        <v>0</v>
      </c>
      <c r="I151" s="219">
        <v>0</v>
      </c>
      <c r="J151" s="219">
        <v>0</v>
      </c>
      <c r="K151" s="30">
        <v>25254</v>
      </c>
      <c r="L151" s="31" t="s">
        <v>1151</v>
      </c>
      <c r="M151" s="32">
        <v>2800</v>
      </c>
      <c r="N151" s="307"/>
      <c r="O151" s="307"/>
      <c r="P151" s="308"/>
      <c r="Q151" s="114">
        <f t="shared" si="7"/>
        <v>0</v>
      </c>
      <c r="R151" s="114">
        <v>0</v>
      </c>
      <c r="S151" s="36">
        <f t="shared" si="8"/>
        <v>0</v>
      </c>
    </row>
    <row r="152" spans="1:19" ht="22.5" customHeight="1" x14ac:dyDescent="0.5">
      <c r="A152" s="23">
        <v>4</v>
      </c>
      <c r="B152" s="73" t="s">
        <v>322</v>
      </c>
      <c r="C152" s="25" t="s">
        <v>323</v>
      </c>
      <c r="D152" s="43">
        <v>5600</v>
      </c>
      <c r="E152" s="212" t="s">
        <v>1034</v>
      </c>
      <c r="F152" s="212"/>
      <c r="G152" s="213"/>
      <c r="H152" s="219">
        <v>-11200</v>
      </c>
      <c r="I152" s="219">
        <v>0</v>
      </c>
      <c r="J152" s="219">
        <v>-11200</v>
      </c>
      <c r="K152" s="30">
        <v>25262</v>
      </c>
      <c r="L152" s="31" t="s">
        <v>1152</v>
      </c>
      <c r="M152" s="32">
        <v>5600</v>
      </c>
      <c r="N152" s="314" t="s">
        <v>1034</v>
      </c>
      <c r="O152" s="315"/>
      <c r="P152" s="315"/>
      <c r="Q152" s="114">
        <f t="shared" si="7"/>
        <v>-11200</v>
      </c>
      <c r="R152" s="114">
        <v>0</v>
      </c>
      <c r="S152" s="36">
        <f t="shared" si="8"/>
        <v>-11200</v>
      </c>
    </row>
    <row r="153" spans="1:19" ht="22.5" customHeight="1" x14ac:dyDescent="0.5">
      <c r="A153" s="23">
        <v>5</v>
      </c>
      <c r="B153" s="73" t="s">
        <v>293</v>
      </c>
      <c r="C153" s="25" t="s">
        <v>326</v>
      </c>
      <c r="D153" s="43">
        <v>5600</v>
      </c>
      <c r="E153" s="212"/>
      <c r="F153" s="212"/>
      <c r="G153" s="213"/>
      <c r="H153" s="219">
        <v>0</v>
      </c>
      <c r="I153" s="219">
        <v>0</v>
      </c>
      <c r="J153" s="219">
        <v>0</v>
      </c>
      <c r="K153" s="30">
        <v>25240</v>
      </c>
      <c r="L153" s="31" t="s">
        <v>1143</v>
      </c>
      <c r="M153" s="32">
        <v>5600</v>
      </c>
      <c r="N153" s="215"/>
      <c r="O153" s="215"/>
      <c r="P153" s="216"/>
      <c r="Q153" s="114">
        <f t="shared" si="7"/>
        <v>0</v>
      </c>
      <c r="R153" s="114">
        <v>0</v>
      </c>
      <c r="S153" s="36">
        <f t="shared" si="8"/>
        <v>0</v>
      </c>
    </row>
    <row r="154" spans="1:19" ht="22.5" customHeight="1" x14ac:dyDescent="0.5">
      <c r="A154" s="23">
        <v>6</v>
      </c>
      <c r="B154" s="73" t="s">
        <v>293</v>
      </c>
      <c r="C154" s="25" t="s">
        <v>327</v>
      </c>
      <c r="D154" s="43">
        <v>5600</v>
      </c>
      <c r="E154" s="212"/>
      <c r="F154" s="212"/>
      <c r="G154" s="213"/>
      <c r="H154" s="219">
        <v>0</v>
      </c>
      <c r="I154" s="219">
        <v>0</v>
      </c>
      <c r="J154" s="219">
        <v>0</v>
      </c>
      <c r="K154" s="30">
        <v>25240</v>
      </c>
      <c r="L154" s="31" t="s">
        <v>1143</v>
      </c>
      <c r="M154" s="32">
        <v>5600</v>
      </c>
      <c r="N154" s="215"/>
      <c r="O154" s="215"/>
      <c r="P154" s="216"/>
      <c r="Q154" s="114">
        <f t="shared" si="7"/>
        <v>0</v>
      </c>
      <c r="R154" s="114">
        <v>0</v>
      </c>
      <c r="S154" s="36">
        <f t="shared" si="8"/>
        <v>0</v>
      </c>
    </row>
    <row r="155" spans="1:19" s="60" customFormat="1" ht="22.5" customHeight="1" thickBot="1" x14ac:dyDescent="0.35">
      <c r="A155" s="317"/>
      <c r="B155" s="317" t="s">
        <v>15</v>
      </c>
      <c r="C155" s="318"/>
      <c r="D155" s="319">
        <f>SUM(D114:D154)</f>
        <v>222950</v>
      </c>
      <c r="E155" s="320"/>
      <c r="F155" s="320"/>
      <c r="G155" s="321"/>
      <c r="H155" s="319">
        <f>SUM(H114:H154)-H152</f>
        <v>40600</v>
      </c>
      <c r="I155" s="319">
        <f>SUM(I114:I154)-I152</f>
        <v>0</v>
      </c>
      <c r="J155" s="319">
        <f>SUM(J114:J154)-J152</f>
        <v>40600</v>
      </c>
      <c r="K155" s="322"/>
      <c r="L155" s="322"/>
      <c r="M155" s="323">
        <f>SUM(M114:M154)</f>
        <v>197400</v>
      </c>
      <c r="N155" s="324"/>
      <c r="O155" s="324"/>
      <c r="P155" s="325"/>
      <c r="Q155" s="323">
        <f>SUM(Q114:Q154)-Q152-Q150</f>
        <v>68950</v>
      </c>
      <c r="R155" s="323">
        <f>SUM(R114:R154)-R152-R150</f>
        <v>0</v>
      </c>
      <c r="S155" s="323">
        <f>SUM(S114:S154)-S152-S150</f>
        <v>68950</v>
      </c>
    </row>
    <row r="156" spans="1:19" ht="22.5" customHeight="1" thickTop="1" x14ac:dyDescent="0.5">
      <c r="A156" s="61"/>
      <c r="B156" s="327" t="s">
        <v>328</v>
      </c>
      <c r="C156" s="63"/>
      <c r="D156" s="64"/>
      <c r="E156" s="65"/>
      <c r="F156" s="65"/>
      <c r="G156" s="66"/>
      <c r="H156" s="67"/>
      <c r="I156" s="67"/>
      <c r="J156" s="67"/>
      <c r="K156" s="286"/>
      <c r="L156" s="286"/>
      <c r="M156" s="328"/>
      <c r="N156" s="69"/>
      <c r="O156" s="69"/>
      <c r="P156" s="70"/>
      <c r="Q156" s="71"/>
      <c r="R156" s="71"/>
      <c r="S156" s="72"/>
    </row>
    <row r="157" spans="1:19" ht="22.5" customHeight="1" x14ac:dyDescent="0.5">
      <c r="A157" s="23">
        <v>1</v>
      </c>
      <c r="B157" s="24" t="s">
        <v>329</v>
      </c>
      <c r="C157" s="25" t="s">
        <v>330</v>
      </c>
      <c r="D157" s="43">
        <v>130536.37</v>
      </c>
      <c r="E157" s="212"/>
      <c r="F157" s="212"/>
      <c r="G157" s="213"/>
      <c r="H157" s="219">
        <v>0</v>
      </c>
      <c r="I157" s="329">
        <v>0</v>
      </c>
      <c r="J157" s="329">
        <v>0</v>
      </c>
      <c r="K157" s="30">
        <v>25248</v>
      </c>
      <c r="L157" s="31" t="s">
        <v>1154</v>
      </c>
      <c r="M157" s="32">
        <v>130536.37</v>
      </c>
      <c r="N157" s="41"/>
      <c r="O157" s="41"/>
      <c r="P157" s="34"/>
      <c r="Q157" s="330">
        <f>SUM(D157+J157-M157)</f>
        <v>0</v>
      </c>
      <c r="R157" s="330">
        <v>0</v>
      </c>
      <c r="S157" s="36">
        <f>SUM(D157+J157-M157)</f>
        <v>0</v>
      </c>
    </row>
    <row r="158" spans="1:19" ht="22.5" customHeight="1" x14ac:dyDescent="0.5">
      <c r="A158" s="23">
        <v>2</v>
      </c>
      <c r="B158" s="24" t="s">
        <v>329</v>
      </c>
      <c r="C158" s="25" t="s">
        <v>331</v>
      </c>
      <c r="D158" s="64">
        <v>96520.67</v>
      </c>
      <c r="E158" s="212"/>
      <c r="F158" s="212"/>
      <c r="G158" s="213"/>
      <c r="H158" s="219">
        <v>0</v>
      </c>
      <c r="I158" s="329">
        <v>0</v>
      </c>
      <c r="J158" s="329">
        <v>0</v>
      </c>
      <c r="K158" s="30">
        <v>25248</v>
      </c>
      <c r="L158" s="31" t="s">
        <v>1154</v>
      </c>
      <c r="M158" s="32">
        <v>96520.67</v>
      </c>
      <c r="N158" s="41"/>
      <c r="O158" s="41"/>
      <c r="P158" s="34"/>
      <c r="Q158" s="330">
        <f t="shared" ref="Q158:Q164" si="9">SUM(D158+J158-M158)</f>
        <v>0</v>
      </c>
      <c r="R158" s="330">
        <v>0</v>
      </c>
      <c r="S158" s="36">
        <f t="shared" ref="S158:S164" si="10">SUM(D158+J158-M158)</f>
        <v>0</v>
      </c>
    </row>
    <row r="159" spans="1:19" ht="22.5" customHeight="1" x14ac:dyDescent="0.5">
      <c r="A159" s="23">
        <v>3</v>
      </c>
      <c r="B159" s="24" t="s">
        <v>332</v>
      </c>
      <c r="C159" s="25" t="s">
        <v>333</v>
      </c>
      <c r="D159" s="43">
        <v>63810</v>
      </c>
      <c r="E159" s="212"/>
      <c r="F159" s="212"/>
      <c r="G159" s="213"/>
      <c r="H159" s="329">
        <v>0</v>
      </c>
      <c r="I159" s="329">
        <v>0</v>
      </c>
      <c r="J159" s="329">
        <v>0</v>
      </c>
      <c r="K159" s="30">
        <v>25238</v>
      </c>
      <c r="L159" s="31" t="s">
        <v>1155</v>
      </c>
      <c r="M159" s="32">
        <v>63810</v>
      </c>
      <c r="N159" s="41"/>
      <c r="O159" s="41"/>
      <c r="P159" s="34"/>
      <c r="Q159" s="330">
        <f t="shared" si="9"/>
        <v>0</v>
      </c>
      <c r="R159" s="330">
        <v>0</v>
      </c>
      <c r="S159" s="36">
        <f t="shared" si="10"/>
        <v>0</v>
      </c>
    </row>
    <row r="160" spans="1:19" ht="22.5" customHeight="1" x14ac:dyDescent="0.5">
      <c r="A160" s="331">
        <v>4</v>
      </c>
      <c r="B160" s="332" t="s">
        <v>335</v>
      </c>
      <c r="C160" s="81" t="s">
        <v>336</v>
      </c>
      <c r="D160" s="333">
        <v>60170</v>
      </c>
      <c r="E160" s="234"/>
      <c r="F160" s="234"/>
      <c r="G160" s="228"/>
      <c r="H160" s="334">
        <v>0</v>
      </c>
      <c r="I160" s="334">
        <v>0</v>
      </c>
      <c r="J160" s="334">
        <v>0</v>
      </c>
      <c r="K160" s="335">
        <v>25252</v>
      </c>
      <c r="L160" s="336" t="s">
        <v>1156</v>
      </c>
      <c r="M160" s="337">
        <v>60170</v>
      </c>
      <c r="N160" s="338"/>
      <c r="O160" s="338"/>
      <c r="P160" s="112"/>
      <c r="Q160" s="330">
        <f t="shared" si="9"/>
        <v>0</v>
      </c>
      <c r="R160" s="339">
        <v>0</v>
      </c>
      <c r="S160" s="36">
        <f t="shared" si="10"/>
        <v>0</v>
      </c>
    </row>
    <row r="161" spans="1:19" ht="22.5" customHeight="1" x14ac:dyDescent="0.5">
      <c r="A161" s="23">
        <v>5</v>
      </c>
      <c r="B161" s="24" t="s">
        <v>338</v>
      </c>
      <c r="C161" s="25" t="s">
        <v>339</v>
      </c>
      <c r="D161" s="341">
        <v>23527.65</v>
      </c>
      <c r="E161" s="212"/>
      <c r="F161" s="212"/>
      <c r="G161" s="213"/>
      <c r="H161" s="219">
        <v>0</v>
      </c>
      <c r="I161" s="329">
        <v>0</v>
      </c>
      <c r="J161" s="329">
        <v>0</v>
      </c>
      <c r="K161" s="335">
        <v>25239</v>
      </c>
      <c r="L161" s="336" t="s">
        <v>1157</v>
      </c>
      <c r="M161" s="342">
        <v>23527.65</v>
      </c>
      <c r="N161" s="41"/>
      <c r="O161" s="41"/>
      <c r="P161" s="34"/>
      <c r="Q161" s="330">
        <f t="shared" si="9"/>
        <v>0</v>
      </c>
      <c r="R161" s="330">
        <v>0</v>
      </c>
      <c r="S161" s="36">
        <f t="shared" si="10"/>
        <v>0</v>
      </c>
    </row>
    <row r="162" spans="1:19" ht="22.5" customHeight="1" x14ac:dyDescent="0.5">
      <c r="A162" s="61">
        <v>6</v>
      </c>
      <c r="B162" s="343" t="s">
        <v>341</v>
      </c>
      <c r="C162" s="165" t="s">
        <v>342</v>
      </c>
      <c r="D162" s="344">
        <v>20715.32</v>
      </c>
      <c r="E162" s="167"/>
      <c r="F162" s="167"/>
      <c r="G162" s="213"/>
      <c r="H162" s="219">
        <v>0</v>
      </c>
      <c r="I162" s="329">
        <v>0</v>
      </c>
      <c r="J162" s="329">
        <v>0</v>
      </c>
      <c r="K162" s="345">
        <v>25259</v>
      </c>
      <c r="L162" s="346" t="s">
        <v>1158</v>
      </c>
      <c r="M162" s="347">
        <v>20715.32</v>
      </c>
      <c r="N162" s="41"/>
      <c r="O162" s="41"/>
      <c r="P162" s="34"/>
      <c r="Q162" s="330">
        <f t="shared" si="9"/>
        <v>0</v>
      </c>
      <c r="R162" s="330">
        <v>0</v>
      </c>
      <c r="S162" s="36">
        <f t="shared" si="10"/>
        <v>0</v>
      </c>
    </row>
    <row r="163" spans="1:19" ht="22.5" customHeight="1" x14ac:dyDescent="0.5">
      <c r="A163" s="331">
        <v>7</v>
      </c>
      <c r="B163" s="332" t="s">
        <v>344</v>
      </c>
      <c r="C163" s="81" t="s">
        <v>345</v>
      </c>
      <c r="D163" s="348">
        <v>21986</v>
      </c>
      <c r="E163" s="349"/>
      <c r="F163" s="886"/>
      <c r="G163" s="213"/>
      <c r="H163" s="219">
        <v>0</v>
      </c>
      <c r="I163" s="329">
        <v>0</v>
      </c>
      <c r="J163" s="329">
        <v>0</v>
      </c>
      <c r="K163" s="182">
        <v>25261</v>
      </c>
      <c r="L163" s="350" t="s">
        <v>1159</v>
      </c>
      <c r="M163" s="337">
        <v>21986</v>
      </c>
      <c r="N163" s="41"/>
      <c r="O163" s="41"/>
      <c r="P163" s="34"/>
      <c r="Q163" s="330">
        <f t="shared" si="9"/>
        <v>0</v>
      </c>
      <c r="R163" s="339">
        <v>0</v>
      </c>
      <c r="S163" s="36">
        <f t="shared" si="10"/>
        <v>0</v>
      </c>
    </row>
    <row r="164" spans="1:19" s="356" customFormat="1" ht="22.5" customHeight="1" x14ac:dyDescent="0.5">
      <c r="A164" s="253">
        <v>8</v>
      </c>
      <c r="B164" s="24" t="s">
        <v>347</v>
      </c>
      <c r="C164" s="351" t="s">
        <v>348</v>
      </c>
      <c r="D164" s="352">
        <v>20000</v>
      </c>
      <c r="E164" s="353"/>
      <c r="F164" s="887"/>
      <c r="G164" s="228"/>
      <c r="H164" s="329">
        <v>0</v>
      </c>
      <c r="I164" s="329">
        <v>0</v>
      </c>
      <c r="J164" s="329">
        <v>0</v>
      </c>
      <c r="K164" s="30">
        <v>25258</v>
      </c>
      <c r="L164" s="31" t="s">
        <v>1160</v>
      </c>
      <c r="M164" s="32">
        <v>20000</v>
      </c>
      <c r="N164" s="354"/>
      <c r="O164" s="354"/>
      <c r="P164" s="355"/>
      <c r="Q164" s="330">
        <f t="shared" si="9"/>
        <v>0</v>
      </c>
      <c r="R164" s="330">
        <v>0</v>
      </c>
      <c r="S164" s="36">
        <f t="shared" si="10"/>
        <v>0</v>
      </c>
    </row>
    <row r="165" spans="1:19" s="60" customFormat="1" ht="22.5" customHeight="1" thickBot="1" x14ac:dyDescent="0.35">
      <c r="A165" s="317"/>
      <c r="B165" s="317" t="s">
        <v>15</v>
      </c>
      <c r="C165" s="357"/>
      <c r="D165" s="358">
        <f>SUM(D157:D164)</f>
        <v>437266.01</v>
      </c>
      <c r="E165" s="320"/>
      <c r="F165" s="320"/>
      <c r="G165" s="321"/>
      <c r="H165" s="359">
        <f>SUM(H157:H164)</f>
        <v>0</v>
      </c>
      <c r="I165" s="359">
        <f>SUM(I157:I164)</f>
        <v>0</v>
      </c>
      <c r="J165" s="359">
        <f>SUM(J157:J164)</f>
        <v>0</v>
      </c>
      <c r="K165" s="360"/>
      <c r="L165" s="361"/>
      <c r="M165" s="358">
        <f>SUM(M157:M164)</f>
        <v>437266.01</v>
      </c>
      <c r="N165" s="362"/>
      <c r="O165" s="362"/>
      <c r="P165" s="363"/>
      <c r="Q165" s="364">
        <f>SUM(Q157:Q164)</f>
        <v>0</v>
      </c>
      <c r="R165" s="364">
        <f>SUM(R157:R164)</f>
        <v>0</v>
      </c>
      <c r="S165" s="364">
        <f>SUM(S157:S164)</f>
        <v>0</v>
      </c>
    </row>
    <row r="166" spans="1:19" ht="22.5" customHeight="1" thickTop="1" x14ac:dyDescent="0.3">
      <c r="A166" s="115"/>
      <c r="B166" s="164" t="s">
        <v>350</v>
      </c>
      <c r="C166" s="366"/>
      <c r="D166" s="86"/>
      <c r="E166" s="167"/>
      <c r="F166" s="167"/>
      <c r="G166" s="168"/>
      <c r="H166" s="255"/>
      <c r="I166" s="255"/>
      <c r="J166" s="255"/>
      <c r="K166" s="367"/>
      <c r="L166" s="368"/>
      <c r="M166" s="369"/>
      <c r="N166" s="117"/>
      <c r="O166" s="117"/>
      <c r="P166" s="118"/>
      <c r="Q166" s="172"/>
      <c r="R166" s="172"/>
      <c r="S166" s="370"/>
    </row>
    <row r="167" spans="1:19" ht="22.5" customHeight="1" x14ac:dyDescent="0.5">
      <c r="A167" s="23">
        <v>1</v>
      </c>
      <c r="B167" s="290" t="s">
        <v>147</v>
      </c>
      <c r="C167" s="371" t="s">
        <v>351</v>
      </c>
      <c r="D167" s="43">
        <v>1400</v>
      </c>
      <c r="E167" s="212"/>
      <c r="F167" s="212"/>
      <c r="G167" s="213"/>
      <c r="H167" s="219">
        <v>0</v>
      </c>
      <c r="I167" s="219">
        <v>0</v>
      </c>
      <c r="J167" s="219">
        <v>0</v>
      </c>
      <c r="K167" s="30">
        <v>25239</v>
      </c>
      <c r="L167" s="220" t="s">
        <v>1167</v>
      </c>
      <c r="M167" s="221">
        <v>1400</v>
      </c>
      <c r="N167" s="372"/>
      <c r="O167" s="372"/>
      <c r="P167" s="373"/>
      <c r="Q167" s="114">
        <f t="shared" ref="Q167:Q172" si="11">SUM(D167+J167-M167)</f>
        <v>0</v>
      </c>
      <c r="R167" s="114">
        <v>0</v>
      </c>
      <c r="S167" s="36">
        <f t="shared" ref="S167:S172" si="12">SUM(Q167)</f>
        <v>0</v>
      </c>
    </row>
    <row r="168" spans="1:19" ht="22.5" customHeight="1" x14ac:dyDescent="0.5">
      <c r="A168" s="23">
        <v>2</v>
      </c>
      <c r="B168" s="290" t="s">
        <v>353</v>
      </c>
      <c r="C168" s="371" t="s">
        <v>354</v>
      </c>
      <c r="D168" s="43">
        <v>11000</v>
      </c>
      <c r="E168" s="212" t="s">
        <v>958</v>
      </c>
      <c r="F168" s="212" t="s">
        <v>33</v>
      </c>
      <c r="G168" s="213" t="s">
        <v>33</v>
      </c>
      <c r="H168" s="219">
        <v>11000</v>
      </c>
      <c r="I168" s="219">
        <v>1</v>
      </c>
      <c r="J168" s="219">
        <v>11000</v>
      </c>
      <c r="K168" s="30">
        <v>25251</v>
      </c>
      <c r="L168" s="220" t="s">
        <v>1168</v>
      </c>
      <c r="M168" s="221">
        <v>22000</v>
      </c>
      <c r="N168" s="215"/>
      <c r="O168" s="215"/>
      <c r="P168" s="216"/>
      <c r="Q168" s="114">
        <f t="shared" si="11"/>
        <v>0</v>
      </c>
      <c r="R168" s="114">
        <v>1</v>
      </c>
      <c r="S168" s="36">
        <f t="shared" si="12"/>
        <v>0</v>
      </c>
    </row>
    <row r="169" spans="1:19" ht="22.5" customHeight="1" x14ac:dyDescent="0.5">
      <c r="A169" s="23">
        <v>3</v>
      </c>
      <c r="B169" s="290" t="s">
        <v>355</v>
      </c>
      <c r="C169" s="371" t="s">
        <v>356</v>
      </c>
      <c r="D169" s="43">
        <v>9400</v>
      </c>
      <c r="E169" s="212" t="s">
        <v>958</v>
      </c>
      <c r="F169" s="212" t="s">
        <v>33</v>
      </c>
      <c r="G169" s="213" t="s">
        <v>33</v>
      </c>
      <c r="H169" s="219">
        <v>9400</v>
      </c>
      <c r="I169" s="219">
        <v>2</v>
      </c>
      <c r="J169" s="219">
        <v>9400</v>
      </c>
      <c r="K169" s="30">
        <v>25258</v>
      </c>
      <c r="L169" s="220" t="s">
        <v>1169</v>
      </c>
      <c r="M169" s="221">
        <v>9400</v>
      </c>
      <c r="N169" s="215">
        <v>25235</v>
      </c>
      <c r="O169" s="215" t="s">
        <v>33</v>
      </c>
      <c r="P169" s="216" t="s">
        <v>33</v>
      </c>
      <c r="Q169" s="114">
        <f t="shared" si="11"/>
        <v>9400</v>
      </c>
      <c r="R169" s="114">
        <v>2</v>
      </c>
      <c r="S169" s="36">
        <f t="shared" si="12"/>
        <v>9400</v>
      </c>
    </row>
    <row r="170" spans="1:19" ht="22.5" customHeight="1" x14ac:dyDescent="0.5">
      <c r="A170" s="331">
        <v>5</v>
      </c>
      <c r="B170" s="374" t="s">
        <v>358</v>
      </c>
      <c r="C170" s="375" t="s">
        <v>356</v>
      </c>
      <c r="D170" s="79">
        <v>9810</v>
      </c>
      <c r="E170" s="234" t="s">
        <v>958</v>
      </c>
      <c r="F170" s="234" t="s">
        <v>33</v>
      </c>
      <c r="G170" s="228" t="s">
        <v>33</v>
      </c>
      <c r="H170" s="219">
        <v>9810</v>
      </c>
      <c r="I170" s="219">
        <v>3</v>
      </c>
      <c r="J170" s="219">
        <v>9810</v>
      </c>
      <c r="K170" s="38">
        <v>25262</v>
      </c>
      <c r="L170" s="376" t="s">
        <v>1170</v>
      </c>
      <c r="M170" s="246">
        <v>9810</v>
      </c>
      <c r="N170" s="215">
        <v>25235</v>
      </c>
      <c r="O170" s="215" t="s">
        <v>33</v>
      </c>
      <c r="P170" s="216" t="s">
        <v>33</v>
      </c>
      <c r="Q170" s="114">
        <f t="shared" si="11"/>
        <v>9810</v>
      </c>
      <c r="R170" s="114">
        <v>3</v>
      </c>
      <c r="S170" s="36">
        <f t="shared" si="12"/>
        <v>9810</v>
      </c>
    </row>
    <row r="171" spans="1:19" ht="22.5" customHeight="1" x14ac:dyDescent="0.5">
      <c r="A171" s="377">
        <v>6</v>
      </c>
      <c r="B171" s="378" t="s">
        <v>359</v>
      </c>
      <c r="C171" s="311" t="s">
        <v>360</v>
      </c>
      <c r="D171" s="379">
        <v>6000</v>
      </c>
      <c r="E171" s="380"/>
      <c r="F171" s="380"/>
      <c r="G171" s="75"/>
      <c r="H171" s="76">
        <v>0</v>
      </c>
      <c r="I171" s="219">
        <v>4</v>
      </c>
      <c r="J171" s="76">
        <v>0</v>
      </c>
      <c r="K171" s="38">
        <v>25238</v>
      </c>
      <c r="L171" s="376" t="s">
        <v>1171</v>
      </c>
      <c r="M171" s="246">
        <v>6000</v>
      </c>
      <c r="N171" s="247"/>
      <c r="O171" s="247"/>
      <c r="P171" s="248"/>
      <c r="Q171" s="114">
        <f t="shared" si="11"/>
        <v>0</v>
      </c>
      <c r="R171" s="114">
        <v>4</v>
      </c>
      <c r="S171" s="36">
        <f t="shared" si="12"/>
        <v>0</v>
      </c>
    </row>
    <row r="172" spans="1:19" ht="22.5" customHeight="1" x14ac:dyDescent="0.5">
      <c r="A172" s="381">
        <v>7</v>
      </c>
      <c r="B172" s="149" t="s">
        <v>281</v>
      </c>
      <c r="C172" s="311" t="s">
        <v>360</v>
      </c>
      <c r="D172" s="382">
        <v>3000</v>
      </c>
      <c r="E172" s="96" t="s">
        <v>958</v>
      </c>
      <c r="F172" s="96" t="s">
        <v>33</v>
      </c>
      <c r="G172" s="97" t="s">
        <v>33</v>
      </c>
      <c r="H172" s="76">
        <v>3000</v>
      </c>
      <c r="I172" s="219">
        <v>5</v>
      </c>
      <c r="J172" s="76">
        <v>3000</v>
      </c>
      <c r="K172" s="30">
        <v>25261</v>
      </c>
      <c r="L172" s="31" t="s">
        <v>1172</v>
      </c>
      <c r="M172" s="32">
        <v>6000</v>
      </c>
      <c r="N172" s="215"/>
      <c r="O172" s="215"/>
      <c r="P172" s="216"/>
      <c r="Q172" s="114">
        <f t="shared" si="11"/>
        <v>0</v>
      </c>
      <c r="R172" s="114">
        <v>5</v>
      </c>
      <c r="S172" s="36">
        <f t="shared" si="12"/>
        <v>0</v>
      </c>
    </row>
    <row r="173" spans="1:19" s="60" customFormat="1" ht="22.5" customHeight="1" thickBot="1" x14ac:dyDescent="0.35">
      <c r="A173" s="317"/>
      <c r="B173" s="317" t="s">
        <v>15</v>
      </c>
      <c r="C173" s="357"/>
      <c r="D173" s="383">
        <f>SUM(D167:D172)</f>
        <v>40610</v>
      </c>
      <c r="E173" s="320"/>
      <c r="F173" s="320"/>
      <c r="G173" s="321"/>
      <c r="H173" s="383">
        <f>SUM(H167:H172)</f>
        <v>33210</v>
      </c>
      <c r="I173" s="383">
        <f>SUM(I167:I172)</f>
        <v>15</v>
      </c>
      <c r="J173" s="383">
        <f>SUM(J167:J172)</f>
        <v>33210</v>
      </c>
      <c r="K173" s="384"/>
      <c r="L173" s="384"/>
      <c r="M173" s="359">
        <f>SUM(M167:M172)</f>
        <v>54610</v>
      </c>
      <c r="N173" s="317"/>
      <c r="O173" s="317"/>
      <c r="P173" s="321"/>
      <c r="Q173" s="385">
        <f>SUM(Q167:Q172)</f>
        <v>19210</v>
      </c>
      <c r="R173" s="385">
        <v>0</v>
      </c>
      <c r="S173" s="386">
        <f>SUM(S167:S172)</f>
        <v>19210</v>
      </c>
    </row>
    <row r="174" spans="1:19" ht="22.5" customHeight="1" thickTop="1" x14ac:dyDescent="0.3">
      <c r="A174" s="61"/>
      <c r="B174" s="62" t="s">
        <v>363</v>
      </c>
      <c r="C174" s="63"/>
      <c r="D174" s="64"/>
      <c r="E174" s="65"/>
      <c r="F174" s="65"/>
      <c r="G174" s="66"/>
      <c r="H174" s="67"/>
      <c r="I174" s="67"/>
      <c r="J174" s="67"/>
      <c r="K174" s="286"/>
      <c r="L174" s="286"/>
      <c r="M174" s="328"/>
      <c r="N174" s="69"/>
      <c r="O174" s="69"/>
      <c r="P174" s="70"/>
      <c r="Q174" s="71"/>
      <c r="R174" s="71"/>
      <c r="S174" s="387"/>
    </row>
    <row r="175" spans="1:19" ht="22.5" customHeight="1" x14ac:dyDescent="0.5">
      <c r="A175" s="208">
        <v>1</v>
      </c>
      <c r="B175" s="73" t="s">
        <v>364</v>
      </c>
      <c r="C175" s="25" t="s">
        <v>365</v>
      </c>
      <c r="D175" s="43">
        <v>10000</v>
      </c>
      <c r="E175" s="212"/>
      <c r="F175" s="234"/>
      <c r="G175" s="228"/>
      <c r="H175" s="219">
        <v>0</v>
      </c>
      <c r="I175" s="219">
        <v>0</v>
      </c>
      <c r="J175" s="219">
        <v>0</v>
      </c>
      <c r="K175" s="30">
        <v>25258</v>
      </c>
      <c r="L175" s="31" t="s">
        <v>1161</v>
      </c>
      <c r="M175" s="32">
        <v>10000</v>
      </c>
      <c r="N175" s="41"/>
      <c r="O175" s="41"/>
      <c r="P175" s="34"/>
      <c r="Q175" s="114">
        <f>SUM(D175+J175-M175)</f>
        <v>0</v>
      </c>
      <c r="R175" s="114">
        <v>0</v>
      </c>
      <c r="S175" s="36">
        <f>SUM(Q175)</f>
        <v>0</v>
      </c>
    </row>
    <row r="176" spans="1:19" ht="22.5" customHeight="1" x14ac:dyDescent="0.5">
      <c r="A176" s="208">
        <v>2</v>
      </c>
      <c r="B176" s="290" t="s">
        <v>367</v>
      </c>
      <c r="C176" s="25" t="s">
        <v>368</v>
      </c>
      <c r="D176" s="388">
        <v>3500</v>
      </c>
      <c r="E176" s="212"/>
      <c r="F176" s="234"/>
      <c r="G176" s="228"/>
      <c r="H176" s="389">
        <v>0</v>
      </c>
      <c r="I176" s="219">
        <v>0</v>
      </c>
      <c r="J176" s="219">
        <v>0</v>
      </c>
      <c r="K176" s="250">
        <v>25254</v>
      </c>
      <c r="L176" s="251" t="s">
        <v>1162</v>
      </c>
      <c r="M176" s="390">
        <v>3500</v>
      </c>
      <c r="N176" s="41"/>
      <c r="O176" s="41"/>
      <c r="P176" s="34"/>
      <c r="Q176" s="114">
        <f t="shared" ref="Q176:Q181" si="13">SUM(D176+J176-M176)</f>
        <v>0</v>
      </c>
      <c r="R176" s="114">
        <v>0</v>
      </c>
      <c r="S176" s="36">
        <f t="shared" ref="S176:S181" si="14">SUM(Q176)</f>
        <v>0</v>
      </c>
    </row>
    <row r="177" spans="1:19" ht="22.5" customHeight="1" x14ac:dyDescent="0.5">
      <c r="A177" s="391">
        <v>3</v>
      </c>
      <c r="B177" s="392" t="s">
        <v>370</v>
      </c>
      <c r="C177" s="63" t="s">
        <v>371</v>
      </c>
      <c r="D177" s="393">
        <v>12000</v>
      </c>
      <c r="E177" s="394"/>
      <c r="F177" s="888"/>
      <c r="G177" s="395"/>
      <c r="H177" s="396">
        <v>0</v>
      </c>
      <c r="I177" s="397">
        <v>0</v>
      </c>
      <c r="J177" s="67">
        <v>0</v>
      </c>
      <c r="K177" s="30">
        <v>25254</v>
      </c>
      <c r="L177" s="31" t="s">
        <v>1163</v>
      </c>
      <c r="M177" s="32">
        <v>12000</v>
      </c>
      <c r="N177" s="41"/>
      <c r="O177" s="41"/>
      <c r="P177" s="34"/>
      <c r="Q177" s="114">
        <f t="shared" si="13"/>
        <v>0</v>
      </c>
      <c r="R177" s="114">
        <v>0</v>
      </c>
      <c r="S177" s="36">
        <f t="shared" si="14"/>
        <v>0</v>
      </c>
    </row>
    <row r="178" spans="1:19" ht="22.5" customHeight="1" x14ac:dyDescent="0.3">
      <c r="A178" s="253">
        <v>4</v>
      </c>
      <c r="B178" s="398" t="s">
        <v>373</v>
      </c>
      <c r="C178" s="165" t="s">
        <v>374</v>
      </c>
      <c r="D178" s="166">
        <v>4100</v>
      </c>
      <c r="E178" s="394"/>
      <c r="F178" s="888"/>
      <c r="G178" s="395"/>
      <c r="H178" s="396">
        <v>0</v>
      </c>
      <c r="I178" s="397">
        <v>0</v>
      </c>
      <c r="J178" s="397">
        <v>0</v>
      </c>
      <c r="K178" s="399">
        <v>25236</v>
      </c>
      <c r="L178" s="400" t="s">
        <v>1164</v>
      </c>
      <c r="M178" s="401">
        <v>4100</v>
      </c>
      <c r="N178" s="41"/>
      <c r="O178" s="41"/>
      <c r="P178" s="34"/>
      <c r="Q178" s="114">
        <f t="shared" si="13"/>
        <v>0</v>
      </c>
      <c r="R178" s="114">
        <v>0</v>
      </c>
      <c r="S178" s="36">
        <f t="shared" si="14"/>
        <v>0</v>
      </c>
    </row>
    <row r="179" spans="1:19" ht="22.5" customHeight="1" x14ac:dyDescent="0.5">
      <c r="A179" s="253">
        <v>5</v>
      </c>
      <c r="B179" s="402" t="s">
        <v>376</v>
      </c>
      <c r="C179" s="403" t="s">
        <v>377</v>
      </c>
      <c r="D179" s="166">
        <v>1850</v>
      </c>
      <c r="E179" s="65"/>
      <c r="F179" s="167"/>
      <c r="G179" s="168"/>
      <c r="H179" s="404">
        <v>0</v>
      </c>
      <c r="I179" s="67">
        <v>0</v>
      </c>
      <c r="J179" s="67">
        <v>0</v>
      </c>
      <c r="K179" s="30">
        <v>25240</v>
      </c>
      <c r="L179" s="31" t="s">
        <v>1165</v>
      </c>
      <c r="M179" s="32">
        <v>1850</v>
      </c>
      <c r="N179" s="41"/>
      <c r="O179" s="41"/>
      <c r="P179" s="34"/>
      <c r="Q179" s="114">
        <f t="shared" si="13"/>
        <v>0</v>
      </c>
      <c r="R179" s="114">
        <v>0</v>
      </c>
      <c r="S179" s="36">
        <f t="shared" si="14"/>
        <v>0</v>
      </c>
    </row>
    <row r="180" spans="1:19" ht="22.5" customHeight="1" x14ac:dyDescent="0.5">
      <c r="A180" s="253">
        <v>6</v>
      </c>
      <c r="B180" s="378" t="s">
        <v>380</v>
      </c>
      <c r="C180" s="405" t="s">
        <v>381</v>
      </c>
      <c r="D180" s="166">
        <v>0</v>
      </c>
      <c r="E180" s="65"/>
      <c r="F180" s="167"/>
      <c r="G180" s="168"/>
      <c r="H180" s="404">
        <v>0</v>
      </c>
      <c r="I180" s="67">
        <v>0</v>
      </c>
      <c r="J180" s="67">
        <v>0</v>
      </c>
      <c r="K180" s="30"/>
      <c r="L180" s="31"/>
      <c r="M180" s="32"/>
      <c r="N180" s="41"/>
      <c r="O180" s="41"/>
      <c r="P180" s="34"/>
      <c r="Q180" s="114">
        <f t="shared" si="13"/>
        <v>0</v>
      </c>
      <c r="R180" s="114">
        <v>0</v>
      </c>
      <c r="S180" s="36">
        <f t="shared" si="14"/>
        <v>0</v>
      </c>
    </row>
    <row r="181" spans="1:19" ht="22.5" customHeight="1" x14ac:dyDescent="0.5">
      <c r="A181" s="208">
        <v>7</v>
      </c>
      <c r="B181" s="149" t="s">
        <v>383</v>
      </c>
      <c r="C181" s="311" t="s">
        <v>384</v>
      </c>
      <c r="D181" s="166">
        <v>5400</v>
      </c>
      <c r="E181" s="65"/>
      <c r="F181" s="167"/>
      <c r="G181" s="168"/>
      <c r="H181" s="404">
        <v>0</v>
      </c>
      <c r="I181" s="67">
        <v>0</v>
      </c>
      <c r="J181" s="67">
        <v>0</v>
      </c>
      <c r="K181" s="250">
        <v>25237</v>
      </c>
      <c r="L181" s="251" t="s">
        <v>1166</v>
      </c>
      <c r="M181" s="390">
        <v>5400</v>
      </c>
      <c r="N181" s="41"/>
      <c r="O181" s="41"/>
      <c r="P181" s="34"/>
      <c r="Q181" s="114">
        <f t="shared" si="13"/>
        <v>0</v>
      </c>
      <c r="R181" s="114">
        <v>0</v>
      </c>
      <c r="S181" s="36">
        <f t="shared" si="14"/>
        <v>0</v>
      </c>
    </row>
    <row r="182" spans="1:19" s="60" customFormat="1" ht="22.5" customHeight="1" thickBot="1" x14ac:dyDescent="0.35">
      <c r="A182" s="317"/>
      <c r="B182" s="317" t="s">
        <v>15</v>
      </c>
      <c r="C182" s="318"/>
      <c r="D182" s="383">
        <v>38350</v>
      </c>
      <c r="E182" s="320"/>
      <c r="F182" s="320"/>
      <c r="G182" s="321"/>
      <c r="H182" s="358">
        <f>SUM(H178:H181)</f>
        <v>0</v>
      </c>
      <c r="I182" s="358">
        <f>SUM(I178:I181)</f>
        <v>0</v>
      </c>
      <c r="J182" s="358">
        <f>SUM(J178:J181)</f>
        <v>0</v>
      </c>
      <c r="K182" s="383"/>
      <c r="L182" s="383">
        <v>0</v>
      </c>
      <c r="M182" s="383">
        <f>SUM(M175:M181)</f>
        <v>36850</v>
      </c>
      <c r="N182" s="407"/>
      <c r="O182" s="407"/>
      <c r="P182" s="321"/>
      <c r="Q182" s="323">
        <f>SUM(Q175:Q181)</f>
        <v>0</v>
      </c>
      <c r="R182" s="323">
        <f>SUM(R175:R181)</f>
        <v>0</v>
      </c>
      <c r="S182" s="323">
        <f>SUM(S175:S181)</f>
        <v>0</v>
      </c>
    </row>
    <row r="183" spans="1:19" ht="22.5" customHeight="1" thickTop="1" x14ac:dyDescent="0.3">
      <c r="A183" s="61"/>
      <c r="B183" s="62" t="s">
        <v>386</v>
      </c>
      <c r="C183" s="63"/>
      <c r="D183" s="64"/>
      <c r="E183" s="65"/>
      <c r="F183" s="65"/>
      <c r="G183" s="66"/>
      <c r="H183" s="67"/>
      <c r="I183" s="67"/>
      <c r="J183" s="67"/>
      <c r="K183" s="68"/>
      <c r="L183" s="68"/>
      <c r="M183" s="64"/>
      <c r="N183" s="69"/>
      <c r="O183" s="69"/>
      <c r="P183" s="70"/>
      <c r="Q183" s="71"/>
      <c r="R183" s="71"/>
      <c r="S183" s="387"/>
    </row>
    <row r="184" spans="1:19" ht="22.5" customHeight="1" x14ac:dyDescent="0.3">
      <c r="A184" s="208">
        <v>1</v>
      </c>
      <c r="B184" s="73" t="s">
        <v>387</v>
      </c>
      <c r="C184" s="25" t="s">
        <v>388</v>
      </c>
      <c r="D184" s="43">
        <v>0</v>
      </c>
      <c r="E184" s="212"/>
      <c r="F184" s="212"/>
      <c r="G184" s="213"/>
      <c r="H184" s="219">
        <v>0</v>
      </c>
      <c r="I184" s="219">
        <v>0</v>
      </c>
      <c r="J184" s="219">
        <v>0</v>
      </c>
      <c r="K184" s="408"/>
      <c r="L184" s="408"/>
      <c r="M184" s="43"/>
      <c r="N184" s="41"/>
      <c r="O184" s="41"/>
      <c r="P184" s="34"/>
      <c r="Q184" s="114">
        <v>0</v>
      </c>
      <c r="R184" s="114">
        <v>0</v>
      </c>
      <c r="S184" s="409">
        <v>0</v>
      </c>
    </row>
    <row r="185" spans="1:19" ht="22.5" customHeight="1" x14ac:dyDescent="0.5">
      <c r="A185" s="208">
        <v>2</v>
      </c>
      <c r="B185" s="290" t="s">
        <v>389</v>
      </c>
      <c r="C185" s="25" t="s">
        <v>390</v>
      </c>
      <c r="D185" s="388">
        <v>3150</v>
      </c>
      <c r="E185" s="212" t="s">
        <v>958</v>
      </c>
      <c r="F185" s="234" t="s">
        <v>33</v>
      </c>
      <c r="G185" s="228" t="s">
        <v>33</v>
      </c>
      <c r="H185" s="666">
        <v>3150</v>
      </c>
      <c r="I185" s="219">
        <v>0</v>
      </c>
      <c r="J185" s="219">
        <v>3150</v>
      </c>
      <c r="K185" s="335">
        <v>25236</v>
      </c>
      <c r="L185" s="410" t="s">
        <v>1173</v>
      </c>
      <c r="M185" s="411">
        <v>3150</v>
      </c>
      <c r="N185" s="215">
        <v>25235</v>
      </c>
      <c r="O185" s="215" t="s">
        <v>33</v>
      </c>
      <c r="P185" s="216" t="s">
        <v>33</v>
      </c>
      <c r="Q185" s="114">
        <f>SUM(H185+D185-M185)</f>
        <v>3150</v>
      </c>
      <c r="R185" s="114">
        <v>0</v>
      </c>
      <c r="S185" s="409">
        <f>SUM(Q185)</f>
        <v>3150</v>
      </c>
    </row>
    <row r="186" spans="1:19" s="60" customFormat="1" ht="22.5" customHeight="1" thickBot="1" x14ac:dyDescent="0.35">
      <c r="A186" s="317"/>
      <c r="B186" s="317" t="s">
        <v>15</v>
      </c>
      <c r="C186" s="318"/>
      <c r="D186" s="383">
        <f>SUM(D184:D185)</f>
        <v>3150</v>
      </c>
      <c r="E186" s="320"/>
      <c r="F186" s="320"/>
      <c r="G186" s="321"/>
      <c r="H186" s="358">
        <f>SUM(H184:H185)</f>
        <v>3150</v>
      </c>
      <c r="I186" s="358">
        <f>SUM(I184:I185)</f>
        <v>0</v>
      </c>
      <c r="J186" s="358">
        <f>SUM(J184:J185)</f>
        <v>3150</v>
      </c>
      <c r="K186" s="383"/>
      <c r="L186" s="383">
        <v>0</v>
      </c>
      <c r="M186" s="383">
        <f>SUM(M184:M185)</f>
        <v>3150</v>
      </c>
      <c r="N186" s="407"/>
      <c r="O186" s="407"/>
      <c r="P186" s="321"/>
      <c r="Q186" s="323">
        <f>SUM(Q184:Q185)</f>
        <v>3150</v>
      </c>
      <c r="R186" s="323">
        <v>0</v>
      </c>
      <c r="S186" s="386">
        <f>SUM(S184:S185)</f>
        <v>3150</v>
      </c>
    </row>
    <row r="187" spans="1:19" ht="22.5" customHeight="1" thickTop="1" x14ac:dyDescent="0.3">
      <c r="A187" s="61"/>
      <c r="B187" s="62" t="s">
        <v>392</v>
      </c>
      <c r="C187" s="63" t="s">
        <v>393</v>
      </c>
      <c r="D187" s="64"/>
      <c r="E187" s="65"/>
      <c r="F187" s="65"/>
      <c r="G187" s="66"/>
      <c r="H187" s="67"/>
      <c r="I187" s="67"/>
      <c r="J187" s="67"/>
      <c r="K187" s="68"/>
      <c r="L187" s="68"/>
      <c r="M187" s="64"/>
      <c r="N187" s="69"/>
      <c r="O187" s="69"/>
      <c r="P187" s="70"/>
      <c r="Q187" s="71"/>
      <c r="R187" s="71"/>
      <c r="S187" s="72"/>
    </row>
    <row r="188" spans="1:19" ht="22.5" customHeight="1" x14ac:dyDescent="0.3">
      <c r="A188" s="208"/>
      <c r="B188" s="290" t="s">
        <v>394</v>
      </c>
      <c r="C188" s="25"/>
      <c r="D188" s="388"/>
      <c r="E188" s="212"/>
      <c r="F188" s="234"/>
      <c r="G188" s="228"/>
      <c r="H188" s="389"/>
      <c r="I188" s="219"/>
      <c r="J188" s="219"/>
      <c r="K188" s="303"/>
      <c r="L188" s="303"/>
      <c r="M188" s="388"/>
      <c r="N188" s="33"/>
      <c r="O188" s="111"/>
      <c r="P188" s="112"/>
      <c r="Q188" s="114"/>
      <c r="R188" s="114"/>
      <c r="S188" s="409"/>
    </row>
    <row r="189" spans="1:19" s="60" customFormat="1" ht="22.5" customHeight="1" thickBot="1" x14ac:dyDescent="0.35">
      <c r="A189" s="317"/>
      <c r="B189" s="317" t="s">
        <v>15</v>
      </c>
      <c r="C189" s="318"/>
      <c r="D189" s="383">
        <v>0</v>
      </c>
      <c r="E189" s="320"/>
      <c r="F189" s="320"/>
      <c r="G189" s="321"/>
      <c r="H189" s="358">
        <v>0</v>
      </c>
      <c r="I189" s="358">
        <v>0</v>
      </c>
      <c r="J189" s="358">
        <v>0</v>
      </c>
      <c r="K189" s="383">
        <v>0</v>
      </c>
      <c r="L189" s="383">
        <v>0</v>
      </c>
      <c r="M189" s="383">
        <v>0</v>
      </c>
      <c r="N189" s="407"/>
      <c r="O189" s="407"/>
      <c r="P189" s="321"/>
      <c r="Q189" s="323">
        <v>0</v>
      </c>
      <c r="R189" s="323">
        <v>0</v>
      </c>
      <c r="S189" s="386">
        <v>0</v>
      </c>
    </row>
    <row r="190" spans="1:19" ht="22.5" customHeight="1" thickTop="1" x14ac:dyDescent="0.3">
      <c r="A190" s="115"/>
      <c r="B190" s="412" t="s">
        <v>395</v>
      </c>
      <c r="C190" s="165"/>
      <c r="D190" s="86"/>
      <c r="E190" s="413"/>
      <c r="F190" s="413"/>
      <c r="G190" s="414"/>
      <c r="H190" s="415"/>
      <c r="I190" s="415"/>
      <c r="J190" s="415"/>
      <c r="K190" s="170"/>
      <c r="L190" s="171"/>
      <c r="M190" s="86"/>
      <c r="N190" s="115"/>
      <c r="O190" s="115"/>
      <c r="P190" s="414"/>
      <c r="Q190" s="416"/>
      <c r="R190" s="416"/>
      <c r="S190" s="417"/>
    </row>
    <row r="191" spans="1:19" ht="22.5" customHeight="1" x14ac:dyDescent="0.3">
      <c r="A191" s="115"/>
      <c r="B191" s="412"/>
      <c r="C191" s="165"/>
      <c r="D191" s="86"/>
      <c r="E191" s="413"/>
      <c r="F191" s="413"/>
      <c r="G191" s="414"/>
      <c r="H191" s="415"/>
      <c r="I191" s="415"/>
      <c r="J191" s="415"/>
      <c r="K191" s="170"/>
      <c r="L191" s="171"/>
      <c r="M191" s="86"/>
      <c r="N191" s="115"/>
      <c r="O191" s="115"/>
      <c r="P191" s="414"/>
      <c r="Q191" s="416"/>
      <c r="R191" s="416"/>
      <c r="S191" s="417"/>
    </row>
    <row r="192" spans="1:19" ht="22.5" customHeight="1" x14ac:dyDescent="0.3">
      <c r="A192" s="115"/>
      <c r="B192" s="412"/>
      <c r="C192" s="165"/>
      <c r="D192" s="86"/>
      <c r="E192" s="413"/>
      <c r="F192" s="413"/>
      <c r="G192" s="414"/>
      <c r="H192" s="415"/>
      <c r="I192" s="415"/>
      <c r="J192" s="415"/>
      <c r="K192" s="170"/>
      <c r="L192" s="171"/>
      <c r="M192" s="86"/>
      <c r="N192" s="115"/>
      <c r="O192" s="115"/>
      <c r="P192" s="414"/>
      <c r="Q192" s="416"/>
      <c r="R192" s="416"/>
      <c r="S192" s="417"/>
    </row>
    <row r="193" spans="1:19" s="60" customFormat="1" ht="22.2" customHeight="1" thickBot="1" x14ac:dyDescent="0.35">
      <c r="A193" s="418"/>
      <c r="B193" s="419" t="s">
        <v>15</v>
      </c>
      <c r="C193" s="420"/>
      <c r="D193" s="421">
        <v>0</v>
      </c>
      <c r="E193" s="422"/>
      <c r="F193" s="422"/>
      <c r="G193" s="423"/>
      <c r="H193" s="424"/>
      <c r="I193" s="424"/>
      <c r="J193" s="424"/>
      <c r="K193" s="425"/>
      <c r="L193" s="426"/>
      <c r="M193" s="421">
        <v>0</v>
      </c>
      <c r="N193" s="418"/>
      <c r="O193" s="418"/>
      <c r="P193" s="423"/>
      <c r="Q193" s="427">
        <v>0</v>
      </c>
      <c r="R193" s="427">
        <v>0</v>
      </c>
      <c r="S193" s="428">
        <v>0</v>
      </c>
    </row>
    <row r="194" spans="1:19" ht="22.5" customHeight="1" thickTop="1" x14ac:dyDescent="0.3">
      <c r="A194" s="429"/>
      <c r="B194" s="430"/>
      <c r="C194" s="431"/>
      <c r="D194" s="432"/>
      <c r="E194" s="433"/>
      <c r="F194" s="433"/>
      <c r="G194" s="434"/>
      <c r="H194" s="435"/>
      <c r="I194" s="435"/>
      <c r="J194" s="435"/>
      <c r="K194" s="436"/>
      <c r="L194" s="437"/>
      <c r="M194" s="438"/>
      <c r="N194" s="439"/>
      <c r="O194" s="439"/>
      <c r="P194" s="440"/>
      <c r="Q194" s="441"/>
      <c r="R194" s="441"/>
      <c r="S194" s="442"/>
    </row>
    <row r="195" spans="1:19" ht="22.5" customHeight="1" x14ac:dyDescent="0.3">
      <c r="A195" s="61"/>
      <c r="B195" s="4" t="s">
        <v>396</v>
      </c>
      <c r="C195" s="63"/>
      <c r="D195" s="382"/>
      <c r="E195" s="443"/>
      <c r="F195" s="443"/>
      <c r="G195" s="66"/>
      <c r="H195" s="444"/>
      <c r="I195" s="444"/>
      <c r="J195" s="444"/>
      <c r="K195" s="68"/>
      <c r="L195" s="445"/>
      <c r="M195" s="64"/>
      <c r="N195" s="69"/>
      <c r="O195" s="69"/>
      <c r="P195" s="70"/>
      <c r="Q195" s="71"/>
      <c r="R195" s="71"/>
      <c r="S195" s="387"/>
    </row>
    <row r="196" spans="1:19" ht="22.5" customHeight="1" x14ac:dyDescent="0.5">
      <c r="A196" s="446">
        <v>1</v>
      </c>
      <c r="B196" s="447" t="s">
        <v>398</v>
      </c>
      <c r="C196" s="63"/>
      <c r="D196" s="382"/>
      <c r="E196" s="443"/>
      <c r="F196" s="443"/>
      <c r="G196" s="66"/>
      <c r="H196" s="448">
        <v>0</v>
      </c>
      <c r="I196" s="448">
        <v>0</v>
      </c>
      <c r="J196" s="448">
        <v>0</v>
      </c>
      <c r="K196" s="449"/>
      <c r="L196" s="450"/>
      <c r="M196" s="451"/>
      <c r="N196" s="69"/>
      <c r="O196" s="69"/>
      <c r="P196" s="70"/>
      <c r="Q196" s="71">
        <f>SUM(S196)</f>
        <v>0</v>
      </c>
      <c r="R196" s="71">
        <v>0</v>
      </c>
      <c r="S196" s="387">
        <f>SUM(D196+J196-M196)</f>
        <v>0</v>
      </c>
    </row>
    <row r="197" spans="1:19" ht="22.5" customHeight="1" x14ac:dyDescent="0.3">
      <c r="A197" s="61"/>
      <c r="B197" s="164" t="s">
        <v>399</v>
      </c>
      <c r="C197" s="63"/>
      <c r="D197" s="382"/>
      <c r="E197" s="443"/>
      <c r="F197" s="443"/>
      <c r="G197" s="66"/>
      <c r="H197" s="444"/>
      <c r="I197" s="444"/>
      <c r="J197" s="444"/>
      <c r="K197" s="68"/>
      <c r="L197" s="445"/>
      <c r="M197" s="64"/>
      <c r="N197" s="69"/>
      <c r="O197" s="69"/>
      <c r="P197" s="70"/>
      <c r="Q197" s="71"/>
      <c r="R197" s="71"/>
      <c r="S197" s="387"/>
    </row>
    <row r="198" spans="1:19" ht="22.5" customHeight="1" x14ac:dyDescent="0.5">
      <c r="A198" s="61">
        <v>1</v>
      </c>
      <c r="B198" s="290" t="s">
        <v>400</v>
      </c>
      <c r="C198" s="25" t="s">
        <v>333</v>
      </c>
      <c r="D198" s="452"/>
      <c r="E198" s="443"/>
      <c r="F198" s="443"/>
      <c r="G198" s="66"/>
      <c r="H198" s="67">
        <v>0</v>
      </c>
      <c r="I198" s="67">
        <v>0</v>
      </c>
      <c r="J198" s="67">
        <v>0</v>
      </c>
      <c r="K198" s="449"/>
      <c r="L198" s="450"/>
      <c r="M198" s="451"/>
      <c r="N198" s="69"/>
      <c r="O198" s="69"/>
      <c r="P198" s="70"/>
      <c r="Q198" s="71">
        <f t="shared" ref="Q198:Q247" si="15">SUM(S198)</f>
        <v>0</v>
      </c>
      <c r="R198" s="71">
        <v>0</v>
      </c>
      <c r="S198" s="387">
        <f t="shared" ref="S198:S247" si="16">SUM(D198+J198-M198)</f>
        <v>0</v>
      </c>
    </row>
    <row r="199" spans="1:19" ht="22.5" customHeight="1" x14ac:dyDescent="0.5">
      <c r="A199" s="61">
        <v>2</v>
      </c>
      <c r="B199" s="290" t="s">
        <v>401</v>
      </c>
      <c r="C199" s="81" t="s">
        <v>336</v>
      </c>
      <c r="D199" s="452"/>
      <c r="E199" s="443"/>
      <c r="F199" s="443"/>
      <c r="G199" s="66"/>
      <c r="H199" s="67">
        <v>0</v>
      </c>
      <c r="I199" s="67">
        <v>0</v>
      </c>
      <c r="J199" s="67">
        <v>0</v>
      </c>
      <c r="K199" s="449"/>
      <c r="L199" s="450"/>
      <c r="M199" s="451"/>
      <c r="N199" s="69"/>
      <c r="O199" s="69"/>
      <c r="P199" s="70"/>
      <c r="Q199" s="71">
        <f t="shared" si="15"/>
        <v>0</v>
      </c>
      <c r="R199" s="71">
        <v>0</v>
      </c>
      <c r="S199" s="387">
        <f t="shared" si="16"/>
        <v>0</v>
      </c>
    </row>
    <row r="200" spans="1:19" ht="22.5" customHeight="1" x14ac:dyDescent="0.5">
      <c r="A200" s="61">
        <v>3</v>
      </c>
      <c r="B200" s="290" t="s">
        <v>403</v>
      </c>
      <c r="C200" s="25" t="s">
        <v>339</v>
      </c>
      <c r="D200" s="452"/>
      <c r="E200" s="443"/>
      <c r="F200" s="443"/>
      <c r="G200" s="66"/>
      <c r="H200" s="67">
        <v>0</v>
      </c>
      <c r="I200" s="67">
        <v>0</v>
      </c>
      <c r="J200" s="67">
        <v>0</v>
      </c>
      <c r="K200" s="449"/>
      <c r="L200" s="450"/>
      <c r="M200" s="451"/>
      <c r="N200" s="69"/>
      <c r="O200" s="69"/>
      <c r="P200" s="70"/>
      <c r="Q200" s="71">
        <f t="shared" si="15"/>
        <v>0</v>
      </c>
      <c r="R200" s="71">
        <v>0</v>
      </c>
      <c r="S200" s="387">
        <f t="shared" si="16"/>
        <v>0</v>
      </c>
    </row>
    <row r="201" spans="1:19" ht="22.5" customHeight="1" x14ac:dyDescent="0.5">
      <c r="A201" s="61">
        <v>4</v>
      </c>
      <c r="B201" s="290" t="s">
        <v>405</v>
      </c>
      <c r="C201" s="25" t="s">
        <v>406</v>
      </c>
      <c r="D201" s="452"/>
      <c r="E201" s="443"/>
      <c r="F201" s="443"/>
      <c r="G201" s="66"/>
      <c r="H201" s="67">
        <v>0</v>
      </c>
      <c r="I201" s="67">
        <v>0</v>
      </c>
      <c r="J201" s="67">
        <v>0</v>
      </c>
      <c r="K201" s="449"/>
      <c r="L201" s="450"/>
      <c r="M201" s="451"/>
      <c r="N201" s="69"/>
      <c r="O201" s="69"/>
      <c r="P201" s="70"/>
      <c r="Q201" s="71">
        <f t="shared" si="15"/>
        <v>0</v>
      </c>
      <c r="R201" s="71">
        <v>0</v>
      </c>
      <c r="S201" s="387">
        <f t="shared" si="16"/>
        <v>0</v>
      </c>
    </row>
    <row r="202" spans="1:19" ht="22.5" customHeight="1" x14ac:dyDescent="0.5">
      <c r="A202" s="61">
        <v>5</v>
      </c>
      <c r="B202" s="290" t="s">
        <v>407</v>
      </c>
      <c r="C202" s="63" t="s">
        <v>331</v>
      </c>
      <c r="D202" s="452"/>
      <c r="E202" s="443"/>
      <c r="F202" s="443"/>
      <c r="G202" s="66"/>
      <c r="H202" s="67">
        <v>0</v>
      </c>
      <c r="I202" s="67">
        <v>0</v>
      </c>
      <c r="J202" s="67">
        <v>0</v>
      </c>
      <c r="K202" s="449"/>
      <c r="L202" s="450"/>
      <c r="M202" s="451"/>
      <c r="N202" s="69"/>
      <c r="O202" s="69"/>
      <c r="P202" s="70"/>
      <c r="Q202" s="71">
        <f t="shared" si="15"/>
        <v>0</v>
      </c>
      <c r="R202" s="71">
        <v>0</v>
      </c>
      <c r="S202" s="387">
        <f t="shared" si="16"/>
        <v>0</v>
      </c>
    </row>
    <row r="203" spans="1:19" ht="22.5" customHeight="1" x14ac:dyDescent="0.5">
      <c r="A203" s="61">
        <v>6</v>
      </c>
      <c r="B203" s="290" t="s">
        <v>408</v>
      </c>
      <c r="C203" s="63" t="s">
        <v>331</v>
      </c>
      <c r="D203" s="452"/>
      <c r="E203" s="443"/>
      <c r="F203" s="443"/>
      <c r="G203" s="66"/>
      <c r="H203" s="67">
        <v>0</v>
      </c>
      <c r="I203" s="67">
        <v>0</v>
      </c>
      <c r="J203" s="67">
        <v>0</v>
      </c>
      <c r="K203" s="449"/>
      <c r="L203" s="450"/>
      <c r="M203" s="451"/>
      <c r="N203" s="69"/>
      <c r="O203" s="69"/>
      <c r="P203" s="70"/>
      <c r="Q203" s="71">
        <f t="shared" si="15"/>
        <v>0</v>
      </c>
      <c r="R203" s="71">
        <v>0</v>
      </c>
      <c r="S203" s="387">
        <f t="shared" si="16"/>
        <v>0</v>
      </c>
    </row>
    <row r="204" spans="1:19" ht="22.5" customHeight="1" x14ac:dyDescent="0.5">
      <c r="A204" s="61">
        <v>7</v>
      </c>
      <c r="B204" s="290" t="s">
        <v>410</v>
      </c>
      <c r="C204" s="63" t="s">
        <v>411</v>
      </c>
      <c r="D204" s="452"/>
      <c r="E204" s="443"/>
      <c r="F204" s="443"/>
      <c r="G204" s="66"/>
      <c r="H204" s="67">
        <v>0</v>
      </c>
      <c r="I204" s="67">
        <v>0</v>
      </c>
      <c r="J204" s="67">
        <v>0</v>
      </c>
      <c r="K204" s="449"/>
      <c r="L204" s="450"/>
      <c r="M204" s="451"/>
      <c r="N204" s="69"/>
      <c r="O204" s="69"/>
      <c r="P204" s="70"/>
      <c r="Q204" s="71">
        <f t="shared" si="15"/>
        <v>0</v>
      </c>
      <c r="R204" s="71">
        <v>0</v>
      </c>
      <c r="S204" s="387">
        <f t="shared" si="16"/>
        <v>0</v>
      </c>
    </row>
    <row r="205" spans="1:19" ht="22.5" customHeight="1" x14ac:dyDescent="0.5">
      <c r="A205" s="61">
        <v>8</v>
      </c>
      <c r="B205" s="290" t="s">
        <v>413</v>
      </c>
      <c r="C205" s="63"/>
      <c r="D205" s="452"/>
      <c r="E205" s="443"/>
      <c r="F205" s="443"/>
      <c r="G205" s="66"/>
      <c r="H205" s="67">
        <v>0</v>
      </c>
      <c r="I205" s="67">
        <v>0</v>
      </c>
      <c r="J205" s="67">
        <v>0</v>
      </c>
      <c r="K205" s="449"/>
      <c r="L205" s="450"/>
      <c r="M205" s="451"/>
      <c r="N205" s="69"/>
      <c r="O205" s="69"/>
      <c r="P205" s="70"/>
      <c r="Q205" s="71">
        <f t="shared" si="15"/>
        <v>0</v>
      </c>
      <c r="R205" s="71">
        <v>0</v>
      </c>
      <c r="S205" s="387">
        <f t="shared" si="16"/>
        <v>0</v>
      </c>
    </row>
    <row r="206" spans="1:19" ht="22.5" customHeight="1" x14ac:dyDescent="0.5">
      <c r="A206" s="61">
        <v>9</v>
      </c>
      <c r="B206" s="290" t="s">
        <v>414</v>
      </c>
      <c r="C206" s="63" t="s">
        <v>415</v>
      </c>
      <c r="D206" s="452"/>
      <c r="E206" s="443"/>
      <c r="F206" s="443"/>
      <c r="G206" s="66"/>
      <c r="H206" s="67">
        <v>0</v>
      </c>
      <c r="I206" s="67">
        <v>0</v>
      </c>
      <c r="J206" s="67">
        <v>0</v>
      </c>
      <c r="K206" s="449"/>
      <c r="L206" s="450"/>
      <c r="M206" s="451"/>
      <c r="N206" s="69"/>
      <c r="O206" s="69"/>
      <c r="P206" s="70"/>
      <c r="Q206" s="71">
        <f t="shared" si="15"/>
        <v>0</v>
      </c>
      <c r="R206" s="71">
        <v>0</v>
      </c>
      <c r="S206" s="387">
        <f t="shared" si="16"/>
        <v>0</v>
      </c>
    </row>
    <row r="207" spans="1:19" ht="22.5" customHeight="1" x14ac:dyDescent="0.5">
      <c r="A207" s="61">
        <v>10</v>
      </c>
      <c r="B207" s="290" t="s">
        <v>359</v>
      </c>
      <c r="C207" s="63" t="s">
        <v>417</v>
      </c>
      <c r="D207" s="452"/>
      <c r="E207" s="443"/>
      <c r="F207" s="443"/>
      <c r="G207" s="66"/>
      <c r="H207" s="67">
        <v>0</v>
      </c>
      <c r="I207" s="67">
        <v>0</v>
      </c>
      <c r="J207" s="67">
        <v>0</v>
      </c>
      <c r="K207" s="449"/>
      <c r="L207" s="450"/>
      <c r="M207" s="451"/>
      <c r="N207" s="69"/>
      <c r="O207" s="69"/>
      <c r="P207" s="70"/>
      <c r="Q207" s="71">
        <f t="shared" si="15"/>
        <v>0</v>
      </c>
      <c r="R207" s="71">
        <v>0</v>
      </c>
      <c r="S207" s="387">
        <f t="shared" si="16"/>
        <v>0</v>
      </c>
    </row>
    <row r="208" spans="1:19" ht="22.5" customHeight="1" x14ac:dyDescent="0.5">
      <c r="A208" s="61">
        <v>11</v>
      </c>
      <c r="B208" s="290" t="s">
        <v>397</v>
      </c>
      <c r="C208" s="63" t="s">
        <v>417</v>
      </c>
      <c r="D208" s="452"/>
      <c r="E208" s="443"/>
      <c r="F208" s="443"/>
      <c r="G208" s="66"/>
      <c r="H208" s="67">
        <v>0</v>
      </c>
      <c r="I208" s="67">
        <v>0</v>
      </c>
      <c r="J208" s="67">
        <v>0</v>
      </c>
      <c r="K208" s="449"/>
      <c r="L208" s="450"/>
      <c r="M208" s="451"/>
      <c r="N208" s="69"/>
      <c r="O208" s="69"/>
      <c r="P208" s="70"/>
      <c r="Q208" s="71">
        <f t="shared" si="15"/>
        <v>0</v>
      </c>
      <c r="R208" s="71">
        <v>0</v>
      </c>
      <c r="S208" s="387">
        <f t="shared" si="16"/>
        <v>0</v>
      </c>
    </row>
    <row r="209" spans="1:20" ht="22.5" customHeight="1" x14ac:dyDescent="0.5">
      <c r="A209" s="61">
        <v>12</v>
      </c>
      <c r="B209" s="290" t="s">
        <v>358</v>
      </c>
      <c r="C209" s="63" t="s">
        <v>417</v>
      </c>
      <c r="D209" s="452"/>
      <c r="E209" s="443" t="s">
        <v>795</v>
      </c>
      <c r="F209" s="443"/>
      <c r="G209" s="66"/>
      <c r="H209" s="67">
        <v>9651.43</v>
      </c>
      <c r="I209" s="67">
        <v>0</v>
      </c>
      <c r="J209" s="67">
        <v>9651.43</v>
      </c>
      <c r="K209" s="449">
        <v>25244</v>
      </c>
      <c r="L209" s="450" t="s">
        <v>1174</v>
      </c>
      <c r="M209" s="451">
        <v>9651.43</v>
      </c>
      <c r="N209" s="69"/>
      <c r="O209" s="69"/>
      <c r="P209" s="70"/>
      <c r="Q209" s="71">
        <f t="shared" si="15"/>
        <v>0</v>
      </c>
      <c r="R209" s="71">
        <v>0</v>
      </c>
      <c r="S209" s="387">
        <f t="shared" si="16"/>
        <v>0</v>
      </c>
    </row>
    <row r="210" spans="1:20" ht="22.5" customHeight="1" x14ac:dyDescent="0.5">
      <c r="A210" s="61">
        <v>13</v>
      </c>
      <c r="B210" s="290" t="s">
        <v>419</v>
      </c>
      <c r="C210" s="63" t="s">
        <v>417</v>
      </c>
      <c r="D210" s="452"/>
      <c r="E210" s="443"/>
      <c r="F210" s="443"/>
      <c r="G210" s="66"/>
      <c r="H210" s="67">
        <v>0</v>
      </c>
      <c r="I210" s="67">
        <v>0</v>
      </c>
      <c r="J210" s="67">
        <v>0</v>
      </c>
      <c r="K210" s="30"/>
      <c r="L210" s="249"/>
      <c r="M210" s="451"/>
      <c r="N210" s="69"/>
      <c r="O210" s="69"/>
      <c r="P210" s="70"/>
      <c r="Q210" s="71">
        <f t="shared" si="15"/>
        <v>0</v>
      </c>
      <c r="R210" s="71">
        <v>0</v>
      </c>
      <c r="S210" s="387">
        <f t="shared" si="16"/>
        <v>0</v>
      </c>
      <c r="T210" s="3" t="s">
        <v>420</v>
      </c>
    </row>
    <row r="211" spans="1:20" ht="22.5" customHeight="1" x14ac:dyDescent="0.5">
      <c r="A211" s="61">
        <v>14</v>
      </c>
      <c r="B211" s="290" t="s">
        <v>353</v>
      </c>
      <c r="C211" s="63" t="s">
        <v>417</v>
      </c>
      <c r="D211" s="452"/>
      <c r="E211" s="443"/>
      <c r="F211" s="443"/>
      <c r="G211" s="66"/>
      <c r="H211" s="67">
        <v>0</v>
      </c>
      <c r="I211" s="67">
        <v>0</v>
      </c>
      <c r="J211" s="67">
        <v>0</v>
      </c>
      <c r="K211" s="449"/>
      <c r="L211" s="450"/>
      <c r="M211" s="451"/>
      <c r="N211" s="69"/>
      <c r="O211" s="69"/>
      <c r="P211" s="70"/>
      <c r="Q211" s="71">
        <f t="shared" si="15"/>
        <v>0</v>
      </c>
      <c r="R211" s="71">
        <v>0</v>
      </c>
      <c r="S211" s="387">
        <f t="shared" si="16"/>
        <v>0</v>
      </c>
    </row>
    <row r="212" spans="1:20" ht="22.5" customHeight="1" x14ac:dyDescent="0.5">
      <c r="A212" s="61">
        <v>15</v>
      </c>
      <c r="B212" s="290" t="s">
        <v>398</v>
      </c>
      <c r="C212" s="63" t="s">
        <v>417</v>
      </c>
      <c r="D212" s="452"/>
      <c r="E212" s="443"/>
      <c r="F212" s="443"/>
      <c r="G212" s="66"/>
      <c r="H212" s="67">
        <v>0</v>
      </c>
      <c r="I212" s="67">
        <v>0</v>
      </c>
      <c r="J212" s="67">
        <v>0</v>
      </c>
      <c r="K212" s="449"/>
      <c r="L212" s="450"/>
      <c r="M212" s="451"/>
      <c r="N212" s="69"/>
      <c r="O212" s="69"/>
      <c r="P212" s="70"/>
      <c r="Q212" s="71">
        <f t="shared" si="15"/>
        <v>0</v>
      </c>
      <c r="R212" s="71">
        <v>0</v>
      </c>
      <c r="S212" s="387">
        <f t="shared" si="16"/>
        <v>0</v>
      </c>
    </row>
    <row r="213" spans="1:20" ht="22.5" customHeight="1" x14ac:dyDescent="0.5">
      <c r="A213" s="61">
        <v>16</v>
      </c>
      <c r="B213" s="290" t="s">
        <v>421</v>
      </c>
      <c r="C213" s="63" t="s">
        <v>422</v>
      </c>
      <c r="D213" s="452"/>
      <c r="E213" s="443"/>
      <c r="F213" s="443"/>
      <c r="G213" s="66"/>
      <c r="H213" s="67">
        <v>0</v>
      </c>
      <c r="I213" s="67">
        <v>0</v>
      </c>
      <c r="J213" s="67">
        <v>0</v>
      </c>
      <c r="K213" s="449"/>
      <c r="L213" s="450"/>
      <c r="M213" s="451"/>
      <c r="N213" s="69"/>
      <c r="O213" s="69"/>
      <c r="P213" s="70"/>
      <c r="Q213" s="71">
        <f t="shared" si="15"/>
        <v>0</v>
      </c>
      <c r="R213" s="71">
        <v>0</v>
      </c>
      <c r="S213" s="387">
        <f t="shared" si="16"/>
        <v>0</v>
      </c>
    </row>
    <row r="214" spans="1:20" ht="22.5" customHeight="1" x14ac:dyDescent="0.5">
      <c r="A214" s="61">
        <v>17</v>
      </c>
      <c r="B214" s="290" t="s">
        <v>423</v>
      </c>
      <c r="C214" s="63" t="s">
        <v>424</v>
      </c>
      <c r="D214" s="452"/>
      <c r="E214" s="443"/>
      <c r="F214" s="443"/>
      <c r="G214" s="66"/>
      <c r="H214" s="67">
        <v>0</v>
      </c>
      <c r="I214" s="67">
        <v>0</v>
      </c>
      <c r="J214" s="67">
        <v>0</v>
      </c>
      <c r="K214" s="449"/>
      <c r="L214" s="450"/>
      <c r="M214" s="451"/>
      <c r="N214" s="69"/>
      <c r="O214" s="69"/>
      <c r="P214" s="70"/>
      <c r="Q214" s="71">
        <f t="shared" si="15"/>
        <v>0</v>
      </c>
      <c r="R214" s="71">
        <v>0</v>
      </c>
      <c r="S214" s="387">
        <f t="shared" si="16"/>
        <v>0</v>
      </c>
    </row>
    <row r="215" spans="1:20" ht="22.5" customHeight="1" x14ac:dyDescent="0.5">
      <c r="A215" s="61">
        <v>18</v>
      </c>
      <c r="B215" s="290" t="s">
        <v>425</v>
      </c>
      <c r="C215" s="63" t="s">
        <v>426</v>
      </c>
      <c r="D215" s="452"/>
      <c r="E215" s="443"/>
      <c r="F215" s="443"/>
      <c r="G215" s="66"/>
      <c r="H215" s="67">
        <v>0</v>
      </c>
      <c r="I215" s="67">
        <v>0</v>
      </c>
      <c r="J215" s="67">
        <v>0</v>
      </c>
      <c r="K215" s="449"/>
      <c r="L215" s="450"/>
      <c r="M215" s="451"/>
      <c r="N215" s="69"/>
      <c r="O215" s="69"/>
      <c r="P215" s="70"/>
      <c r="Q215" s="71">
        <f t="shared" si="15"/>
        <v>0</v>
      </c>
      <c r="R215" s="71">
        <v>0</v>
      </c>
      <c r="S215" s="387">
        <f t="shared" si="16"/>
        <v>0</v>
      </c>
    </row>
    <row r="216" spans="1:20" ht="22.5" customHeight="1" x14ac:dyDescent="0.5">
      <c r="A216" s="61">
        <v>19</v>
      </c>
      <c r="B216" s="290" t="s">
        <v>428</v>
      </c>
      <c r="C216" s="63" t="s">
        <v>429</v>
      </c>
      <c r="D216" s="452"/>
      <c r="E216" s="443"/>
      <c r="F216" s="443"/>
      <c r="G216" s="66"/>
      <c r="H216" s="67">
        <v>0</v>
      </c>
      <c r="I216" s="67">
        <v>0</v>
      </c>
      <c r="J216" s="67">
        <v>0</v>
      </c>
      <c r="K216" s="449"/>
      <c r="L216" s="450"/>
      <c r="M216" s="451"/>
      <c r="N216" s="69"/>
      <c r="O216" s="69"/>
      <c r="P216" s="70"/>
      <c r="Q216" s="71">
        <f t="shared" si="15"/>
        <v>0</v>
      </c>
      <c r="R216" s="71">
        <v>0</v>
      </c>
      <c r="S216" s="387">
        <f t="shared" si="16"/>
        <v>0</v>
      </c>
    </row>
    <row r="217" spans="1:20" ht="22.5" customHeight="1" x14ac:dyDescent="0.5">
      <c r="A217" s="61">
        <v>20</v>
      </c>
      <c r="B217" s="290" t="s">
        <v>431</v>
      </c>
      <c r="C217" s="63" t="s">
        <v>432</v>
      </c>
      <c r="D217" s="452"/>
      <c r="E217" s="443"/>
      <c r="F217" s="443"/>
      <c r="G217" s="66"/>
      <c r="H217" s="67">
        <v>0</v>
      </c>
      <c r="I217" s="67">
        <v>0</v>
      </c>
      <c r="J217" s="67">
        <v>0</v>
      </c>
      <c r="K217" s="449"/>
      <c r="L217" s="450"/>
      <c r="M217" s="451"/>
      <c r="N217" s="69"/>
      <c r="O217" s="69"/>
      <c r="P217" s="70"/>
      <c r="Q217" s="71">
        <f t="shared" si="15"/>
        <v>0</v>
      </c>
      <c r="R217" s="71">
        <v>0</v>
      </c>
      <c r="S217" s="387">
        <f t="shared" si="16"/>
        <v>0</v>
      </c>
    </row>
    <row r="218" spans="1:20" ht="22.5" customHeight="1" x14ac:dyDescent="0.5">
      <c r="A218" s="61">
        <v>21</v>
      </c>
      <c r="B218" s="290" t="s">
        <v>433</v>
      </c>
      <c r="C218" s="63" t="s">
        <v>434</v>
      </c>
      <c r="D218" s="452"/>
      <c r="E218" s="443"/>
      <c r="F218" s="443"/>
      <c r="G218" s="66"/>
      <c r="H218" s="67">
        <v>0</v>
      </c>
      <c r="I218" s="67">
        <v>0</v>
      </c>
      <c r="J218" s="67">
        <v>0</v>
      </c>
      <c r="K218" s="449"/>
      <c r="L218" s="450"/>
      <c r="M218" s="451"/>
      <c r="N218" s="69"/>
      <c r="O218" s="69"/>
      <c r="P218" s="70"/>
      <c r="Q218" s="71">
        <f t="shared" si="15"/>
        <v>0</v>
      </c>
      <c r="R218" s="71">
        <v>0</v>
      </c>
      <c r="S218" s="387">
        <f t="shared" si="16"/>
        <v>0</v>
      </c>
    </row>
    <row r="219" spans="1:20" ht="22.5" customHeight="1" x14ac:dyDescent="0.5">
      <c r="A219" s="61">
        <v>22</v>
      </c>
      <c r="B219" s="290" t="s">
        <v>435</v>
      </c>
      <c r="C219" s="63" t="s">
        <v>436</v>
      </c>
      <c r="D219" s="452"/>
      <c r="E219" s="443"/>
      <c r="F219" s="443"/>
      <c r="G219" s="66"/>
      <c r="H219" s="67">
        <v>0</v>
      </c>
      <c r="I219" s="67">
        <v>0</v>
      </c>
      <c r="J219" s="67">
        <v>0</v>
      </c>
      <c r="K219" s="449"/>
      <c r="L219" s="450"/>
      <c r="M219" s="451"/>
      <c r="N219" s="69"/>
      <c r="O219" s="69"/>
      <c r="P219" s="70"/>
      <c r="Q219" s="71">
        <f t="shared" si="15"/>
        <v>0</v>
      </c>
      <c r="R219" s="71">
        <v>0</v>
      </c>
      <c r="S219" s="387">
        <f t="shared" si="16"/>
        <v>0</v>
      </c>
    </row>
    <row r="220" spans="1:20" ht="22.5" customHeight="1" x14ac:dyDescent="0.5">
      <c r="A220" s="61">
        <v>23</v>
      </c>
      <c r="B220" s="290" t="s">
        <v>437</v>
      </c>
      <c r="C220" s="63" t="s">
        <v>438</v>
      </c>
      <c r="D220" s="452"/>
      <c r="E220" s="443"/>
      <c r="F220" s="443"/>
      <c r="G220" s="66"/>
      <c r="H220" s="67">
        <v>0</v>
      </c>
      <c r="I220" s="67">
        <v>0</v>
      </c>
      <c r="J220" s="67">
        <v>0</v>
      </c>
      <c r="K220" s="449"/>
      <c r="L220" s="450"/>
      <c r="M220" s="451"/>
      <c r="N220" s="69"/>
      <c r="O220" s="69"/>
      <c r="P220" s="70"/>
      <c r="Q220" s="71">
        <f t="shared" si="15"/>
        <v>0</v>
      </c>
      <c r="R220" s="71">
        <v>0</v>
      </c>
      <c r="S220" s="387">
        <f t="shared" si="16"/>
        <v>0</v>
      </c>
    </row>
    <row r="221" spans="1:20" ht="22.5" customHeight="1" x14ac:dyDescent="0.5">
      <c r="A221" s="61">
        <v>24</v>
      </c>
      <c r="B221" s="290" t="s">
        <v>439</v>
      </c>
      <c r="C221" s="63" t="s">
        <v>440</v>
      </c>
      <c r="D221" s="452"/>
      <c r="E221" s="443"/>
      <c r="F221" s="443"/>
      <c r="G221" s="66"/>
      <c r="H221" s="67">
        <v>0</v>
      </c>
      <c r="I221" s="67">
        <v>0</v>
      </c>
      <c r="J221" s="67">
        <v>0</v>
      </c>
      <c r="K221" s="449"/>
      <c r="L221" s="450"/>
      <c r="M221" s="451"/>
      <c r="N221" s="69"/>
      <c r="O221" s="69"/>
      <c r="P221" s="70"/>
      <c r="Q221" s="71">
        <f t="shared" si="15"/>
        <v>0</v>
      </c>
      <c r="R221" s="71">
        <v>0</v>
      </c>
      <c r="S221" s="387">
        <f t="shared" si="16"/>
        <v>0</v>
      </c>
    </row>
    <row r="222" spans="1:20" ht="22.5" customHeight="1" x14ac:dyDescent="0.5">
      <c r="A222" s="61">
        <v>25</v>
      </c>
      <c r="B222" s="453" t="s">
        <v>441</v>
      </c>
      <c r="C222" s="63" t="s">
        <v>442</v>
      </c>
      <c r="D222" s="452"/>
      <c r="E222" s="443"/>
      <c r="F222" s="443"/>
      <c r="G222" s="66"/>
      <c r="H222" s="67">
        <v>0</v>
      </c>
      <c r="I222" s="67">
        <v>0</v>
      </c>
      <c r="J222" s="67">
        <v>0</v>
      </c>
      <c r="K222" s="449"/>
      <c r="L222" s="450"/>
      <c r="M222" s="451"/>
      <c r="N222" s="69"/>
      <c r="O222" s="69"/>
      <c r="P222" s="70"/>
      <c r="Q222" s="71">
        <f t="shared" si="15"/>
        <v>0</v>
      </c>
      <c r="R222" s="71">
        <v>0</v>
      </c>
      <c r="S222" s="387">
        <f t="shared" si="16"/>
        <v>0</v>
      </c>
    </row>
    <row r="223" spans="1:20" ht="22.5" customHeight="1" x14ac:dyDescent="0.5">
      <c r="A223" s="61">
        <v>26</v>
      </c>
      <c r="B223" s="290" t="s">
        <v>443</v>
      </c>
      <c r="C223" s="63" t="s">
        <v>444</v>
      </c>
      <c r="D223" s="452"/>
      <c r="E223" s="443"/>
      <c r="F223" s="443"/>
      <c r="G223" s="66"/>
      <c r="H223" s="67">
        <v>0</v>
      </c>
      <c r="I223" s="67">
        <v>0</v>
      </c>
      <c r="J223" s="67">
        <v>0</v>
      </c>
      <c r="K223" s="449"/>
      <c r="L223" s="450"/>
      <c r="M223" s="451"/>
      <c r="N223" s="69"/>
      <c r="O223" s="69"/>
      <c r="P223" s="70"/>
      <c r="Q223" s="71">
        <f t="shared" si="15"/>
        <v>0</v>
      </c>
      <c r="R223" s="71">
        <v>0</v>
      </c>
      <c r="S223" s="387">
        <f t="shared" si="16"/>
        <v>0</v>
      </c>
    </row>
    <row r="224" spans="1:20" ht="22.5" customHeight="1" x14ac:dyDescent="0.5">
      <c r="A224" s="61">
        <v>27</v>
      </c>
      <c r="B224" s="290" t="s">
        <v>445</v>
      </c>
      <c r="C224" s="63" t="s">
        <v>446</v>
      </c>
      <c r="D224" s="452"/>
      <c r="E224" s="443"/>
      <c r="F224" s="443"/>
      <c r="G224" s="66"/>
      <c r="H224" s="67">
        <v>0</v>
      </c>
      <c r="I224" s="67">
        <v>0</v>
      </c>
      <c r="J224" s="67">
        <v>0</v>
      </c>
      <c r="K224" s="449"/>
      <c r="L224" s="450"/>
      <c r="M224" s="451"/>
      <c r="N224" s="69"/>
      <c r="O224" s="69"/>
      <c r="P224" s="70"/>
      <c r="Q224" s="71">
        <f t="shared" si="15"/>
        <v>0</v>
      </c>
      <c r="R224" s="71">
        <v>0</v>
      </c>
      <c r="S224" s="387">
        <f t="shared" si="16"/>
        <v>0</v>
      </c>
    </row>
    <row r="225" spans="1:19" ht="22.5" customHeight="1" x14ac:dyDescent="0.5">
      <c r="A225" s="61">
        <v>28</v>
      </c>
      <c r="B225" s="290" t="s">
        <v>447</v>
      </c>
      <c r="C225" s="63" t="s">
        <v>448</v>
      </c>
      <c r="D225" s="452"/>
      <c r="E225" s="443"/>
      <c r="F225" s="443"/>
      <c r="G225" s="66"/>
      <c r="H225" s="67">
        <v>0</v>
      </c>
      <c r="I225" s="67">
        <v>0</v>
      </c>
      <c r="J225" s="67">
        <v>0</v>
      </c>
      <c r="K225" s="449"/>
      <c r="L225" s="450"/>
      <c r="M225" s="451"/>
      <c r="N225" s="69"/>
      <c r="O225" s="69"/>
      <c r="P225" s="70"/>
      <c r="Q225" s="71">
        <f t="shared" si="15"/>
        <v>0</v>
      </c>
      <c r="R225" s="71">
        <v>0</v>
      </c>
      <c r="S225" s="387">
        <f t="shared" si="16"/>
        <v>0</v>
      </c>
    </row>
    <row r="226" spans="1:19" ht="22.5" customHeight="1" x14ac:dyDescent="0.5">
      <c r="A226" s="61">
        <v>29</v>
      </c>
      <c r="B226" s="290" t="s">
        <v>449</v>
      </c>
      <c r="C226" s="63" t="s">
        <v>450</v>
      </c>
      <c r="D226" s="452"/>
      <c r="E226" s="443"/>
      <c r="F226" s="443"/>
      <c r="G226" s="66"/>
      <c r="H226" s="67">
        <v>0</v>
      </c>
      <c r="I226" s="67">
        <v>0</v>
      </c>
      <c r="J226" s="67">
        <v>0</v>
      </c>
      <c r="K226" s="449"/>
      <c r="L226" s="450"/>
      <c r="M226" s="451"/>
      <c r="N226" s="69"/>
      <c r="O226" s="69"/>
      <c r="P226" s="70"/>
      <c r="Q226" s="71">
        <f t="shared" si="15"/>
        <v>0</v>
      </c>
      <c r="R226" s="71">
        <v>0</v>
      </c>
      <c r="S226" s="387">
        <f t="shared" si="16"/>
        <v>0</v>
      </c>
    </row>
    <row r="227" spans="1:19" ht="22.5" customHeight="1" x14ac:dyDescent="0.5">
      <c r="A227" s="61">
        <v>30</v>
      </c>
      <c r="B227" s="290" t="s">
        <v>451</v>
      </c>
      <c r="C227" s="63" t="s">
        <v>452</v>
      </c>
      <c r="D227" s="452"/>
      <c r="E227" s="443"/>
      <c r="F227" s="443"/>
      <c r="G227" s="66"/>
      <c r="H227" s="67">
        <v>0</v>
      </c>
      <c r="I227" s="67">
        <v>0</v>
      </c>
      <c r="J227" s="67">
        <v>0</v>
      </c>
      <c r="K227" s="449"/>
      <c r="L227" s="450"/>
      <c r="M227" s="451"/>
      <c r="N227" s="69"/>
      <c r="O227" s="69"/>
      <c r="P227" s="70"/>
      <c r="Q227" s="71">
        <f t="shared" si="15"/>
        <v>0</v>
      </c>
      <c r="R227" s="71">
        <v>0</v>
      </c>
      <c r="S227" s="387">
        <f t="shared" si="16"/>
        <v>0</v>
      </c>
    </row>
    <row r="228" spans="1:19" ht="22.5" customHeight="1" x14ac:dyDescent="0.5">
      <c r="A228" s="61">
        <v>31</v>
      </c>
      <c r="B228" s="290" t="s">
        <v>454</v>
      </c>
      <c r="C228" s="63" t="s">
        <v>455</v>
      </c>
      <c r="D228" s="452"/>
      <c r="E228" s="443"/>
      <c r="F228" s="443"/>
      <c r="G228" s="66"/>
      <c r="H228" s="67">
        <v>0</v>
      </c>
      <c r="I228" s="67">
        <v>0</v>
      </c>
      <c r="J228" s="67">
        <v>0</v>
      </c>
      <c r="K228" s="449"/>
      <c r="L228" s="450"/>
      <c r="M228" s="451"/>
      <c r="N228" s="69"/>
      <c r="O228" s="69"/>
      <c r="P228" s="70"/>
      <c r="Q228" s="71">
        <f t="shared" si="15"/>
        <v>0</v>
      </c>
      <c r="R228" s="71">
        <v>0</v>
      </c>
      <c r="S228" s="387">
        <f t="shared" si="16"/>
        <v>0</v>
      </c>
    </row>
    <row r="229" spans="1:19" ht="22.5" customHeight="1" x14ac:dyDescent="0.5">
      <c r="A229" s="61">
        <v>32</v>
      </c>
      <c r="B229" s="290" t="s">
        <v>456</v>
      </c>
      <c r="C229" s="63" t="s">
        <v>457</v>
      </c>
      <c r="D229" s="452"/>
      <c r="E229" s="443"/>
      <c r="F229" s="443"/>
      <c r="G229" s="66"/>
      <c r="H229" s="67">
        <v>0</v>
      </c>
      <c r="I229" s="67">
        <v>0</v>
      </c>
      <c r="J229" s="67">
        <v>0</v>
      </c>
      <c r="K229" s="449"/>
      <c r="L229" s="450"/>
      <c r="M229" s="451"/>
      <c r="N229" s="69"/>
      <c r="O229" s="69"/>
      <c r="P229" s="70"/>
      <c r="Q229" s="71">
        <f t="shared" si="15"/>
        <v>0</v>
      </c>
      <c r="R229" s="71">
        <v>0</v>
      </c>
      <c r="S229" s="387">
        <f t="shared" si="16"/>
        <v>0</v>
      </c>
    </row>
    <row r="230" spans="1:19" ht="22.5" customHeight="1" x14ac:dyDescent="0.5">
      <c r="A230" s="61">
        <v>33</v>
      </c>
      <c r="B230" s="290" t="s">
        <v>458</v>
      </c>
      <c r="C230" s="63" t="s">
        <v>459</v>
      </c>
      <c r="D230" s="452"/>
      <c r="E230" s="443"/>
      <c r="F230" s="443"/>
      <c r="G230" s="66"/>
      <c r="H230" s="67">
        <v>0</v>
      </c>
      <c r="I230" s="67">
        <v>0</v>
      </c>
      <c r="J230" s="67">
        <v>0</v>
      </c>
      <c r="K230" s="449"/>
      <c r="L230" s="450"/>
      <c r="M230" s="451"/>
      <c r="N230" s="69"/>
      <c r="O230" s="69"/>
      <c r="P230" s="70"/>
      <c r="Q230" s="71">
        <f t="shared" si="15"/>
        <v>0</v>
      </c>
      <c r="R230" s="71">
        <v>0</v>
      </c>
      <c r="S230" s="387">
        <f t="shared" si="16"/>
        <v>0</v>
      </c>
    </row>
    <row r="231" spans="1:19" ht="22.5" customHeight="1" x14ac:dyDescent="0.5">
      <c r="A231" s="61">
        <v>34</v>
      </c>
      <c r="B231" s="290" t="s">
        <v>460</v>
      </c>
      <c r="C231" s="63" t="s">
        <v>461</v>
      </c>
      <c r="D231" s="452"/>
      <c r="E231" s="443"/>
      <c r="F231" s="443"/>
      <c r="G231" s="66"/>
      <c r="H231" s="67">
        <v>0</v>
      </c>
      <c r="I231" s="67">
        <v>0</v>
      </c>
      <c r="J231" s="67">
        <v>0</v>
      </c>
      <c r="K231" s="449"/>
      <c r="L231" s="450"/>
      <c r="M231" s="451"/>
      <c r="N231" s="69"/>
      <c r="O231" s="69"/>
      <c r="P231" s="70"/>
      <c r="Q231" s="71">
        <f t="shared" si="15"/>
        <v>0</v>
      </c>
      <c r="R231" s="71">
        <v>0</v>
      </c>
      <c r="S231" s="387">
        <f t="shared" si="16"/>
        <v>0</v>
      </c>
    </row>
    <row r="232" spans="1:19" ht="22.5" customHeight="1" x14ac:dyDescent="0.5">
      <c r="A232" s="61">
        <v>35</v>
      </c>
      <c r="B232" s="290" t="s">
        <v>463</v>
      </c>
      <c r="C232" s="63" t="s">
        <v>464</v>
      </c>
      <c r="D232" s="452"/>
      <c r="E232" s="443" t="s">
        <v>795</v>
      </c>
      <c r="F232" s="443"/>
      <c r="G232" s="66"/>
      <c r="H232" s="67">
        <v>1064.44</v>
      </c>
      <c r="I232" s="67">
        <v>0</v>
      </c>
      <c r="J232" s="67">
        <v>1064.44</v>
      </c>
      <c r="K232" s="449"/>
      <c r="L232" s="450"/>
      <c r="M232" s="451"/>
      <c r="N232" s="69"/>
      <c r="O232" s="69"/>
      <c r="P232" s="70"/>
      <c r="Q232" s="71">
        <f t="shared" si="15"/>
        <v>1064.44</v>
      </c>
      <c r="R232" s="71">
        <v>0</v>
      </c>
      <c r="S232" s="387">
        <f t="shared" si="16"/>
        <v>1064.44</v>
      </c>
    </row>
    <row r="233" spans="1:19" ht="22.5" customHeight="1" x14ac:dyDescent="0.5">
      <c r="A233" s="61">
        <v>36</v>
      </c>
      <c r="B233" s="290" t="s">
        <v>465</v>
      </c>
      <c r="C233" s="63" t="s">
        <v>466</v>
      </c>
      <c r="D233" s="452"/>
      <c r="E233" s="443"/>
      <c r="F233" s="443"/>
      <c r="G233" s="66"/>
      <c r="H233" s="67">
        <v>0</v>
      </c>
      <c r="I233" s="67">
        <v>0</v>
      </c>
      <c r="J233" s="67">
        <v>0</v>
      </c>
      <c r="K233" s="449"/>
      <c r="L233" s="450"/>
      <c r="M233" s="451"/>
      <c r="N233" s="69"/>
      <c r="O233" s="69"/>
      <c r="P233" s="70"/>
      <c r="Q233" s="71">
        <f t="shared" si="15"/>
        <v>0</v>
      </c>
      <c r="R233" s="71">
        <v>0</v>
      </c>
      <c r="S233" s="387">
        <f t="shared" si="16"/>
        <v>0</v>
      </c>
    </row>
    <row r="234" spans="1:19" ht="22.5" customHeight="1" x14ac:dyDescent="0.5">
      <c r="A234" s="61">
        <v>37</v>
      </c>
      <c r="B234" s="290" t="s">
        <v>467</v>
      </c>
      <c r="C234" s="63" t="s">
        <v>468</v>
      </c>
      <c r="D234" s="452"/>
      <c r="E234" s="443"/>
      <c r="F234" s="443"/>
      <c r="G234" s="66"/>
      <c r="H234" s="67">
        <v>0</v>
      </c>
      <c r="I234" s="67">
        <v>0</v>
      </c>
      <c r="J234" s="67">
        <v>0</v>
      </c>
      <c r="K234" s="449"/>
      <c r="L234" s="450"/>
      <c r="M234" s="451"/>
      <c r="N234" s="69"/>
      <c r="O234" s="69"/>
      <c r="P234" s="70"/>
      <c r="Q234" s="71">
        <f t="shared" si="15"/>
        <v>0</v>
      </c>
      <c r="R234" s="71">
        <v>0</v>
      </c>
      <c r="S234" s="387">
        <f t="shared" si="16"/>
        <v>0</v>
      </c>
    </row>
    <row r="235" spans="1:19" ht="22.5" customHeight="1" x14ac:dyDescent="0.5">
      <c r="A235" s="61">
        <v>38</v>
      </c>
      <c r="B235" s="290" t="s">
        <v>469</v>
      </c>
      <c r="C235" s="63" t="s">
        <v>470</v>
      </c>
      <c r="D235" s="452"/>
      <c r="E235" s="443"/>
      <c r="F235" s="443"/>
      <c r="G235" s="66"/>
      <c r="H235" s="67">
        <v>0</v>
      </c>
      <c r="I235" s="67">
        <v>0</v>
      </c>
      <c r="J235" s="67">
        <v>0</v>
      </c>
      <c r="K235" s="449"/>
      <c r="L235" s="450"/>
      <c r="M235" s="451"/>
      <c r="N235" s="69"/>
      <c r="O235" s="69"/>
      <c r="P235" s="70"/>
      <c r="Q235" s="71">
        <f t="shared" si="15"/>
        <v>0</v>
      </c>
      <c r="R235" s="71">
        <v>0</v>
      </c>
      <c r="S235" s="387">
        <f t="shared" si="16"/>
        <v>0</v>
      </c>
    </row>
    <row r="236" spans="1:19" ht="22.5" customHeight="1" x14ac:dyDescent="0.5">
      <c r="A236" s="61">
        <v>39</v>
      </c>
      <c r="B236" s="290" t="s">
        <v>471</v>
      </c>
      <c r="C236" s="63" t="s">
        <v>472</v>
      </c>
      <c r="D236" s="452"/>
      <c r="E236" s="443"/>
      <c r="F236" s="443"/>
      <c r="G236" s="66"/>
      <c r="H236" s="67">
        <v>0</v>
      </c>
      <c r="I236" s="67">
        <v>0</v>
      </c>
      <c r="J236" s="67">
        <v>0</v>
      </c>
      <c r="K236" s="449"/>
      <c r="L236" s="450"/>
      <c r="M236" s="451"/>
      <c r="N236" s="69"/>
      <c r="O236" s="69"/>
      <c r="P236" s="70"/>
      <c r="Q236" s="71">
        <f t="shared" si="15"/>
        <v>0</v>
      </c>
      <c r="R236" s="71">
        <v>0</v>
      </c>
      <c r="S236" s="387">
        <f t="shared" si="16"/>
        <v>0</v>
      </c>
    </row>
    <row r="237" spans="1:19" ht="22.5" customHeight="1" x14ac:dyDescent="0.5">
      <c r="A237" s="61">
        <v>40</v>
      </c>
      <c r="B237" s="290" t="s">
        <v>473</v>
      </c>
      <c r="C237" s="63" t="s">
        <v>474</v>
      </c>
      <c r="D237" s="452"/>
      <c r="E237" s="443"/>
      <c r="F237" s="443"/>
      <c r="G237" s="66"/>
      <c r="H237" s="67">
        <v>0</v>
      </c>
      <c r="I237" s="67">
        <v>0</v>
      </c>
      <c r="J237" s="67">
        <v>0</v>
      </c>
      <c r="K237" s="449"/>
      <c r="L237" s="450"/>
      <c r="M237" s="451"/>
      <c r="N237" s="69"/>
      <c r="O237" s="69"/>
      <c r="P237" s="70"/>
      <c r="Q237" s="71">
        <f t="shared" si="15"/>
        <v>0</v>
      </c>
      <c r="R237" s="71">
        <v>0</v>
      </c>
      <c r="S237" s="387">
        <f t="shared" si="16"/>
        <v>0</v>
      </c>
    </row>
    <row r="238" spans="1:19" ht="22.5" customHeight="1" x14ac:dyDescent="0.5">
      <c r="A238" s="61">
        <v>41</v>
      </c>
      <c r="B238" s="290" t="s">
        <v>475</v>
      </c>
      <c r="C238" s="63" t="s">
        <v>476</v>
      </c>
      <c r="D238" s="452"/>
      <c r="E238" s="443"/>
      <c r="F238" s="443"/>
      <c r="G238" s="66"/>
      <c r="H238" s="67">
        <v>0</v>
      </c>
      <c r="I238" s="67">
        <v>0</v>
      </c>
      <c r="J238" s="67">
        <v>0</v>
      </c>
      <c r="K238" s="449"/>
      <c r="L238" s="450"/>
      <c r="M238" s="451"/>
      <c r="N238" s="69"/>
      <c r="O238" s="69"/>
      <c r="P238" s="70"/>
      <c r="Q238" s="71">
        <f t="shared" si="15"/>
        <v>0</v>
      </c>
      <c r="R238" s="71">
        <v>0</v>
      </c>
      <c r="S238" s="387">
        <f t="shared" si="16"/>
        <v>0</v>
      </c>
    </row>
    <row r="239" spans="1:19" ht="22.5" customHeight="1" x14ac:dyDescent="0.5">
      <c r="A239" s="61">
        <v>42</v>
      </c>
      <c r="B239" s="290" t="s">
        <v>477</v>
      </c>
      <c r="C239" s="63" t="s">
        <v>478</v>
      </c>
      <c r="D239" s="452"/>
      <c r="E239" s="443"/>
      <c r="F239" s="443"/>
      <c r="G239" s="66"/>
      <c r="H239" s="67">
        <v>0</v>
      </c>
      <c r="I239" s="67">
        <v>0</v>
      </c>
      <c r="J239" s="67">
        <v>0</v>
      </c>
      <c r="K239" s="449"/>
      <c r="L239" s="450"/>
      <c r="M239" s="451"/>
      <c r="N239" s="69"/>
      <c r="O239" s="69"/>
      <c r="P239" s="70"/>
      <c r="Q239" s="71">
        <f t="shared" si="15"/>
        <v>0</v>
      </c>
      <c r="R239" s="71">
        <v>0</v>
      </c>
      <c r="S239" s="387">
        <f t="shared" si="16"/>
        <v>0</v>
      </c>
    </row>
    <row r="240" spans="1:19" ht="22.5" customHeight="1" x14ac:dyDescent="0.5">
      <c r="A240" s="61">
        <v>43</v>
      </c>
      <c r="B240" s="290" t="s">
        <v>479</v>
      </c>
      <c r="C240" s="63" t="s">
        <v>480</v>
      </c>
      <c r="D240" s="452"/>
      <c r="E240" s="443"/>
      <c r="F240" s="443"/>
      <c r="G240" s="66"/>
      <c r="H240" s="67">
        <v>0</v>
      </c>
      <c r="I240" s="67">
        <v>0</v>
      </c>
      <c r="J240" s="67">
        <v>0</v>
      </c>
      <c r="K240" s="449"/>
      <c r="L240" s="450"/>
      <c r="M240" s="451"/>
      <c r="N240" s="69"/>
      <c r="O240" s="69"/>
      <c r="P240" s="70"/>
      <c r="Q240" s="71">
        <f t="shared" si="15"/>
        <v>0</v>
      </c>
      <c r="R240" s="71">
        <v>0</v>
      </c>
      <c r="S240" s="387">
        <f t="shared" si="16"/>
        <v>0</v>
      </c>
    </row>
    <row r="241" spans="1:20" ht="22.5" customHeight="1" x14ac:dyDescent="0.5">
      <c r="A241" s="61">
        <v>44</v>
      </c>
      <c r="B241" s="290" t="s">
        <v>482</v>
      </c>
      <c r="C241" s="63" t="s">
        <v>483</v>
      </c>
      <c r="D241" s="452"/>
      <c r="E241" s="443"/>
      <c r="F241" s="443"/>
      <c r="G241" s="66"/>
      <c r="H241" s="67">
        <v>0</v>
      </c>
      <c r="I241" s="67">
        <v>0</v>
      </c>
      <c r="J241" s="67">
        <v>0</v>
      </c>
      <c r="K241" s="449"/>
      <c r="L241" s="450"/>
      <c r="M241" s="451"/>
      <c r="N241" s="69"/>
      <c r="O241" s="69"/>
      <c r="P241" s="70"/>
      <c r="Q241" s="71">
        <f t="shared" si="15"/>
        <v>0</v>
      </c>
      <c r="R241" s="71">
        <v>0</v>
      </c>
      <c r="S241" s="387">
        <f t="shared" si="16"/>
        <v>0</v>
      </c>
    </row>
    <row r="242" spans="1:20" ht="22.5" customHeight="1" x14ac:dyDescent="0.5">
      <c r="A242" s="61">
        <v>45</v>
      </c>
      <c r="B242" s="290" t="s">
        <v>484</v>
      </c>
      <c r="C242" s="63" t="s">
        <v>485</v>
      </c>
      <c r="D242" s="452"/>
      <c r="E242" s="443"/>
      <c r="F242" s="443"/>
      <c r="G242" s="66"/>
      <c r="H242" s="67">
        <v>0</v>
      </c>
      <c r="I242" s="67">
        <v>0</v>
      </c>
      <c r="J242" s="67">
        <v>0</v>
      </c>
      <c r="K242" s="449"/>
      <c r="L242" s="450"/>
      <c r="M242" s="451"/>
      <c r="N242" s="69"/>
      <c r="O242" s="69"/>
      <c r="P242" s="70"/>
      <c r="Q242" s="71">
        <f t="shared" si="15"/>
        <v>0</v>
      </c>
      <c r="R242" s="71">
        <v>0</v>
      </c>
      <c r="S242" s="387">
        <f t="shared" si="16"/>
        <v>0</v>
      </c>
    </row>
    <row r="243" spans="1:20" ht="22.5" customHeight="1" x14ac:dyDescent="0.5">
      <c r="A243" s="23">
        <v>46</v>
      </c>
      <c r="B243" s="290" t="s">
        <v>486</v>
      </c>
      <c r="C243" s="25" t="s">
        <v>487</v>
      </c>
      <c r="D243" s="452"/>
      <c r="E243" s="454"/>
      <c r="F243" s="454"/>
      <c r="G243" s="213"/>
      <c r="H243" s="219">
        <v>0</v>
      </c>
      <c r="I243" s="219">
        <v>0</v>
      </c>
      <c r="J243" s="219">
        <v>0</v>
      </c>
      <c r="K243" s="449"/>
      <c r="L243" s="450"/>
      <c r="M243" s="451"/>
      <c r="N243" s="41"/>
      <c r="O243" s="41"/>
      <c r="P243" s="34"/>
      <c r="Q243" s="71">
        <f t="shared" si="15"/>
        <v>0</v>
      </c>
      <c r="R243" s="71">
        <v>0</v>
      </c>
      <c r="S243" s="387">
        <f t="shared" si="16"/>
        <v>0</v>
      </c>
    </row>
    <row r="244" spans="1:20" ht="22.5" customHeight="1" x14ac:dyDescent="0.5">
      <c r="A244" s="61">
        <v>47</v>
      </c>
      <c r="B244" s="392" t="s">
        <v>489</v>
      </c>
      <c r="C244" s="63" t="s">
        <v>490</v>
      </c>
      <c r="D244" s="452"/>
      <c r="E244" s="443"/>
      <c r="F244" s="443"/>
      <c r="G244" s="66"/>
      <c r="H244" s="67">
        <v>0</v>
      </c>
      <c r="I244" s="67">
        <v>0</v>
      </c>
      <c r="J244" s="67">
        <v>0</v>
      </c>
      <c r="K244" s="449"/>
      <c r="L244" s="450"/>
      <c r="M244" s="451"/>
      <c r="N244" s="69"/>
      <c r="O244" s="69"/>
      <c r="P244" s="70"/>
      <c r="Q244" s="71">
        <f t="shared" si="15"/>
        <v>0</v>
      </c>
      <c r="R244" s="71">
        <v>0</v>
      </c>
      <c r="S244" s="387">
        <f t="shared" si="16"/>
        <v>0</v>
      </c>
    </row>
    <row r="245" spans="1:20" ht="22.5" customHeight="1" x14ac:dyDescent="0.5">
      <c r="A245" s="23">
        <v>48</v>
      </c>
      <c r="B245" s="290" t="s">
        <v>491</v>
      </c>
      <c r="C245" s="25" t="s">
        <v>492</v>
      </c>
      <c r="D245" s="452"/>
      <c r="E245" s="454"/>
      <c r="F245" s="454"/>
      <c r="G245" s="213"/>
      <c r="H245" s="219">
        <v>0</v>
      </c>
      <c r="I245" s="219">
        <v>0</v>
      </c>
      <c r="J245" s="219">
        <v>0</v>
      </c>
      <c r="K245" s="449"/>
      <c r="L245" s="450"/>
      <c r="M245" s="451"/>
      <c r="N245" s="41"/>
      <c r="O245" s="41"/>
      <c r="P245" s="34"/>
      <c r="Q245" s="71">
        <f t="shared" si="15"/>
        <v>0</v>
      </c>
      <c r="R245" s="71">
        <v>0</v>
      </c>
      <c r="S245" s="387">
        <f t="shared" si="16"/>
        <v>0</v>
      </c>
    </row>
    <row r="246" spans="1:20" ht="22.5" customHeight="1" x14ac:dyDescent="0.5">
      <c r="A246" s="23">
        <v>49</v>
      </c>
      <c r="B246" s="290" t="s">
        <v>493</v>
      </c>
      <c r="C246" s="25" t="s">
        <v>494</v>
      </c>
      <c r="D246" s="452"/>
      <c r="E246" s="454" t="s">
        <v>795</v>
      </c>
      <c r="F246" s="454"/>
      <c r="G246" s="213"/>
      <c r="H246" s="219">
        <v>2061.84</v>
      </c>
      <c r="I246" s="219">
        <v>0</v>
      </c>
      <c r="J246" s="219">
        <v>2061.84</v>
      </c>
      <c r="K246" s="449">
        <v>25246</v>
      </c>
      <c r="L246" s="450" t="s">
        <v>1175</v>
      </c>
      <c r="M246" s="451">
        <v>2061.84</v>
      </c>
      <c r="N246" s="41"/>
      <c r="O246" s="41"/>
      <c r="P246" s="34"/>
      <c r="Q246" s="71">
        <f t="shared" si="15"/>
        <v>0</v>
      </c>
      <c r="R246" s="71">
        <v>0</v>
      </c>
      <c r="S246" s="387">
        <f t="shared" si="16"/>
        <v>0</v>
      </c>
    </row>
    <row r="247" spans="1:20" ht="22.5" customHeight="1" x14ac:dyDescent="0.5">
      <c r="A247" s="23">
        <v>50</v>
      </c>
      <c r="B247" s="290" t="s">
        <v>495</v>
      </c>
      <c r="C247" s="25" t="s">
        <v>496</v>
      </c>
      <c r="D247" s="452"/>
      <c r="E247" s="454" t="s">
        <v>795</v>
      </c>
      <c r="F247" s="454"/>
      <c r="G247" s="213"/>
      <c r="H247" s="219">
        <v>20595.900000000001</v>
      </c>
      <c r="I247" s="219">
        <v>0</v>
      </c>
      <c r="J247" s="219">
        <v>20595.900000000001</v>
      </c>
      <c r="K247" s="449"/>
      <c r="L247" s="450"/>
      <c r="M247" s="451"/>
      <c r="N247" s="41" t="s">
        <v>795</v>
      </c>
      <c r="O247" s="41"/>
      <c r="P247" s="34"/>
      <c r="Q247" s="71">
        <f t="shared" si="15"/>
        <v>20595.900000000001</v>
      </c>
      <c r="R247" s="71">
        <v>0</v>
      </c>
      <c r="S247" s="387">
        <f t="shared" si="16"/>
        <v>20595.900000000001</v>
      </c>
    </row>
    <row r="248" spans="1:20" s="60" customFormat="1" ht="22.5" customHeight="1" thickBot="1" x14ac:dyDescent="0.35">
      <c r="A248" s="362"/>
      <c r="B248" s="362" t="s">
        <v>15</v>
      </c>
      <c r="C248" s="455"/>
      <c r="D248" s="456">
        <v>0</v>
      </c>
      <c r="E248" s="362"/>
      <c r="F248" s="362"/>
      <c r="G248" s="363"/>
      <c r="H248" s="456">
        <f>SUM(H196:H247)</f>
        <v>33373.61</v>
      </c>
      <c r="I248" s="456">
        <f>SUM(I196:I247)</f>
        <v>0</v>
      </c>
      <c r="J248" s="456">
        <f>SUM(J196:J247)</f>
        <v>33373.61</v>
      </c>
      <c r="K248" s="457"/>
      <c r="L248" s="458"/>
      <c r="M248" s="458">
        <f>SUM(M196:M247)</f>
        <v>11713.27</v>
      </c>
      <c r="N248" s="362"/>
      <c r="O248" s="362"/>
      <c r="P248" s="363"/>
      <c r="Q248" s="364">
        <f>SUM(Q196:Q247)</f>
        <v>21660.34</v>
      </c>
      <c r="R248" s="364">
        <f>SUM(R196:R247)</f>
        <v>0</v>
      </c>
      <c r="S248" s="364">
        <f>SUM(S196:S247)</f>
        <v>21660.34</v>
      </c>
    </row>
    <row r="249" spans="1:20" s="60" customFormat="1" ht="22.5" customHeight="1" thickTop="1" thickBot="1" x14ac:dyDescent="0.35">
      <c r="A249" s="459"/>
      <c r="B249" s="460" t="s">
        <v>497</v>
      </c>
      <c r="C249" s="461"/>
      <c r="D249" s="462">
        <f>SUM(D12+D27+D31+D35+D38+D42+D111+D155+D165+D173+D182+D186+D189+D193+D248)</f>
        <v>1108053.28</v>
      </c>
      <c r="E249" s="462">
        <f>SUM(E12+E27+E31+E35+E38+E42+E111+E155+E165+E173+E182+E186+E189+E193+E248)</f>
        <v>0</v>
      </c>
      <c r="F249" s="462"/>
      <c r="G249" s="462">
        <f t="shared" ref="G249:N249" si="17">SUM(G12+G27+G31+G35+G38+G42+G111+G155+G165+G173+G182+G186+G189+G193+G248)</f>
        <v>0</v>
      </c>
      <c r="H249" s="462">
        <f t="shared" si="17"/>
        <v>261613.60775700933</v>
      </c>
      <c r="I249" s="462">
        <f t="shared" si="17"/>
        <v>10604.599842990654</v>
      </c>
      <c r="J249" s="462">
        <f t="shared" si="17"/>
        <v>272203.20759999997</v>
      </c>
      <c r="K249" s="462">
        <f t="shared" si="17"/>
        <v>0</v>
      </c>
      <c r="L249" s="462">
        <f t="shared" si="17"/>
        <v>0</v>
      </c>
      <c r="M249" s="462">
        <f t="shared" si="17"/>
        <v>1062873.3</v>
      </c>
      <c r="N249" s="462">
        <f t="shared" si="17"/>
        <v>0</v>
      </c>
      <c r="O249" s="462"/>
      <c r="P249" s="462">
        <f>SUM(P12+P27+P31+P35+P38+P42+P111+P155+P165+P173+P182+P186+P189+P193+P248)</f>
        <v>0</v>
      </c>
      <c r="Q249" s="462">
        <f>SUM(Q12+Q27+Q31+Q35+Q38+Q42+Q111+Q155+Q165+Q173+Q182+Q186+Q189+Q193+Q248)</f>
        <v>304595.33775700937</v>
      </c>
      <c r="R249" s="462">
        <f>SUM(R12+R27+R31+R35+R38+R42+R111+R155+R165+R173+R182+R186+R189+R193+R248)</f>
        <v>13413.749842990654</v>
      </c>
      <c r="S249" s="462">
        <f>SUM(S12+S27+S31+S35+S38+S42+S111+S155+S165+S173+S182+S186+S189+S193+S248)</f>
        <v>318009.08759999997</v>
      </c>
    </row>
    <row r="250" spans="1:20" ht="22.5" customHeight="1" thickTop="1" x14ac:dyDescent="0.3">
      <c r="E250" s="469"/>
      <c r="F250" s="469"/>
      <c r="G250" s="470"/>
      <c r="H250" s="3"/>
      <c r="I250" s="3"/>
      <c r="J250" s="3"/>
      <c r="N250" s="3"/>
      <c r="O250" s="3"/>
      <c r="P250" s="470"/>
      <c r="Q250" s="471"/>
      <c r="R250" s="471"/>
      <c r="S250" s="472"/>
    </row>
    <row r="251" spans="1:20" ht="22.5" customHeight="1" x14ac:dyDescent="0.3">
      <c r="A251" s="1123" t="s">
        <v>498</v>
      </c>
      <c r="B251" s="1124"/>
      <c r="C251" s="1124"/>
      <c r="D251" s="1124"/>
      <c r="E251" s="1124"/>
      <c r="F251" s="1124"/>
      <c r="G251" s="1124"/>
      <c r="H251" s="1124"/>
      <c r="I251" s="1124"/>
      <c r="J251" s="1124"/>
      <c r="K251" s="1124"/>
      <c r="L251" s="1124"/>
      <c r="M251" s="1124"/>
      <c r="N251" s="1124"/>
      <c r="O251" s="1124"/>
      <c r="P251" s="1124"/>
      <c r="Q251" s="1124"/>
      <c r="R251" s="1124"/>
      <c r="S251" s="1125"/>
      <c r="T251" s="2"/>
    </row>
    <row r="252" spans="1:20" ht="22.5" customHeight="1" x14ac:dyDescent="0.3">
      <c r="A252" s="115"/>
      <c r="B252" s="164" t="s">
        <v>499</v>
      </c>
      <c r="C252" s="165"/>
      <c r="D252" s="86"/>
      <c r="E252" s="167"/>
      <c r="F252" s="167"/>
      <c r="G252" s="168"/>
      <c r="H252" s="473"/>
      <c r="I252" s="473"/>
      <c r="J252" s="473"/>
      <c r="K252" s="170"/>
      <c r="L252" s="171"/>
      <c r="M252" s="86"/>
      <c r="N252" s="117"/>
      <c r="O252" s="117"/>
      <c r="P252" s="118"/>
      <c r="Q252" s="474"/>
      <c r="R252" s="474"/>
      <c r="S252" s="370"/>
      <c r="T252" s="2"/>
    </row>
    <row r="253" spans="1:20" ht="22.5" customHeight="1" x14ac:dyDescent="0.3">
      <c r="A253" s="475">
        <v>1</v>
      </c>
      <c r="B253" s="476" t="s">
        <v>500</v>
      </c>
      <c r="C253" s="477" t="s">
        <v>501</v>
      </c>
      <c r="D253" s="478">
        <v>0</v>
      </c>
      <c r="E253" s="479"/>
      <c r="F253" s="479"/>
      <c r="G253" s="480"/>
      <c r="H253" s="481">
        <v>325409.68</v>
      </c>
      <c r="I253" s="482"/>
      <c r="J253" s="481">
        <v>325409.68</v>
      </c>
      <c r="K253" s="303"/>
      <c r="L253" s="303"/>
      <c r="M253" s="483"/>
      <c r="N253" s="484"/>
      <c r="O253" s="484"/>
      <c r="P253" s="485"/>
      <c r="Q253" s="486">
        <v>325409.68</v>
      </c>
      <c r="R253" s="486"/>
      <c r="S253" s="487">
        <v>325409.68</v>
      </c>
      <c r="T253" s="2" t="s">
        <v>502</v>
      </c>
    </row>
    <row r="254" spans="1:20" ht="22.5" customHeight="1" x14ac:dyDescent="0.3">
      <c r="A254" s="488"/>
      <c r="B254" s="489" t="s">
        <v>503</v>
      </c>
      <c r="C254" s="490"/>
      <c r="D254" s="491"/>
      <c r="E254" s="479"/>
      <c r="F254" s="479"/>
      <c r="G254" s="480"/>
      <c r="H254" s="481"/>
      <c r="I254" s="482"/>
      <c r="J254" s="481"/>
      <c r="K254" s="492"/>
      <c r="L254" s="492"/>
      <c r="M254" s="493"/>
      <c r="N254" s="484"/>
      <c r="O254" s="892"/>
      <c r="P254" s="494"/>
      <c r="Q254" s="495"/>
      <c r="R254" s="486"/>
      <c r="S254" s="487"/>
      <c r="T254" s="2"/>
    </row>
    <row r="255" spans="1:20" ht="22.5" customHeight="1" x14ac:dyDescent="0.3">
      <c r="A255" s="475">
        <v>2</v>
      </c>
      <c r="B255" s="476" t="s">
        <v>504</v>
      </c>
      <c r="C255" s="477" t="s">
        <v>415</v>
      </c>
      <c r="D255" s="478">
        <v>0</v>
      </c>
      <c r="E255" s="479"/>
      <c r="F255" s="479"/>
      <c r="G255" s="480"/>
      <c r="H255" s="481">
        <v>74600.88</v>
      </c>
      <c r="I255" s="482">
        <v>0</v>
      </c>
      <c r="J255" s="481">
        <v>74600.88</v>
      </c>
      <c r="K255" s="492"/>
      <c r="L255" s="492"/>
      <c r="M255" s="493"/>
      <c r="N255" s="484"/>
      <c r="O255" s="892"/>
      <c r="P255" s="494"/>
      <c r="Q255" s="495">
        <v>74600.88</v>
      </c>
      <c r="R255" s="496">
        <v>0</v>
      </c>
      <c r="S255" s="497">
        <v>74600.88</v>
      </c>
      <c r="T255" s="2"/>
    </row>
    <row r="256" spans="1:20" ht="22.5" customHeight="1" x14ac:dyDescent="0.3">
      <c r="A256" s="475"/>
      <c r="B256" s="489" t="s">
        <v>505</v>
      </c>
      <c r="C256" s="498"/>
      <c r="D256" s="499"/>
      <c r="E256" s="500"/>
      <c r="F256" s="889"/>
      <c r="G256" s="501"/>
      <c r="H256" s="481"/>
      <c r="I256" s="482"/>
      <c r="J256" s="481"/>
      <c r="K256" s="492"/>
      <c r="L256" s="492"/>
      <c r="M256" s="493"/>
      <c r="N256" s="484"/>
      <c r="O256" s="892"/>
      <c r="P256" s="494"/>
      <c r="Q256" s="495"/>
      <c r="R256" s="496"/>
      <c r="S256" s="497"/>
      <c r="T256" s="2"/>
    </row>
    <row r="257" spans="1:22" ht="22.5" customHeight="1" x14ac:dyDescent="0.3">
      <c r="A257" s="502">
        <v>3</v>
      </c>
      <c r="B257" s="503" t="s">
        <v>506</v>
      </c>
      <c r="C257" s="504" t="s">
        <v>507</v>
      </c>
      <c r="D257" s="505">
        <v>0</v>
      </c>
      <c r="E257" s="506"/>
      <c r="F257" s="890"/>
      <c r="G257" s="507"/>
      <c r="H257" s="508">
        <v>32500</v>
      </c>
      <c r="I257" s="508">
        <v>0</v>
      </c>
      <c r="J257" s="508">
        <v>32500</v>
      </c>
      <c r="K257" s="492"/>
      <c r="L257" s="492"/>
      <c r="M257" s="298"/>
      <c r="N257" s="509"/>
      <c r="O257" s="893"/>
      <c r="P257" s="510"/>
      <c r="Q257" s="511">
        <v>32500</v>
      </c>
      <c r="R257" s="512">
        <v>0</v>
      </c>
      <c r="S257" s="513">
        <v>32500</v>
      </c>
      <c r="T257" s="2"/>
    </row>
    <row r="258" spans="1:22" ht="22.5" customHeight="1" x14ac:dyDescent="0.3">
      <c r="A258" s="488"/>
      <c r="B258" s="489" t="s">
        <v>508</v>
      </c>
      <c r="C258" s="514"/>
      <c r="D258" s="515"/>
      <c r="E258" s="516"/>
      <c r="F258" s="516"/>
      <c r="G258" s="517"/>
      <c r="H258" s="518"/>
      <c r="I258" s="519"/>
      <c r="J258" s="518"/>
      <c r="K258" s="492"/>
      <c r="L258" s="492"/>
      <c r="M258" s="493"/>
      <c r="N258" s="520"/>
      <c r="O258" s="520"/>
      <c r="P258" s="521"/>
      <c r="Q258" s="522"/>
      <c r="R258" s="523"/>
      <c r="S258" s="524"/>
    </row>
    <row r="259" spans="1:22" ht="22.5" customHeight="1" x14ac:dyDescent="0.3">
      <c r="A259" s="488">
        <v>4</v>
      </c>
      <c r="B259" s="525" t="s">
        <v>509</v>
      </c>
      <c r="C259" s="526" t="s">
        <v>510</v>
      </c>
      <c r="D259" s="515"/>
      <c r="E259" s="527"/>
      <c r="F259" s="527"/>
      <c r="G259" s="517"/>
      <c r="H259" s="528">
        <v>796450.4</v>
      </c>
      <c r="I259" s="519"/>
      <c r="J259" s="528">
        <v>796450.4</v>
      </c>
      <c r="K259" s="515"/>
      <c r="L259" s="492"/>
      <c r="M259" s="493"/>
      <c r="N259" s="521"/>
      <c r="O259" s="529"/>
      <c r="P259" s="529"/>
      <c r="Q259" s="530">
        <v>796450.4</v>
      </c>
      <c r="R259" s="531"/>
      <c r="S259" s="532">
        <v>796450.4</v>
      </c>
    </row>
    <row r="260" spans="1:22" ht="22.5" customHeight="1" x14ac:dyDescent="0.3">
      <c r="A260" s="533"/>
      <c r="B260" s="534" t="s">
        <v>509</v>
      </c>
      <c r="C260" s="535" t="s">
        <v>511</v>
      </c>
      <c r="D260" s="536"/>
      <c r="E260" s="537"/>
      <c r="F260" s="537"/>
      <c r="G260" s="538"/>
      <c r="H260" s="539">
        <v>93330</v>
      </c>
      <c r="I260" s="540"/>
      <c r="J260" s="539">
        <v>93330</v>
      </c>
      <c r="K260" s="536"/>
      <c r="L260" s="541"/>
      <c r="M260" s="542"/>
      <c r="N260" s="543"/>
      <c r="O260" s="544"/>
      <c r="P260" s="544"/>
      <c r="Q260" s="545">
        <v>93330</v>
      </c>
      <c r="R260" s="546"/>
      <c r="S260" s="547">
        <v>93330</v>
      </c>
    </row>
    <row r="261" spans="1:22" s="60" customFormat="1" ht="22.5" customHeight="1" thickBot="1" x14ac:dyDescent="0.35">
      <c r="A261" s="548"/>
      <c r="B261" s="548" t="s">
        <v>15</v>
      </c>
      <c r="C261" s="549"/>
      <c r="D261" s="550">
        <v>0</v>
      </c>
      <c r="E261" s="551"/>
      <c r="F261" s="551"/>
      <c r="G261" s="552"/>
      <c r="H261" s="553">
        <f>SUM(H253:H260)</f>
        <v>1322290.96</v>
      </c>
      <c r="I261" s="553">
        <v>0</v>
      </c>
      <c r="J261" s="553">
        <v>1322290.96</v>
      </c>
      <c r="K261" s="554"/>
      <c r="L261" s="554"/>
      <c r="M261" s="550">
        <v>0</v>
      </c>
      <c r="N261" s="555"/>
      <c r="O261" s="555"/>
      <c r="P261" s="556"/>
      <c r="Q261" s="557">
        <v>1322290.96</v>
      </c>
      <c r="R261" s="557">
        <v>0</v>
      </c>
      <c r="S261" s="558">
        <f>SUM(S253:S260)</f>
        <v>1322290.96</v>
      </c>
      <c r="T261" s="59"/>
    </row>
    <row r="262" spans="1:22" ht="22.5" customHeight="1" thickTop="1" x14ac:dyDescent="0.3">
      <c r="A262" s="559"/>
      <c r="B262" s="560" t="s">
        <v>92</v>
      </c>
      <c r="C262" s="561"/>
      <c r="D262" s="562"/>
      <c r="E262" s="563"/>
      <c r="F262" s="563"/>
      <c r="G262" s="564"/>
      <c r="H262" s="565"/>
      <c r="I262" s="565"/>
      <c r="J262" s="565"/>
      <c r="K262" s="566"/>
      <c r="L262" s="566"/>
      <c r="M262" s="562"/>
      <c r="N262" s="567"/>
      <c r="O262" s="567"/>
      <c r="P262" s="568"/>
      <c r="Q262" s="569"/>
      <c r="R262" s="569"/>
      <c r="S262" s="570"/>
      <c r="T262" s="2"/>
    </row>
    <row r="263" spans="1:22" ht="22.5" customHeight="1" x14ac:dyDescent="0.3">
      <c r="A263" s="23">
        <v>1</v>
      </c>
      <c r="B263" s="73" t="s">
        <v>512</v>
      </c>
      <c r="C263" s="25" t="s">
        <v>97</v>
      </c>
      <c r="D263" s="43">
        <v>0</v>
      </c>
      <c r="E263" s="212" t="s">
        <v>513</v>
      </c>
      <c r="F263" s="212"/>
      <c r="G263" s="213" t="s">
        <v>514</v>
      </c>
      <c r="H263" s="219">
        <v>9813.08</v>
      </c>
      <c r="I263" s="219">
        <v>686.91560000000004</v>
      </c>
      <c r="J263" s="219">
        <v>10499.9956</v>
      </c>
      <c r="K263" s="408"/>
      <c r="L263" s="408"/>
      <c r="M263" s="43"/>
      <c r="N263" s="41" t="s">
        <v>513</v>
      </c>
      <c r="O263" s="41"/>
      <c r="P263" s="34" t="s">
        <v>514</v>
      </c>
      <c r="Q263" s="114">
        <v>9813.08</v>
      </c>
      <c r="R263" s="114">
        <v>686.91560000000004</v>
      </c>
      <c r="S263" s="36">
        <v>10499.9956</v>
      </c>
      <c r="T263" s="2"/>
    </row>
    <row r="264" spans="1:22" s="60" customFormat="1" ht="22.5" customHeight="1" thickBot="1" x14ac:dyDescent="0.35">
      <c r="A264" s="548"/>
      <c r="B264" s="548" t="s">
        <v>15</v>
      </c>
      <c r="C264" s="549"/>
      <c r="D264" s="550"/>
      <c r="E264" s="571"/>
      <c r="F264" s="571"/>
      <c r="G264" s="552"/>
      <c r="H264" s="553">
        <v>9813.08</v>
      </c>
      <c r="I264" s="553">
        <v>686.91560000000004</v>
      </c>
      <c r="J264" s="553">
        <v>10499.9956</v>
      </c>
      <c r="K264" s="554"/>
      <c r="L264" s="554"/>
      <c r="M264" s="550"/>
      <c r="N264" s="548"/>
      <c r="O264" s="548"/>
      <c r="P264" s="552"/>
      <c r="Q264" s="557">
        <v>9813.08</v>
      </c>
      <c r="R264" s="557">
        <v>686.91560000000004</v>
      </c>
      <c r="S264" s="558">
        <v>10499.9956</v>
      </c>
      <c r="T264" s="59"/>
    </row>
    <row r="265" spans="1:22" s="60" customFormat="1" ht="22.5" customHeight="1" thickTop="1" thickBot="1" x14ac:dyDescent="0.35">
      <c r="A265" s="572"/>
      <c r="B265" s="572" t="s">
        <v>515</v>
      </c>
      <c r="C265" s="573"/>
      <c r="D265" s="574"/>
      <c r="E265" s="575"/>
      <c r="F265" s="575"/>
      <c r="G265" s="576"/>
      <c r="H265" s="577">
        <v>1332104.04</v>
      </c>
      <c r="I265" s="577">
        <v>686.91560000000004</v>
      </c>
      <c r="J265" s="577">
        <v>1332790.9556</v>
      </c>
      <c r="K265" s="578"/>
      <c r="L265" s="578"/>
      <c r="M265" s="579">
        <v>0</v>
      </c>
      <c r="N265" s="580"/>
      <c r="O265" s="580"/>
      <c r="P265" s="581"/>
      <c r="Q265" s="582">
        <f>SUM(Q261+Q264)</f>
        <v>1332104.04</v>
      </c>
      <c r="R265" s="582">
        <v>686.91560000000004</v>
      </c>
      <c r="S265" s="583">
        <f>SUM(S261+S264)</f>
        <v>1332790.9556</v>
      </c>
      <c r="T265" s="59"/>
    </row>
    <row r="266" spans="1:22" ht="22.5" customHeight="1" thickTop="1" x14ac:dyDescent="0.3">
      <c r="E266" s="469"/>
      <c r="F266" s="469"/>
      <c r="G266" s="470"/>
      <c r="H266" s="3"/>
      <c r="I266" s="3"/>
      <c r="J266" s="3"/>
      <c r="K266" s="584"/>
      <c r="L266" s="585"/>
      <c r="N266" s="470"/>
      <c r="O266" s="470"/>
      <c r="P266" s="586"/>
      <c r="Q266" s="471"/>
      <c r="R266" s="471"/>
      <c r="S266" s="472"/>
      <c r="T266" s="2"/>
    </row>
    <row r="267" spans="1:22" s="589" customFormat="1" ht="20.399999999999999" x14ac:dyDescent="0.5">
      <c r="A267" s="1126" t="s">
        <v>516</v>
      </c>
      <c r="B267" s="1127"/>
      <c r="C267" s="1127"/>
      <c r="D267" s="1127"/>
      <c r="E267" s="1127"/>
      <c r="F267" s="1127"/>
      <c r="G267" s="1127"/>
      <c r="H267" s="1127"/>
      <c r="I267" s="1127"/>
      <c r="J267" s="1127"/>
      <c r="K267" s="1127"/>
      <c r="L267" s="1127"/>
      <c r="M267" s="1127"/>
      <c r="N267" s="1127"/>
      <c r="O267" s="1127"/>
      <c r="P267" s="1127"/>
      <c r="Q267" s="1127"/>
      <c r="R267" s="1127"/>
      <c r="S267" s="1127"/>
      <c r="T267" s="587"/>
      <c r="U267" s="587"/>
      <c r="V267" s="588"/>
    </row>
    <row r="268" spans="1:22" s="599" customFormat="1" x14ac:dyDescent="0.6">
      <c r="A268" s="590">
        <v>1</v>
      </c>
      <c r="B268" s="591" t="s">
        <v>517</v>
      </c>
      <c r="C268" s="591" t="s">
        <v>518</v>
      </c>
      <c r="D268" s="592">
        <v>0</v>
      </c>
      <c r="E268" s="593"/>
      <c r="F268" s="593"/>
      <c r="G268" s="594"/>
      <c r="H268" s="595">
        <v>0</v>
      </c>
      <c r="I268" s="595">
        <v>0</v>
      </c>
      <c r="J268" s="595">
        <v>0</v>
      </c>
      <c r="K268" s="596"/>
      <c r="L268" s="596"/>
      <c r="M268" s="597"/>
      <c r="N268" s="598"/>
      <c r="O268" s="598"/>
      <c r="P268" s="594"/>
      <c r="Q268" s="595">
        <v>0</v>
      </c>
      <c r="R268" s="595">
        <v>0</v>
      </c>
      <c r="S268" s="595">
        <v>0</v>
      </c>
      <c r="V268" s="600"/>
    </row>
    <row r="269" spans="1:22" s="599" customFormat="1" x14ac:dyDescent="0.6">
      <c r="A269" s="601">
        <v>2</v>
      </c>
      <c r="B269" s="602" t="s">
        <v>519</v>
      </c>
      <c r="C269" s="602" t="s">
        <v>520</v>
      </c>
      <c r="D269" s="603">
        <v>0</v>
      </c>
      <c r="E269" s="604"/>
      <c r="F269" s="604"/>
      <c r="G269" s="605"/>
      <c r="H269" s="606">
        <v>54000</v>
      </c>
      <c r="I269" s="606">
        <v>0</v>
      </c>
      <c r="J269" s="606">
        <v>54000</v>
      </c>
      <c r="K269" s="607"/>
      <c r="L269" s="607"/>
      <c r="M269" s="608"/>
      <c r="N269" s="604"/>
      <c r="O269" s="604"/>
      <c r="P269" s="605"/>
      <c r="Q269" s="609">
        <v>54000</v>
      </c>
      <c r="R269" s="609">
        <v>0</v>
      </c>
      <c r="S269" s="609">
        <v>54000</v>
      </c>
      <c r="V269" s="600"/>
    </row>
    <row r="270" spans="1:22" s="599" customFormat="1" x14ac:dyDescent="0.6">
      <c r="A270" s="610">
        <v>3</v>
      </c>
      <c r="B270" s="611" t="s">
        <v>521</v>
      </c>
      <c r="C270" s="611" t="s">
        <v>522</v>
      </c>
      <c r="D270" s="612">
        <v>0</v>
      </c>
      <c r="E270" s="613"/>
      <c r="F270" s="613"/>
      <c r="G270" s="614"/>
      <c r="H270" s="615">
        <v>0</v>
      </c>
      <c r="I270" s="615">
        <v>0</v>
      </c>
      <c r="J270" s="615">
        <v>0</v>
      </c>
      <c r="K270" s="616"/>
      <c r="L270" s="616"/>
      <c r="M270" s="617"/>
      <c r="N270" s="618"/>
      <c r="O270" s="618"/>
      <c r="P270" s="614"/>
      <c r="Q270" s="609">
        <v>0</v>
      </c>
      <c r="R270" s="609">
        <v>0</v>
      </c>
      <c r="S270" s="609">
        <v>0</v>
      </c>
      <c r="V270" s="600"/>
    </row>
    <row r="271" spans="1:22" s="599" customFormat="1" ht="24" thickBot="1" x14ac:dyDescent="0.65">
      <c r="A271" s="619"/>
      <c r="B271" s="620" t="s">
        <v>523</v>
      </c>
      <c r="C271" s="621"/>
      <c r="D271" s="622">
        <v>0</v>
      </c>
      <c r="E271" s="623"/>
      <c r="F271" s="623"/>
      <c r="G271" s="624"/>
      <c r="H271" s="625">
        <v>54000</v>
      </c>
      <c r="I271" s="625">
        <v>0</v>
      </c>
      <c r="J271" s="625">
        <v>54000</v>
      </c>
      <c r="K271" s="624"/>
      <c r="L271" s="624"/>
      <c r="M271" s="622">
        <v>0</v>
      </c>
      <c r="N271" s="623"/>
      <c r="O271" s="623"/>
      <c r="P271" s="624"/>
      <c r="Q271" s="626">
        <v>54000</v>
      </c>
      <c r="R271" s="626">
        <v>0</v>
      </c>
      <c r="S271" s="626">
        <v>54000</v>
      </c>
      <c r="T271" s="627">
        <v>2034140.3755999999</v>
      </c>
      <c r="V271" s="600"/>
    </row>
    <row r="272" spans="1:22" s="636" customFormat="1" ht="24" thickTop="1" x14ac:dyDescent="0.6">
      <c r="A272" s="628"/>
      <c r="B272" s="629"/>
      <c r="C272" s="630"/>
      <c r="D272" s="631"/>
      <c r="E272" s="632"/>
      <c r="F272" s="632"/>
      <c r="G272" s="633"/>
      <c r="H272" s="634"/>
      <c r="I272" s="634"/>
      <c r="J272" s="634"/>
      <c r="K272" s="633"/>
      <c r="L272" s="633"/>
      <c r="M272" s="631"/>
      <c r="N272" s="632"/>
      <c r="O272" s="632"/>
      <c r="P272" s="633"/>
      <c r="Q272" s="635"/>
      <c r="R272" s="635"/>
      <c r="S272" s="635"/>
      <c r="V272" s="637"/>
    </row>
    <row r="273" spans="1:22" s="636" customFormat="1" x14ac:dyDescent="0.6">
      <c r="A273" s="1128" t="s">
        <v>524</v>
      </c>
      <c r="B273" s="1128"/>
      <c r="C273" s="1128"/>
      <c r="D273" s="1128"/>
      <c r="E273" s="1128"/>
      <c r="F273" s="1128"/>
      <c r="G273" s="1128"/>
      <c r="H273" s="1128"/>
      <c r="I273" s="1128"/>
      <c r="J273" s="1128"/>
      <c r="K273" s="1128"/>
      <c r="L273" s="1128"/>
      <c r="M273" s="1128"/>
      <c r="N273" s="1128"/>
      <c r="O273" s="1128"/>
      <c r="P273" s="1128"/>
      <c r="Q273" s="1128"/>
      <c r="R273" s="1128"/>
      <c r="S273" s="1128"/>
      <c r="V273" s="637"/>
    </row>
    <row r="274" spans="1:22" s="599" customFormat="1" x14ac:dyDescent="0.6">
      <c r="A274" s="638">
        <v>1</v>
      </c>
      <c r="B274" s="639" t="s">
        <v>519</v>
      </c>
      <c r="C274" s="639" t="s">
        <v>518</v>
      </c>
      <c r="D274" s="640">
        <v>5600</v>
      </c>
      <c r="E274" s="641" t="s">
        <v>936</v>
      </c>
      <c r="F274" s="641"/>
      <c r="G274" s="642">
        <v>14</v>
      </c>
      <c r="H274" s="643">
        <v>78400</v>
      </c>
      <c r="I274" s="643">
        <v>0</v>
      </c>
      <c r="J274" s="643">
        <v>78400</v>
      </c>
      <c r="K274" s="884"/>
      <c r="L274" s="884"/>
      <c r="M274" s="884"/>
      <c r="N274" s="884" t="s">
        <v>1066</v>
      </c>
      <c r="O274" s="884"/>
      <c r="P274" s="884">
        <v>15</v>
      </c>
      <c r="Q274" s="643">
        <f>SUM(D274+J274-M274)</f>
        <v>84000</v>
      </c>
      <c r="R274" s="643">
        <v>0</v>
      </c>
      <c r="S274" s="643">
        <f>SUM(D274+J274-M274)</f>
        <v>84000</v>
      </c>
      <c r="V274" s="600"/>
    </row>
    <row r="275" spans="1:22" s="599" customFormat="1" x14ac:dyDescent="0.6">
      <c r="A275" s="646">
        <v>2</v>
      </c>
      <c r="B275" s="647" t="s">
        <v>521</v>
      </c>
      <c r="C275" s="647" t="s">
        <v>522</v>
      </c>
      <c r="D275" s="648">
        <v>8400</v>
      </c>
      <c r="E275" s="649" t="s">
        <v>1059</v>
      </c>
      <c r="F275" s="649" t="s">
        <v>33</v>
      </c>
      <c r="G275" s="650" t="s">
        <v>33</v>
      </c>
      <c r="H275" s="651">
        <v>6917.6500000000015</v>
      </c>
      <c r="I275" s="615">
        <v>0</v>
      </c>
      <c r="J275" s="615">
        <v>6917.6500000000015</v>
      </c>
      <c r="K275" s="644" t="s">
        <v>1178</v>
      </c>
      <c r="L275" s="644" t="s">
        <v>1176</v>
      </c>
      <c r="M275" s="645">
        <v>8400</v>
      </c>
      <c r="N275" s="641" t="s">
        <v>1177</v>
      </c>
      <c r="O275" s="641" t="s">
        <v>33</v>
      </c>
      <c r="P275" s="642" t="s">
        <v>33</v>
      </c>
      <c r="Q275" s="643">
        <f>SUM(D275+J275-M275)</f>
        <v>6917.6500000000015</v>
      </c>
      <c r="R275" s="606">
        <v>0</v>
      </c>
      <c r="S275" s="643">
        <f>SUM(D275+J275-M275)</f>
        <v>6917.6500000000015</v>
      </c>
      <c r="V275" s="600"/>
    </row>
    <row r="276" spans="1:22" s="599" customFormat="1" x14ac:dyDescent="0.6">
      <c r="A276" s="646"/>
      <c r="B276" s="653" t="s">
        <v>534</v>
      </c>
      <c r="C276" s="647"/>
      <c r="D276" s="648"/>
      <c r="E276" s="649"/>
      <c r="F276" s="649"/>
      <c r="G276" s="650"/>
      <c r="H276" s="651"/>
      <c r="I276" s="651"/>
      <c r="J276" s="651"/>
      <c r="K276" s="30"/>
      <c r="L276" s="249"/>
      <c r="M276" s="221"/>
      <c r="N276" s="652"/>
      <c r="O276" s="652"/>
      <c r="P276" s="373"/>
      <c r="Q276" s="651"/>
      <c r="R276" s="651"/>
      <c r="S276" s="651"/>
      <c r="V276" s="600"/>
    </row>
    <row r="277" spans="1:22" s="599" customFormat="1" ht="24" thickBot="1" x14ac:dyDescent="0.65">
      <c r="A277" s="619"/>
      <c r="B277" s="620" t="s">
        <v>535</v>
      </c>
      <c r="C277" s="621"/>
      <c r="D277" s="622">
        <v>14000</v>
      </c>
      <c r="E277" s="623"/>
      <c r="F277" s="623"/>
      <c r="G277" s="624"/>
      <c r="H277" s="625">
        <f>SUM(H274:H276)-H275</f>
        <v>78400</v>
      </c>
      <c r="I277" s="625">
        <f>SUM(I274:I276)-I275</f>
        <v>0</v>
      </c>
      <c r="J277" s="625">
        <f>SUM(J274:J276)-J275</f>
        <v>78400</v>
      </c>
      <c r="K277" s="625"/>
      <c r="L277" s="625"/>
      <c r="M277" s="625">
        <f>SUM(M275:M276)</f>
        <v>8400</v>
      </c>
      <c r="N277" s="625"/>
      <c r="O277" s="625"/>
      <c r="P277" s="625"/>
      <c r="Q277" s="625">
        <f>SUM(Q274:Q276)</f>
        <v>90917.65</v>
      </c>
      <c r="R277" s="625">
        <f>SUM(R274:R276)</f>
        <v>0</v>
      </c>
      <c r="S277" s="625">
        <f>SUM(S274:S276)</f>
        <v>90917.65</v>
      </c>
      <c r="V277" s="600"/>
    </row>
    <row r="278" spans="1:22" ht="22.5" customHeight="1" thickTop="1" x14ac:dyDescent="0.3">
      <c r="E278" s="469"/>
      <c r="F278" s="469"/>
      <c r="G278" s="470"/>
      <c r="H278" s="3"/>
      <c r="I278" s="3"/>
      <c r="J278" s="3"/>
      <c r="K278" s="584"/>
      <c r="L278" s="585"/>
      <c r="N278" s="470"/>
      <c r="O278" s="470"/>
      <c r="P278" s="586"/>
      <c r="Q278" s="471"/>
      <c r="R278" s="471"/>
      <c r="S278" s="472"/>
      <c r="T278" s="2"/>
    </row>
    <row r="279" spans="1:22" ht="22.5" customHeight="1" thickBot="1" x14ac:dyDescent="0.35">
      <c r="E279" s="469"/>
      <c r="F279" s="469"/>
      <c r="G279" s="470"/>
      <c r="H279" s="3"/>
      <c r="I279" s="3"/>
      <c r="J279" s="3"/>
      <c r="K279" s="584"/>
      <c r="L279" s="585"/>
      <c r="M279" s="657">
        <f>SUM(M249+M265+M271+M277)</f>
        <v>1071273.3</v>
      </c>
      <c r="N279" s="470"/>
      <c r="O279" s="470"/>
      <c r="P279" s="586"/>
      <c r="Q279" s="1148" t="s">
        <v>536</v>
      </c>
      <c r="R279" s="1148"/>
      <c r="S279" s="658">
        <f>SUM(S249+S265+S271+S277)</f>
        <v>1795717.6931999999</v>
      </c>
      <c r="T279" s="2"/>
    </row>
    <row r="280" spans="1:22" ht="22.5" customHeight="1" thickTop="1" x14ac:dyDescent="0.5">
      <c r="B280" s="587" t="s">
        <v>537</v>
      </c>
      <c r="C280" s="587"/>
      <c r="D280" s="587"/>
      <c r="E280" s="587"/>
      <c r="F280" s="587"/>
      <c r="G280" s="587"/>
      <c r="H280" s="587"/>
      <c r="I280" s="587"/>
      <c r="J280" s="587"/>
      <c r="K280" s="587"/>
      <c r="N280" s="3"/>
      <c r="O280" s="3"/>
      <c r="P280" s="470"/>
      <c r="Q280" s="471"/>
      <c r="R280" s="471"/>
      <c r="S280" s="472"/>
    </row>
    <row r="281" spans="1:22" x14ac:dyDescent="0.5">
      <c r="B281" s="1129" t="s">
        <v>538</v>
      </c>
      <c r="C281" s="1129"/>
      <c r="D281" s="1129"/>
      <c r="E281" s="1129"/>
      <c r="F281" s="1129"/>
      <c r="G281" s="1129"/>
      <c r="H281" s="1129"/>
      <c r="I281" s="1129"/>
      <c r="J281" s="1129"/>
      <c r="K281" s="1129"/>
      <c r="N281" s="3"/>
      <c r="O281" s="3"/>
      <c r="P281" s="470"/>
      <c r="Q281" s="471"/>
      <c r="R281" s="471"/>
      <c r="S281" s="472"/>
    </row>
    <row r="282" spans="1:22" x14ac:dyDescent="0.5">
      <c r="B282" s="1129" t="s">
        <v>539</v>
      </c>
      <c r="C282" s="1129"/>
      <c r="D282" s="1129"/>
      <c r="E282" s="1129"/>
      <c r="F282" s="1129"/>
      <c r="G282" s="1129"/>
      <c r="H282" s="1129"/>
      <c r="I282" s="1129"/>
      <c r="J282" s="1129"/>
      <c r="K282" s="1129"/>
      <c r="N282" s="3"/>
      <c r="O282" s="3"/>
      <c r="P282" s="470"/>
      <c r="Q282" s="471"/>
      <c r="R282" s="471"/>
      <c r="S282" s="472"/>
    </row>
    <row r="283" spans="1:22" x14ac:dyDescent="0.3">
      <c r="E283" s="469"/>
      <c r="F283" s="469"/>
      <c r="G283" s="470"/>
      <c r="H283" s="3"/>
      <c r="I283" s="3"/>
      <c r="J283" s="3"/>
      <c r="N283" s="3"/>
      <c r="O283" s="3"/>
      <c r="P283" s="470"/>
      <c r="Q283" s="471"/>
      <c r="R283" s="471"/>
      <c r="S283" s="472"/>
    </row>
    <row r="284" spans="1:22" x14ac:dyDescent="0.3">
      <c r="E284" s="469"/>
      <c r="F284" s="469"/>
      <c r="G284" s="470"/>
      <c r="H284" s="3"/>
      <c r="I284" s="3"/>
      <c r="J284" s="3"/>
      <c r="N284" s="3"/>
      <c r="O284" s="3"/>
      <c r="P284" s="470"/>
      <c r="Q284" s="471"/>
      <c r="R284" s="471"/>
      <c r="S284" s="472"/>
    </row>
    <row r="285" spans="1:22" x14ac:dyDescent="0.3">
      <c r="E285" s="469"/>
      <c r="F285" s="469"/>
      <c r="G285" s="470"/>
      <c r="H285" s="3"/>
      <c r="I285" s="3"/>
      <c r="J285" s="3"/>
      <c r="N285" s="3"/>
      <c r="O285" s="3"/>
      <c r="P285" s="470"/>
      <c r="Q285" s="471"/>
      <c r="R285" s="471"/>
      <c r="S285" s="472"/>
    </row>
    <row r="286" spans="1:22" x14ac:dyDescent="0.3">
      <c r="E286" s="469"/>
      <c r="F286" s="469"/>
      <c r="G286" s="470"/>
      <c r="H286" s="3"/>
      <c r="I286" s="3"/>
      <c r="J286" s="3"/>
      <c r="N286" s="3"/>
      <c r="O286" s="3"/>
      <c r="P286" s="470"/>
      <c r="Q286" s="471"/>
      <c r="R286" s="471"/>
      <c r="S286" s="472"/>
    </row>
    <row r="287" spans="1:22" x14ac:dyDescent="0.3">
      <c r="E287" s="469"/>
      <c r="F287" s="469"/>
      <c r="G287" s="470"/>
      <c r="H287" s="3"/>
      <c r="I287" s="3"/>
      <c r="J287" s="3"/>
      <c r="N287" s="3"/>
      <c r="O287" s="3"/>
      <c r="P287" s="470"/>
      <c r="Q287" s="471"/>
      <c r="R287" s="471"/>
      <c r="S287" s="472"/>
    </row>
    <row r="288" spans="1:22" x14ac:dyDescent="0.3">
      <c r="E288" s="469"/>
      <c r="F288" s="469"/>
      <c r="G288" s="470"/>
      <c r="H288" s="3"/>
      <c r="I288" s="3"/>
      <c r="J288" s="3"/>
      <c r="N288" s="3"/>
      <c r="O288" s="3"/>
      <c r="P288" s="470"/>
      <c r="Q288" s="471"/>
      <c r="R288" s="471"/>
      <c r="S288" s="472"/>
    </row>
    <row r="289" spans="5:19" x14ac:dyDescent="0.3">
      <c r="E289" s="469"/>
      <c r="F289" s="469"/>
      <c r="G289" s="470"/>
      <c r="H289" s="3"/>
      <c r="I289" s="3"/>
      <c r="J289" s="3"/>
      <c r="N289" s="3"/>
      <c r="O289" s="3"/>
      <c r="P289" s="470"/>
      <c r="Q289" s="471"/>
      <c r="R289" s="471"/>
      <c r="S289" s="472"/>
    </row>
  </sheetData>
  <mergeCells count="22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82:K282"/>
    <mergeCell ref="E5:E6"/>
    <mergeCell ref="G5:G6"/>
    <mergeCell ref="H5:J5"/>
    <mergeCell ref="N5:N6"/>
    <mergeCell ref="A251:S251"/>
    <mergeCell ref="A267:S267"/>
    <mergeCell ref="A273:S273"/>
    <mergeCell ref="Q279:R279"/>
    <mergeCell ref="B281:K281"/>
    <mergeCell ref="P5:P6"/>
    <mergeCell ref="Q5:S5"/>
  </mergeCells>
  <phoneticPr fontId="2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0F2B-9E38-4F3A-A365-071052FA7A11}">
  <sheetPr>
    <tabColor rgb="FF00B0F0"/>
  </sheetPr>
  <dimension ref="A1:AB157"/>
  <sheetViews>
    <sheetView zoomScale="80" zoomScaleNormal="80" workbookViewId="0">
      <pane ySplit="6" topLeftCell="A139" activePane="bottomLeft" state="frozen"/>
      <selection pane="bottomLeft" activeCell="I142" sqref="I142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2.44140625" style="88" customWidth="1"/>
    <col min="5" max="5" width="18.6640625" style="88" customWidth="1"/>
    <col min="6" max="6" width="16.33203125" style="88" customWidth="1"/>
    <col min="7" max="7" width="9.5546875" style="3" customWidth="1"/>
    <col min="8" max="8" width="15.88671875" style="3" customWidth="1"/>
    <col min="9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8" ht="22.5" customHeight="1" x14ac:dyDescent="0.3">
      <c r="A3" s="1110" t="s">
        <v>1065</v>
      </c>
      <c r="B3" s="1111"/>
      <c r="C3" s="1111"/>
      <c r="D3" s="1111"/>
      <c r="E3" s="1111"/>
      <c r="F3" s="1111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8" ht="22.5" customHeight="1" x14ac:dyDescent="0.3">
      <c r="A5" s="1113"/>
      <c r="B5" s="1113"/>
      <c r="C5" s="1116"/>
      <c r="D5" s="5"/>
      <c r="E5" s="6"/>
      <c r="F5" s="6"/>
    </row>
    <row r="6" spans="1:8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8" ht="22.5" customHeight="1" x14ac:dyDescent="0.3">
      <c r="A7" s="11"/>
      <c r="B7" s="12" t="s">
        <v>19</v>
      </c>
      <c r="C7" s="13"/>
      <c r="D7" s="18"/>
      <c r="E7" s="18"/>
      <c r="F7" s="14"/>
    </row>
    <row r="8" spans="1:8" ht="22.5" customHeight="1" x14ac:dyDescent="0.5">
      <c r="A8" s="23">
        <v>1</v>
      </c>
      <c r="B8" s="24" t="s">
        <v>20</v>
      </c>
      <c r="C8" s="25" t="s">
        <v>21</v>
      </c>
      <c r="D8" s="30">
        <v>25261</v>
      </c>
      <c r="E8" s="31" t="s">
        <v>1067</v>
      </c>
      <c r="F8" s="32">
        <v>5847.33</v>
      </c>
    </row>
    <row r="9" spans="1:8" ht="22.5" customHeight="1" x14ac:dyDescent="0.5">
      <c r="A9" s="23">
        <v>2</v>
      </c>
      <c r="B9" s="24" t="s">
        <v>24</v>
      </c>
      <c r="C9" s="25" t="s">
        <v>25</v>
      </c>
      <c r="D9" s="30">
        <v>25262</v>
      </c>
      <c r="E9" s="31" t="s">
        <v>1068</v>
      </c>
      <c r="F9" s="32">
        <v>4942.21</v>
      </c>
    </row>
    <row r="10" spans="1:8" ht="22.5" customHeight="1" x14ac:dyDescent="0.5">
      <c r="A10" s="23">
        <v>3</v>
      </c>
      <c r="B10" s="24" t="s">
        <v>27</v>
      </c>
      <c r="C10" s="25" t="s">
        <v>28</v>
      </c>
      <c r="D10" s="38">
        <v>25261</v>
      </c>
      <c r="E10" s="39" t="s">
        <v>1069</v>
      </c>
      <c r="F10" s="40">
        <v>802.5</v>
      </c>
    </row>
    <row r="11" spans="1:8" ht="22.5" customHeight="1" x14ac:dyDescent="0.5">
      <c r="A11" s="23">
        <v>4</v>
      </c>
      <c r="B11" s="24" t="s">
        <v>30</v>
      </c>
      <c r="C11" s="25" t="s">
        <v>31</v>
      </c>
      <c r="D11" s="30">
        <v>25239</v>
      </c>
      <c r="E11" s="31" t="s">
        <v>1070</v>
      </c>
      <c r="F11" s="32">
        <v>1733.4</v>
      </c>
    </row>
    <row r="12" spans="1:8" s="60" customFormat="1" ht="22.5" customHeight="1" thickBot="1" x14ac:dyDescent="0.35">
      <c r="A12" s="48"/>
      <c r="B12" s="48" t="s">
        <v>15</v>
      </c>
      <c r="C12" s="49"/>
      <c r="D12" s="54"/>
      <c r="E12" s="55"/>
      <c r="F12" s="50">
        <v>13325.44</v>
      </c>
      <c r="H12" s="683">
        <f>SUM(F8:F11)</f>
        <v>13325.44</v>
      </c>
    </row>
    <row r="13" spans="1:8" ht="22.5" customHeight="1" thickTop="1" x14ac:dyDescent="0.3">
      <c r="A13" s="61"/>
      <c r="B13" s="62" t="s">
        <v>37</v>
      </c>
      <c r="C13" s="63"/>
      <c r="D13" s="68"/>
      <c r="E13" s="68"/>
      <c r="F13" s="64"/>
    </row>
    <row r="14" spans="1:8" ht="22.5" customHeight="1" x14ac:dyDescent="0.5">
      <c r="A14" s="23">
        <v>1</v>
      </c>
      <c r="B14" s="73" t="s">
        <v>38</v>
      </c>
      <c r="C14" s="25" t="s">
        <v>39</v>
      </c>
      <c r="D14" s="30">
        <v>25238</v>
      </c>
      <c r="E14" s="31" t="s">
        <v>1071</v>
      </c>
      <c r="F14" s="32">
        <v>1284</v>
      </c>
    </row>
    <row r="15" spans="1:8" ht="22.5" customHeight="1" x14ac:dyDescent="0.5">
      <c r="A15" s="23">
        <v>2</v>
      </c>
      <c r="B15" s="73" t="s">
        <v>42</v>
      </c>
      <c r="C15" s="25" t="s">
        <v>43</v>
      </c>
      <c r="D15" s="30">
        <v>25259</v>
      </c>
      <c r="E15" s="31" t="s">
        <v>1072</v>
      </c>
      <c r="F15" s="32">
        <v>1540.8</v>
      </c>
    </row>
    <row r="16" spans="1:8" ht="22.5" customHeight="1" x14ac:dyDescent="0.5">
      <c r="A16" s="23">
        <v>3</v>
      </c>
      <c r="B16" s="73" t="s">
        <v>45</v>
      </c>
      <c r="C16" s="25" t="s">
        <v>46</v>
      </c>
      <c r="D16" s="30">
        <v>25254</v>
      </c>
      <c r="E16" s="31" t="s">
        <v>1073</v>
      </c>
      <c r="F16" s="32">
        <v>1701.3</v>
      </c>
    </row>
    <row r="17" spans="1:28" ht="22.5" customHeight="1" x14ac:dyDescent="0.5">
      <c r="A17" s="23">
        <v>4</v>
      </c>
      <c r="B17" s="73" t="s">
        <v>30</v>
      </c>
      <c r="C17" s="25" t="s">
        <v>31</v>
      </c>
      <c r="D17" s="30">
        <v>25239</v>
      </c>
      <c r="E17" s="31" t="s">
        <v>1074</v>
      </c>
      <c r="F17" s="32">
        <v>6420</v>
      </c>
    </row>
    <row r="18" spans="1:28" ht="22.5" customHeight="1" x14ac:dyDescent="0.5">
      <c r="A18" s="23">
        <v>5</v>
      </c>
      <c r="B18" s="78" t="s">
        <v>56</v>
      </c>
      <c r="C18" s="81" t="s">
        <v>57</v>
      </c>
      <c r="D18" s="38">
        <v>25261</v>
      </c>
      <c r="E18" s="39" t="s">
        <v>1075</v>
      </c>
      <c r="F18" s="40">
        <v>1203.75</v>
      </c>
    </row>
    <row r="19" spans="1:28" ht="22.5" customHeight="1" x14ac:dyDescent="0.5">
      <c r="A19" s="23">
        <v>6</v>
      </c>
      <c r="B19" s="78" t="s">
        <v>59</v>
      </c>
      <c r="C19" s="83" t="s">
        <v>60</v>
      </c>
      <c r="D19" s="38">
        <v>25248</v>
      </c>
      <c r="E19" s="39" t="s">
        <v>1076</v>
      </c>
      <c r="F19" s="40">
        <v>21400</v>
      </c>
    </row>
    <row r="20" spans="1:28" s="88" customFormat="1" ht="22.5" customHeight="1" x14ac:dyDescent="0.5">
      <c r="A20" s="23">
        <v>7</v>
      </c>
      <c r="B20" s="84" t="s">
        <v>62</v>
      </c>
      <c r="C20" s="85" t="s">
        <v>28</v>
      </c>
      <c r="D20" s="38">
        <v>25261</v>
      </c>
      <c r="E20" s="39" t="s">
        <v>1077</v>
      </c>
      <c r="F20" s="40">
        <v>856</v>
      </c>
    </row>
    <row r="21" spans="1:28" ht="22.5" customHeight="1" x14ac:dyDescent="0.5">
      <c r="A21" s="23">
        <v>8</v>
      </c>
      <c r="B21" s="89" t="s">
        <v>64</v>
      </c>
      <c r="C21" s="90" t="s">
        <v>65</v>
      </c>
      <c r="D21" s="38">
        <v>25258</v>
      </c>
      <c r="E21" s="39" t="s">
        <v>1078</v>
      </c>
      <c r="F21" s="40">
        <v>42800</v>
      </c>
    </row>
    <row r="22" spans="1:28" ht="22.5" customHeight="1" x14ac:dyDescent="0.5">
      <c r="A22" s="23">
        <v>9</v>
      </c>
      <c r="B22" s="94" t="s">
        <v>67</v>
      </c>
      <c r="C22" s="95" t="s">
        <v>68</v>
      </c>
      <c r="D22" s="38">
        <v>25254</v>
      </c>
      <c r="E22" s="39" t="s">
        <v>1079</v>
      </c>
      <c r="F22" s="40">
        <v>3210</v>
      </c>
    </row>
    <row r="23" spans="1:28" ht="22.5" customHeight="1" x14ac:dyDescent="0.5">
      <c r="A23" s="23">
        <v>10</v>
      </c>
      <c r="B23" s="99" t="s">
        <v>70</v>
      </c>
      <c r="C23" s="100" t="s">
        <v>60</v>
      </c>
      <c r="D23" s="101">
        <v>25248</v>
      </c>
      <c r="E23" s="102" t="s">
        <v>1080</v>
      </c>
      <c r="F23" s="103">
        <v>3210</v>
      </c>
    </row>
    <row r="24" spans="1:28" s="60" customFormat="1" ht="22.5" customHeight="1" thickBot="1" x14ac:dyDescent="0.35">
      <c r="A24" s="48"/>
      <c r="B24" s="48" t="s">
        <v>15</v>
      </c>
      <c r="C24" s="49"/>
      <c r="D24" s="104"/>
      <c r="E24" s="104"/>
      <c r="F24" s="104">
        <v>83625.850000000006</v>
      </c>
      <c r="H24" s="683">
        <f>SUM(F14:F23)</f>
        <v>83625.850000000006</v>
      </c>
    </row>
    <row r="25" spans="1:28" ht="22.5" customHeight="1" thickTop="1" x14ac:dyDescent="0.3">
      <c r="A25" s="61"/>
      <c r="B25" s="62" t="s">
        <v>71</v>
      </c>
      <c r="C25" s="63"/>
      <c r="D25" s="68"/>
      <c r="E25" s="68"/>
      <c r="F25" s="64"/>
    </row>
    <row r="26" spans="1:28" ht="22.5" customHeight="1" x14ac:dyDescent="0.5">
      <c r="A26" s="23">
        <v>1</v>
      </c>
      <c r="B26" s="73" t="s">
        <v>72</v>
      </c>
      <c r="C26" s="25" t="s">
        <v>73</v>
      </c>
      <c r="D26" s="38">
        <v>25261</v>
      </c>
      <c r="E26" s="39" t="s">
        <v>1081</v>
      </c>
      <c r="F26" s="32">
        <v>6363.83</v>
      </c>
    </row>
    <row r="27" spans="1:28" ht="22.5" customHeight="1" x14ac:dyDescent="0.5">
      <c r="A27" s="115">
        <v>2</v>
      </c>
      <c r="B27" s="4" t="s">
        <v>75</v>
      </c>
      <c r="C27" s="25" t="s">
        <v>76</v>
      </c>
      <c r="D27" s="101">
        <v>25244</v>
      </c>
      <c r="E27" s="102" t="s">
        <v>1082</v>
      </c>
      <c r="F27" s="103">
        <v>14445</v>
      </c>
    </row>
    <row r="28" spans="1:28" s="60" customFormat="1" ht="22.5" customHeight="1" thickBot="1" x14ac:dyDescent="0.35">
      <c r="A28" s="48"/>
      <c r="B28" s="48" t="s">
        <v>15</v>
      </c>
      <c r="C28" s="49"/>
      <c r="D28" s="50"/>
      <c r="E28" s="50">
        <v>0</v>
      </c>
      <c r="F28" s="50">
        <v>20808.830000000002</v>
      </c>
      <c r="H28" s="683">
        <f>SUM(F26:F27)</f>
        <v>20808.830000000002</v>
      </c>
    </row>
    <row r="29" spans="1:28" ht="22.5" customHeight="1" thickTop="1" x14ac:dyDescent="0.3">
      <c r="A29" s="61"/>
      <c r="B29" s="121" t="s">
        <v>78</v>
      </c>
      <c r="C29" s="63"/>
      <c r="D29" s="68"/>
      <c r="E29" s="68"/>
      <c r="F29" s="64"/>
    </row>
    <row r="30" spans="1:28" s="134" customFormat="1" ht="22.5" customHeight="1" x14ac:dyDescent="0.6">
      <c r="A30" s="122">
        <v>1</v>
      </c>
      <c r="B30" s="123" t="s">
        <v>79</v>
      </c>
      <c r="C30" s="124" t="s">
        <v>60</v>
      </c>
      <c r="D30" s="38">
        <v>25248</v>
      </c>
      <c r="E30" s="39" t="s">
        <v>1083</v>
      </c>
      <c r="F30" s="40">
        <v>5350</v>
      </c>
      <c r="G30" s="131"/>
      <c r="H30" s="132"/>
      <c r="I30" s="131"/>
      <c r="J30" s="132"/>
      <c r="K30" s="132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</row>
    <row r="31" spans="1:28" s="134" customFormat="1" ht="22.5" customHeight="1" x14ac:dyDescent="0.6">
      <c r="A31" s="122">
        <v>2</v>
      </c>
      <c r="B31" s="123" t="s">
        <v>80</v>
      </c>
      <c r="C31" s="124" t="s">
        <v>65</v>
      </c>
      <c r="D31" s="38">
        <v>25258</v>
      </c>
      <c r="E31" s="39" t="s">
        <v>1084</v>
      </c>
      <c r="F31" s="40">
        <v>10700</v>
      </c>
      <c r="G31" s="131"/>
      <c r="H31" s="132"/>
      <c r="I31" s="131"/>
      <c r="J31" s="132"/>
      <c r="K31" s="132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</row>
    <row r="32" spans="1:28" s="60" customFormat="1" ht="22.5" customHeight="1" thickBot="1" x14ac:dyDescent="0.35">
      <c r="A32" s="48"/>
      <c r="B32" s="48" t="s">
        <v>15</v>
      </c>
      <c r="C32" s="49"/>
      <c r="D32" s="109"/>
      <c r="E32" s="109"/>
      <c r="F32" s="138">
        <v>16050</v>
      </c>
      <c r="H32" s="683">
        <f>SUM(F30:F31)</f>
        <v>16050</v>
      </c>
    </row>
    <row r="33" spans="1:8" ht="22.5" customHeight="1" thickTop="1" x14ac:dyDescent="0.3">
      <c r="A33" s="139"/>
      <c r="B33" s="140" t="s">
        <v>81</v>
      </c>
      <c r="C33" s="141"/>
      <c r="D33" s="68"/>
      <c r="E33" s="68"/>
      <c r="F33" s="64"/>
    </row>
    <row r="34" spans="1:8" ht="22.5" customHeight="1" x14ac:dyDescent="0.5">
      <c r="A34" s="148">
        <v>1</v>
      </c>
      <c r="B34" s="149" t="s">
        <v>82</v>
      </c>
      <c r="C34" s="90" t="s">
        <v>83</v>
      </c>
      <c r="D34" s="30">
        <v>25246</v>
      </c>
      <c r="E34" s="31" t="s">
        <v>1085</v>
      </c>
      <c r="F34" s="32">
        <v>6955</v>
      </c>
    </row>
    <row r="35" spans="1:8" s="60" customFormat="1" ht="22.5" customHeight="1" thickBot="1" x14ac:dyDescent="0.35">
      <c r="A35" s="158"/>
      <c r="B35" s="158" t="s">
        <v>15</v>
      </c>
      <c r="C35" s="159"/>
      <c r="D35" s="161"/>
      <c r="E35" s="161"/>
      <c r="F35" s="162">
        <v>6955</v>
      </c>
      <c r="H35" s="683">
        <f>SUM(F34)</f>
        <v>6955</v>
      </c>
    </row>
    <row r="36" spans="1:8" ht="22.5" customHeight="1" thickTop="1" x14ac:dyDescent="0.3">
      <c r="A36" s="115"/>
      <c r="B36" s="164" t="s">
        <v>85</v>
      </c>
      <c r="C36" s="165"/>
      <c r="D36" s="170"/>
      <c r="E36" s="170"/>
      <c r="F36" s="171"/>
    </row>
    <row r="37" spans="1:8" ht="22.5" customHeight="1" x14ac:dyDescent="0.5">
      <c r="A37" s="174">
        <v>1</v>
      </c>
      <c r="B37" s="189" t="s">
        <v>89</v>
      </c>
      <c r="C37" s="190" t="s">
        <v>90</v>
      </c>
      <c r="D37" s="38">
        <v>25254</v>
      </c>
      <c r="E37" s="39" t="s">
        <v>1086</v>
      </c>
      <c r="F37" s="40">
        <v>3210</v>
      </c>
    </row>
    <row r="38" spans="1:8" s="60" customFormat="1" ht="22.5" customHeight="1" thickBot="1" x14ac:dyDescent="0.35">
      <c r="A38" s="194"/>
      <c r="B38" s="194" t="s">
        <v>15</v>
      </c>
      <c r="C38" s="195"/>
      <c r="D38" s="198"/>
      <c r="E38" s="199"/>
      <c r="F38" s="200">
        <v>3210</v>
      </c>
      <c r="H38" s="683">
        <f>SUM(F37)</f>
        <v>3210</v>
      </c>
    </row>
    <row r="39" spans="1:8" ht="22.5" customHeight="1" thickTop="1" x14ac:dyDescent="0.3">
      <c r="A39" s="61"/>
      <c r="B39" s="62" t="s">
        <v>92</v>
      </c>
      <c r="C39" s="63"/>
      <c r="D39" s="68"/>
      <c r="E39" s="68"/>
      <c r="F39" s="64"/>
    </row>
    <row r="40" spans="1:8" ht="22.5" customHeight="1" x14ac:dyDescent="0.5">
      <c r="A40" s="208">
        <v>1</v>
      </c>
      <c r="B40" s="209" t="s">
        <v>93</v>
      </c>
      <c r="C40" s="210" t="s">
        <v>43</v>
      </c>
      <c r="D40" s="30">
        <v>25259</v>
      </c>
      <c r="E40" s="31" t="s">
        <v>1087</v>
      </c>
      <c r="F40" s="32">
        <v>4387</v>
      </c>
    </row>
    <row r="41" spans="1:8" ht="22.5" customHeight="1" x14ac:dyDescent="0.5">
      <c r="A41" s="208">
        <v>2</v>
      </c>
      <c r="B41" s="209" t="s">
        <v>95</v>
      </c>
      <c r="C41" s="210" t="s">
        <v>43</v>
      </c>
      <c r="D41" s="30">
        <v>25259</v>
      </c>
      <c r="E41" s="31" t="s">
        <v>1087</v>
      </c>
      <c r="F41" s="32">
        <v>8025</v>
      </c>
    </row>
    <row r="42" spans="1:8" ht="22.5" customHeight="1" x14ac:dyDescent="0.5">
      <c r="A42" s="208">
        <v>3</v>
      </c>
      <c r="B42" s="73" t="s">
        <v>96</v>
      </c>
      <c r="C42" s="25" t="s">
        <v>97</v>
      </c>
      <c r="D42" s="30">
        <v>25258</v>
      </c>
      <c r="E42" s="220" t="s">
        <v>1088</v>
      </c>
      <c r="F42" s="221">
        <v>6837.3</v>
      </c>
    </row>
    <row r="43" spans="1:8" ht="22.5" customHeight="1" x14ac:dyDescent="0.5">
      <c r="A43" s="208">
        <v>4</v>
      </c>
      <c r="B43" s="73" t="s">
        <v>107</v>
      </c>
      <c r="C43" s="25" t="s">
        <v>97</v>
      </c>
      <c r="D43" s="30">
        <v>25236</v>
      </c>
      <c r="E43" s="31" t="s">
        <v>1089</v>
      </c>
      <c r="F43" s="32">
        <v>535</v>
      </c>
    </row>
    <row r="44" spans="1:8" ht="22.5" customHeight="1" x14ac:dyDescent="0.5">
      <c r="A44" s="208">
        <v>5</v>
      </c>
      <c r="B44" s="73" t="s">
        <v>110</v>
      </c>
      <c r="C44" s="25" t="s">
        <v>87</v>
      </c>
      <c r="D44" s="30">
        <v>25261</v>
      </c>
      <c r="E44" s="31" t="s">
        <v>1090</v>
      </c>
      <c r="F44" s="32">
        <v>8410.2000000000007</v>
      </c>
    </row>
    <row r="45" spans="1:8" ht="22.5" customHeight="1" x14ac:dyDescent="0.5">
      <c r="A45" s="208">
        <v>6</v>
      </c>
      <c r="B45" s="73" t="s">
        <v>112</v>
      </c>
      <c r="C45" s="25" t="s">
        <v>113</v>
      </c>
      <c r="D45" s="30">
        <v>25251</v>
      </c>
      <c r="E45" s="31" t="s">
        <v>1091</v>
      </c>
      <c r="F45" s="32">
        <v>2428.9</v>
      </c>
    </row>
    <row r="46" spans="1:8" ht="22.5" customHeight="1" x14ac:dyDescent="0.5">
      <c r="A46" s="208">
        <v>7</v>
      </c>
      <c r="B46" s="73" t="s">
        <v>116</v>
      </c>
      <c r="C46" s="25" t="s">
        <v>113</v>
      </c>
      <c r="D46" s="30">
        <v>25239</v>
      </c>
      <c r="E46" s="31" t="s">
        <v>1092</v>
      </c>
      <c r="F46" s="32">
        <v>9694.2000000000007</v>
      </c>
    </row>
    <row r="47" spans="1:8" ht="22.5" customHeight="1" x14ac:dyDescent="0.5">
      <c r="A47" s="208">
        <v>8</v>
      </c>
      <c r="B47" s="73" t="s">
        <v>117</v>
      </c>
      <c r="C47" s="25" t="s">
        <v>118</v>
      </c>
      <c r="D47" s="30">
        <v>25238</v>
      </c>
      <c r="E47" s="31" t="s">
        <v>1093</v>
      </c>
      <c r="F47" s="32">
        <v>1326.8</v>
      </c>
    </row>
    <row r="48" spans="1:8" ht="22.5" customHeight="1" x14ac:dyDescent="0.5">
      <c r="A48" s="208">
        <v>9</v>
      </c>
      <c r="B48" s="73" t="s">
        <v>120</v>
      </c>
      <c r="C48" s="25" t="s">
        <v>118</v>
      </c>
      <c r="D48" s="30">
        <v>25238</v>
      </c>
      <c r="E48" s="31" t="s">
        <v>1093</v>
      </c>
      <c r="F48" s="32">
        <v>9276.9</v>
      </c>
    </row>
    <row r="49" spans="1:6" ht="22.5" customHeight="1" x14ac:dyDescent="0.5">
      <c r="A49" s="208">
        <v>10</v>
      </c>
      <c r="B49" s="73" t="s">
        <v>124</v>
      </c>
      <c r="C49" s="83" t="s">
        <v>125</v>
      </c>
      <c r="D49" s="30">
        <v>25238</v>
      </c>
      <c r="E49" s="31" t="s">
        <v>1094</v>
      </c>
      <c r="F49" s="32">
        <v>4975.5</v>
      </c>
    </row>
    <row r="50" spans="1:6" ht="22.5" customHeight="1" x14ac:dyDescent="0.5">
      <c r="A50" s="208">
        <v>11</v>
      </c>
      <c r="B50" s="78" t="s">
        <v>129</v>
      </c>
      <c r="C50" s="210" t="s">
        <v>130</v>
      </c>
      <c r="D50" s="30">
        <v>25245</v>
      </c>
      <c r="E50" s="31" t="s">
        <v>1095</v>
      </c>
      <c r="F50" s="32">
        <v>4387</v>
      </c>
    </row>
    <row r="51" spans="1:6" ht="22.5" customHeight="1" x14ac:dyDescent="0.5">
      <c r="A51" s="208">
        <v>12</v>
      </c>
      <c r="B51" s="78" t="s">
        <v>132</v>
      </c>
      <c r="C51" s="210" t="s">
        <v>130</v>
      </c>
      <c r="D51" s="30">
        <v>25245</v>
      </c>
      <c r="E51" s="31" t="s">
        <v>1095</v>
      </c>
      <c r="F51" s="32">
        <v>9448.1</v>
      </c>
    </row>
    <row r="52" spans="1:6" ht="22.5" customHeight="1" x14ac:dyDescent="0.5">
      <c r="A52" s="208">
        <v>13</v>
      </c>
      <c r="B52" s="78" t="s">
        <v>134</v>
      </c>
      <c r="C52" s="165" t="s">
        <v>135</v>
      </c>
      <c r="D52" s="38">
        <v>25261</v>
      </c>
      <c r="E52" s="39" t="s">
        <v>1096</v>
      </c>
      <c r="F52" s="40">
        <v>1423.1</v>
      </c>
    </row>
    <row r="53" spans="1:6" s="229" customFormat="1" ht="22.5" customHeight="1" x14ac:dyDescent="0.5">
      <c r="A53" s="208">
        <v>14</v>
      </c>
      <c r="B53" s="226" t="s">
        <v>137</v>
      </c>
      <c r="C53" s="227"/>
      <c r="D53" s="38">
        <v>25243</v>
      </c>
      <c r="E53" s="39" t="s">
        <v>1097</v>
      </c>
      <c r="F53" s="40">
        <v>4023.2</v>
      </c>
    </row>
    <row r="54" spans="1:6" ht="22.5" customHeight="1" x14ac:dyDescent="0.5">
      <c r="A54" s="208">
        <v>15</v>
      </c>
      <c r="B54" s="78" t="s">
        <v>141</v>
      </c>
      <c r="C54" s="81" t="s">
        <v>142</v>
      </c>
      <c r="D54" s="38">
        <v>25260</v>
      </c>
      <c r="E54" s="39" t="s">
        <v>1098</v>
      </c>
      <c r="F54" s="40">
        <v>5061.1000000000004</v>
      </c>
    </row>
    <row r="55" spans="1:6" ht="22.5" customHeight="1" x14ac:dyDescent="0.5">
      <c r="A55" s="208">
        <v>16</v>
      </c>
      <c r="B55" s="78" t="s">
        <v>144</v>
      </c>
      <c r="C55" s="81" t="s">
        <v>145</v>
      </c>
      <c r="D55" s="38">
        <v>25259</v>
      </c>
      <c r="E55" s="39" t="s">
        <v>1099</v>
      </c>
      <c r="F55" s="40">
        <v>353.1</v>
      </c>
    </row>
    <row r="56" spans="1:6" ht="22.5" customHeight="1" x14ac:dyDescent="0.5">
      <c r="A56" s="208">
        <v>17</v>
      </c>
      <c r="B56" s="73" t="s">
        <v>147</v>
      </c>
      <c r="C56" s="25" t="s">
        <v>148</v>
      </c>
      <c r="D56" s="38">
        <v>25240</v>
      </c>
      <c r="E56" s="39" t="s">
        <v>1100</v>
      </c>
      <c r="F56" s="40">
        <v>149.80000000000001</v>
      </c>
    </row>
    <row r="57" spans="1:6" ht="22.5" customHeight="1" x14ac:dyDescent="0.5">
      <c r="A57" s="208">
        <v>18</v>
      </c>
      <c r="B57" s="237" t="s">
        <v>149</v>
      </c>
      <c r="C57" s="238" t="s">
        <v>150</v>
      </c>
      <c r="D57" s="38">
        <v>25258</v>
      </c>
      <c r="E57" s="39" t="s">
        <v>1101</v>
      </c>
      <c r="F57" s="40">
        <v>1605</v>
      </c>
    </row>
    <row r="58" spans="1:6" ht="22.5" customHeight="1" x14ac:dyDescent="0.5">
      <c r="A58" s="208">
        <v>19</v>
      </c>
      <c r="B58" s="240" t="s">
        <v>569</v>
      </c>
      <c r="C58" s="83" t="s">
        <v>153</v>
      </c>
      <c r="D58" s="38">
        <v>25258</v>
      </c>
      <c r="E58" s="39" t="s">
        <v>1102</v>
      </c>
      <c r="F58" s="40">
        <v>5296.5</v>
      </c>
    </row>
    <row r="59" spans="1:6" ht="22.5" customHeight="1" x14ac:dyDescent="0.5">
      <c r="A59" s="208">
        <v>20</v>
      </c>
      <c r="B59" s="240" t="s">
        <v>569</v>
      </c>
      <c r="C59" s="83"/>
      <c r="D59" s="38">
        <v>25258</v>
      </c>
      <c r="E59" s="39" t="s">
        <v>1102</v>
      </c>
      <c r="F59" s="40">
        <v>11844.9</v>
      </c>
    </row>
    <row r="60" spans="1:6" ht="22.5" customHeight="1" x14ac:dyDescent="0.5">
      <c r="A60" s="208">
        <v>21</v>
      </c>
      <c r="B60" s="240" t="s">
        <v>157</v>
      </c>
      <c r="C60" s="83" t="s">
        <v>158</v>
      </c>
      <c r="D60" s="38">
        <v>25259</v>
      </c>
      <c r="E60" s="39" t="s">
        <v>1103</v>
      </c>
      <c r="F60" s="40">
        <v>2846.2</v>
      </c>
    </row>
    <row r="61" spans="1:6" ht="22.5" customHeight="1" x14ac:dyDescent="0.5">
      <c r="A61" s="208">
        <v>22</v>
      </c>
      <c r="B61" s="240" t="s">
        <v>162</v>
      </c>
      <c r="C61" s="83" t="s">
        <v>163</v>
      </c>
      <c r="D61" s="38">
        <v>25236</v>
      </c>
      <c r="E61" s="39" t="s">
        <v>1104</v>
      </c>
      <c r="F61" s="40">
        <v>6066.9</v>
      </c>
    </row>
    <row r="62" spans="1:6" ht="22.5" customHeight="1" x14ac:dyDescent="0.5">
      <c r="A62" s="208">
        <v>23</v>
      </c>
      <c r="B62" s="209" t="s">
        <v>165</v>
      </c>
      <c r="C62" s="210" t="s">
        <v>166</v>
      </c>
      <c r="D62" s="38">
        <v>25261</v>
      </c>
      <c r="E62" s="39" t="s">
        <v>1106</v>
      </c>
      <c r="F62" s="40">
        <v>524.29999999999995</v>
      </c>
    </row>
    <row r="63" spans="1:6" ht="22.5" customHeight="1" x14ac:dyDescent="0.5">
      <c r="A63" s="208">
        <v>24</v>
      </c>
      <c r="B63" s="243" t="s">
        <v>168</v>
      </c>
      <c r="C63" s="244" t="s">
        <v>169</v>
      </c>
      <c r="D63" s="30">
        <v>25253</v>
      </c>
      <c r="E63" s="31" t="s">
        <v>1107</v>
      </c>
      <c r="F63" s="32">
        <v>8891.7000000000007</v>
      </c>
    </row>
    <row r="64" spans="1:6" ht="22.5" customHeight="1" x14ac:dyDescent="0.5">
      <c r="A64" s="208">
        <v>25</v>
      </c>
      <c r="B64" s="209" t="s">
        <v>171</v>
      </c>
      <c r="C64" s="210"/>
      <c r="D64" s="38">
        <v>25258</v>
      </c>
      <c r="E64" s="39" t="s">
        <v>1108</v>
      </c>
      <c r="F64" s="40">
        <v>759.7</v>
      </c>
    </row>
    <row r="65" spans="1:6" ht="22.5" customHeight="1" x14ac:dyDescent="0.5">
      <c r="A65" s="208">
        <v>26</v>
      </c>
      <c r="B65" s="209" t="s">
        <v>173</v>
      </c>
      <c r="C65" s="210" t="s">
        <v>174</v>
      </c>
      <c r="D65" s="38">
        <v>25258</v>
      </c>
      <c r="E65" s="39" t="s">
        <v>1109</v>
      </c>
      <c r="F65" s="40">
        <v>909.5</v>
      </c>
    </row>
    <row r="66" spans="1:6" ht="22.5" customHeight="1" x14ac:dyDescent="0.5">
      <c r="A66" s="208">
        <v>27</v>
      </c>
      <c r="B66" s="209" t="s">
        <v>181</v>
      </c>
      <c r="C66" s="210" t="s">
        <v>182</v>
      </c>
      <c r="D66" s="38">
        <v>25262</v>
      </c>
      <c r="E66" s="39" t="s">
        <v>1110</v>
      </c>
      <c r="F66" s="40">
        <v>845.3</v>
      </c>
    </row>
    <row r="67" spans="1:6" ht="22.5" customHeight="1" x14ac:dyDescent="0.5">
      <c r="A67" s="208">
        <v>28</v>
      </c>
      <c r="B67" s="209" t="s">
        <v>64</v>
      </c>
      <c r="C67" s="210" t="s">
        <v>184</v>
      </c>
      <c r="D67" s="38">
        <v>25258</v>
      </c>
      <c r="E67" s="245" t="s">
        <v>1111</v>
      </c>
      <c r="F67" s="246">
        <v>1712</v>
      </c>
    </row>
    <row r="68" spans="1:6" ht="22.5" customHeight="1" x14ac:dyDescent="0.5">
      <c r="A68" s="208">
        <v>29</v>
      </c>
      <c r="B68" s="209" t="s">
        <v>64</v>
      </c>
      <c r="C68" s="210" t="s">
        <v>184</v>
      </c>
      <c r="D68" s="38">
        <v>25258</v>
      </c>
      <c r="E68" s="245" t="s">
        <v>1111</v>
      </c>
      <c r="F68" s="246">
        <v>2653.6</v>
      </c>
    </row>
    <row r="69" spans="1:6" ht="22.5" customHeight="1" x14ac:dyDescent="0.5">
      <c r="A69" s="208">
        <v>30</v>
      </c>
      <c r="B69" s="209" t="s">
        <v>186</v>
      </c>
      <c r="C69" s="210" t="s">
        <v>187</v>
      </c>
      <c r="D69" s="38">
        <v>25259</v>
      </c>
      <c r="E69" s="39" t="s">
        <v>1112</v>
      </c>
      <c r="F69" s="246">
        <v>599.20000000000005</v>
      </c>
    </row>
    <row r="70" spans="1:6" ht="22.5" customHeight="1" x14ac:dyDescent="0.5">
      <c r="A70" s="208">
        <v>31</v>
      </c>
      <c r="B70" s="209" t="s">
        <v>191</v>
      </c>
      <c r="C70" s="210" t="s">
        <v>190</v>
      </c>
      <c r="D70" s="38">
        <v>25258</v>
      </c>
      <c r="E70" s="39" t="s">
        <v>1113</v>
      </c>
      <c r="F70" s="246">
        <v>11802.1</v>
      </c>
    </row>
    <row r="71" spans="1:6" ht="22.5" customHeight="1" x14ac:dyDescent="0.5">
      <c r="A71" s="208">
        <v>32</v>
      </c>
      <c r="B71" s="209" t="s">
        <v>193</v>
      </c>
      <c r="C71" s="210" t="s">
        <v>194</v>
      </c>
      <c r="D71" s="38">
        <v>25239</v>
      </c>
      <c r="E71" s="39" t="s">
        <v>1114</v>
      </c>
      <c r="F71" s="246">
        <v>1701.3</v>
      </c>
    </row>
    <row r="72" spans="1:6" ht="22.5" customHeight="1" x14ac:dyDescent="0.5">
      <c r="A72" s="208">
        <v>33</v>
      </c>
      <c r="B72" s="209" t="s">
        <v>195</v>
      </c>
      <c r="C72" s="210" t="s">
        <v>196</v>
      </c>
      <c r="D72" s="38">
        <v>25260</v>
      </c>
      <c r="E72" s="245" t="s">
        <v>1115</v>
      </c>
      <c r="F72" s="246">
        <v>674.1</v>
      </c>
    </row>
    <row r="73" spans="1:6" ht="22.5" customHeight="1" x14ac:dyDescent="0.5">
      <c r="A73" s="208">
        <v>34</v>
      </c>
      <c r="B73" s="209" t="s">
        <v>198</v>
      </c>
      <c r="C73" s="210" t="s">
        <v>46</v>
      </c>
      <c r="D73" s="38">
        <v>25254</v>
      </c>
      <c r="E73" s="245" t="s">
        <v>1116</v>
      </c>
      <c r="F73" s="246">
        <v>256.8</v>
      </c>
    </row>
    <row r="74" spans="1:6" ht="22.5" customHeight="1" x14ac:dyDescent="0.5">
      <c r="A74" s="208">
        <v>35</v>
      </c>
      <c r="B74" s="209" t="s">
        <v>198</v>
      </c>
      <c r="C74" s="210" t="s">
        <v>567</v>
      </c>
      <c r="D74" s="38">
        <v>25254</v>
      </c>
      <c r="E74" s="245" t="s">
        <v>1116</v>
      </c>
      <c r="F74" s="246">
        <v>1005.8</v>
      </c>
    </row>
    <row r="75" spans="1:6" ht="22.5" customHeight="1" x14ac:dyDescent="0.5">
      <c r="A75" s="208">
        <v>36</v>
      </c>
      <c r="B75" s="209" t="s">
        <v>200</v>
      </c>
      <c r="C75" s="210" t="s">
        <v>201</v>
      </c>
      <c r="D75" s="38" t="s">
        <v>1117</v>
      </c>
      <c r="E75" s="245" t="s">
        <v>1118</v>
      </c>
      <c r="F75" s="246">
        <v>6569.8</v>
      </c>
    </row>
    <row r="76" spans="1:6" ht="22.5" customHeight="1" x14ac:dyDescent="0.5">
      <c r="A76" s="208">
        <v>37</v>
      </c>
      <c r="B76" s="209" t="s">
        <v>203</v>
      </c>
      <c r="C76" s="210" t="s">
        <v>204</v>
      </c>
      <c r="D76" s="30">
        <v>25258</v>
      </c>
      <c r="E76" s="31" t="s">
        <v>1119</v>
      </c>
      <c r="F76" s="221">
        <v>2685.7</v>
      </c>
    </row>
    <row r="77" spans="1:6" ht="22.5" customHeight="1" x14ac:dyDescent="0.5">
      <c r="A77" s="208">
        <v>38</v>
      </c>
      <c r="B77" s="209" t="s">
        <v>205</v>
      </c>
      <c r="C77" s="210" t="s">
        <v>206</v>
      </c>
      <c r="D77" s="30" t="s">
        <v>1120</v>
      </c>
      <c r="E77" s="249" t="s">
        <v>1121</v>
      </c>
      <c r="F77" s="221">
        <v>2621.5</v>
      </c>
    </row>
    <row r="78" spans="1:6" ht="22.5" customHeight="1" x14ac:dyDescent="0.5">
      <c r="A78" s="208">
        <v>39</v>
      </c>
      <c r="B78" s="209" t="s">
        <v>210</v>
      </c>
      <c r="C78" s="210" t="s">
        <v>211</v>
      </c>
      <c r="D78" s="38">
        <v>25253</v>
      </c>
      <c r="E78" s="39" t="s">
        <v>1123</v>
      </c>
      <c r="F78" s="246">
        <v>10453.9</v>
      </c>
    </row>
    <row r="79" spans="1:6" ht="22.5" customHeight="1" x14ac:dyDescent="0.5">
      <c r="A79" s="208">
        <v>40</v>
      </c>
      <c r="B79" s="209" t="s">
        <v>214</v>
      </c>
      <c r="C79" s="210" t="s">
        <v>215</v>
      </c>
      <c r="D79" s="38">
        <v>25259</v>
      </c>
      <c r="E79" s="39" t="s">
        <v>1124</v>
      </c>
      <c r="F79" s="246">
        <v>1241.2</v>
      </c>
    </row>
    <row r="80" spans="1:6" ht="22.5" customHeight="1" x14ac:dyDescent="0.5">
      <c r="A80" s="208">
        <v>41</v>
      </c>
      <c r="B80" s="265" t="s">
        <v>226</v>
      </c>
      <c r="C80" s="265" t="s">
        <v>227</v>
      </c>
      <c r="D80" s="38">
        <v>25236</v>
      </c>
      <c r="E80" s="245" t="s">
        <v>1125</v>
      </c>
      <c r="F80" s="246">
        <v>7522.1</v>
      </c>
    </row>
    <row r="81" spans="1:8" ht="22.5" customHeight="1" x14ac:dyDescent="0.5">
      <c r="A81" s="208">
        <v>42</v>
      </c>
      <c r="B81" s="265" t="s">
        <v>566</v>
      </c>
      <c r="C81" s="265" t="s">
        <v>567</v>
      </c>
      <c r="D81" s="672">
        <v>25258</v>
      </c>
      <c r="E81" s="673" t="s">
        <v>1126</v>
      </c>
      <c r="F81" s="674">
        <v>3038.8</v>
      </c>
    </row>
    <row r="82" spans="1:8" ht="22.5" customHeight="1" x14ac:dyDescent="0.5">
      <c r="A82" s="208">
        <v>43</v>
      </c>
      <c r="B82" s="265" t="s">
        <v>568</v>
      </c>
      <c r="C82" s="265" t="s">
        <v>567</v>
      </c>
      <c r="D82" s="678">
        <v>25258</v>
      </c>
      <c r="E82" s="679" t="s">
        <v>1126</v>
      </c>
      <c r="F82" s="680">
        <v>2107.9</v>
      </c>
    </row>
    <row r="83" spans="1:8" ht="22.5" customHeight="1" x14ac:dyDescent="0.5">
      <c r="A83" s="208">
        <v>44</v>
      </c>
      <c r="B83" s="265" t="s">
        <v>705</v>
      </c>
      <c r="C83" s="794"/>
      <c r="D83" s="672">
        <v>25259</v>
      </c>
      <c r="E83" s="673" t="s">
        <v>1127</v>
      </c>
      <c r="F83" s="674">
        <v>930.9</v>
      </c>
    </row>
    <row r="84" spans="1:8" s="60" customFormat="1" ht="22.5" customHeight="1" thickBot="1" x14ac:dyDescent="0.35">
      <c r="A84" s="278"/>
      <c r="B84" s="278" t="s">
        <v>15</v>
      </c>
      <c r="C84" s="279"/>
      <c r="D84" s="280"/>
      <c r="E84" s="280">
        <v>0</v>
      </c>
      <c r="F84" s="280">
        <v>177908.89999999997</v>
      </c>
      <c r="H84" s="683">
        <f>SUM(F40:F83)</f>
        <v>177908.89999999997</v>
      </c>
    </row>
    <row r="85" spans="1:8" ht="22.5" customHeight="1" thickTop="1" x14ac:dyDescent="0.3">
      <c r="A85" s="61"/>
      <c r="B85" s="121" t="s">
        <v>232</v>
      </c>
      <c r="C85" s="63"/>
      <c r="D85" s="286"/>
      <c r="E85" s="287"/>
      <c r="F85" s="288"/>
    </row>
    <row r="86" spans="1:8" ht="22.5" customHeight="1" x14ac:dyDescent="0.5">
      <c r="A86" s="23">
        <v>1</v>
      </c>
      <c r="B86" s="73" t="s">
        <v>234</v>
      </c>
      <c r="C86" s="25" t="s">
        <v>235</v>
      </c>
      <c r="D86" s="30">
        <v>25245</v>
      </c>
      <c r="E86" s="31" t="s">
        <v>1128</v>
      </c>
      <c r="F86" s="32">
        <v>9450</v>
      </c>
    </row>
    <row r="87" spans="1:8" ht="22.5" customHeight="1" x14ac:dyDescent="0.5">
      <c r="A87" s="23">
        <v>2</v>
      </c>
      <c r="B87" s="73" t="s">
        <v>237</v>
      </c>
      <c r="C87" s="25" t="s">
        <v>238</v>
      </c>
      <c r="D87" s="30">
        <v>25245</v>
      </c>
      <c r="E87" s="31" t="s">
        <v>1129</v>
      </c>
      <c r="F87" s="32">
        <v>3150</v>
      </c>
    </row>
    <row r="88" spans="1:8" ht="22.5" customHeight="1" x14ac:dyDescent="0.5">
      <c r="A88" s="23">
        <v>3</v>
      </c>
      <c r="B88" s="73" t="s">
        <v>198</v>
      </c>
      <c r="C88" s="25" t="s">
        <v>243</v>
      </c>
      <c r="D88" s="30">
        <v>25254</v>
      </c>
      <c r="E88" s="31" t="s">
        <v>1130</v>
      </c>
      <c r="F88" s="32">
        <v>22050</v>
      </c>
    </row>
    <row r="89" spans="1:8" ht="22.5" customHeight="1" x14ac:dyDescent="0.5">
      <c r="A89" s="23">
        <v>4</v>
      </c>
      <c r="B89" s="73" t="s">
        <v>245</v>
      </c>
      <c r="C89" s="25" t="s">
        <v>246</v>
      </c>
      <c r="D89" s="30">
        <v>25240</v>
      </c>
      <c r="E89" s="31" t="s">
        <v>1131</v>
      </c>
      <c r="F89" s="32">
        <v>9450</v>
      </c>
    </row>
    <row r="90" spans="1:8" ht="22.5" customHeight="1" x14ac:dyDescent="0.5">
      <c r="A90" s="23">
        <v>5</v>
      </c>
      <c r="B90" s="209" t="s">
        <v>250</v>
      </c>
      <c r="C90" s="210" t="s">
        <v>251</v>
      </c>
      <c r="D90" s="30">
        <v>25246</v>
      </c>
      <c r="E90" s="31" t="s">
        <v>1132</v>
      </c>
      <c r="F90" s="32">
        <v>6300</v>
      </c>
    </row>
    <row r="91" spans="1:8" ht="22.5" customHeight="1" x14ac:dyDescent="0.5">
      <c r="A91" s="23">
        <v>6</v>
      </c>
      <c r="B91" s="73" t="s">
        <v>253</v>
      </c>
      <c r="C91" s="25" t="s">
        <v>254</v>
      </c>
      <c r="D91" s="30">
        <v>25258</v>
      </c>
      <c r="E91" s="31" t="s">
        <v>1133</v>
      </c>
      <c r="F91" s="32">
        <v>9450</v>
      </c>
    </row>
    <row r="92" spans="1:8" ht="22.5" customHeight="1" x14ac:dyDescent="0.5">
      <c r="A92" s="23">
        <v>7</v>
      </c>
      <c r="B92" s="73" t="s">
        <v>257</v>
      </c>
      <c r="C92" s="25" t="s">
        <v>258</v>
      </c>
      <c r="D92" s="30">
        <v>25240</v>
      </c>
      <c r="E92" s="31" t="s">
        <v>1134</v>
      </c>
      <c r="F92" s="32">
        <v>5600</v>
      </c>
    </row>
    <row r="93" spans="1:8" ht="22.5" customHeight="1" x14ac:dyDescent="0.5">
      <c r="A93" s="23">
        <v>8</v>
      </c>
      <c r="B93" s="73" t="s">
        <v>198</v>
      </c>
      <c r="C93" s="25" t="s">
        <v>260</v>
      </c>
      <c r="D93" s="30">
        <v>25254</v>
      </c>
      <c r="E93" s="31" t="s">
        <v>1130</v>
      </c>
      <c r="F93" s="32">
        <v>2800</v>
      </c>
    </row>
    <row r="94" spans="1:8" ht="22.5" customHeight="1" x14ac:dyDescent="0.5">
      <c r="A94" s="23">
        <v>9</v>
      </c>
      <c r="B94" s="73" t="s">
        <v>261</v>
      </c>
      <c r="C94" s="25" t="s">
        <v>262</v>
      </c>
      <c r="D94" s="30">
        <v>25243</v>
      </c>
      <c r="E94" s="31" t="s">
        <v>1135</v>
      </c>
      <c r="F94" s="32">
        <v>5600</v>
      </c>
    </row>
    <row r="95" spans="1:8" ht="22.5" customHeight="1" x14ac:dyDescent="0.5">
      <c r="A95" s="23">
        <v>10</v>
      </c>
      <c r="B95" s="73" t="s">
        <v>264</v>
      </c>
      <c r="C95" s="25" t="s">
        <v>265</v>
      </c>
      <c r="D95" s="30">
        <v>25243</v>
      </c>
      <c r="E95" s="31" t="s">
        <v>1135</v>
      </c>
      <c r="F95" s="32">
        <v>5600</v>
      </c>
    </row>
    <row r="96" spans="1:8" ht="22.5" customHeight="1" x14ac:dyDescent="0.5">
      <c r="A96" s="23">
        <v>11</v>
      </c>
      <c r="B96" s="73" t="s">
        <v>266</v>
      </c>
      <c r="C96" s="25" t="s">
        <v>267</v>
      </c>
      <c r="D96" s="30">
        <v>25240</v>
      </c>
      <c r="E96" s="31" t="s">
        <v>1136</v>
      </c>
      <c r="F96" s="32">
        <v>5600</v>
      </c>
    </row>
    <row r="97" spans="1:6" ht="22.5" customHeight="1" x14ac:dyDescent="0.5">
      <c r="A97" s="23">
        <v>12</v>
      </c>
      <c r="B97" s="73" t="s">
        <v>270</v>
      </c>
      <c r="C97" s="25" t="s">
        <v>271</v>
      </c>
      <c r="D97" s="30">
        <v>25238</v>
      </c>
      <c r="E97" s="31" t="s">
        <v>1137</v>
      </c>
      <c r="F97" s="32">
        <v>9450</v>
      </c>
    </row>
    <row r="98" spans="1:6" ht="22.5" customHeight="1" x14ac:dyDescent="0.5">
      <c r="A98" s="23">
        <v>13</v>
      </c>
      <c r="B98" s="73" t="s">
        <v>261</v>
      </c>
      <c r="C98" s="25" t="s">
        <v>273</v>
      </c>
      <c r="D98" s="30">
        <v>25243</v>
      </c>
      <c r="E98" s="31" t="s">
        <v>1135</v>
      </c>
      <c r="F98" s="32">
        <v>9450</v>
      </c>
    </row>
    <row r="99" spans="1:6" ht="22.5" customHeight="1" x14ac:dyDescent="0.5">
      <c r="A99" s="23">
        <v>14</v>
      </c>
      <c r="B99" s="73" t="s">
        <v>274</v>
      </c>
      <c r="C99" s="25" t="s">
        <v>275</v>
      </c>
      <c r="D99" s="30">
        <v>25245</v>
      </c>
      <c r="E99" s="31" t="s">
        <v>1138</v>
      </c>
      <c r="F99" s="32">
        <v>3150</v>
      </c>
    </row>
    <row r="100" spans="1:6" ht="22.5" customHeight="1" x14ac:dyDescent="0.5">
      <c r="A100" s="23">
        <v>15</v>
      </c>
      <c r="B100" s="73" t="s">
        <v>277</v>
      </c>
      <c r="C100" s="25" t="s">
        <v>278</v>
      </c>
      <c r="D100" s="30">
        <v>25238</v>
      </c>
      <c r="E100" s="31" t="s">
        <v>1139</v>
      </c>
      <c r="F100" s="32">
        <v>6300</v>
      </c>
    </row>
    <row r="101" spans="1:6" ht="22.5" customHeight="1" x14ac:dyDescent="0.5">
      <c r="A101" s="23">
        <v>16</v>
      </c>
      <c r="B101" s="73" t="s">
        <v>281</v>
      </c>
      <c r="C101" s="25" t="s">
        <v>282</v>
      </c>
      <c r="D101" s="30">
        <v>25261</v>
      </c>
      <c r="E101" s="31" t="s">
        <v>1140</v>
      </c>
      <c r="F101" s="32">
        <v>5600</v>
      </c>
    </row>
    <row r="102" spans="1:6" ht="22.5" customHeight="1" x14ac:dyDescent="0.5">
      <c r="A102" s="23">
        <v>17</v>
      </c>
      <c r="B102" s="73" t="s">
        <v>287</v>
      </c>
      <c r="C102" s="25" t="s">
        <v>288</v>
      </c>
      <c r="D102" s="30">
        <v>25238</v>
      </c>
      <c r="E102" s="31" t="s">
        <v>1141</v>
      </c>
      <c r="F102" s="32">
        <v>5600</v>
      </c>
    </row>
    <row r="103" spans="1:6" ht="22.5" customHeight="1" x14ac:dyDescent="0.5">
      <c r="A103" s="23">
        <v>18</v>
      </c>
      <c r="B103" s="73" t="s">
        <v>290</v>
      </c>
      <c r="C103" s="25" t="s">
        <v>291</v>
      </c>
      <c r="D103" s="30">
        <v>25238</v>
      </c>
      <c r="E103" s="31" t="s">
        <v>1142</v>
      </c>
      <c r="F103" s="32">
        <v>5600</v>
      </c>
    </row>
    <row r="104" spans="1:6" ht="22.5" customHeight="1" x14ac:dyDescent="0.5">
      <c r="A104" s="23">
        <v>19</v>
      </c>
      <c r="B104" s="73" t="s">
        <v>293</v>
      </c>
      <c r="C104" s="25" t="s">
        <v>294</v>
      </c>
      <c r="D104" s="30">
        <v>25240</v>
      </c>
      <c r="E104" s="31" t="s">
        <v>1143</v>
      </c>
      <c r="F104" s="32">
        <v>2800</v>
      </c>
    </row>
    <row r="105" spans="1:6" ht="22.5" customHeight="1" x14ac:dyDescent="0.5">
      <c r="A105" s="23">
        <v>20</v>
      </c>
      <c r="B105" s="73" t="s">
        <v>296</v>
      </c>
      <c r="C105" s="25" t="s">
        <v>297</v>
      </c>
      <c r="D105" s="30">
        <v>25238</v>
      </c>
      <c r="E105" s="31" t="s">
        <v>1144</v>
      </c>
      <c r="F105" s="32">
        <v>5600</v>
      </c>
    </row>
    <row r="106" spans="1:6" ht="22.5" customHeight="1" x14ac:dyDescent="0.5">
      <c r="A106" s="23">
        <v>21</v>
      </c>
      <c r="B106" s="209" t="s">
        <v>300</v>
      </c>
      <c r="C106" s="210" t="s">
        <v>301</v>
      </c>
      <c r="D106" s="30">
        <v>25247</v>
      </c>
      <c r="E106" s="31" t="s">
        <v>1145</v>
      </c>
      <c r="F106" s="32">
        <v>5600</v>
      </c>
    </row>
    <row r="107" spans="1:6" ht="22.5" customHeight="1" x14ac:dyDescent="0.5">
      <c r="A107" s="23">
        <v>22</v>
      </c>
      <c r="B107" s="209" t="s">
        <v>303</v>
      </c>
      <c r="C107" s="210" t="s">
        <v>304</v>
      </c>
      <c r="D107" s="30">
        <v>25261</v>
      </c>
      <c r="E107" s="249" t="s">
        <v>1146</v>
      </c>
      <c r="F107" s="221">
        <v>2800</v>
      </c>
    </row>
    <row r="108" spans="1:6" ht="22.5" customHeight="1" x14ac:dyDescent="0.5">
      <c r="A108" s="23">
        <v>23</v>
      </c>
      <c r="B108" s="209" t="s">
        <v>306</v>
      </c>
      <c r="C108" s="210" t="s">
        <v>307</v>
      </c>
      <c r="D108" s="30">
        <v>25238</v>
      </c>
      <c r="E108" s="31" t="s">
        <v>1144</v>
      </c>
      <c r="F108" s="32">
        <v>5600</v>
      </c>
    </row>
    <row r="109" spans="1:6" ht="22.5" customHeight="1" x14ac:dyDescent="0.5">
      <c r="A109" s="23">
        <v>24</v>
      </c>
      <c r="B109" s="73" t="s">
        <v>308</v>
      </c>
      <c r="C109" s="25" t="s">
        <v>309</v>
      </c>
      <c r="D109" s="30">
        <v>25259</v>
      </c>
      <c r="E109" s="31" t="s">
        <v>1147</v>
      </c>
      <c r="F109" s="32">
        <v>8400</v>
      </c>
    </row>
    <row r="110" spans="1:6" ht="22.5" customHeight="1" x14ac:dyDescent="0.5">
      <c r="A110" s="23">
        <v>25</v>
      </c>
      <c r="B110" s="73" t="s">
        <v>261</v>
      </c>
      <c r="C110" s="25" t="s">
        <v>311</v>
      </c>
      <c r="D110" s="30">
        <v>25243</v>
      </c>
      <c r="E110" s="31" t="s">
        <v>1135</v>
      </c>
      <c r="F110" s="32">
        <v>2800</v>
      </c>
    </row>
    <row r="111" spans="1:6" ht="22.5" customHeight="1" x14ac:dyDescent="0.5">
      <c r="A111" s="23">
        <v>26</v>
      </c>
      <c r="B111" s="310" t="s">
        <v>261</v>
      </c>
      <c r="C111" s="311" t="s">
        <v>312</v>
      </c>
      <c r="D111" s="30">
        <v>25243</v>
      </c>
      <c r="E111" s="31" t="s">
        <v>1135</v>
      </c>
      <c r="F111" s="32">
        <v>2800</v>
      </c>
    </row>
    <row r="112" spans="1:6" ht="22.5" customHeight="1" x14ac:dyDescent="0.5">
      <c r="A112" s="23">
        <v>27</v>
      </c>
      <c r="B112" s="73" t="s">
        <v>313</v>
      </c>
      <c r="C112" s="25" t="s">
        <v>314</v>
      </c>
      <c r="D112" s="30">
        <v>25258</v>
      </c>
      <c r="E112" s="31" t="s">
        <v>1133</v>
      </c>
      <c r="F112" s="32">
        <v>2800</v>
      </c>
    </row>
    <row r="113" spans="1:6" ht="22.5" customHeight="1" x14ac:dyDescent="0.5">
      <c r="A113" s="23">
        <v>28</v>
      </c>
      <c r="B113" s="73" t="s">
        <v>261</v>
      </c>
      <c r="C113" s="25" t="s">
        <v>316</v>
      </c>
      <c r="D113" s="30">
        <v>25243</v>
      </c>
      <c r="E113" s="31" t="s">
        <v>1135</v>
      </c>
      <c r="F113" s="32">
        <v>2800</v>
      </c>
    </row>
    <row r="114" spans="1:6" ht="22.5" customHeight="1" x14ac:dyDescent="0.5">
      <c r="A114" s="23">
        <v>29</v>
      </c>
      <c r="B114" s="73" t="s">
        <v>317</v>
      </c>
      <c r="C114" s="25" t="s">
        <v>318</v>
      </c>
      <c r="D114" s="30" t="s">
        <v>1148</v>
      </c>
      <c r="E114" s="31" t="s">
        <v>1149</v>
      </c>
      <c r="F114" s="32">
        <v>5600</v>
      </c>
    </row>
    <row r="115" spans="1:6" ht="22.5" customHeight="1" x14ac:dyDescent="0.5">
      <c r="A115" s="23">
        <v>30</v>
      </c>
      <c r="B115" s="73" t="s">
        <v>320</v>
      </c>
      <c r="C115" s="25" t="s">
        <v>321</v>
      </c>
      <c r="D115" s="30">
        <v>25254</v>
      </c>
      <c r="E115" s="31" t="s">
        <v>1151</v>
      </c>
      <c r="F115" s="32">
        <v>2800</v>
      </c>
    </row>
    <row r="116" spans="1:6" ht="22.5" customHeight="1" x14ac:dyDescent="0.5">
      <c r="A116" s="23">
        <v>31</v>
      </c>
      <c r="B116" s="73" t="s">
        <v>322</v>
      </c>
      <c r="C116" s="25" t="s">
        <v>323</v>
      </c>
      <c r="D116" s="30">
        <v>25262</v>
      </c>
      <c r="E116" s="31" t="s">
        <v>1152</v>
      </c>
      <c r="F116" s="32">
        <v>5600</v>
      </c>
    </row>
    <row r="117" spans="1:6" ht="22.5" customHeight="1" x14ac:dyDescent="0.5">
      <c r="A117" s="23">
        <v>32</v>
      </c>
      <c r="B117" s="73" t="s">
        <v>293</v>
      </c>
      <c r="C117" s="25" t="s">
        <v>326</v>
      </c>
      <c r="D117" s="30">
        <v>25240</v>
      </c>
      <c r="E117" s="31" t="s">
        <v>1143</v>
      </c>
      <c r="F117" s="32">
        <v>5600</v>
      </c>
    </row>
    <row r="118" spans="1:6" ht="22.5" customHeight="1" x14ac:dyDescent="0.5">
      <c r="A118" s="23">
        <v>33</v>
      </c>
      <c r="B118" s="73" t="s">
        <v>293</v>
      </c>
      <c r="C118" s="25" t="s">
        <v>327</v>
      </c>
      <c r="D118" s="30">
        <v>25240</v>
      </c>
      <c r="E118" s="31" t="s">
        <v>1143</v>
      </c>
      <c r="F118" s="32">
        <v>5600</v>
      </c>
    </row>
    <row r="119" spans="1:6" ht="22.5" customHeight="1" x14ac:dyDescent="0.5">
      <c r="A119" s="23">
        <v>34</v>
      </c>
      <c r="B119" s="24" t="s">
        <v>329</v>
      </c>
      <c r="C119" s="25" t="s">
        <v>330</v>
      </c>
      <c r="D119" s="30">
        <v>25248</v>
      </c>
      <c r="E119" s="31" t="s">
        <v>1154</v>
      </c>
      <c r="F119" s="32">
        <v>130536.37</v>
      </c>
    </row>
    <row r="120" spans="1:6" ht="22.5" customHeight="1" x14ac:dyDescent="0.5">
      <c r="A120" s="23">
        <v>35</v>
      </c>
      <c r="B120" s="24" t="s">
        <v>329</v>
      </c>
      <c r="C120" s="25" t="s">
        <v>331</v>
      </c>
      <c r="D120" s="30">
        <v>25248</v>
      </c>
      <c r="E120" s="31" t="s">
        <v>1154</v>
      </c>
      <c r="F120" s="32">
        <v>96520.67</v>
      </c>
    </row>
    <row r="121" spans="1:6" ht="22.5" customHeight="1" x14ac:dyDescent="0.5">
      <c r="A121" s="23">
        <v>36</v>
      </c>
      <c r="B121" s="24" t="s">
        <v>332</v>
      </c>
      <c r="C121" s="25" t="s">
        <v>333</v>
      </c>
      <c r="D121" s="30">
        <v>25238</v>
      </c>
      <c r="E121" s="31" t="s">
        <v>1155</v>
      </c>
      <c r="F121" s="32">
        <v>63810</v>
      </c>
    </row>
    <row r="122" spans="1:6" ht="22.5" customHeight="1" x14ac:dyDescent="0.5">
      <c r="A122" s="23">
        <v>37</v>
      </c>
      <c r="B122" s="332" t="s">
        <v>335</v>
      </c>
      <c r="C122" s="81" t="s">
        <v>336</v>
      </c>
      <c r="D122" s="335">
        <v>25252</v>
      </c>
      <c r="E122" s="336" t="s">
        <v>1156</v>
      </c>
      <c r="F122" s="337">
        <v>60170</v>
      </c>
    </row>
    <row r="123" spans="1:6" ht="22.5" customHeight="1" x14ac:dyDescent="0.5">
      <c r="A123" s="23">
        <v>38</v>
      </c>
      <c r="B123" s="24" t="s">
        <v>338</v>
      </c>
      <c r="C123" s="25" t="s">
        <v>339</v>
      </c>
      <c r="D123" s="335">
        <v>25239</v>
      </c>
      <c r="E123" s="336" t="s">
        <v>1157</v>
      </c>
      <c r="F123" s="342">
        <v>23527.65</v>
      </c>
    </row>
    <row r="124" spans="1:6" ht="22.5" customHeight="1" x14ac:dyDescent="0.5">
      <c r="A124" s="23">
        <v>39</v>
      </c>
      <c r="B124" s="343" t="s">
        <v>341</v>
      </c>
      <c r="C124" s="165" t="s">
        <v>342</v>
      </c>
      <c r="D124" s="345">
        <v>25259</v>
      </c>
      <c r="E124" s="346" t="s">
        <v>1158</v>
      </c>
      <c r="F124" s="347">
        <v>20715.32</v>
      </c>
    </row>
    <row r="125" spans="1:6" ht="22.5" customHeight="1" x14ac:dyDescent="0.5">
      <c r="A125" s="23">
        <v>40</v>
      </c>
      <c r="B125" s="332" t="s">
        <v>344</v>
      </c>
      <c r="C125" s="81" t="s">
        <v>345</v>
      </c>
      <c r="D125" s="182">
        <v>25261</v>
      </c>
      <c r="E125" s="350" t="s">
        <v>1159</v>
      </c>
      <c r="F125" s="337">
        <v>21986</v>
      </c>
    </row>
    <row r="126" spans="1:6" s="356" customFormat="1" ht="22.5" customHeight="1" x14ac:dyDescent="0.5">
      <c r="A126" s="23">
        <v>41</v>
      </c>
      <c r="B126" s="24" t="s">
        <v>347</v>
      </c>
      <c r="C126" s="351" t="s">
        <v>348</v>
      </c>
      <c r="D126" s="30">
        <v>25258</v>
      </c>
      <c r="E126" s="31" t="s">
        <v>1160</v>
      </c>
      <c r="F126" s="32">
        <v>20000</v>
      </c>
    </row>
    <row r="127" spans="1:6" ht="22.5" customHeight="1" x14ac:dyDescent="0.5">
      <c r="A127" s="23">
        <v>42</v>
      </c>
      <c r="B127" s="290" t="s">
        <v>147</v>
      </c>
      <c r="C127" s="371" t="s">
        <v>351</v>
      </c>
      <c r="D127" s="30">
        <v>25239</v>
      </c>
      <c r="E127" s="220" t="s">
        <v>1167</v>
      </c>
      <c r="F127" s="221">
        <v>1400</v>
      </c>
    </row>
    <row r="128" spans="1:6" ht="22.5" customHeight="1" x14ac:dyDescent="0.5">
      <c r="A128" s="23">
        <v>43</v>
      </c>
      <c r="B128" s="290" t="s">
        <v>353</v>
      </c>
      <c r="C128" s="371" t="s">
        <v>354</v>
      </c>
      <c r="D128" s="30">
        <v>25251</v>
      </c>
      <c r="E128" s="220" t="s">
        <v>1168</v>
      </c>
      <c r="F128" s="221">
        <v>22000</v>
      </c>
    </row>
    <row r="129" spans="1:8" ht="22.5" customHeight="1" x14ac:dyDescent="0.5">
      <c r="A129" s="23">
        <v>44</v>
      </c>
      <c r="B129" s="290" t="s">
        <v>355</v>
      </c>
      <c r="C129" s="371" t="s">
        <v>356</v>
      </c>
      <c r="D129" s="30">
        <v>25258</v>
      </c>
      <c r="E129" s="220" t="s">
        <v>1169</v>
      </c>
      <c r="F129" s="221">
        <v>9400</v>
      </c>
    </row>
    <row r="130" spans="1:8" ht="22.5" customHeight="1" x14ac:dyDescent="0.5">
      <c r="A130" s="23">
        <v>45</v>
      </c>
      <c r="B130" s="374" t="s">
        <v>358</v>
      </c>
      <c r="C130" s="375" t="s">
        <v>356</v>
      </c>
      <c r="D130" s="38">
        <v>25262</v>
      </c>
      <c r="E130" s="376" t="s">
        <v>1170</v>
      </c>
      <c r="F130" s="246">
        <v>9810</v>
      </c>
    </row>
    <row r="131" spans="1:8" ht="22.5" customHeight="1" x14ac:dyDescent="0.5">
      <c r="A131" s="23">
        <v>46</v>
      </c>
      <c r="B131" s="378" t="s">
        <v>359</v>
      </c>
      <c r="C131" s="311" t="s">
        <v>360</v>
      </c>
      <c r="D131" s="38">
        <v>25238</v>
      </c>
      <c r="E131" s="376" t="s">
        <v>1171</v>
      </c>
      <c r="F131" s="246">
        <v>6000</v>
      </c>
    </row>
    <row r="132" spans="1:8" ht="22.5" customHeight="1" x14ac:dyDescent="0.5">
      <c r="A132" s="23">
        <v>47</v>
      </c>
      <c r="B132" s="149" t="s">
        <v>281</v>
      </c>
      <c r="C132" s="311" t="s">
        <v>360</v>
      </c>
      <c r="D132" s="30">
        <v>25261</v>
      </c>
      <c r="E132" s="31" t="s">
        <v>1172</v>
      </c>
      <c r="F132" s="32">
        <v>6000</v>
      </c>
    </row>
    <row r="133" spans="1:8" ht="22.5" customHeight="1" x14ac:dyDescent="0.5">
      <c r="A133" s="23">
        <v>48</v>
      </c>
      <c r="B133" s="73" t="s">
        <v>364</v>
      </c>
      <c r="C133" s="25" t="s">
        <v>365</v>
      </c>
      <c r="D133" s="30">
        <v>25258</v>
      </c>
      <c r="E133" s="31" t="s">
        <v>1161</v>
      </c>
      <c r="F133" s="32">
        <v>10000</v>
      </c>
    </row>
    <row r="134" spans="1:8" ht="22.5" customHeight="1" x14ac:dyDescent="0.5">
      <c r="A134" s="23">
        <v>49</v>
      </c>
      <c r="B134" s="290" t="s">
        <v>367</v>
      </c>
      <c r="C134" s="25" t="s">
        <v>368</v>
      </c>
      <c r="D134" s="250">
        <v>25254</v>
      </c>
      <c r="E134" s="251" t="s">
        <v>1162</v>
      </c>
      <c r="F134" s="390">
        <v>3500</v>
      </c>
    </row>
    <row r="135" spans="1:8" ht="22.5" customHeight="1" x14ac:dyDescent="0.5">
      <c r="A135" s="23">
        <v>50</v>
      </c>
      <c r="B135" s="392" t="s">
        <v>370</v>
      </c>
      <c r="C135" s="63" t="s">
        <v>371</v>
      </c>
      <c r="D135" s="30">
        <v>25254</v>
      </c>
      <c r="E135" s="31" t="s">
        <v>1163</v>
      </c>
      <c r="F135" s="32">
        <v>12000</v>
      </c>
    </row>
    <row r="136" spans="1:8" ht="22.5" customHeight="1" x14ac:dyDescent="0.3">
      <c r="A136" s="23">
        <v>51</v>
      </c>
      <c r="B136" s="398" t="s">
        <v>373</v>
      </c>
      <c r="C136" s="165" t="s">
        <v>374</v>
      </c>
      <c r="D136" s="399">
        <v>25236</v>
      </c>
      <c r="E136" s="400" t="s">
        <v>1164</v>
      </c>
      <c r="F136" s="401">
        <v>4100</v>
      </c>
    </row>
    <row r="137" spans="1:8" ht="22.5" customHeight="1" x14ac:dyDescent="0.5">
      <c r="A137" s="23">
        <v>52</v>
      </c>
      <c r="B137" s="402" t="s">
        <v>376</v>
      </c>
      <c r="C137" s="403" t="s">
        <v>377</v>
      </c>
      <c r="D137" s="30">
        <v>25240</v>
      </c>
      <c r="E137" s="31" t="s">
        <v>1165</v>
      </c>
      <c r="F137" s="32">
        <v>1850</v>
      </c>
    </row>
    <row r="138" spans="1:8" ht="22.5" customHeight="1" x14ac:dyDescent="0.5">
      <c r="A138" s="23">
        <v>53</v>
      </c>
      <c r="B138" s="149" t="s">
        <v>383</v>
      </c>
      <c r="C138" s="311" t="s">
        <v>384</v>
      </c>
      <c r="D138" s="250">
        <v>25237</v>
      </c>
      <c r="E138" s="251" t="s">
        <v>1166</v>
      </c>
      <c r="F138" s="390">
        <v>5400</v>
      </c>
    </row>
    <row r="139" spans="1:8" s="60" customFormat="1" ht="22.5" customHeight="1" thickBot="1" x14ac:dyDescent="0.35">
      <c r="A139" s="317"/>
      <c r="B139" s="317" t="s">
        <v>15</v>
      </c>
      <c r="C139" s="318"/>
      <c r="D139" s="383"/>
      <c r="E139" s="383">
        <v>0</v>
      </c>
      <c r="F139" s="383">
        <f>SUM(F86:F138)</f>
        <v>726126.01</v>
      </c>
      <c r="H139" s="683">
        <f>SUM(F86:F138)</f>
        <v>726126.01</v>
      </c>
    </row>
    <row r="140" spans="1:8" ht="22.5" customHeight="1" thickTop="1" x14ac:dyDescent="0.3">
      <c r="A140" s="61"/>
      <c r="B140" s="62" t="s">
        <v>386</v>
      </c>
      <c r="C140" s="63"/>
      <c r="D140" s="68"/>
      <c r="E140" s="68"/>
      <c r="F140" s="64"/>
    </row>
    <row r="141" spans="1:8" ht="22.5" customHeight="1" x14ac:dyDescent="0.3">
      <c r="A141" s="208">
        <v>1</v>
      </c>
      <c r="B141" s="290" t="s">
        <v>389</v>
      </c>
      <c r="C141" s="25" t="s">
        <v>390</v>
      </c>
      <c r="D141" s="335">
        <v>25236</v>
      </c>
      <c r="E141" s="410" t="s">
        <v>1173</v>
      </c>
      <c r="F141" s="411">
        <v>3150</v>
      </c>
    </row>
    <row r="142" spans="1:8" s="60" customFormat="1" ht="22.5" customHeight="1" thickBot="1" x14ac:dyDescent="0.35">
      <c r="A142" s="317"/>
      <c r="B142" s="317" t="s">
        <v>15</v>
      </c>
      <c r="C142" s="318"/>
      <c r="D142" s="383"/>
      <c r="E142" s="383">
        <v>0</v>
      </c>
      <c r="F142" s="383">
        <v>3150</v>
      </c>
      <c r="H142" s="683">
        <f>SUM(F141)</f>
        <v>3150</v>
      </c>
    </row>
    <row r="143" spans="1:8" ht="22.5" customHeight="1" thickTop="1" x14ac:dyDescent="0.3">
      <c r="A143" s="429"/>
      <c r="B143" s="430"/>
      <c r="C143" s="431"/>
      <c r="D143" s="436"/>
      <c r="E143" s="437"/>
      <c r="F143" s="438"/>
    </row>
    <row r="144" spans="1:8" ht="22.5" customHeight="1" x14ac:dyDescent="0.3">
      <c r="A144" s="61"/>
      <c r="B144" s="164" t="s">
        <v>399</v>
      </c>
      <c r="C144" s="63"/>
      <c r="D144" s="68"/>
      <c r="E144" s="445"/>
      <c r="F144" s="64"/>
    </row>
    <row r="145" spans="1:9" ht="22.5" customHeight="1" x14ac:dyDescent="0.5">
      <c r="A145" s="61">
        <v>1</v>
      </c>
      <c r="B145" s="290" t="s">
        <v>358</v>
      </c>
      <c r="C145" s="63" t="s">
        <v>417</v>
      </c>
      <c r="D145" s="449">
        <v>25244</v>
      </c>
      <c r="E145" s="450" t="s">
        <v>1174</v>
      </c>
      <c r="F145" s="451">
        <v>9651.43</v>
      </c>
    </row>
    <row r="146" spans="1:9" ht="22.5" customHeight="1" x14ac:dyDescent="0.5">
      <c r="A146" s="23">
        <v>2</v>
      </c>
      <c r="B146" s="290" t="s">
        <v>493</v>
      </c>
      <c r="C146" s="25" t="s">
        <v>494</v>
      </c>
      <c r="D146" s="449">
        <v>25246</v>
      </c>
      <c r="E146" s="450" t="s">
        <v>1175</v>
      </c>
      <c r="F146" s="451">
        <v>2061.84</v>
      </c>
    </row>
    <row r="147" spans="1:9" s="60" customFormat="1" ht="22.5" customHeight="1" thickBot="1" x14ac:dyDescent="0.35">
      <c r="A147" s="362"/>
      <c r="B147" s="362" t="s">
        <v>15</v>
      </c>
      <c r="C147" s="455"/>
      <c r="D147" s="457"/>
      <c r="E147" s="458"/>
      <c r="F147" s="458">
        <v>11713.27</v>
      </c>
      <c r="H147" s="683">
        <f>SUM(F145:F146)</f>
        <v>11713.27</v>
      </c>
    </row>
    <row r="148" spans="1:9" s="60" customFormat="1" ht="22.5" customHeight="1" thickTop="1" thickBot="1" x14ac:dyDescent="0.35">
      <c r="A148" s="459"/>
      <c r="B148" s="460" t="s">
        <v>497</v>
      </c>
      <c r="C148" s="461"/>
      <c r="D148" s="462">
        <v>0</v>
      </c>
      <c r="E148" s="462">
        <v>0</v>
      </c>
      <c r="F148" s="462">
        <v>1062873.3</v>
      </c>
      <c r="I148" s="683">
        <f>SUM(H12:H147)</f>
        <v>1062873.3</v>
      </c>
    </row>
    <row r="149" spans="1:9" ht="22.5" customHeight="1" thickTop="1" x14ac:dyDescent="0.3"/>
    <row r="150" spans="1:9" s="636" customFormat="1" x14ac:dyDescent="0.6">
      <c r="A150" s="1128" t="s">
        <v>524</v>
      </c>
      <c r="B150" s="1128"/>
      <c r="C150" s="1128"/>
      <c r="D150" s="1128"/>
      <c r="E150" s="1128"/>
      <c r="F150" s="1128"/>
      <c r="G150" s="637"/>
    </row>
    <row r="151" spans="1:9" s="599" customFormat="1" x14ac:dyDescent="0.6">
      <c r="A151" s="646">
        <v>1</v>
      </c>
      <c r="B151" s="647" t="s">
        <v>521</v>
      </c>
      <c r="C151" s="647" t="s">
        <v>522</v>
      </c>
      <c r="D151" s="644" t="s">
        <v>1178</v>
      </c>
      <c r="E151" s="644" t="s">
        <v>1176</v>
      </c>
      <c r="F151" s="645">
        <v>8400</v>
      </c>
      <c r="G151" s="600"/>
    </row>
    <row r="152" spans="1:9" s="599" customFormat="1" ht="24" thickBot="1" x14ac:dyDescent="0.65">
      <c r="A152" s="619"/>
      <c r="B152" s="620" t="s">
        <v>535</v>
      </c>
      <c r="C152" s="621"/>
      <c r="D152" s="625"/>
      <c r="E152" s="625"/>
      <c r="F152" s="625">
        <v>8400</v>
      </c>
      <c r="G152" s="600"/>
      <c r="H152" s="691">
        <f>SUM(F151)</f>
        <v>8400</v>
      </c>
    </row>
    <row r="153" spans="1:9" ht="22.5" customHeight="1" thickTop="1" x14ac:dyDescent="0.3">
      <c r="D153" s="584"/>
      <c r="E153" s="585"/>
      <c r="I153" s="908">
        <f>SUM(H152+I148)</f>
        <v>1071273.3</v>
      </c>
    </row>
    <row r="154" spans="1:9" ht="22.5" customHeight="1" x14ac:dyDescent="0.3">
      <c r="D154" s="584"/>
      <c r="E154" s="585"/>
      <c r="F154" s="657">
        <v>1071273.3</v>
      </c>
    </row>
    <row r="155" spans="1:9" ht="22.5" customHeight="1" x14ac:dyDescent="0.5">
      <c r="B155" s="587" t="s">
        <v>537</v>
      </c>
      <c r="C155" s="587"/>
      <c r="D155" s="587"/>
    </row>
    <row r="156" spans="1:9" x14ac:dyDescent="0.5">
      <c r="B156" s="1129" t="s">
        <v>538</v>
      </c>
      <c r="C156" s="1129"/>
      <c r="D156" s="1129"/>
    </row>
    <row r="157" spans="1:9" x14ac:dyDescent="0.5">
      <c r="B157" s="1129" t="s">
        <v>539</v>
      </c>
      <c r="C157" s="1129"/>
      <c r="D157" s="1129"/>
    </row>
  </sheetData>
  <mergeCells count="10">
    <mergeCell ref="A150:F150"/>
    <mergeCell ref="B156:D156"/>
    <mergeCell ref="B157:D157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3D78-36A3-4B8B-A143-73DD96F2EA33}">
  <sheetPr>
    <tabColor rgb="FF00B0F0"/>
  </sheetPr>
  <dimension ref="A1:J108"/>
  <sheetViews>
    <sheetView zoomScale="80" zoomScaleNormal="80" workbookViewId="0">
      <pane ySplit="6" topLeftCell="A15" activePane="bottomLeft" state="frozen"/>
      <selection pane="bottomLeft" activeCell="J69" sqref="J69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21.44140625" style="1" customWidth="1"/>
    <col min="5" max="5" width="14.5546875" style="662" customWidth="1"/>
    <col min="6" max="6" width="5.77734375" style="662" customWidth="1"/>
    <col min="7" max="7" width="16.5546875" style="665" customWidth="1"/>
    <col min="8" max="16384" width="27.109375" style="3"/>
  </cols>
  <sheetData>
    <row r="1" spans="1:9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2"/>
    </row>
    <row r="2" spans="1:9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2"/>
    </row>
    <row r="3" spans="1:9" ht="22.5" customHeight="1" x14ac:dyDescent="0.3">
      <c r="A3" s="1110" t="s">
        <v>1065</v>
      </c>
      <c r="B3" s="1111"/>
      <c r="C3" s="1111"/>
      <c r="D3" s="1111"/>
      <c r="E3" s="1111"/>
      <c r="F3" s="1111"/>
      <c r="G3" s="1111"/>
      <c r="H3" s="2"/>
    </row>
    <row r="4" spans="1:9" ht="22.5" customHeight="1" x14ac:dyDescent="0.3">
      <c r="A4" s="1112" t="s">
        <v>3</v>
      </c>
      <c r="B4" s="1112" t="s">
        <v>4</v>
      </c>
      <c r="C4" s="1115" t="s">
        <v>5</v>
      </c>
      <c r="D4" s="909"/>
      <c r="E4" s="1118" t="s">
        <v>9</v>
      </c>
      <c r="F4" s="1119"/>
      <c r="G4" s="1120"/>
      <c r="H4" s="2"/>
    </row>
    <row r="5" spans="1:9" ht="22.5" customHeight="1" x14ac:dyDescent="0.3">
      <c r="A5" s="1113"/>
      <c r="B5" s="1113"/>
      <c r="C5" s="1116"/>
      <c r="D5" s="915" t="s">
        <v>618</v>
      </c>
      <c r="E5" s="1121" t="s">
        <v>10</v>
      </c>
      <c r="F5" s="882"/>
      <c r="G5" s="667"/>
      <c r="H5" s="2"/>
    </row>
    <row r="6" spans="1:9" ht="22.5" customHeight="1" x14ac:dyDescent="0.3">
      <c r="A6" s="1114"/>
      <c r="B6" s="1114"/>
      <c r="C6" s="1117"/>
      <c r="D6" s="906"/>
      <c r="E6" s="1122"/>
      <c r="F6" s="883" t="s">
        <v>937</v>
      </c>
      <c r="G6" s="10" t="s">
        <v>15</v>
      </c>
      <c r="H6" s="2"/>
    </row>
    <row r="7" spans="1:9" ht="22.5" customHeight="1" x14ac:dyDescent="0.3">
      <c r="A7" s="61"/>
      <c r="B7" s="62" t="s">
        <v>37</v>
      </c>
      <c r="C7" s="63"/>
      <c r="D7" s="63"/>
      <c r="E7" s="69"/>
      <c r="F7" s="69"/>
      <c r="G7" s="72"/>
      <c r="H7" s="2"/>
    </row>
    <row r="8" spans="1:9" ht="22.5" customHeight="1" x14ac:dyDescent="0.3">
      <c r="A8" s="23">
        <v>1</v>
      </c>
      <c r="B8" s="73" t="s">
        <v>45</v>
      </c>
      <c r="C8" s="25" t="s">
        <v>46</v>
      </c>
      <c r="D8" s="25"/>
      <c r="E8" s="33">
        <v>25235</v>
      </c>
      <c r="F8" s="747" t="s">
        <v>33</v>
      </c>
      <c r="G8" s="36">
        <v>1444.4999999999998</v>
      </c>
      <c r="H8" s="2"/>
    </row>
    <row r="9" spans="1:9" ht="22.5" customHeight="1" x14ac:dyDescent="0.3">
      <c r="A9" s="23">
        <v>2</v>
      </c>
      <c r="B9" s="73" t="s">
        <v>48</v>
      </c>
      <c r="C9" s="25" t="s">
        <v>49</v>
      </c>
      <c r="D9" s="25"/>
      <c r="E9" s="33">
        <v>25235</v>
      </c>
      <c r="F9" s="747" t="s">
        <v>33</v>
      </c>
      <c r="G9" s="36">
        <v>3129.7499999999986</v>
      </c>
      <c r="H9" s="2"/>
    </row>
    <row r="10" spans="1:9" ht="22.5" customHeight="1" x14ac:dyDescent="0.3">
      <c r="A10" s="23">
        <v>3</v>
      </c>
      <c r="B10" s="73" t="s">
        <v>51</v>
      </c>
      <c r="C10" s="25" t="s">
        <v>52</v>
      </c>
      <c r="D10" s="25"/>
      <c r="E10" s="33">
        <v>25235</v>
      </c>
      <c r="F10" s="747" t="s">
        <v>33</v>
      </c>
      <c r="G10" s="36">
        <v>4622.4000000000033</v>
      </c>
      <c r="H10" s="2"/>
    </row>
    <row r="11" spans="1:9" ht="22.5" customHeight="1" x14ac:dyDescent="0.3">
      <c r="A11" s="23">
        <v>4</v>
      </c>
      <c r="B11" s="78" t="s">
        <v>54</v>
      </c>
      <c r="C11" s="25" t="s">
        <v>55</v>
      </c>
      <c r="D11" s="25"/>
      <c r="E11" s="33">
        <v>25235</v>
      </c>
      <c r="F11" s="747" t="s">
        <v>33</v>
      </c>
      <c r="G11" s="36">
        <v>1733.4</v>
      </c>
      <c r="H11" s="2"/>
    </row>
    <row r="12" spans="1:9" s="60" customFormat="1" ht="22.5" customHeight="1" thickBot="1" x14ac:dyDescent="0.35">
      <c r="A12" s="48"/>
      <c r="B12" s="48" t="s">
        <v>15</v>
      </c>
      <c r="C12" s="49"/>
      <c r="D12" s="49"/>
      <c r="E12" s="107"/>
      <c r="F12" s="107"/>
      <c r="G12" s="110">
        <v>10930.050000000001</v>
      </c>
      <c r="I12" s="683">
        <f>SUM(G8:G11)</f>
        <v>10930.050000000001</v>
      </c>
    </row>
    <row r="13" spans="1:9" ht="22.5" customHeight="1" thickTop="1" x14ac:dyDescent="0.3">
      <c r="A13" s="61"/>
      <c r="B13" s="62" t="s">
        <v>92</v>
      </c>
      <c r="C13" s="63"/>
      <c r="D13" s="63"/>
      <c r="E13" s="61"/>
      <c r="F13" s="61"/>
      <c r="G13" s="207"/>
      <c r="H13" s="2"/>
    </row>
    <row r="14" spans="1:9" ht="22.5" customHeight="1" x14ac:dyDescent="0.5">
      <c r="A14" s="208">
        <v>1</v>
      </c>
      <c r="B14" s="73" t="s">
        <v>96</v>
      </c>
      <c r="C14" s="25" t="s">
        <v>97</v>
      </c>
      <c r="D14" s="910"/>
      <c r="E14" s="215">
        <v>25235</v>
      </c>
      <c r="F14" s="215" t="s">
        <v>33</v>
      </c>
      <c r="G14" s="217">
        <v>5874.2999999999965</v>
      </c>
      <c r="H14" s="2"/>
    </row>
    <row r="15" spans="1:9" ht="22.5" customHeight="1" x14ac:dyDescent="0.5">
      <c r="A15" s="208">
        <v>2</v>
      </c>
      <c r="B15" s="73" t="s">
        <v>99</v>
      </c>
      <c r="C15" s="25" t="s">
        <v>100</v>
      </c>
      <c r="D15" s="910"/>
      <c r="E15" s="215">
        <v>25235</v>
      </c>
      <c r="F15" s="215" t="s">
        <v>33</v>
      </c>
      <c r="G15" s="217">
        <v>4194.3999999999987</v>
      </c>
      <c r="H15" s="2"/>
    </row>
    <row r="16" spans="1:9" ht="22.5" customHeight="1" x14ac:dyDescent="0.5">
      <c r="A16" s="208">
        <v>3</v>
      </c>
      <c r="B16" s="24" t="s">
        <v>102</v>
      </c>
      <c r="C16" s="222" t="s">
        <v>100</v>
      </c>
      <c r="D16" s="222"/>
      <c r="E16" s="215">
        <v>25235</v>
      </c>
      <c r="F16" s="215" t="s">
        <v>33</v>
      </c>
      <c r="G16" s="217">
        <v>224.7</v>
      </c>
      <c r="H16" s="2"/>
    </row>
    <row r="17" spans="1:8" ht="22.5" customHeight="1" x14ac:dyDescent="0.5">
      <c r="A17" s="208">
        <v>4</v>
      </c>
      <c r="B17" s="73" t="s">
        <v>104</v>
      </c>
      <c r="C17" s="25" t="s">
        <v>97</v>
      </c>
      <c r="D17" s="910"/>
      <c r="E17" s="215">
        <v>25235</v>
      </c>
      <c r="F17" s="215" t="s">
        <v>33</v>
      </c>
      <c r="G17" s="217">
        <v>15001.4</v>
      </c>
      <c r="H17" s="2"/>
    </row>
    <row r="18" spans="1:8" ht="22.5" customHeight="1" x14ac:dyDescent="0.5">
      <c r="A18" s="208">
        <v>5</v>
      </c>
      <c r="B18" s="73" t="s">
        <v>105</v>
      </c>
      <c r="C18" s="25" t="s">
        <v>97</v>
      </c>
      <c r="D18" s="910"/>
      <c r="E18" s="215">
        <v>25235</v>
      </c>
      <c r="F18" s="215" t="s">
        <v>33</v>
      </c>
      <c r="G18" s="217">
        <v>10582.300000000007</v>
      </c>
      <c r="H18" s="2"/>
    </row>
    <row r="19" spans="1:8" ht="22.5" customHeight="1" x14ac:dyDescent="0.5">
      <c r="A19" s="208">
        <v>6</v>
      </c>
      <c r="B19" s="73" t="s">
        <v>107</v>
      </c>
      <c r="C19" s="25" t="s">
        <v>97</v>
      </c>
      <c r="D19" s="910"/>
      <c r="E19" s="215">
        <v>25235</v>
      </c>
      <c r="F19" s="215" t="s">
        <v>33</v>
      </c>
      <c r="G19" s="217">
        <v>535</v>
      </c>
      <c r="H19" s="2" t="s">
        <v>832</v>
      </c>
    </row>
    <row r="20" spans="1:8" ht="22.5" customHeight="1" x14ac:dyDescent="0.5">
      <c r="A20" s="208">
        <v>7</v>
      </c>
      <c r="B20" s="209" t="s">
        <v>109</v>
      </c>
      <c r="C20" s="210" t="s">
        <v>97</v>
      </c>
      <c r="D20" s="693"/>
      <c r="E20" s="215">
        <v>25235</v>
      </c>
      <c r="F20" s="215" t="s">
        <v>33</v>
      </c>
      <c r="G20" s="217">
        <v>39162</v>
      </c>
      <c r="H20" s="218"/>
    </row>
    <row r="21" spans="1:8" ht="22.5" customHeight="1" x14ac:dyDescent="0.5">
      <c r="A21" s="208">
        <v>8</v>
      </c>
      <c r="B21" s="73" t="s">
        <v>112</v>
      </c>
      <c r="C21" s="25" t="s">
        <v>113</v>
      </c>
      <c r="D21" s="910"/>
      <c r="E21" s="215">
        <v>25235</v>
      </c>
      <c r="F21" s="215" t="s">
        <v>33</v>
      </c>
      <c r="G21" s="217">
        <v>1968.8000000000006</v>
      </c>
      <c r="H21" s="2"/>
    </row>
    <row r="22" spans="1:8" ht="22.5" customHeight="1" x14ac:dyDescent="0.5">
      <c r="A22" s="208">
        <v>9</v>
      </c>
      <c r="B22" s="73" t="s">
        <v>116</v>
      </c>
      <c r="C22" s="25" t="s">
        <v>113</v>
      </c>
      <c r="D22" s="910"/>
      <c r="E22" s="215">
        <v>25235</v>
      </c>
      <c r="F22" s="215" t="s">
        <v>33</v>
      </c>
      <c r="G22" s="217">
        <v>1829.7000000000025</v>
      </c>
      <c r="H22" s="2"/>
    </row>
    <row r="23" spans="1:8" ht="22.5" customHeight="1" x14ac:dyDescent="0.5">
      <c r="A23" s="208">
        <v>10</v>
      </c>
      <c r="B23" s="73" t="s">
        <v>117</v>
      </c>
      <c r="C23" s="25" t="s">
        <v>118</v>
      </c>
      <c r="D23" s="910"/>
      <c r="E23" s="215">
        <v>25235</v>
      </c>
      <c r="F23" s="215" t="s">
        <v>33</v>
      </c>
      <c r="G23" s="217">
        <v>845.3</v>
      </c>
      <c r="H23" s="2"/>
    </row>
    <row r="24" spans="1:8" ht="22.5" customHeight="1" x14ac:dyDescent="0.5">
      <c r="A24" s="208">
        <v>11</v>
      </c>
      <c r="B24" s="73" t="s">
        <v>120</v>
      </c>
      <c r="C24" s="25" t="s">
        <v>118</v>
      </c>
      <c r="D24" s="910"/>
      <c r="E24" s="215">
        <v>25235</v>
      </c>
      <c r="F24" s="215" t="s">
        <v>33</v>
      </c>
      <c r="G24" s="217">
        <v>5392.8000000000011</v>
      </c>
      <c r="H24" s="2"/>
    </row>
    <row r="25" spans="1:8" ht="22.5" customHeight="1" x14ac:dyDescent="0.5">
      <c r="A25" s="208">
        <v>12</v>
      </c>
      <c r="B25" s="73" t="s">
        <v>121</v>
      </c>
      <c r="C25" s="83" t="s">
        <v>122</v>
      </c>
      <c r="D25" s="693"/>
      <c r="E25" s="215">
        <v>25235</v>
      </c>
      <c r="F25" s="215" t="s">
        <v>33</v>
      </c>
      <c r="G25" s="217">
        <v>6462.7999999999984</v>
      </c>
      <c r="H25" s="223"/>
    </row>
    <row r="26" spans="1:8" ht="22.5" customHeight="1" x14ac:dyDescent="0.5">
      <c r="A26" s="208">
        <v>13</v>
      </c>
      <c r="B26" s="73" t="s">
        <v>121</v>
      </c>
      <c r="C26" s="83" t="s">
        <v>122</v>
      </c>
      <c r="D26" s="693"/>
      <c r="E26" s="215">
        <v>25235</v>
      </c>
      <c r="F26" s="215" t="s">
        <v>33</v>
      </c>
      <c r="G26" s="217">
        <v>2792.7</v>
      </c>
      <c r="H26" s="223"/>
    </row>
    <row r="27" spans="1:8" ht="22.5" customHeight="1" x14ac:dyDescent="0.5">
      <c r="A27" s="208">
        <v>14</v>
      </c>
      <c r="B27" s="73" t="s">
        <v>124</v>
      </c>
      <c r="C27" s="83" t="s">
        <v>125</v>
      </c>
      <c r="D27" s="693"/>
      <c r="E27" s="215">
        <v>25235</v>
      </c>
      <c r="F27" s="215" t="s">
        <v>33</v>
      </c>
      <c r="G27" s="217">
        <v>4504.7000000000007</v>
      </c>
      <c r="H27" s="2"/>
    </row>
    <row r="28" spans="1:8" ht="22.5" customHeight="1" x14ac:dyDescent="0.5">
      <c r="A28" s="208">
        <v>15</v>
      </c>
      <c r="B28" s="78" t="s">
        <v>129</v>
      </c>
      <c r="C28" s="210" t="s">
        <v>130</v>
      </c>
      <c r="D28" s="693"/>
      <c r="E28" s="215">
        <v>25235</v>
      </c>
      <c r="F28" s="215" t="s">
        <v>33</v>
      </c>
      <c r="G28" s="217">
        <v>3659.3999999999996</v>
      </c>
      <c r="H28" s="2"/>
    </row>
    <row r="29" spans="1:8" ht="22.5" customHeight="1" x14ac:dyDescent="0.5">
      <c r="A29" s="208">
        <v>16</v>
      </c>
      <c r="B29" s="78" t="s">
        <v>132</v>
      </c>
      <c r="C29" s="210" t="s">
        <v>130</v>
      </c>
      <c r="D29" s="693"/>
      <c r="E29" s="215">
        <v>25235</v>
      </c>
      <c r="F29" s="215" t="s">
        <v>33</v>
      </c>
      <c r="G29" s="217">
        <v>10967.499999999991</v>
      </c>
      <c r="H29" s="2"/>
    </row>
    <row r="30" spans="1:8" s="229" customFormat="1" ht="22.5" customHeight="1" x14ac:dyDescent="0.5">
      <c r="A30" s="208">
        <v>17</v>
      </c>
      <c r="B30" s="226" t="s">
        <v>137</v>
      </c>
      <c r="C30" s="227"/>
      <c r="D30" s="911"/>
      <c r="E30" s="215">
        <v>25235</v>
      </c>
      <c r="F30" s="215" t="s">
        <v>33</v>
      </c>
      <c r="G30" s="217">
        <v>3648.7</v>
      </c>
      <c r="H30" s="47"/>
    </row>
    <row r="31" spans="1:8" ht="22.5" customHeight="1" x14ac:dyDescent="0.5">
      <c r="A31" s="208">
        <v>18</v>
      </c>
      <c r="B31" s="78" t="s">
        <v>54</v>
      </c>
      <c r="C31" s="81" t="s">
        <v>55</v>
      </c>
      <c r="D31" s="910"/>
      <c r="E31" s="215">
        <v>25235</v>
      </c>
      <c r="F31" s="215" t="s">
        <v>33</v>
      </c>
      <c r="G31" s="217">
        <v>13000.5</v>
      </c>
      <c r="H31" s="2"/>
    </row>
    <row r="32" spans="1:8" ht="22.5" customHeight="1" x14ac:dyDescent="0.5">
      <c r="A32" s="208">
        <v>19</v>
      </c>
      <c r="B32" s="240" t="s">
        <v>162</v>
      </c>
      <c r="C32" s="83" t="s">
        <v>163</v>
      </c>
      <c r="D32" s="693"/>
      <c r="E32" s="215" t="s">
        <v>1105</v>
      </c>
      <c r="F32" s="215" t="s">
        <v>115</v>
      </c>
      <c r="G32" s="217">
        <v>8592.0999999999967</v>
      </c>
      <c r="H32" s="2"/>
    </row>
    <row r="33" spans="1:9" ht="22.5" customHeight="1" x14ac:dyDescent="0.5">
      <c r="A33" s="208">
        <v>20</v>
      </c>
      <c r="B33" s="243" t="s">
        <v>168</v>
      </c>
      <c r="C33" s="244" t="s">
        <v>169</v>
      </c>
      <c r="D33" s="693"/>
      <c r="E33" s="215">
        <v>25235</v>
      </c>
      <c r="F33" s="215" t="s">
        <v>33</v>
      </c>
      <c r="G33" s="217">
        <v>1070</v>
      </c>
      <c r="H33" s="2"/>
    </row>
    <row r="34" spans="1:9" ht="22.5" customHeight="1" x14ac:dyDescent="0.5">
      <c r="A34" s="208">
        <v>21</v>
      </c>
      <c r="B34" s="209" t="s">
        <v>175</v>
      </c>
      <c r="C34" s="210" t="s">
        <v>176</v>
      </c>
      <c r="D34" s="693"/>
      <c r="E34" s="215">
        <v>25235</v>
      </c>
      <c r="F34" s="215" t="s">
        <v>33</v>
      </c>
      <c r="G34" s="217">
        <v>3156.4999999999991</v>
      </c>
      <c r="H34" s="2"/>
    </row>
    <row r="35" spans="1:9" ht="22.5" customHeight="1" x14ac:dyDescent="0.5">
      <c r="A35" s="208">
        <v>22</v>
      </c>
      <c r="B35" s="209" t="s">
        <v>191</v>
      </c>
      <c r="C35" s="210" t="s">
        <v>190</v>
      </c>
      <c r="D35" s="693"/>
      <c r="E35" s="215">
        <v>25235</v>
      </c>
      <c r="F35" s="215" t="s">
        <v>33</v>
      </c>
      <c r="G35" s="217">
        <v>8132.0000000000018</v>
      </c>
      <c r="H35" s="2"/>
    </row>
    <row r="36" spans="1:9" ht="22.5" customHeight="1" x14ac:dyDescent="0.5">
      <c r="A36" s="208">
        <v>23</v>
      </c>
      <c r="B36" s="209" t="s">
        <v>193</v>
      </c>
      <c r="C36" s="210" t="s">
        <v>194</v>
      </c>
      <c r="D36" s="693"/>
      <c r="E36" s="215">
        <v>25235</v>
      </c>
      <c r="F36" s="215" t="s">
        <v>33</v>
      </c>
      <c r="G36" s="217">
        <v>749.00000000000023</v>
      </c>
      <c r="H36" s="2"/>
    </row>
    <row r="37" spans="1:9" ht="22.5" customHeight="1" x14ac:dyDescent="0.5">
      <c r="A37" s="208">
        <v>24</v>
      </c>
      <c r="B37" s="209" t="s">
        <v>198</v>
      </c>
      <c r="C37" s="210" t="s">
        <v>567</v>
      </c>
      <c r="D37" s="693"/>
      <c r="E37" s="215">
        <v>25235</v>
      </c>
      <c r="F37" s="215" t="s">
        <v>33</v>
      </c>
      <c r="G37" s="217">
        <v>952.3</v>
      </c>
      <c r="H37" s="2"/>
    </row>
    <row r="38" spans="1:9" ht="22.5" customHeight="1" x14ac:dyDescent="0.5">
      <c r="A38" s="208">
        <v>25</v>
      </c>
      <c r="B38" s="209" t="s">
        <v>200</v>
      </c>
      <c r="C38" s="210" t="s">
        <v>201</v>
      </c>
      <c r="D38" s="693"/>
      <c r="E38" s="215">
        <v>25204</v>
      </c>
      <c r="F38" s="215" t="s">
        <v>33</v>
      </c>
      <c r="G38" s="217">
        <v>12518.999999999996</v>
      </c>
      <c r="H38" s="2"/>
    </row>
    <row r="39" spans="1:9" ht="22.5" customHeight="1" x14ac:dyDescent="0.5">
      <c r="A39" s="208">
        <v>26</v>
      </c>
      <c r="B39" s="209" t="s">
        <v>208</v>
      </c>
      <c r="C39" s="210"/>
      <c r="D39" s="693"/>
      <c r="E39" s="215" t="s">
        <v>1122</v>
      </c>
      <c r="F39" s="215" t="s">
        <v>284</v>
      </c>
      <c r="G39" s="217">
        <v>4729.3999999999978</v>
      </c>
      <c r="H39" s="2"/>
    </row>
    <row r="40" spans="1:9" ht="22.5" customHeight="1" x14ac:dyDescent="0.5">
      <c r="A40" s="208">
        <v>27</v>
      </c>
      <c r="B40" s="209" t="s">
        <v>210</v>
      </c>
      <c r="C40" s="210" t="s">
        <v>211</v>
      </c>
      <c r="D40" s="693"/>
      <c r="E40" s="239">
        <v>25235</v>
      </c>
      <c r="F40" s="239" t="s">
        <v>33</v>
      </c>
      <c r="G40" s="217">
        <v>8731.2000000000025</v>
      </c>
      <c r="H40" s="2"/>
    </row>
    <row r="41" spans="1:9" ht="22.5" customHeight="1" x14ac:dyDescent="0.5">
      <c r="A41" s="208">
        <v>28</v>
      </c>
      <c r="B41" s="254" t="s">
        <v>217</v>
      </c>
      <c r="C41" s="238" t="s">
        <v>218</v>
      </c>
      <c r="D41" s="693"/>
      <c r="E41" s="239">
        <v>25235</v>
      </c>
      <c r="F41" s="239" t="s">
        <v>33</v>
      </c>
      <c r="G41" s="217">
        <v>2022.3</v>
      </c>
      <c r="H41" s="2"/>
    </row>
    <row r="42" spans="1:9" ht="22.5" customHeight="1" x14ac:dyDescent="0.5">
      <c r="A42" s="208">
        <v>29</v>
      </c>
      <c r="B42" s="261" t="s">
        <v>224</v>
      </c>
      <c r="C42" s="261" t="s">
        <v>225</v>
      </c>
      <c r="D42" s="257"/>
      <c r="E42" s="215">
        <v>25235</v>
      </c>
      <c r="F42" s="215" t="s">
        <v>33</v>
      </c>
      <c r="G42" s="217">
        <v>353.1</v>
      </c>
      <c r="H42" s="2"/>
    </row>
    <row r="43" spans="1:9" ht="22.5" customHeight="1" x14ac:dyDescent="0.5">
      <c r="A43" s="208">
        <v>30</v>
      </c>
      <c r="B43" s="265" t="s">
        <v>226</v>
      </c>
      <c r="C43" s="265" t="s">
        <v>227</v>
      </c>
      <c r="D43" s="912"/>
      <c r="E43" s="215">
        <v>25235</v>
      </c>
      <c r="F43" s="215" t="s">
        <v>33</v>
      </c>
      <c r="G43" s="217">
        <v>3584.5</v>
      </c>
      <c r="H43" s="2"/>
    </row>
    <row r="44" spans="1:9" ht="22.5" customHeight="1" x14ac:dyDescent="0.5">
      <c r="A44" s="208">
        <v>31</v>
      </c>
      <c r="B44" s="265" t="s">
        <v>229</v>
      </c>
      <c r="C44" s="265" t="s">
        <v>230</v>
      </c>
      <c r="D44" s="913"/>
      <c r="E44" s="273">
        <v>25235</v>
      </c>
      <c r="F44" s="273" t="s">
        <v>33</v>
      </c>
      <c r="G44" s="217">
        <v>8870.2999999999993</v>
      </c>
      <c r="H44" s="2"/>
    </row>
    <row r="45" spans="1:9" s="60" customFormat="1" ht="22.5" customHeight="1" thickBot="1" x14ac:dyDescent="0.35">
      <c r="A45" s="278"/>
      <c r="B45" s="278" t="s">
        <v>15</v>
      </c>
      <c r="C45" s="279"/>
      <c r="D45" s="279"/>
      <c r="E45" s="280"/>
      <c r="F45" s="280"/>
      <c r="G45" s="280">
        <v>194108.69999999995</v>
      </c>
      <c r="H45" s="59"/>
      <c r="I45" s="683">
        <f>SUM(G14:G44)</f>
        <v>194108.69999999995</v>
      </c>
    </row>
    <row r="46" spans="1:9" ht="22.5" customHeight="1" thickTop="1" x14ac:dyDescent="0.3">
      <c r="A46" s="61"/>
      <c r="B46" s="121" t="s">
        <v>232</v>
      </c>
      <c r="C46" s="63"/>
      <c r="D46" s="63"/>
      <c r="E46" s="69"/>
      <c r="F46" s="69"/>
      <c r="G46" s="289"/>
      <c r="H46" s="2"/>
    </row>
    <row r="47" spans="1:9" ht="22.5" customHeight="1" x14ac:dyDescent="0.5">
      <c r="A47" s="23">
        <v>1</v>
      </c>
      <c r="B47" s="73" t="s">
        <v>240</v>
      </c>
      <c r="C47" s="25" t="s">
        <v>241</v>
      </c>
      <c r="D47" s="910"/>
      <c r="E47" s="297" t="s">
        <v>1153</v>
      </c>
      <c r="F47" s="297" t="s">
        <v>33</v>
      </c>
      <c r="G47" s="36">
        <v>15750</v>
      </c>
      <c r="H47" s="2"/>
    </row>
    <row r="48" spans="1:9" ht="22.5" customHeight="1" x14ac:dyDescent="0.5">
      <c r="A48" s="23">
        <v>2</v>
      </c>
      <c r="B48" s="73" t="s">
        <v>240</v>
      </c>
      <c r="C48" s="25" t="s">
        <v>242</v>
      </c>
      <c r="D48" s="910"/>
      <c r="E48" s="297" t="s">
        <v>1153</v>
      </c>
      <c r="F48" s="297" t="s">
        <v>33</v>
      </c>
      <c r="G48" s="36">
        <v>6300</v>
      </c>
      <c r="H48" s="2"/>
    </row>
    <row r="49" spans="1:9" ht="22.5" customHeight="1" x14ac:dyDescent="0.5">
      <c r="A49" s="23">
        <v>3</v>
      </c>
      <c r="B49" s="73" t="s">
        <v>248</v>
      </c>
      <c r="C49" s="25" t="s">
        <v>249</v>
      </c>
      <c r="D49" s="910"/>
      <c r="E49" s="215" t="s">
        <v>1105</v>
      </c>
      <c r="F49" s="215" t="s">
        <v>115</v>
      </c>
      <c r="G49" s="36">
        <v>12600</v>
      </c>
      <c r="H49" s="2"/>
    </row>
    <row r="50" spans="1:9" ht="22.5" customHeight="1" x14ac:dyDescent="0.5">
      <c r="A50" s="23">
        <v>4</v>
      </c>
      <c r="B50" s="209" t="s">
        <v>250</v>
      </c>
      <c r="C50" s="210" t="s">
        <v>251</v>
      </c>
      <c r="D50" s="693"/>
      <c r="E50" s="215" t="s">
        <v>1153</v>
      </c>
      <c r="F50" s="215" t="s">
        <v>33</v>
      </c>
      <c r="G50" s="36">
        <v>6300</v>
      </c>
      <c r="H50" s="218"/>
    </row>
    <row r="51" spans="1:9" ht="22.5" customHeight="1" x14ac:dyDescent="0.5">
      <c r="A51" s="23">
        <v>5</v>
      </c>
      <c r="B51" s="73" t="s">
        <v>281</v>
      </c>
      <c r="C51" s="25" t="s">
        <v>282</v>
      </c>
      <c r="D51" s="910"/>
      <c r="E51" s="215" t="s">
        <v>1153</v>
      </c>
      <c r="F51" s="215" t="s">
        <v>33</v>
      </c>
      <c r="G51" s="36">
        <v>5600</v>
      </c>
      <c r="H51" s="2"/>
    </row>
    <row r="52" spans="1:9" ht="22.5" customHeight="1" x14ac:dyDescent="0.5">
      <c r="A52" s="23">
        <v>6</v>
      </c>
      <c r="B52" s="73" t="s">
        <v>287</v>
      </c>
      <c r="C52" s="25" t="s">
        <v>288</v>
      </c>
      <c r="D52" s="910"/>
      <c r="E52" s="215" t="s">
        <v>1153</v>
      </c>
      <c r="F52" s="215" t="s">
        <v>33</v>
      </c>
      <c r="G52" s="36">
        <v>5600</v>
      </c>
      <c r="H52" s="2"/>
    </row>
    <row r="53" spans="1:9" ht="22.5" customHeight="1" x14ac:dyDescent="0.5">
      <c r="A53" s="23">
        <v>7</v>
      </c>
      <c r="B53" s="73" t="s">
        <v>296</v>
      </c>
      <c r="C53" s="25" t="s">
        <v>297</v>
      </c>
      <c r="D53" s="910"/>
      <c r="E53" s="297" t="s">
        <v>1153</v>
      </c>
      <c r="F53" s="297" t="s">
        <v>33</v>
      </c>
      <c r="G53" s="36">
        <v>5600</v>
      </c>
      <c r="H53" s="2"/>
    </row>
    <row r="54" spans="1:9" ht="22.5" customHeight="1" x14ac:dyDescent="0.5">
      <c r="A54" s="23">
        <v>8</v>
      </c>
      <c r="B54" s="209" t="s">
        <v>300</v>
      </c>
      <c r="C54" s="210" t="s">
        <v>301</v>
      </c>
      <c r="D54" s="693"/>
      <c r="E54" s="215" t="s">
        <v>1153</v>
      </c>
      <c r="F54" s="215" t="s">
        <v>33</v>
      </c>
      <c r="G54" s="36">
        <v>5600</v>
      </c>
      <c r="H54" s="2"/>
    </row>
    <row r="55" spans="1:9" ht="22.5" customHeight="1" x14ac:dyDescent="0.5">
      <c r="A55" s="23">
        <v>9</v>
      </c>
      <c r="B55" s="209" t="s">
        <v>306</v>
      </c>
      <c r="C55" s="210" t="s">
        <v>307</v>
      </c>
      <c r="D55" s="693"/>
      <c r="E55" s="215" t="s">
        <v>1153</v>
      </c>
      <c r="F55" s="215" t="s">
        <v>33</v>
      </c>
      <c r="G55" s="36">
        <v>5600</v>
      </c>
      <c r="H55" s="218"/>
      <c r="I55" s="309"/>
    </row>
    <row r="56" spans="1:9" ht="22.5" customHeight="1" x14ac:dyDescent="0.3">
      <c r="A56" s="23">
        <v>10</v>
      </c>
      <c r="B56" s="73" t="s">
        <v>317</v>
      </c>
      <c r="C56" s="25" t="s">
        <v>318</v>
      </c>
      <c r="D56" s="801">
        <v>2800</v>
      </c>
      <c r="E56" s="307"/>
      <c r="F56" s="307"/>
      <c r="G56" s="36"/>
    </row>
    <row r="57" spans="1:9" ht="22.5" customHeight="1" x14ac:dyDescent="0.3">
      <c r="A57" s="23">
        <v>11</v>
      </c>
      <c r="B57" s="73" t="s">
        <v>322</v>
      </c>
      <c r="C57" s="25" t="s">
        <v>323</v>
      </c>
      <c r="D57" s="801">
        <v>11200</v>
      </c>
      <c r="E57" s="314"/>
      <c r="F57" s="315"/>
      <c r="G57" s="36"/>
    </row>
    <row r="58" spans="1:9" ht="22.5" customHeight="1" x14ac:dyDescent="0.5">
      <c r="A58" s="23">
        <v>12</v>
      </c>
      <c r="B58" s="290" t="s">
        <v>355</v>
      </c>
      <c r="C58" s="371" t="s">
        <v>356</v>
      </c>
      <c r="D58" s="914"/>
      <c r="E58" s="215">
        <v>25235</v>
      </c>
      <c r="F58" s="215" t="s">
        <v>33</v>
      </c>
      <c r="G58" s="36">
        <v>9400</v>
      </c>
    </row>
    <row r="59" spans="1:9" ht="22.5" customHeight="1" x14ac:dyDescent="0.5">
      <c r="A59" s="23">
        <v>13</v>
      </c>
      <c r="B59" s="374" t="s">
        <v>358</v>
      </c>
      <c r="C59" s="375" t="s">
        <v>356</v>
      </c>
      <c r="D59" s="914"/>
      <c r="E59" s="215">
        <v>25235</v>
      </c>
      <c r="F59" s="215" t="s">
        <v>33</v>
      </c>
      <c r="G59" s="36">
        <v>9810</v>
      </c>
    </row>
    <row r="60" spans="1:9" s="60" customFormat="1" ht="22.5" customHeight="1" thickBot="1" x14ac:dyDescent="0.35">
      <c r="A60" s="317"/>
      <c r="B60" s="317" t="s">
        <v>15</v>
      </c>
      <c r="C60" s="318"/>
      <c r="D60" s="318"/>
      <c r="E60" s="407"/>
      <c r="F60" s="407"/>
      <c r="G60" s="323">
        <f>SUM(G47:G59)</f>
        <v>88160</v>
      </c>
      <c r="I60" s="683">
        <f>SUM(G47:G59)</f>
        <v>88160</v>
      </c>
    </row>
    <row r="61" spans="1:9" ht="22.5" customHeight="1" thickTop="1" x14ac:dyDescent="0.3">
      <c r="A61" s="61"/>
      <c r="B61" s="62" t="s">
        <v>386</v>
      </c>
      <c r="C61" s="63"/>
      <c r="D61" s="63"/>
      <c r="E61" s="69"/>
      <c r="F61" s="69"/>
      <c r="G61" s="387"/>
    </row>
    <row r="62" spans="1:9" ht="22.5" customHeight="1" x14ac:dyDescent="0.5">
      <c r="A62" s="208">
        <v>1</v>
      </c>
      <c r="B62" s="290" t="s">
        <v>389</v>
      </c>
      <c r="C62" s="25" t="s">
        <v>390</v>
      </c>
      <c r="D62" s="910"/>
      <c r="E62" s="215">
        <v>25235</v>
      </c>
      <c r="F62" s="215" t="s">
        <v>33</v>
      </c>
      <c r="G62" s="409">
        <v>3150</v>
      </c>
    </row>
    <row r="63" spans="1:9" s="60" customFormat="1" ht="22.5" customHeight="1" thickBot="1" x14ac:dyDescent="0.35">
      <c r="A63" s="317"/>
      <c r="B63" s="317" t="s">
        <v>15</v>
      </c>
      <c r="C63" s="318"/>
      <c r="D63" s="318"/>
      <c r="E63" s="407"/>
      <c r="F63" s="407"/>
      <c r="G63" s="386">
        <v>3150</v>
      </c>
      <c r="I63" s="683">
        <f>SUM(G62)</f>
        <v>3150</v>
      </c>
    </row>
    <row r="64" spans="1:9" ht="22.5" customHeight="1" thickTop="1" x14ac:dyDescent="0.3">
      <c r="A64" s="61"/>
      <c r="B64" s="164" t="s">
        <v>399</v>
      </c>
      <c r="C64" s="63"/>
      <c r="D64" s="63"/>
      <c r="E64" s="69"/>
      <c r="F64" s="69"/>
      <c r="G64" s="387"/>
    </row>
    <row r="65" spans="1:10" ht="22.5" customHeight="1" x14ac:dyDescent="0.3">
      <c r="A65" s="61">
        <v>1</v>
      </c>
      <c r="B65" s="290" t="s">
        <v>463</v>
      </c>
      <c r="C65" s="63" t="s">
        <v>464</v>
      </c>
      <c r="D65" s="63"/>
      <c r="E65" s="69" t="s">
        <v>795</v>
      </c>
      <c r="F65" s="69"/>
      <c r="G65" s="387">
        <v>1064.44</v>
      </c>
    </row>
    <row r="66" spans="1:10" ht="22.5" customHeight="1" x14ac:dyDescent="0.3">
      <c r="A66" s="23">
        <v>2</v>
      </c>
      <c r="B66" s="290" t="s">
        <v>495</v>
      </c>
      <c r="C66" s="25" t="s">
        <v>496</v>
      </c>
      <c r="D66" s="25"/>
      <c r="E66" s="41" t="s">
        <v>795</v>
      </c>
      <c r="F66" s="41"/>
      <c r="G66" s="387">
        <v>20595.900000000001</v>
      </c>
    </row>
    <row r="67" spans="1:10" s="60" customFormat="1" ht="22.5" customHeight="1" thickBot="1" x14ac:dyDescent="0.35">
      <c r="A67" s="362"/>
      <c r="B67" s="362" t="s">
        <v>15</v>
      </c>
      <c r="C67" s="455"/>
      <c r="D67" s="455"/>
      <c r="E67" s="362"/>
      <c r="F67" s="362"/>
      <c r="G67" s="364">
        <v>21660.34</v>
      </c>
      <c r="I67" s="683">
        <f>SUM(G65:G66)</f>
        <v>21660.34</v>
      </c>
    </row>
    <row r="68" spans="1:10" s="60" customFormat="1" ht="22.5" customHeight="1" thickTop="1" thickBot="1" x14ac:dyDescent="0.35">
      <c r="A68" s="459"/>
      <c r="B68" s="460" t="s">
        <v>497</v>
      </c>
      <c r="C68" s="461"/>
      <c r="D68" s="461"/>
      <c r="E68" s="462">
        <v>0</v>
      </c>
      <c r="F68" s="462"/>
      <c r="G68" s="462">
        <v>318009.08759999997</v>
      </c>
      <c r="J68" s="683">
        <f>SUM(I12:I67)</f>
        <v>318009.08999999997</v>
      </c>
    </row>
    <row r="69" spans="1:10" ht="22.5" customHeight="1" thickTop="1" x14ac:dyDescent="0.3">
      <c r="E69" s="3"/>
      <c r="F69" s="3"/>
      <c r="G69" s="472"/>
    </row>
    <row r="70" spans="1:10" ht="22.5" customHeight="1" x14ac:dyDescent="0.3">
      <c r="A70" s="1123" t="s">
        <v>498</v>
      </c>
      <c r="B70" s="1124"/>
      <c r="C70" s="1124"/>
      <c r="D70" s="1124"/>
      <c r="E70" s="1124"/>
      <c r="F70" s="1124"/>
      <c r="G70" s="1125"/>
      <c r="H70" s="2"/>
    </row>
    <row r="71" spans="1:10" ht="22.5" customHeight="1" x14ac:dyDescent="0.3">
      <c r="A71" s="115"/>
      <c r="B71" s="164" t="s">
        <v>499</v>
      </c>
      <c r="C71" s="165"/>
      <c r="D71" s="165"/>
      <c r="E71" s="117"/>
      <c r="F71" s="117"/>
      <c r="G71" s="370"/>
      <c r="H71" s="2"/>
    </row>
    <row r="72" spans="1:10" ht="22.5" customHeight="1" x14ac:dyDescent="0.3">
      <c r="A72" s="475">
        <v>1</v>
      </c>
      <c r="B72" s="476" t="s">
        <v>500</v>
      </c>
      <c r="C72" s="477" t="s">
        <v>501</v>
      </c>
      <c r="D72" s="477"/>
      <c r="E72" s="484"/>
      <c r="F72" s="484"/>
      <c r="G72" s="487">
        <v>325409.68</v>
      </c>
      <c r="H72" s="2" t="s">
        <v>502</v>
      </c>
    </row>
    <row r="73" spans="1:10" ht="22.5" customHeight="1" x14ac:dyDescent="0.3">
      <c r="A73" s="488"/>
      <c r="B73" s="489" t="s">
        <v>503</v>
      </c>
      <c r="C73" s="490"/>
      <c r="D73" s="490"/>
      <c r="E73" s="484"/>
      <c r="F73" s="892"/>
      <c r="G73" s="487"/>
      <c r="H73" s="2"/>
    </row>
    <row r="74" spans="1:10" ht="22.5" customHeight="1" x14ac:dyDescent="0.3">
      <c r="A74" s="475">
        <v>2</v>
      </c>
      <c r="B74" s="476" t="s">
        <v>504</v>
      </c>
      <c r="C74" s="477" t="s">
        <v>415</v>
      </c>
      <c r="D74" s="477"/>
      <c r="E74" s="484"/>
      <c r="F74" s="892"/>
      <c r="G74" s="497">
        <v>74600.88</v>
      </c>
      <c r="H74" s="2"/>
    </row>
    <row r="75" spans="1:10" ht="22.5" customHeight="1" x14ac:dyDescent="0.3">
      <c r="A75" s="475"/>
      <c r="B75" s="489" t="s">
        <v>505</v>
      </c>
      <c r="C75" s="498"/>
      <c r="D75" s="498"/>
      <c r="E75" s="484"/>
      <c r="F75" s="892"/>
      <c r="G75" s="497"/>
      <c r="H75" s="2"/>
    </row>
    <row r="76" spans="1:10" ht="22.5" customHeight="1" x14ac:dyDescent="0.3">
      <c r="A76" s="502">
        <v>3</v>
      </c>
      <c r="B76" s="503" t="s">
        <v>506</v>
      </c>
      <c r="C76" s="504" t="s">
        <v>507</v>
      </c>
      <c r="D76" s="504"/>
      <c r="E76" s="509"/>
      <c r="F76" s="893"/>
      <c r="G76" s="513">
        <v>32500</v>
      </c>
      <c r="H76" s="2"/>
    </row>
    <row r="77" spans="1:10" ht="22.5" customHeight="1" x14ac:dyDescent="0.3">
      <c r="A77" s="488"/>
      <c r="B77" s="489" t="s">
        <v>508</v>
      </c>
      <c r="C77" s="514"/>
      <c r="D77" s="514"/>
      <c r="E77" s="520"/>
      <c r="F77" s="520"/>
      <c r="G77" s="524"/>
    </row>
    <row r="78" spans="1:10" ht="22.5" customHeight="1" x14ac:dyDescent="0.3">
      <c r="A78" s="488">
        <v>4</v>
      </c>
      <c r="B78" s="525" t="s">
        <v>509</v>
      </c>
      <c r="C78" s="526" t="s">
        <v>510</v>
      </c>
      <c r="D78" s="526"/>
      <c r="E78" s="521"/>
      <c r="F78" s="529"/>
      <c r="G78" s="532">
        <v>796450.4</v>
      </c>
    </row>
    <row r="79" spans="1:10" ht="22.5" customHeight="1" x14ac:dyDescent="0.3">
      <c r="A79" s="533"/>
      <c r="B79" s="534" t="s">
        <v>509</v>
      </c>
      <c r="C79" s="535" t="s">
        <v>511</v>
      </c>
      <c r="D79" s="535"/>
      <c r="E79" s="543"/>
      <c r="F79" s="544"/>
      <c r="G79" s="547">
        <v>93330</v>
      </c>
    </row>
    <row r="80" spans="1:10" s="60" customFormat="1" ht="22.5" customHeight="1" thickBot="1" x14ac:dyDescent="0.35">
      <c r="A80" s="548"/>
      <c r="B80" s="548" t="s">
        <v>15</v>
      </c>
      <c r="C80" s="549"/>
      <c r="D80" s="549"/>
      <c r="E80" s="555"/>
      <c r="F80" s="555"/>
      <c r="G80" s="558">
        <v>1322290.96</v>
      </c>
      <c r="H80" s="59"/>
    </row>
    <row r="81" spans="1:10" ht="22.5" customHeight="1" thickTop="1" x14ac:dyDescent="0.3">
      <c r="A81" s="559"/>
      <c r="B81" s="560" t="s">
        <v>92</v>
      </c>
      <c r="C81" s="561"/>
      <c r="D81" s="561"/>
      <c r="E81" s="567"/>
      <c r="F81" s="567"/>
      <c r="G81" s="570"/>
      <c r="H81" s="2"/>
    </row>
    <row r="82" spans="1:10" ht="22.5" customHeight="1" x14ac:dyDescent="0.3">
      <c r="A82" s="23">
        <v>1</v>
      </c>
      <c r="B82" s="73" t="s">
        <v>512</v>
      </c>
      <c r="C82" s="25" t="s">
        <v>97</v>
      </c>
      <c r="D82" s="25"/>
      <c r="E82" s="41" t="s">
        <v>513</v>
      </c>
      <c r="F82" s="41"/>
      <c r="G82" s="36">
        <v>10499.9956</v>
      </c>
      <c r="H82" s="2"/>
    </row>
    <row r="83" spans="1:10" s="60" customFormat="1" ht="22.5" customHeight="1" thickBot="1" x14ac:dyDescent="0.35">
      <c r="A83" s="548"/>
      <c r="B83" s="548" t="s">
        <v>15</v>
      </c>
      <c r="C83" s="549"/>
      <c r="D83" s="549"/>
      <c r="E83" s="548"/>
      <c r="F83" s="548"/>
      <c r="G83" s="558">
        <v>10499.9956</v>
      </c>
      <c r="H83" s="59"/>
    </row>
    <row r="84" spans="1:10" s="60" customFormat="1" ht="22.5" customHeight="1" thickTop="1" thickBot="1" x14ac:dyDescent="0.35">
      <c r="A84" s="572"/>
      <c r="B84" s="572" t="s">
        <v>515</v>
      </c>
      <c r="C84" s="573"/>
      <c r="D84" s="573"/>
      <c r="E84" s="580"/>
      <c r="F84" s="580"/>
      <c r="G84" s="583">
        <v>1332790.9556</v>
      </c>
      <c r="H84" s="59"/>
    </row>
    <row r="85" spans="1:10" ht="22.5" customHeight="1" thickTop="1" x14ac:dyDescent="0.3">
      <c r="E85" s="470"/>
      <c r="F85" s="470"/>
      <c r="G85" s="472"/>
      <c r="H85" s="2"/>
    </row>
    <row r="86" spans="1:10" s="589" customFormat="1" ht="20.399999999999999" x14ac:dyDescent="0.5">
      <c r="A86" s="1126" t="s">
        <v>516</v>
      </c>
      <c r="B86" s="1127"/>
      <c r="C86" s="1127"/>
      <c r="D86" s="1127"/>
      <c r="E86" s="1127"/>
      <c r="F86" s="1127"/>
      <c r="G86" s="1127"/>
      <c r="H86" s="587"/>
      <c r="I86" s="587"/>
      <c r="J86" s="588"/>
    </row>
    <row r="87" spans="1:10" s="599" customFormat="1" x14ac:dyDescent="0.6">
      <c r="A87" s="590">
        <v>1</v>
      </c>
      <c r="B87" s="591" t="s">
        <v>517</v>
      </c>
      <c r="C87" s="591" t="s">
        <v>518</v>
      </c>
      <c r="D87" s="591"/>
      <c r="E87" s="598"/>
      <c r="F87" s="598"/>
      <c r="G87" s="595">
        <v>0</v>
      </c>
      <c r="J87" s="600"/>
    </row>
    <row r="88" spans="1:10" s="599" customFormat="1" x14ac:dyDescent="0.6">
      <c r="A88" s="601">
        <v>2</v>
      </c>
      <c r="B88" s="602" t="s">
        <v>519</v>
      </c>
      <c r="C88" s="602" t="s">
        <v>520</v>
      </c>
      <c r="D88" s="602"/>
      <c r="E88" s="604"/>
      <c r="F88" s="604"/>
      <c r="G88" s="609">
        <v>54000</v>
      </c>
      <c r="J88" s="600"/>
    </row>
    <row r="89" spans="1:10" s="599" customFormat="1" x14ac:dyDescent="0.6">
      <c r="A89" s="610">
        <v>3</v>
      </c>
      <c r="B89" s="611" t="s">
        <v>521</v>
      </c>
      <c r="C89" s="611" t="s">
        <v>522</v>
      </c>
      <c r="D89" s="611"/>
      <c r="E89" s="618"/>
      <c r="F89" s="618"/>
      <c r="G89" s="609">
        <v>0</v>
      </c>
      <c r="J89" s="600"/>
    </row>
    <row r="90" spans="1:10" s="599" customFormat="1" ht="24" thickBot="1" x14ac:dyDescent="0.65">
      <c r="A90" s="619"/>
      <c r="B90" s="620" t="s">
        <v>523</v>
      </c>
      <c r="C90" s="621"/>
      <c r="D90" s="621"/>
      <c r="E90" s="623"/>
      <c r="F90" s="623"/>
      <c r="G90" s="626">
        <v>54000</v>
      </c>
      <c r="H90" s="627">
        <v>2034140.3755999999</v>
      </c>
      <c r="J90" s="600"/>
    </row>
    <row r="91" spans="1:10" s="636" customFormat="1" ht="24" thickTop="1" x14ac:dyDescent="0.6">
      <c r="A91" s="628"/>
      <c r="B91" s="629"/>
      <c r="C91" s="630"/>
      <c r="D91" s="630"/>
      <c r="E91" s="632"/>
      <c r="F91" s="632"/>
      <c r="G91" s="635"/>
      <c r="J91" s="637"/>
    </row>
    <row r="92" spans="1:10" s="636" customFormat="1" x14ac:dyDescent="0.6">
      <c r="A92" s="1128" t="s">
        <v>524</v>
      </c>
      <c r="B92" s="1128"/>
      <c r="C92" s="1128"/>
      <c r="D92" s="1128"/>
      <c r="E92" s="1128"/>
      <c r="F92" s="1128"/>
      <c r="G92" s="1128"/>
      <c r="J92" s="637"/>
    </row>
    <row r="93" spans="1:10" s="599" customFormat="1" x14ac:dyDescent="0.6">
      <c r="A93" s="638">
        <v>1</v>
      </c>
      <c r="B93" s="639" t="s">
        <v>519</v>
      </c>
      <c r="C93" s="639" t="s">
        <v>518</v>
      </c>
      <c r="D93" s="639"/>
      <c r="E93" s="884" t="s">
        <v>1066</v>
      </c>
      <c r="F93" s="884"/>
      <c r="G93" s="643">
        <v>84000</v>
      </c>
      <c r="J93" s="600"/>
    </row>
    <row r="94" spans="1:10" s="599" customFormat="1" x14ac:dyDescent="0.6">
      <c r="A94" s="646">
        <v>2</v>
      </c>
      <c r="B94" s="647" t="s">
        <v>521</v>
      </c>
      <c r="C94" s="647" t="s">
        <v>522</v>
      </c>
      <c r="D94" s="647"/>
      <c r="E94" s="641" t="s">
        <v>1177</v>
      </c>
      <c r="F94" s="641" t="s">
        <v>33</v>
      </c>
      <c r="G94" s="643">
        <v>6917.6500000000015</v>
      </c>
      <c r="J94" s="600"/>
    </row>
    <row r="95" spans="1:10" s="599" customFormat="1" x14ac:dyDescent="0.6">
      <c r="A95" s="646"/>
      <c r="B95" s="653" t="s">
        <v>534</v>
      </c>
      <c r="C95" s="647"/>
      <c r="D95" s="647"/>
      <c r="E95" s="652"/>
      <c r="F95" s="652"/>
      <c r="G95" s="651"/>
      <c r="J95" s="600"/>
    </row>
    <row r="96" spans="1:10" s="599" customFormat="1" ht="24" thickBot="1" x14ac:dyDescent="0.65">
      <c r="A96" s="619"/>
      <c r="B96" s="620" t="s">
        <v>535</v>
      </c>
      <c r="C96" s="621"/>
      <c r="D96" s="621"/>
      <c r="E96" s="625"/>
      <c r="F96" s="625"/>
      <c r="G96" s="625">
        <v>90917.65</v>
      </c>
      <c r="J96" s="600"/>
    </row>
    <row r="97" spans="2:8" ht="22.5" customHeight="1" thickTop="1" x14ac:dyDescent="0.3">
      <c r="E97" s="470"/>
      <c r="F97" s="470"/>
      <c r="G97" s="472"/>
      <c r="H97" s="2"/>
    </row>
    <row r="98" spans="2:8" ht="22.5" customHeight="1" thickBot="1" x14ac:dyDescent="0.35">
      <c r="E98" s="470"/>
      <c r="F98" s="470"/>
      <c r="G98" s="658">
        <v>1795717.6931999999</v>
      </c>
      <c r="H98" s="2"/>
    </row>
    <row r="99" spans="2:8" ht="22.5" customHeight="1" thickTop="1" x14ac:dyDescent="0.5">
      <c r="B99" s="587" t="s">
        <v>537</v>
      </c>
      <c r="C99" s="587"/>
      <c r="D99" s="587"/>
      <c r="E99" s="3"/>
      <c r="F99" s="3"/>
      <c r="G99" s="472"/>
    </row>
    <row r="100" spans="2:8" x14ac:dyDescent="0.5">
      <c r="B100" s="1129" t="s">
        <v>538</v>
      </c>
      <c r="C100" s="1129"/>
      <c r="D100" s="907"/>
      <c r="E100" s="3"/>
      <c r="F100" s="3"/>
      <c r="G100" s="472"/>
    </row>
    <row r="101" spans="2:8" x14ac:dyDescent="0.5">
      <c r="B101" s="1129" t="s">
        <v>539</v>
      </c>
      <c r="C101" s="1129"/>
      <c r="D101" s="907"/>
      <c r="E101" s="3"/>
      <c r="F101" s="3"/>
      <c r="G101" s="472"/>
    </row>
    <row r="102" spans="2:8" x14ac:dyDescent="0.3">
      <c r="E102" s="3"/>
      <c r="F102" s="3"/>
      <c r="G102" s="472"/>
    </row>
    <row r="103" spans="2:8" x14ac:dyDescent="0.3">
      <c r="E103" s="3"/>
      <c r="F103" s="3"/>
      <c r="G103" s="472"/>
    </row>
    <row r="104" spans="2:8" x14ac:dyDescent="0.3">
      <c r="E104" s="3"/>
      <c r="F104" s="3"/>
      <c r="G104" s="472"/>
    </row>
    <row r="105" spans="2:8" x14ac:dyDescent="0.3">
      <c r="E105" s="3"/>
      <c r="F105" s="3"/>
      <c r="G105" s="472"/>
    </row>
    <row r="106" spans="2:8" x14ac:dyDescent="0.3">
      <c r="E106" s="3"/>
      <c r="F106" s="3"/>
      <c r="G106" s="472"/>
    </row>
    <row r="107" spans="2:8" x14ac:dyDescent="0.3">
      <c r="E107" s="3"/>
      <c r="F107" s="3"/>
      <c r="G107" s="472"/>
    </row>
    <row r="108" spans="2:8" x14ac:dyDescent="0.3">
      <c r="E108" s="3"/>
      <c r="F108" s="3"/>
      <c r="G108" s="472"/>
    </row>
  </sheetData>
  <mergeCells count="13">
    <mergeCell ref="A70:G70"/>
    <mergeCell ref="A86:G86"/>
    <mergeCell ref="A92:G92"/>
    <mergeCell ref="B100:C100"/>
    <mergeCell ref="B101:C101"/>
    <mergeCell ref="E5:E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2356-EA25-4163-A3FB-91A1346E776D}">
  <sheetPr>
    <tabColor rgb="FF00B0F0"/>
  </sheetPr>
  <dimension ref="A1:I103"/>
  <sheetViews>
    <sheetView zoomScale="70" zoomScaleNormal="70" workbookViewId="0">
      <pane ySplit="6" topLeftCell="A64" activePane="bottomLeft" state="frozen"/>
      <selection pane="bottomLeft" activeCell="B76" sqref="B76:B77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5546875" style="662" customWidth="1"/>
    <col min="5" max="5" width="5.77734375" style="662" customWidth="1"/>
    <col min="6" max="6" width="16.5546875" style="665" customWidth="1"/>
    <col min="7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7" ht="22.5" customHeight="1" x14ac:dyDescent="0.3">
      <c r="A3" s="1110" t="s">
        <v>1065</v>
      </c>
      <c r="B3" s="1111"/>
      <c r="C3" s="1111"/>
      <c r="D3" s="1111"/>
      <c r="E3" s="1111"/>
      <c r="F3" s="1111"/>
      <c r="G3" s="2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19"/>
      <c r="F4" s="1120"/>
      <c r="G4" s="2"/>
    </row>
    <row r="5" spans="1:7" ht="22.5" customHeight="1" x14ac:dyDescent="0.3">
      <c r="A5" s="1113"/>
      <c r="B5" s="1113"/>
      <c r="C5" s="1116"/>
      <c r="D5" s="1121" t="s">
        <v>10</v>
      </c>
      <c r="E5" s="882"/>
      <c r="F5" s="667"/>
      <c r="G5" s="2"/>
    </row>
    <row r="6" spans="1:7" ht="22.5" customHeight="1" x14ac:dyDescent="0.3">
      <c r="A6" s="1114"/>
      <c r="B6" s="1114"/>
      <c r="C6" s="1117"/>
      <c r="D6" s="1122"/>
      <c r="E6" s="883" t="s">
        <v>937</v>
      </c>
      <c r="F6" s="10" t="s">
        <v>15</v>
      </c>
      <c r="G6" s="2"/>
    </row>
    <row r="7" spans="1:7" ht="22.5" customHeight="1" x14ac:dyDescent="0.3">
      <c r="A7" s="4"/>
      <c r="B7" s="115" t="s">
        <v>677</v>
      </c>
      <c r="C7" s="668"/>
      <c r="D7" s="784"/>
      <c r="E7" s="784"/>
      <c r="F7" s="173"/>
      <c r="G7" s="2"/>
    </row>
    <row r="8" spans="1:7" ht="22.5" customHeight="1" x14ac:dyDescent="0.3">
      <c r="A8" s="23">
        <v>1</v>
      </c>
      <c r="B8" s="73" t="s">
        <v>45</v>
      </c>
      <c r="C8" s="25" t="s">
        <v>46</v>
      </c>
      <c r="D8" s="33">
        <v>25235</v>
      </c>
      <c r="E8" s="747" t="s">
        <v>33</v>
      </c>
      <c r="F8" s="36">
        <v>1444.4999999999998</v>
      </c>
      <c r="G8" s="2"/>
    </row>
    <row r="9" spans="1:7" ht="22.5" customHeight="1" x14ac:dyDescent="0.3">
      <c r="A9" s="23">
        <v>2</v>
      </c>
      <c r="B9" s="73" t="s">
        <v>48</v>
      </c>
      <c r="C9" s="25" t="s">
        <v>49</v>
      </c>
      <c r="D9" s="33">
        <v>25235</v>
      </c>
      <c r="E9" s="747" t="s">
        <v>33</v>
      </c>
      <c r="F9" s="36">
        <v>3129.7499999999986</v>
      </c>
      <c r="G9" s="2"/>
    </row>
    <row r="10" spans="1:7" ht="22.5" customHeight="1" x14ac:dyDescent="0.3">
      <c r="A10" s="23">
        <v>3</v>
      </c>
      <c r="B10" s="73" t="s">
        <v>51</v>
      </c>
      <c r="C10" s="25" t="s">
        <v>52</v>
      </c>
      <c r="D10" s="33">
        <v>25235</v>
      </c>
      <c r="E10" s="747" t="s">
        <v>33</v>
      </c>
      <c r="F10" s="36">
        <v>4622.4000000000033</v>
      </c>
      <c r="G10" s="2"/>
    </row>
    <row r="11" spans="1:7" ht="22.5" customHeight="1" x14ac:dyDescent="0.3">
      <c r="A11" s="23">
        <v>4</v>
      </c>
      <c r="B11" s="78" t="s">
        <v>54</v>
      </c>
      <c r="C11" s="25" t="s">
        <v>55</v>
      </c>
      <c r="D11" s="33">
        <v>25235</v>
      </c>
      <c r="E11" s="747" t="s">
        <v>33</v>
      </c>
      <c r="F11" s="36">
        <v>1733.4</v>
      </c>
      <c r="G11" s="2"/>
    </row>
    <row r="12" spans="1:7" ht="22.5" customHeight="1" x14ac:dyDescent="0.5">
      <c r="A12" s="23">
        <v>5</v>
      </c>
      <c r="B12" s="73" t="s">
        <v>96</v>
      </c>
      <c r="C12" s="25" t="s">
        <v>97</v>
      </c>
      <c r="D12" s="215">
        <v>25235</v>
      </c>
      <c r="E12" s="215" t="s">
        <v>33</v>
      </c>
      <c r="F12" s="217">
        <v>5874.2999999999965</v>
      </c>
      <c r="G12" s="2"/>
    </row>
    <row r="13" spans="1:7" ht="22.5" customHeight="1" x14ac:dyDescent="0.5">
      <c r="A13" s="23">
        <v>6</v>
      </c>
      <c r="B13" s="73" t="s">
        <v>99</v>
      </c>
      <c r="C13" s="25" t="s">
        <v>100</v>
      </c>
      <c r="D13" s="215">
        <v>25235</v>
      </c>
      <c r="E13" s="215" t="s">
        <v>33</v>
      </c>
      <c r="F13" s="217">
        <v>4194.3999999999987</v>
      </c>
      <c r="G13" s="2"/>
    </row>
    <row r="14" spans="1:7" ht="22.5" customHeight="1" x14ac:dyDescent="0.5">
      <c r="A14" s="23">
        <v>7</v>
      </c>
      <c r="B14" s="24" t="s">
        <v>102</v>
      </c>
      <c r="C14" s="222" t="s">
        <v>100</v>
      </c>
      <c r="D14" s="215">
        <v>25235</v>
      </c>
      <c r="E14" s="215" t="s">
        <v>33</v>
      </c>
      <c r="F14" s="217">
        <v>224.7</v>
      </c>
      <c r="G14" s="2"/>
    </row>
    <row r="15" spans="1:7" ht="22.5" customHeight="1" x14ac:dyDescent="0.5">
      <c r="A15" s="23">
        <v>8</v>
      </c>
      <c r="B15" s="73" t="s">
        <v>104</v>
      </c>
      <c r="C15" s="25" t="s">
        <v>97</v>
      </c>
      <c r="D15" s="215">
        <v>25235</v>
      </c>
      <c r="E15" s="215" t="s">
        <v>33</v>
      </c>
      <c r="F15" s="217">
        <v>15001.4</v>
      </c>
      <c r="G15" s="2"/>
    </row>
    <row r="16" spans="1:7" ht="22.5" customHeight="1" x14ac:dyDescent="0.5">
      <c r="A16" s="23">
        <v>9</v>
      </c>
      <c r="B16" s="73" t="s">
        <v>105</v>
      </c>
      <c r="C16" s="25" t="s">
        <v>97</v>
      </c>
      <c r="D16" s="215">
        <v>25235</v>
      </c>
      <c r="E16" s="215" t="s">
        <v>33</v>
      </c>
      <c r="F16" s="217">
        <v>10582.300000000007</v>
      </c>
      <c r="G16" s="2"/>
    </row>
    <row r="17" spans="1:7" ht="22.5" customHeight="1" x14ac:dyDescent="0.5">
      <c r="A17" s="23">
        <v>10</v>
      </c>
      <c r="B17" s="73" t="s">
        <v>107</v>
      </c>
      <c r="C17" s="25" t="s">
        <v>97</v>
      </c>
      <c r="D17" s="215">
        <v>25235</v>
      </c>
      <c r="E17" s="215" t="s">
        <v>33</v>
      </c>
      <c r="F17" s="217">
        <v>535</v>
      </c>
      <c r="G17" s="2" t="s">
        <v>832</v>
      </c>
    </row>
    <row r="18" spans="1:7" ht="22.5" customHeight="1" x14ac:dyDescent="0.5">
      <c r="A18" s="23">
        <v>11</v>
      </c>
      <c r="B18" s="209" t="s">
        <v>109</v>
      </c>
      <c r="C18" s="210" t="s">
        <v>97</v>
      </c>
      <c r="D18" s="215">
        <v>25235</v>
      </c>
      <c r="E18" s="215" t="s">
        <v>33</v>
      </c>
      <c r="F18" s="217">
        <v>39162</v>
      </c>
      <c r="G18" s="218"/>
    </row>
    <row r="19" spans="1:7" ht="22.5" customHeight="1" x14ac:dyDescent="0.5">
      <c r="A19" s="23">
        <v>12</v>
      </c>
      <c r="B19" s="73" t="s">
        <v>112</v>
      </c>
      <c r="C19" s="25" t="s">
        <v>113</v>
      </c>
      <c r="D19" s="215">
        <v>25235</v>
      </c>
      <c r="E19" s="215" t="s">
        <v>33</v>
      </c>
      <c r="F19" s="217">
        <v>1968.8000000000006</v>
      </c>
      <c r="G19" s="2"/>
    </row>
    <row r="20" spans="1:7" ht="22.5" customHeight="1" x14ac:dyDescent="0.5">
      <c r="A20" s="23">
        <v>13</v>
      </c>
      <c r="B20" s="73" t="s">
        <v>116</v>
      </c>
      <c r="C20" s="25" t="s">
        <v>113</v>
      </c>
      <c r="D20" s="215">
        <v>25235</v>
      </c>
      <c r="E20" s="215" t="s">
        <v>33</v>
      </c>
      <c r="F20" s="217">
        <v>1829.7000000000025</v>
      </c>
      <c r="G20" s="2"/>
    </row>
    <row r="21" spans="1:7" ht="22.5" customHeight="1" x14ac:dyDescent="0.5">
      <c r="A21" s="23">
        <v>14</v>
      </c>
      <c r="B21" s="73" t="s">
        <v>117</v>
      </c>
      <c r="C21" s="25" t="s">
        <v>118</v>
      </c>
      <c r="D21" s="215">
        <v>25235</v>
      </c>
      <c r="E21" s="215" t="s">
        <v>33</v>
      </c>
      <c r="F21" s="217">
        <v>845.3</v>
      </c>
      <c r="G21" s="2"/>
    </row>
    <row r="22" spans="1:7" ht="22.5" customHeight="1" x14ac:dyDescent="0.5">
      <c r="A22" s="23">
        <v>15</v>
      </c>
      <c r="B22" s="73" t="s">
        <v>120</v>
      </c>
      <c r="C22" s="25" t="s">
        <v>118</v>
      </c>
      <c r="D22" s="215">
        <v>25235</v>
      </c>
      <c r="E22" s="215" t="s">
        <v>33</v>
      </c>
      <c r="F22" s="217">
        <v>5392.8000000000011</v>
      </c>
      <c r="G22" s="2"/>
    </row>
    <row r="23" spans="1:7" ht="22.5" customHeight="1" x14ac:dyDescent="0.5">
      <c r="A23" s="23">
        <v>16</v>
      </c>
      <c r="B23" s="73" t="s">
        <v>121</v>
      </c>
      <c r="C23" s="83" t="s">
        <v>122</v>
      </c>
      <c r="D23" s="215">
        <v>25235</v>
      </c>
      <c r="E23" s="215" t="s">
        <v>33</v>
      </c>
      <c r="F23" s="217">
        <v>6462.7999999999984</v>
      </c>
      <c r="G23" s="223"/>
    </row>
    <row r="24" spans="1:7" ht="22.5" customHeight="1" x14ac:dyDescent="0.5">
      <c r="A24" s="23">
        <v>17</v>
      </c>
      <c r="B24" s="73" t="s">
        <v>121</v>
      </c>
      <c r="C24" s="83" t="s">
        <v>122</v>
      </c>
      <c r="D24" s="215">
        <v>25235</v>
      </c>
      <c r="E24" s="215" t="s">
        <v>33</v>
      </c>
      <c r="F24" s="217">
        <v>2792.7</v>
      </c>
      <c r="G24" s="223"/>
    </row>
    <row r="25" spans="1:7" ht="22.5" customHeight="1" x14ac:dyDescent="0.5">
      <c r="A25" s="23">
        <v>18</v>
      </c>
      <c r="B25" s="73" t="s">
        <v>124</v>
      </c>
      <c r="C25" s="83" t="s">
        <v>125</v>
      </c>
      <c r="D25" s="215">
        <v>25235</v>
      </c>
      <c r="E25" s="215" t="s">
        <v>33</v>
      </c>
      <c r="F25" s="217">
        <v>4504.7000000000007</v>
      </c>
      <c r="G25" s="2"/>
    </row>
    <row r="26" spans="1:7" ht="22.5" customHeight="1" x14ac:dyDescent="0.5">
      <c r="A26" s="23">
        <v>19</v>
      </c>
      <c r="B26" s="78" t="s">
        <v>129</v>
      </c>
      <c r="C26" s="210" t="s">
        <v>130</v>
      </c>
      <c r="D26" s="215">
        <v>25235</v>
      </c>
      <c r="E26" s="215" t="s">
        <v>33</v>
      </c>
      <c r="F26" s="217">
        <v>3659.3999999999996</v>
      </c>
      <c r="G26" s="2"/>
    </row>
    <row r="27" spans="1:7" ht="22.5" customHeight="1" x14ac:dyDescent="0.5">
      <c r="A27" s="23">
        <v>20</v>
      </c>
      <c r="B27" s="78" t="s">
        <v>132</v>
      </c>
      <c r="C27" s="210" t="s">
        <v>130</v>
      </c>
      <c r="D27" s="215">
        <v>25235</v>
      </c>
      <c r="E27" s="215" t="s">
        <v>33</v>
      </c>
      <c r="F27" s="217">
        <v>10967.499999999991</v>
      </c>
      <c r="G27" s="2"/>
    </row>
    <row r="28" spans="1:7" s="229" customFormat="1" ht="22.5" customHeight="1" x14ac:dyDescent="0.5">
      <c r="A28" s="23">
        <v>21</v>
      </c>
      <c r="B28" s="226" t="s">
        <v>137</v>
      </c>
      <c r="C28" s="227"/>
      <c r="D28" s="215">
        <v>25235</v>
      </c>
      <c r="E28" s="215" t="s">
        <v>33</v>
      </c>
      <c r="F28" s="217">
        <v>3648.7</v>
      </c>
      <c r="G28" s="47"/>
    </row>
    <row r="29" spans="1:7" ht="22.5" customHeight="1" x14ac:dyDescent="0.5">
      <c r="A29" s="23">
        <v>22</v>
      </c>
      <c r="B29" s="78" t="s">
        <v>54</v>
      </c>
      <c r="C29" s="81" t="s">
        <v>55</v>
      </c>
      <c r="D29" s="215">
        <v>25235</v>
      </c>
      <c r="E29" s="215" t="s">
        <v>33</v>
      </c>
      <c r="F29" s="217">
        <v>13000.5</v>
      </c>
      <c r="G29" s="2"/>
    </row>
    <row r="30" spans="1:7" ht="22.5" customHeight="1" x14ac:dyDescent="0.5">
      <c r="A30" s="23">
        <v>23</v>
      </c>
      <c r="B30" s="240" t="s">
        <v>168</v>
      </c>
      <c r="C30" s="83" t="s">
        <v>169</v>
      </c>
      <c r="D30" s="215">
        <v>25235</v>
      </c>
      <c r="E30" s="215" t="s">
        <v>33</v>
      </c>
      <c r="F30" s="217">
        <v>1070</v>
      </c>
      <c r="G30" s="2"/>
    </row>
    <row r="31" spans="1:7" ht="22.5" customHeight="1" x14ac:dyDescent="0.5">
      <c r="A31" s="23">
        <v>24</v>
      </c>
      <c r="B31" s="243" t="s">
        <v>175</v>
      </c>
      <c r="C31" s="244" t="s">
        <v>176</v>
      </c>
      <c r="D31" s="215">
        <v>25235</v>
      </c>
      <c r="E31" s="215" t="s">
        <v>33</v>
      </c>
      <c r="F31" s="217">
        <v>3156.4999999999991</v>
      </c>
      <c r="G31" s="2"/>
    </row>
    <row r="32" spans="1:7" ht="22.5" customHeight="1" x14ac:dyDescent="0.5">
      <c r="A32" s="23">
        <v>25</v>
      </c>
      <c r="B32" s="209" t="s">
        <v>191</v>
      </c>
      <c r="C32" s="210" t="s">
        <v>190</v>
      </c>
      <c r="D32" s="215">
        <v>25235</v>
      </c>
      <c r="E32" s="215" t="s">
        <v>33</v>
      </c>
      <c r="F32" s="217">
        <v>8132.0000000000018</v>
      </c>
      <c r="G32" s="2"/>
    </row>
    <row r="33" spans="1:7" ht="22.5" customHeight="1" x14ac:dyDescent="0.5">
      <c r="A33" s="23">
        <v>26</v>
      </c>
      <c r="B33" s="209" t="s">
        <v>193</v>
      </c>
      <c r="C33" s="210" t="s">
        <v>194</v>
      </c>
      <c r="D33" s="215">
        <v>25235</v>
      </c>
      <c r="E33" s="215" t="s">
        <v>33</v>
      </c>
      <c r="F33" s="217">
        <v>749.00000000000023</v>
      </c>
      <c r="G33" s="2"/>
    </row>
    <row r="34" spans="1:7" ht="22.5" customHeight="1" x14ac:dyDescent="0.5">
      <c r="A34" s="23">
        <v>27</v>
      </c>
      <c r="B34" s="209" t="s">
        <v>198</v>
      </c>
      <c r="C34" s="210" t="s">
        <v>567</v>
      </c>
      <c r="D34" s="215">
        <v>25235</v>
      </c>
      <c r="E34" s="215" t="s">
        <v>33</v>
      </c>
      <c r="F34" s="217">
        <v>952.3</v>
      </c>
      <c r="G34" s="2"/>
    </row>
    <row r="35" spans="1:7" ht="22.5" customHeight="1" x14ac:dyDescent="0.5">
      <c r="A35" s="23">
        <v>28</v>
      </c>
      <c r="B35" s="209" t="s">
        <v>200</v>
      </c>
      <c r="C35" s="210" t="s">
        <v>201</v>
      </c>
      <c r="D35" s="215">
        <v>25204</v>
      </c>
      <c r="E35" s="215" t="s">
        <v>33</v>
      </c>
      <c r="F35" s="217">
        <v>12518.999999999996</v>
      </c>
      <c r="G35" s="2"/>
    </row>
    <row r="36" spans="1:7" ht="22.5" customHeight="1" x14ac:dyDescent="0.5">
      <c r="A36" s="23">
        <v>29</v>
      </c>
      <c r="B36" s="209" t="s">
        <v>210</v>
      </c>
      <c r="C36" s="210" t="s">
        <v>211</v>
      </c>
      <c r="D36" s="215">
        <v>25235</v>
      </c>
      <c r="E36" s="215" t="s">
        <v>33</v>
      </c>
      <c r="F36" s="217">
        <v>8731.2000000000025</v>
      </c>
      <c r="G36" s="2"/>
    </row>
    <row r="37" spans="1:7" ht="22.5" customHeight="1" x14ac:dyDescent="0.5">
      <c r="A37" s="23">
        <v>30</v>
      </c>
      <c r="B37" s="209" t="s">
        <v>217</v>
      </c>
      <c r="C37" s="210" t="s">
        <v>218</v>
      </c>
      <c r="D37" s="215">
        <v>25235</v>
      </c>
      <c r="E37" s="215" t="s">
        <v>33</v>
      </c>
      <c r="F37" s="217">
        <v>2022.3</v>
      </c>
      <c r="G37" s="2"/>
    </row>
    <row r="38" spans="1:7" ht="22.5" customHeight="1" x14ac:dyDescent="0.5">
      <c r="A38" s="23">
        <v>31</v>
      </c>
      <c r="B38" s="736" t="s">
        <v>224</v>
      </c>
      <c r="C38" s="736" t="s">
        <v>225</v>
      </c>
      <c r="D38" s="239">
        <v>25235</v>
      </c>
      <c r="E38" s="239" t="s">
        <v>33</v>
      </c>
      <c r="F38" s="217">
        <v>353.1</v>
      </c>
      <c r="G38" s="2"/>
    </row>
    <row r="39" spans="1:7" ht="22.5" customHeight="1" x14ac:dyDescent="0.5">
      <c r="A39" s="23">
        <v>32</v>
      </c>
      <c r="B39" s="916" t="s">
        <v>226</v>
      </c>
      <c r="C39" s="916" t="s">
        <v>227</v>
      </c>
      <c r="D39" s="239">
        <v>25235</v>
      </c>
      <c r="E39" s="239" t="s">
        <v>33</v>
      </c>
      <c r="F39" s="217">
        <v>3584.5</v>
      </c>
      <c r="G39" s="2"/>
    </row>
    <row r="40" spans="1:7" ht="22.5" customHeight="1" x14ac:dyDescent="0.5">
      <c r="A40" s="23">
        <v>33</v>
      </c>
      <c r="B40" s="261" t="s">
        <v>229</v>
      </c>
      <c r="C40" s="261" t="s">
        <v>230</v>
      </c>
      <c r="D40" s="215">
        <v>25235</v>
      </c>
      <c r="E40" s="215" t="s">
        <v>33</v>
      </c>
      <c r="F40" s="217">
        <v>8870.2999999999993</v>
      </c>
      <c r="G40" s="2"/>
    </row>
    <row r="41" spans="1:7" ht="22.5" customHeight="1" x14ac:dyDescent="0.5">
      <c r="A41" s="23">
        <v>34</v>
      </c>
      <c r="B41" s="189" t="s">
        <v>240</v>
      </c>
      <c r="C41" s="176" t="s">
        <v>241</v>
      </c>
      <c r="D41" s="297" t="s">
        <v>1153</v>
      </c>
      <c r="E41" s="297" t="s">
        <v>33</v>
      </c>
      <c r="F41" s="36">
        <v>15750</v>
      </c>
      <c r="G41" s="2"/>
    </row>
    <row r="42" spans="1:7" ht="22.5" customHeight="1" x14ac:dyDescent="0.5">
      <c r="A42" s="23">
        <v>35</v>
      </c>
      <c r="B42" s="189" t="s">
        <v>240</v>
      </c>
      <c r="C42" s="176" t="s">
        <v>242</v>
      </c>
      <c r="D42" s="260" t="s">
        <v>1153</v>
      </c>
      <c r="E42" s="260" t="s">
        <v>33</v>
      </c>
      <c r="F42" s="36">
        <v>6300</v>
      </c>
      <c r="G42" s="2"/>
    </row>
    <row r="43" spans="1:7" ht="22.5" customHeight="1" x14ac:dyDescent="0.5">
      <c r="A43" s="23">
        <v>36</v>
      </c>
      <c r="B43" s="209" t="s">
        <v>250</v>
      </c>
      <c r="C43" s="210" t="s">
        <v>251</v>
      </c>
      <c r="D43" s="215" t="s">
        <v>1153</v>
      </c>
      <c r="E43" s="215" t="s">
        <v>33</v>
      </c>
      <c r="F43" s="36">
        <v>6300</v>
      </c>
      <c r="G43" s="2"/>
    </row>
    <row r="44" spans="1:7" ht="22.5" customHeight="1" x14ac:dyDescent="0.5">
      <c r="A44" s="23">
        <v>37</v>
      </c>
      <c r="B44" s="73" t="s">
        <v>281</v>
      </c>
      <c r="C44" s="25" t="s">
        <v>282</v>
      </c>
      <c r="D44" s="215" t="s">
        <v>1153</v>
      </c>
      <c r="E44" s="215" t="s">
        <v>33</v>
      </c>
      <c r="F44" s="36">
        <v>5600</v>
      </c>
      <c r="G44" s="2"/>
    </row>
    <row r="45" spans="1:7" ht="22.5" customHeight="1" x14ac:dyDescent="0.5">
      <c r="A45" s="23">
        <v>38</v>
      </c>
      <c r="B45" s="73" t="s">
        <v>287</v>
      </c>
      <c r="C45" s="25" t="s">
        <v>288</v>
      </c>
      <c r="D45" s="215" t="s">
        <v>1153</v>
      </c>
      <c r="E45" s="215" t="s">
        <v>33</v>
      </c>
      <c r="F45" s="36">
        <v>5600</v>
      </c>
      <c r="G45" s="2"/>
    </row>
    <row r="46" spans="1:7" ht="22.5" customHeight="1" x14ac:dyDescent="0.5">
      <c r="A46" s="23">
        <v>39</v>
      </c>
      <c r="B46" s="73" t="s">
        <v>296</v>
      </c>
      <c r="C46" s="25" t="s">
        <v>297</v>
      </c>
      <c r="D46" s="297" t="s">
        <v>1153</v>
      </c>
      <c r="E46" s="297" t="s">
        <v>33</v>
      </c>
      <c r="F46" s="36">
        <v>5600</v>
      </c>
      <c r="G46" s="218"/>
    </row>
    <row r="47" spans="1:7" ht="22.5" customHeight="1" x14ac:dyDescent="0.5">
      <c r="A47" s="23">
        <v>40</v>
      </c>
      <c r="B47" s="209" t="s">
        <v>300</v>
      </c>
      <c r="C47" s="210" t="s">
        <v>301</v>
      </c>
      <c r="D47" s="215" t="s">
        <v>1153</v>
      </c>
      <c r="E47" s="215" t="s">
        <v>33</v>
      </c>
      <c r="F47" s="36">
        <v>5600</v>
      </c>
      <c r="G47" s="2"/>
    </row>
    <row r="48" spans="1:7" ht="22.5" customHeight="1" x14ac:dyDescent="0.5">
      <c r="A48" s="23">
        <v>41</v>
      </c>
      <c r="B48" s="209" t="s">
        <v>306</v>
      </c>
      <c r="C48" s="210" t="s">
        <v>307</v>
      </c>
      <c r="D48" s="215" t="s">
        <v>1153</v>
      </c>
      <c r="E48" s="215" t="s">
        <v>33</v>
      </c>
      <c r="F48" s="36">
        <v>5600</v>
      </c>
      <c r="G48" s="2"/>
    </row>
    <row r="49" spans="1:9" ht="22.5" customHeight="1" x14ac:dyDescent="0.5">
      <c r="A49" s="23">
        <v>42</v>
      </c>
      <c r="B49" s="290" t="s">
        <v>355</v>
      </c>
      <c r="C49" s="371" t="s">
        <v>356</v>
      </c>
      <c r="D49" s="215">
        <v>25235</v>
      </c>
      <c r="E49" s="215" t="s">
        <v>33</v>
      </c>
      <c r="F49" s="36">
        <v>9400</v>
      </c>
      <c r="G49" s="2"/>
    </row>
    <row r="50" spans="1:9" ht="22.5" customHeight="1" x14ac:dyDescent="0.5">
      <c r="A50" s="23">
        <v>43</v>
      </c>
      <c r="B50" s="290" t="s">
        <v>358</v>
      </c>
      <c r="C50" s="371" t="s">
        <v>356</v>
      </c>
      <c r="D50" s="215">
        <v>25235</v>
      </c>
      <c r="E50" s="215" t="s">
        <v>33</v>
      </c>
      <c r="F50" s="36">
        <v>9810</v>
      </c>
      <c r="G50" s="2"/>
    </row>
    <row r="51" spans="1:9" ht="22.5" customHeight="1" x14ac:dyDescent="0.5">
      <c r="A51" s="23">
        <v>44</v>
      </c>
      <c r="B51" s="374" t="s">
        <v>389</v>
      </c>
      <c r="C51" s="81" t="s">
        <v>390</v>
      </c>
      <c r="D51" s="239">
        <v>25235</v>
      </c>
      <c r="E51" s="239" t="s">
        <v>33</v>
      </c>
      <c r="F51" s="830">
        <v>3150</v>
      </c>
      <c r="G51" s="218"/>
      <c r="H51" s="309"/>
    </row>
    <row r="52" spans="1:9" ht="22.5" customHeight="1" thickBot="1" x14ac:dyDescent="0.55000000000000004">
      <c r="A52" s="833"/>
      <c r="B52" s="834"/>
      <c r="C52" s="835"/>
      <c r="D52" s="781"/>
      <c r="E52" s="781"/>
      <c r="F52" s="836">
        <f>SUM(F8:F51)</f>
        <v>270427.25</v>
      </c>
      <c r="G52" s="218"/>
      <c r="H52" s="309"/>
    </row>
    <row r="53" spans="1:9" ht="22.5" customHeight="1" thickTop="1" x14ac:dyDescent="0.5">
      <c r="A53" s="391"/>
      <c r="B53" s="61" t="s">
        <v>676</v>
      </c>
      <c r="C53" s="63"/>
      <c r="D53" s="831"/>
      <c r="E53" s="831"/>
      <c r="F53" s="387"/>
      <c r="G53" s="218"/>
      <c r="H53" s="309"/>
    </row>
    <row r="54" spans="1:9" ht="22.5" customHeight="1" x14ac:dyDescent="0.5">
      <c r="A54" s="837">
        <v>1</v>
      </c>
      <c r="B54" s="240" t="s">
        <v>162</v>
      </c>
      <c r="C54" s="83" t="s">
        <v>163</v>
      </c>
      <c r="D54" s="239" t="s">
        <v>1105</v>
      </c>
      <c r="E54" s="239" t="s">
        <v>115</v>
      </c>
      <c r="F54" s="761">
        <v>8592.0999999999967</v>
      </c>
    </row>
    <row r="55" spans="1:9" ht="22.5" customHeight="1" thickBot="1" x14ac:dyDescent="0.55000000000000004">
      <c r="A55" s="833"/>
      <c r="B55" s="785"/>
      <c r="C55" s="786"/>
      <c r="D55" s="781"/>
      <c r="E55" s="781"/>
      <c r="F55" s="789">
        <f>SUM(F54)</f>
        <v>8592.0999999999967</v>
      </c>
    </row>
    <row r="56" spans="1:9" ht="22.5" customHeight="1" thickTop="1" x14ac:dyDescent="0.5">
      <c r="A56" s="391"/>
      <c r="B56" s="253" t="s">
        <v>1179</v>
      </c>
      <c r="C56" s="238"/>
      <c r="D56" s="831"/>
      <c r="E56" s="831"/>
      <c r="F56" s="751"/>
    </row>
    <row r="57" spans="1:9" ht="22.5" customHeight="1" x14ac:dyDescent="0.5">
      <c r="A57" s="23">
        <v>1</v>
      </c>
      <c r="B57" s="78" t="s">
        <v>248</v>
      </c>
      <c r="C57" s="81" t="s">
        <v>249</v>
      </c>
      <c r="D57" s="215" t="s">
        <v>1105</v>
      </c>
      <c r="E57" s="215" t="s">
        <v>115</v>
      </c>
      <c r="F57" s="36">
        <v>12600</v>
      </c>
    </row>
    <row r="58" spans="1:9" ht="22.5" customHeight="1" x14ac:dyDescent="0.5">
      <c r="A58" s="837">
        <v>2</v>
      </c>
      <c r="B58" s="240" t="s">
        <v>208</v>
      </c>
      <c r="C58" s="83"/>
      <c r="D58" s="239" t="s">
        <v>1122</v>
      </c>
      <c r="E58" s="239" t="s">
        <v>284</v>
      </c>
      <c r="F58" s="761">
        <v>4729.3999999999978</v>
      </c>
    </row>
    <row r="59" spans="1:9" ht="22.5" customHeight="1" thickBot="1" x14ac:dyDescent="0.55000000000000004">
      <c r="A59" s="833"/>
      <c r="B59" s="785"/>
      <c r="C59" s="786"/>
      <c r="D59" s="847"/>
      <c r="E59" s="847"/>
      <c r="F59" s="789">
        <f>SUM(F57:F58)</f>
        <v>17329.399999999998</v>
      </c>
    </row>
    <row r="60" spans="1:9" ht="22.5" customHeight="1" thickTop="1" x14ac:dyDescent="0.5">
      <c r="A60" s="391"/>
      <c r="B60" s="768" t="s">
        <v>1180</v>
      </c>
      <c r="C60" s="743"/>
      <c r="D60" s="675"/>
      <c r="E60" s="675"/>
      <c r="F60" s="751"/>
    </row>
    <row r="61" spans="1:9" ht="22.5" customHeight="1" x14ac:dyDescent="0.3">
      <c r="A61" s="61">
        <v>1</v>
      </c>
      <c r="B61" s="290" t="s">
        <v>463</v>
      </c>
      <c r="C61" s="63" t="s">
        <v>464</v>
      </c>
      <c r="D61" s="69" t="s">
        <v>795</v>
      </c>
      <c r="E61" s="69"/>
      <c r="F61" s="387">
        <v>1064.44</v>
      </c>
    </row>
    <row r="62" spans="1:9" ht="22.5" customHeight="1" thickBot="1" x14ac:dyDescent="0.35">
      <c r="A62" s="23">
        <v>2</v>
      </c>
      <c r="B62" s="290" t="s">
        <v>495</v>
      </c>
      <c r="C62" s="25" t="s">
        <v>496</v>
      </c>
      <c r="D62" s="41" t="s">
        <v>795</v>
      </c>
      <c r="E62" s="41"/>
      <c r="F62" s="387">
        <v>20595.900000000001</v>
      </c>
    </row>
    <row r="63" spans="1:9" s="60" customFormat="1" ht="22.5" customHeight="1" thickTop="1" thickBot="1" x14ac:dyDescent="0.35">
      <c r="A63" s="917"/>
      <c r="B63" s="918"/>
      <c r="C63" s="919"/>
      <c r="D63" s="920">
        <v>0</v>
      </c>
      <c r="E63" s="920"/>
      <c r="F63" s="920">
        <f>SUM(F61:F62)</f>
        <v>21660.34</v>
      </c>
      <c r="I63" s="683">
        <v>318009.08999999997</v>
      </c>
    </row>
    <row r="64" spans="1:9" ht="22.5" customHeight="1" thickTop="1" x14ac:dyDescent="0.3">
      <c r="D64" s="3"/>
      <c r="E64" s="3"/>
      <c r="F64" s="472"/>
    </row>
    <row r="65" spans="1:7" ht="22.5" customHeight="1" x14ac:dyDescent="0.3">
      <c r="A65" s="1123" t="s">
        <v>498</v>
      </c>
      <c r="B65" s="1124"/>
      <c r="C65" s="1124"/>
      <c r="D65" s="1124"/>
      <c r="E65" s="1124"/>
      <c r="F65" s="1125"/>
      <c r="G65" s="2"/>
    </row>
    <row r="66" spans="1:7" ht="22.5" customHeight="1" x14ac:dyDescent="0.3">
      <c r="A66" s="115"/>
      <c r="B66" s="164" t="s">
        <v>499</v>
      </c>
      <c r="C66" s="165"/>
      <c r="D66" s="117"/>
      <c r="E66" s="117"/>
      <c r="F66" s="370"/>
      <c r="G66" s="2"/>
    </row>
    <row r="67" spans="1:7" ht="22.5" customHeight="1" x14ac:dyDescent="0.3">
      <c r="A67" s="475">
        <v>1</v>
      </c>
      <c r="B67" s="476" t="s">
        <v>500</v>
      </c>
      <c r="C67" s="477" t="s">
        <v>501</v>
      </c>
      <c r="D67" s="484"/>
      <c r="E67" s="484"/>
      <c r="F67" s="487">
        <v>325409.68</v>
      </c>
      <c r="G67" s="2" t="s">
        <v>502</v>
      </c>
    </row>
    <row r="68" spans="1:7" ht="22.5" customHeight="1" x14ac:dyDescent="0.3">
      <c r="A68" s="488"/>
      <c r="B68" s="489" t="s">
        <v>503</v>
      </c>
      <c r="C68" s="490"/>
      <c r="D68" s="484"/>
      <c r="E68" s="892"/>
      <c r="F68" s="487"/>
      <c r="G68" s="2"/>
    </row>
    <row r="69" spans="1:7" ht="22.5" customHeight="1" x14ac:dyDescent="0.3">
      <c r="A69" s="475">
        <v>2</v>
      </c>
      <c r="B69" s="476" t="s">
        <v>504</v>
      </c>
      <c r="C69" s="477" t="s">
        <v>415</v>
      </c>
      <c r="D69" s="484"/>
      <c r="E69" s="892"/>
      <c r="F69" s="497">
        <v>74600.88</v>
      </c>
      <c r="G69" s="2"/>
    </row>
    <row r="70" spans="1:7" ht="22.5" customHeight="1" x14ac:dyDescent="0.3">
      <c r="A70" s="475"/>
      <c r="B70" s="489" t="s">
        <v>505</v>
      </c>
      <c r="C70" s="498"/>
      <c r="D70" s="484"/>
      <c r="E70" s="892"/>
      <c r="F70" s="497"/>
      <c r="G70" s="2"/>
    </row>
    <row r="71" spans="1:7" ht="22.5" customHeight="1" x14ac:dyDescent="0.3">
      <c r="A71" s="502">
        <v>3</v>
      </c>
      <c r="B71" s="503" t="s">
        <v>506</v>
      </c>
      <c r="C71" s="504" t="s">
        <v>507</v>
      </c>
      <c r="D71" s="509"/>
      <c r="E71" s="893"/>
      <c r="F71" s="513">
        <v>32500</v>
      </c>
      <c r="G71" s="2"/>
    </row>
    <row r="72" spans="1:7" ht="22.5" customHeight="1" x14ac:dyDescent="0.3">
      <c r="A72" s="488"/>
      <c r="B72" s="489" t="s">
        <v>508</v>
      </c>
      <c r="C72" s="514"/>
      <c r="D72" s="520"/>
      <c r="E72" s="520"/>
      <c r="F72" s="524"/>
    </row>
    <row r="73" spans="1:7" ht="22.5" customHeight="1" x14ac:dyDescent="0.3">
      <c r="A73" s="488">
        <v>4</v>
      </c>
      <c r="B73" s="525" t="s">
        <v>509</v>
      </c>
      <c r="C73" s="526" t="s">
        <v>510</v>
      </c>
      <c r="D73" s="521"/>
      <c r="E73" s="529"/>
      <c r="F73" s="532">
        <v>796450.4</v>
      </c>
    </row>
    <row r="74" spans="1:7" ht="22.5" customHeight="1" x14ac:dyDescent="0.3">
      <c r="A74" s="533"/>
      <c r="B74" s="534" t="s">
        <v>509</v>
      </c>
      <c r="C74" s="535" t="s">
        <v>511</v>
      </c>
      <c r="D74" s="543"/>
      <c r="E74" s="544"/>
      <c r="F74" s="547">
        <v>93330</v>
      </c>
    </row>
    <row r="75" spans="1:7" s="60" customFormat="1" ht="22.5" customHeight="1" thickBot="1" x14ac:dyDescent="0.35">
      <c r="A75" s="548"/>
      <c r="B75" s="548" t="s">
        <v>15</v>
      </c>
      <c r="C75" s="549"/>
      <c r="D75" s="555"/>
      <c r="E75" s="555"/>
      <c r="F75" s="558">
        <v>1322290.96</v>
      </c>
      <c r="G75" s="59"/>
    </row>
    <row r="76" spans="1:7" ht="22.5" customHeight="1" thickTop="1" x14ac:dyDescent="0.3">
      <c r="A76" s="559"/>
      <c r="B76" s="560" t="s">
        <v>92</v>
      </c>
      <c r="C76" s="561"/>
      <c r="D76" s="567"/>
      <c r="E76" s="567"/>
      <c r="F76" s="570"/>
      <c r="G76" s="2"/>
    </row>
    <row r="77" spans="1:7" ht="22.5" customHeight="1" x14ac:dyDescent="0.3">
      <c r="A77" s="23">
        <v>1</v>
      </c>
      <c r="B77" s="73" t="s">
        <v>512</v>
      </c>
      <c r="C77" s="25" t="s">
        <v>97</v>
      </c>
      <c r="D77" s="41" t="s">
        <v>513</v>
      </c>
      <c r="E77" s="41"/>
      <c r="F77" s="36">
        <v>10499.9956</v>
      </c>
      <c r="G77" s="2"/>
    </row>
    <row r="78" spans="1:7" s="60" customFormat="1" ht="22.5" customHeight="1" thickBot="1" x14ac:dyDescent="0.35">
      <c r="A78" s="548"/>
      <c r="B78" s="548" t="s">
        <v>15</v>
      </c>
      <c r="C78" s="549"/>
      <c r="D78" s="548"/>
      <c r="E78" s="548"/>
      <c r="F78" s="558">
        <v>10499.9956</v>
      </c>
      <c r="G78" s="59"/>
    </row>
    <row r="79" spans="1:7" s="60" customFormat="1" ht="22.5" customHeight="1" thickTop="1" thickBot="1" x14ac:dyDescent="0.35">
      <c r="A79" s="572"/>
      <c r="B79" s="572" t="s">
        <v>515</v>
      </c>
      <c r="C79" s="573"/>
      <c r="D79" s="580"/>
      <c r="E79" s="580"/>
      <c r="F79" s="583">
        <v>1332790.9556</v>
      </c>
      <c r="G79" s="59"/>
    </row>
    <row r="80" spans="1:7" ht="22.5" customHeight="1" thickTop="1" x14ac:dyDescent="0.3">
      <c r="D80" s="470"/>
      <c r="E80" s="470"/>
      <c r="F80" s="472"/>
      <c r="G80" s="2"/>
    </row>
    <row r="81" spans="1:9" s="589" customFormat="1" ht="20.399999999999999" x14ac:dyDescent="0.5">
      <c r="A81" s="1126" t="s">
        <v>516</v>
      </c>
      <c r="B81" s="1127"/>
      <c r="C81" s="1127"/>
      <c r="D81" s="1127"/>
      <c r="E81" s="1127"/>
      <c r="F81" s="1127"/>
      <c r="G81" s="587"/>
      <c r="H81" s="587"/>
      <c r="I81" s="588"/>
    </row>
    <row r="82" spans="1:9" s="599" customFormat="1" x14ac:dyDescent="0.6">
      <c r="A82" s="590">
        <v>1</v>
      </c>
      <c r="B82" s="591" t="s">
        <v>517</v>
      </c>
      <c r="C82" s="591" t="s">
        <v>518</v>
      </c>
      <c r="D82" s="598"/>
      <c r="E82" s="598"/>
      <c r="F82" s="595">
        <v>0</v>
      </c>
      <c r="I82" s="600"/>
    </row>
    <row r="83" spans="1:9" s="599" customFormat="1" x14ac:dyDescent="0.6">
      <c r="A83" s="601">
        <v>2</v>
      </c>
      <c r="B83" s="602" t="s">
        <v>519</v>
      </c>
      <c r="C83" s="602" t="s">
        <v>520</v>
      </c>
      <c r="D83" s="604"/>
      <c r="E83" s="604"/>
      <c r="F83" s="609">
        <v>54000</v>
      </c>
      <c r="I83" s="600"/>
    </row>
    <row r="84" spans="1:9" s="599" customFormat="1" x14ac:dyDescent="0.6">
      <c r="A84" s="610">
        <v>3</v>
      </c>
      <c r="B84" s="611" t="s">
        <v>521</v>
      </c>
      <c r="C84" s="611" t="s">
        <v>522</v>
      </c>
      <c r="D84" s="618"/>
      <c r="E84" s="618"/>
      <c r="F84" s="609">
        <v>0</v>
      </c>
      <c r="I84" s="600"/>
    </row>
    <row r="85" spans="1:9" s="599" customFormat="1" ht="24" thickBot="1" x14ac:dyDescent="0.65">
      <c r="A85" s="619"/>
      <c r="B85" s="620" t="s">
        <v>523</v>
      </c>
      <c r="C85" s="621"/>
      <c r="D85" s="623"/>
      <c r="E85" s="623"/>
      <c r="F85" s="626">
        <v>54000</v>
      </c>
      <c r="G85" s="627">
        <v>2034140.3755999999</v>
      </c>
      <c r="I85" s="600"/>
    </row>
    <row r="86" spans="1:9" s="636" customFormat="1" ht="24" thickTop="1" x14ac:dyDescent="0.6">
      <c r="A86" s="628"/>
      <c r="B86" s="629"/>
      <c r="C86" s="630"/>
      <c r="D86" s="632"/>
      <c r="E86" s="632"/>
      <c r="F86" s="635"/>
      <c r="I86" s="637"/>
    </row>
    <row r="87" spans="1:9" s="636" customFormat="1" x14ac:dyDescent="0.6">
      <c r="A87" s="1128" t="s">
        <v>524</v>
      </c>
      <c r="B87" s="1128"/>
      <c r="C87" s="1128"/>
      <c r="D87" s="1128"/>
      <c r="E87" s="1128"/>
      <c r="F87" s="1128"/>
      <c r="I87" s="637"/>
    </row>
    <row r="88" spans="1:9" s="599" customFormat="1" x14ac:dyDescent="0.6">
      <c r="A88" s="638">
        <v>1</v>
      </c>
      <c r="B88" s="639" t="s">
        <v>519</v>
      </c>
      <c r="C88" s="639" t="s">
        <v>518</v>
      </c>
      <c r="D88" s="884" t="s">
        <v>1066</v>
      </c>
      <c r="E88" s="884"/>
      <c r="F88" s="643">
        <v>84000</v>
      </c>
      <c r="I88" s="600"/>
    </row>
    <row r="89" spans="1:9" s="599" customFormat="1" x14ac:dyDescent="0.6">
      <c r="A89" s="646">
        <v>2</v>
      </c>
      <c r="B89" s="647" t="s">
        <v>521</v>
      </c>
      <c r="C89" s="647" t="s">
        <v>522</v>
      </c>
      <c r="D89" s="641" t="s">
        <v>1177</v>
      </c>
      <c r="E89" s="641" t="s">
        <v>33</v>
      </c>
      <c r="F89" s="643">
        <v>6917.6500000000015</v>
      </c>
      <c r="I89" s="600"/>
    </row>
    <row r="90" spans="1:9" s="599" customFormat="1" x14ac:dyDescent="0.6">
      <c r="A90" s="646"/>
      <c r="B90" s="653" t="s">
        <v>534</v>
      </c>
      <c r="C90" s="647"/>
      <c r="D90" s="652"/>
      <c r="E90" s="652"/>
      <c r="F90" s="651"/>
      <c r="I90" s="600"/>
    </row>
    <row r="91" spans="1:9" s="599" customFormat="1" ht="24" thickBot="1" x14ac:dyDescent="0.65">
      <c r="A91" s="619"/>
      <c r="B91" s="620" t="s">
        <v>535</v>
      </c>
      <c r="C91" s="621"/>
      <c r="D91" s="625"/>
      <c r="E91" s="625"/>
      <c r="F91" s="625">
        <v>90917.65</v>
      </c>
      <c r="I91" s="600"/>
    </row>
    <row r="92" spans="1:9" ht="22.5" customHeight="1" thickTop="1" x14ac:dyDescent="0.3">
      <c r="D92" s="470"/>
      <c r="E92" s="470"/>
      <c r="F92" s="472"/>
      <c r="G92" s="2"/>
    </row>
    <row r="93" spans="1:9" ht="22.5" customHeight="1" thickBot="1" x14ac:dyDescent="0.35">
      <c r="D93" s="470"/>
      <c r="E93" s="470"/>
      <c r="F93" s="658">
        <v>1795717.6931999999</v>
      </c>
      <c r="G93" s="2"/>
    </row>
    <row r="94" spans="1:9" ht="22.5" customHeight="1" thickTop="1" x14ac:dyDescent="0.5">
      <c r="B94" s="587" t="s">
        <v>537</v>
      </c>
      <c r="C94" s="587"/>
      <c r="D94" s="3"/>
      <c r="E94" s="3"/>
      <c r="F94" s="472"/>
    </row>
    <row r="95" spans="1:9" x14ac:dyDescent="0.5">
      <c r="B95" s="1129" t="s">
        <v>538</v>
      </c>
      <c r="C95" s="1129"/>
      <c r="D95" s="3"/>
      <c r="E95" s="3"/>
      <c r="F95" s="472"/>
    </row>
    <row r="96" spans="1:9" x14ac:dyDescent="0.5">
      <c r="B96" s="1129" t="s">
        <v>539</v>
      </c>
      <c r="C96" s="1129"/>
      <c r="D96" s="3"/>
      <c r="E96" s="3"/>
      <c r="F96" s="472"/>
    </row>
    <row r="97" spans="4:6" x14ac:dyDescent="0.3">
      <c r="D97" s="3"/>
      <c r="E97" s="3"/>
      <c r="F97" s="472"/>
    </row>
    <row r="98" spans="4:6" x14ac:dyDescent="0.3">
      <c r="D98" s="3"/>
      <c r="E98" s="3"/>
      <c r="F98" s="472"/>
    </row>
    <row r="99" spans="4:6" x14ac:dyDescent="0.3">
      <c r="D99" s="3"/>
      <c r="E99" s="3"/>
      <c r="F99" s="472"/>
    </row>
    <row r="100" spans="4:6" x14ac:dyDescent="0.3">
      <c r="D100" s="3"/>
      <c r="E100" s="3"/>
      <c r="F100" s="472"/>
    </row>
    <row r="101" spans="4:6" x14ac:dyDescent="0.3">
      <c r="D101" s="3"/>
      <c r="E101" s="3"/>
      <c r="F101" s="472"/>
    </row>
    <row r="102" spans="4:6" x14ac:dyDescent="0.3">
      <c r="D102" s="3"/>
      <c r="E102" s="3"/>
      <c r="F102" s="472"/>
    </row>
    <row r="103" spans="4:6" x14ac:dyDescent="0.3">
      <c r="D103" s="3"/>
      <c r="E103" s="3"/>
      <c r="F103" s="472"/>
    </row>
  </sheetData>
  <sortState xmlns:xlrd2="http://schemas.microsoft.com/office/spreadsheetml/2017/richdata2" ref="A8:F62">
    <sortCondition ref="E8:E62"/>
  </sortState>
  <mergeCells count="13">
    <mergeCell ref="A65:F65"/>
    <mergeCell ref="A81:F81"/>
    <mergeCell ref="A87:F87"/>
    <mergeCell ref="B95:C95"/>
    <mergeCell ref="B96:C96"/>
    <mergeCell ref="A1:F1"/>
    <mergeCell ref="A2:F2"/>
    <mergeCell ref="A3:F3"/>
    <mergeCell ref="A4:A6"/>
    <mergeCell ref="B4:B6"/>
    <mergeCell ref="C4:C6"/>
    <mergeCell ref="D4:F4"/>
    <mergeCell ref="D5:D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98E9-6973-4B2A-8E78-9CEE1E590AAF}">
  <sheetPr>
    <tabColor rgb="FF00B0F0"/>
  </sheetPr>
  <dimension ref="A1:H14"/>
  <sheetViews>
    <sheetView zoomScale="80" zoomScaleNormal="80" workbookViewId="0">
      <pane ySplit="6" topLeftCell="A7" activePane="bottomLeft" state="frozen"/>
      <selection pane="bottomLeft" activeCell="F26" sqref="F26"/>
    </sheetView>
  </sheetViews>
  <sheetFormatPr defaultColWidth="27.109375" defaultRowHeight="23.4" x14ac:dyDescent="0.3"/>
  <cols>
    <col min="1" max="1" width="5.44140625" style="3" customWidth="1"/>
    <col min="2" max="2" width="32.33203125" style="3" customWidth="1"/>
    <col min="3" max="3" width="36.44140625" style="1" customWidth="1"/>
    <col min="4" max="4" width="14.5546875" style="662" customWidth="1"/>
    <col min="5" max="5" width="5.77734375" style="662" customWidth="1"/>
    <col min="6" max="6" width="16.5546875" style="665" customWidth="1"/>
    <col min="7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8" ht="22.5" customHeight="1" x14ac:dyDescent="0.3">
      <c r="A3" s="1110" t="s">
        <v>1065</v>
      </c>
      <c r="B3" s="1111"/>
      <c r="C3" s="1111"/>
      <c r="D3" s="1111"/>
      <c r="E3" s="1111"/>
      <c r="F3" s="1111"/>
      <c r="G3" s="2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19"/>
      <c r="F4" s="1120"/>
      <c r="G4" s="2"/>
    </row>
    <row r="5" spans="1:8" ht="22.5" customHeight="1" x14ac:dyDescent="0.3">
      <c r="A5" s="1113"/>
      <c r="B5" s="1113"/>
      <c r="C5" s="1116"/>
      <c r="D5" s="1121" t="s">
        <v>10</v>
      </c>
      <c r="E5" s="882"/>
      <c r="F5" s="667"/>
      <c r="G5" s="2"/>
    </row>
    <row r="6" spans="1:8" ht="22.5" customHeight="1" x14ac:dyDescent="0.3">
      <c r="A6" s="1114"/>
      <c r="B6" s="1114"/>
      <c r="C6" s="1117"/>
      <c r="D6" s="1122"/>
      <c r="E6" s="883" t="s">
        <v>937</v>
      </c>
      <c r="F6" s="10" t="s">
        <v>15</v>
      </c>
      <c r="G6" s="2"/>
    </row>
    <row r="7" spans="1:8" ht="22.5" customHeight="1" x14ac:dyDescent="0.5">
      <c r="A7" s="391"/>
      <c r="B7" s="61" t="s">
        <v>676</v>
      </c>
      <c r="C7" s="63"/>
      <c r="D7" s="831"/>
      <c r="E7" s="831"/>
      <c r="F7" s="387"/>
      <c r="G7" s="218"/>
      <c r="H7" s="309"/>
    </row>
    <row r="8" spans="1:8" ht="22.5" customHeight="1" x14ac:dyDescent="0.5">
      <c r="A8" s="837">
        <v>1</v>
      </c>
      <c r="B8" s="240" t="s">
        <v>162</v>
      </c>
      <c r="C8" s="83" t="s">
        <v>163</v>
      </c>
      <c r="D8" s="239" t="s">
        <v>1105</v>
      </c>
      <c r="E8" s="239" t="s">
        <v>115</v>
      </c>
      <c r="F8" s="761">
        <v>8592.0999999999967</v>
      </c>
    </row>
    <row r="9" spans="1:8" ht="22.5" customHeight="1" thickBot="1" x14ac:dyDescent="0.55000000000000004">
      <c r="A9" s="833"/>
      <c r="B9" s="785"/>
      <c r="C9" s="786"/>
      <c r="D9" s="781"/>
      <c r="E9" s="781"/>
      <c r="F9" s="789">
        <f>SUM(F8)</f>
        <v>8592.0999999999967</v>
      </c>
    </row>
    <row r="10" spans="1:8" ht="22.5" customHeight="1" thickTop="1" x14ac:dyDescent="0.5">
      <c r="A10" s="391"/>
      <c r="B10" s="253" t="s">
        <v>1179</v>
      </c>
      <c r="C10" s="238"/>
      <c r="D10" s="831"/>
      <c r="E10" s="831"/>
      <c r="F10" s="751"/>
    </row>
    <row r="11" spans="1:8" ht="22.5" customHeight="1" x14ac:dyDescent="0.5">
      <c r="A11" s="23">
        <v>1</v>
      </c>
      <c r="B11" s="78" t="s">
        <v>248</v>
      </c>
      <c r="C11" s="81" t="s">
        <v>249</v>
      </c>
      <c r="D11" s="215" t="s">
        <v>1105</v>
      </c>
      <c r="E11" s="215" t="s">
        <v>115</v>
      </c>
      <c r="F11" s="36">
        <v>12600</v>
      </c>
    </row>
    <row r="12" spans="1:8" ht="22.5" customHeight="1" x14ac:dyDescent="0.5">
      <c r="A12" s="837">
        <v>2</v>
      </c>
      <c r="B12" s="240" t="s">
        <v>208</v>
      </c>
      <c r="C12" s="83"/>
      <c r="D12" s="239" t="s">
        <v>1122</v>
      </c>
      <c r="E12" s="239" t="s">
        <v>284</v>
      </c>
      <c r="F12" s="761">
        <v>4729.3999999999978</v>
      </c>
    </row>
    <row r="13" spans="1:8" ht="22.5" customHeight="1" thickBot="1" x14ac:dyDescent="0.55000000000000004">
      <c r="A13" s="833"/>
      <c r="B13" s="785"/>
      <c r="C13" s="786"/>
      <c r="D13" s="847"/>
      <c r="E13" s="847"/>
      <c r="F13" s="789">
        <f>SUM(F11:F12)</f>
        <v>17329.399999999998</v>
      </c>
    </row>
    <row r="14" spans="1:8" ht="24" thickTop="1" x14ac:dyDescent="0.3"/>
  </sheetData>
  <mergeCells count="8">
    <mergeCell ref="A1:F1"/>
    <mergeCell ref="A2:F2"/>
    <mergeCell ref="A3:F3"/>
    <mergeCell ref="A4:A6"/>
    <mergeCell ref="B4:B6"/>
    <mergeCell ref="C4:C6"/>
    <mergeCell ref="D4:F4"/>
    <mergeCell ref="D5:D6"/>
  </mergeCells>
  <pageMargins left="0.25" right="0.25" top="0.75" bottom="0.75" header="0.3" footer="0.3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BFFE-A2A9-433A-A241-2FB7AAEE980D}">
  <sheetPr>
    <tabColor rgb="FF92D050"/>
  </sheetPr>
  <dimension ref="A1:AQ289"/>
  <sheetViews>
    <sheetView zoomScale="70" zoomScaleNormal="70" workbookViewId="0">
      <pane ySplit="6" topLeftCell="A240" activePane="bottomLeft" state="frozen"/>
      <selection pane="bottomLeft" activeCell="G263" sqref="G263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88671875" style="88" customWidth="1"/>
    <col min="5" max="5" width="13.33203125" style="659" customWidth="1"/>
    <col min="6" max="6" width="5.5546875" style="659" customWidth="1"/>
    <col min="7" max="7" width="7.88671875" style="660" customWidth="1"/>
    <col min="8" max="8" width="14.88671875" style="661" customWidth="1"/>
    <col min="9" max="9" width="14.6640625" style="661" customWidth="1"/>
    <col min="10" max="10" width="14.44140625" style="661" customWidth="1"/>
    <col min="11" max="11" width="12.44140625" style="88" customWidth="1"/>
    <col min="12" max="12" width="18.6640625" style="88" customWidth="1"/>
    <col min="13" max="13" width="16.33203125" style="88" customWidth="1"/>
    <col min="14" max="14" width="14.5546875" style="662" customWidth="1"/>
    <col min="15" max="15" width="5.77734375" style="662" customWidth="1"/>
    <col min="16" max="16" width="8" style="663" customWidth="1"/>
    <col min="17" max="17" width="16.33203125" style="664" customWidth="1"/>
    <col min="18" max="18" width="13.88671875" style="664" customWidth="1"/>
    <col min="19" max="19" width="16.5546875" style="665" customWidth="1"/>
    <col min="20" max="16384" width="27.109375" style="3"/>
  </cols>
  <sheetData>
    <row r="1" spans="1:20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1109"/>
      <c r="S1" s="1109"/>
      <c r="T1" s="2"/>
    </row>
    <row r="2" spans="1:20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2"/>
    </row>
    <row r="3" spans="1:20" ht="22.5" customHeight="1" x14ac:dyDescent="0.3">
      <c r="A3" s="1110" t="s">
        <v>934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1111"/>
      <c r="S3" s="1111"/>
      <c r="T3" s="2"/>
    </row>
    <row r="4" spans="1:20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44"/>
      <c r="G4" s="1135"/>
      <c r="H4" s="1135"/>
      <c r="I4" s="1135"/>
      <c r="J4" s="1136"/>
      <c r="K4" s="1145" t="s">
        <v>8</v>
      </c>
      <c r="L4" s="1146"/>
      <c r="M4" s="1147"/>
      <c r="N4" s="1118" t="s">
        <v>9</v>
      </c>
      <c r="O4" s="1119"/>
      <c r="P4" s="1140"/>
      <c r="Q4" s="1140"/>
      <c r="R4" s="1140"/>
      <c r="S4" s="1120"/>
      <c r="T4" s="2"/>
    </row>
    <row r="5" spans="1:20" ht="22.5" customHeight="1" x14ac:dyDescent="0.3">
      <c r="A5" s="1113"/>
      <c r="B5" s="1113"/>
      <c r="C5" s="1116"/>
      <c r="D5" s="1142"/>
      <c r="E5" s="1130" t="s">
        <v>10</v>
      </c>
      <c r="F5" s="880" t="s">
        <v>937</v>
      </c>
      <c r="G5" s="1132" t="s">
        <v>11</v>
      </c>
      <c r="H5" s="1134" t="s">
        <v>12</v>
      </c>
      <c r="I5" s="1135"/>
      <c r="J5" s="1136"/>
      <c r="K5" s="5"/>
      <c r="L5" s="6"/>
      <c r="M5" s="6"/>
      <c r="N5" s="1121" t="s">
        <v>10</v>
      </c>
      <c r="O5" s="882"/>
      <c r="P5" s="1138" t="s">
        <v>11</v>
      </c>
      <c r="Q5" s="1118" t="s">
        <v>12</v>
      </c>
      <c r="R5" s="1140"/>
      <c r="S5" s="1120"/>
      <c r="T5" s="2"/>
    </row>
    <row r="6" spans="1:20" ht="22.5" customHeight="1" x14ac:dyDescent="0.3">
      <c r="A6" s="1114"/>
      <c r="B6" s="1114"/>
      <c r="C6" s="1117"/>
      <c r="D6" s="1143"/>
      <c r="E6" s="1131"/>
      <c r="F6" s="881"/>
      <c r="G6" s="1133"/>
      <c r="H6" s="7" t="s">
        <v>13</v>
      </c>
      <c r="I6" s="7" t="s">
        <v>14</v>
      </c>
      <c r="J6" s="7" t="s">
        <v>15</v>
      </c>
      <c r="K6" s="5" t="s">
        <v>16</v>
      </c>
      <c r="L6" s="8" t="s">
        <v>17</v>
      </c>
      <c r="M6" s="6" t="s">
        <v>13</v>
      </c>
      <c r="N6" s="1122"/>
      <c r="O6" s="883" t="s">
        <v>937</v>
      </c>
      <c r="P6" s="1139"/>
      <c r="Q6" s="9" t="s">
        <v>18</v>
      </c>
      <c r="R6" s="9" t="s">
        <v>14</v>
      </c>
      <c r="S6" s="10" t="s">
        <v>15</v>
      </c>
      <c r="T6" s="2"/>
    </row>
    <row r="7" spans="1:20" ht="22.5" customHeight="1" x14ac:dyDescent="0.3">
      <c r="A7" s="11"/>
      <c r="B7" s="12" t="s">
        <v>19</v>
      </c>
      <c r="C7" s="13"/>
      <c r="D7" s="14"/>
      <c r="E7" s="15"/>
      <c r="F7" s="15"/>
      <c r="G7" s="16"/>
      <c r="H7" s="7"/>
      <c r="I7" s="17"/>
      <c r="J7" s="17"/>
      <c r="K7" s="18"/>
      <c r="L7" s="18"/>
      <c r="M7" s="14"/>
      <c r="N7" s="19"/>
      <c r="O7" s="19"/>
      <c r="P7" s="20"/>
      <c r="Q7" s="21"/>
      <c r="R7" s="21"/>
      <c r="S7" s="22"/>
      <c r="T7" s="2"/>
    </row>
    <row r="8" spans="1:20" ht="22.5" customHeight="1" x14ac:dyDescent="0.6">
      <c r="A8" s="23">
        <v>1</v>
      </c>
      <c r="B8" s="24" t="s">
        <v>20</v>
      </c>
      <c r="C8" s="25" t="s">
        <v>21</v>
      </c>
      <c r="D8" s="26">
        <v>11382.95</v>
      </c>
      <c r="E8" s="27"/>
      <c r="F8" s="27"/>
      <c r="G8" s="28"/>
      <c r="H8" s="29">
        <v>-2.2429906544925659E-3</v>
      </c>
      <c r="I8" s="29">
        <v>-1.5700934581447962E-4</v>
      </c>
      <c r="J8" s="29">
        <v>-2.4000000003070454E-3</v>
      </c>
      <c r="K8" s="30">
        <v>25226</v>
      </c>
      <c r="L8" s="31" t="s">
        <v>939</v>
      </c>
      <c r="M8" s="32">
        <v>11382.95</v>
      </c>
      <c r="N8" s="33"/>
      <c r="O8" s="33"/>
      <c r="P8" s="34"/>
      <c r="Q8" s="35">
        <f>SUM(S8-R8)</f>
        <v>-2.2429906553425609E-3</v>
      </c>
      <c r="R8" s="35">
        <f>SUM(S8*7/107)</f>
        <v>-1.5700934587397925E-4</v>
      </c>
      <c r="S8" s="36">
        <f>SUM(D8+J8-M8)</f>
        <v>-2.4000000012165401E-3</v>
      </c>
      <c r="T8" s="47"/>
    </row>
    <row r="9" spans="1:20" ht="22.5" customHeight="1" x14ac:dyDescent="0.6">
      <c r="A9" s="23">
        <v>2</v>
      </c>
      <c r="B9" s="24" t="s">
        <v>24</v>
      </c>
      <c r="C9" s="25" t="s">
        <v>25</v>
      </c>
      <c r="D9" s="26">
        <v>7451.2799999999988</v>
      </c>
      <c r="E9" s="27"/>
      <c r="F9" s="27"/>
      <c r="G9" s="28"/>
      <c r="H9" s="29">
        <v>0</v>
      </c>
      <c r="I9" s="29">
        <v>0</v>
      </c>
      <c r="J9" s="29">
        <v>0</v>
      </c>
      <c r="K9" s="30">
        <v>25232</v>
      </c>
      <c r="L9" s="31" t="s">
        <v>940</v>
      </c>
      <c r="M9" s="32">
        <v>7451.28</v>
      </c>
      <c r="N9" s="33"/>
      <c r="O9" s="33"/>
      <c r="P9" s="34"/>
      <c r="Q9" s="35">
        <f>SUM(S9-R9)</f>
        <v>-8.4999504838591423E-13</v>
      </c>
      <c r="R9" s="35">
        <f>SUM(S9*7/107)</f>
        <v>-5.9499653387013991E-14</v>
      </c>
      <c r="S9" s="36">
        <f>SUM(D9+J9-M9)</f>
        <v>-9.0949470177292824E-13</v>
      </c>
      <c r="T9" s="47"/>
    </row>
    <row r="10" spans="1:20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7"/>
      <c r="G10" s="28"/>
      <c r="H10" s="29">
        <v>0</v>
      </c>
      <c r="I10" s="29">
        <v>0</v>
      </c>
      <c r="J10" s="29">
        <v>0</v>
      </c>
      <c r="K10" s="38">
        <v>25226</v>
      </c>
      <c r="L10" s="39" t="s">
        <v>941</v>
      </c>
      <c r="M10" s="40">
        <v>802.5</v>
      </c>
      <c r="N10" s="41"/>
      <c r="O10" s="41"/>
      <c r="P10" s="34"/>
      <c r="Q10" s="35">
        <f>SUM(S10-R10)</f>
        <v>0</v>
      </c>
      <c r="R10" s="35">
        <f>SUM(S10*7/107)</f>
        <v>0</v>
      </c>
      <c r="S10" s="36">
        <f>SUM(D10+J10-M10)</f>
        <v>0</v>
      </c>
      <c r="T10" s="2"/>
    </row>
    <row r="11" spans="1:20" ht="22.5" customHeight="1" x14ac:dyDescent="0.6">
      <c r="A11" s="23">
        <v>4</v>
      </c>
      <c r="B11" s="24" t="s">
        <v>30</v>
      </c>
      <c r="C11" s="25" t="s">
        <v>31</v>
      </c>
      <c r="D11" s="43"/>
      <c r="E11" s="894">
        <v>25203</v>
      </c>
      <c r="F11" s="895" t="s">
        <v>33</v>
      </c>
      <c r="G11" s="895" t="s">
        <v>938</v>
      </c>
      <c r="H11" s="896">
        <v>1800.0000000000002</v>
      </c>
      <c r="I11" s="896">
        <f>+H11*0.07</f>
        <v>126.00000000000003</v>
      </c>
      <c r="J11" s="896">
        <f>SUM(H11:I11)</f>
        <v>1926.0000000000002</v>
      </c>
      <c r="K11" s="30">
        <v>25215</v>
      </c>
      <c r="L11" s="31" t="s">
        <v>942</v>
      </c>
      <c r="M11" s="32">
        <v>1926</v>
      </c>
      <c r="N11" s="33"/>
      <c r="O11" s="33"/>
      <c r="P11" s="34"/>
      <c r="Q11" s="669">
        <f>SUM(S11-R11)</f>
        <v>2.1249876209647856E-13</v>
      </c>
      <c r="R11" s="669">
        <f>SUM(S11*7/107)</f>
        <v>1.4874913346753498E-14</v>
      </c>
      <c r="S11" s="340">
        <f>SUM(D11+J11-M11)</f>
        <v>2.2737367544323206E-13</v>
      </c>
      <c r="T11" s="47"/>
    </row>
    <row r="12" spans="1:20" s="60" customFormat="1" ht="22.5" customHeight="1" thickBot="1" x14ac:dyDescent="0.35">
      <c r="A12" s="48"/>
      <c r="B12" s="48" t="s">
        <v>15</v>
      </c>
      <c r="C12" s="49"/>
      <c r="D12" s="50">
        <f>SUM(D8:D11)</f>
        <v>19636.73</v>
      </c>
      <c r="E12" s="51"/>
      <c r="F12" s="51"/>
      <c r="G12" s="52"/>
      <c r="H12" s="53">
        <f>SUM(H8:H11)</f>
        <v>1799.9977570093458</v>
      </c>
      <c r="I12" s="53">
        <f>SUM(I8:I11)</f>
        <v>125.99984299065422</v>
      </c>
      <c r="J12" s="53">
        <f>SUM(J8:J11)</f>
        <v>1925.9975999999999</v>
      </c>
      <c r="K12" s="54"/>
      <c r="L12" s="55"/>
      <c r="M12" s="50">
        <f>SUM(M8:M11)</f>
        <v>21562.73</v>
      </c>
      <c r="N12" s="48"/>
      <c r="O12" s="48"/>
      <c r="P12" s="56"/>
      <c r="Q12" s="670">
        <f>SUM(S12-R12)</f>
        <v>-2.2429906553425609E-3</v>
      </c>
      <c r="R12" s="670">
        <f>SUM(S12*7/107)</f>
        <v>-1.5700934587397925E-4</v>
      </c>
      <c r="S12" s="671">
        <f>SUM(D12+J12-M12)</f>
        <v>-2.4000000012165401E-3</v>
      </c>
      <c r="T12" s="59"/>
    </row>
    <row r="13" spans="1:20" ht="22.5" customHeight="1" thickTop="1" x14ac:dyDescent="0.3">
      <c r="A13" s="61"/>
      <c r="B13" s="62" t="s">
        <v>37</v>
      </c>
      <c r="C13" s="63"/>
      <c r="D13" s="64"/>
      <c r="E13" s="65"/>
      <c r="F13" s="65"/>
      <c r="G13" s="66"/>
      <c r="H13" s="67"/>
      <c r="I13" s="67"/>
      <c r="J13" s="67"/>
      <c r="K13" s="68"/>
      <c r="L13" s="68"/>
      <c r="M13" s="64"/>
      <c r="N13" s="69"/>
      <c r="O13" s="69"/>
      <c r="P13" s="70"/>
      <c r="Q13" s="71"/>
      <c r="R13" s="71"/>
      <c r="S13" s="72"/>
      <c r="T13" s="2"/>
    </row>
    <row r="14" spans="1:20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4"/>
      <c r="G14" s="75"/>
      <c r="H14" s="76">
        <v>0</v>
      </c>
      <c r="I14" s="76">
        <v>0</v>
      </c>
      <c r="J14" s="76">
        <v>0</v>
      </c>
      <c r="K14" s="30">
        <v>25208</v>
      </c>
      <c r="L14" s="31" t="s">
        <v>943</v>
      </c>
      <c r="M14" s="32">
        <v>1284</v>
      </c>
      <c r="N14" s="69"/>
      <c r="O14" s="69"/>
      <c r="P14" s="70"/>
      <c r="Q14" s="35">
        <f>SUM(S14-R14)</f>
        <v>0</v>
      </c>
      <c r="R14" s="42">
        <f>SUM(S14*7/107)</f>
        <v>0</v>
      </c>
      <c r="S14" s="36">
        <f>SUM(D14+J14-M14)</f>
        <v>0</v>
      </c>
      <c r="T14" s="2"/>
    </row>
    <row r="15" spans="1:20" ht="22.5" customHeight="1" x14ac:dyDescent="0.5">
      <c r="A15" s="23">
        <v>2</v>
      </c>
      <c r="B15" s="73" t="s">
        <v>42</v>
      </c>
      <c r="C15" s="25" t="s">
        <v>43</v>
      </c>
      <c r="D15" s="43">
        <v>1861.8</v>
      </c>
      <c r="E15" s="74"/>
      <c r="F15" s="80"/>
      <c r="G15" s="77"/>
      <c r="H15" s="76">
        <v>-4.2499752419295712E-13</v>
      </c>
      <c r="I15" s="76">
        <v>-2.9749826693506995E-14</v>
      </c>
      <c r="J15" s="76">
        <v>-4.5474735088646412E-13</v>
      </c>
      <c r="K15" s="30">
        <v>25229</v>
      </c>
      <c r="L15" s="31" t="s">
        <v>944</v>
      </c>
      <c r="M15" s="32">
        <v>1861.8</v>
      </c>
      <c r="N15" s="33"/>
      <c r="O15" s="747"/>
      <c r="P15" s="70"/>
      <c r="Q15" s="35">
        <f t="shared" ref="Q15:Q26" si="0">SUM(S15-R15)</f>
        <v>-4.2499752419295712E-13</v>
      </c>
      <c r="R15" s="42">
        <f t="shared" ref="R15:R26" si="1">SUM(S15*7/107)</f>
        <v>-2.9749826693506995E-14</v>
      </c>
      <c r="S15" s="36">
        <f t="shared" ref="S15:S26" si="2">SUM(D15+J15-M15)</f>
        <v>-4.5474735088646412E-13</v>
      </c>
      <c r="T15" s="2"/>
    </row>
    <row r="16" spans="1:20" ht="22.5" customHeight="1" x14ac:dyDescent="0.5">
      <c r="A16" s="23">
        <v>3</v>
      </c>
      <c r="B16" s="73" t="s">
        <v>45</v>
      </c>
      <c r="C16" s="25" t="s">
        <v>46</v>
      </c>
      <c r="D16" s="43">
        <v>1701.3</v>
      </c>
      <c r="E16" s="74" t="s">
        <v>935</v>
      </c>
      <c r="F16" s="80"/>
      <c r="G16" s="77" t="s">
        <v>33</v>
      </c>
      <c r="H16" s="76">
        <v>779.99999999999977</v>
      </c>
      <c r="I16" s="76">
        <v>54.599999999999987</v>
      </c>
      <c r="J16" s="76">
        <v>834.5999999999998</v>
      </c>
      <c r="K16" s="30">
        <v>25215</v>
      </c>
      <c r="L16" s="31" t="s">
        <v>945</v>
      </c>
      <c r="M16" s="32">
        <v>834.6</v>
      </c>
      <c r="N16" s="33" t="s">
        <v>958</v>
      </c>
      <c r="O16" s="747" t="s">
        <v>33</v>
      </c>
      <c r="P16" s="70" t="s">
        <v>33</v>
      </c>
      <c r="Q16" s="35">
        <f t="shared" si="0"/>
        <v>1589.9999999999998</v>
      </c>
      <c r="R16" s="42">
        <f t="shared" si="1"/>
        <v>111.29999999999998</v>
      </c>
      <c r="S16" s="36">
        <f t="shared" si="2"/>
        <v>1701.2999999999997</v>
      </c>
      <c r="T16" s="2"/>
    </row>
    <row r="17" spans="1:20" ht="22.5" customHeight="1" x14ac:dyDescent="0.5">
      <c r="A17" s="23">
        <v>4</v>
      </c>
      <c r="B17" s="73" t="s">
        <v>48</v>
      </c>
      <c r="C17" s="25" t="s">
        <v>49</v>
      </c>
      <c r="D17" s="43">
        <v>2937.15</v>
      </c>
      <c r="E17" s="74"/>
      <c r="F17" s="80"/>
      <c r="G17" s="77"/>
      <c r="H17" s="76">
        <v>-1.2749925725788713E-12</v>
      </c>
      <c r="I17" s="76">
        <v>-8.9249480080520993E-14</v>
      </c>
      <c r="J17" s="76">
        <v>-1.3642420526593924E-12</v>
      </c>
      <c r="K17" s="30">
        <v>25232</v>
      </c>
      <c r="L17" s="31" t="s">
        <v>946</v>
      </c>
      <c r="M17" s="32">
        <v>2937.15</v>
      </c>
      <c r="N17" s="33"/>
      <c r="O17" s="747"/>
      <c r="P17" s="70"/>
      <c r="Q17" s="35">
        <f t="shared" si="0"/>
        <v>-1.2749925725788713E-12</v>
      </c>
      <c r="R17" s="42">
        <f t="shared" si="1"/>
        <v>-8.9249480080520993E-14</v>
      </c>
      <c r="S17" s="36">
        <f t="shared" si="2"/>
        <v>-1.3642420526593924E-12</v>
      </c>
      <c r="T17" s="2"/>
    </row>
    <row r="18" spans="1:20" ht="22.5" customHeight="1" x14ac:dyDescent="0.5">
      <c r="A18" s="23">
        <v>5</v>
      </c>
      <c r="B18" s="73" t="s">
        <v>51</v>
      </c>
      <c r="C18" s="25" t="s">
        <v>52</v>
      </c>
      <c r="D18" s="43">
        <v>4766.8500000000004</v>
      </c>
      <c r="E18" s="74"/>
      <c r="F18" s="80"/>
      <c r="G18" s="77"/>
      <c r="H18" s="76">
        <v>3.3999801935436569E-12</v>
      </c>
      <c r="I18" s="76">
        <v>2.3799861354805596E-13</v>
      </c>
      <c r="J18" s="76">
        <v>3.637978807091713E-12</v>
      </c>
      <c r="K18" s="30">
        <v>25233</v>
      </c>
      <c r="L18" s="31" t="s">
        <v>947</v>
      </c>
      <c r="M18" s="32">
        <v>4766.8500000000004</v>
      </c>
      <c r="N18" s="33"/>
      <c r="O18" s="747"/>
      <c r="P18" s="70"/>
      <c r="Q18" s="35">
        <f t="shared" si="0"/>
        <v>3.3999801935436569E-12</v>
      </c>
      <c r="R18" s="42">
        <f t="shared" si="1"/>
        <v>2.3799861354805596E-13</v>
      </c>
      <c r="S18" s="36">
        <f t="shared" si="2"/>
        <v>3.637978807091713E-12</v>
      </c>
      <c r="T18" s="2"/>
    </row>
    <row r="19" spans="1:20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4"/>
      <c r="G19" s="75"/>
      <c r="H19" s="76">
        <v>0</v>
      </c>
      <c r="I19" s="76">
        <v>0</v>
      </c>
      <c r="J19" s="76">
        <v>0</v>
      </c>
      <c r="K19" s="30">
        <v>25215</v>
      </c>
      <c r="L19" s="31" t="s">
        <v>948</v>
      </c>
      <c r="M19" s="32">
        <v>6420</v>
      </c>
      <c r="N19" s="69"/>
      <c r="O19" s="69"/>
      <c r="P19" s="70"/>
      <c r="Q19" s="35">
        <f t="shared" si="0"/>
        <v>0</v>
      </c>
      <c r="R19" s="42">
        <f t="shared" si="1"/>
        <v>0</v>
      </c>
      <c r="S19" s="36">
        <f t="shared" si="2"/>
        <v>0</v>
      </c>
      <c r="T19" s="2"/>
    </row>
    <row r="20" spans="1:20" ht="22.5" customHeight="1" x14ac:dyDescent="0.5">
      <c r="A20" s="23">
        <v>7</v>
      </c>
      <c r="B20" s="78" t="s">
        <v>54</v>
      </c>
      <c r="C20" s="25" t="s">
        <v>55</v>
      </c>
      <c r="D20" s="79">
        <v>1444.5</v>
      </c>
      <c r="E20" s="80"/>
      <c r="F20" s="80"/>
      <c r="G20" s="77"/>
      <c r="H20" s="76">
        <v>0</v>
      </c>
      <c r="I20" s="76">
        <v>0</v>
      </c>
      <c r="J20" s="76">
        <v>0</v>
      </c>
      <c r="K20" s="38">
        <v>25229</v>
      </c>
      <c r="L20" s="39" t="s">
        <v>949</v>
      </c>
      <c r="M20" s="40">
        <v>1444.5</v>
      </c>
      <c r="N20" s="33"/>
      <c r="O20" s="747"/>
      <c r="P20" s="70"/>
      <c r="Q20" s="35">
        <f t="shared" si="0"/>
        <v>0</v>
      </c>
      <c r="R20" s="42">
        <f t="shared" si="1"/>
        <v>0</v>
      </c>
      <c r="S20" s="36">
        <f t="shared" si="2"/>
        <v>0</v>
      </c>
      <c r="T20" s="2"/>
    </row>
    <row r="21" spans="1:20" ht="22.5" customHeight="1" x14ac:dyDescent="0.5">
      <c r="A21" s="23">
        <v>8</v>
      </c>
      <c r="B21" s="78" t="s">
        <v>56</v>
      </c>
      <c r="C21" s="81" t="s">
        <v>57</v>
      </c>
      <c r="D21" s="79">
        <v>722.25</v>
      </c>
      <c r="E21" s="74"/>
      <c r="F21" s="80"/>
      <c r="G21" s="77"/>
      <c r="H21" s="82">
        <v>0</v>
      </c>
      <c r="I21" s="82">
        <v>0</v>
      </c>
      <c r="J21" s="82">
        <v>0</v>
      </c>
      <c r="K21" s="38">
        <v>25230</v>
      </c>
      <c r="L21" s="39" t="s">
        <v>950</v>
      </c>
      <c r="M21" s="40">
        <v>722.25</v>
      </c>
      <c r="N21" s="33"/>
      <c r="O21" s="747"/>
      <c r="P21" s="70"/>
      <c r="Q21" s="35">
        <f t="shared" si="0"/>
        <v>0</v>
      </c>
      <c r="R21" s="42">
        <f t="shared" si="1"/>
        <v>0</v>
      </c>
      <c r="S21" s="36">
        <f t="shared" si="2"/>
        <v>0</v>
      </c>
      <c r="T21" s="2"/>
    </row>
    <row r="22" spans="1:20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4"/>
      <c r="G22" s="75"/>
      <c r="H22" s="76">
        <v>0</v>
      </c>
      <c r="I22" s="76">
        <v>0</v>
      </c>
      <c r="J22" s="76">
        <v>0</v>
      </c>
      <c r="K22" s="38">
        <v>25225</v>
      </c>
      <c r="L22" s="39" t="s">
        <v>951</v>
      </c>
      <c r="M22" s="40">
        <v>21400</v>
      </c>
      <c r="N22" s="69"/>
      <c r="O22" s="69"/>
      <c r="P22" s="70"/>
      <c r="Q22" s="35">
        <f t="shared" si="0"/>
        <v>0</v>
      </c>
      <c r="R22" s="42">
        <f t="shared" si="1"/>
        <v>0</v>
      </c>
      <c r="S22" s="36">
        <f t="shared" si="2"/>
        <v>0</v>
      </c>
      <c r="T22" s="2"/>
    </row>
    <row r="23" spans="1:20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4"/>
      <c r="G23" s="75"/>
      <c r="H23" s="76">
        <v>0</v>
      </c>
      <c r="I23" s="76">
        <v>0</v>
      </c>
      <c r="J23" s="76">
        <v>0</v>
      </c>
      <c r="K23" s="38">
        <v>25226</v>
      </c>
      <c r="L23" s="39" t="s">
        <v>952</v>
      </c>
      <c r="M23" s="40">
        <v>856</v>
      </c>
      <c r="N23" s="69"/>
      <c r="O23" s="69"/>
      <c r="P23" s="70"/>
      <c r="Q23" s="35">
        <f t="shared" si="0"/>
        <v>0</v>
      </c>
      <c r="R23" s="42">
        <f t="shared" si="1"/>
        <v>0</v>
      </c>
      <c r="S23" s="36">
        <f t="shared" si="2"/>
        <v>0</v>
      </c>
      <c r="T23" s="87"/>
    </row>
    <row r="24" spans="1:20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885"/>
      <c r="G24" s="92"/>
      <c r="H24" s="76">
        <v>0</v>
      </c>
      <c r="I24" s="76">
        <v>0</v>
      </c>
      <c r="J24" s="76">
        <v>0</v>
      </c>
      <c r="K24" s="38"/>
      <c r="L24" s="39"/>
      <c r="M24" s="40"/>
      <c r="N24" s="69" t="s">
        <v>958</v>
      </c>
      <c r="O24" s="69" t="s">
        <v>33</v>
      </c>
      <c r="P24" s="70" t="s">
        <v>33</v>
      </c>
      <c r="Q24" s="35">
        <f t="shared" si="0"/>
        <v>20000</v>
      </c>
      <c r="R24" s="42">
        <f t="shared" si="1"/>
        <v>1400</v>
      </c>
      <c r="S24" s="36">
        <f t="shared" si="2"/>
        <v>21400</v>
      </c>
      <c r="T24" s="93"/>
    </row>
    <row r="25" spans="1:20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6"/>
      <c r="G25" s="97"/>
      <c r="H25" s="98">
        <v>0</v>
      </c>
      <c r="I25" s="98">
        <v>0</v>
      </c>
      <c r="J25" s="98">
        <v>0</v>
      </c>
      <c r="K25" s="38">
        <v>25222</v>
      </c>
      <c r="L25" s="39" t="s">
        <v>953</v>
      </c>
      <c r="M25" s="40">
        <v>3210</v>
      </c>
      <c r="N25" s="69"/>
      <c r="O25" s="69"/>
      <c r="P25" s="70"/>
      <c r="Q25" s="35">
        <f t="shared" si="0"/>
        <v>0</v>
      </c>
      <c r="R25" s="42">
        <f t="shared" si="1"/>
        <v>0</v>
      </c>
      <c r="S25" s="36">
        <f t="shared" si="2"/>
        <v>0</v>
      </c>
    </row>
    <row r="26" spans="1:20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6"/>
      <c r="G26" s="97"/>
      <c r="H26" s="98">
        <v>0</v>
      </c>
      <c r="I26" s="98">
        <v>0</v>
      </c>
      <c r="J26" s="98">
        <v>0</v>
      </c>
      <c r="K26" s="101">
        <v>25225</v>
      </c>
      <c r="L26" s="102" t="s">
        <v>954</v>
      </c>
      <c r="M26" s="103">
        <v>3210</v>
      </c>
      <c r="N26" s="69"/>
      <c r="O26" s="69"/>
      <c r="P26" s="70"/>
      <c r="Q26" s="35">
        <f t="shared" si="0"/>
        <v>0</v>
      </c>
      <c r="R26" s="42">
        <f t="shared" si="1"/>
        <v>0</v>
      </c>
      <c r="S26" s="36">
        <f t="shared" si="2"/>
        <v>0</v>
      </c>
      <c r="T26" s="93"/>
    </row>
    <row r="27" spans="1:20" s="60" customFormat="1" ht="22.5" customHeight="1" thickBot="1" x14ac:dyDescent="0.35">
      <c r="A27" s="48"/>
      <c r="B27" s="48" t="s">
        <v>15</v>
      </c>
      <c r="C27" s="49"/>
      <c r="D27" s="104">
        <f>SUM(D14:D26)</f>
        <v>71213.850000000006</v>
      </c>
      <c r="E27" s="105"/>
      <c r="F27" s="105"/>
      <c r="G27" s="56"/>
      <c r="H27" s="106">
        <f>SUM(H14:H26)</f>
        <v>780.00000000000148</v>
      </c>
      <c r="I27" s="106">
        <f>SUM(I14:I26)</f>
        <v>54.600000000000101</v>
      </c>
      <c r="J27" s="106">
        <f>SUM(J14:J26)</f>
        <v>834.60000000000161</v>
      </c>
      <c r="K27" s="104"/>
      <c r="L27" s="104"/>
      <c r="M27" s="104">
        <f>SUM(M14:M26)</f>
        <v>48947.15</v>
      </c>
      <c r="N27" s="107"/>
      <c r="O27" s="107"/>
      <c r="P27" s="108"/>
      <c r="Q27" s="109">
        <f>SUM(Q14:Q26)</f>
        <v>21590</v>
      </c>
      <c r="R27" s="109">
        <f>SUM(R14:R26)</f>
        <v>1511.3000000000002</v>
      </c>
      <c r="S27" s="110">
        <f>SUM(S14:S26)</f>
        <v>23101.300000000003</v>
      </c>
    </row>
    <row r="28" spans="1:20" ht="22.5" customHeight="1" thickTop="1" x14ac:dyDescent="0.3">
      <c r="A28" s="61"/>
      <c r="B28" s="62" t="s">
        <v>71</v>
      </c>
      <c r="C28" s="63"/>
      <c r="D28" s="64"/>
      <c r="E28" s="65"/>
      <c r="F28" s="65"/>
      <c r="G28" s="66"/>
      <c r="H28" s="67"/>
      <c r="I28" s="67"/>
      <c r="J28" s="67"/>
      <c r="K28" s="68"/>
      <c r="L28" s="68"/>
      <c r="M28" s="64"/>
      <c r="N28" s="69"/>
      <c r="O28" s="69"/>
      <c r="P28" s="70"/>
      <c r="Q28" s="71"/>
      <c r="R28" s="71"/>
      <c r="S28" s="72"/>
    </row>
    <row r="29" spans="1:20" ht="22.5" customHeight="1" x14ac:dyDescent="0.5">
      <c r="A29" s="23">
        <v>1</v>
      </c>
      <c r="B29" s="73" t="s">
        <v>72</v>
      </c>
      <c r="C29" s="25" t="s">
        <v>73</v>
      </c>
      <c r="D29" s="43">
        <v>7037.93</v>
      </c>
      <c r="E29" s="74"/>
      <c r="F29" s="80"/>
      <c r="G29" s="77"/>
      <c r="H29" s="76">
        <v>0</v>
      </c>
      <c r="I29" s="76">
        <v>0</v>
      </c>
      <c r="J29" s="76">
        <v>0</v>
      </c>
      <c r="K29" s="38">
        <v>25229</v>
      </c>
      <c r="L29" s="39" t="s">
        <v>955</v>
      </c>
      <c r="M29" s="32">
        <v>7037.93</v>
      </c>
      <c r="N29" s="111"/>
      <c r="O29" s="111"/>
      <c r="P29" s="112"/>
      <c r="Q29" s="113">
        <v>0</v>
      </c>
      <c r="R29" s="114">
        <v>0</v>
      </c>
      <c r="S29" s="36">
        <v>0</v>
      </c>
    </row>
    <row r="30" spans="1:20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116"/>
      <c r="G30" s="97"/>
      <c r="H30" s="76">
        <v>0</v>
      </c>
      <c r="I30" s="76">
        <v>0</v>
      </c>
      <c r="J30" s="76">
        <v>0</v>
      </c>
      <c r="K30" s="101">
        <v>25219</v>
      </c>
      <c r="L30" s="102" t="s">
        <v>956</v>
      </c>
      <c r="M30" s="103">
        <v>14445</v>
      </c>
      <c r="N30" s="117"/>
      <c r="O30" s="117"/>
      <c r="P30" s="118"/>
      <c r="Q30" s="113">
        <v>0</v>
      </c>
      <c r="R30" s="114">
        <v>0</v>
      </c>
      <c r="S30" s="36">
        <v>0</v>
      </c>
    </row>
    <row r="31" spans="1:20" s="60" customFormat="1" ht="22.5" customHeight="1" thickBot="1" x14ac:dyDescent="0.35">
      <c r="A31" s="48"/>
      <c r="B31" s="48" t="s">
        <v>15</v>
      </c>
      <c r="C31" s="49"/>
      <c r="D31" s="50">
        <f>SUM(D29:D30)</f>
        <v>21482.93</v>
      </c>
      <c r="E31" s="50">
        <f t="shared" ref="E31:S31" si="3">SUM(E29:E30)</f>
        <v>0</v>
      </c>
      <c r="F31" s="50"/>
      <c r="G31" s="50">
        <f t="shared" si="3"/>
        <v>0</v>
      </c>
      <c r="H31" s="50">
        <f t="shared" si="3"/>
        <v>0</v>
      </c>
      <c r="I31" s="50">
        <f t="shared" si="3"/>
        <v>0</v>
      </c>
      <c r="J31" s="50">
        <f t="shared" si="3"/>
        <v>0</v>
      </c>
      <c r="K31" s="50"/>
      <c r="L31" s="50">
        <f t="shared" si="3"/>
        <v>0</v>
      </c>
      <c r="M31" s="50">
        <f t="shared" si="3"/>
        <v>21482.93</v>
      </c>
      <c r="N31" s="50">
        <f t="shared" si="3"/>
        <v>0</v>
      </c>
      <c r="O31" s="50"/>
      <c r="P31" s="50">
        <f t="shared" si="3"/>
        <v>0</v>
      </c>
      <c r="Q31" s="50">
        <f t="shared" si="3"/>
        <v>0</v>
      </c>
      <c r="R31" s="50">
        <f t="shared" si="3"/>
        <v>0</v>
      </c>
      <c r="S31" s="50">
        <f t="shared" si="3"/>
        <v>0</v>
      </c>
    </row>
    <row r="32" spans="1:20" ht="22.5" customHeight="1" thickTop="1" x14ac:dyDescent="0.3">
      <c r="A32" s="61"/>
      <c r="B32" s="121" t="s">
        <v>78</v>
      </c>
      <c r="C32" s="63"/>
      <c r="D32" s="64"/>
      <c r="E32" s="65"/>
      <c r="F32" s="65"/>
      <c r="G32" s="66"/>
      <c r="H32" s="67"/>
      <c r="I32" s="67"/>
      <c r="J32" s="67"/>
      <c r="K32" s="68"/>
      <c r="L32" s="68"/>
      <c r="M32" s="64"/>
      <c r="N32" s="69"/>
      <c r="O32" s="69"/>
      <c r="P32" s="70"/>
      <c r="Q32" s="71"/>
      <c r="R32" s="71"/>
      <c r="S32" s="72"/>
    </row>
    <row r="33" spans="1:43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5"/>
      <c r="G33" s="126"/>
      <c r="H33" s="76">
        <v>0</v>
      </c>
      <c r="I33" s="127">
        <v>0</v>
      </c>
      <c r="J33" s="76">
        <v>0</v>
      </c>
      <c r="K33" s="38">
        <v>25225</v>
      </c>
      <c r="L33" s="39" t="s">
        <v>957</v>
      </c>
      <c r="M33" s="40">
        <v>5350</v>
      </c>
      <c r="N33" s="128"/>
      <c r="O33" s="128"/>
      <c r="P33" s="129"/>
      <c r="Q33" s="113">
        <f>SUM(S33-R33)</f>
        <v>0</v>
      </c>
      <c r="R33" s="114">
        <f>SUM(S33*7/107)</f>
        <v>0</v>
      </c>
      <c r="S33" s="36">
        <f>SUM(D33+J33-M33)</f>
        <v>0</v>
      </c>
      <c r="T33" s="130"/>
      <c r="U33" s="130"/>
      <c r="V33" s="131"/>
      <c r="W33" s="132"/>
      <c r="X33" s="131"/>
      <c r="Y33" s="132"/>
      <c r="Z33" s="132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</row>
    <row r="34" spans="1:43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5"/>
      <c r="G34" s="136"/>
      <c r="H34" s="127">
        <v>0</v>
      </c>
      <c r="I34" s="127">
        <v>0</v>
      </c>
      <c r="J34" s="98">
        <v>0</v>
      </c>
      <c r="K34" s="38"/>
      <c r="L34" s="39"/>
      <c r="M34" s="40"/>
      <c r="N34" s="137" t="s">
        <v>958</v>
      </c>
      <c r="O34" s="137" t="s">
        <v>33</v>
      </c>
      <c r="P34" s="137" t="s">
        <v>33</v>
      </c>
      <c r="Q34" s="113">
        <f>SUM(S34-R34)</f>
        <v>5000</v>
      </c>
      <c r="R34" s="114">
        <f>SUM(S34*7/107)</f>
        <v>350</v>
      </c>
      <c r="S34" s="36">
        <f>SUM(D34+J34-M34)</f>
        <v>5350</v>
      </c>
      <c r="T34" s="130"/>
      <c r="U34" s="130"/>
      <c r="V34" s="131"/>
      <c r="W34" s="132"/>
      <c r="X34" s="131"/>
      <c r="Y34" s="132"/>
      <c r="Z34" s="132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</row>
    <row r="35" spans="1:43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105"/>
      <c r="G35" s="56"/>
      <c r="H35" s="109">
        <f>SUM(H33:H34)</f>
        <v>0</v>
      </c>
      <c r="I35" s="109">
        <f>SUM(I33:I34)</f>
        <v>0</v>
      </c>
      <c r="J35" s="109">
        <f>SUM(J33:J34)</f>
        <v>0</v>
      </c>
      <c r="K35" s="109"/>
      <c r="L35" s="109"/>
      <c r="M35" s="138">
        <f>SUM(M33:M34)</f>
        <v>5350</v>
      </c>
      <c r="N35" s="119"/>
      <c r="O35" s="119"/>
      <c r="P35" s="108"/>
      <c r="Q35" s="109">
        <f>SUM(Q33:Q34)</f>
        <v>5000</v>
      </c>
      <c r="R35" s="109">
        <f>SUM(R33:R34)</f>
        <v>350</v>
      </c>
      <c r="S35" s="138">
        <f>SUM(S33:S34)</f>
        <v>5350</v>
      </c>
    </row>
    <row r="36" spans="1:43" ht="22.5" customHeight="1" thickTop="1" x14ac:dyDescent="0.3">
      <c r="A36" s="139"/>
      <c r="B36" s="140" t="s">
        <v>81</v>
      </c>
      <c r="C36" s="141"/>
      <c r="D36" s="91"/>
      <c r="E36" s="142"/>
      <c r="F36" s="142"/>
      <c r="G36" s="92"/>
      <c r="H36" s="143"/>
      <c r="I36" s="143"/>
      <c r="J36" s="143"/>
      <c r="K36" s="68"/>
      <c r="L36" s="68"/>
      <c r="M36" s="64"/>
      <c r="N36" s="144"/>
      <c r="O36" s="144"/>
      <c r="P36" s="145"/>
      <c r="Q36" s="146"/>
      <c r="R36" s="146"/>
      <c r="S36" s="147"/>
    </row>
    <row r="37" spans="1:43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1"/>
      <c r="G37" s="152"/>
      <c r="H37" s="153">
        <v>0</v>
      </c>
      <c r="I37" s="153">
        <v>0</v>
      </c>
      <c r="J37" s="153">
        <v>0</v>
      </c>
      <c r="K37" s="30">
        <v>25212</v>
      </c>
      <c r="L37" s="31" t="s">
        <v>959</v>
      </c>
      <c r="M37" s="32">
        <v>6955</v>
      </c>
      <c r="N37" s="154"/>
      <c r="O37" s="154"/>
      <c r="P37" s="155"/>
      <c r="Q37" s="156">
        <v>0</v>
      </c>
      <c r="R37" s="156">
        <v>0</v>
      </c>
      <c r="S37" s="157">
        <v>0</v>
      </c>
    </row>
    <row r="38" spans="1:43" s="60" customFormat="1" ht="22.5" customHeight="1" thickBot="1" x14ac:dyDescent="0.35">
      <c r="A38" s="158"/>
      <c r="B38" s="158" t="s">
        <v>15</v>
      </c>
      <c r="C38" s="159"/>
      <c r="D38" s="160">
        <v>6955</v>
      </c>
      <c r="E38" s="161"/>
      <c r="F38" s="161"/>
      <c r="G38" s="161"/>
      <c r="H38" s="162">
        <f>SUM(H37)</f>
        <v>0</v>
      </c>
      <c r="I38" s="162">
        <f>SUM(I37)</f>
        <v>0</v>
      </c>
      <c r="J38" s="162">
        <f>SUM(J37)</f>
        <v>0</v>
      </c>
      <c r="K38" s="161"/>
      <c r="L38" s="161"/>
      <c r="M38" s="162">
        <f>SUM(M37)</f>
        <v>6955</v>
      </c>
      <c r="N38" s="158"/>
      <c r="O38" s="158"/>
      <c r="P38" s="161"/>
      <c r="Q38" s="162">
        <f>SUM(Q37)</f>
        <v>0</v>
      </c>
      <c r="R38" s="162">
        <f>SUM(R37)</f>
        <v>0</v>
      </c>
      <c r="S38" s="163">
        <f>SUM(S37)</f>
        <v>0</v>
      </c>
    </row>
    <row r="39" spans="1:43" ht="22.5" customHeight="1" thickTop="1" x14ac:dyDescent="0.3">
      <c r="A39" s="115"/>
      <c r="B39" s="164" t="s">
        <v>85</v>
      </c>
      <c r="C39" s="165"/>
      <c r="D39" s="166"/>
      <c r="E39" s="167"/>
      <c r="F39" s="167"/>
      <c r="G39" s="168"/>
      <c r="H39" s="169"/>
      <c r="I39" s="169"/>
      <c r="J39" s="169"/>
      <c r="K39" s="170"/>
      <c r="L39" s="170"/>
      <c r="M39" s="171"/>
      <c r="N39" s="117"/>
      <c r="O39" s="117"/>
      <c r="P39" s="118"/>
      <c r="Q39" s="172"/>
      <c r="R39" s="172"/>
      <c r="S39" s="173"/>
    </row>
    <row r="40" spans="1:43" ht="22.5" customHeight="1" x14ac:dyDescent="0.3">
      <c r="A40" s="174">
        <v>1</v>
      </c>
      <c r="B40" s="175" t="s">
        <v>86</v>
      </c>
      <c r="C40" s="176" t="s">
        <v>87</v>
      </c>
      <c r="D40" s="177">
        <v>625.95000000000005</v>
      </c>
      <c r="E40" s="178"/>
      <c r="F40" s="178"/>
      <c r="G40" s="179"/>
      <c r="H40" s="180">
        <v>0</v>
      </c>
      <c r="I40" s="180">
        <v>0</v>
      </c>
      <c r="J40" s="181">
        <v>0</v>
      </c>
      <c r="K40" s="182">
        <v>25226</v>
      </c>
      <c r="L40" s="183" t="s">
        <v>960</v>
      </c>
      <c r="M40" s="184">
        <v>625.95000000000005</v>
      </c>
      <c r="N40" s="185"/>
      <c r="O40" s="185"/>
      <c r="P40" s="186"/>
      <c r="Q40" s="187">
        <v>0</v>
      </c>
      <c r="R40" s="187">
        <v>0</v>
      </c>
      <c r="S40" s="188">
        <v>0</v>
      </c>
      <c r="T40" s="3" t="s">
        <v>751</v>
      </c>
    </row>
    <row r="41" spans="1:43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78"/>
      <c r="G41" s="192"/>
      <c r="H41" s="180">
        <v>0</v>
      </c>
      <c r="I41" s="180">
        <v>0</v>
      </c>
      <c r="J41" s="181">
        <v>0</v>
      </c>
      <c r="K41" s="38">
        <v>25222</v>
      </c>
      <c r="L41" s="39" t="s">
        <v>961</v>
      </c>
      <c r="M41" s="40">
        <v>3210</v>
      </c>
      <c r="N41" s="111"/>
      <c r="O41" s="891"/>
      <c r="P41" s="193"/>
      <c r="Q41" s="187">
        <v>0</v>
      </c>
      <c r="R41" s="187">
        <v>0</v>
      </c>
      <c r="S41" s="188">
        <v>0</v>
      </c>
    </row>
    <row r="42" spans="1:43" s="60" customFormat="1" ht="22.5" customHeight="1" thickBot="1" x14ac:dyDescent="0.35">
      <c r="A42" s="194"/>
      <c r="B42" s="194" t="s">
        <v>15</v>
      </c>
      <c r="C42" s="195"/>
      <c r="D42" s="53">
        <f>SUM(D40:D41)</f>
        <v>3835.95</v>
      </c>
      <c r="E42" s="196"/>
      <c r="F42" s="196"/>
      <c r="G42" s="197"/>
      <c r="H42" s="109">
        <f>SUM(H40:H41)</f>
        <v>0</v>
      </c>
      <c r="I42" s="109">
        <f>SUM(I40:I41)</f>
        <v>0</v>
      </c>
      <c r="J42" s="109">
        <f>SUM(J40:J41)</f>
        <v>0</v>
      </c>
      <c r="K42" s="198"/>
      <c r="L42" s="199"/>
      <c r="M42" s="200">
        <f>SUM(M40:M41)</f>
        <v>3835.95</v>
      </c>
      <c r="N42" s="201"/>
      <c r="O42" s="201"/>
      <c r="P42" s="202"/>
      <c r="Q42" s="162">
        <f>SUM(Q40:Q41)</f>
        <v>0</v>
      </c>
      <c r="R42" s="162">
        <f>SUM(R40:R41)</f>
        <v>0</v>
      </c>
      <c r="S42" s="162">
        <f>SUM(S40:S41)</f>
        <v>0</v>
      </c>
      <c r="T42" s="59"/>
    </row>
    <row r="43" spans="1:43" ht="22.5" customHeight="1" thickTop="1" x14ac:dyDescent="0.3">
      <c r="A43" s="61"/>
      <c r="B43" s="62" t="s">
        <v>92</v>
      </c>
      <c r="C43" s="63"/>
      <c r="D43" s="64"/>
      <c r="E43" s="203"/>
      <c r="F43" s="203"/>
      <c r="G43" s="204"/>
      <c r="H43" s="205"/>
      <c r="I43" s="205"/>
      <c r="J43" s="205"/>
      <c r="K43" s="68"/>
      <c r="L43" s="68"/>
      <c r="M43" s="64"/>
      <c r="N43" s="61"/>
      <c r="O43" s="61"/>
      <c r="P43" s="204"/>
      <c r="Q43" s="206"/>
      <c r="R43" s="206"/>
      <c r="S43" s="207"/>
      <c r="T43" s="2"/>
    </row>
    <row r="44" spans="1:43" ht="22.5" customHeight="1" x14ac:dyDescent="0.5">
      <c r="A44" s="208">
        <v>1</v>
      </c>
      <c r="B44" s="209" t="s">
        <v>93</v>
      </c>
      <c r="C44" s="210" t="s">
        <v>43</v>
      </c>
      <c r="D44" s="211">
        <v>3381.2</v>
      </c>
      <c r="E44" s="212"/>
      <c r="F44" s="212"/>
      <c r="G44" s="213"/>
      <c r="H44" s="214">
        <v>0</v>
      </c>
      <c r="I44" s="214">
        <v>0</v>
      </c>
      <c r="J44" s="214">
        <v>0</v>
      </c>
      <c r="K44" s="30">
        <v>25229</v>
      </c>
      <c r="L44" s="31" t="s">
        <v>963</v>
      </c>
      <c r="M44" s="32">
        <v>3381.2</v>
      </c>
      <c r="N44" s="215"/>
      <c r="O44" s="215"/>
      <c r="P44" s="216"/>
      <c r="Q44" s="113">
        <f>SUM(S44-R44)</f>
        <v>0</v>
      </c>
      <c r="R44" s="113">
        <f>SUM(S44*7/107)</f>
        <v>0</v>
      </c>
      <c r="S44" s="217">
        <f>SUM(D44+J44-M44)</f>
        <v>0</v>
      </c>
      <c r="T44" s="218"/>
    </row>
    <row r="45" spans="1:43" ht="22.5" customHeight="1" x14ac:dyDescent="0.5">
      <c r="A45" s="208"/>
      <c r="B45" s="209" t="s">
        <v>95</v>
      </c>
      <c r="C45" s="210" t="s">
        <v>43</v>
      </c>
      <c r="D45" s="211">
        <v>7350.9</v>
      </c>
      <c r="E45" s="212"/>
      <c r="F45" s="212"/>
      <c r="G45" s="213"/>
      <c r="H45" s="214">
        <v>0</v>
      </c>
      <c r="I45" s="214">
        <v>0</v>
      </c>
      <c r="J45" s="214">
        <v>0</v>
      </c>
      <c r="K45" s="30">
        <v>25229</v>
      </c>
      <c r="L45" s="31" t="s">
        <v>963</v>
      </c>
      <c r="M45" s="32">
        <v>7350.9</v>
      </c>
      <c r="N45" s="215"/>
      <c r="O45" s="215"/>
      <c r="P45" s="216"/>
      <c r="Q45" s="113">
        <f t="shared" ref="Q45:Q109" si="4">SUM(S45-R45)</f>
        <v>0</v>
      </c>
      <c r="R45" s="113">
        <f t="shared" ref="R45:R109" si="5">SUM(S45*7/107)</f>
        <v>0</v>
      </c>
      <c r="S45" s="217">
        <f t="shared" ref="S45:S109" si="6">SUM(D45+J45-M45)</f>
        <v>0</v>
      </c>
      <c r="T45" s="218"/>
    </row>
    <row r="46" spans="1:43" ht="22.5" customHeight="1" x14ac:dyDescent="0.5">
      <c r="A46" s="208">
        <v>2</v>
      </c>
      <c r="B46" s="73" t="s">
        <v>96</v>
      </c>
      <c r="C46" s="25" t="s">
        <v>97</v>
      </c>
      <c r="D46" s="211">
        <v>6837.3</v>
      </c>
      <c r="E46" s="212"/>
      <c r="F46" s="212"/>
      <c r="G46" s="213"/>
      <c r="H46" s="219">
        <v>-3.3999801935436569E-12</v>
      </c>
      <c r="I46" s="214">
        <v>-2.3799861354805596E-13</v>
      </c>
      <c r="J46" s="219">
        <v>-3.637978807091713E-12</v>
      </c>
      <c r="K46" s="30"/>
      <c r="L46" s="220"/>
      <c r="M46" s="221"/>
      <c r="N46" s="215" t="s">
        <v>958</v>
      </c>
      <c r="O46" s="215" t="s">
        <v>33</v>
      </c>
      <c r="P46" s="216" t="s">
        <v>33</v>
      </c>
      <c r="Q46" s="113">
        <f t="shared" si="4"/>
        <v>6389.9999999999964</v>
      </c>
      <c r="R46" s="113">
        <f t="shared" si="5"/>
        <v>447.29999999999978</v>
      </c>
      <c r="S46" s="217">
        <f t="shared" si="6"/>
        <v>6837.2999999999965</v>
      </c>
      <c r="T46" s="2"/>
    </row>
    <row r="47" spans="1:43" ht="22.5" customHeight="1" x14ac:dyDescent="0.5">
      <c r="A47" s="208">
        <v>3</v>
      </c>
      <c r="B47" s="73" t="s">
        <v>99</v>
      </c>
      <c r="C47" s="25" t="s">
        <v>100</v>
      </c>
      <c r="D47" s="211">
        <v>4815</v>
      </c>
      <c r="E47" s="212"/>
      <c r="F47" s="212"/>
      <c r="G47" s="213"/>
      <c r="H47" s="219">
        <v>-8.4999504838591423E-13</v>
      </c>
      <c r="I47" s="214">
        <v>-5.9499653387013991E-14</v>
      </c>
      <c r="J47" s="219">
        <v>-9.0949470177292824E-13</v>
      </c>
      <c r="K47" s="30">
        <v>25233</v>
      </c>
      <c r="L47" s="31" t="s">
        <v>964</v>
      </c>
      <c r="M47" s="32">
        <v>4815</v>
      </c>
      <c r="N47" s="215"/>
      <c r="O47" s="215"/>
      <c r="P47" s="216"/>
      <c r="Q47" s="113">
        <f t="shared" si="4"/>
        <v>-8.4999504838591423E-13</v>
      </c>
      <c r="R47" s="113">
        <f t="shared" si="5"/>
        <v>-5.9499653387013991E-14</v>
      </c>
      <c r="S47" s="217">
        <f t="shared" si="6"/>
        <v>-9.0949470177292824E-13</v>
      </c>
      <c r="T47" s="2"/>
    </row>
    <row r="48" spans="1:43" ht="22.5" customHeight="1" x14ac:dyDescent="0.5">
      <c r="A48" s="208"/>
      <c r="B48" s="24" t="s">
        <v>102</v>
      </c>
      <c r="C48" s="222" t="s">
        <v>100</v>
      </c>
      <c r="D48" s="211">
        <v>246.1</v>
      </c>
      <c r="E48" s="212"/>
      <c r="F48" s="212"/>
      <c r="G48" s="213"/>
      <c r="H48" s="219">
        <v>0</v>
      </c>
      <c r="I48" s="214">
        <v>0</v>
      </c>
      <c r="J48" s="219">
        <v>0</v>
      </c>
      <c r="K48" s="30">
        <v>25233</v>
      </c>
      <c r="L48" s="31" t="s">
        <v>964</v>
      </c>
      <c r="M48" s="32">
        <v>246.1</v>
      </c>
      <c r="N48" s="215"/>
      <c r="O48" s="215"/>
      <c r="P48" s="216"/>
      <c r="Q48" s="113">
        <f t="shared" si="4"/>
        <v>0</v>
      </c>
      <c r="R48" s="113">
        <f t="shared" si="5"/>
        <v>0</v>
      </c>
      <c r="S48" s="217">
        <f t="shared" si="6"/>
        <v>0</v>
      </c>
      <c r="T48" s="2"/>
    </row>
    <row r="49" spans="1:20" ht="22.5" customHeight="1" x14ac:dyDescent="0.5">
      <c r="A49" s="208">
        <v>4</v>
      </c>
      <c r="B49" s="73" t="s">
        <v>103</v>
      </c>
      <c r="C49" s="25" t="s">
        <v>97</v>
      </c>
      <c r="D49" s="211">
        <v>470.8</v>
      </c>
      <c r="E49" s="212"/>
      <c r="F49" s="212"/>
      <c r="G49" s="213"/>
      <c r="H49" s="219">
        <v>0</v>
      </c>
      <c r="I49" s="214">
        <v>0</v>
      </c>
      <c r="J49" s="219">
        <v>0</v>
      </c>
      <c r="K49" s="30">
        <v>25233</v>
      </c>
      <c r="L49" s="31" t="s">
        <v>965</v>
      </c>
      <c r="M49" s="32">
        <v>470.8</v>
      </c>
      <c r="N49" s="215"/>
      <c r="O49" s="215"/>
      <c r="P49" s="216"/>
      <c r="Q49" s="113">
        <f t="shared" si="4"/>
        <v>0</v>
      </c>
      <c r="R49" s="113">
        <f t="shared" si="5"/>
        <v>0</v>
      </c>
      <c r="S49" s="217">
        <f t="shared" si="6"/>
        <v>0</v>
      </c>
      <c r="T49" s="2"/>
    </row>
    <row r="50" spans="1:20" ht="22.5" customHeight="1" x14ac:dyDescent="0.5">
      <c r="A50" s="208"/>
      <c r="B50" s="73" t="s">
        <v>104</v>
      </c>
      <c r="C50" s="25" t="s">
        <v>97</v>
      </c>
      <c r="D50" s="211">
        <v>18286.3</v>
      </c>
      <c r="E50" s="212"/>
      <c r="F50" s="212"/>
      <c r="G50" s="213"/>
      <c r="H50" s="219">
        <v>0</v>
      </c>
      <c r="I50" s="214">
        <v>0</v>
      </c>
      <c r="J50" s="219">
        <v>0</v>
      </c>
      <c r="K50" s="30">
        <v>25233</v>
      </c>
      <c r="L50" s="31" t="s">
        <v>965</v>
      </c>
      <c r="M50" s="32">
        <v>18286.3</v>
      </c>
      <c r="N50" s="215"/>
      <c r="O50" s="215"/>
      <c r="P50" s="216"/>
      <c r="Q50" s="113">
        <f t="shared" si="4"/>
        <v>0</v>
      </c>
      <c r="R50" s="113">
        <f t="shared" si="5"/>
        <v>0</v>
      </c>
      <c r="S50" s="217">
        <f t="shared" si="6"/>
        <v>0</v>
      </c>
      <c r="T50" s="2"/>
    </row>
    <row r="51" spans="1:20" ht="22.5" customHeight="1" x14ac:dyDescent="0.5">
      <c r="A51" s="208">
        <v>5</v>
      </c>
      <c r="B51" s="73" t="s">
        <v>105</v>
      </c>
      <c r="C51" s="25" t="s">
        <v>97</v>
      </c>
      <c r="D51" s="211">
        <v>11737.9</v>
      </c>
      <c r="E51" s="212"/>
      <c r="F51" s="212"/>
      <c r="G51" s="213"/>
      <c r="H51" s="219">
        <v>6.7999603870873139E-12</v>
      </c>
      <c r="I51" s="214">
        <v>4.7599722709611193E-13</v>
      </c>
      <c r="J51" s="219">
        <v>7.2759576141834259E-12</v>
      </c>
      <c r="K51" s="30">
        <v>25232</v>
      </c>
      <c r="L51" s="31" t="s">
        <v>966</v>
      </c>
      <c r="M51" s="32">
        <v>11737.9</v>
      </c>
      <c r="N51" s="215"/>
      <c r="O51" s="215"/>
      <c r="P51" s="216"/>
      <c r="Q51" s="113">
        <f t="shared" si="4"/>
        <v>6.7999603870873139E-12</v>
      </c>
      <c r="R51" s="113">
        <f t="shared" si="5"/>
        <v>4.7599722709611193E-13</v>
      </c>
      <c r="S51" s="217">
        <f t="shared" si="6"/>
        <v>7.2759576141834259E-12</v>
      </c>
      <c r="T51" s="2"/>
    </row>
    <row r="52" spans="1:20" ht="22.5" customHeight="1" x14ac:dyDescent="0.5">
      <c r="A52" s="208">
        <v>6</v>
      </c>
      <c r="B52" s="73" t="s">
        <v>107</v>
      </c>
      <c r="C52" s="25" t="s">
        <v>97</v>
      </c>
      <c r="D52" s="211">
        <v>535</v>
      </c>
      <c r="E52" s="212" t="s">
        <v>935</v>
      </c>
      <c r="F52" s="212"/>
      <c r="G52" s="213" t="s">
        <v>33</v>
      </c>
      <c r="H52" s="219">
        <v>500</v>
      </c>
      <c r="I52" s="214">
        <v>35</v>
      </c>
      <c r="J52" s="219">
        <v>535</v>
      </c>
      <c r="K52" s="30">
        <v>25209</v>
      </c>
      <c r="L52" s="31" t="s">
        <v>967</v>
      </c>
      <c r="M52" s="32">
        <v>535</v>
      </c>
      <c r="N52" s="215" t="s">
        <v>958</v>
      </c>
      <c r="O52" s="215" t="s">
        <v>33</v>
      </c>
      <c r="P52" s="216" t="s">
        <v>33</v>
      </c>
      <c r="Q52" s="113">
        <f t="shared" si="4"/>
        <v>500</v>
      </c>
      <c r="R52" s="113">
        <f t="shared" si="5"/>
        <v>35</v>
      </c>
      <c r="S52" s="217">
        <f t="shared" si="6"/>
        <v>535</v>
      </c>
      <c r="T52" s="2" t="s">
        <v>832</v>
      </c>
    </row>
    <row r="53" spans="1:20" ht="22.5" customHeight="1" x14ac:dyDescent="0.5">
      <c r="A53" s="208">
        <v>7</v>
      </c>
      <c r="B53" s="209" t="s">
        <v>109</v>
      </c>
      <c r="C53" s="210" t="s">
        <v>97</v>
      </c>
      <c r="D53" s="211">
        <v>42479</v>
      </c>
      <c r="E53" s="212"/>
      <c r="F53" s="212"/>
      <c r="G53" s="213"/>
      <c r="H53" s="214">
        <v>0</v>
      </c>
      <c r="I53" s="214">
        <v>0</v>
      </c>
      <c r="J53" s="214">
        <v>0</v>
      </c>
      <c r="K53" s="30">
        <v>25233</v>
      </c>
      <c r="L53" s="31" t="s">
        <v>968</v>
      </c>
      <c r="M53" s="32">
        <v>42479</v>
      </c>
      <c r="N53" s="215"/>
      <c r="O53" s="215"/>
      <c r="P53" s="216"/>
      <c r="Q53" s="113">
        <f t="shared" si="4"/>
        <v>0</v>
      </c>
      <c r="R53" s="113">
        <f t="shared" si="5"/>
        <v>0</v>
      </c>
      <c r="S53" s="217">
        <f t="shared" si="6"/>
        <v>0</v>
      </c>
      <c r="T53" s="218"/>
    </row>
    <row r="54" spans="1:20" ht="22.5" customHeight="1" x14ac:dyDescent="0.5">
      <c r="A54" s="208">
        <v>8</v>
      </c>
      <c r="B54" s="73" t="s">
        <v>110</v>
      </c>
      <c r="C54" s="25" t="s">
        <v>87</v>
      </c>
      <c r="D54" s="211">
        <v>8934.5</v>
      </c>
      <c r="E54" s="212"/>
      <c r="F54" s="212"/>
      <c r="G54" s="213"/>
      <c r="H54" s="219">
        <v>0</v>
      </c>
      <c r="I54" s="214">
        <v>0</v>
      </c>
      <c r="J54" s="219">
        <v>0</v>
      </c>
      <c r="K54" s="30">
        <v>25226</v>
      </c>
      <c r="L54" s="31" t="s">
        <v>969</v>
      </c>
      <c r="M54" s="32">
        <v>8934.5</v>
      </c>
      <c r="N54" s="215"/>
      <c r="O54" s="215"/>
      <c r="P54" s="216"/>
      <c r="Q54" s="113">
        <f t="shared" si="4"/>
        <v>0</v>
      </c>
      <c r="R54" s="113">
        <f t="shared" si="5"/>
        <v>0</v>
      </c>
      <c r="S54" s="217">
        <f t="shared" si="6"/>
        <v>0</v>
      </c>
      <c r="T54" s="2"/>
    </row>
    <row r="55" spans="1:20" ht="22.5" customHeight="1" x14ac:dyDescent="0.5">
      <c r="A55" s="208">
        <v>9</v>
      </c>
      <c r="B55" s="73" t="s">
        <v>112</v>
      </c>
      <c r="C55" s="25" t="s">
        <v>113</v>
      </c>
      <c r="D55" s="211">
        <v>2428.9</v>
      </c>
      <c r="E55" s="212"/>
      <c r="F55" s="212"/>
      <c r="G55" s="213"/>
      <c r="H55" s="219">
        <v>8.4999504838591423E-13</v>
      </c>
      <c r="I55" s="214">
        <v>5.9499653387013991E-14</v>
      </c>
      <c r="J55" s="219">
        <v>9.0949470177292824E-13</v>
      </c>
      <c r="K55" s="30"/>
      <c r="L55" s="31"/>
      <c r="M55" s="32"/>
      <c r="N55" s="215" t="s">
        <v>958</v>
      </c>
      <c r="O55" s="215" t="s">
        <v>33</v>
      </c>
      <c r="P55" s="216" t="s">
        <v>33</v>
      </c>
      <c r="Q55" s="113">
        <f t="shared" si="4"/>
        <v>2270.0000000000009</v>
      </c>
      <c r="R55" s="113">
        <f t="shared" si="5"/>
        <v>158.90000000000006</v>
      </c>
      <c r="S55" s="217">
        <f t="shared" si="6"/>
        <v>2428.900000000001</v>
      </c>
      <c r="T55" s="2"/>
    </row>
    <row r="56" spans="1:20" ht="22.5" customHeight="1" x14ac:dyDescent="0.5">
      <c r="A56" s="208"/>
      <c r="B56" s="73" t="s">
        <v>116</v>
      </c>
      <c r="C56" s="25" t="s">
        <v>113</v>
      </c>
      <c r="D56" s="211">
        <v>4686.6000000000004</v>
      </c>
      <c r="E56" s="212" t="s">
        <v>935</v>
      </c>
      <c r="F56" s="212"/>
      <c r="G56" s="213" t="s">
        <v>33</v>
      </c>
      <c r="H56" s="219">
        <v>4680.0000000000018</v>
      </c>
      <c r="I56" s="214">
        <v>327.60000000000014</v>
      </c>
      <c r="J56" s="219">
        <v>5007.6000000000022</v>
      </c>
      <c r="K56" s="30"/>
      <c r="L56" s="31"/>
      <c r="M56" s="32"/>
      <c r="N56" s="215" t="s">
        <v>970</v>
      </c>
      <c r="O56" s="215" t="s">
        <v>115</v>
      </c>
      <c r="P56" s="216" t="s">
        <v>115</v>
      </c>
      <c r="Q56" s="113">
        <f t="shared" si="4"/>
        <v>9060.0000000000018</v>
      </c>
      <c r="R56" s="113">
        <f t="shared" si="5"/>
        <v>634.20000000000027</v>
      </c>
      <c r="S56" s="217">
        <f t="shared" si="6"/>
        <v>9694.2000000000025</v>
      </c>
      <c r="T56" s="2"/>
    </row>
    <row r="57" spans="1:20" ht="22.5" customHeight="1" x14ac:dyDescent="0.5">
      <c r="A57" s="208">
        <v>10</v>
      </c>
      <c r="B57" s="73" t="s">
        <v>117</v>
      </c>
      <c r="C57" s="25" t="s">
        <v>118</v>
      </c>
      <c r="D57" s="211">
        <v>1326.8</v>
      </c>
      <c r="E57" s="212" t="s">
        <v>935</v>
      </c>
      <c r="F57" s="212"/>
      <c r="G57" s="213" t="s">
        <v>33</v>
      </c>
      <c r="H57" s="219">
        <v>410.00000000000006</v>
      </c>
      <c r="I57" s="214">
        <v>28.700000000000006</v>
      </c>
      <c r="J57" s="219">
        <v>438.70000000000005</v>
      </c>
      <c r="K57" s="30">
        <v>25208</v>
      </c>
      <c r="L57" s="31" t="s">
        <v>971</v>
      </c>
      <c r="M57" s="32">
        <v>438.7</v>
      </c>
      <c r="N57" s="215" t="s">
        <v>958</v>
      </c>
      <c r="O57" s="215" t="s">
        <v>33</v>
      </c>
      <c r="P57" s="216" t="s">
        <v>33</v>
      </c>
      <c r="Q57" s="113">
        <f t="shared" si="4"/>
        <v>1240</v>
      </c>
      <c r="R57" s="113">
        <f t="shared" si="5"/>
        <v>86.8</v>
      </c>
      <c r="S57" s="217">
        <f t="shared" si="6"/>
        <v>1326.8</v>
      </c>
      <c r="T57" s="2"/>
    </row>
    <row r="58" spans="1:20" ht="22.5" customHeight="1" x14ac:dyDescent="0.5">
      <c r="A58" s="208"/>
      <c r="B58" s="73" t="s">
        <v>120</v>
      </c>
      <c r="C58" s="25" t="s">
        <v>118</v>
      </c>
      <c r="D58" s="211">
        <v>9276.9</v>
      </c>
      <c r="E58" s="212" t="s">
        <v>935</v>
      </c>
      <c r="F58" s="212"/>
      <c r="G58" s="213" t="s">
        <v>33</v>
      </c>
      <c r="H58" s="219">
        <v>3540</v>
      </c>
      <c r="I58" s="214">
        <v>247.8</v>
      </c>
      <c r="J58" s="219">
        <v>3787.8</v>
      </c>
      <c r="K58" s="30">
        <v>25208</v>
      </c>
      <c r="L58" s="31" t="s">
        <v>971</v>
      </c>
      <c r="M58" s="32">
        <v>3787.8</v>
      </c>
      <c r="N58" s="215" t="s">
        <v>958</v>
      </c>
      <c r="O58" s="215" t="s">
        <v>33</v>
      </c>
      <c r="P58" s="216" t="s">
        <v>33</v>
      </c>
      <c r="Q58" s="113">
        <f t="shared" si="4"/>
        <v>8670.0000000000018</v>
      </c>
      <c r="R58" s="113">
        <f t="shared" si="5"/>
        <v>606.90000000000009</v>
      </c>
      <c r="S58" s="217">
        <f t="shared" si="6"/>
        <v>9276.9000000000015</v>
      </c>
      <c r="T58" s="2"/>
    </row>
    <row r="59" spans="1:20" ht="22.5" customHeight="1" x14ac:dyDescent="0.5">
      <c r="A59" s="208">
        <v>11</v>
      </c>
      <c r="B59" s="73" t="s">
        <v>121</v>
      </c>
      <c r="C59" s="83" t="s">
        <v>122</v>
      </c>
      <c r="D59" s="211">
        <v>8164.1</v>
      </c>
      <c r="E59" s="212" t="s">
        <v>935</v>
      </c>
      <c r="F59" s="212"/>
      <c r="G59" s="213" t="s">
        <v>33</v>
      </c>
      <c r="H59" s="219">
        <v>7379.9999999999982</v>
      </c>
      <c r="I59" s="214">
        <v>516.59999999999991</v>
      </c>
      <c r="J59" s="219">
        <v>7896.5999999999985</v>
      </c>
      <c r="K59" s="30" t="s">
        <v>972</v>
      </c>
      <c r="L59" s="31" t="s">
        <v>973</v>
      </c>
      <c r="M59" s="32">
        <v>16060.7</v>
      </c>
      <c r="N59" s="215"/>
      <c r="O59" s="215"/>
      <c r="P59" s="216"/>
      <c r="Q59" s="113">
        <f t="shared" si="4"/>
        <v>-1.6999900967718285E-12</v>
      </c>
      <c r="R59" s="113">
        <f t="shared" si="5"/>
        <v>-1.1899930677402798E-13</v>
      </c>
      <c r="S59" s="217">
        <f t="shared" si="6"/>
        <v>-1.8189894035458565E-12</v>
      </c>
      <c r="T59" s="223"/>
    </row>
    <row r="60" spans="1:20" ht="22.5" customHeight="1" x14ac:dyDescent="0.5">
      <c r="A60" s="208"/>
      <c r="B60" s="73" t="s">
        <v>121</v>
      </c>
      <c r="C60" s="83" t="s">
        <v>122</v>
      </c>
      <c r="D60" s="211">
        <v>2011.6</v>
      </c>
      <c r="E60" s="212" t="s">
        <v>935</v>
      </c>
      <c r="F60" s="212"/>
      <c r="G60" s="213" t="s">
        <v>33</v>
      </c>
      <c r="H60" s="219">
        <v>3610</v>
      </c>
      <c r="I60" s="214">
        <v>252.7</v>
      </c>
      <c r="J60" s="219">
        <v>3862.7</v>
      </c>
      <c r="K60" s="30" t="s">
        <v>972</v>
      </c>
      <c r="L60" s="31" t="s">
        <v>973</v>
      </c>
      <c r="M60" s="32">
        <v>5874.2999999999993</v>
      </c>
      <c r="N60" s="215"/>
      <c r="O60" s="215"/>
      <c r="P60" s="216"/>
      <c r="Q60" s="113">
        <f t="shared" si="4"/>
        <v>0</v>
      </c>
      <c r="R60" s="113">
        <f t="shared" si="5"/>
        <v>0</v>
      </c>
      <c r="S60" s="217">
        <f t="shared" si="6"/>
        <v>0</v>
      </c>
      <c r="T60" s="223"/>
    </row>
    <row r="61" spans="1:20" ht="22.5" customHeight="1" x14ac:dyDescent="0.5">
      <c r="A61" s="208">
        <v>12</v>
      </c>
      <c r="B61" s="73" t="s">
        <v>124</v>
      </c>
      <c r="C61" s="83" t="s">
        <v>125</v>
      </c>
      <c r="D61" s="211">
        <v>4975.5</v>
      </c>
      <c r="E61" s="212"/>
      <c r="F61" s="212"/>
      <c r="G61" s="213"/>
      <c r="H61" s="219">
        <v>0</v>
      </c>
      <c r="I61" s="214">
        <v>0</v>
      </c>
      <c r="J61" s="219">
        <v>0</v>
      </c>
      <c r="K61" s="30"/>
      <c r="L61" s="31"/>
      <c r="M61" s="32"/>
      <c r="N61" s="215" t="s">
        <v>958</v>
      </c>
      <c r="O61" s="215" t="s">
        <v>33</v>
      </c>
      <c r="P61" s="216" t="s">
        <v>33</v>
      </c>
      <c r="Q61" s="113">
        <f t="shared" si="4"/>
        <v>4650</v>
      </c>
      <c r="R61" s="113">
        <f t="shared" si="5"/>
        <v>325.5</v>
      </c>
      <c r="S61" s="217">
        <f t="shared" si="6"/>
        <v>4975.5</v>
      </c>
      <c r="T61" s="2"/>
    </row>
    <row r="62" spans="1:20" ht="22.5" customHeight="1" x14ac:dyDescent="0.5">
      <c r="A62" s="208">
        <v>13</v>
      </c>
      <c r="B62" s="78" t="s">
        <v>127</v>
      </c>
      <c r="C62" s="25" t="s">
        <v>128</v>
      </c>
      <c r="D62" s="211"/>
      <c r="E62" s="212"/>
      <c r="F62" s="212"/>
      <c r="G62" s="213"/>
      <c r="H62" s="224">
        <v>0</v>
      </c>
      <c r="I62" s="214">
        <v>0</v>
      </c>
      <c r="J62" s="219">
        <v>0</v>
      </c>
      <c r="K62" s="38"/>
      <c r="L62" s="39"/>
      <c r="M62" s="40"/>
      <c r="N62" s="215"/>
      <c r="O62" s="215"/>
      <c r="P62" s="216"/>
      <c r="Q62" s="113">
        <f t="shared" si="4"/>
        <v>0</v>
      </c>
      <c r="R62" s="113">
        <f t="shared" si="5"/>
        <v>0</v>
      </c>
      <c r="S62" s="217">
        <f t="shared" si="6"/>
        <v>0</v>
      </c>
      <c r="T62" s="2"/>
    </row>
    <row r="63" spans="1:20" ht="22.5" customHeight="1" x14ac:dyDescent="0.5">
      <c r="A63" s="208">
        <v>14</v>
      </c>
      <c r="B63" s="78" t="s">
        <v>129</v>
      </c>
      <c r="C63" s="210" t="s">
        <v>130</v>
      </c>
      <c r="D63" s="211">
        <v>4387</v>
      </c>
      <c r="E63" s="212" t="s">
        <v>935</v>
      </c>
      <c r="F63" s="212"/>
      <c r="G63" s="213" t="s">
        <v>33</v>
      </c>
      <c r="H63" s="224">
        <v>2589.9999999999991</v>
      </c>
      <c r="I63" s="214">
        <v>181.29999999999995</v>
      </c>
      <c r="J63" s="219">
        <v>2771.2999999999993</v>
      </c>
      <c r="K63" s="30">
        <v>25226</v>
      </c>
      <c r="L63" s="31" t="s">
        <v>974</v>
      </c>
      <c r="M63" s="32">
        <v>2771.3</v>
      </c>
      <c r="N63" s="215" t="s">
        <v>958</v>
      </c>
      <c r="O63" s="215" t="s">
        <v>33</v>
      </c>
      <c r="P63" s="216" t="s">
        <v>33</v>
      </c>
      <c r="Q63" s="113">
        <f t="shared" si="4"/>
        <v>4099.9999999999991</v>
      </c>
      <c r="R63" s="113">
        <f t="shared" si="5"/>
        <v>286.99999999999994</v>
      </c>
      <c r="S63" s="217">
        <f t="shared" si="6"/>
        <v>4386.9999999999991</v>
      </c>
      <c r="T63" s="2"/>
    </row>
    <row r="64" spans="1:20" ht="22.5" customHeight="1" x14ac:dyDescent="0.5">
      <c r="A64" s="208"/>
      <c r="B64" s="78" t="s">
        <v>132</v>
      </c>
      <c r="C64" s="210" t="s">
        <v>130</v>
      </c>
      <c r="D64" s="211">
        <v>9448.1</v>
      </c>
      <c r="E64" s="212" t="s">
        <v>935</v>
      </c>
      <c r="F64" s="212"/>
      <c r="G64" s="213" t="s">
        <v>33</v>
      </c>
      <c r="H64" s="224">
        <v>10769.999999999995</v>
      </c>
      <c r="I64" s="214">
        <v>753.89999999999964</v>
      </c>
      <c r="J64" s="219">
        <v>11523.899999999994</v>
      </c>
      <c r="K64" s="30">
        <v>25226</v>
      </c>
      <c r="L64" s="31" t="s">
        <v>974</v>
      </c>
      <c r="M64" s="32">
        <v>11523.9</v>
      </c>
      <c r="N64" s="215" t="s">
        <v>958</v>
      </c>
      <c r="O64" s="215" t="s">
        <v>33</v>
      </c>
      <c r="P64" s="216" t="s">
        <v>33</v>
      </c>
      <c r="Q64" s="113">
        <f t="shared" si="4"/>
        <v>8829.9999999999927</v>
      </c>
      <c r="R64" s="113">
        <f t="shared" si="5"/>
        <v>618.09999999999957</v>
      </c>
      <c r="S64" s="217">
        <f t="shared" si="6"/>
        <v>9448.0999999999931</v>
      </c>
      <c r="T64" s="2"/>
    </row>
    <row r="65" spans="1:20" ht="22.5" customHeight="1" x14ac:dyDescent="0.5">
      <c r="A65" s="208">
        <v>15</v>
      </c>
      <c r="B65" s="78" t="s">
        <v>134</v>
      </c>
      <c r="C65" s="165" t="s">
        <v>135</v>
      </c>
      <c r="D65" s="211">
        <v>5606.8</v>
      </c>
      <c r="E65" s="212" t="s">
        <v>935</v>
      </c>
      <c r="F65" s="212"/>
      <c r="G65" s="213" t="s">
        <v>33</v>
      </c>
      <c r="H65" s="224">
        <v>6199.9999999999991</v>
      </c>
      <c r="I65" s="214">
        <v>433.99999999999994</v>
      </c>
      <c r="J65" s="219">
        <v>6633.9999999999991</v>
      </c>
      <c r="K65" s="38" t="s">
        <v>975</v>
      </c>
      <c r="L65" s="39" t="s">
        <v>976</v>
      </c>
      <c r="M65" s="40">
        <v>12240.8</v>
      </c>
      <c r="N65" s="215"/>
      <c r="O65" s="215"/>
      <c r="P65" s="216"/>
      <c r="Q65" s="113">
        <f t="shared" si="4"/>
        <v>0</v>
      </c>
      <c r="R65" s="113">
        <f t="shared" si="5"/>
        <v>0</v>
      </c>
      <c r="S65" s="217">
        <f t="shared" si="6"/>
        <v>0</v>
      </c>
      <c r="T65" s="2"/>
    </row>
    <row r="66" spans="1:20" s="229" customFormat="1" ht="22.5" customHeight="1" x14ac:dyDescent="0.5">
      <c r="A66" s="225">
        <v>16</v>
      </c>
      <c r="B66" s="226" t="s">
        <v>137</v>
      </c>
      <c r="C66" s="227"/>
      <c r="D66" s="211">
        <v>4023.2</v>
      </c>
      <c r="E66" s="212" t="s">
        <v>935</v>
      </c>
      <c r="F66" s="234"/>
      <c r="G66" s="228" t="s">
        <v>33</v>
      </c>
      <c r="H66" s="224">
        <v>2280.0000000000005</v>
      </c>
      <c r="I66" s="214">
        <v>159.60000000000005</v>
      </c>
      <c r="J66" s="224">
        <v>2439.6000000000004</v>
      </c>
      <c r="K66" s="38">
        <v>25212</v>
      </c>
      <c r="L66" s="39" t="s">
        <v>977</v>
      </c>
      <c r="M66" s="40">
        <v>2439.6</v>
      </c>
      <c r="N66" s="215" t="s">
        <v>958</v>
      </c>
      <c r="O66" s="215" t="s">
        <v>33</v>
      </c>
      <c r="P66" s="216" t="s">
        <v>33</v>
      </c>
      <c r="Q66" s="113">
        <f t="shared" si="4"/>
        <v>3760.0000000000005</v>
      </c>
      <c r="R66" s="113">
        <f t="shared" si="5"/>
        <v>263.2</v>
      </c>
      <c r="S66" s="217">
        <f t="shared" si="6"/>
        <v>4023.2000000000003</v>
      </c>
      <c r="T66" s="47"/>
    </row>
    <row r="67" spans="1:20" s="229" customFormat="1" ht="22.5" customHeight="1" x14ac:dyDescent="0.5">
      <c r="A67" s="225"/>
      <c r="B67" s="226" t="s">
        <v>139</v>
      </c>
      <c r="C67" s="227" t="s">
        <v>140</v>
      </c>
      <c r="D67" s="211"/>
      <c r="E67" s="230"/>
      <c r="F67" s="230"/>
      <c r="G67" s="231"/>
      <c r="H67" s="232">
        <v>0</v>
      </c>
      <c r="I67" s="233">
        <v>0</v>
      </c>
      <c r="J67" s="232">
        <v>0</v>
      </c>
      <c r="K67" s="38"/>
      <c r="L67" s="39"/>
      <c r="M67" s="40"/>
      <c r="N67" s="215"/>
      <c r="O67" s="215"/>
      <c r="P67" s="216"/>
      <c r="Q67" s="113">
        <f t="shared" si="4"/>
        <v>0</v>
      </c>
      <c r="R67" s="113">
        <f t="shared" si="5"/>
        <v>0</v>
      </c>
      <c r="S67" s="217">
        <f t="shared" si="6"/>
        <v>0</v>
      </c>
      <c r="T67" s="47"/>
    </row>
    <row r="68" spans="1:20" ht="22.5" customHeight="1" x14ac:dyDescent="0.5">
      <c r="A68" s="208">
        <v>17</v>
      </c>
      <c r="B68" s="78" t="s">
        <v>54</v>
      </c>
      <c r="C68" s="81" t="s">
        <v>55</v>
      </c>
      <c r="D68" s="211">
        <v>12593.9</v>
      </c>
      <c r="E68" s="212"/>
      <c r="F68" s="234"/>
      <c r="G68" s="228"/>
      <c r="H68" s="224">
        <v>0</v>
      </c>
      <c r="I68" s="214">
        <v>0</v>
      </c>
      <c r="J68" s="224">
        <v>0</v>
      </c>
      <c r="K68" s="38">
        <v>25229</v>
      </c>
      <c r="L68" s="39" t="s">
        <v>978</v>
      </c>
      <c r="M68" s="40">
        <v>12593.9</v>
      </c>
      <c r="N68" s="215"/>
      <c r="O68" s="215"/>
      <c r="P68" s="216"/>
      <c r="Q68" s="113">
        <f t="shared" si="4"/>
        <v>0</v>
      </c>
      <c r="R68" s="113">
        <f t="shared" si="5"/>
        <v>0</v>
      </c>
      <c r="S68" s="217">
        <f t="shared" si="6"/>
        <v>0</v>
      </c>
      <c r="T68" s="2"/>
    </row>
    <row r="69" spans="1:20" ht="22.5" customHeight="1" x14ac:dyDescent="0.5">
      <c r="A69" s="208">
        <v>18</v>
      </c>
      <c r="B69" s="78" t="s">
        <v>141</v>
      </c>
      <c r="C69" s="81" t="s">
        <v>142</v>
      </c>
      <c r="D69" s="211">
        <v>4793.6000000000004</v>
      </c>
      <c r="E69" s="234"/>
      <c r="F69" s="234"/>
      <c r="G69" s="228"/>
      <c r="H69" s="224">
        <v>0</v>
      </c>
      <c r="I69" s="214">
        <v>0</v>
      </c>
      <c r="J69" s="224">
        <v>0</v>
      </c>
      <c r="K69" s="38">
        <v>25230</v>
      </c>
      <c r="L69" s="39" t="s">
        <v>979</v>
      </c>
      <c r="M69" s="40">
        <v>4793.6000000000004</v>
      </c>
      <c r="N69" s="235"/>
      <c r="O69" s="235"/>
      <c r="P69" s="236"/>
      <c r="Q69" s="113">
        <f t="shared" si="4"/>
        <v>0</v>
      </c>
      <c r="R69" s="113">
        <f t="shared" si="5"/>
        <v>0</v>
      </c>
      <c r="S69" s="217">
        <f t="shared" si="6"/>
        <v>0</v>
      </c>
      <c r="T69" s="2"/>
    </row>
    <row r="70" spans="1:20" ht="22.5" customHeight="1" x14ac:dyDescent="0.5">
      <c r="A70" s="208">
        <v>19</v>
      </c>
      <c r="B70" s="78" t="s">
        <v>144</v>
      </c>
      <c r="C70" s="81" t="s">
        <v>145</v>
      </c>
      <c r="D70" s="211">
        <v>428</v>
      </c>
      <c r="E70" s="212"/>
      <c r="F70" s="212"/>
      <c r="G70" s="213"/>
      <c r="H70" s="224">
        <v>-4.2499752419295712E-13</v>
      </c>
      <c r="I70" s="214">
        <v>-2.9749826693506995E-14</v>
      </c>
      <c r="J70" s="224">
        <v>-4.5474735088646412E-13</v>
      </c>
      <c r="K70" s="38">
        <v>25226</v>
      </c>
      <c r="L70" s="39" t="s">
        <v>980</v>
      </c>
      <c r="M70" s="40">
        <v>428</v>
      </c>
      <c r="N70" s="215"/>
      <c r="O70" s="215"/>
      <c r="P70" s="216"/>
      <c r="Q70" s="113">
        <f t="shared" si="4"/>
        <v>-4.2499752419295712E-13</v>
      </c>
      <c r="R70" s="113">
        <f t="shared" si="5"/>
        <v>-2.9749826693506995E-14</v>
      </c>
      <c r="S70" s="217">
        <f t="shared" si="6"/>
        <v>-4.5474735088646412E-13</v>
      </c>
      <c r="T70" s="2"/>
    </row>
    <row r="71" spans="1:20" ht="22.5" customHeight="1" x14ac:dyDescent="0.6">
      <c r="A71" s="208">
        <v>20</v>
      </c>
      <c r="B71" s="73" t="s">
        <v>147</v>
      </c>
      <c r="C71" s="25" t="s">
        <v>148</v>
      </c>
      <c r="D71" s="211"/>
      <c r="E71" s="234"/>
      <c r="F71" s="234"/>
      <c r="G71" s="228"/>
      <c r="H71" s="224">
        <v>270</v>
      </c>
      <c r="I71" s="214">
        <v>18.899999999999999</v>
      </c>
      <c r="J71" s="224">
        <v>288.89999999999998</v>
      </c>
      <c r="K71" s="38">
        <v>25209</v>
      </c>
      <c r="L71" s="39" t="s">
        <v>981</v>
      </c>
      <c r="M71" s="40">
        <v>288.89999999999998</v>
      </c>
      <c r="N71" s="215"/>
      <c r="O71" s="215"/>
      <c r="P71" s="216"/>
      <c r="Q71" s="113">
        <f t="shared" si="4"/>
        <v>0</v>
      </c>
      <c r="R71" s="113">
        <f t="shared" si="5"/>
        <v>0</v>
      </c>
      <c r="S71" s="217">
        <f t="shared" si="6"/>
        <v>0</v>
      </c>
      <c r="T71" s="898" t="s">
        <v>962</v>
      </c>
    </row>
    <row r="72" spans="1:20" ht="22.5" customHeight="1" x14ac:dyDescent="0.5">
      <c r="A72" s="208"/>
      <c r="B72" s="897"/>
      <c r="C72" s="165"/>
      <c r="D72" s="211"/>
      <c r="E72" s="234"/>
      <c r="F72" s="234"/>
      <c r="G72" s="228"/>
      <c r="H72" s="224"/>
      <c r="I72" s="214"/>
      <c r="J72" s="224"/>
      <c r="K72" s="38"/>
      <c r="L72" s="39"/>
      <c r="M72" s="40"/>
      <c r="N72" s="239"/>
      <c r="O72" s="239"/>
      <c r="P72" s="236"/>
      <c r="Q72" s="113"/>
      <c r="R72" s="113"/>
      <c r="S72" s="217"/>
      <c r="T72" s="2"/>
    </row>
    <row r="73" spans="1:20" ht="22.5" customHeight="1" x14ac:dyDescent="0.5">
      <c r="A73" s="208">
        <v>21</v>
      </c>
      <c r="B73" s="237" t="s">
        <v>149</v>
      </c>
      <c r="C73" s="238" t="s">
        <v>150</v>
      </c>
      <c r="D73" s="211">
        <v>2225.6</v>
      </c>
      <c r="E73" s="234"/>
      <c r="F73" s="234"/>
      <c r="G73" s="228"/>
      <c r="H73" s="224">
        <v>0</v>
      </c>
      <c r="I73" s="214">
        <v>0</v>
      </c>
      <c r="J73" s="224">
        <v>0</v>
      </c>
      <c r="K73" s="38">
        <v>25225</v>
      </c>
      <c r="L73" s="39" t="s">
        <v>982</v>
      </c>
      <c r="M73" s="40">
        <v>2225.6</v>
      </c>
      <c r="N73" s="239"/>
      <c r="O73" s="239"/>
      <c r="P73" s="236"/>
      <c r="Q73" s="113">
        <f t="shared" si="4"/>
        <v>0</v>
      </c>
      <c r="R73" s="113">
        <f t="shared" si="5"/>
        <v>0</v>
      </c>
      <c r="S73" s="217">
        <f t="shared" si="6"/>
        <v>0</v>
      </c>
      <c r="T73" s="2"/>
    </row>
    <row r="74" spans="1:20" ht="22.5" customHeight="1" x14ac:dyDescent="0.5">
      <c r="A74" s="208">
        <v>22</v>
      </c>
      <c r="B74" s="240" t="s">
        <v>569</v>
      </c>
      <c r="C74" s="83" t="s">
        <v>153</v>
      </c>
      <c r="D74" s="211">
        <v>7661.2</v>
      </c>
      <c r="E74" s="234" t="s">
        <v>935</v>
      </c>
      <c r="F74" s="234"/>
      <c r="G74" s="228" t="s">
        <v>33</v>
      </c>
      <c r="H74" s="224">
        <v>4459.9999999999964</v>
      </c>
      <c r="I74" s="214">
        <v>312.19999999999976</v>
      </c>
      <c r="J74" s="224">
        <v>4772.1999999999962</v>
      </c>
      <c r="K74" s="38" t="s">
        <v>983</v>
      </c>
      <c r="L74" s="39" t="s">
        <v>984</v>
      </c>
      <c r="M74" s="40">
        <v>12433.4</v>
      </c>
      <c r="N74" s="215"/>
      <c r="O74" s="215"/>
      <c r="P74" s="216"/>
      <c r="Q74" s="113">
        <f t="shared" si="4"/>
        <v>-3.3999801935436569E-12</v>
      </c>
      <c r="R74" s="113">
        <f t="shared" si="5"/>
        <v>-2.3799861354805596E-13</v>
      </c>
      <c r="S74" s="217">
        <f t="shared" si="6"/>
        <v>-3.637978807091713E-12</v>
      </c>
      <c r="T74" s="2"/>
    </row>
    <row r="75" spans="1:20" ht="22.5" customHeight="1" x14ac:dyDescent="0.5">
      <c r="A75" s="208"/>
      <c r="B75" s="240" t="s">
        <v>569</v>
      </c>
      <c r="C75" s="83"/>
      <c r="D75" s="211">
        <v>14273.8</v>
      </c>
      <c r="E75" s="234" t="s">
        <v>935</v>
      </c>
      <c r="F75" s="234"/>
      <c r="G75" s="228" t="s">
        <v>33</v>
      </c>
      <c r="H75" s="224">
        <v>10540</v>
      </c>
      <c r="I75" s="241">
        <v>737.8</v>
      </c>
      <c r="J75" s="224">
        <v>11277.8</v>
      </c>
      <c r="K75" s="38" t="s">
        <v>983</v>
      </c>
      <c r="L75" s="39" t="s">
        <v>984</v>
      </c>
      <c r="M75" s="40">
        <v>25551.599999999999</v>
      </c>
      <c r="N75" s="215"/>
      <c r="O75" s="215"/>
      <c r="P75" s="216"/>
      <c r="Q75" s="113">
        <f t="shared" si="4"/>
        <v>0</v>
      </c>
      <c r="R75" s="113">
        <f t="shared" si="5"/>
        <v>0</v>
      </c>
      <c r="S75" s="217">
        <f t="shared" si="6"/>
        <v>0</v>
      </c>
      <c r="T75" s="2"/>
    </row>
    <row r="76" spans="1:20" ht="22.5" customHeight="1" x14ac:dyDescent="0.5">
      <c r="A76" s="208">
        <v>23</v>
      </c>
      <c r="B76" s="240" t="s">
        <v>157</v>
      </c>
      <c r="C76" s="83" t="s">
        <v>158</v>
      </c>
      <c r="D76" s="211">
        <v>1819</v>
      </c>
      <c r="E76" s="234"/>
      <c r="F76" s="234"/>
      <c r="G76" s="228"/>
      <c r="H76" s="224">
        <v>0</v>
      </c>
      <c r="I76" s="241">
        <v>0</v>
      </c>
      <c r="J76" s="224">
        <v>0</v>
      </c>
      <c r="K76" s="38">
        <v>25225</v>
      </c>
      <c r="L76" s="39" t="s">
        <v>985</v>
      </c>
      <c r="M76" s="40">
        <v>1819</v>
      </c>
      <c r="N76" s="239"/>
      <c r="O76" s="239"/>
      <c r="P76" s="236"/>
      <c r="Q76" s="113">
        <f t="shared" si="4"/>
        <v>0</v>
      </c>
      <c r="R76" s="113">
        <f t="shared" si="5"/>
        <v>0</v>
      </c>
      <c r="S76" s="217">
        <f t="shared" si="6"/>
        <v>0</v>
      </c>
      <c r="T76" s="2"/>
    </row>
    <row r="77" spans="1:20" ht="22.5" customHeight="1" x14ac:dyDescent="0.5">
      <c r="A77" s="208">
        <v>24</v>
      </c>
      <c r="B77" s="240" t="s">
        <v>160</v>
      </c>
      <c r="C77" s="83" t="s">
        <v>161</v>
      </c>
      <c r="D77" s="211"/>
      <c r="E77" s="212"/>
      <c r="F77" s="234"/>
      <c r="G77" s="228"/>
      <c r="H77" s="224">
        <v>0</v>
      </c>
      <c r="I77" s="241">
        <v>0</v>
      </c>
      <c r="J77" s="224">
        <v>0</v>
      </c>
      <c r="K77" s="38"/>
      <c r="L77" s="39"/>
      <c r="M77" s="40"/>
      <c r="N77" s="215"/>
      <c r="O77" s="215"/>
      <c r="P77" s="216"/>
      <c r="Q77" s="113">
        <f t="shared" si="4"/>
        <v>0</v>
      </c>
      <c r="R77" s="113">
        <f t="shared" si="5"/>
        <v>0</v>
      </c>
      <c r="S77" s="217">
        <f t="shared" si="6"/>
        <v>0</v>
      </c>
      <c r="T77" s="2"/>
    </row>
    <row r="78" spans="1:20" ht="22.5" customHeight="1" x14ac:dyDescent="0.5">
      <c r="A78" s="208">
        <v>25</v>
      </c>
      <c r="B78" s="240" t="s">
        <v>162</v>
      </c>
      <c r="C78" s="83" t="s">
        <v>163</v>
      </c>
      <c r="D78" s="211">
        <v>6912.2</v>
      </c>
      <c r="E78" s="212" t="s">
        <v>935</v>
      </c>
      <c r="F78" s="234"/>
      <c r="G78" s="228" t="s">
        <v>33</v>
      </c>
      <c r="H78" s="224">
        <v>5669.9999999999973</v>
      </c>
      <c r="I78" s="241">
        <v>396.89999999999981</v>
      </c>
      <c r="J78" s="224">
        <v>6066.8999999999969</v>
      </c>
      <c r="K78" s="38"/>
      <c r="L78" s="39"/>
      <c r="M78" s="40"/>
      <c r="N78" s="215" t="s">
        <v>970</v>
      </c>
      <c r="O78" s="215" t="s">
        <v>115</v>
      </c>
      <c r="P78" s="216" t="s">
        <v>115</v>
      </c>
      <c r="Q78" s="113">
        <f t="shared" si="4"/>
        <v>12129.999999999996</v>
      </c>
      <c r="R78" s="113">
        <f t="shared" si="5"/>
        <v>849.0999999999998</v>
      </c>
      <c r="S78" s="217">
        <f t="shared" si="6"/>
        <v>12979.099999999997</v>
      </c>
      <c r="T78" s="2"/>
    </row>
    <row r="79" spans="1:20" ht="22.5" customHeight="1" x14ac:dyDescent="0.5">
      <c r="A79" s="208">
        <v>26</v>
      </c>
      <c r="B79" s="209" t="s">
        <v>165</v>
      </c>
      <c r="C79" s="210" t="s">
        <v>166</v>
      </c>
      <c r="D79" s="211">
        <v>2129.3000000000002</v>
      </c>
      <c r="E79" s="212"/>
      <c r="F79" s="212"/>
      <c r="G79" s="213"/>
      <c r="H79" s="219">
        <v>3.1874814314471783E-13</v>
      </c>
      <c r="I79" s="214">
        <v>2.2312370020130248E-14</v>
      </c>
      <c r="J79" s="219">
        <v>3.4106051316484809E-13</v>
      </c>
      <c r="K79" s="38">
        <v>25225</v>
      </c>
      <c r="L79" s="39" t="s">
        <v>986</v>
      </c>
      <c r="M79" s="40">
        <v>2129.3000000000002</v>
      </c>
      <c r="N79" s="215"/>
      <c r="O79" s="215"/>
      <c r="P79" s="216"/>
      <c r="Q79" s="113">
        <f t="shared" si="4"/>
        <v>4.2499752419295712E-13</v>
      </c>
      <c r="R79" s="113">
        <f t="shared" si="5"/>
        <v>2.9749826693506995E-14</v>
      </c>
      <c r="S79" s="217">
        <f t="shared" si="6"/>
        <v>4.5474735088646412E-13</v>
      </c>
      <c r="T79" s="2"/>
    </row>
    <row r="80" spans="1:20" ht="22.5" customHeight="1" x14ac:dyDescent="0.5">
      <c r="A80" s="242">
        <v>27</v>
      </c>
      <c r="B80" s="243" t="s">
        <v>168</v>
      </c>
      <c r="C80" s="244" t="s">
        <v>169</v>
      </c>
      <c r="D80" s="211">
        <v>2289.8000000000002</v>
      </c>
      <c r="E80" s="212" t="s">
        <v>860</v>
      </c>
      <c r="F80" s="212"/>
      <c r="G80" s="213" t="s">
        <v>284</v>
      </c>
      <c r="H80" s="219">
        <v>16800</v>
      </c>
      <c r="I80" s="214">
        <v>1176</v>
      </c>
      <c r="J80" s="219">
        <v>17976</v>
      </c>
      <c r="K80" s="30" t="s">
        <v>987</v>
      </c>
      <c r="L80" s="31" t="s">
        <v>988</v>
      </c>
      <c r="M80" s="32">
        <v>11374.099999999999</v>
      </c>
      <c r="N80" s="215" t="s">
        <v>970</v>
      </c>
      <c r="O80" s="215" t="s">
        <v>115</v>
      </c>
      <c r="P80" s="216" t="s">
        <v>115</v>
      </c>
      <c r="Q80" s="113">
        <f t="shared" si="4"/>
        <v>8310</v>
      </c>
      <c r="R80" s="113">
        <f t="shared" si="5"/>
        <v>581.70000000000005</v>
      </c>
      <c r="S80" s="217">
        <f t="shared" si="6"/>
        <v>8891.7000000000007</v>
      </c>
      <c r="T80" s="2"/>
    </row>
    <row r="81" spans="1:20" ht="22.5" customHeight="1" x14ac:dyDescent="0.5">
      <c r="A81" s="208">
        <v>28</v>
      </c>
      <c r="B81" s="209" t="s">
        <v>171</v>
      </c>
      <c r="C81" s="210"/>
      <c r="D81" s="211">
        <v>449.4</v>
      </c>
      <c r="E81" s="212"/>
      <c r="F81" s="212"/>
      <c r="G81" s="213"/>
      <c r="H81" s="219">
        <v>0</v>
      </c>
      <c r="I81" s="214">
        <v>0</v>
      </c>
      <c r="J81" s="219">
        <v>0</v>
      </c>
      <c r="K81" s="38">
        <v>25225</v>
      </c>
      <c r="L81" s="39" t="s">
        <v>989</v>
      </c>
      <c r="M81" s="40">
        <v>449.4</v>
      </c>
      <c r="N81" s="239"/>
      <c r="O81" s="239"/>
      <c r="P81" s="236"/>
      <c r="Q81" s="113">
        <f t="shared" si="4"/>
        <v>0</v>
      </c>
      <c r="R81" s="113">
        <f t="shared" si="5"/>
        <v>0</v>
      </c>
      <c r="S81" s="217">
        <f t="shared" si="6"/>
        <v>0</v>
      </c>
      <c r="T81" s="2"/>
    </row>
    <row r="82" spans="1:20" ht="22.5" customHeight="1" x14ac:dyDescent="0.5">
      <c r="A82" s="208">
        <v>29</v>
      </c>
      <c r="B82" s="209" t="s">
        <v>173</v>
      </c>
      <c r="C82" s="210" t="s">
        <v>174</v>
      </c>
      <c r="D82" s="211">
        <v>1273.3</v>
      </c>
      <c r="E82" s="212"/>
      <c r="F82" s="212"/>
      <c r="G82" s="213"/>
      <c r="H82" s="219">
        <v>0</v>
      </c>
      <c r="I82" s="214">
        <v>0</v>
      </c>
      <c r="J82" s="219">
        <v>0</v>
      </c>
      <c r="K82" s="38">
        <v>25225</v>
      </c>
      <c r="L82" s="39" t="s">
        <v>990</v>
      </c>
      <c r="M82" s="40">
        <v>1273.3</v>
      </c>
      <c r="N82" s="215"/>
      <c r="O82" s="215"/>
      <c r="P82" s="216"/>
      <c r="Q82" s="113">
        <f t="shared" si="4"/>
        <v>0</v>
      </c>
      <c r="R82" s="113">
        <f t="shared" si="5"/>
        <v>0</v>
      </c>
      <c r="S82" s="217">
        <f t="shared" si="6"/>
        <v>0</v>
      </c>
      <c r="T82" s="2"/>
    </row>
    <row r="83" spans="1:20" ht="22.5" customHeight="1" x14ac:dyDescent="0.5">
      <c r="A83" s="208">
        <v>30</v>
      </c>
      <c r="B83" s="209" t="s">
        <v>175</v>
      </c>
      <c r="C83" s="210" t="s">
        <v>176</v>
      </c>
      <c r="D83" s="211">
        <v>5499.8</v>
      </c>
      <c r="E83" s="212" t="s">
        <v>935</v>
      </c>
      <c r="F83" s="212"/>
      <c r="G83" s="213" t="s">
        <v>33</v>
      </c>
      <c r="H83" s="219">
        <v>789.9999999999992</v>
      </c>
      <c r="I83" s="214">
        <v>55.299999999999947</v>
      </c>
      <c r="J83" s="219">
        <v>845.29999999999916</v>
      </c>
      <c r="K83" s="30" t="s">
        <v>991</v>
      </c>
      <c r="L83" s="31" t="s">
        <v>992</v>
      </c>
      <c r="M83" s="32">
        <v>6345.1</v>
      </c>
      <c r="N83" s="215"/>
      <c r="O83" s="215"/>
      <c r="P83" s="216"/>
      <c r="Q83" s="113">
        <f t="shared" si="4"/>
        <v>-8.4999504838591423E-13</v>
      </c>
      <c r="R83" s="113">
        <f t="shared" si="5"/>
        <v>-5.9499653387013991E-14</v>
      </c>
      <c r="S83" s="217">
        <f t="shared" si="6"/>
        <v>-9.0949470177292824E-13</v>
      </c>
      <c r="T83" s="2"/>
    </row>
    <row r="84" spans="1:20" ht="22.5" customHeight="1" x14ac:dyDescent="0.5">
      <c r="A84" s="208">
        <v>31</v>
      </c>
      <c r="B84" s="209" t="s">
        <v>178</v>
      </c>
      <c r="C84" s="210" t="s">
        <v>179</v>
      </c>
      <c r="D84" s="211"/>
      <c r="E84" s="212"/>
      <c r="F84" s="212"/>
      <c r="G84" s="213"/>
      <c r="H84" s="219">
        <v>0</v>
      </c>
      <c r="I84" s="214">
        <v>0</v>
      </c>
      <c r="J84" s="219">
        <v>0</v>
      </c>
      <c r="K84" s="38"/>
      <c r="L84" s="39"/>
      <c r="M84" s="40"/>
      <c r="N84" s="215"/>
      <c r="O84" s="215"/>
      <c r="P84" s="216"/>
      <c r="Q84" s="113">
        <f t="shared" si="4"/>
        <v>0</v>
      </c>
      <c r="R84" s="113">
        <f t="shared" si="5"/>
        <v>0</v>
      </c>
      <c r="S84" s="217">
        <f t="shared" si="6"/>
        <v>0</v>
      </c>
      <c r="T84" s="2"/>
    </row>
    <row r="85" spans="1:20" ht="22.5" customHeight="1" x14ac:dyDescent="0.5">
      <c r="A85" s="208">
        <v>32</v>
      </c>
      <c r="B85" s="209" t="s">
        <v>181</v>
      </c>
      <c r="C85" s="210" t="s">
        <v>182</v>
      </c>
      <c r="D85" s="211">
        <v>781.1</v>
      </c>
      <c r="E85" s="212"/>
      <c r="F85" s="212"/>
      <c r="G85" s="213"/>
      <c r="H85" s="219">
        <v>0</v>
      </c>
      <c r="I85" s="214">
        <v>0</v>
      </c>
      <c r="J85" s="219">
        <v>0</v>
      </c>
      <c r="K85" s="38">
        <v>25225</v>
      </c>
      <c r="L85" s="39" t="s">
        <v>993</v>
      </c>
      <c r="M85" s="40">
        <v>781.1</v>
      </c>
      <c r="N85" s="215"/>
      <c r="O85" s="215"/>
      <c r="P85" s="216"/>
      <c r="Q85" s="113">
        <f t="shared" si="4"/>
        <v>0</v>
      </c>
      <c r="R85" s="113">
        <f t="shared" si="5"/>
        <v>0</v>
      </c>
      <c r="S85" s="217">
        <f t="shared" si="6"/>
        <v>0</v>
      </c>
      <c r="T85" s="2"/>
    </row>
    <row r="86" spans="1:20" ht="22.5" customHeight="1" x14ac:dyDescent="0.5">
      <c r="A86" s="208">
        <v>33</v>
      </c>
      <c r="B86" s="209" t="s">
        <v>64</v>
      </c>
      <c r="C86" s="210" t="s">
        <v>184</v>
      </c>
      <c r="D86" s="211">
        <v>1872.5</v>
      </c>
      <c r="E86" s="212"/>
      <c r="F86" s="212"/>
      <c r="G86" s="213"/>
      <c r="H86" s="219">
        <v>0</v>
      </c>
      <c r="I86" s="214">
        <v>0</v>
      </c>
      <c r="J86" s="219">
        <v>0</v>
      </c>
      <c r="K86" s="38">
        <v>25229</v>
      </c>
      <c r="L86" s="245" t="s">
        <v>994</v>
      </c>
      <c r="M86" s="246">
        <v>1872.5</v>
      </c>
      <c r="N86" s="215"/>
      <c r="O86" s="215"/>
      <c r="P86" s="216"/>
      <c r="Q86" s="113">
        <f t="shared" si="4"/>
        <v>0</v>
      </c>
      <c r="R86" s="113">
        <f t="shared" si="5"/>
        <v>0</v>
      </c>
      <c r="S86" s="217">
        <f t="shared" si="6"/>
        <v>0</v>
      </c>
      <c r="T86" s="2"/>
    </row>
    <row r="87" spans="1:20" ht="22.5" customHeight="1" x14ac:dyDescent="0.5">
      <c r="A87" s="208"/>
      <c r="B87" s="209" t="s">
        <v>64</v>
      </c>
      <c r="C87" s="210" t="s">
        <v>184</v>
      </c>
      <c r="D87" s="211">
        <v>2075.8000000000002</v>
      </c>
      <c r="E87" s="212"/>
      <c r="F87" s="212"/>
      <c r="G87" s="213"/>
      <c r="H87" s="219">
        <v>0</v>
      </c>
      <c r="I87" s="214">
        <v>0</v>
      </c>
      <c r="J87" s="219">
        <v>0</v>
      </c>
      <c r="K87" s="38">
        <v>25229</v>
      </c>
      <c r="L87" s="245" t="s">
        <v>994</v>
      </c>
      <c r="M87" s="246">
        <v>2075.8000000000002</v>
      </c>
      <c r="N87" s="215"/>
      <c r="O87" s="215"/>
      <c r="P87" s="216"/>
      <c r="Q87" s="113">
        <f t="shared" si="4"/>
        <v>0</v>
      </c>
      <c r="R87" s="113">
        <f t="shared" si="5"/>
        <v>0</v>
      </c>
      <c r="S87" s="217">
        <f t="shared" si="6"/>
        <v>0</v>
      </c>
      <c r="T87" s="2"/>
    </row>
    <row r="88" spans="1:20" ht="22.5" customHeight="1" x14ac:dyDescent="0.5">
      <c r="A88" s="208">
        <v>34</v>
      </c>
      <c r="B88" s="209" t="s">
        <v>186</v>
      </c>
      <c r="C88" s="210" t="s">
        <v>187</v>
      </c>
      <c r="D88" s="211">
        <v>502.9</v>
      </c>
      <c r="E88" s="212"/>
      <c r="F88" s="212"/>
      <c r="G88" s="213"/>
      <c r="H88" s="219">
        <v>0</v>
      </c>
      <c r="I88" s="214">
        <v>0</v>
      </c>
      <c r="J88" s="219">
        <v>0</v>
      </c>
      <c r="K88" s="38">
        <v>25226</v>
      </c>
      <c r="L88" s="39" t="s">
        <v>995</v>
      </c>
      <c r="M88" s="246">
        <v>502.9</v>
      </c>
      <c r="N88" s="247"/>
      <c r="O88" s="247"/>
      <c r="P88" s="248"/>
      <c r="Q88" s="113">
        <f t="shared" si="4"/>
        <v>0</v>
      </c>
      <c r="R88" s="113">
        <f t="shared" si="5"/>
        <v>0</v>
      </c>
      <c r="S88" s="217">
        <f t="shared" si="6"/>
        <v>0</v>
      </c>
      <c r="T88" s="2"/>
    </row>
    <row r="89" spans="1:20" ht="22.5" customHeight="1" x14ac:dyDescent="0.5">
      <c r="A89" s="208">
        <v>35</v>
      </c>
      <c r="B89" s="209" t="s">
        <v>189</v>
      </c>
      <c r="C89" s="210" t="s">
        <v>190</v>
      </c>
      <c r="D89" s="211"/>
      <c r="E89" s="212"/>
      <c r="F89" s="212"/>
      <c r="G89" s="213"/>
      <c r="H89" s="219">
        <v>0</v>
      </c>
      <c r="I89" s="214">
        <v>0</v>
      </c>
      <c r="J89" s="219">
        <v>0</v>
      </c>
      <c r="K89" s="38"/>
      <c r="L89" s="39"/>
      <c r="M89" s="246"/>
      <c r="N89" s="215"/>
      <c r="O89" s="215"/>
      <c r="P89" s="216"/>
      <c r="Q89" s="113">
        <f t="shared" si="4"/>
        <v>0</v>
      </c>
      <c r="R89" s="113">
        <f t="shared" si="5"/>
        <v>0</v>
      </c>
      <c r="S89" s="217">
        <f t="shared" si="6"/>
        <v>0</v>
      </c>
      <c r="T89" s="2"/>
    </row>
    <row r="90" spans="1:20" ht="22.5" customHeight="1" x14ac:dyDescent="0.5">
      <c r="A90" s="208"/>
      <c r="B90" s="209" t="s">
        <v>191</v>
      </c>
      <c r="C90" s="210" t="s">
        <v>190</v>
      </c>
      <c r="D90" s="211">
        <v>11802.1</v>
      </c>
      <c r="E90" s="212" t="s">
        <v>935</v>
      </c>
      <c r="F90" s="212"/>
      <c r="G90" s="213" t="s">
        <v>33</v>
      </c>
      <c r="H90" s="219">
        <v>8010.0000000000009</v>
      </c>
      <c r="I90" s="214">
        <v>560.70000000000005</v>
      </c>
      <c r="J90" s="219">
        <v>8570.7000000000007</v>
      </c>
      <c r="K90" s="38">
        <v>25223</v>
      </c>
      <c r="L90" s="39" t="s">
        <v>996</v>
      </c>
      <c r="M90" s="246">
        <v>8570.7000000000007</v>
      </c>
      <c r="N90" s="215" t="s">
        <v>958</v>
      </c>
      <c r="O90" s="215" t="s">
        <v>33</v>
      </c>
      <c r="P90" s="216" t="s">
        <v>33</v>
      </c>
      <c r="Q90" s="113">
        <f t="shared" si="4"/>
        <v>11030.000000000002</v>
      </c>
      <c r="R90" s="113">
        <f t="shared" si="5"/>
        <v>772.10000000000014</v>
      </c>
      <c r="S90" s="217">
        <f t="shared" si="6"/>
        <v>11802.100000000002</v>
      </c>
      <c r="T90" s="2"/>
    </row>
    <row r="91" spans="1:20" ht="22.5" customHeight="1" x14ac:dyDescent="0.5">
      <c r="A91" s="208">
        <v>36</v>
      </c>
      <c r="B91" s="209" t="s">
        <v>193</v>
      </c>
      <c r="C91" s="210" t="s">
        <v>194</v>
      </c>
      <c r="D91" s="211">
        <v>1701.3</v>
      </c>
      <c r="E91" s="212" t="s">
        <v>935</v>
      </c>
      <c r="F91" s="212"/>
      <c r="G91" s="213" t="s">
        <v>33</v>
      </c>
      <c r="H91" s="219">
        <v>1759.9999999999998</v>
      </c>
      <c r="I91" s="214">
        <v>123.19999999999997</v>
      </c>
      <c r="J91" s="219">
        <v>1883.1999999999998</v>
      </c>
      <c r="K91" s="38">
        <v>25208</v>
      </c>
      <c r="L91" s="39" t="s">
        <v>997</v>
      </c>
      <c r="M91" s="246">
        <v>1883.2</v>
      </c>
      <c r="N91" s="215" t="s">
        <v>958</v>
      </c>
      <c r="O91" s="215" t="s">
        <v>33</v>
      </c>
      <c r="P91" s="216" t="s">
        <v>33</v>
      </c>
      <c r="Q91" s="113">
        <f t="shared" si="4"/>
        <v>1590</v>
      </c>
      <c r="R91" s="113">
        <f t="shared" si="5"/>
        <v>111.3</v>
      </c>
      <c r="S91" s="217">
        <f t="shared" si="6"/>
        <v>1701.3</v>
      </c>
      <c r="T91" s="2"/>
    </row>
    <row r="92" spans="1:20" ht="22.5" customHeight="1" x14ac:dyDescent="0.5">
      <c r="A92" s="208">
        <v>37</v>
      </c>
      <c r="B92" s="209" t="s">
        <v>195</v>
      </c>
      <c r="C92" s="210" t="s">
        <v>196</v>
      </c>
      <c r="D92" s="211">
        <v>952.3</v>
      </c>
      <c r="E92" s="212"/>
      <c r="F92" s="212"/>
      <c r="G92" s="213"/>
      <c r="H92" s="219">
        <v>0</v>
      </c>
      <c r="I92" s="214">
        <v>0</v>
      </c>
      <c r="J92" s="219">
        <v>0</v>
      </c>
      <c r="K92" s="38">
        <v>25233</v>
      </c>
      <c r="L92" s="245" t="s">
        <v>998</v>
      </c>
      <c r="M92" s="246">
        <v>952.3</v>
      </c>
      <c r="N92" s="247"/>
      <c r="O92" s="247"/>
      <c r="P92" s="248"/>
      <c r="Q92" s="113">
        <f t="shared" si="4"/>
        <v>0</v>
      </c>
      <c r="R92" s="113">
        <f t="shared" si="5"/>
        <v>0</v>
      </c>
      <c r="S92" s="217">
        <f t="shared" si="6"/>
        <v>0</v>
      </c>
      <c r="T92" s="2"/>
    </row>
    <row r="93" spans="1:20" ht="22.5" customHeight="1" x14ac:dyDescent="0.5">
      <c r="A93" s="208">
        <v>38</v>
      </c>
      <c r="B93" s="209" t="s">
        <v>198</v>
      </c>
      <c r="C93" s="210" t="s">
        <v>46</v>
      </c>
      <c r="D93" s="211">
        <v>256.8</v>
      </c>
      <c r="E93" s="212"/>
      <c r="F93" s="212"/>
      <c r="G93" s="213"/>
      <c r="H93" s="219">
        <v>-6.2421511365840581E-13</v>
      </c>
      <c r="I93" s="214">
        <v>-4.3695057956088404E-14</v>
      </c>
      <c r="J93" s="219">
        <v>-6.6791017161449417E-13</v>
      </c>
      <c r="K93" s="38"/>
      <c r="L93" s="245"/>
      <c r="M93" s="246"/>
      <c r="N93" s="215" t="s">
        <v>958</v>
      </c>
      <c r="O93" s="215" t="s">
        <v>33</v>
      </c>
      <c r="P93" s="216" t="s">
        <v>33</v>
      </c>
      <c r="Q93" s="113">
        <f t="shared" si="4"/>
        <v>239.99999999999937</v>
      </c>
      <c r="R93" s="113">
        <f t="shared" si="5"/>
        <v>16.799999999999958</v>
      </c>
      <c r="S93" s="217">
        <f t="shared" si="6"/>
        <v>256.79999999999933</v>
      </c>
      <c r="T93" s="2"/>
    </row>
    <row r="94" spans="1:20" ht="22.5" customHeight="1" x14ac:dyDescent="0.5">
      <c r="A94" s="208"/>
      <c r="B94" s="209" t="s">
        <v>198</v>
      </c>
      <c r="C94" s="210" t="s">
        <v>567</v>
      </c>
      <c r="D94" s="211">
        <v>1005.8</v>
      </c>
      <c r="E94" s="212" t="s">
        <v>935</v>
      </c>
      <c r="F94" s="212"/>
      <c r="G94" s="213" t="s">
        <v>33</v>
      </c>
      <c r="H94" s="219">
        <v>660.00000000000011</v>
      </c>
      <c r="I94" s="214">
        <v>46.200000000000017</v>
      </c>
      <c r="J94" s="219">
        <v>706.20000000000016</v>
      </c>
      <c r="K94" s="38">
        <v>25215</v>
      </c>
      <c r="L94" s="245" t="s">
        <v>999</v>
      </c>
      <c r="M94" s="246">
        <v>706.2</v>
      </c>
      <c r="N94" s="215" t="s">
        <v>958</v>
      </c>
      <c r="O94" s="215" t="s">
        <v>33</v>
      </c>
      <c r="P94" s="216" t="s">
        <v>33</v>
      </c>
      <c r="Q94" s="113">
        <f t="shared" si="4"/>
        <v>940</v>
      </c>
      <c r="R94" s="113">
        <f t="shared" si="5"/>
        <v>65.8</v>
      </c>
      <c r="S94" s="217">
        <f t="shared" si="6"/>
        <v>1005.8</v>
      </c>
      <c r="T94" s="2"/>
    </row>
    <row r="95" spans="1:20" ht="22.5" customHeight="1" x14ac:dyDescent="0.5">
      <c r="A95" s="208">
        <v>39</v>
      </c>
      <c r="B95" s="209" t="s">
        <v>200</v>
      </c>
      <c r="C95" s="210" t="s">
        <v>201</v>
      </c>
      <c r="D95" s="211">
        <v>6569.8</v>
      </c>
      <c r="E95" s="212" t="s">
        <v>872</v>
      </c>
      <c r="F95" s="212"/>
      <c r="G95" s="213" t="s">
        <v>115</v>
      </c>
      <c r="H95" s="219">
        <v>11699.999999999996</v>
      </c>
      <c r="I95" s="214">
        <v>818.99999999999977</v>
      </c>
      <c r="J95" s="219">
        <v>12518.999999999996</v>
      </c>
      <c r="K95" s="38"/>
      <c r="L95" s="245"/>
      <c r="M95" s="246"/>
      <c r="N95" s="215" t="s">
        <v>1000</v>
      </c>
      <c r="O95" s="215" t="s">
        <v>284</v>
      </c>
      <c r="P95" s="216" t="s">
        <v>284</v>
      </c>
      <c r="Q95" s="113">
        <f t="shared" si="4"/>
        <v>17839.999999999996</v>
      </c>
      <c r="R95" s="113">
        <f t="shared" si="5"/>
        <v>1248.7999999999997</v>
      </c>
      <c r="S95" s="217">
        <f t="shared" si="6"/>
        <v>19088.799999999996</v>
      </c>
      <c r="T95" s="2"/>
    </row>
    <row r="96" spans="1:20" ht="22.5" customHeight="1" x14ac:dyDescent="0.5">
      <c r="A96" s="208">
        <v>40</v>
      </c>
      <c r="B96" s="209" t="s">
        <v>203</v>
      </c>
      <c r="C96" s="210" t="s">
        <v>204</v>
      </c>
      <c r="D96" s="211">
        <v>727.6</v>
      </c>
      <c r="E96" s="212"/>
      <c r="F96" s="212"/>
      <c r="G96" s="213"/>
      <c r="H96" s="219">
        <v>0</v>
      </c>
      <c r="I96" s="214">
        <v>0</v>
      </c>
      <c r="J96" s="219">
        <v>0</v>
      </c>
      <c r="K96" s="30"/>
      <c r="L96" s="31"/>
      <c r="M96" s="221"/>
      <c r="N96" s="215" t="s">
        <v>958</v>
      </c>
      <c r="O96" s="215" t="s">
        <v>33</v>
      </c>
      <c r="P96" s="216" t="s">
        <v>33</v>
      </c>
      <c r="Q96" s="113">
        <f t="shared" si="4"/>
        <v>680</v>
      </c>
      <c r="R96" s="113">
        <f t="shared" si="5"/>
        <v>47.6</v>
      </c>
      <c r="S96" s="217">
        <f t="shared" si="6"/>
        <v>727.6</v>
      </c>
      <c r="T96" s="2"/>
    </row>
    <row r="97" spans="1:20" ht="22.5" customHeight="1" x14ac:dyDescent="0.5">
      <c r="A97" s="208">
        <v>41</v>
      </c>
      <c r="B97" s="209" t="s">
        <v>205</v>
      </c>
      <c r="C97" s="210" t="s">
        <v>206</v>
      </c>
      <c r="D97" s="211">
        <v>1369.6</v>
      </c>
      <c r="E97" s="212"/>
      <c r="F97" s="212"/>
      <c r="G97" s="213"/>
      <c r="H97" s="219">
        <v>0</v>
      </c>
      <c r="I97" s="214">
        <v>0</v>
      </c>
      <c r="J97" s="219">
        <v>0</v>
      </c>
      <c r="K97" s="30"/>
      <c r="L97" s="249"/>
      <c r="M97" s="221"/>
      <c r="N97" s="215" t="s">
        <v>958</v>
      </c>
      <c r="O97" s="215" t="s">
        <v>33</v>
      </c>
      <c r="P97" s="216" t="s">
        <v>33</v>
      </c>
      <c r="Q97" s="113">
        <f t="shared" si="4"/>
        <v>1280</v>
      </c>
      <c r="R97" s="113">
        <f t="shared" si="5"/>
        <v>89.6</v>
      </c>
      <c r="S97" s="217">
        <f t="shared" si="6"/>
        <v>1369.6</v>
      </c>
      <c r="T97" s="2"/>
    </row>
    <row r="98" spans="1:20" ht="22.5" customHeight="1" x14ac:dyDescent="0.5">
      <c r="A98" s="208">
        <v>42</v>
      </c>
      <c r="B98" s="209" t="s">
        <v>208</v>
      </c>
      <c r="C98" s="210"/>
      <c r="D98" s="211">
        <v>2749.9</v>
      </c>
      <c r="E98" s="212" t="s">
        <v>872</v>
      </c>
      <c r="F98" s="212"/>
      <c r="G98" s="213" t="s">
        <v>115</v>
      </c>
      <c r="H98" s="219">
        <v>5529.9999999999982</v>
      </c>
      <c r="I98" s="214">
        <v>387.09999999999985</v>
      </c>
      <c r="J98" s="219">
        <v>5917.0999999999976</v>
      </c>
      <c r="K98" s="250">
        <v>25233</v>
      </c>
      <c r="L98" s="251" t="s">
        <v>1001</v>
      </c>
      <c r="M98" s="252">
        <v>5863.6</v>
      </c>
      <c r="N98" s="215" t="s">
        <v>970</v>
      </c>
      <c r="O98" s="215" t="s">
        <v>115</v>
      </c>
      <c r="P98" s="216" t="s">
        <v>115</v>
      </c>
      <c r="Q98" s="113">
        <f t="shared" si="4"/>
        <v>2619.9999999999982</v>
      </c>
      <c r="R98" s="113">
        <f t="shared" si="5"/>
        <v>183.39999999999986</v>
      </c>
      <c r="S98" s="217">
        <f t="shared" si="6"/>
        <v>2803.3999999999978</v>
      </c>
      <c r="T98" s="2"/>
    </row>
    <row r="99" spans="1:20" ht="22.5" customHeight="1" x14ac:dyDescent="0.5">
      <c r="A99" s="208">
        <v>43</v>
      </c>
      <c r="B99" s="209" t="s">
        <v>210</v>
      </c>
      <c r="C99" s="210" t="s">
        <v>211</v>
      </c>
      <c r="D99" s="211">
        <v>10453.9</v>
      </c>
      <c r="E99" s="212" t="s">
        <v>935</v>
      </c>
      <c r="F99" s="212"/>
      <c r="G99" s="213" t="s">
        <v>33</v>
      </c>
      <c r="H99" s="219">
        <v>6240.0000000000018</v>
      </c>
      <c r="I99" s="214">
        <v>436.80000000000013</v>
      </c>
      <c r="J99" s="219">
        <v>6676.800000000002</v>
      </c>
      <c r="K99" s="38">
        <v>25222</v>
      </c>
      <c r="L99" s="39" t="s">
        <v>1002</v>
      </c>
      <c r="M99" s="246">
        <v>6676.8</v>
      </c>
      <c r="N99" s="239" t="s">
        <v>958</v>
      </c>
      <c r="O99" s="239" t="s">
        <v>33</v>
      </c>
      <c r="P99" s="236" t="s">
        <v>33</v>
      </c>
      <c r="Q99" s="113">
        <f t="shared" si="4"/>
        <v>9770.0000000000018</v>
      </c>
      <c r="R99" s="113">
        <f t="shared" si="5"/>
        <v>683.9000000000002</v>
      </c>
      <c r="S99" s="217">
        <f t="shared" si="6"/>
        <v>10453.900000000001</v>
      </c>
      <c r="T99" s="2"/>
    </row>
    <row r="100" spans="1:20" ht="22.5" customHeight="1" x14ac:dyDescent="0.5">
      <c r="A100" s="208">
        <v>44</v>
      </c>
      <c r="B100" s="209" t="s">
        <v>212</v>
      </c>
      <c r="C100" s="210" t="s">
        <v>213</v>
      </c>
      <c r="D100" s="211"/>
      <c r="E100" s="212"/>
      <c r="F100" s="212"/>
      <c r="G100" s="213"/>
      <c r="H100" s="219">
        <v>0</v>
      </c>
      <c r="I100" s="214">
        <v>0</v>
      </c>
      <c r="J100" s="219">
        <v>0</v>
      </c>
      <c r="K100" s="38"/>
      <c r="L100" s="39"/>
      <c r="M100" s="246"/>
      <c r="N100" s="239"/>
      <c r="O100" s="239"/>
      <c r="P100" s="236"/>
      <c r="Q100" s="113">
        <f t="shared" si="4"/>
        <v>0</v>
      </c>
      <c r="R100" s="113">
        <f t="shared" si="5"/>
        <v>0</v>
      </c>
      <c r="S100" s="217">
        <f t="shared" si="6"/>
        <v>0</v>
      </c>
      <c r="T100" s="2"/>
    </row>
    <row r="101" spans="1:20" ht="22.5" customHeight="1" x14ac:dyDescent="0.5">
      <c r="A101" s="208">
        <v>45</v>
      </c>
      <c r="B101" s="209" t="s">
        <v>214</v>
      </c>
      <c r="C101" s="210" t="s">
        <v>215</v>
      </c>
      <c r="D101" s="211">
        <v>1455.2</v>
      </c>
      <c r="E101" s="212"/>
      <c r="F101" s="212"/>
      <c r="G101" s="213"/>
      <c r="H101" s="219">
        <v>0</v>
      </c>
      <c r="I101" s="214">
        <v>0</v>
      </c>
      <c r="J101" s="219">
        <v>0</v>
      </c>
      <c r="K101" s="38">
        <v>24860</v>
      </c>
      <c r="L101" s="39" t="s">
        <v>1003</v>
      </c>
      <c r="M101" s="246">
        <v>1455.2</v>
      </c>
      <c r="N101" s="239"/>
      <c r="O101" s="239"/>
      <c r="P101" s="236"/>
      <c r="Q101" s="113">
        <f t="shared" si="4"/>
        <v>0</v>
      </c>
      <c r="R101" s="113">
        <f t="shared" si="5"/>
        <v>0</v>
      </c>
      <c r="S101" s="217">
        <f t="shared" si="6"/>
        <v>0</v>
      </c>
      <c r="T101" s="2"/>
    </row>
    <row r="102" spans="1:20" ht="22.5" customHeight="1" x14ac:dyDescent="0.5">
      <c r="A102" s="253">
        <v>46</v>
      </c>
      <c r="B102" s="254" t="s">
        <v>217</v>
      </c>
      <c r="C102" s="238" t="s">
        <v>218</v>
      </c>
      <c r="D102" s="211">
        <v>2942.5</v>
      </c>
      <c r="E102" s="167"/>
      <c r="F102" s="167"/>
      <c r="G102" s="168"/>
      <c r="H102" s="255">
        <v>0</v>
      </c>
      <c r="I102" s="256">
        <v>0</v>
      </c>
      <c r="J102" s="255">
        <v>0</v>
      </c>
      <c r="K102" s="38">
        <v>25225</v>
      </c>
      <c r="L102" s="245" t="s">
        <v>1004</v>
      </c>
      <c r="M102" s="246">
        <v>2942.5</v>
      </c>
      <c r="N102" s="239"/>
      <c r="O102" s="239"/>
      <c r="P102" s="236"/>
      <c r="Q102" s="113">
        <f t="shared" si="4"/>
        <v>0</v>
      </c>
      <c r="R102" s="113">
        <f t="shared" si="5"/>
        <v>0</v>
      </c>
      <c r="S102" s="217">
        <f t="shared" si="6"/>
        <v>0</v>
      </c>
      <c r="T102" s="2"/>
    </row>
    <row r="103" spans="1:20" ht="22.5" customHeight="1" x14ac:dyDescent="0.5">
      <c r="A103" s="235">
        <v>47</v>
      </c>
      <c r="B103" s="257" t="s">
        <v>220</v>
      </c>
      <c r="C103" s="257" t="s">
        <v>221</v>
      </c>
      <c r="D103" s="211"/>
      <c r="E103" s="212"/>
      <c r="F103" s="212"/>
      <c r="G103" s="213"/>
      <c r="H103" s="219">
        <v>0</v>
      </c>
      <c r="I103" s="214">
        <v>0</v>
      </c>
      <c r="J103" s="258">
        <v>0</v>
      </c>
      <c r="K103" s="38"/>
      <c r="L103" s="39"/>
      <c r="M103" s="246"/>
      <c r="N103" s="239"/>
      <c r="O103" s="239"/>
      <c r="P103" s="236"/>
      <c r="Q103" s="113">
        <f t="shared" si="4"/>
        <v>0</v>
      </c>
      <c r="R103" s="113">
        <f t="shared" si="5"/>
        <v>0</v>
      </c>
      <c r="S103" s="217">
        <f t="shared" si="6"/>
        <v>0</v>
      </c>
      <c r="T103" s="2"/>
    </row>
    <row r="104" spans="1:20" ht="22.5" customHeight="1" x14ac:dyDescent="0.5">
      <c r="A104" s="260">
        <v>48</v>
      </c>
      <c r="B104" s="261" t="s">
        <v>222</v>
      </c>
      <c r="C104" s="261" t="s">
        <v>223</v>
      </c>
      <c r="D104" s="262"/>
      <c r="E104" s="212"/>
      <c r="F104" s="212"/>
      <c r="G104" s="213"/>
      <c r="H104" s="219">
        <v>0</v>
      </c>
      <c r="I104" s="214">
        <v>0</v>
      </c>
      <c r="J104" s="258">
        <v>0</v>
      </c>
      <c r="K104" s="38"/>
      <c r="L104" s="39"/>
      <c r="M104" s="246"/>
      <c r="N104" s="215"/>
      <c r="O104" s="215"/>
      <c r="P104" s="216"/>
      <c r="Q104" s="113">
        <f t="shared" si="4"/>
        <v>0</v>
      </c>
      <c r="R104" s="113">
        <f t="shared" si="5"/>
        <v>0</v>
      </c>
      <c r="S104" s="217">
        <f t="shared" si="6"/>
        <v>0</v>
      </c>
      <c r="T104" s="2"/>
    </row>
    <row r="105" spans="1:20" ht="22.5" customHeight="1" x14ac:dyDescent="0.5">
      <c r="A105" s="260">
        <v>49</v>
      </c>
      <c r="B105" s="261" t="s">
        <v>224</v>
      </c>
      <c r="C105" s="261" t="s">
        <v>225</v>
      </c>
      <c r="D105" s="263">
        <v>385.2</v>
      </c>
      <c r="E105" s="212"/>
      <c r="F105" s="212"/>
      <c r="G105" s="213"/>
      <c r="H105" s="219">
        <v>0</v>
      </c>
      <c r="I105" s="214">
        <v>0</v>
      </c>
      <c r="J105" s="258">
        <v>0</v>
      </c>
      <c r="K105" s="38">
        <v>25233</v>
      </c>
      <c r="L105" s="245" t="s">
        <v>1005</v>
      </c>
      <c r="M105" s="246">
        <v>385.2</v>
      </c>
      <c r="N105" s="215"/>
      <c r="O105" s="215"/>
      <c r="P105" s="216"/>
      <c r="Q105" s="113">
        <f t="shared" si="4"/>
        <v>0</v>
      </c>
      <c r="R105" s="113">
        <f t="shared" si="5"/>
        <v>0</v>
      </c>
      <c r="S105" s="217">
        <f t="shared" si="6"/>
        <v>0</v>
      </c>
      <c r="T105" s="2"/>
    </row>
    <row r="106" spans="1:20" ht="22.5" customHeight="1" x14ac:dyDescent="0.5">
      <c r="A106" s="264">
        <v>50</v>
      </c>
      <c r="B106" s="265" t="s">
        <v>226</v>
      </c>
      <c r="C106" s="265" t="s">
        <v>227</v>
      </c>
      <c r="D106" s="266">
        <v>7522.1</v>
      </c>
      <c r="E106" s="267" t="s">
        <v>935</v>
      </c>
      <c r="F106" s="267"/>
      <c r="G106" s="168" t="s">
        <v>33</v>
      </c>
      <c r="H106" s="255">
        <v>7270.0000000000009</v>
      </c>
      <c r="I106" s="256">
        <v>508.90000000000003</v>
      </c>
      <c r="J106" s="268">
        <v>7778.9000000000005</v>
      </c>
      <c r="K106" s="38">
        <v>25210</v>
      </c>
      <c r="L106" s="245" t="s">
        <v>1006</v>
      </c>
      <c r="M106" s="246">
        <v>7778.9</v>
      </c>
      <c r="N106" s="215" t="s">
        <v>958</v>
      </c>
      <c r="O106" s="215" t="s">
        <v>33</v>
      </c>
      <c r="P106" s="216" t="s">
        <v>33</v>
      </c>
      <c r="Q106" s="113">
        <f>SUM(S106-R106)</f>
        <v>7030</v>
      </c>
      <c r="R106" s="113">
        <f t="shared" si="5"/>
        <v>492.1</v>
      </c>
      <c r="S106" s="217">
        <f>SUM(D106+J106-M106)</f>
        <v>7522.1</v>
      </c>
      <c r="T106" s="2"/>
    </row>
    <row r="107" spans="1:20" ht="22.5" customHeight="1" x14ac:dyDescent="0.5">
      <c r="A107" s="264">
        <v>51</v>
      </c>
      <c r="B107" s="265" t="s">
        <v>229</v>
      </c>
      <c r="C107" s="265" t="s">
        <v>230</v>
      </c>
      <c r="D107" s="266">
        <v>7661.2</v>
      </c>
      <c r="E107" s="267"/>
      <c r="F107" s="267"/>
      <c r="G107" s="168"/>
      <c r="H107" s="255">
        <v>0</v>
      </c>
      <c r="I107" s="256">
        <v>0</v>
      </c>
      <c r="J107" s="271">
        <v>0</v>
      </c>
      <c r="K107" s="101">
        <v>25229</v>
      </c>
      <c r="L107" s="102" t="s">
        <v>1007</v>
      </c>
      <c r="M107" s="272">
        <v>7661.2</v>
      </c>
      <c r="N107" s="273"/>
      <c r="O107" s="273"/>
      <c r="P107" s="274"/>
      <c r="Q107" s="113">
        <f t="shared" si="4"/>
        <v>0</v>
      </c>
      <c r="R107" s="113">
        <f t="shared" si="5"/>
        <v>0</v>
      </c>
      <c r="S107" s="217">
        <f t="shared" si="6"/>
        <v>0</v>
      </c>
      <c r="T107" s="2"/>
    </row>
    <row r="108" spans="1:20" ht="22.5" customHeight="1" x14ac:dyDescent="0.5">
      <c r="A108" s="264">
        <v>52</v>
      </c>
      <c r="B108" s="265" t="s">
        <v>566</v>
      </c>
      <c r="C108" s="265" t="s">
        <v>567</v>
      </c>
      <c r="D108" s="266">
        <v>2771.3</v>
      </c>
      <c r="E108" s="267" t="s">
        <v>935</v>
      </c>
      <c r="F108" s="267"/>
      <c r="G108" s="168" t="s">
        <v>33</v>
      </c>
      <c r="H108" s="255">
        <v>2160</v>
      </c>
      <c r="I108" s="256">
        <v>151.19999999999999</v>
      </c>
      <c r="J108" s="268">
        <v>2311.1999999999998</v>
      </c>
      <c r="K108" s="672" t="s">
        <v>975</v>
      </c>
      <c r="L108" s="673" t="s">
        <v>1008</v>
      </c>
      <c r="M108" s="674">
        <v>5082.5</v>
      </c>
      <c r="N108" s="675"/>
      <c r="O108" s="675"/>
      <c r="P108" s="676"/>
      <c r="Q108" s="113">
        <f t="shared" si="4"/>
        <v>0</v>
      </c>
      <c r="R108" s="113">
        <f t="shared" si="5"/>
        <v>0</v>
      </c>
      <c r="S108" s="217">
        <f t="shared" si="6"/>
        <v>0</v>
      </c>
      <c r="T108" s="2"/>
    </row>
    <row r="109" spans="1:20" ht="22.5" customHeight="1" x14ac:dyDescent="0.5">
      <c r="A109" s="264"/>
      <c r="B109" s="265" t="s">
        <v>568</v>
      </c>
      <c r="C109" s="265" t="s">
        <v>567</v>
      </c>
      <c r="D109" s="266">
        <v>3648.7</v>
      </c>
      <c r="E109" s="267" t="s">
        <v>935</v>
      </c>
      <c r="F109" s="267"/>
      <c r="G109" s="168" t="s">
        <v>33</v>
      </c>
      <c r="H109" s="255">
        <v>2470</v>
      </c>
      <c r="I109" s="256">
        <v>172.9</v>
      </c>
      <c r="J109" s="677">
        <v>2642.9</v>
      </c>
      <c r="K109" s="678" t="s">
        <v>975</v>
      </c>
      <c r="L109" s="679" t="s">
        <v>1008</v>
      </c>
      <c r="M109" s="680">
        <v>6291.6</v>
      </c>
      <c r="N109" s="681"/>
      <c r="O109" s="681"/>
      <c r="P109" s="682"/>
      <c r="Q109" s="113">
        <f t="shared" si="4"/>
        <v>0</v>
      </c>
      <c r="R109" s="113">
        <f t="shared" si="5"/>
        <v>0</v>
      </c>
      <c r="S109" s="217">
        <f t="shared" si="6"/>
        <v>0</v>
      </c>
      <c r="T109" s="2"/>
    </row>
    <row r="110" spans="1:20" ht="22.5" customHeight="1" x14ac:dyDescent="0.5">
      <c r="A110" s="269">
        <v>53</v>
      </c>
      <c r="B110" s="265" t="s">
        <v>705</v>
      </c>
      <c r="C110" s="794"/>
      <c r="D110" s="266">
        <v>1016.5</v>
      </c>
      <c r="E110" s="267"/>
      <c r="F110" s="267"/>
      <c r="G110" s="168"/>
      <c r="H110" s="255"/>
      <c r="I110" s="256"/>
      <c r="J110" s="268"/>
      <c r="K110" s="672">
        <v>25226</v>
      </c>
      <c r="L110" s="673" t="s">
        <v>1009</v>
      </c>
      <c r="M110" s="674">
        <v>1016.5</v>
      </c>
      <c r="N110" s="675"/>
      <c r="O110" s="675"/>
      <c r="P110" s="776"/>
      <c r="Q110" s="276"/>
      <c r="R110" s="276"/>
      <c r="S110" s="277"/>
      <c r="T110" s="2"/>
    </row>
    <row r="111" spans="1:20" s="60" customFormat="1" ht="22.5" customHeight="1" thickBot="1" x14ac:dyDescent="0.35">
      <c r="A111" s="278"/>
      <c r="B111" s="278" t="s">
        <v>15</v>
      </c>
      <c r="C111" s="279"/>
      <c r="D111" s="280">
        <f>SUM(D44:D110)</f>
        <v>293982.49999999994</v>
      </c>
      <c r="E111" s="281"/>
      <c r="F111" s="281"/>
      <c r="G111" s="282"/>
      <c r="H111" s="280">
        <f>SUM(H44:H110)</f>
        <v>126290</v>
      </c>
      <c r="I111" s="280">
        <f>SUM(I44:I110)</f>
        <v>8840.2999999999993</v>
      </c>
      <c r="J111" s="280">
        <f>SUM(J44:J110)</f>
        <v>135130.29999999996</v>
      </c>
      <c r="K111" s="280"/>
      <c r="L111" s="280">
        <f>SUM(L44:L109)</f>
        <v>0</v>
      </c>
      <c r="M111" s="280">
        <f>SUM(M44:M110)</f>
        <v>297577.7</v>
      </c>
      <c r="N111" s="280"/>
      <c r="O111" s="280"/>
      <c r="P111" s="280">
        <f>SUM(P44:P109)</f>
        <v>0</v>
      </c>
      <c r="Q111" s="280">
        <f>SUM(Q44:Q110)</f>
        <v>122930</v>
      </c>
      <c r="R111" s="280">
        <f>SUM(R44:R110)</f>
        <v>8605.1</v>
      </c>
      <c r="S111" s="280">
        <f>SUM(S44:S110)</f>
        <v>131535.1</v>
      </c>
      <c r="T111" s="59"/>
    </row>
    <row r="112" spans="1:20" ht="22.5" customHeight="1" thickTop="1" x14ac:dyDescent="0.3">
      <c r="A112" s="61"/>
      <c r="B112" s="121" t="s">
        <v>232</v>
      </c>
      <c r="C112" s="63"/>
      <c r="D112" s="64"/>
      <c r="E112" s="65"/>
      <c r="F112" s="65"/>
      <c r="G112" s="66"/>
      <c r="H112" s="67"/>
      <c r="I112" s="67"/>
      <c r="J112" s="67"/>
      <c r="K112" s="286"/>
      <c r="L112" s="287"/>
      <c r="M112" s="288"/>
      <c r="N112" s="69"/>
      <c r="O112" s="69"/>
      <c r="P112" s="70"/>
      <c r="Q112" s="71"/>
      <c r="R112" s="71"/>
      <c r="S112" s="289"/>
      <c r="T112" s="2"/>
    </row>
    <row r="113" spans="1:20" ht="22.5" customHeight="1" x14ac:dyDescent="0.5">
      <c r="A113" s="290"/>
      <c r="B113" s="291" t="s">
        <v>233</v>
      </c>
      <c r="C113" s="292"/>
      <c r="D113" s="293"/>
      <c r="E113" s="212"/>
      <c r="F113" s="212"/>
      <c r="G113" s="213"/>
      <c r="H113" s="219"/>
      <c r="I113" s="219"/>
      <c r="J113" s="219"/>
      <c r="K113" s="294"/>
      <c r="L113" s="295"/>
      <c r="M113" s="296"/>
      <c r="N113" s="41"/>
      <c r="O113" s="41"/>
      <c r="P113" s="34"/>
      <c r="Q113" s="114"/>
      <c r="R113" s="114"/>
      <c r="S113" s="36"/>
      <c r="T113" s="2"/>
    </row>
    <row r="114" spans="1:20" ht="22.5" customHeight="1" x14ac:dyDescent="0.5">
      <c r="A114" s="23">
        <v>1</v>
      </c>
      <c r="B114" s="73" t="s">
        <v>234</v>
      </c>
      <c r="C114" s="25" t="s">
        <v>235</v>
      </c>
      <c r="D114" s="43">
        <v>9450</v>
      </c>
      <c r="E114" s="212"/>
      <c r="F114" s="212"/>
      <c r="G114" s="213"/>
      <c r="H114" s="219">
        <v>0</v>
      </c>
      <c r="I114" s="219">
        <v>0</v>
      </c>
      <c r="J114" s="219">
        <v>0</v>
      </c>
      <c r="K114" s="30">
        <v>25219</v>
      </c>
      <c r="L114" s="31" t="s">
        <v>1010</v>
      </c>
      <c r="M114" s="32">
        <v>9450</v>
      </c>
      <c r="N114" s="215"/>
      <c r="O114" s="215"/>
      <c r="P114" s="216"/>
      <c r="Q114" s="114">
        <f>SUM(D114+J114-M114)</f>
        <v>0</v>
      </c>
      <c r="R114" s="114">
        <v>0</v>
      </c>
      <c r="S114" s="36">
        <f>SUM(Q114)</f>
        <v>0</v>
      </c>
      <c r="T114" s="2"/>
    </row>
    <row r="115" spans="1:20" ht="22.5" customHeight="1" x14ac:dyDescent="0.5">
      <c r="A115" s="23">
        <v>2</v>
      </c>
      <c r="B115" s="73" t="s">
        <v>237</v>
      </c>
      <c r="C115" s="25" t="s">
        <v>238</v>
      </c>
      <c r="D115" s="43">
        <v>3150</v>
      </c>
      <c r="E115" s="212"/>
      <c r="F115" s="212"/>
      <c r="G115" s="213"/>
      <c r="H115" s="219">
        <v>0</v>
      </c>
      <c r="I115" s="219">
        <v>0</v>
      </c>
      <c r="J115" s="219">
        <v>0</v>
      </c>
      <c r="K115" s="30">
        <v>25219</v>
      </c>
      <c r="L115" s="31" t="s">
        <v>1011</v>
      </c>
      <c r="M115" s="32">
        <v>3150</v>
      </c>
      <c r="N115" s="215"/>
      <c r="O115" s="215"/>
      <c r="P115" s="216"/>
      <c r="Q115" s="114">
        <f t="shared" ref="Q115:Q154" si="7">SUM(D115+J115-M115)</f>
        <v>0</v>
      </c>
      <c r="R115" s="114">
        <v>0</v>
      </c>
      <c r="S115" s="36">
        <f t="shared" ref="S115:S154" si="8">SUM(Q115)</f>
        <v>0</v>
      </c>
      <c r="T115" s="2"/>
    </row>
    <row r="116" spans="1:20" ht="22.5" customHeight="1" x14ac:dyDescent="0.5">
      <c r="A116" s="23">
        <v>3</v>
      </c>
      <c r="B116" s="73" t="s">
        <v>240</v>
      </c>
      <c r="C116" s="25" t="s">
        <v>241</v>
      </c>
      <c r="D116" s="43">
        <v>15750</v>
      </c>
      <c r="E116" s="212"/>
      <c r="F116" s="212"/>
      <c r="G116" s="213"/>
      <c r="H116" s="219">
        <v>0</v>
      </c>
      <c r="I116" s="219">
        <v>0</v>
      </c>
      <c r="J116" s="219">
        <v>0</v>
      </c>
      <c r="K116" s="30">
        <v>25231</v>
      </c>
      <c r="L116" s="31" t="s">
        <v>1012</v>
      </c>
      <c r="M116" s="32">
        <v>15750</v>
      </c>
      <c r="N116" s="297"/>
      <c r="O116" s="297"/>
      <c r="P116" s="216"/>
      <c r="Q116" s="114">
        <f t="shared" si="7"/>
        <v>0</v>
      </c>
      <c r="R116" s="114">
        <v>0</v>
      </c>
      <c r="S116" s="36">
        <f t="shared" si="8"/>
        <v>0</v>
      </c>
      <c r="T116" s="2"/>
    </row>
    <row r="117" spans="1:20" ht="22.5" customHeight="1" x14ac:dyDescent="0.5">
      <c r="A117" s="23">
        <v>4</v>
      </c>
      <c r="B117" s="73" t="s">
        <v>240</v>
      </c>
      <c r="C117" s="25" t="s">
        <v>242</v>
      </c>
      <c r="D117" s="43">
        <v>6300</v>
      </c>
      <c r="E117" s="212"/>
      <c r="F117" s="212"/>
      <c r="G117" s="213"/>
      <c r="H117" s="219">
        <v>0</v>
      </c>
      <c r="I117" s="219">
        <v>0</v>
      </c>
      <c r="J117" s="219">
        <v>0</v>
      </c>
      <c r="K117" s="30">
        <v>25231</v>
      </c>
      <c r="L117" s="31" t="s">
        <v>1012</v>
      </c>
      <c r="M117" s="32">
        <v>6300</v>
      </c>
      <c r="N117" s="297"/>
      <c r="O117" s="297"/>
      <c r="P117" s="216"/>
      <c r="Q117" s="114">
        <f t="shared" si="7"/>
        <v>0</v>
      </c>
      <c r="R117" s="114">
        <v>0</v>
      </c>
      <c r="S117" s="36">
        <f t="shared" si="8"/>
        <v>0</v>
      </c>
      <c r="T117" s="2"/>
    </row>
    <row r="118" spans="1:20" ht="22.5" customHeight="1" x14ac:dyDescent="0.5">
      <c r="A118" s="23">
        <v>5</v>
      </c>
      <c r="B118" s="73" t="s">
        <v>198</v>
      </c>
      <c r="C118" s="25" t="s">
        <v>243</v>
      </c>
      <c r="D118" s="43">
        <v>22050</v>
      </c>
      <c r="E118" s="212"/>
      <c r="F118" s="212"/>
      <c r="G118" s="213"/>
      <c r="H118" s="219">
        <v>0</v>
      </c>
      <c r="I118" s="219">
        <v>0</v>
      </c>
      <c r="J118" s="219">
        <v>0</v>
      </c>
      <c r="K118" s="30">
        <v>25215</v>
      </c>
      <c r="L118" s="31" t="s">
        <v>1013</v>
      </c>
      <c r="M118" s="32">
        <v>22050</v>
      </c>
      <c r="N118" s="297"/>
      <c r="O118" s="297"/>
      <c r="P118" s="216"/>
      <c r="Q118" s="114">
        <f t="shared" si="7"/>
        <v>0</v>
      </c>
      <c r="R118" s="114">
        <v>0</v>
      </c>
      <c r="S118" s="36">
        <f t="shared" si="8"/>
        <v>0</v>
      </c>
      <c r="T118" s="2"/>
    </row>
    <row r="119" spans="1:20" ht="22.5" customHeight="1" x14ac:dyDescent="0.5">
      <c r="A119" s="23">
        <v>6</v>
      </c>
      <c r="B119" s="73" t="s">
        <v>245</v>
      </c>
      <c r="C119" s="25" t="s">
        <v>246</v>
      </c>
      <c r="D119" s="43">
        <v>9450</v>
      </c>
      <c r="E119" s="212"/>
      <c r="F119" s="212"/>
      <c r="G119" s="213"/>
      <c r="H119" s="219">
        <v>0</v>
      </c>
      <c r="I119" s="219">
        <v>0</v>
      </c>
      <c r="J119" s="219">
        <v>0</v>
      </c>
      <c r="K119" s="30">
        <v>25212</v>
      </c>
      <c r="L119" s="31" t="s">
        <v>1014</v>
      </c>
      <c r="M119" s="32">
        <v>9450</v>
      </c>
      <c r="N119" s="297"/>
      <c r="O119" s="297"/>
      <c r="P119" s="216"/>
      <c r="Q119" s="114">
        <f t="shared" si="7"/>
        <v>0</v>
      </c>
      <c r="R119" s="114">
        <v>0</v>
      </c>
      <c r="S119" s="36">
        <f t="shared" si="8"/>
        <v>0</v>
      </c>
      <c r="T119" s="2"/>
    </row>
    <row r="120" spans="1:20" ht="22.5" customHeight="1" x14ac:dyDescent="0.5">
      <c r="A120" s="23">
        <v>7</v>
      </c>
      <c r="B120" s="73" t="s">
        <v>248</v>
      </c>
      <c r="C120" s="25" t="s">
        <v>249</v>
      </c>
      <c r="D120" s="43">
        <v>6300</v>
      </c>
      <c r="E120" s="212"/>
      <c r="F120" s="212"/>
      <c r="G120" s="213"/>
      <c r="H120" s="219">
        <v>0</v>
      </c>
      <c r="I120" s="219">
        <v>0</v>
      </c>
      <c r="J120" s="219">
        <v>0</v>
      </c>
      <c r="K120" s="30"/>
      <c r="L120" s="31"/>
      <c r="M120" s="32"/>
      <c r="N120" s="215" t="s">
        <v>958</v>
      </c>
      <c r="O120" s="215" t="s">
        <v>33</v>
      </c>
      <c r="P120" s="216" t="s">
        <v>33</v>
      </c>
      <c r="Q120" s="114">
        <f t="shared" si="7"/>
        <v>6300</v>
      </c>
      <c r="R120" s="114">
        <v>0</v>
      </c>
      <c r="S120" s="36">
        <f t="shared" si="8"/>
        <v>6300</v>
      </c>
      <c r="T120" s="2"/>
    </row>
    <row r="121" spans="1:20" ht="22.5" customHeight="1" x14ac:dyDescent="0.5">
      <c r="A121" s="208">
        <v>8</v>
      </c>
      <c r="B121" s="209" t="s">
        <v>250</v>
      </c>
      <c r="C121" s="210" t="s">
        <v>251</v>
      </c>
      <c r="D121" s="298">
        <v>6300</v>
      </c>
      <c r="E121" s="299" t="s">
        <v>935</v>
      </c>
      <c r="F121" s="299"/>
      <c r="G121" s="300" t="s">
        <v>33</v>
      </c>
      <c r="H121" s="214">
        <v>6300</v>
      </c>
      <c r="I121" s="219">
        <v>0</v>
      </c>
      <c r="J121" s="219">
        <v>6300</v>
      </c>
      <c r="K121" s="30">
        <v>25217</v>
      </c>
      <c r="L121" s="31" t="s">
        <v>1015</v>
      </c>
      <c r="M121" s="32">
        <v>6300</v>
      </c>
      <c r="N121" s="215" t="s">
        <v>958</v>
      </c>
      <c r="O121" s="215" t="s">
        <v>33</v>
      </c>
      <c r="P121" s="216" t="s">
        <v>33</v>
      </c>
      <c r="Q121" s="114">
        <f t="shared" si="7"/>
        <v>6300</v>
      </c>
      <c r="R121" s="114">
        <v>0</v>
      </c>
      <c r="S121" s="36">
        <f t="shared" si="8"/>
        <v>6300</v>
      </c>
      <c r="T121" s="218"/>
    </row>
    <row r="122" spans="1:20" ht="22.5" customHeight="1" x14ac:dyDescent="0.5">
      <c r="A122" s="23">
        <v>9</v>
      </c>
      <c r="B122" s="73" t="s">
        <v>253</v>
      </c>
      <c r="C122" s="25" t="s">
        <v>254</v>
      </c>
      <c r="D122" s="43">
        <v>9450</v>
      </c>
      <c r="E122" s="212"/>
      <c r="F122" s="212"/>
      <c r="G122" s="213"/>
      <c r="H122" s="219">
        <v>0</v>
      </c>
      <c r="I122" s="219">
        <v>0</v>
      </c>
      <c r="J122" s="219">
        <v>0</v>
      </c>
      <c r="K122" s="30">
        <v>25222</v>
      </c>
      <c r="L122" s="31" t="s">
        <v>1016</v>
      </c>
      <c r="M122" s="32">
        <v>9450</v>
      </c>
      <c r="N122" s="215"/>
      <c r="O122" s="215"/>
      <c r="P122" s="216"/>
      <c r="Q122" s="114">
        <f t="shared" si="7"/>
        <v>0</v>
      </c>
      <c r="R122" s="114">
        <v>0</v>
      </c>
      <c r="S122" s="36">
        <f t="shared" si="8"/>
        <v>0</v>
      </c>
    </row>
    <row r="123" spans="1:20" ht="22.5" customHeight="1" x14ac:dyDescent="0.5">
      <c r="A123" s="23"/>
      <c r="B123" s="301" t="s">
        <v>256</v>
      </c>
      <c r="C123" s="25"/>
      <c r="D123" s="43"/>
      <c r="E123" s="302"/>
      <c r="F123" s="302"/>
      <c r="G123" s="303"/>
      <c r="H123" s="304">
        <v>0</v>
      </c>
      <c r="I123" s="304">
        <v>0</v>
      </c>
      <c r="J123" s="304">
        <v>0</v>
      </c>
      <c r="K123" s="30"/>
      <c r="L123" s="31"/>
      <c r="M123" s="32"/>
      <c r="N123" s="297"/>
      <c r="O123" s="297"/>
      <c r="P123" s="216"/>
      <c r="Q123" s="114">
        <f t="shared" si="7"/>
        <v>0</v>
      </c>
      <c r="R123" s="114">
        <v>0</v>
      </c>
      <c r="S123" s="36">
        <f t="shared" si="8"/>
        <v>0</v>
      </c>
    </row>
    <row r="124" spans="1:20" ht="22.5" customHeight="1" x14ac:dyDescent="0.5">
      <c r="A124" s="23">
        <v>10</v>
      </c>
      <c r="B124" s="73" t="s">
        <v>257</v>
      </c>
      <c r="C124" s="25" t="s">
        <v>258</v>
      </c>
      <c r="D124" s="43">
        <v>5600</v>
      </c>
      <c r="E124" s="212"/>
      <c r="F124" s="212"/>
      <c r="G124" s="213"/>
      <c r="H124" s="219">
        <v>0</v>
      </c>
      <c r="I124" s="219">
        <v>0</v>
      </c>
      <c r="J124" s="219">
        <v>0</v>
      </c>
      <c r="K124" s="30">
        <v>25212</v>
      </c>
      <c r="L124" s="31" t="s">
        <v>1017</v>
      </c>
      <c r="M124" s="32">
        <v>5600</v>
      </c>
      <c r="N124" s="297"/>
      <c r="O124" s="297"/>
      <c r="P124" s="216"/>
      <c r="Q124" s="114">
        <f t="shared" si="7"/>
        <v>0</v>
      </c>
      <c r="R124" s="114">
        <v>0</v>
      </c>
      <c r="S124" s="36">
        <f t="shared" si="8"/>
        <v>0</v>
      </c>
    </row>
    <row r="125" spans="1:20" ht="22.5" customHeight="1" x14ac:dyDescent="0.5">
      <c r="A125" s="23">
        <v>11</v>
      </c>
      <c r="B125" s="73" t="s">
        <v>198</v>
      </c>
      <c r="C125" s="25" t="s">
        <v>260</v>
      </c>
      <c r="D125" s="43">
        <v>2800</v>
      </c>
      <c r="E125" s="212"/>
      <c r="F125" s="212"/>
      <c r="G125" s="213"/>
      <c r="H125" s="219">
        <v>0</v>
      </c>
      <c r="I125" s="219">
        <v>0</v>
      </c>
      <c r="J125" s="219">
        <v>0</v>
      </c>
      <c r="K125" s="30">
        <v>25215</v>
      </c>
      <c r="L125" s="31" t="s">
        <v>1013</v>
      </c>
      <c r="M125" s="32">
        <v>2800</v>
      </c>
      <c r="N125" s="297"/>
      <c r="O125" s="297"/>
      <c r="P125" s="216"/>
      <c r="Q125" s="114">
        <f t="shared" si="7"/>
        <v>0</v>
      </c>
      <c r="R125" s="114">
        <v>0</v>
      </c>
      <c r="S125" s="36">
        <f t="shared" si="8"/>
        <v>0</v>
      </c>
    </row>
    <row r="126" spans="1:20" ht="22.5" customHeight="1" x14ac:dyDescent="0.5">
      <c r="A126" s="23">
        <v>12</v>
      </c>
      <c r="B126" s="73" t="s">
        <v>261</v>
      </c>
      <c r="C126" s="25" t="s">
        <v>262</v>
      </c>
      <c r="D126" s="43">
        <v>5600</v>
      </c>
      <c r="E126" s="212"/>
      <c r="F126" s="212"/>
      <c r="G126" s="213"/>
      <c r="H126" s="219">
        <v>0</v>
      </c>
      <c r="I126" s="219">
        <v>0</v>
      </c>
      <c r="J126" s="219">
        <v>0</v>
      </c>
      <c r="K126" s="30">
        <v>25222</v>
      </c>
      <c r="L126" s="31" t="s">
        <v>1018</v>
      </c>
      <c r="M126" s="32">
        <v>5600</v>
      </c>
      <c r="N126" s="215"/>
      <c r="O126" s="215"/>
      <c r="P126" s="216"/>
      <c r="Q126" s="114">
        <f t="shared" si="7"/>
        <v>0</v>
      </c>
      <c r="R126" s="114">
        <v>0</v>
      </c>
      <c r="S126" s="36">
        <f t="shared" si="8"/>
        <v>0</v>
      </c>
    </row>
    <row r="127" spans="1:20" ht="22.5" customHeight="1" x14ac:dyDescent="0.5">
      <c r="A127" s="23">
        <v>13</v>
      </c>
      <c r="B127" s="73" t="s">
        <v>264</v>
      </c>
      <c r="C127" s="25" t="s">
        <v>265</v>
      </c>
      <c r="D127" s="43">
        <v>5600</v>
      </c>
      <c r="E127" s="212"/>
      <c r="F127" s="212"/>
      <c r="G127" s="213"/>
      <c r="H127" s="219">
        <v>0</v>
      </c>
      <c r="I127" s="219">
        <v>0</v>
      </c>
      <c r="J127" s="219">
        <v>0</v>
      </c>
      <c r="K127" s="30">
        <v>25222</v>
      </c>
      <c r="L127" s="31" t="s">
        <v>1018</v>
      </c>
      <c r="M127" s="32">
        <v>5600</v>
      </c>
      <c r="N127" s="215"/>
      <c r="O127" s="215"/>
      <c r="P127" s="216"/>
      <c r="Q127" s="114">
        <f t="shared" si="7"/>
        <v>0</v>
      </c>
      <c r="R127" s="114">
        <v>0</v>
      </c>
      <c r="S127" s="36">
        <f t="shared" si="8"/>
        <v>0</v>
      </c>
    </row>
    <row r="128" spans="1:20" ht="22.5" customHeight="1" x14ac:dyDescent="0.5">
      <c r="A128" s="23">
        <v>14</v>
      </c>
      <c r="B128" s="73" t="s">
        <v>266</v>
      </c>
      <c r="C128" s="25" t="s">
        <v>267</v>
      </c>
      <c r="D128" s="43">
        <v>5600</v>
      </c>
      <c r="E128" s="212"/>
      <c r="F128" s="212"/>
      <c r="G128" s="213"/>
      <c r="H128" s="219">
        <v>0</v>
      </c>
      <c r="I128" s="219">
        <v>0</v>
      </c>
      <c r="J128" s="219">
        <v>0</v>
      </c>
      <c r="K128" s="30">
        <v>25212</v>
      </c>
      <c r="L128" s="31" t="s">
        <v>1019</v>
      </c>
      <c r="M128" s="32">
        <v>5600</v>
      </c>
      <c r="N128" s="297"/>
      <c r="O128" s="297"/>
      <c r="P128" s="216"/>
      <c r="Q128" s="114">
        <f t="shared" si="7"/>
        <v>0</v>
      </c>
      <c r="R128" s="114">
        <v>0</v>
      </c>
      <c r="S128" s="36">
        <f t="shared" si="8"/>
        <v>0</v>
      </c>
    </row>
    <row r="129" spans="1:21" ht="22.5" customHeight="1" x14ac:dyDescent="0.5">
      <c r="A129" s="23"/>
      <c r="B129" s="301" t="s">
        <v>269</v>
      </c>
      <c r="C129" s="25"/>
      <c r="D129" s="43"/>
      <c r="E129" s="302"/>
      <c r="F129" s="302"/>
      <c r="G129" s="303"/>
      <c r="H129" s="304">
        <v>0</v>
      </c>
      <c r="I129" s="304">
        <v>0</v>
      </c>
      <c r="J129" s="304">
        <v>0</v>
      </c>
      <c r="K129" s="30"/>
      <c r="L129" s="31"/>
      <c r="M129" s="32"/>
      <c r="N129" s="297"/>
      <c r="O129" s="297"/>
      <c r="P129" s="216"/>
      <c r="Q129" s="114">
        <f t="shared" si="7"/>
        <v>0</v>
      </c>
      <c r="R129" s="114">
        <v>0</v>
      </c>
      <c r="S129" s="36">
        <f t="shared" si="8"/>
        <v>0</v>
      </c>
    </row>
    <row r="130" spans="1:21" ht="22.5" customHeight="1" x14ac:dyDescent="0.5">
      <c r="A130" s="23">
        <v>1</v>
      </c>
      <c r="B130" s="73" t="s">
        <v>270</v>
      </c>
      <c r="C130" s="25" t="s">
        <v>271</v>
      </c>
      <c r="D130" s="43">
        <v>9450</v>
      </c>
      <c r="E130" s="212"/>
      <c r="F130" s="212"/>
      <c r="G130" s="213"/>
      <c r="H130" s="219">
        <v>0</v>
      </c>
      <c r="I130" s="219">
        <v>0</v>
      </c>
      <c r="J130" s="219">
        <v>0</v>
      </c>
      <c r="K130" s="30">
        <v>25209</v>
      </c>
      <c r="L130" s="31" t="s">
        <v>1020</v>
      </c>
      <c r="M130" s="32">
        <v>9450</v>
      </c>
      <c r="N130" s="307"/>
      <c r="O130" s="307"/>
      <c r="P130" s="308"/>
      <c r="Q130" s="114">
        <f t="shared" si="7"/>
        <v>0</v>
      </c>
      <c r="R130" s="114">
        <v>0</v>
      </c>
      <c r="S130" s="36">
        <f t="shared" si="8"/>
        <v>0</v>
      </c>
    </row>
    <row r="131" spans="1:21" ht="22.5" customHeight="1" x14ac:dyDescent="0.5">
      <c r="A131" s="23">
        <v>2</v>
      </c>
      <c r="B131" s="73" t="s">
        <v>261</v>
      </c>
      <c r="C131" s="25" t="s">
        <v>273</v>
      </c>
      <c r="D131" s="43">
        <v>9450</v>
      </c>
      <c r="E131" s="212"/>
      <c r="F131" s="212"/>
      <c r="G131" s="213"/>
      <c r="H131" s="219">
        <v>0</v>
      </c>
      <c r="I131" s="219">
        <v>0</v>
      </c>
      <c r="J131" s="219">
        <v>0</v>
      </c>
      <c r="K131" s="30">
        <v>25222</v>
      </c>
      <c r="L131" s="31" t="s">
        <v>1018</v>
      </c>
      <c r="M131" s="32">
        <v>9450</v>
      </c>
      <c r="N131" s="215"/>
      <c r="O131" s="215"/>
      <c r="P131" s="216"/>
      <c r="Q131" s="114">
        <f t="shared" si="7"/>
        <v>0</v>
      </c>
      <c r="R131" s="114">
        <v>0</v>
      </c>
      <c r="S131" s="36">
        <f t="shared" si="8"/>
        <v>0</v>
      </c>
    </row>
    <row r="132" spans="1:21" ht="22.5" customHeight="1" x14ac:dyDescent="0.5">
      <c r="A132" s="23">
        <v>3</v>
      </c>
      <c r="B132" s="73" t="s">
        <v>274</v>
      </c>
      <c r="C132" s="25" t="s">
        <v>275</v>
      </c>
      <c r="D132" s="43">
        <v>3150</v>
      </c>
      <c r="E132" s="212"/>
      <c r="F132" s="212"/>
      <c r="G132" s="213"/>
      <c r="H132" s="219">
        <v>0</v>
      </c>
      <c r="I132" s="219">
        <v>0</v>
      </c>
      <c r="J132" s="219">
        <v>0</v>
      </c>
      <c r="K132" s="30">
        <v>25212</v>
      </c>
      <c r="L132" s="31" t="s">
        <v>1021</v>
      </c>
      <c r="M132" s="32">
        <v>3150</v>
      </c>
      <c r="N132" s="297"/>
      <c r="O132" s="297"/>
      <c r="P132" s="216"/>
      <c r="Q132" s="114">
        <f t="shared" si="7"/>
        <v>0</v>
      </c>
      <c r="R132" s="114">
        <v>0</v>
      </c>
      <c r="S132" s="36">
        <f t="shared" si="8"/>
        <v>0</v>
      </c>
      <c r="T132" s="2"/>
    </row>
    <row r="133" spans="1:21" ht="22.5" customHeight="1" x14ac:dyDescent="0.5">
      <c r="A133" s="23">
        <v>4</v>
      </c>
      <c r="B133" s="73" t="s">
        <v>277</v>
      </c>
      <c r="C133" s="25" t="s">
        <v>278</v>
      </c>
      <c r="D133" s="43">
        <v>6300</v>
      </c>
      <c r="E133" s="212"/>
      <c r="F133" s="212"/>
      <c r="G133" s="213"/>
      <c r="H133" s="219">
        <v>0</v>
      </c>
      <c r="I133" s="219">
        <v>0</v>
      </c>
      <c r="J133" s="219">
        <v>0</v>
      </c>
      <c r="K133" s="30">
        <v>25209</v>
      </c>
      <c r="L133" s="31" t="s">
        <v>1022</v>
      </c>
      <c r="M133" s="32">
        <v>6300</v>
      </c>
      <c r="N133" s="297"/>
      <c r="O133" s="297"/>
      <c r="P133" s="216"/>
      <c r="Q133" s="114">
        <f t="shared" si="7"/>
        <v>0</v>
      </c>
      <c r="R133" s="114">
        <v>0</v>
      </c>
      <c r="S133" s="36">
        <f t="shared" si="8"/>
        <v>0</v>
      </c>
      <c r="T133" s="2"/>
    </row>
    <row r="134" spans="1:21" ht="22.5" customHeight="1" x14ac:dyDescent="0.5">
      <c r="A134" s="23"/>
      <c r="B134" s="301" t="s">
        <v>280</v>
      </c>
      <c r="C134" s="25"/>
      <c r="D134" s="43"/>
      <c r="E134" s="302"/>
      <c r="F134" s="302"/>
      <c r="G134" s="303"/>
      <c r="H134" s="304">
        <v>0</v>
      </c>
      <c r="I134" s="304">
        <v>0</v>
      </c>
      <c r="J134" s="304">
        <v>0</v>
      </c>
      <c r="K134" s="30"/>
      <c r="L134" s="31"/>
      <c r="M134" s="32"/>
      <c r="N134" s="297"/>
      <c r="O134" s="297"/>
      <c r="P134" s="216"/>
      <c r="Q134" s="114">
        <f t="shared" si="7"/>
        <v>0</v>
      </c>
      <c r="R134" s="114">
        <v>0</v>
      </c>
      <c r="S134" s="36">
        <f t="shared" si="8"/>
        <v>0</v>
      </c>
      <c r="T134" s="2"/>
    </row>
    <row r="135" spans="1:21" ht="22.5" customHeight="1" x14ac:dyDescent="0.5">
      <c r="A135" s="23">
        <v>1</v>
      </c>
      <c r="B135" s="73" t="s">
        <v>281</v>
      </c>
      <c r="C135" s="25" t="s">
        <v>282</v>
      </c>
      <c r="D135" s="43">
        <v>5600</v>
      </c>
      <c r="E135" s="212" t="s">
        <v>899</v>
      </c>
      <c r="F135" s="212"/>
      <c r="G135" s="213" t="s">
        <v>284</v>
      </c>
      <c r="H135" s="219">
        <v>16800</v>
      </c>
      <c r="I135" s="219">
        <v>0</v>
      </c>
      <c r="J135" s="219">
        <v>16800</v>
      </c>
      <c r="K135" s="30" t="s">
        <v>1023</v>
      </c>
      <c r="L135" s="31" t="s">
        <v>1024</v>
      </c>
      <c r="M135" s="32">
        <v>16800</v>
      </c>
      <c r="N135" s="215" t="s">
        <v>958</v>
      </c>
      <c r="O135" s="215" t="s">
        <v>33</v>
      </c>
      <c r="P135" s="216" t="s">
        <v>33</v>
      </c>
      <c r="Q135" s="114">
        <f t="shared" si="7"/>
        <v>5600</v>
      </c>
      <c r="R135" s="114">
        <v>0</v>
      </c>
      <c r="S135" s="36">
        <f t="shared" si="8"/>
        <v>5600</v>
      </c>
      <c r="T135" s="2"/>
    </row>
    <row r="136" spans="1:21" ht="22.5" customHeight="1" x14ac:dyDescent="0.5">
      <c r="A136" s="23">
        <v>2</v>
      </c>
      <c r="B136" s="73" t="s">
        <v>287</v>
      </c>
      <c r="C136" s="25" t="s">
        <v>288</v>
      </c>
      <c r="D136" s="43">
        <v>5600</v>
      </c>
      <c r="E136" s="212" t="s">
        <v>935</v>
      </c>
      <c r="F136" s="212"/>
      <c r="G136" s="213" t="s">
        <v>33</v>
      </c>
      <c r="H136" s="219">
        <v>5600</v>
      </c>
      <c r="I136" s="219">
        <v>0</v>
      </c>
      <c r="J136" s="219">
        <v>5600</v>
      </c>
      <c r="K136" s="30">
        <v>25208</v>
      </c>
      <c r="L136" s="31" t="s">
        <v>1025</v>
      </c>
      <c r="M136" s="32">
        <v>5600</v>
      </c>
      <c r="N136" s="215" t="s">
        <v>958</v>
      </c>
      <c r="O136" s="215" t="s">
        <v>33</v>
      </c>
      <c r="P136" s="216" t="s">
        <v>33</v>
      </c>
      <c r="Q136" s="114">
        <f t="shared" si="7"/>
        <v>5600</v>
      </c>
      <c r="R136" s="114">
        <v>0</v>
      </c>
      <c r="S136" s="36">
        <f t="shared" si="8"/>
        <v>5600</v>
      </c>
      <c r="T136" s="2"/>
    </row>
    <row r="137" spans="1:21" ht="22.5" customHeight="1" x14ac:dyDescent="0.5">
      <c r="A137" s="23">
        <v>3</v>
      </c>
      <c r="B137" s="73" t="s">
        <v>290</v>
      </c>
      <c r="C137" s="25" t="s">
        <v>291</v>
      </c>
      <c r="D137" s="43">
        <v>5600</v>
      </c>
      <c r="E137" s="212"/>
      <c r="F137" s="212"/>
      <c r="G137" s="213"/>
      <c r="H137" s="219">
        <v>0</v>
      </c>
      <c r="I137" s="219">
        <v>0</v>
      </c>
      <c r="J137" s="219">
        <v>0</v>
      </c>
      <c r="K137" s="30">
        <v>25208</v>
      </c>
      <c r="L137" s="31" t="s">
        <v>1026</v>
      </c>
      <c r="M137" s="32">
        <v>5600</v>
      </c>
      <c r="N137" s="215"/>
      <c r="O137" s="215"/>
      <c r="P137" s="216"/>
      <c r="Q137" s="114">
        <f t="shared" si="7"/>
        <v>0</v>
      </c>
      <c r="R137" s="114">
        <v>0</v>
      </c>
      <c r="S137" s="36">
        <f t="shared" si="8"/>
        <v>0</v>
      </c>
      <c r="T137" s="2"/>
    </row>
    <row r="138" spans="1:21" ht="22.5" customHeight="1" x14ac:dyDescent="0.5">
      <c r="A138" s="23">
        <v>4</v>
      </c>
      <c r="B138" s="73" t="s">
        <v>293</v>
      </c>
      <c r="C138" s="25" t="s">
        <v>294</v>
      </c>
      <c r="D138" s="43">
        <v>2800</v>
      </c>
      <c r="E138" s="212"/>
      <c r="F138" s="212"/>
      <c r="G138" s="213"/>
      <c r="H138" s="219">
        <v>0</v>
      </c>
      <c r="I138" s="219">
        <v>0</v>
      </c>
      <c r="J138" s="219">
        <v>0</v>
      </c>
      <c r="K138" s="30">
        <v>25212</v>
      </c>
      <c r="L138" s="31" t="s">
        <v>1027</v>
      </c>
      <c r="M138" s="32">
        <v>2800</v>
      </c>
      <c r="N138" s="215"/>
      <c r="O138" s="215"/>
      <c r="P138" s="216"/>
      <c r="Q138" s="114">
        <f t="shared" si="7"/>
        <v>0</v>
      </c>
      <c r="R138" s="114">
        <v>0</v>
      </c>
      <c r="S138" s="36">
        <f t="shared" si="8"/>
        <v>0</v>
      </c>
      <c r="T138" s="2"/>
    </row>
    <row r="139" spans="1:21" ht="22.5" customHeight="1" x14ac:dyDescent="0.5">
      <c r="A139" s="23">
        <v>5</v>
      </c>
      <c r="B139" s="73" t="s">
        <v>296</v>
      </c>
      <c r="C139" s="25" t="s">
        <v>297</v>
      </c>
      <c r="D139" s="43">
        <v>5600</v>
      </c>
      <c r="E139" s="212"/>
      <c r="F139" s="212"/>
      <c r="G139" s="213"/>
      <c r="H139" s="219">
        <v>0</v>
      </c>
      <c r="I139" s="219">
        <v>0</v>
      </c>
      <c r="J139" s="219">
        <v>0</v>
      </c>
      <c r="K139" s="30"/>
      <c r="L139" s="31"/>
      <c r="M139" s="32"/>
      <c r="N139" s="297" t="s">
        <v>958</v>
      </c>
      <c r="O139" s="297" t="s">
        <v>33</v>
      </c>
      <c r="P139" s="216" t="s">
        <v>33</v>
      </c>
      <c r="Q139" s="114">
        <f t="shared" si="7"/>
        <v>5600</v>
      </c>
      <c r="R139" s="114">
        <v>0</v>
      </c>
      <c r="S139" s="36">
        <f t="shared" si="8"/>
        <v>5600</v>
      </c>
      <c r="T139" s="2"/>
      <c r="U139" s="3">
        <v>700</v>
      </c>
    </row>
    <row r="140" spans="1:21" ht="22.5" customHeight="1" x14ac:dyDescent="0.5">
      <c r="A140" s="23"/>
      <c r="B140" s="301" t="s">
        <v>299</v>
      </c>
      <c r="C140" s="25"/>
      <c r="D140" s="43"/>
      <c r="E140" s="302"/>
      <c r="F140" s="302"/>
      <c r="G140" s="303"/>
      <c r="H140" s="304">
        <v>0</v>
      </c>
      <c r="I140" s="304">
        <v>0</v>
      </c>
      <c r="J140" s="304">
        <v>0</v>
      </c>
      <c r="K140" s="30"/>
      <c r="L140" s="31"/>
      <c r="M140" s="32"/>
      <c r="N140" s="297"/>
      <c r="O140" s="297"/>
      <c r="P140" s="216"/>
      <c r="Q140" s="114">
        <f t="shared" si="7"/>
        <v>0</v>
      </c>
      <c r="R140" s="114">
        <v>0</v>
      </c>
      <c r="S140" s="36">
        <f t="shared" si="8"/>
        <v>0</v>
      </c>
      <c r="T140" s="2"/>
    </row>
    <row r="141" spans="1:21" ht="22.5" customHeight="1" x14ac:dyDescent="0.5">
      <c r="A141" s="208">
        <v>1</v>
      </c>
      <c r="B141" s="209" t="s">
        <v>300</v>
      </c>
      <c r="C141" s="210" t="s">
        <v>301</v>
      </c>
      <c r="D141" s="298">
        <v>5600</v>
      </c>
      <c r="E141" s="299" t="s">
        <v>935</v>
      </c>
      <c r="F141" s="299"/>
      <c r="G141" s="300" t="s">
        <v>33</v>
      </c>
      <c r="H141" s="214">
        <v>5600</v>
      </c>
      <c r="I141" s="214">
        <v>0</v>
      </c>
      <c r="J141" s="214">
        <v>5600</v>
      </c>
      <c r="K141" s="30">
        <v>25216</v>
      </c>
      <c r="L141" s="31" t="s">
        <v>1028</v>
      </c>
      <c r="M141" s="32">
        <v>5600</v>
      </c>
      <c r="N141" s="215" t="s">
        <v>958</v>
      </c>
      <c r="O141" s="215" t="s">
        <v>33</v>
      </c>
      <c r="P141" s="216" t="s">
        <v>33</v>
      </c>
      <c r="Q141" s="114">
        <f t="shared" si="7"/>
        <v>5600</v>
      </c>
      <c r="R141" s="114">
        <v>0</v>
      </c>
      <c r="S141" s="36">
        <f t="shared" si="8"/>
        <v>5600</v>
      </c>
      <c r="T141" s="2"/>
    </row>
    <row r="142" spans="1:21" ht="22.5" customHeight="1" x14ac:dyDescent="0.5">
      <c r="A142" s="208">
        <v>2</v>
      </c>
      <c r="B142" s="209" t="s">
        <v>303</v>
      </c>
      <c r="C142" s="210" t="s">
        <v>304</v>
      </c>
      <c r="D142" s="298">
        <v>2800</v>
      </c>
      <c r="E142" s="299"/>
      <c r="F142" s="299"/>
      <c r="G142" s="300"/>
      <c r="H142" s="214">
        <v>0</v>
      </c>
      <c r="I142" s="214">
        <v>0</v>
      </c>
      <c r="J142" s="214">
        <v>0</v>
      </c>
      <c r="K142" s="30">
        <v>25226</v>
      </c>
      <c r="L142" s="249" t="s">
        <v>1029</v>
      </c>
      <c r="M142" s="221">
        <v>2800</v>
      </c>
      <c r="N142" s="215"/>
      <c r="O142" s="215"/>
      <c r="P142" s="216"/>
      <c r="Q142" s="114">
        <f t="shared" si="7"/>
        <v>0</v>
      </c>
      <c r="R142" s="114">
        <v>0</v>
      </c>
      <c r="S142" s="36">
        <f t="shared" si="8"/>
        <v>0</v>
      </c>
      <c r="T142" s="2"/>
    </row>
    <row r="143" spans="1:21" ht="22.5" customHeight="1" x14ac:dyDescent="0.5">
      <c r="A143" s="208">
        <v>3</v>
      </c>
      <c r="B143" s="209" t="s">
        <v>306</v>
      </c>
      <c r="C143" s="210" t="s">
        <v>307</v>
      </c>
      <c r="D143" s="298">
        <v>5600</v>
      </c>
      <c r="E143" s="299"/>
      <c r="F143" s="299"/>
      <c r="G143" s="300"/>
      <c r="H143" s="214">
        <v>0</v>
      </c>
      <c r="I143" s="214">
        <v>0</v>
      </c>
      <c r="J143" s="214">
        <v>0</v>
      </c>
      <c r="K143" s="30"/>
      <c r="L143" s="31"/>
      <c r="M143" s="32"/>
      <c r="N143" s="215" t="s">
        <v>958</v>
      </c>
      <c r="O143" s="215" t="s">
        <v>33</v>
      </c>
      <c r="P143" s="216" t="s">
        <v>33</v>
      </c>
      <c r="Q143" s="114">
        <f t="shared" si="7"/>
        <v>5600</v>
      </c>
      <c r="R143" s="114">
        <v>0</v>
      </c>
      <c r="S143" s="36">
        <f t="shared" si="8"/>
        <v>5600</v>
      </c>
      <c r="T143" s="218"/>
      <c r="U143" s="309"/>
    </row>
    <row r="144" spans="1:21" ht="22.5" customHeight="1" x14ac:dyDescent="0.5">
      <c r="A144" s="208">
        <v>4</v>
      </c>
      <c r="B144" s="73" t="s">
        <v>308</v>
      </c>
      <c r="C144" s="25" t="s">
        <v>309</v>
      </c>
      <c r="D144" s="43">
        <v>8400</v>
      </c>
      <c r="E144" s="212"/>
      <c r="F144" s="212"/>
      <c r="G144" s="213"/>
      <c r="H144" s="219">
        <v>0</v>
      </c>
      <c r="I144" s="219">
        <v>0</v>
      </c>
      <c r="J144" s="219">
        <v>0</v>
      </c>
      <c r="K144" s="30">
        <v>25229</v>
      </c>
      <c r="L144" s="31" t="s">
        <v>1030</v>
      </c>
      <c r="M144" s="32">
        <v>8400</v>
      </c>
      <c r="N144" s="215"/>
      <c r="O144" s="215"/>
      <c r="P144" s="216"/>
      <c r="Q144" s="114">
        <f t="shared" si="7"/>
        <v>0</v>
      </c>
      <c r="R144" s="114">
        <v>0</v>
      </c>
      <c r="S144" s="36">
        <f t="shared" si="8"/>
        <v>0</v>
      </c>
    </row>
    <row r="145" spans="1:19" ht="22.5" customHeight="1" x14ac:dyDescent="0.5">
      <c r="A145" s="208">
        <v>5</v>
      </c>
      <c r="B145" s="73" t="s">
        <v>261</v>
      </c>
      <c r="C145" s="25" t="s">
        <v>311</v>
      </c>
      <c r="D145" s="43">
        <v>2800</v>
      </c>
      <c r="E145" s="212"/>
      <c r="F145" s="212"/>
      <c r="G145" s="213"/>
      <c r="H145" s="219">
        <v>0</v>
      </c>
      <c r="I145" s="219">
        <v>0</v>
      </c>
      <c r="J145" s="219">
        <v>0</v>
      </c>
      <c r="K145" s="30">
        <v>25222</v>
      </c>
      <c r="L145" s="31" t="s">
        <v>1018</v>
      </c>
      <c r="M145" s="32">
        <v>2800</v>
      </c>
      <c r="N145" s="215"/>
      <c r="O145" s="215"/>
      <c r="P145" s="216"/>
      <c r="Q145" s="114">
        <f t="shared" si="7"/>
        <v>0</v>
      </c>
      <c r="R145" s="114">
        <v>0</v>
      </c>
      <c r="S145" s="36">
        <f t="shared" si="8"/>
        <v>0</v>
      </c>
    </row>
    <row r="146" spans="1:19" ht="22.5" customHeight="1" x14ac:dyDescent="0.5">
      <c r="A146" s="148">
        <v>6</v>
      </c>
      <c r="B146" s="310" t="s">
        <v>261</v>
      </c>
      <c r="C146" s="311" t="s">
        <v>312</v>
      </c>
      <c r="D146" s="312">
        <v>2800</v>
      </c>
      <c r="E146" s="27"/>
      <c r="F146" s="27"/>
      <c r="G146" s="75"/>
      <c r="H146" s="76">
        <v>0</v>
      </c>
      <c r="I146" s="76">
        <v>0</v>
      </c>
      <c r="J146" s="76">
        <v>0</v>
      </c>
      <c r="K146" s="30">
        <v>25222</v>
      </c>
      <c r="L146" s="31" t="s">
        <v>1018</v>
      </c>
      <c r="M146" s="32">
        <v>2800</v>
      </c>
      <c r="N146" s="215"/>
      <c r="O146" s="215"/>
      <c r="P146" s="216"/>
      <c r="Q146" s="114">
        <f t="shared" si="7"/>
        <v>0</v>
      </c>
      <c r="R146" s="114">
        <v>0</v>
      </c>
      <c r="S146" s="36">
        <f t="shared" si="8"/>
        <v>0</v>
      </c>
    </row>
    <row r="147" spans="1:19" ht="22.5" customHeight="1" x14ac:dyDescent="0.5">
      <c r="A147" s="208">
        <v>7</v>
      </c>
      <c r="B147" s="73" t="s">
        <v>313</v>
      </c>
      <c r="C147" s="25" t="s">
        <v>314</v>
      </c>
      <c r="D147" s="43">
        <v>2800</v>
      </c>
      <c r="E147" s="212"/>
      <c r="F147" s="212"/>
      <c r="G147" s="213"/>
      <c r="H147" s="219">
        <v>0</v>
      </c>
      <c r="I147" s="219">
        <v>0</v>
      </c>
      <c r="J147" s="219">
        <v>0</v>
      </c>
      <c r="K147" s="30">
        <v>25222</v>
      </c>
      <c r="L147" s="31" t="s">
        <v>1016</v>
      </c>
      <c r="M147" s="32">
        <v>2800</v>
      </c>
      <c r="N147" s="215"/>
      <c r="O147" s="215"/>
      <c r="P147" s="216"/>
      <c r="Q147" s="114">
        <f t="shared" si="7"/>
        <v>0</v>
      </c>
      <c r="R147" s="114">
        <v>0</v>
      </c>
      <c r="S147" s="36">
        <f t="shared" si="8"/>
        <v>0</v>
      </c>
    </row>
    <row r="148" spans="1:19" ht="22.5" customHeight="1" x14ac:dyDescent="0.5">
      <c r="A148" s="23"/>
      <c r="B148" s="301" t="s">
        <v>315</v>
      </c>
      <c r="C148" s="25"/>
      <c r="D148" s="43"/>
      <c r="E148" s="302"/>
      <c r="F148" s="302"/>
      <c r="G148" s="303"/>
      <c r="H148" s="304">
        <v>0</v>
      </c>
      <c r="I148" s="304">
        <v>0</v>
      </c>
      <c r="J148" s="304">
        <v>0</v>
      </c>
      <c r="K148" s="30"/>
      <c r="L148" s="31"/>
      <c r="M148" s="32"/>
      <c r="N148" s="297"/>
      <c r="O148" s="297"/>
      <c r="P148" s="216"/>
      <c r="Q148" s="114">
        <f t="shared" si="7"/>
        <v>0</v>
      </c>
      <c r="R148" s="114">
        <v>0</v>
      </c>
      <c r="S148" s="36">
        <f t="shared" si="8"/>
        <v>0</v>
      </c>
    </row>
    <row r="149" spans="1:19" ht="22.5" customHeight="1" x14ac:dyDescent="0.5">
      <c r="A149" s="23">
        <v>1</v>
      </c>
      <c r="B149" s="73" t="s">
        <v>261</v>
      </c>
      <c r="C149" s="25" t="s">
        <v>316</v>
      </c>
      <c r="D149" s="43">
        <v>2800</v>
      </c>
      <c r="E149" s="212"/>
      <c r="F149" s="212"/>
      <c r="G149" s="213"/>
      <c r="H149" s="219">
        <v>0</v>
      </c>
      <c r="I149" s="219">
        <v>0</v>
      </c>
      <c r="J149" s="219">
        <v>0</v>
      </c>
      <c r="K149" s="30">
        <v>25222</v>
      </c>
      <c r="L149" s="31" t="s">
        <v>1018</v>
      </c>
      <c r="M149" s="32">
        <v>2800</v>
      </c>
      <c r="N149" s="215"/>
      <c r="O149" s="215"/>
      <c r="P149" s="216"/>
      <c r="Q149" s="114">
        <f t="shared" si="7"/>
        <v>0</v>
      </c>
      <c r="R149" s="114">
        <v>0</v>
      </c>
      <c r="S149" s="36">
        <f t="shared" si="8"/>
        <v>0</v>
      </c>
    </row>
    <row r="150" spans="1:19" ht="22.5" customHeight="1" x14ac:dyDescent="0.5">
      <c r="A150" s="23">
        <v>2</v>
      </c>
      <c r="B150" s="73" t="s">
        <v>317</v>
      </c>
      <c r="C150" s="25" t="s">
        <v>318</v>
      </c>
      <c r="D150" s="43">
        <v>2800</v>
      </c>
      <c r="E150" s="212"/>
      <c r="F150" s="212"/>
      <c r="G150" s="213"/>
      <c r="H150" s="313">
        <v>0</v>
      </c>
      <c r="I150" s="219">
        <v>0</v>
      </c>
      <c r="J150" s="313">
        <v>0</v>
      </c>
      <c r="K150" s="30">
        <v>25210</v>
      </c>
      <c r="L150" s="31" t="s">
        <v>1031</v>
      </c>
      <c r="M150" s="32">
        <v>2800</v>
      </c>
      <c r="N150" s="307"/>
      <c r="O150" s="307"/>
      <c r="P150" s="307"/>
      <c r="Q150" s="114">
        <f t="shared" si="7"/>
        <v>0</v>
      </c>
      <c r="R150" s="114">
        <v>0</v>
      </c>
      <c r="S150" s="36">
        <f t="shared" si="8"/>
        <v>0</v>
      </c>
    </row>
    <row r="151" spans="1:19" ht="22.5" customHeight="1" x14ac:dyDescent="0.5">
      <c r="A151" s="23">
        <v>3</v>
      </c>
      <c r="B151" s="73" t="s">
        <v>320</v>
      </c>
      <c r="C151" s="25" t="s">
        <v>321</v>
      </c>
      <c r="D151" s="43">
        <v>2800</v>
      </c>
      <c r="E151" s="212"/>
      <c r="F151" s="212"/>
      <c r="G151" s="213"/>
      <c r="H151" s="219">
        <v>0</v>
      </c>
      <c r="I151" s="219">
        <v>0</v>
      </c>
      <c r="J151" s="219">
        <v>0</v>
      </c>
      <c r="K151" s="30">
        <v>25229</v>
      </c>
      <c r="L151" s="31" t="s">
        <v>1032</v>
      </c>
      <c r="M151" s="32">
        <v>2800</v>
      </c>
      <c r="N151" s="307"/>
      <c r="O151" s="307"/>
      <c r="P151" s="308"/>
      <c r="Q151" s="114">
        <f t="shared" si="7"/>
        <v>0</v>
      </c>
      <c r="R151" s="114">
        <v>0</v>
      </c>
      <c r="S151" s="36">
        <f t="shared" si="8"/>
        <v>0</v>
      </c>
    </row>
    <row r="152" spans="1:19" ht="22.5" customHeight="1" x14ac:dyDescent="0.5">
      <c r="A152" s="23">
        <v>4</v>
      </c>
      <c r="B152" s="73" t="s">
        <v>322</v>
      </c>
      <c r="C152" s="25" t="s">
        <v>323</v>
      </c>
      <c r="D152" s="43">
        <v>5600</v>
      </c>
      <c r="E152" s="212"/>
      <c r="F152" s="212"/>
      <c r="G152" s="213"/>
      <c r="H152" s="219">
        <v>-11200</v>
      </c>
      <c r="I152" s="219">
        <v>0</v>
      </c>
      <c r="J152" s="219">
        <v>-11200</v>
      </c>
      <c r="K152" s="30">
        <v>25231</v>
      </c>
      <c r="L152" s="31" t="s">
        <v>1033</v>
      </c>
      <c r="M152" s="32">
        <v>5600</v>
      </c>
      <c r="N152" s="314" t="s">
        <v>1034</v>
      </c>
      <c r="O152" s="315"/>
      <c r="P152" s="315"/>
      <c r="Q152" s="114">
        <f t="shared" si="7"/>
        <v>-11200</v>
      </c>
      <c r="R152" s="114">
        <v>0</v>
      </c>
      <c r="S152" s="36">
        <f t="shared" si="8"/>
        <v>-11200</v>
      </c>
    </row>
    <row r="153" spans="1:19" ht="22.5" customHeight="1" x14ac:dyDescent="0.5">
      <c r="A153" s="23">
        <v>5</v>
      </c>
      <c r="B153" s="73" t="s">
        <v>293</v>
      </c>
      <c r="C153" s="25" t="s">
        <v>326</v>
      </c>
      <c r="D153" s="43">
        <v>5600</v>
      </c>
      <c r="E153" s="212"/>
      <c r="F153" s="212"/>
      <c r="G153" s="213"/>
      <c r="H153" s="219">
        <v>0</v>
      </c>
      <c r="I153" s="219">
        <v>0</v>
      </c>
      <c r="J153" s="219">
        <v>0</v>
      </c>
      <c r="K153" s="30">
        <v>25212</v>
      </c>
      <c r="L153" s="31" t="s">
        <v>1027</v>
      </c>
      <c r="M153" s="32">
        <v>5600</v>
      </c>
      <c r="N153" s="215"/>
      <c r="O153" s="215"/>
      <c r="P153" s="216"/>
      <c r="Q153" s="114">
        <f t="shared" si="7"/>
        <v>0</v>
      </c>
      <c r="R153" s="114">
        <v>0</v>
      </c>
      <c r="S153" s="36">
        <f t="shared" si="8"/>
        <v>0</v>
      </c>
    </row>
    <row r="154" spans="1:19" ht="22.5" customHeight="1" x14ac:dyDescent="0.5">
      <c r="A154" s="23">
        <v>6</v>
      </c>
      <c r="B154" s="73" t="s">
        <v>293</v>
      </c>
      <c r="C154" s="25" t="s">
        <v>327</v>
      </c>
      <c r="D154" s="43">
        <v>5600</v>
      </c>
      <c r="E154" s="212"/>
      <c r="F154" s="212"/>
      <c r="G154" s="213"/>
      <c r="H154" s="219">
        <v>0</v>
      </c>
      <c r="I154" s="219">
        <v>0</v>
      </c>
      <c r="J154" s="219">
        <v>0</v>
      </c>
      <c r="K154" s="30">
        <v>25212</v>
      </c>
      <c r="L154" s="31" t="s">
        <v>1027</v>
      </c>
      <c r="M154" s="32">
        <v>5600</v>
      </c>
      <c r="N154" s="215"/>
      <c r="O154" s="215"/>
      <c r="P154" s="216"/>
      <c r="Q154" s="114">
        <f t="shared" si="7"/>
        <v>0</v>
      </c>
      <c r="R154" s="114">
        <v>0</v>
      </c>
      <c r="S154" s="36">
        <f t="shared" si="8"/>
        <v>0</v>
      </c>
    </row>
    <row r="155" spans="1:19" s="60" customFormat="1" ht="22.5" customHeight="1" thickBot="1" x14ac:dyDescent="0.35">
      <c r="A155" s="317"/>
      <c r="B155" s="317" t="s">
        <v>15</v>
      </c>
      <c r="C155" s="318"/>
      <c r="D155" s="319">
        <f>SUM(D114:D154)</f>
        <v>222950</v>
      </c>
      <c r="E155" s="320"/>
      <c r="F155" s="320"/>
      <c r="G155" s="321"/>
      <c r="H155" s="319">
        <f>SUM(H114:H154)-H152</f>
        <v>34300</v>
      </c>
      <c r="I155" s="319">
        <f>SUM(I114:I154)-I152</f>
        <v>0</v>
      </c>
      <c r="J155" s="319">
        <f>SUM(J114:J154)-J152</f>
        <v>34300</v>
      </c>
      <c r="K155" s="322"/>
      <c r="L155" s="322"/>
      <c r="M155" s="323">
        <f>SUM(M114:M154)</f>
        <v>216650</v>
      </c>
      <c r="N155" s="324"/>
      <c r="O155" s="324"/>
      <c r="P155" s="325"/>
      <c r="Q155" s="323">
        <f>SUM(Q114:Q154)-Q152</f>
        <v>40600</v>
      </c>
      <c r="R155" s="323">
        <f>SUM(R114:R154)-R152</f>
        <v>0</v>
      </c>
      <c r="S155" s="323">
        <f>SUM(S114:S154)-S152</f>
        <v>40600</v>
      </c>
    </row>
    <row r="156" spans="1:19" ht="22.5" customHeight="1" thickTop="1" x14ac:dyDescent="0.5">
      <c r="A156" s="61"/>
      <c r="B156" s="327" t="s">
        <v>328</v>
      </c>
      <c r="C156" s="63"/>
      <c r="D156" s="64"/>
      <c r="E156" s="65"/>
      <c r="F156" s="65"/>
      <c r="G156" s="66"/>
      <c r="H156" s="67"/>
      <c r="I156" s="67"/>
      <c r="J156" s="67"/>
      <c r="K156" s="286"/>
      <c r="L156" s="286"/>
      <c r="M156" s="328"/>
      <c r="N156" s="69"/>
      <c r="O156" s="69"/>
      <c r="P156" s="70"/>
      <c r="Q156" s="71"/>
      <c r="R156" s="71"/>
      <c r="S156" s="72"/>
    </row>
    <row r="157" spans="1:19" ht="22.5" customHeight="1" x14ac:dyDescent="0.5">
      <c r="A157" s="23">
        <v>1</v>
      </c>
      <c r="B157" s="24" t="s">
        <v>329</v>
      </c>
      <c r="C157" s="25" t="s">
        <v>330</v>
      </c>
      <c r="D157" s="43">
        <v>130536.37</v>
      </c>
      <c r="E157" s="212"/>
      <c r="F157" s="212"/>
      <c r="G157" s="213"/>
      <c r="H157" s="219">
        <v>0</v>
      </c>
      <c r="I157" s="329">
        <v>0</v>
      </c>
      <c r="J157" s="329">
        <v>0</v>
      </c>
      <c r="K157" s="30">
        <v>25225</v>
      </c>
      <c r="L157" s="31" t="s">
        <v>1035</v>
      </c>
      <c r="M157" s="32">
        <v>130536.37</v>
      </c>
      <c r="N157" s="41"/>
      <c r="O157" s="41"/>
      <c r="P157" s="34"/>
      <c r="Q157" s="330">
        <f>SUM(D157+J157-M157)</f>
        <v>0</v>
      </c>
      <c r="R157" s="330">
        <v>0</v>
      </c>
      <c r="S157" s="36">
        <f>SUM(D157+J157-M157)</f>
        <v>0</v>
      </c>
    </row>
    <row r="158" spans="1:19" ht="22.5" customHeight="1" x14ac:dyDescent="0.5">
      <c r="A158" s="23">
        <v>2</v>
      </c>
      <c r="B158" s="24" t="s">
        <v>329</v>
      </c>
      <c r="C158" s="25" t="s">
        <v>331</v>
      </c>
      <c r="D158" s="64">
        <v>96520.67</v>
      </c>
      <c r="E158" s="212"/>
      <c r="F158" s="212"/>
      <c r="G158" s="213"/>
      <c r="H158" s="219">
        <v>0</v>
      </c>
      <c r="I158" s="329">
        <v>0</v>
      </c>
      <c r="J158" s="329">
        <v>0</v>
      </c>
      <c r="K158" s="30">
        <v>25225</v>
      </c>
      <c r="L158" s="31" t="s">
        <v>1036</v>
      </c>
      <c r="M158" s="32">
        <v>96520.67</v>
      </c>
      <c r="N158" s="41"/>
      <c r="O158" s="41"/>
      <c r="P158" s="34"/>
      <c r="Q158" s="330">
        <f t="shared" ref="Q158:Q164" si="9">SUM(D158+J158-M158)</f>
        <v>0</v>
      </c>
      <c r="R158" s="330">
        <v>0</v>
      </c>
      <c r="S158" s="36">
        <f t="shared" ref="S158:S164" si="10">SUM(D158+J158-M158)</f>
        <v>0</v>
      </c>
    </row>
    <row r="159" spans="1:19" ht="22.5" customHeight="1" x14ac:dyDescent="0.5">
      <c r="A159" s="23">
        <v>3</v>
      </c>
      <c r="B159" s="24" t="s">
        <v>332</v>
      </c>
      <c r="C159" s="25" t="s">
        <v>333</v>
      </c>
      <c r="D159" s="43">
        <v>63810</v>
      </c>
      <c r="E159" s="212"/>
      <c r="F159" s="212"/>
      <c r="G159" s="213"/>
      <c r="H159" s="329">
        <v>0</v>
      </c>
      <c r="I159" s="329">
        <v>0</v>
      </c>
      <c r="J159" s="329">
        <v>0</v>
      </c>
      <c r="K159" s="30">
        <v>25210</v>
      </c>
      <c r="L159" s="31" t="s">
        <v>1037</v>
      </c>
      <c r="M159" s="32">
        <v>63810</v>
      </c>
      <c r="N159" s="41"/>
      <c r="O159" s="41"/>
      <c r="P159" s="34"/>
      <c r="Q159" s="330">
        <f t="shared" si="9"/>
        <v>0</v>
      </c>
      <c r="R159" s="330">
        <v>0</v>
      </c>
      <c r="S159" s="36">
        <f t="shared" si="10"/>
        <v>0</v>
      </c>
    </row>
    <row r="160" spans="1:19" ht="22.5" customHeight="1" x14ac:dyDescent="0.5">
      <c r="A160" s="331">
        <v>4</v>
      </c>
      <c r="B160" s="332" t="s">
        <v>335</v>
      </c>
      <c r="C160" s="81" t="s">
        <v>336</v>
      </c>
      <c r="D160" s="333">
        <v>60170</v>
      </c>
      <c r="E160" s="234"/>
      <c r="F160" s="234"/>
      <c r="G160" s="228"/>
      <c r="H160" s="334">
        <v>0</v>
      </c>
      <c r="I160" s="334">
        <v>0</v>
      </c>
      <c r="J160" s="334">
        <v>0</v>
      </c>
      <c r="K160" s="335">
        <v>25218</v>
      </c>
      <c r="L160" s="336" t="s">
        <v>1038</v>
      </c>
      <c r="M160" s="337">
        <v>60170</v>
      </c>
      <c r="N160" s="338"/>
      <c r="O160" s="338"/>
      <c r="P160" s="112"/>
      <c r="Q160" s="330">
        <f t="shared" si="9"/>
        <v>0</v>
      </c>
      <c r="R160" s="339">
        <v>0</v>
      </c>
      <c r="S160" s="36">
        <f t="shared" si="10"/>
        <v>0</v>
      </c>
    </row>
    <row r="161" spans="1:19" ht="22.5" customHeight="1" x14ac:dyDescent="0.5">
      <c r="A161" s="23">
        <v>5</v>
      </c>
      <c r="B161" s="24" t="s">
        <v>338</v>
      </c>
      <c r="C161" s="25" t="s">
        <v>339</v>
      </c>
      <c r="D161" s="341">
        <v>23527.65</v>
      </c>
      <c r="E161" s="212"/>
      <c r="F161" s="212"/>
      <c r="G161" s="213"/>
      <c r="H161" s="219">
        <v>0</v>
      </c>
      <c r="I161" s="329">
        <v>0</v>
      </c>
      <c r="J161" s="329">
        <v>0</v>
      </c>
      <c r="K161" s="335">
        <v>25215</v>
      </c>
      <c r="L161" s="336" t="s">
        <v>1039</v>
      </c>
      <c r="M161" s="342">
        <v>23527.65</v>
      </c>
      <c r="N161" s="41"/>
      <c r="O161" s="41"/>
      <c r="P161" s="34"/>
      <c r="Q161" s="330">
        <f t="shared" si="9"/>
        <v>0</v>
      </c>
      <c r="R161" s="330">
        <v>0</v>
      </c>
      <c r="S161" s="36">
        <f t="shared" si="10"/>
        <v>0</v>
      </c>
    </row>
    <row r="162" spans="1:19" ht="22.5" customHeight="1" x14ac:dyDescent="0.5">
      <c r="A162" s="61">
        <v>6</v>
      </c>
      <c r="B162" s="343" t="s">
        <v>341</v>
      </c>
      <c r="C162" s="165" t="s">
        <v>342</v>
      </c>
      <c r="D162" s="344">
        <v>20715.32</v>
      </c>
      <c r="E162" s="167"/>
      <c r="F162" s="167"/>
      <c r="G162" s="213"/>
      <c r="H162" s="219">
        <v>0</v>
      </c>
      <c r="I162" s="329">
        <v>0</v>
      </c>
      <c r="J162" s="329">
        <v>0</v>
      </c>
      <c r="K162" s="345">
        <v>25229</v>
      </c>
      <c r="L162" s="346" t="s">
        <v>1040</v>
      </c>
      <c r="M162" s="347">
        <v>20715.32</v>
      </c>
      <c r="N162" s="41"/>
      <c r="O162" s="41"/>
      <c r="P162" s="34"/>
      <c r="Q162" s="330">
        <f t="shared" si="9"/>
        <v>0</v>
      </c>
      <c r="R162" s="330">
        <v>0</v>
      </c>
      <c r="S162" s="36">
        <f t="shared" si="10"/>
        <v>0</v>
      </c>
    </row>
    <row r="163" spans="1:19" ht="22.5" customHeight="1" x14ac:dyDescent="0.5">
      <c r="A163" s="331">
        <v>7</v>
      </c>
      <c r="B163" s="332" t="s">
        <v>344</v>
      </c>
      <c r="C163" s="81" t="s">
        <v>345</v>
      </c>
      <c r="D163" s="348">
        <v>21986</v>
      </c>
      <c r="E163" s="349"/>
      <c r="F163" s="886"/>
      <c r="G163" s="213"/>
      <c r="H163" s="219">
        <v>0</v>
      </c>
      <c r="I163" s="329">
        <v>0</v>
      </c>
      <c r="J163" s="329">
        <v>0</v>
      </c>
      <c r="K163" s="182">
        <v>25226</v>
      </c>
      <c r="L163" s="350" t="s">
        <v>1041</v>
      </c>
      <c r="M163" s="337">
        <v>21986</v>
      </c>
      <c r="N163" s="41"/>
      <c r="O163" s="41"/>
      <c r="P163" s="34"/>
      <c r="Q163" s="330">
        <f t="shared" si="9"/>
        <v>0</v>
      </c>
      <c r="R163" s="339">
        <v>0</v>
      </c>
      <c r="S163" s="36">
        <f t="shared" si="10"/>
        <v>0</v>
      </c>
    </row>
    <row r="164" spans="1:19" s="356" customFormat="1" ht="22.5" customHeight="1" x14ac:dyDescent="0.5">
      <c r="A164" s="253">
        <v>8</v>
      </c>
      <c r="B164" s="24" t="s">
        <v>347</v>
      </c>
      <c r="C164" s="351" t="s">
        <v>348</v>
      </c>
      <c r="D164" s="352">
        <v>20000</v>
      </c>
      <c r="E164" s="353"/>
      <c r="F164" s="887"/>
      <c r="G164" s="228"/>
      <c r="H164" s="329">
        <v>0</v>
      </c>
      <c r="I164" s="329">
        <v>0</v>
      </c>
      <c r="J164" s="329">
        <v>0</v>
      </c>
      <c r="K164" s="30">
        <v>25218</v>
      </c>
      <c r="L164" s="31" t="s">
        <v>1042</v>
      </c>
      <c r="M164" s="32">
        <v>20000</v>
      </c>
      <c r="N164" s="354"/>
      <c r="O164" s="354"/>
      <c r="P164" s="355"/>
      <c r="Q164" s="330">
        <f t="shared" si="9"/>
        <v>0</v>
      </c>
      <c r="R164" s="330">
        <v>0</v>
      </c>
      <c r="S164" s="36">
        <f t="shared" si="10"/>
        <v>0</v>
      </c>
    </row>
    <row r="165" spans="1:19" s="60" customFormat="1" ht="22.5" customHeight="1" thickBot="1" x14ac:dyDescent="0.35">
      <c r="A165" s="317"/>
      <c r="B165" s="317" t="s">
        <v>15</v>
      </c>
      <c r="C165" s="357"/>
      <c r="D165" s="358">
        <f>SUM(D157:D164)</f>
        <v>437266.01</v>
      </c>
      <c r="E165" s="320"/>
      <c r="F165" s="320"/>
      <c r="G165" s="321"/>
      <c r="H165" s="359">
        <f>SUM(H157:H164)</f>
        <v>0</v>
      </c>
      <c r="I165" s="359">
        <f>SUM(I157:I164)</f>
        <v>0</v>
      </c>
      <c r="J165" s="359">
        <f>SUM(J157:J164)</f>
        <v>0</v>
      </c>
      <c r="K165" s="360"/>
      <c r="L165" s="361"/>
      <c r="M165" s="358">
        <f>SUM(M157:M164)</f>
        <v>437266.01</v>
      </c>
      <c r="N165" s="362"/>
      <c r="O165" s="362"/>
      <c r="P165" s="363"/>
      <c r="Q165" s="364">
        <f>SUM(Q157:Q164)</f>
        <v>0</v>
      </c>
      <c r="R165" s="364">
        <f>SUM(R157:R164)</f>
        <v>0</v>
      </c>
      <c r="S165" s="364">
        <f>SUM(S157:S164)</f>
        <v>0</v>
      </c>
    </row>
    <row r="166" spans="1:19" ht="22.5" customHeight="1" thickTop="1" x14ac:dyDescent="0.3">
      <c r="A166" s="115"/>
      <c r="B166" s="164" t="s">
        <v>350</v>
      </c>
      <c r="C166" s="366"/>
      <c r="D166" s="86"/>
      <c r="E166" s="167"/>
      <c r="F166" s="167"/>
      <c r="G166" s="168"/>
      <c r="H166" s="255"/>
      <c r="I166" s="255"/>
      <c r="J166" s="255"/>
      <c r="K166" s="367"/>
      <c r="L166" s="368"/>
      <c r="M166" s="369"/>
      <c r="N166" s="117"/>
      <c r="O166" s="117"/>
      <c r="P166" s="118"/>
      <c r="Q166" s="172"/>
      <c r="R166" s="172"/>
      <c r="S166" s="370"/>
    </row>
    <row r="167" spans="1:19" ht="22.5" customHeight="1" x14ac:dyDescent="0.5">
      <c r="A167" s="23">
        <v>1</v>
      </c>
      <c r="B167" s="290" t="s">
        <v>147</v>
      </c>
      <c r="C167" s="371" t="s">
        <v>351</v>
      </c>
      <c r="D167" s="43">
        <v>1400</v>
      </c>
      <c r="E167" s="212"/>
      <c r="F167" s="212"/>
      <c r="G167" s="213"/>
      <c r="H167" s="219">
        <v>0</v>
      </c>
      <c r="I167" s="219">
        <v>0</v>
      </c>
      <c r="J167" s="219">
        <v>0</v>
      </c>
      <c r="K167" s="30">
        <v>25210</v>
      </c>
      <c r="L167" s="220" t="s">
        <v>1043</v>
      </c>
      <c r="M167" s="221">
        <v>1400</v>
      </c>
      <c r="N167" s="372"/>
      <c r="O167" s="372"/>
      <c r="P167" s="373"/>
      <c r="Q167" s="114">
        <f t="shared" ref="Q167:Q172" si="11">SUM(D167+J167-M167)</f>
        <v>0</v>
      </c>
      <c r="R167" s="114">
        <v>0</v>
      </c>
      <c r="S167" s="36">
        <f t="shared" ref="S167:S172" si="12">SUM(Q167)</f>
        <v>0</v>
      </c>
    </row>
    <row r="168" spans="1:19" ht="22.5" customHeight="1" x14ac:dyDescent="0.5">
      <c r="A168" s="23">
        <v>2</v>
      </c>
      <c r="B168" s="290" t="s">
        <v>353</v>
      </c>
      <c r="C168" s="371" t="s">
        <v>354</v>
      </c>
      <c r="D168" s="43">
        <v>11000</v>
      </c>
      <c r="E168" s="212"/>
      <c r="F168" s="212"/>
      <c r="G168" s="213"/>
      <c r="H168" s="219">
        <v>0</v>
      </c>
      <c r="I168" s="219">
        <v>1</v>
      </c>
      <c r="J168" s="219">
        <v>0</v>
      </c>
      <c r="K168" s="30"/>
      <c r="L168" s="220"/>
      <c r="M168" s="221"/>
      <c r="N168" s="215" t="s">
        <v>958</v>
      </c>
      <c r="O168" s="215" t="s">
        <v>33</v>
      </c>
      <c r="P168" s="216" t="s">
        <v>33</v>
      </c>
      <c r="Q168" s="114">
        <f t="shared" si="11"/>
        <v>11000</v>
      </c>
      <c r="R168" s="114">
        <v>1</v>
      </c>
      <c r="S168" s="36">
        <f t="shared" si="12"/>
        <v>11000</v>
      </c>
    </row>
    <row r="169" spans="1:19" ht="22.5" customHeight="1" x14ac:dyDescent="0.5">
      <c r="A169" s="23">
        <v>3</v>
      </c>
      <c r="B169" s="290" t="s">
        <v>355</v>
      </c>
      <c r="C169" s="371" t="s">
        <v>356</v>
      </c>
      <c r="D169" s="43">
        <v>9400</v>
      </c>
      <c r="E169" s="212" t="s">
        <v>935</v>
      </c>
      <c r="F169" s="212"/>
      <c r="G169" s="213" t="s">
        <v>33</v>
      </c>
      <c r="H169" s="219">
        <v>9400</v>
      </c>
      <c r="I169" s="219">
        <v>2</v>
      </c>
      <c r="J169" s="219">
        <v>9400</v>
      </c>
      <c r="K169" s="30">
        <v>25219</v>
      </c>
      <c r="L169" s="220" t="s">
        <v>1044</v>
      </c>
      <c r="M169" s="221">
        <v>9400</v>
      </c>
      <c r="N169" s="215" t="s">
        <v>958</v>
      </c>
      <c r="O169" s="215" t="s">
        <v>33</v>
      </c>
      <c r="P169" s="216" t="s">
        <v>33</v>
      </c>
      <c r="Q169" s="114">
        <f t="shared" si="11"/>
        <v>9400</v>
      </c>
      <c r="R169" s="114">
        <v>2</v>
      </c>
      <c r="S169" s="36">
        <f t="shared" si="12"/>
        <v>9400</v>
      </c>
    </row>
    <row r="170" spans="1:19" ht="22.5" customHeight="1" x14ac:dyDescent="0.5">
      <c r="A170" s="331">
        <v>5</v>
      </c>
      <c r="B170" s="374" t="s">
        <v>358</v>
      </c>
      <c r="C170" s="375" t="s">
        <v>356</v>
      </c>
      <c r="D170" s="79">
        <v>9810</v>
      </c>
      <c r="E170" s="234" t="s">
        <v>935</v>
      </c>
      <c r="F170" s="234"/>
      <c r="G170" s="228" t="s">
        <v>33</v>
      </c>
      <c r="H170" s="219">
        <v>9810</v>
      </c>
      <c r="I170" s="219">
        <v>3</v>
      </c>
      <c r="J170" s="219">
        <v>9810</v>
      </c>
      <c r="K170" s="38">
        <v>25234</v>
      </c>
      <c r="L170" s="376" t="s">
        <v>1045</v>
      </c>
      <c r="M170" s="246">
        <v>9810</v>
      </c>
      <c r="N170" s="215" t="s">
        <v>958</v>
      </c>
      <c r="O170" s="215" t="s">
        <v>33</v>
      </c>
      <c r="P170" s="216" t="s">
        <v>33</v>
      </c>
      <c r="Q170" s="114">
        <f t="shared" si="11"/>
        <v>9810</v>
      </c>
      <c r="R170" s="114">
        <v>3</v>
      </c>
      <c r="S170" s="36">
        <f t="shared" si="12"/>
        <v>9810</v>
      </c>
    </row>
    <row r="171" spans="1:19" ht="22.5" customHeight="1" x14ac:dyDescent="0.5">
      <c r="A171" s="377">
        <v>6</v>
      </c>
      <c r="B171" s="378" t="s">
        <v>359</v>
      </c>
      <c r="C171" s="311" t="s">
        <v>360</v>
      </c>
      <c r="D171" s="379">
        <v>6000</v>
      </c>
      <c r="E171" s="380"/>
      <c r="F171" s="380"/>
      <c r="G171" s="75"/>
      <c r="H171" s="76">
        <v>0</v>
      </c>
      <c r="I171" s="219">
        <v>4</v>
      </c>
      <c r="J171" s="76">
        <v>0</v>
      </c>
      <c r="K171" s="38">
        <v>25208</v>
      </c>
      <c r="L171" s="376" t="s">
        <v>1046</v>
      </c>
      <c r="M171" s="246">
        <v>6000</v>
      </c>
      <c r="N171" s="247"/>
      <c r="O171" s="247"/>
      <c r="P171" s="248"/>
      <c r="Q171" s="114">
        <f t="shared" si="11"/>
        <v>0</v>
      </c>
      <c r="R171" s="114">
        <v>4</v>
      </c>
      <c r="S171" s="36">
        <f t="shared" si="12"/>
        <v>0</v>
      </c>
    </row>
    <row r="172" spans="1:19" ht="22.5" customHeight="1" x14ac:dyDescent="0.5">
      <c r="A172" s="381">
        <v>7</v>
      </c>
      <c r="B172" s="149" t="s">
        <v>281</v>
      </c>
      <c r="C172" s="311" t="s">
        <v>360</v>
      </c>
      <c r="D172" s="382">
        <v>3000</v>
      </c>
      <c r="E172" s="96" t="s">
        <v>872</v>
      </c>
      <c r="F172" s="96"/>
      <c r="G172" s="97" t="s">
        <v>115</v>
      </c>
      <c r="H172" s="76">
        <v>6000</v>
      </c>
      <c r="I172" s="219">
        <v>5</v>
      </c>
      <c r="J172" s="76">
        <v>6000</v>
      </c>
      <c r="K172" s="30">
        <v>25212</v>
      </c>
      <c r="L172" s="31" t="s">
        <v>1047</v>
      </c>
      <c r="M172" s="32">
        <v>6000</v>
      </c>
      <c r="N172" s="215" t="s">
        <v>958</v>
      </c>
      <c r="O172" s="215" t="s">
        <v>33</v>
      </c>
      <c r="P172" s="216" t="s">
        <v>33</v>
      </c>
      <c r="Q172" s="114">
        <f t="shared" si="11"/>
        <v>3000</v>
      </c>
      <c r="R172" s="114">
        <v>5</v>
      </c>
      <c r="S172" s="36">
        <f t="shared" si="12"/>
        <v>3000</v>
      </c>
    </row>
    <row r="173" spans="1:19" s="60" customFormat="1" ht="22.5" customHeight="1" thickBot="1" x14ac:dyDescent="0.35">
      <c r="A173" s="317"/>
      <c r="B173" s="317" t="s">
        <v>15</v>
      </c>
      <c r="C173" s="357"/>
      <c r="D173" s="383">
        <f>SUM(D167:D172)</f>
        <v>40610</v>
      </c>
      <c r="E173" s="320"/>
      <c r="F173" s="320"/>
      <c r="G173" s="321"/>
      <c r="H173" s="383">
        <f>SUM(H167:H172)</f>
        <v>25210</v>
      </c>
      <c r="I173" s="383">
        <f>SUM(I167:I172)</f>
        <v>15</v>
      </c>
      <c r="J173" s="383">
        <f>SUM(J167:J172)</f>
        <v>25210</v>
      </c>
      <c r="K173" s="384"/>
      <c r="L173" s="384"/>
      <c r="M173" s="359">
        <f>SUM(M167:M172)</f>
        <v>32610</v>
      </c>
      <c r="N173" s="317"/>
      <c r="O173" s="317"/>
      <c r="P173" s="321"/>
      <c r="Q173" s="385">
        <f>SUM(Q167:Q172)</f>
        <v>33210</v>
      </c>
      <c r="R173" s="385">
        <v>0</v>
      </c>
      <c r="S173" s="386">
        <f>SUM(S167:S172)</f>
        <v>33210</v>
      </c>
    </row>
    <row r="174" spans="1:19" ht="22.5" customHeight="1" thickTop="1" x14ac:dyDescent="0.3">
      <c r="A174" s="61"/>
      <c r="B174" s="62" t="s">
        <v>363</v>
      </c>
      <c r="C174" s="63"/>
      <c r="D174" s="64"/>
      <c r="E174" s="65"/>
      <c r="F174" s="65"/>
      <c r="G174" s="66"/>
      <c r="H174" s="67"/>
      <c r="I174" s="67"/>
      <c r="J174" s="67"/>
      <c r="K174" s="286"/>
      <c r="L174" s="286"/>
      <c r="M174" s="328"/>
      <c r="N174" s="69"/>
      <c r="O174" s="69"/>
      <c r="P174" s="70"/>
      <c r="Q174" s="71"/>
      <c r="R174" s="71"/>
      <c r="S174" s="387"/>
    </row>
    <row r="175" spans="1:19" ht="22.5" customHeight="1" x14ac:dyDescent="0.5">
      <c r="A175" s="208">
        <v>1</v>
      </c>
      <c r="B175" s="73" t="s">
        <v>364</v>
      </c>
      <c r="C175" s="25" t="s">
        <v>365</v>
      </c>
      <c r="D175" s="43">
        <v>10000</v>
      </c>
      <c r="E175" s="212"/>
      <c r="F175" s="234"/>
      <c r="G175" s="228"/>
      <c r="H175" s="219">
        <v>0</v>
      </c>
      <c r="I175" s="219">
        <v>0</v>
      </c>
      <c r="J175" s="219">
        <v>0</v>
      </c>
      <c r="K175" s="30">
        <v>25222</v>
      </c>
      <c r="L175" s="31" t="s">
        <v>1048</v>
      </c>
      <c r="M175" s="32">
        <v>10000</v>
      </c>
      <c r="N175" s="41"/>
      <c r="O175" s="41"/>
      <c r="P175" s="34"/>
      <c r="Q175" s="114">
        <f>SUM(D175+J175-M175)</f>
        <v>0</v>
      </c>
      <c r="R175" s="114">
        <v>0</v>
      </c>
      <c r="S175" s="36">
        <f>SUM(Q175)</f>
        <v>0</v>
      </c>
    </row>
    <row r="176" spans="1:19" ht="22.5" customHeight="1" x14ac:dyDescent="0.5">
      <c r="A176" s="208">
        <v>2</v>
      </c>
      <c r="B176" s="290" t="s">
        <v>367</v>
      </c>
      <c r="C176" s="25" t="s">
        <v>368</v>
      </c>
      <c r="D176" s="388">
        <v>3500</v>
      </c>
      <c r="E176" s="212"/>
      <c r="F176" s="234"/>
      <c r="G176" s="228"/>
      <c r="H176" s="389">
        <v>0</v>
      </c>
      <c r="I176" s="219">
        <v>0</v>
      </c>
      <c r="J176" s="219">
        <v>0</v>
      </c>
      <c r="K176" s="250">
        <v>25215</v>
      </c>
      <c r="L176" s="251" t="s">
        <v>1049</v>
      </c>
      <c r="M176" s="390">
        <v>3500</v>
      </c>
      <c r="N176" s="41"/>
      <c r="O176" s="41"/>
      <c r="P176" s="34"/>
      <c r="Q176" s="114">
        <f t="shared" ref="Q176:Q181" si="13">SUM(D176+J176-M176)</f>
        <v>0</v>
      </c>
      <c r="R176" s="114">
        <v>0</v>
      </c>
      <c r="S176" s="36">
        <f t="shared" ref="S176:S181" si="14">SUM(Q176)</f>
        <v>0</v>
      </c>
    </row>
    <row r="177" spans="1:19" ht="22.5" customHeight="1" x14ac:dyDescent="0.5">
      <c r="A177" s="391">
        <v>3</v>
      </c>
      <c r="B177" s="392" t="s">
        <v>370</v>
      </c>
      <c r="C177" s="63" t="s">
        <v>371</v>
      </c>
      <c r="D177" s="393">
        <v>12000</v>
      </c>
      <c r="E177" s="394"/>
      <c r="F177" s="888"/>
      <c r="G177" s="395"/>
      <c r="H177" s="396">
        <v>0</v>
      </c>
      <c r="I177" s="397">
        <v>0</v>
      </c>
      <c r="J177" s="67">
        <v>0</v>
      </c>
      <c r="K177" s="30">
        <v>25222</v>
      </c>
      <c r="L177" s="31" t="s">
        <v>1050</v>
      </c>
      <c r="M177" s="32">
        <v>12000</v>
      </c>
      <c r="N177" s="41"/>
      <c r="O177" s="41"/>
      <c r="P177" s="34"/>
      <c r="Q177" s="114">
        <f t="shared" si="13"/>
        <v>0</v>
      </c>
      <c r="R177" s="114">
        <v>0</v>
      </c>
      <c r="S177" s="36">
        <f t="shared" si="14"/>
        <v>0</v>
      </c>
    </row>
    <row r="178" spans="1:19" ht="22.5" customHeight="1" x14ac:dyDescent="0.3">
      <c r="A178" s="253">
        <v>4</v>
      </c>
      <c r="B178" s="398" t="s">
        <v>373</v>
      </c>
      <c r="C178" s="165" t="s">
        <v>374</v>
      </c>
      <c r="D178" s="166">
        <v>4100</v>
      </c>
      <c r="E178" s="394"/>
      <c r="F178" s="888"/>
      <c r="G178" s="395"/>
      <c r="H178" s="396">
        <v>0</v>
      </c>
      <c r="I178" s="397">
        <v>0</v>
      </c>
      <c r="J178" s="397">
        <v>0</v>
      </c>
      <c r="K178" s="399">
        <v>25208</v>
      </c>
      <c r="L178" s="400" t="s">
        <v>1051</v>
      </c>
      <c r="M178" s="401">
        <v>4100</v>
      </c>
      <c r="N178" s="41"/>
      <c r="O178" s="41"/>
      <c r="P178" s="34"/>
      <c r="Q178" s="114">
        <f t="shared" si="13"/>
        <v>0</v>
      </c>
      <c r="R178" s="114">
        <v>0</v>
      </c>
      <c r="S178" s="36">
        <f t="shared" si="14"/>
        <v>0</v>
      </c>
    </row>
    <row r="179" spans="1:19" ht="22.5" customHeight="1" x14ac:dyDescent="0.5">
      <c r="A179" s="253">
        <v>5</v>
      </c>
      <c r="B179" s="402" t="s">
        <v>376</v>
      </c>
      <c r="C179" s="403" t="s">
        <v>377</v>
      </c>
      <c r="D179" s="166">
        <v>1850</v>
      </c>
      <c r="E179" s="65"/>
      <c r="F179" s="167"/>
      <c r="G179" s="168"/>
      <c r="H179" s="404">
        <v>0</v>
      </c>
      <c r="I179" s="67">
        <v>0</v>
      </c>
      <c r="J179" s="67">
        <v>0</v>
      </c>
      <c r="K179" s="30">
        <v>25208</v>
      </c>
      <c r="L179" s="31" t="s">
        <v>1052</v>
      </c>
      <c r="M179" s="32">
        <v>1850</v>
      </c>
      <c r="N179" s="41"/>
      <c r="O179" s="41"/>
      <c r="P179" s="34"/>
      <c r="Q179" s="114">
        <f t="shared" si="13"/>
        <v>0</v>
      </c>
      <c r="R179" s="114">
        <v>0</v>
      </c>
      <c r="S179" s="36">
        <f t="shared" si="14"/>
        <v>0</v>
      </c>
    </row>
    <row r="180" spans="1:19" ht="22.5" customHeight="1" x14ac:dyDescent="0.5">
      <c r="A180" s="253">
        <v>6</v>
      </c>
      <c r="B180" s="378" t="s">
        <v>380</v>
      </c>
      <c r="C180" s="405" t="s">
        <v>381</v>
      </c>
      <c r="D180" s="166">
        <v>0</v>
      </c>
      <c r="E180" s="65"/>
      <c r="F180" s="167"/>
      <c r="G180" s="168"/>
      <c r="H180" s="404">
        <v>0</v>
      </c>
      <c r="I180" s="67">
        <v>0</v>
      </c>
      <c r="J180" s="67">
        <v>0</v>
      </c>
      <c r="K180" s="30"/>
      <c r="L180" s="31"/>
      <c r="M180" s="32"/>
      <c r="N180" s="41"/>
      <c r="O180" s="41"/>
      <c r="P180" s="34"/>
      <c r="Q180" s="114">
        <f t="shared" si="13"/>
        <v>0</v>
      </c>
      <c r="R180" s="114">
        <v>0</v>
      </c>
      <c r="S180" s="36">
        <f t="shared" si="14"/>
        <v>0</v>
      </c>
    </row>
    <row r="181" spans="1:19" ht="22.5" customHeight="1" x14ac:dyDescent="0.5">
      <c r="A181" s="208">
        <v>7</v>
      </c>
      <c r="B181" s="149" t="s">
        <v>383</v>
      </c>
      <c r="C181" s="311" t="s">
        <v>384</v>
      </c>
      <c r="D181" s="166">
        <v>5400</v>
      </c>
      <c r="E181" s="65"/>
      <c r="F181" s="167"/>
      <c r="G181" s="168"/>
      <c r="H181" s="404">
        <v>0</v>
      </c>
      <c r="I181" s="67">
        <v>0</v>
      </c>
      <c r="J181" s="67">
        <v>0</v>
      </c>
      <c r="K181" s="250">
        <v>25208</v>
      </c>
      <c r="L181" s="251" t="s">
        <v>1053</v>
      </c>
      <c r="M181" s="390">
        <v>5400</v>
      </c>
      <c r="N181" s="41"/>
      <c r="O181" s="41"/>
      <c r="P181" s="34"/>
      <c r="Q181" s="114">
        <f t="shared" si="13"/>
        <v>0</v>
      </c>
      <c r="R181" s="114">
        <v>0</v>
      </c>
      <c r="S181" s="36">
        <f t="shared" si="14"/>
        <v>0</v>
      </c>
    </row>
    <row r="182" spans="1:19" s="60" customFormat="1" ht="22.5" customHeight="1" thickBot="1" x14ac:dyDescent="0.35">
      <c r="A182" s="317"/>
      <c r="B182" s="317" t="s">
        <v>15</v>
      </c>
      <c r="C182" s="318"/>
      <c r="D182" s="383">
        <v>38350</v>
      </c>
      <c r="E182" s="320"/>
      <c r="F182" s="320"/>
      <c r="G182" s="321"/>
      <c r="H182" s="358">
        <f>SUM(H178:H181)</f>
        <v>0</v>
      </c>
      <c r="I182" s="358">
        <f>SUM(I178:I181)</f>
        <v>0</v>
      </c>
      <c r="J182" s="358">
        <f>SUM(J178:J181)</f>
        <v>0</v>
      </c>
      <c r="K182" s="383"/>
      <c r="L182" s="383">
        <v>0</v>
      </c>
      <c r="M182" s="383">
        <f>SUM(M175:M181)</f>
        <v>36850</v>
      </c>
      <c r="N182" s="407"/>
      <c r="O182" s="407"/>
      <c r="P182" s="321"/>
      <c r="Q182" s="323">
        <f>SUM(Q175:Q181)</f>
        <v>0</v>
      </c>
      <c r="R182" s="323">
        <f>SUM(R175:R181)</f>
        <v>0</v>
      </c>
      <c r="S182" s="323">
        <f>SUM(S175:S181)</f>
        <v>0</v>
      </c>
    </row>
    <row r="183" spans="1:19" ht="22.5" customHeight="1" thickTop="1" x14ac:dyDescent="0.3">
      <c r="A183" s="61"/>
      <c r="B183" s="62" t="s">
        <v>386</v>
      </c>
      <c r="C183" s="63"/>
      <c r="D183" s="64"/>
      <c r="E183" s="65"/>
      <c r="F183" s="65"/>
      <c r="G183" s="66"/>
      <c r="H183" s="67"/>
      <c r="I183" s="67"/>
      <c r="J183" s="67"/>
      <c r="K183" s="68"/>
      <c r="L183" s="68"/>
      <c r="M183" s="64"/>
      <c r="N183" s="69"/>
      <c r="O183" s="69"/>
      <c r="P183" s="70"/>
      <c r="Q183" s="71"/>
      <c r="R183" s="71"/>
      <c r="S183" s="387"/>
    </row>
    <row r="184" spans="1:19" ht="22.5" customHeight="1" x14ac:dyDescent="0.3">
      <c r="A184" s="208">
        <v>1</v>
      </c>
      <c r="B184" s="73" t="s">
        <v>387</v>
      </c>
      <c r="C184" s="25" t="s">
        <v>388</v>
      </c>
      <c r="D184" s="43">
        <v>0</v>
      </c>
      <c r="E184" s="212"/>
      <c r="F184" s="212"/>
      <c r="G184" s="213"/>
      <c r="H184" s="219">
        <v>0</v>
      </c>
      <c r="I184" s="219">
        <v>0</v>
      </c>
      <c r="J184" s="219">
        <v>0</v>
      </c>
      <c r="K184" s="408"/>
      <c r="L184" s="408"/>
      <c r="M184" s="43"/>
      <c r="N184" s="41"/>
      <c r="O184" s="41"/>
      <c r="P184" s="34"/>
      <c r="Q184" s="114">
        <v>0</v>
      </c>
      <c r="R184" s="114">
        <v>0</v>
      </c>
      <c r="S184" s="409">
        <v>0</v>
      </c>
    </row>
    <row r="185" spans="1:19" ht="22.5" customHeight="1" x14ac:dyDescent="0.5">
      <c r="A185" s="208">
        <v>2</v>
      </c>
      <c r="B185" s="290" t="s">
        <v>389</v>
      </c>
      <c r="C185" s="25" t="s">
        <v>390</v>
      </c>
      <c r="D185" s="388">
        <v>3150</v>
      </c>
      <c r="E185" s="212" t="s">
        <v>935</v>
      </c>
      <c r="F185" s="234"/>
      <c r="G185" s="228" t="s">
        <v>33</v>
      </c>
      <c r="H185" s="666">
        <v>3150</v>
      </c>
      <c r="I185" s="219">
        <v>0</v>
      </c>
      <c r="J185" s="219">
        <v>3150</v>
      </c>
      <c r="K185" s="335">
        <v>25209</v>
      </c>
      <c r="L185" s="410" t="s">
        <v>1054</v>
      </c>
      <c r="M185" s="411">
        <v>3150</v>
      </c>
      <c r="N185" s="215" t="s">
        <v>958</v>
      </c>
      <c r="O185" s="215" t="s">
        <v>33</v>
      </c>
      <c r="P185" s="216" t="s">
        <v>33</v>
      </c>
      <c r="Q185" s="114">
        <f>SUM(H185+D185-M185)</f>
        <v>3150</v>
      </c>
      <c r="R185" s="114">
        <v>0</v>
      </c>
      <c r="S185" s="409">
        <f>SUM(Q185)</f>
        <v>3150</v>
      </c>
    </row>
    <row r="186" spans="1:19" s="60" customFormat="1" ht="22.5" customHeight="1" thickBot="1" x14ac:dyDescent="0.35">
      <c r="A186" s="317"/>
      <c r="B186" s="317" t="s">
        <v>15</v>
      </c>
      <c r="C186" s="318"/>
      <c r="D186" s="383">
        <f>SUM(D184:D185)</f>
        <v>3150</v>
      </c>
      <c r="E186" s="320"/>
      <c r="F186" s="320"/>
      <c r="G186" s="321"/>
      <c r="H186" s="358">
        <f>SUM(H184:H185)</f>
        <v>3150</v>
      </c>
      <c r="I186" s="358">
        <f>SUM(I184:I185)</f>
        <v>0</v>
      </c>
      <c r="J186" s="358">
        <f>SUM(J184:J185)</f>
        <v>3150</v>
      </c>
      <c r="K186" s="383"/>
      <c r="L186" s="383">
        <v>0</v>
      </c>
      <c r="M186" s="383">
        <f>SUM(M184:M185)</f>
        <v>3150</v>
      </c>
      <c r="N186" s="407"/>
      <c r="O186" s="407"/>
      <c r="P186" s="321"/>
      <c r="Q186" s="323">
        <f>SUM(Q184:Q185)</f>
        <v>3150</v>
      </c>
      <c r="R186" s="323">
        <v>0</v>
      </c>
      <c r="S186" s="386">
        <f>SUM(S184:S185)</f>
        <v>3150</v>
      </c>
    </row>
    <row r="187" spans="1:19" ht="22.5" customHeight="1" thickTop="1" x14ac:dyDescent="0.3">
      <c r="A187" s="61"/>
      <c r="B187" s="62" t="s">
        <v>392</v>
      </c>
      <c r="C187" s="63" t="s">
        <v>393</v>
      </c>
      <c r="D187" s="64"/>
      <c r="E187" s="65"/>
      <c r="F187" s="65"/>
      <c r="G187" s="66"/>
      <c r="H187" s="67"/>
      <c r="I187" s="67"/>
      <c r="J187" s="67"/>
      <c r="K187" s="68"/>
      <c r="L187" s="68"/>
      <c r="M187" s="64"/>
      <c r="N187" s="69"/>
      <c r="O187" s="69"/>
      <c r="P187" s="70"/>
      <c r="Q187" s="71"/>
      <c r="R187" s="71"/>
      <c r="S187" s="72"/>
    </row>
    <row r="188" spans="1:19" ht="22.5" customHeight="1" x14ac:dyDescent="0.3">
      <c r="A188" s="208"/>
      <c r="B188" s="290" t="s">
        <v>394</v>
      </c>
      <c r="C188" s="25"/>
      <c r="D188" s="388"/>
      <c r="E188" s="212"/>
      <c r="F188" s="234"/>
      <c r="G188" s="228"/>
      <c r="H188" s="389"/>
      <c r="I188" s="219"/>
      <c r="J188" s="219"/>
      <c r="K188" s="303"/>
      <c r="L188" s="303"/>
      <c r="M188" s="388"/>
      <c r="N188" s="33"/>
      <c r="O188" s="111"/>
      <c r="P188" s="112"/>
      <c r="Q188" s="114"/>
      <c r="R188" s="114"/>
      <c r="S188" s="409"/>
    </row>
    <row r="189" spans="1:19" s="60" customFormat="1" ht="22.5" customHeight="1" thickBot="1" x14ac:dyDescent="0.35">
      <c r="A189" s="317"/>
      <c r="B189" s="317" t="s">
        <v>15</v>
      </c>
      <c r="C189" s="318"/>
      <c r="D189" s="383">
        <v>0</v>
      </c>
      <c r="E189" s="320"/>
      <c r="F189" s="320"/>
      <c r="G189" s="321"/>
      <c r="H189" s="358">
        <v>0</v>
      </c>
      <c r="I189" s="358">
        <v>0</v>
      </c>
      <c r="J189" s="358">
        <v>0</v>
      </c>
      <c r="K189" s="383">
        <v>0</v>
      </c>
      <c r="L189" s="383">
        <v>0</v>
      </c>
      <c r="M189" s="383">
        <v>0</v>
      </c>
      <c r="N189" s="407"/>
      <c r="O189" s="407"/>
      <c r="P189" s="321"/>
      <c r="Q189" s="323">
        <v>0</v>
      </c>
      <c r="R189" s="323">
        <v>0</v>
      </c>
      <c r="S189" s="386">
        <v>0</v>
      </c>
    </row>
    <row r="190" spans="1:19" ht="22.5" customHeight="1" thickTop="1" x14ac:dyDescent="0.3">
      <c r="A190" s="115"/>
      <c r="B190" s="412" t="s">
        <v>395</v>
      </c>
      <c r="C190" s="165"/>
      <c r="D190" s="86"/>
      <c r="E190" s="413"/>
      <c r="F190" s="413"/>
      <c r="G190" s="414"/>
      <c r="H190" s="415"/>
      <c r="I190" s="415"/>
      <c r="J190" s="415"/>
      <c r="K190" s="170"/>
      <c r="L190" s="171"/>
      <c r="M190" s="86"/>
      <c r="N190" s="115"/>
      <c r="O190" s="115"/>
      <c r="P190" s="414"/>
      <c r="Q190" s="416"/>
      <c r="R190" s="416"/>
      <c r="S190" s="417"/>
    </row>
    <row r="191" spans="1:19" ht="22.5" customHeight="1" x14ac:dyDescent="0.3">
      <c r="A191" s="115"/>
      <c r="B191" s="412"/>
      <c r="C191" s="165"/>
      <c r="D191" s="86"/>
      <c r="E191" s="413"/>
      <c r="F191" s="413"/>
      <c r="G191" s="414"/>
      <c r="H191" s="415"/>
      <c r="I191" s="415"/>
      <c r="J191" s="415"/>
      <c r="K191" s="170"/>
      <c r="L191" s="171"/>
      <c r="M191" s="86"/>
      <c r="N191" s="115"/>
      <c r="O191" s="115"/>
      <c r="P191" s="414"/>
      <c r="Q191" s="416"/>
      <c r="R191" s="416"/>
      <c r="S191" s="417"/>
    </row>
    <row r="192" spans="1:19" ht="22.5" customHeight="1" x14ac:dyDescent="0.3">
      <c r="A192" s="115"/>
      <c r="B192" s="412"/>
      <c r="C192" s="165"/>
      <c r="D192" s="86"/>
      <c r="E192" s="413"/>
      <c r="F192" s="413"/>
      <c r="G192" s="414"/>
      <c r="H192" s="415"/>
      <c r="I192" s="415"/>
      <c r="J192" s="415"/>
      <c r="K192" s="170"/>
      <c r="L192" s="171"/>
      <c r="M192" s="86"/>
      <c r="N192" s="115"/>
      <c r="O192" s="115"/>
      <c r="P192" s="414"/>
      <c r="Q192" s="416"/>
      <c r="R192" s="416"/>
      <c r="S192" s="417"/>
    </row>
    <row r="193" spans="1:19" s="60" customFormat="1" ht="22.2" customHeight="1" thickBot="1" x14ac:dyDescent="0.35">
      <c r="A193" s="418"/>
      <c r="B193" s="419" t="s">
        <v>15</v>
      </c>
      <c r="C193" s="420"/>
      <c r="D193" s="421">
        <v>0</v>
      </c>
      <c r="E193" s="422"/>
      <c r="F193" s="422"/>
      <c r="G193" s="423"/>
      <c r="H193" s="424"/>
      <c r="I193" s="424"/>
      <c r="J193" s="424"/>
      <c r="K193" s="425"/>
      <c r="L193" s="426"/>
      <c r="M193" s="421">
        <v>0</v>
      </c>
      <c r="N193" s="418"/>
      <c r="O193" s="418"/>
      <c r="P193" s="423"/>
      <c r="Q193" s="427">
        <v>0</v>
      </c>
      <c r="R193" s="427">
        <v>0</v>
      </c>
      <c r="S193" s="428">
        <v>0</v>
      </c>
    </row>
    <row r="194" spans="1:19" ht="22.5" customHeight="1" thickTop="1" x14ac:dyDescent="0.3">
      <c r="A194" s="429"/>
      <c r="B194" s="430"/>
      <c r="C194" s="431"/>
      <c r="D194" s="432"/>
      <c r="E194" s="433"/>
      <c r="F194" s="433"/>
      <c r="G194" s="434"/>
      <c r="H194" s="435"/>
      <c r="I194" s="435"/>
      <c r="J194" s="435"/>
      <c r="K194" s="436"/>
      <c r="L194" s="437"/>
      <c r="M194" s="438"/>
      <c r="N194" s="439"/>
      <c r="O194" s="439"/>
      <c r="P194" s="440"/>
      <c r="Q194" s="441"/>
      <c r="R194" s="441"/>
      <c r="S194" s="442"/>
    </row>
    <row r="195" spans="1:19" ht="22.5" customHeight="1" x14ac:dyDescent="0.3">
      <c r="A195" s="61"/>
      <c r="B195" s="4" t="s">
        <v>396</v>
      </c>
      <c r="C195" s="63"/>
      <c r="D195" s="382"/>
      <c r="E195" s="443"/>
      <c r="F195" s="443"/>
      <c r="G195" s="66"/>
      <c r="H195" s="444"/>
      <c r="I195" s="444"/>
      <c r="J195" s="444"/>
      <c r="K195" s="68"/>
      <c r="L195" s="445"/>
      <c r="M195" s="64"/>
      <c r="N195" s="69"/>
      <c r="O195" s="69"/>
      <c r="P195" s="70"/>
      <c r="Q195" s="71"/>
      <c r="R195" s="71"/>
      <c r="S195" s="387"/>
    </row>
    <row r="196" spans="1:19" ht="22.5" customHeight="1" x14ac:dyDescent="0.5">
      <c r="A196" s="446">
        <v>1</v>
      </c>
      <c r="B196" s="447" t="s">
        <v>398</v>
      </c>
      <c r="C196" s="63"/>
      <c r="D196" s="382"/>
      <c r="E196" s="443"/>
      <c r="F196" s="443"/>
      <c r="G196" s="66"/>
      <c r="H196" s="448">
        <v>0</v>
      </c>
      <c r="I196" s="448">
        <v>0</v>
      </c>
      <c r="J196" s="448">
        <v>0</v>
      </c>
      <c r="K196" s="449"/>
      <c r="L196" s="450"/>
      <c r="M196" s="451"/>
      <c r="N196" s="69"/>
      <c r="O196" s="69"/>
      <c r="P196" s="70"/>
      <c r="Q196" s="71">
        <f>SUM(S196)</f>
        <v>0</v>
      </c>
      <c r="R196" s="71">
        <v>0</v>
      </c>
      <c r="S196" s="387">
        <f>SUM(D196+J196-M196)</f>
        <v>0</v>
      </c>
    </row>
    <row r="197" spans="1:19" ht="22.5" customHeight="1" x14ac:dyDescent="0.3">
      <c r="A197" s="61"/>
      <c r="B197" s="164" t="s">
        <v>399</v>
      </c>
      <c r="C197" s="63"/>
      <c r="D197" s="382"/>
      <c r="E197" s="443"/>
      <c r="F197" s="443"/>
      <c r="G197" s="66"/>
      <c r="H197" s="444"/>
      <c r="I197" s="444"/>
      <c r="J197" s="444"/>
      <c r="K197" s="68"/>
      <c r="L197" s="445"/>
      <c r="M197" s="64"/>
      <c r="N197" s="69"/>
      <c r="O197" s="69"/>
      <c r="P197" s="70"/>
      <c r="Q197" s="71"/>
      <c r="R197" s="71"/>
      <c r="S197" s="387"/>
    </row>
    <row r="198" spans="1:19" ht="22.5" customHeight="1" x14ac:dyDescent="0.5">
      <c r="A198" s="61">
        <v>1</v>
      </c>
      <c r="B198" s="290" t="s">
        <v>400</v>
      </c>
      <c r="C198" s="25" t="s">
        <v>333</v>
      </c>
      <c r="D198" s="452"/>
      <c r="E198" s="443"/>
      <c r="F198" s="443"/>
      <c r="G198" s="66"/>
      <c r="H198" s="67">
        <v>0</v>
      </c>
      <c r="I198" s="67">
        <v>0</v>
      </c>
      <c r="J198" s="67">
        <v>0</v>
      </c>
      <c r="K198" s="449"/>
      <c r="L198" s="450"/>
      <c r="M198" s="451"/>
      <c r="N198" s="69"/>
      <c r="O198" s="69"/>
      <c r="P198" s="70"/>
      <c r="Q198" s="71">
        <f t="shared" ref="Q198:Q247" si="15">SUM(S198)</f>
        <v>0</v>
      </c>
      <c r="R198" s="71">
        <v>0</v>
      </c>
      <c r="S198" s="387">
        <f t="shared" ref="S198:S247" si="16">SUM(D198+J198-M198)</f>
        <v>0</v>
      </c>
    </row>
    <row r="199" spans="1:19" ht="22.5" customHeight="1" x14ac:dyDescent="0.5">
      <c r="A199" s="61">
        <v>2</v>
      </c>
      <c r="B199" s="290" t="s">
        <v>401</v>
      </c>
      <c r="C199" s="81" t="s">
        <v>336</v>
      </c>
      <c r="D199" s="452"/>
      <c r="E199" s="443"/>
      <c r="F199" s="443"/>
      <c r="G199" s="66"/>
      <c r="H199" s="67">
        <v>0</v>
      </c>
      <c r="I199" s="67">
        <v>0</v>
      </c>
      <c r="J199" s="67">
        <v>0</v>
      </c>
      <c r="K199" s="449"/>
      <c r="L199" s="450"/>
      <c r="M199" s="451"/>
      <c r="N199" s="69"/>
      <c r="O199" s="69"/>
      <c r="P199" s="70"/>
      <c r="Q199" s="71">
        <f t="shared" si="15"/>
        <v>0</v>
      </c>
      <c r="R199" s="71">
        <v>0</v>
      </c>
      <c r="S199" s="387">
        <f t="shared" si="16"/>
        <v>0</v>
      </c>
    </row>
    <row r="200" spans="1:19" ht="22.5" customHeight="1" x14ac:dyDescent="0.5">
      <c r="A200" s="61">
        <v>3</v>
      </c>
      <c r="B200" s="290" t="s">
        <v>403</v>
      </c>
      <c r="C200" s="25" t="s">
        <v>339</v>
      </c>
      <c r="D200" s="452"/>
      <c r="E200" s="443"/>
      <c r="F200" s="443"/>
      <c r="G200" s="66"/>
      <c r="H200" s="67">
        <v>0</v>
      </c>
      <c r="I200" s="67">
        <v>0</v>
      </c>
      <c r="J200" s="67">
        <v>0</v>
      </c>
      <c r="K200" s="449"/>
      <c r="L200" s="450"/>
      <c r="M200" s="451"/>
      <c r="N200" s="69"/>
      <c r="O200" s="69"/>
      <c r="P200" s="70"/>
      <c r="Q200" s="71">
        <f t="shared" si="15"/>
        <v>0</v>
      </c>
      <c r="R200" s="71">
        <v>0</v>
      </c>
      <c r="S200" s="387">
        <f t="shared" si="16"/>
        <v>0</v>
      </c>
    </row>
    <row r="201" spans="1:19" ht="22.5" customHeight="1" x14ac:dyDescent="0.5">
      <c r="A201" s="61">
        <v>4</v>
      </c>
      <c r="B201" s="290" t="s">
        <v>405</v>
      </c>
      <c r="C201" s="25" t="s">
        <v>406</v>
      </c>
      <c r="D201" s="452"/>
      <c r="E201" s="443"/>
      <c r="F201" s="443"/>
      <c r="G201" s="66"/>
      <c r="H201" s="67">
        <v>0</v>
      </c>
      <c r="I201" s="67">
        <v>0</v>
      </c>
      <c r="J201" s="67">
        <v>0</v>
      </c>
      <c r="K201" s="449"/>
      <c r="L201" s="450"/>
      <c r="M201" s="451"/>
      <c r="N201" s="69"/>
      <c r="O201" s="69"/>
      <c r="P201" s="70"/>
      <c r="Q201" s="71">
        <f t="shared" si="15"/>
        <v>0</v>
      </c>
      <c r="R201" s="71">
        <v>0</v>
      </c>
      <c r="S201" s="387">
        <f t="shared" si="16"/>
        <v>0</v>
      </c>
    </row>
    <row r="202" spans="1:19" ht="22.5" customHeight="1" x14ac:dyDescent="0.5">
      <c r="A202" s="61">
        <v>5</v>
      </c>
      <c r="B202" s="290" t="s">
        <v>407</v>
      </c>
      <c r="C202" s="63" t="s">
        <v>331</v>
      </c>
      <c r="D202" s="452"/>
      <c r="E202" s="443"/>
      <c r="F202" s="443"/>
      <c r="G202" s="66"/>
      <c r="H202" s="67">
        <v>0</v>
      </c>
      <c r="I202" s="67">
        <v>0</v>
      </c>
      <c r="J202" s="67">
        <v>0</v>
      </c>
      <c r="K202" s="449"/>
      <c r="L202" s="450"/>
      <c r="M202" s="451"/>
      <c r="N202" s="69"/>
      <c r="O202" s="69"/>
      <c r="P202" s="70"/>
      <c r="Q202" s="71">
        <f t="shared" si="15"/>
        <v>0</v>
      </c>
      <c r="R202" s="71">
        <v>0</v>
      </c>
      <c r="S202" s="387">
        <f t="shared" si="16"/>
        <v>0</v>
      </c>
    </row>
    <row r="203" spans="1:19" ht="22.5" customHeight="1" x14ac:dyDescent="0.5">
      <c r="A203" s="61">
        <v>6</v>
      </c>
      <c r="B203" s="290" t="s">
        <v>408</v>
      </c>
      <c r="C203" s="63" t="s">
        <v>331</v>
      </c>
      <c r="D203" s="452"/>
      <c r="E203" s="443"/>
      <c r="F203" s="443"/>
      <c r="G203" s="66"/>
      <c r="H203" s="67">
        <v>0</v>
      </c>
      <c r="I203" s="67">
        <v>0</v>
      </c>
      <c r="J203" s="67">
        <v>0</v>
      </c>
      <c r="K203" s="449"/>
      <c r="L203" s="450"/>
      <c r="M203" s="451"/>
      <c r="N203" s="69"/>
      <c r="O203" s="69"/>
      <c r="P203" s="70"/>
      <c r="Q203" s="71">
        <f t="shared" si="15"/>
        <v>0</v>
      </c>
      <c r="R203" s="71">
        <v>0</v>
      </c>
      <c r="S203" s="387">
        <f t="shared" si="16"/>
        <v>0</v>
      </c>
    </row>
    <row r="204" spans="1:19" ht="22.5" customHeight="1" x14ac:dyDescent="0.5">
      <c r="A204" s="61">
        <v>7</v>
      </c>
      <c r="B204" s="290" t="s">
        <v>410</v>
      </c>
      <c r="C204" s="63" t="s">
        <v>411</v>
      </c>
      <c r="D204" s="452"/>
      <c r="E204" s="443"/>
      <c r="F204" s="443"/>
      <c r="G204" s="66"/>
      <c r="H204" s="67">
        <v>0</v>
      </c>
      <c r="I204" s="67">
        <v>0</v>
      </c>
      <c r="J204" s="67">
        <v>0</v>
      </c>
      <c r="K204" s="449"/>
      <c r="L204" s="450"/>
      <c r="M204" s="451"/>
      <c r="N204" s="69"/>
      <c r="O204" s="69"/>
      <c r="P204" s="70"/>
      <c r="Q204" s="71">
        <f t="shared" si="15"/>
        <v>0</v>
      </c>
      <c r="R204" s="71">
        <v>0</v>
      </c>
      <c r="S204" s="387">
        <f t="shared" si="16"/>
        <v>0</v>
      </c>
    </row>
    <row r="205" spans="1:19" ht="22.5" customHeight="1" x14ac:dyDescent="0.5">
      <c r="A205" s="61">
        <v>8</v>
      </c>
      <c r="B205" s="290" t="s">
        <v>413</v>
      </c>
      <c r="C205" s="63"/>
      <c r="D205" s="452"/>
      <c r="E205" s="443"/>
      <c r="F205" s="443"/>
      <c r="G205" s="66"/>
      <c r="H205" s="67">
        <v>0</v>
      </c>
      <c r="I205" s="67">
        <v>0</v>
      </c>
      <c r="J205" s="67">
        <v>0</v>
      </c>
      <c r="K205" s="449"/>
      <c r="L205" s="450"/>
      <c r="M205" s="451"/>
      <c r="N205" s="69"/>
      <c r="O205" s="69"/>
      <c r="P205" s="70"/>
      <c r="Q205" s="71">
        <f t="shared" si="15"/>
        <v>0</v>
      </c>
      <c r="R205" s="71">
        <v>0</v>
      </c>
      <c r="S205" s="387">
        <f t="shared" si="16"/>
        <v>0</v>
      </c>
    </row>
    <row r="206" spans="1:19" ht="22.5" customHeight="1" x14ac:dyDescent="0.5">
      <c r="A206" s="61">
        <v>9</v>
      </c>
      <c r="B206" s="290" t="s">
        <v>414</v>
      </c>
      <c r="C206" s="63" t="s">
        <v>415</v>
      </c>
      <c r="D206" s="452"/>
      <c r="E206" s="443"/>
      <c r="F206" s="443"/>
      <c r="G206" s="66"/>
      <c r="H206" s="67">
        <v>0</v>
      </c>
      <c r="I206" s="67">
        <v>0</v>
      </c>
      <c r="J206" s="67">
        <v>0</v>
      </c>
      <c r="K206" s="449"/>
      <c r="L206" s="450"/>
      <c r="M206" s="451"/>
      <c r="N206" s="69"/>
      <c r="O206" s="69"/>
      <c r="P206" s="70"/>
      <c r="Q206" s="71">
        <f t="shared" si="15"/>
        <v>0</v>
      </c>
      <c r="R206" s="71">
        <v>0</v>
      </c>
      <c r="S206" s="387">
        <f t="shared" si="16"/>
        <v>0</v>
      </c>
    </row>
    <row r="207" spans="1:19" ht="22.5" customHeight="1" x14ac:dyDescent="0.5">
      <c r="A207" s="61">
        <v>10</v>
      </c>
      <c r="B207" s="290" t="s">
        <v>359</v>
      </c>
      <c r="C207" s="63" t="s">
        <v>417</v>
      </c>
      <c r="D207" s="452"/>
      <c r="E207" s="443"/>
      <c r="F207" s="443"/>
      <c r="G207" s="66"/>
      <c r="H207" s="67">
        <v>0</v>
      </c>
      <c r="I207" s="67">
        <v>0</v>
      </c>
      <c r="J207" s="67">
        <v>0</v>
      </c>
      <c r="K207" s="449"/>
      <c r="L207" s="450"/>
      <c r="M207" s="451"/>
      <c r="N207" s="69"/>
      <c r="O207" s="69"/>
      <c r="P207" s="70"/>
      <c r="Q207" s="71">
        <f t="shared" si="15"/>
        <v>0</v>
      </c>
      <c r="R207" s="71">
        <v>0</v>
      </c>
      <c r="S207" s="387">
        <f t="shared" si="16"/>
        <v>0</v>
      </c>
    </row>
    <row r="208" spans="1:19" ht="22.5" customHeight="1" x14ac:dyDescent="0.5">
      <c r="A208" s="61">
        <v>11</v>
      </c>
      <c r="B208" s="290" t="s">
        <v>397</v>
      </c>
      <c r="C208" s="63" t="s">
        <v>417</v>
      </c>
      <c r="D208" s="452"/>
      <c r="E208" s="443" t="s">
        <v>795</v>
      </c>
      <c r="F208" s="443"/>
      <c r="G208" s="66"/>
      <c r="H208" s="67">
        <v>8604.76</v>
      </c>
      <c r="I208" s="67">
        <v>0</v>
      </c>
      <c r="J208" s="67">
        <v>8604.76</v>
      </c>
      <c r="K208" s="449">
        <v>25219</v>
      </c>
      <c r="L208" s="450" t="s">
        <v>1055</v>
      </c>
      <c r="M208" s="451">
        <v>8604.76</v>
      </c>
      <c r="N208" s="69"/>
      <c r="O208" s="69"/>
      <c r="P208" s="70"/>
      <c r="Q208" s="71">
        <f t="shared" si="15"/>
        <v>0</v>
      </c>
      <c r="R208" s="71">
        <v>0</v>
      </c>
      <c r="S208" s="387">
        <f t="shared" si="16"/>
        <v>0</v>
      </c>
    </row>
    <row r="209" spans="1:20" ht="22.5" customHeight="1" x14ac:dyDescent="0.5">
      <c r="A209" s="61">
        <v>12</v>
      </c>
      <c r="B209" s="290" t="s">
        <v>358</v>
      </c>
      <c r="C209" s="63" t="s">
        <v>417</v>
      </c>
      <c r="D209" s="452"/>
      <c r="E209" s="443" t="s">
        <v>795</v>
      </c>
      <c r="F209" s="443"/>
      <c r="G209" s="66"/>
      <c r="H209" s="67">
        <v>9651.43</v>
      </c>
      <c r="I209" s="67">
        <v>0</v>
      </c>
      <c r="J209" s="67">
        <v>9651.43</v>
      </c>
      <c r="K209" s="449"/>
      <c r="L209" s="450"/>
      <c r="M209" s="451"/>
      <c r="N209" s="69" t="s">
        <v>795</v>
      </c>
      <c r="O209" s="69"/>
      <c r="P209" s="70"/>
      <c r="Q209" s="71">
        <f t="shared" si="15"/>
        <v>9651.43</v>
      </c>
      <c r="R209" s="71">
        <v>0</v>
      </c>
      <c r="S209" s="387">
        <f t="shared" si="16"/>
        <v>9651.43</v>
      </c>
    </row>
    <row r="210" spans="1:20" ht="22.5" customHeight="1" x14ac:dyDescent="0.5">
      <c r="A210" s="61">
        <v>13</v>
      </c>
      <c r="B210" s="290" t="s">
        <v>419</v>
      </c>
      <c r="C210" s="63" t="s">
        <v>417</v>
      </c>
      <c r="D210" s="452"/>
      <c r="E210" s="443"/>
      <c r="F210" s="443"/>
      <c r="G210" s="66"/>
      <c r="H210" s="67">
        <v>0</v>
      </c>
      <c r="I210" s="67">
        <v>0</v>
      </c>
      <c r="J210" s="67">
        <v>0</v>
      </c>
      <c r="K210" s="30"/>
      <c r="L210" s="249"/>
      <c r="M210" s="451"/>
      <c r="N210" s="69"/>
      <c r="O210" s="69"/>
      <c r="P210" s="70"/>
      <c r="Q210" s="71">
        <f t="shared" si="15"/>
        <v>0</v>
      </c>
      <c r="R210" s="71">
        <v>0</v>
      </c>
      <c r="S210" s="387">
        <f t="shared" si="16"/>
        <v>0</v>
      </c>
      <c r="T210" s="3" t="s">
        <v>420</v>
      </c>
    </row>
    <row r="211" spans="1:20" ht="22.5" customHeight="1" x14ac:dyDescent="0.5">
      <c r="A211" s="61">
        <v>14</v>
      </c>
      <c r="B211" s="290" t="s">
        <v>353</v>
      </c>
      <c r="C211" s="63" t="s">
        <v>417</v>
      </c>
      <c r="D211" s="452"/>
      <c r="E211" s="443"/>
      <c r="F211" s="443"/>
      <c r="G211" s="66"/>
      <c r="H211" s="67">
        <v>0</v>
      </c>
      <c r="I211" s="67">
        <v>0</v>
      </c>
      <c r="J211" s="67">
        <v>0</v>
      </c>
      <c r="K211" s="449"/>
      <c r="L211" s="450"/>
      <c r="M211" s="451"/>
      <c r="N211" s="69"/>
      <c r="O211" s="69"/>
      <c r="P211" s="70"/>
      <c r="Q211" s="71">
        <f t="shared" si="15"/>
        <v>0</v>
      </c>
      <c r="R211" s="71">
        <v>0</v>
      </c>
      <c r="S211" s="387">
        <f t="shared" si="16"/>
        <v>0</v>
      </c>
    </row>
    <row r="212" spans="1:20" ht="22.5" customHeight="1" x14ac:dyDescent="0.5">
      <c r="A212" s="61">
        <v>15</v>
      </c>
      <c r="B212" s="290" t="s">
        <v>398</v>
      </c>
      <c r="C212" s="63" t="s">
        <v>417</v>
      </c>
      <c r="D212" s="452"/>
      <c r="E212" s="443" t="s">
        <v>795</v>
      </c>
      <c r="F212" s="443"/>
      <c r="G212" s="66"/>
      <c r="H212" s="67">
        <v>3283.84</v>
      </c>
      <c r="I212" s="67">
        <v>0</v>
      </c>
      <c r="J212" s="67">
        <v>3283.84</v>
      </c>
      <c r="K212" s="449">
        <v>25208</v>
      </c>
      <c r="L212" s="450" t="s">
        <v>1056</v>
      </c>
      <c r="M212" s="451">
        <v>3283.84</v>
      </c>
      <c r="N212" s="69"/>
      <c r="O212" s="69"/>
      <c r="P212" s="70"/>
      <c r="Q212" s="71">
        <f t="shared" si="15"/>
        <v>0</v>
      </c>
      <c r="R212" s="71">
        <v>0</v>
      </c>
      <c r="S212" s="387">
        <f t="shared" si="16"/>
        <v>0</v>
      </c>
    </row>
    <row r="213" spans="1:20" ht="22.5" customHeight="1" x14ac:dyDescent="0.5">
      <c r="A213" s="61">
        <v>16</v>
      </c>
      <c r="B213" s="290" t="s">
        <v>421</v>
      </c>
      <c r="C213" s="63" t="s">
        <v>422</v>
      </c>
      <c r="D213" s="452"/>
      <c r="E213" s="443"/>
      <c r="F213" s="443"/>
      <c r="G213" s="66"/>
      <c r="H213" s="67">
        <v>0</v>
      </c>
      <c r="I213" s="67">
        <v>0</v>
      </c>
      <c r="J213" s="67">
        <v>0</v>
      </c>
      <c r="K213" s="449"/>
      <c r="L213" s="450"/>
      <c r="M213" s="451"/>
      <c r="N213" s="69"/>
      <c r="O213" s="69"/>
      <c r="P213" s="70"/>
      <c r="Q213" s="71">
        <f t="shared" si="15"/>
        <v>0</v>
      </c>
      <c r="R213" s="71">
        <v>0</v>
      </c>
      <c r="S213" s="387">
        <f t="shared" si="16"/>
        <v>0</v>
      </c>
    </row>
    <row r="214" spans="1:20" ht="22.5" customHeight="1" x14ac:dyDescent="0.5">
      <c r="A214" s="61">
        <v>17</v>
      </c>
      <c r="B214" s="290" t="s">
        <v>423</v>
      </c>
      <c r="C214" s="63" t="s">
        <v>424</v>
      </c>
      <c r="D214" s="452"/>
      <c r="E214" s="443"/>
      <c r="F214" s="443"/>
      <c r="G214" s="66"/>
      <c r="H214" s="67">
        <v>0</v>
      </c>
      <c r="I214" s="67">
        <v>0</v>
      </c>
      <c r="J214" s="67">
        <v>0</v>
      </c>
      <c r="K214" s="449"/>
      <c r="L214" s="450"/>
      <c r="M214" s="451"/>
      <c r="N214" s="69"/>
      <c r="O214" s="69"/>
      <c r="P214" s="70"/>
      <c r="Q214" s="71">
        <f t="shared" si="15"/>
        <v>0</v>
      </c>
      <c r="R214" s="71">
        <v>0</v>
      </c>
      <c r="S214" s="387">
        <f t="shared" si="16"/>
        <v>0</v>
      </c>
    </row>
    <row r="215" spans="1:20" ht="22.5" customHeight="1" x14ac:dyDescent="0.5">
      <c r="A215" s="61">
        <v>18</v>
      </c>
      <c r="B215" s="290" t="s">
        <v>425</v>
      </c>
      <c r="C215" s="63" t="s">
        <v>426</v>
      </c>
      <c r="D215" s="452"/>
      <c r="E215" s="443"/>
      <c r="F215" s="443"/>
      <c r="G215" s="66"/>
      <c r="H215" s="67">
        <v>0</v>
      </c>
      <c r="I215" s="67">
        <v>0</v>
      </c>
      <c r="J215" s="67">
        <v>0</v>
      </c>
      <c r="K215" s="449"/>
      <c r="L215" s="450"/>
      <c r="M215" s="451"/>
      <c r="N215" s="69"/>
      <c r="O215" s="69"/>
      <c r="P215" s="70"/>
      <c r="Q215" s="71">
        <f t="shared" si="15"/>
        <v>0</v>
      </c>
      <c r="R215" s="71">
        <v>0</v>
      </c>
      <c r="S215" s="387">
        <f t="shared" si="16"/>
        <v>0</v>
      </c>
    </row>
    <row r="216" spans="1:20" ht="22.5" customHeight="1" x14ac:dyDescent="0.5">
      <c r="A216" s="61">
        <v>19</v>
      </c>
      <c r="B216" s="290" t="s">
        <v>428</v>
      </c>
      <c r="C216" s="63" t="s">
        <v>429</v>
      </c>
      <c r="D216" s="452"/>
      <c r="E216" s="443"/>
      <c r="F216" s="443"/>
      <c r="G216" s="66"/>
      <c r="H216" s="67">
        <v>0</v>
      </c>
      <c r="I216" s="67">
        <v>0</v>
      </c>
      <c r="J216" s="67">
        <v>0</v>
      </c>
      <c r="K216" s="449"/>
      <c r="L216" s="450"/>
      <c r="M216" s="451"/>
      <c r="N216" s="69"/>
      <c r="O216" s="69"/>
      <c r="P216" s="70"/>
      <c r="Q216" s="71">
        <f t="shared" si="15"/>
        <v>0</v>
      </c>
      <c r="R216" s="71">
        <v>0</v>
      </c>
      <c r="S216" s="387">
        <f t="shared" si="16"/>
        <v>0</v>
      </c>
    </row>
    <row r="217" spans="1:20" ht="22.5" customHeight="1" x14ac:dyDescent="0.5">
      <c r="A217" s="61">
        <v>20</v>
      </c>
      <c r="B217" s="290" t="s">
        <v>431</v>
      </c>
      <c r="C217" s="63" t="s">
        <v>432</v>
      </c>
      <c r="D217" s="452"/>
      <c r="E217" s="443"/>
      <c r="F217" s="443"/>
      <c r="G217" s="66"/>
      <c r="H217" s="67">
        <v>0</v>
      </c>
      <c r="I217" s="67">
        <v>0</v>
      </c>
      <c r="J217" s="67">
        <v>0</v>
      </c>
      <c r="K217" s="449"/>
      <c r="L217" s="450"/>
      <c r="M217" s="451"/>
      <c r="N217" s="69"/>
      <c r="O217" s="69"/>
      <c r="P217" s="70"/>
      <c r="Q217" s="71">
        <f t="shared" si="15"/>
        <v>0</v>
      </c>
      <c r="R217" s="71">
        <v>0</v>
      </c>
      <c r="S217" s="387">
        <f t="shared" si="16"/>
        <v>0</v>
      </c>
    </row>
    <row r="218" spans="1:20" ht="22.5" customHeight="1" x14ac:dyDescent="0.5">
      <c r="A218" s="61">
        <v>21</v>
      </c>
      <c r="B218" s="290" t="s">
        <v>433</v>
      </c>
      <c r="C218" s="63" t="s">
        <v>434</v>
      </c>
      <c r="D218" s="452"/>
      <c r="E218" s="443"/>
      <c r="F218" s="443"/>
      <c r="G218" s="66"/>
      <c r="H218" s="67">
        <v>0</v>
      </c>
      <c r="I218" s="67">
        <v>0</v>
      </c>
      <c r="J218" s="67">
        <v>0</v>
      </c>
      <c r="K218" s="449"/>
      <c r="L218" s="450"/>
      <c r="M218" s="451"/>
      <c r="N218" s="69"/>
      <c r="O218" s="69"/>
      <c r="P218" s="70"/>
      <c r="Q218" s="71">
        <f t="shared" si="15"/>
        <v>0</v>
      </c>
      <c r="R218" s="71">
        <v>0</v>
      </c>
      <c r="S218" s="387">
        <f t="shared" si="16"/>
        <v>0</v>
      </c>
    </row>
    <row r="219" spans="1:20" ht="22.5" customHeight="1" x14ac:dyDescent="0.5">
      <c r="A219" s="61">
        <v>22</v>
      </c>
      <c r="B219" s="290" t="s">
        <v>435</v>
      </c>
      <c r="C219" s="63" t="s">
        <v>436</v>
      </c>
      <c r="D219" s="452"/>
      <c r="E219" s="443"/>
      <c r="F219" s="443"/>
      <c r="G219" s="66"/>
      <c r="H219" s="67">
        <v>0</v>
      </c>
      <c r="I219" s="67">
        <v>0</v>
      </c>
      <c r="J219" s="67">
        <v>0</v>
      </c>
      <c r="K219" s="449"/>
      <c r="L219" s="450"/>
      <c r="M219" s="451"/>
      <c r="N219" s="69"/>
      <c r="O219" s="69"/>
      <c r="P219" s="70"/>
      <c r="Q219" s="71">
        <f t="shared" si="15"/>
        <v>0</v>
      </c>
      <c r="R219" s="71">
        <v>0</v>
      </c>
      <c r="S219" s="387">
        <f t="shared" si="16"/>
        <v>0</v>
      </c>
    </row>
    <row r="220" spans="1:20" ht="22.5" customHeight="1" x14ac:dyDescent="0.5">
      <c r="A220" s="61">
        <v>23</v>
      </c>
      <c r="B220" s="290" t="s">
        <v>437</v>
      </c>
      <c r="C220" s="63" t="s">
        <v>438</v>
      </c>
      <c r="D220" s="452"/>
      <c r="E220" s="443"/>
      <c r="F220" s="443"/>
      <c r="G220" s="66"/>
      <c r="H220" s="67">
        <v>0</v>
      </c>
      <c r="I220" s="67">
        <v>0</v>
      </c>
      <c r="J220" s="67">
        <v>0</v>
      </c>
      <c r="K220" s="449"/>
      <c r="L220" s="450"/>
      <c r="M220" s="451"/>
      <c r="N220" s="69"/>
      <c r="O220" s="69"/>
      <c r="P220" s="70"/>
      <c r="Q220" s="71">
        <f t="shared" si="15"/>
        <v>0</v>
      </c>
      <c r="R220" s="71">
        <v>0</v>
      </c>
      <c r="S220" s="387">
        <f t="shared" si="16"/>
        <v>0</v>
      </c>
    </row>
    <row r="221" spans="1:20" ht="22.5" customHeight="1" x14ac:dyDescent="0.5">
      <c r="A221" s="61">
        <v>24</v>
      </c>
      <c r="B221" s="290" t="s">
        <v>439</v>
      </c>
      <c r="C221" s="63" t="s">
        <v>440</v>
      </c>
      <c r="D221" s="452"/>
      <c r="E221" s="443"/>
      <c r="F221" s="443"/>
      <c r="G221" s="66"/>
      <c r="H221" s="67">
        <v>0</v>
      </c>
      <c r="I221" s="67">
        <v>0</v>
      </c>
      <c r="J221" s="67">
        <v>0</v>
      </c>
      <c r="K221" s="449"/>
      <c r="L221" s="450"/>
      <c r="M221" s="451"/>
      <c r="N221" s="69"/>
      <c r="O221" s="69"/>
      <c r="P221" s="70"/>
      <c r="Q221" s="71">
        <f t="shared" si="15"/>
        <v>0</v>
      </c>
      <c r="R221" s="71">
        <v>0</v>
      </c>
      <c r="S221" s="387">
        <f t="shared" si="16"/>
        <v>0</v>
      </c>
    </row>
    <row r="222" spans="1:20" ht="22.5" customHeight="1" x14ac:dyDescent="0.5">
      <c r="A222" s="61">
        <v>25</v>
      </c>
      <c r="B222" s="453" t="s">
        <v>441</v>
      </c>
      <c r="C222" s="63" t="s">
        <v>442</v>
      </c>
      <c r="D222" s="452"/>
      <c r="E222" s="443"/>
      <c r="F222" s="443"/>
      <c r="G222" s="66"/>
      <c r="H222" s="67">
        <v>0</v>
      </c>
      <c r="I222" s="67">
        <v>0</v>
      </c>
      <c r="J222" s="67">
        <v>0</v>
      </c>
      <c r="K222" s="449"/>
      <c r="L222" s="450"/>
      <c r="M222" s="451"/>
      <c r="N222" s="69"/>
      <c r="O222" s="69"/>
      <c r="P222" s="70"/>
      <c r="Q222" s="71">
        <f t="shared" si="15"/>
        <v>0</v>
      </c>
      <c r="R222" s="71">
        <v>0</v>
      </c>
      <c r="S222" s="387">
        <f t="shared" si="16"/>
        <v>0</v>
      </c>
    </row>
    <row r="223" spans="1:20" ht="22.5" customHeight="1" x14ac:dyDescent="0.5">
      <c r="A223" s="61">
        <v>26</v>
      </c>
      <c r="B223" s="290" t="s">
        <v>443</v>
      </c>
      <c r="C223" s="63" t="s">
        <v>444</v>
      </c>
      <c r="D223" s="452"/>
      <c r="E223" s="443"/>
      <c r="F223" s="443"/>
      <c r="G223" s="66"/>
      <c r="H223" s="67">
        <v>0</v>
      </c>
      <c r="I223" s="67">
        <v>0</v>
      </c>
      <c r="J223" s="67">
        <v>0</v>
      </c>
      <c r="K223" s="449"/>
      <c r="L223" s="450"/>
      <c r="M223" s="451"/>
      <c r="N223" s="69"/>
      <c r="O223" s="69"/>
      <c r="P223" s="70"/>
      <c r="Q223" s="71">
        <f t="shared" si="15"/>
        <v>0</v>
      </c>
      <c r="R223" s="71">
        <v>0</v>
      </c>
      <c r="S223" s="387">
        <f t="shared" si="16"/>
        <v>0</v>
      </c>
    </row>
    <row r="224" spans="1:20" ht="22.5" customHeight="1" x14ac:dyDescent="0.5">
      <c r="A224" s="61">
        <v>27</v>
      </c>
      <c r="B224" s="290" t="s">
        <v>445</v>
      </c>
      <c r="C224" s="63" t="s">
        <v>446</v>
      </c>
      <c r="D224" s="452"/>
      <c r="E224" s="443"/>
      <c r="F224" s="443"/>
      <c r="G224" s="66"/>
      <c r="H224" s="67">
        <v>0</v>
      </c>
      <c r="I224" s="67">
        <v>0</v>
      </c>
      <c r="J224" s="67">
        <v>0</v>
      </c>
      <c r="K224" s="449"/>
      <c r="L224" s="450"/>
      <c r="M224" s="451"/>
      <c r="N224" s="69"/>
      <c r="O224" s="69"/>
      <c r="P224" s="70"/>
      <c r="Q224" s="71">
        <f t="shared" si="15"/>
        <v>0</v>
      </c>
      <c r="R224" s="71">
        <v>0</v>
      </c>
      <c r="S224" s="387">
        <f t="shared" si="16"/>
        <v>0</v>
      </c>
    </row>
    <row r="225" spans="1:19" ht="22.5" customHeight="1" x14ac:dyDescent="0.5">
      <c r="A225" s="61">
        <v>28</v>
      </c>
      <c r="B225" s="290" t="s">
        <v>447</v>
      </c>
      <c r="C225" s="63" t="s">
        <v>448</v>
      </c>
      <c r="D225" s="452"/>
      <c r="E225" s="443"/>
      <c r="F225" s="443"/>
      <c r="G225" s="66"/>
      <c r="H225" s="67">
        <v>0</v>
      </c>
      <c r="I225" s="67">
        <v>0</v>
      </c>
      <c r="J225" s="67">
        <v>0</v>
      </c>
      <c r="K225" s="449"/>
      <c r="L225" s="450"/>
      <c r="M225" s="451"/>
      <c r="N225" s="69"/>
      <c r="O225" s="69"/>
      <c r="P225" s="70"/>
      <c r="Q225" s="71">
        <f t="shared" si="15"/>
        <v>0</v>
      </c>
      <c r="R225" s="71">
        <v>0</v>
      </c>
      <c r="S225" s="387">
        <f t="shared" si="16"/>
        <v>0</v>
      </c>
    </row>
    <row r="226" spans="1:19" ht="22.5" customHeight="1" x14ac:dyDescent="0.5">
      <c r="A226" s="61">
        <v>29</v>
      </c>
      <c r="B226" s="290" t="s">
        <v>449</v>
      </c>
      <c r="C226" s="63" t="s">
        <v>450</v>
      </c>
      <c r="D226" s="452"/>
      <c r="E226" s="443"/>
      <c r="F226" s="443"/>
      <c r="G226" s="66"/>
      <c r="H226" s="67">
        <v>0</v>
      </c>
      <c r="I226" s="67">
        <v>0</v>
      </c>
      <c r="J226" s="67">
        <v>0</v>
      </c>
      <c r="K226" s="449"/>
      <c r="L226" s="450"/>
      <c r="M226" s="451"/>
      <c r="N226" s="69"/>
      <c r="O226" s="69"/>
      <c r="P226" s="70"/>
      <c r="Q226" s="71">
        <f t="shared" si="15"/>
        <v>0</v>
      </c>
      <c r="R226" s="71">
        <v>0</v>
      </c>
      <c r="S226" s="387">
        <f t="shared" si="16"/>
        <v>0</v>
      </c>
    </row>
    <row r="227" spans="1:19" ht="22.5" customHeight="1" x14ac:dyDescent="0.5">
      <c r="A227" s="61">
        <v>30</v>
      </c>
      <c r="B227" s="290" t="s">
        <v>451</v>
      </c>
      <c r="C227" s="63" t="s">
        <v>452</v>
      </c>
      <c r="D227" s="452"/>
      <c r="E227" s="443"/>
      <c r="F227" s="443"/>
      <c r="G227" s="66"/>
      <c r="H227" s="67">
        <v>0</v>
      </c>
      <c r="I227" s="67">
        <v>0</v>
      </c>
      <c r="J227" s="67">
        <v>0</v>
      </c>
      <c r="K227" s="449"/>
      <c r="L227" s="450"/>
      <c r="M227" s="451"/>
      <c r="N227" s="69"/>
      <c r="O227" s="69"/>
      <c r="P227" s="70"/>
      <c r="Q227" s="71">
        <f t="shared" si="15"/>
        <v>0</v>
      </c>
      <c r="R227" s="71">
        <v>0</v>
      </c>
      <c r="S227" s="387">
        <f t="shared" si="16"/>
        <v>0</v>
      </c>
    </row>
    <row r="228" spans="1:19" ht="22.5" customHeight="1" x14ac:dyDescent="0.5">
      <c r="A228" s="61">
        <v>31</v>
      </c>
      <c r="B228" s="290" t="s">
        <v>454</v>
      </c>
      <c r="C228" s="63" t="s">
        <v>455</v>
      </c>
      <c r="D228" s="452"/>
      <c r="E228" s="443"/>
      <c r="F228" s="443"/>
      <c r="G228" s="66"/>
      <c r="H228" s="67">
        <v>0</v>
      </c>
      <c r="I228" s="67">
        <v>0</v>
      </c>
      <c r="J228" s="67">
        <v>0</v>
      </c>
      <c r="K228" s="449"/>
      <c r="L228" s="450"/>
      <c r="M228" s="451"/>
      <c r="N228" s="69"/>
      <c r="O228" s="69"/>
      <c r="P228" s="70"/>
      <c r="Q228" s="71">
        <f t="shared" si="15"/>
        <v>0</v>
      </c>
      <c r="R228" s="71">
        <v>0</v>
      </c>
      <c r="S228" s="387">
        <f t="shared" si="16"/>
        <v>0</v>
      </c>
    </row>
    <row r="229" spans="1:19" ht="22.5" customHeight="1" x14ac:dyDescent="0.5">
      <c r="A229" s="61">
        <v>32</v>
      </c>
      <c r="B229" s="290" t="s">
        <v>456</v>
      </c>
      <c r="C229" s="63" t="s">
        <v>457</v>
      </c>
      <c r="D229" s="452"/>
      <c r="E229" s="443" t="s">
        <v>795</v>
      </c>
      <c r="F229" s="443"/>
      <c r="G229" s="66"/>
      <c r="H229" s="67">
        <v>1064.44</v>
      </c>
      <c r="I229" s="67">
        <v>0</v>
      </c>
      <c r="J229" s="67">
        <v>1064.44</v>
      </c>
      <c r="K229" s="449">
        <v>25208</v>
      </c>
      <c r="L229" s="450" t="s">
        <v>1057</v>
      </c>
      <c r="M229" s="451">
        <v>1064.44</v>
      </c>
      <c r="N229" s="69"/>
      <c r="O229" s="69"/>
      <c r="P229" s="70"/>
      <c r="Q229" s="71">
        <f t="shared" si="15"/>
        <v>0</v>
      </c>
      <c r="R229" s="71">
        <v>0</v>
      </c>
      <c r="S229" s="387">
        <f t="shared" si="16"/>
        <v>0</v>
      </c>
    </row>
    <row r="230" spans="1:19" ht="22.5" customHeight="1" x14ac:dyDescent="0.5">
      <c r="A230" s="61">
        <v>33</v>
      </c>
      <c r="B230" s="290" t="s">
        <v>458</v>
      </c>
      <c r="C230" s="63" t="s">
        <v>459</v>
      </c>
      <c r="D230" s="452"/>
      <c r="E230" s="443"/>
      <c r="F230" s="443"/>
      <c r="G230" s="66"/>
      <c r="H230" s="67">
        <v>0</v>
      </c>
      <c r="I230" s="67">
        <v>0</v>
      </c>
      <c r="J230" s="67">
        <v>0</v>
      </c>
      <c r="K230" s="449"/>
      <c r="L230" s="450"/>
      <c r="M230" s="451"/>
      <c r="N230" s="69"/>
      <c r="O230" s="69"/>
      <c r="P230" s="70"/>
      <c r="Q230" s="71">
        <f t="shared" si="15"/>
        <v>0</v>
      </c>
      <c r="R230" s="71">
        <v>0</v>
      </c>
      <c r="S230" s="387">
        <f t="shared" si="16"/>
        <v>0</v>
      </c>
    </row>
    <row r="231" spans="1:19" ht="22.5" customHeight="1" x14ac:dyDescent="0.5">
      <c r="A231" s="61">
        <v>34</v>
      </c>
      <c r="B231" s="290" t="s">
        <v>460</v>
      </c>
      <c r="C231" s="63" t="s">
        <v>461</v>
      </c>
      <c r="D231" s="452"/>
      <c r="E231" s="443"/>
      <c r="F231" s="443"/>
      <c r="G231" s="66"/>
      <c r="H231" s="67">
        <v>0</v>
      </c>
      <c r="I231" s="67">
        <v>0</v>
      </c>
      <c r="J231" s="67">
        <v>0</v>
      </c>
      <c r="K231" s="449"/>
      <c r="L231" s="450"/>
      <c r="M231" s="451"/>
      <c r="N231" s="69"/>
      <c r="O231" s="69"/>
      <c r="P231" s="70"/>
      <c r="Q231" s="71">
        <f t="shared" si="15"/>
        <v>0</v>
      </c>
      <c r="R231" s="71">
        <v>0</v>
      </c>
      <c r="S231" s="387">
        <f t="shared" si="16"/>
        <v>0</v>
      </c>
    </row>
    <row r="232" spans="1:19" ht="22.5" customHeight="1" x14ac:dyDescent="0.5">
      <c r="A232" s="61">
        <v>35</v>
      </c>
      <c r="B232" s="290" t="s">
        <v>463</v>
      </c>
      <c r="C232" s="63" t="s">
        <v>464</v>
      </c>
      <c r="D232" s="452"/>
      <c r="E232" s="443" t="s">
        <v>795</v>
      </c>
      <c r="F232" s="443"/>
      <c r="G232" s="66"/>
      <c r="H232" s="67">
        <v>1064.44</v>
      </c>
      <c r="I232" s="67">
        <v>0</v>
      </c>
      <c r="J232" s="67">
        <v>1064.44</v>
      </c>
      <c r="K232" s="449"/>
      <c r="L232" s="450"/>
      <c r="M232" s="451"/>
      <c r="N232" s="69" t="s">
        <v>795</v>
      </c>
      <c r="O232" s="69"/>
      <c r="P232" s="70"/>
      <c r="Q232" s="71">
        <f t="shared" si="15"/>
        <v>1064.44</v>
      </c>
      <c r="R232" s="71">
        <v>0</v>
      </c>
      <c r="S232" s="387">
        <f t="shared" si="16"/>
        <v>1064.44</v>
      </c>
    </row>
    <row r="233" spans="1:19" ht="22.5" customHeight="1" x14ac:dyDescent="0.5">
      <c r="A233" s="61">
        <v>36</v>
      </c>
      <c r="B233" s="290" t="s">
        <v>465</v>
      </c>
      <c r="C233" s="63" t="s">
        <v>466</v>
      </c>
      <c r="D233" s="452"/>
      <c r="E233" s="443"/>
      <c r="F233" s="443"/>
      <c r="G233" s="66"/>
      <c r="H233" s="67">
        <v>0</v>
      </c>
      <c r="I233" s="67">
        <v>0</v>
      </c>
      <c r="J233" s="67">
        <v>0</v>
      </c>
      <c r="K233" s="449"/>
      <c r="L233" s="450"/>
      <c r="M233" s="451"/>
      <c r="N233" s="69"/>
      <c r="O233" s="69"/>
      <c r="P233" s="70"/>
      <c r="Q233" s="71">
        <f t="shared" si="15"/>
        <v>0</v>
      </c>
      <c r="R233" s="71">
        <v>0</v>
      </c>
      <c r="S233" s="387">
        <f t="shared" si="16"/>
        <v>0</v>
      </c>
    </row>
    <row r="234" spans="1:19" ht="22.5" customHeight="1" x14ac:dyDescent="0.5">
      <c r="A234" s="61">
        <v>37</v>
      </c>
      <c r="B234" s="290" t="s">
        <v>467</v>
      </c>
      <c r="C234" s="63" t="s">
        <v>468</v>
      </c>
      <c r="D234" s="452"/>
      <c r="E234" s="443"/>
      <c r="F234" s="443"/>
      <c r="G234" s="66"/>
      <c r="H234" s="67">
        <v>0</v>
      </c>
      <c r="I234" s="67">
        <v>0</v>
      </c>
      <c r="J234" s="67">
        <v>0</v>
      </c>
      <c r="K234" s="449"/>
      <c r="L234" s="450"/>
      <c r="M234" s="451"/>
      <c r="N234" s="69"/>
      <c r="O234" s="69"/>
      <c r="P234" s="70"/>
      <c r="Q234" s="71">
        <f t="shared" si="15"/>
        <v>0</v>
      </c>
      <c r="R234" s="71">
        <v>0</v>
      </c>
      <c r="S234" s="387">
        <f t="shared" si="16"/>
        <v>0</v>
      </c>
    </row>
    <row r="235" spans="1:19" ht="22.5" customHeight="1" x14ac:dyDescent="0.5">
      <c r="A235" s="61">
        <v>38</v>
      </c>
      <c r="B235" s="290" t="s">
        <v>469</v>
      </c>
      <c r="C235" s="63" t="s">
        <v>470</v>
      </c>
      <c r="D235" s="452"/>
      <c r="E235" s="443"/>
      <c r="F235" s="443"/>
      <c r="G235" s="66"/>
      <c r="H235" s="67">
        <v>0</v>
      </c>
      <c r="I235" s="67">
        <v>0</v>
      </c>
      <c r="J235" s="67">
        <v>0</v>
      </c>
      <c r="K235" s="449"/>
      <c r="L235" s="450"/>
      <c r="M235" s="451"/>
      <c r="N235" s="69"/>
      <c r="O235" s="69"/>
      <c r="P235" s="70"/>
      <c r="Q235" s="71">
        <f t="shared" si="15"/>
        <v>0</v>
      </c>
      <c r="R235" s="71">
        <v>0</v>
      </c>
      <c r="S235" s="387">
        <f t="shared" si="16"/>
        <v>0</v>
      </c>
    </row>
    <row r="236" spans="1:19" ht="22.5" customHeight="1" x14ac:dyDescent="0.5">
      <c r="A236" s="61">
        <v>39</v>
      </c>
      <c r="B236" s="290" t="s">
        <v>471</v>
      </c>
      <c r="C236" s="63" t="s">
        <v>472</v>
      </c>
      <c r="D236" s="452"/>
      <c r="E236" s="443"/>
      <c r="F236" s="443"/>
      <c r="G236" s="66"/>
      <c r="H236" s="67">
        <v>0</v>
      </c>
      <c r="I236" s="67">
        <v>0</v>
      </c>
      <c r="J236" s="67">
        <v>0</v>
      </c>
      <c r="K236" s="449"/>
      <c r="L236" s="450"/>
      <c r="M236" s="451"/>
      <c r="N236" s="69"/>
      <c r="O236" s="69"/>
      <c r="P236" s="70"/>
      <c r="Q236" s="71">
        <f t="shared" si="15"/>
        <v>0</v>
      </c>
      <c r="R236" s="71">
        <v>0</v>
      </c>
      <c r="S236" s="387">
        <f t="shared" si="16"/>
        <v>0</v>
      </c>
    </row>
    <row r="237" spans="1:19" ht="22.5" customHeight="1" x14ac:dyDescent="0.5">
      <c r="A237" s="61">
        <v>40</v>
      </c>
      <c r="B237" s="290" t="s">
        <v>473</v>
      </c>
      <c r="C237" s="63" t="s">
        <v>474</v>
      </c>
      <c r="D237" s="452"/>
      <c r="E237" s="443"/>
      <c r="F237" s="443"/>
      <c r="G237" s="66"/>
      <c r="H237" s="67">
        <v>0</v>
      </c>
      <c r="I237" s="67">
        <v>0</v>
      </c>
      <c r="J237" s="67">
        <v>0</v>
      </c>
      <c r="K237" s="449"/>
      <c r="L237" s="450"/>
      <c r="M237" s="451"/>
      <c r="N237" s="69"/>
      <c r="O237" s="69"/>
      <c r="P237" s="70"/>
      <c r="Q237" s="71">
        <f t="shared" si="15"/>
        <v>0</v>
      </c>
      <c r="R237" s="71">
        <v>0</v>
      </c>
      <c r="S237" s="387">
        <f t="shared" si="16"/>
        <v>0</v>
      </c>
    </row>
    <row r="238" spans="1:19" ht="22.5" customHeight="1" x14ac:dyDescent="0.5">
      <c r="A238" s="61">
        <v>41</v>
      </c>
      <c r="B238" s="290" t="s">
        <v>475</v>
      </c>
      <c r="C238" s="63" t="s">
        <v>476</v>
      </c>
      <c r="D238" s="452"/>
      <c r="E238" s="443"/>
      <c r="F238" s="443"/>
      <c r="G238" s="66"/>
      <c r="H238" s="67">
        <v>0</v>
      </c>
      <c r="I238" s="67">
        <v>0</v>
      </c>
      <c r="J238" s="67">
        <v>0</v>
      </c>
      <c r="K238" s="449"/>
      <c r="L238" s="450"/>
      <c r="M238" s="451"/>
      <c r="N238" s="69"/>
      <c r="O238" s="69"/>
      <c r="P238" s="70"/>
      <c r="Q238" s="71">
        <f t="shared" si="15"/>
        <v>0</v>
      </c>
      <c r="R238" s="71">
        <v>0</v>
      </c>
      <c r="S238" s="387">
        <f t="shared" si="16"/>
        <v>0</v>
      </c>
    </row>
    <row r="239" spans="1:19" ht="22.5" customHeight="1" x14ac:dyDescent="0.5">
      <c r="A239" s="61">
        <v>42</v>
      </c>
      <c r="B239" s="290" t="s">
        <v>477</v>
      </c>
      <c r="C239" s="63" t="s">
        <v>478</v>
      </c>
      <c r="D239" s="452"/>
      <c r="E239" s="443"/>
      <c r="F239" s="443"/>
      <c r="G239" s="66"/>
      <c r="H239" s="67">
        <v>0</v>
      </c>
      <c r="I239" s="67">
        <v>0</v>
      </c>
      <c r="J239" s="67">
        <v>0</v>
      </c>
      <c r="K239" s="449"/>
      <c r="L239" s="450"/>
      <c r="M239" s="451"/>
      <c r="N239" s="69"/>
      <c r="O239" s="69"/>
      <c r="P239" s="70"/>
      <c r="Q239" s="71">
        <f t="shared" si="15"/>
        <v>0</v>
      </c>
      <c r="R239" s="71">
        <v>0</v>
      </c>
      <c r="S239" s="387">
        <f t="shared" si="16"/>
        <v>0</v>
      </c>
    </row>
    <row r="240" spans="1:19" ht="22.5" customHeight="1" x14ac:dyDescent="0.5">
      <c r="A240" s="61">
        <v>43</v>
      </c>
      <c r="B240" s="290" t="s">
        <v>479</v>
      </c>
      <c r="C240" s="63" t="s">
        <v>480</v>
      </c>
      <c r="D240" s="452"/>
      <c r="E240" s="443"/>
      <c r="F240" s="443"/>
      <c r="G240" s="66"/>
      <c r="H240" s="67">
        <v>0</v>
      </c>
      <c r="I240" s="67">
        <v>0</v>
      </c>
      <c r="J240" s="67">
        <v>0</v>
      </c>
      <c r="K240" s="449"/>
      <c r="L240" s="450"/>
      <c r="M240" s="451"/>
      <c r="N240" s="69"/>
      <c r="O240" s="69"/>
      <c r="P240" s="70"/>
      <c r="Q240" s="71">
        <f t="shared" si="15"/>
        <v>0</v>
      </c>
      <c r="R240" s="71">
        <v>0</v>
      </c>
      <c r="S240" s="387">
        <f t="shared" si="16"/>
        <v>0</v>
      </c>
    </row>
    <row r="241" spans="1:20" ht="22.5" customHeight="1" x14ac:dyDescent="0.5">
      <c r="A241" s="61">
        <v>44</v>
      </c>
      <c r="B241" s="290" t="s">
        <v>482</v>
      </c>
      <c r="C241" s="63" t="s">
        <v>483</v>
      </c>
      <c r="D241" s="452"/>
      <c r="E241" s="443"/>
      <c r="F241" s="443"/>
      <c r="G241" s="66"/>
      <c r="H241" s="67">
        <v>0</v>
      </c>
      <c r="I241" s="67">
        <v>0</v>
      </c>
      <c r="J241" s="67">
        <v>0</v>
      </c>
      <c r="K241" s="449"/>
      <c r="L241" s="450"/>
      <c r="M241" s="451"/>
      <c r="N241" s="69"/>
      <c r="O241" s="69"/>
      <c r="P241" s="70"/>
      <c r="Q241" s="71">
        <f t="shared" si="15"/>
        <v>0</v>
      </c>
      <c r="R241" s="71">
        <v>0</v>
      </c>
      <c r="S241" s="387">
        <f t="shared" si="16"/>
        <v>0</v>
      </c>
    </row>
    <row r="242" spans="1:20" ht="22.5" customHeight="1" x14ac:dyDescent="0.5">
      <c r="A242" s="61">
        <v>45</v>
      </c>
      <c r="B242" s="290" t="s">
        <v>484</v>
      </c>
      <c r="C242" s="63" t="s">
        <v>485</v>
      </c>
      <c r="D242" s="452"/>
      <c r="E242" s="443"/>
      <c r="F242" s="443"/>
      <c r="G242" s="66"/>
      <c r="H242" s="67">
        <v>0</v>
      </c>
      <c r="I242" s="67">
        <v>0</v>
      </c>
      <c r="J242" s="67">
        <v>0</v>
      </c>
      <c r="K242" s="449"/>
      <c r="L242" s="450"/>
      <c r="M242" s="451"/>
      <c r="N242" s="69"/>
      <c r="O242" s="69"/>
      <c r="P242" s="70"/>
      <c r="Q242" s="71">
        <f t="shared" si="15"/>
        <v>0</v>
      </c>
      <c r="R242" s="71">
        <v>0</v>
      </c>
      <c r="S242" s="387">
        <f t="shared" si="16"/>
        <v>0</v>
      </c>
    </row>
    <row r="243" spans="1:20" ht="22.5" customHeight="1" x14ac:dyDescent="0.5">
      <c r="A243" s="23">
        <v>46</v>
      </c>
      <c r="B243" s="290" t="s">
        <v>486</v>
      </c>
      <c r="C243" s="25" t="s">
        <v>487</v>
      </c>
      <c r="D243" s="452"/>
      <c r="E243" s="454"/>
      <c r="F243" s="454"/>
      <c r="G243" s="213"/>
      <c r="H243" s="219">
        <v>0</v>
      </c>
      <c r="I243" s="219">
        <v>0</v>
      </c>
      <c r="J243" s="219">
        <v>0</v>
      </c>
      <c r="K243" s="449"/>
      <c r="L243" s="450"/>
      <c r="M243" s="451"/>
      <c r="N243" s="41"/>
      <c r="O243" s="41"/>
      <c r="P243" s="34"/>
      <c r="Q243" s="71">
        <f t="shared" si="15"/>
        <v>0</v>
      </c>
      <c r="R243" s="71">
        <v>0</v>
      </c>
      <c r="S243" s="387">
        <f t="shared" si="16"/>
        <v>0</v>
      </c>
    </row>
    <row r="244" spans="1:20" ht="22.5" customHeight="1" x14ac:dyDescent="0.5">
      <c r="A244" s="61">
        <v>47</v>
      </c>
      <c r="B244" s="392" t="s">
        <v>489</v>
      </c>
      <c r="C244" s="63" t="s">
        <v>490</v>
      </c>
      <c r="D244" s="452"/>
      <c r="E244" s="443"/>
      <c r="F244" s="443"/>
      <c r="G244" s="66"/>
      <c r="H244" s="67">
        <v>0</v>
      </c>
      <c r="I244" s="67">
        <v>0</v>
      </c>
      <c r="J244" s="67">
        <v>0</v>
      </c>
      <c r="K244" s="449"/>
      <c r="L244" s="450"/>
      <c r="M244" s="451"/>
      <c r="N244" s="69"/>
      <c r="O244" s="69"/>
      <c r="P244" s="70"/>
      <c r="Q244" s="71">
        <f t="shared" si="15"/>
        <v>0</v>
      </c>
      <c r="R244" s="71">
        <v>0</v>
      </c>
      <c r="S244" s="387">
        <f t="shared" si="16"/>
        <v>0</v>
      </c>
    </row>
    <row r="245" spans="1:20" ht="22.5" customHeight="1" x14ac:dyDescent="0.5">
      <c r="A245" s="23">
        <v>48</v>
      </c>
      <c r="B245" s="290" t="s">
        <v>491</v>
      </c>
      <c r="C245" s="25" t="s">
        <v>492</v>
      </c>
      <c r="D245" s="452"/>
      <c r="E245" s="454"/>
      <c r="F245" s="454"/>
      <c r="G245" s="213"/>
      <c r="H245" s="219">
        <v>0</v>
      </c>
      <c r="I245" s="219">
        <v>0</v>
      </c>
      <c r="J245" s="219">
        <v>0</v>
      </c>
      <c r="K245" s="449"/>
      <c r="L245" s="450"/>
      <c r="M245" s="451"/>
      <c r="N245" s="41"/>
      <c r="O245" s="41"/>
      <c r="P245" s="34"/>
      <c r="Q245" s="71">
        <f t="shared" si="15"/>
        <v>0</v>
      </c>
      <c r="R245" s="71">
        <v>0</v>
      </c>
      <c r="S245" s="387">
        <f t="shared" si="16"/>
        <v>0</v>
      </c>
    </row>
    <row r="246" spans="1:20" ht="22.5" customHeight="1" x14ac:dyDescent="0.5">
      <c r="A246" s="23">
        <v>49</v>
      </c>
      <c r="B246" s="290" t="s">
        <v>493</v>
      </c>
      <c r="C246" s="25" t="s">
        <v>494</v>
      </c>
      <c r="D246" s="452"/>
      <c r="E246" s="454" t="s">
        <v>795</v>
      </c>
      <c r="F246" s="454"/>
      <c r="G246" s="213"/>
      <c r="H246" s="219">
        <v>2061.84</v>
      </c>
      <c r="I246" s="219">
        <v>0</v>
      </c>
      <c r="J246" s="219">
        <v>2061.84</v>
      </c>
      <c r="K246" s="449"/>
      <c r="L246" s="450"/>
      <c r="M246" s="451"/>
      <c r="N246" s="41" t="s">
        <v>795</v>
      </c>
      <c r="O246" s="41"/>
      <c r="P246" s="34"/>
      <c r="Q246" s="71">
        <f t="shared" si="15"/>
        <v>2061.84</v>
      </c>
      <c r="R246" s="71">
        <v>0</v>
      </c>
      <c r="S246" s="387">
        <f t="shared" si="16"/>
        <v>2061.84</v>
      </c>
    </row>
    <row r="247" spans="1:20" ht="22.5" customHeight="1" x14ac:dyDescent="0.5">
      <c r="A247" s="23">
        <v>50</v>
      </c>
      <c r="B247" s="290" t="s">
        <v>495</v>
      </c>
      <c r="C247" s="25" t="s">
        <v>496</v>
      </c>
      <c r="D247" s="452"/>
      <c r="E247" s="454" t="s">
        <v>795</v>
      </c>
      <c r="F247" s="454"/>
      <c r="G247" s="213"/>
      <c r="H247" s="219">
        <v>20595.900000000001</v>
      </c>
      <c r="I247" s="219">
        <v>0</v>
      </c>
      <c r="J247" s="219">
        <v>20595.900000000001</v>
      </c>
      <c r="K247" s="449"/>
      <c r="L247" s="450"/>
      <c r="M247" s="451"/>
      <c r="N247" s="41" t="s">
        <v>795</v>
      </c>
      <c r="O247" s="41"/>
      <c r="P247" s="34"/>
      <c r="Q247" s="71">
        <f t="shared" si="15"/>
        <v>20595.900000000001</v>
      </c>
      <c r="R247" s="71">
        <v>0</v>
      </c>
      <c r="S247" s="387">
        <f t="shared" si="16"/>
        <v>20595.900000000001</v>
      </c>
    </row>
    <row r="248" spans="1:20" s="60" customFormat="1" ht="22.5" customHeight="1" thickBot="1" x14ac:dyDescent="0.35">
      <c r="A248" s="362"/>
      <c r="B248" s="362" t="s">
        <v>15</v>
      </c>
      <c r="C248" s="455"/>
      <c r="D248" s="456">
        <v>0</v>
      </c>
      <c r="E248" s="362"/>
      <c r="F248" s="362"/>
      <c r="G248" s="363"/>
      <c r="H248" s="456">
        <f>SUM(H196:H247)</f>
        <v>46326.65</v>
      </c>
      <c r="I248" s="456">
        <f>SUM(I196:I247)</f>
        <v>0</v>
      </c>
      <c r="J248" s="456">
        <f>SUM(J196:J247)</f>
        <v>46326.65</v>
      </c>
      <c r="K248" s="457"/>
      <c r="L248" s="458"/>
      <c r="M248" s="458">
        <f>SUM(M196:M247)</f>
        <v>12953.04</v>
      </c>
      <c r="N248" s="362"/>
      <c r="O248" s="362"/>
      <c r="P248" s="363"/>
      <c r="Q248" s="364">
        <f>SUM(Q196:Q247)</f>
        <v>33373.61</v>
      </c>
      <c r="R248" s="364">
        <f>SUM(R196:R247)</f>
        <v>0</v>
      </c>
      <c r="S248" s="364">
        <f>SUM(S196:S247)</f>
        <v>33373.61</v>
      </c>
    </row>
    <row r="249" spans="1:20" s="60" customFormat="1" ht="22.5" customHeight="1" thickTop="1" thickBot="1" x14ac:dyDescent="0.35">
      <c r="A249" s="459"/>
      <c r="B249" s="460" t="s">
        <v>497</v>
      </c>
      <c r="C249" s="461"/>
      <c r="D249" s="462">
        <f>SUM(D12+D27+D31+D35+D38+D42+D111+D155+D165+D173+D182+D186+D189+D193+D248)</f>
        <v>1170132.97</v>
      </c>
      <c r="E249" s="462">
        <f>SUM(E12+E27+E31+E35+E38+E42+E111+E155+E165+E173+E182+E186+E189+E193+E248)</f>
        <v>0</v>
      </c>
      <c r="F249" s="462"/>
      <c r="G249" s="462">
        <f t="shared" ref="G249:N249" si="17">SUM(G12+G27+G31+G35+G38+G42+G111+G155+G165+G173+G182+G186+G189+G193+G248)</f>
        <v>0</v>
      </c>
      <c r="H249" s="462">
        <f t="shared" si="17"/>
        <v>237856.64775700934</v>
      </c>
      <c r="I249" s="462">
        <f t="shared" si="17"/>
        <v>9035.8998429906533</v>
      </c>
      <c r="J249" s="462">
        <f t="shared" si="17"/>
        <v>246877.54759999996</v>
      </c>
      <c r="K249" s="462">
        <f t="shared" si="17"/>
        <v>0</v>
      </c>
      <c r="L249" s="462">
        <f t="shared" si="17"/>
        <v>0</v>
      </c>
      <c r="M249" s="462">
        <f t="shared" si="17"/>
        <v>1145190.51</v>
      </c>
      <c r="N249" s="462">
        <f t="shared" si="17"/>
        <v>0</v>
      </c>
      <c r="O249" s="462"/>
      <c r="P249" s="462">
        <f>SUM(P12+P27+P31+P35+P38+P42+P111+P155+P165+P173+P182+P186+P189+P193+P248)</f>
        <v>0</v>
      </c>
      <c r="Q249" s="462">
        <f>SUM(Q12+Q27+Q31+Q35+Q38+Q42+Q111+Q155+Q165+Q173+Q182+Q186+Q189+Q193+Q248)</f>
        <v>259853.60775700933</v>
      </c>
      <c r="R249" s="462">
        <f>SUM(R12+R27+R31+R35+R38+R42+R111+R155+R165+R173+R182+R186+R189+R193+R248)</f>
        <v>10466.399842990655</v>
      </c>
      <c r="S249" s="462">
        <f>SUM(S12+S27+S31+S35+S38+S42+S111+S155+S165+S173+S182+S186+S189+S193+S248)</f>
        <v>270320.00760000001</v>
      </c>
    </row>
    <row r="250" spans="1:20" ht="22.5" customHeight="1" thickTop="1" x14ac:dyDescent="0.3">
      <c r="E250" s="469"/>
      <c r="F250" s="469"/>
      <c r="G250" s="470"/>
      <c r="H250" s="3"/>
      <c r="I250" s="3"/>
      <c r="J250" s="3"/>
      <c r="N250" s="3"/>
      <c r="O250" s="3"/>
      <c r="P250" s="470"/>
      <c r="Q250" s="471"/>
      <c r="R250" s="471"/>
      <c r="S250" s="472"/>
    </row>
    <row r="251" spans="1:20" ht="22.5" customHeight="1" x14ac:dyDescent="0.3">
      <c r="A251" s="1123" t="s">
        <v>498</v>
      </c>
      <c r="B251" s="1124"/>
      <c r="C251" s="1124"/>
      <c r="D251" s="1124"/>
      <c r="E251" s="1124"/>
      <c r="F251" s="1124"/>
      <c r="G251" s="1124"/>
      <c r="H251" s="1124"/>
      <c r="I251" s="1124"/>
      <c r="J251" s="1124"/>
      <c r="K251" s="1124"/>
      <c r="L251" s="1124"/>
      <c r="M251" s="1124"/>
      <c r="N251" s="1124"/>
      <c r="O251" s="1124"/>
      <c r="P251" s="1124"/>
      <c r="Q251" s="1124"/>
      <c r="R251" s="1124"/>
      <c r="S251" s="1125"/>
      <c r="T251" s="2"/>
    </row>
    <row r="252" spans="1:20" ht="22.5" customHeight="1" x14ac:dyDescent="0.3">
      <c r="A252" s="115"/>
      <c r="B252" s="164" t="s">
        <v>499</v>
      </c>
      <c r="C252" s="165"/>
      <c r="D252" s="86"/>
      <c r="E252" s="167"/>
      <c r="F252" s="167"/>
      <c r="G252" s="168"/>
      <c r="H252" s="473"/>
      <c r="I252" s="473"/>
      <c r="J252" s="473"/>
      <c r="K252" s="170"/>
      <c r="L252" s="171"/>
      <c r="M252" s="86"/>
      <c r="N252" s="117"/>
      <c r="O252" s="117"/>
      <c r="P252" s="118"/>
      <c r="Q252" s="474"/>
      <c r="R252" s="474"/>
      <c r="S252" s="370"/>
      <c r="T252" s="2"/>
    </row>
    <row r="253" spans="1:20" ht="22.5" customHeight="1" x14ac:dyDescent="0.3">
      <c r="A253" s="475">
        <v>1</v>
      </c>
      <c r="B253" s="476" t="s">
        <v>500</v>
      </c>
      <c r="C253" s="477" t="s">
        <v>501</v>
      </c>
      <c r="D253" s="478">
        <v>0</v>
      </c>
      <c r="E253" s="479"/>
      <c r="F253" s="479"/>
      <c r="G253" s="480"/>
      <c r="H253" s="481">
        <v>325409.68</v>
      </c>
      <c r="I253" s="482"/>
      <c r="J253" s="481">
        <v>325409.68</v>
      </c>
      <c r="K253" s="303"/>
      <c r="L253" s="303"/>
      <c r="M253" s="483"/>
      <c r="N253" s="484"/>
      <c r="O253" s="484"/>
      <c r="P253" s="485"/>
      <c r="Q253" s="486">
        <v>325409.68</v>
      </c>
      <c r="R253" s="486"/>
      <c r="S253" s="487">
        <v>325409.68</v>
      </c>
      <c r="T253" s="2" t="s">
        <v>502</v>
      </c>
    </row>
    <row r="254" spans="1:20" ht="22.5" customHeight="1" x14ac:dyDescent="0.3">
      <c r="A254" s="488"/>
      <c r="B254" s="489" t="s">
        <v>503</v>
      </c>
      <c r="C254" s="490"/>
      <c r="D254" s="491"/>
      <c r="E254" s="479"/>
      <c r="F254" s="479"/>
      <c r="G254" s="480"/>
      <c r="H254" s="481"/>
      <c r="I254" s="482"/>
      <c r="J254" s="481"/>
      <c r="K254" s="492"/>
      <c r="L254" s="492"/>
      <c r="M254" s="493"/>
      <c r="N254" s="484"/>
      <c r="O254" s="892"/>
      <c r="P254" s="494"/>
      <c r="Q254" s="495"/>
      <c r="R254" s="486"/>
      <c r="S254" s="487"/>
      <c r="T254" s="2"/>
    </row>
    <row r="255" spans="1:20" ht="22.5" customHeight="1" x14ac:dyDescent="0.3">
      <c r="A255" s="475">
        <v>2</v>
      </c>
      <c r="B255" s="476" t="s">
        <v>504</v>
      </c>
      <c r="C255" s="477" t="s">
        <v>415</v>
      </c>
      <c r="D255" s="478">
        <v>0</v>
      </c>
      <c r="E255" s="479"/>
      <c r="F255" s="479"/>
      <c r="G255" s="480"/>
      <c r="H255" s="481">
        <v>74600.88</v>
      </c>
      <c r="I255" s="482">
        <v>0</v>
      </c>
      <c r="J255" s="481">
        <v>74600.88</v>
      </c>
      <c r="K255" s="492"/>
      <c r="L255" s="492"/>
      <c r="M255" s="493"/>
      <c r="N255" s="484"/>
      <c r="O255" s="892"/>
      <c r="P255" s="494"/>
      <c r="Q255" s="495">
        <v>74600.88</v>
      </c>
      <c r="R255" s="496">
        <v>0</v>
      </c>
      <c r="S255" s="497">
        <v>74600.88</v>
      </c>
      <c r="T255" s="2"/>
    </row>
    <row r="256" spans="1:20" ht="22.5" customHeight="1" x14ac:dyDescent="0.3">
      <c r="A256" s="475"/>
      <c r="B256" s="489" t="s">
        <v>505</v>
      </c>
      <c r="C256" s="498"/>
      <c r="D256" s="499"/>
      <c r="E256" s="500"/>
      <c r="F256" s="889"/>
      <c r="G256" s="501"/>
      <c r="H256" s="481"/>
      <c r="I256" s="482"/>
      <c r="J256" s="481"/>
      <c r="K256" s="492"/>
      <c r="L256" s="492"/>
      <c r="M256" s="493"/>
      <c r="N256" s="484"/>
      <c r="O256" s="892"/>
      <c r="P256" s="494"/>
      <c r="Q256" s="495"/>
      <c r="R256" s="496"/>
      <c r="S256" s="497"/>
      <c r="T256" s="2"/>
    </row>
    <row r="257" spans="1:22" ht="22.5" customHeight="1" x14ac:dyDescent="0.3">
      <c r="A257" s="502">
        <v>3</v>
      </c>
      <c r="B257" s="503" t="s">
        <v>506</v>
      </c>
      <c r="C257" s="504" t="s">
        <v>507</v>
      </c>
      <c r="D257" s="505">
        <v>0</v>
      </c>
      <c r="E257" s="506"/>
      <c r="F257" s="890"/>
      <c r="G257" s="507"/>
      <c r="H257" s="508">
        <v>32500</v>
      </c>
      <c r="I257" s="508">
        <v>0</v>
      </c>
      <c r="J257" s="508">
        <v>32500</v>
      </c>
      <c r="K257" s="492"/>
      <c r="L257" s="492"/>
      <c r="M257" s="298"/>
      <c r="N257" s="509"/>
      <c r="O257" s="893"/>
      <c r="P257" s="510"/>
      <c r="Q257" s="511">
        <v>32500</v>
      </c>
      <c r="R257" s="512">
        <v>0</v>
      </c>
      <c r="S257" s="513">
        <v>32500</v>
      </c>
      <c r="T257" s="2"/>
    </row>
    <row r="258" spans="1:22" ht="22.5" customHeight="1" x14ac:dyDescent="0.3">
      <c r="A258" s="488"/>
      <c r="B258" s="489" t="s">
        <v>508</v>
      </c>
      <c r="C258" s="514"/>
      <c r="D258" s="515"/>
      <c r="E258" s="516"/>
      <c r="F258" s="516"/>
      <c r="G258" s="517"/>
      <c r="H258" s="518"/>
      <c r="I258" s="519"/>
      <c r="J258" s="518"/>
      <c r="K258" s="492"/>
      <c r="L258" s="492"/>
      <c r="M258" s="493"/>
      <c r="N258" s="520"/>
      <c r="O258" s="520"/>
      <c r="P258" s="521"/>
      <c r="Q258" s="522"/>
      <c r="R258" s="523"/>
      <c r="S258" s="524"/>
    </row>
    <row r="259" spans="1:22" ht="22.5" customHeight="1" x14ac:dyDescent="0.3">
      <c r="A259" s="488">
        <v>4</v>
      </c>
      <c r="B259" s="525" t="s">
        <v>509</v>
      </c>
      <c r="C259" s="526" t="s">
        <v>510</v>
      </c>
      <c r="D259" s="515"/>
      <c r="E259" s="527"/>
      <c r="F259" s="527"/>
      <c r="G259" s="517"/>
      <c r="H259" s="528">
        <v>796450.4</v>
      </c>
      <c r="I259" s="519"/>
      <c r="J259" s="528">
        <v>796450.4</v>
      </c>
      <c r="K259" s="515"/>
      <c r="L259" s="492"/>
      <c r="M259" s="493"/>
      <c r="N259" s="521"/>
      <c r="O259" s="529"/>
      <c r="P259" s="529"/>
      <c r="Q259" s="530">
        <v>796450.4</v>
      </c>
      <c r="R259" s="531"/>
      <c r="S259" s="532">
        <v>796450.4</v>
      </c>
    </row>
    <row r="260" spans="1:22" ht="22.5" customHeight="1" x14ac:dyDescent="0.3">
      <c r="A260" s="533"/>
      <c r="B260" s="534" t="s">
        <v>509</v>
      </c>
      <c r="C260" s="535" t="s">
        <v>511</v>
      </c>
      <c r="D260" s="536"/>
      <c r="E260" s="537"/>
      <c r="F260" s="537"/>
      <c r="G260" s="538"/>
      <c r="H260" s="539">
        <v>93330</v>
      </c>
      <c r="I260" s="540"/>
      <c r="J260" s="539">
        <v>93330</v>
      </c>
      <c r="K260" s="536"/>
      <c r="L260" s="541"/>
      <c r="M260" s="542"/>
      <c r="N260" s="543"/>
      <c r="O260" s="544"/>
      <c r="P260" s="544"/>
      <c r="Q260" s="545">
        <v>93330</v>
      </c>
      <c r="R260" s="546"/>
      <c r="S260" s="547">
        <v>93330</v>
      </c>
    </row>
    <row r="261" spans="1:22" s="60" customFormat="1" ht="22.5" customHeight="1" thickBot="1" x14ac:dyDescent="0.35">
      <c r="A261" s="548"/>
      <c r="B261" s="548" t="s">
        <v>15</v>
      </c>
      <c r="C261" s="549"/>
      <c r="D261" s="550">
        <v>0</v>
      </c>
      <c r="E261" s="551"/>
      <c r="F261" s="551"/>
      <c r="G261" s="552"/>
      <c r="H261" s="553">
        <f>SUM(H253:H260)</f>
        <v>1322290.96</v>
      </c>
      <c r="I261" s="553">
        <v>0</v>
      </c>
      <c r="J261" s="553">
        <v>1322290.96</v>
      </c>
      <c r="K261" s="554"/>
      <c r="L261" s="554"/>
      <c r="M261" s="550">
        <v>0</v>
      </c>
      <c r="N261" s="555"/>
      <c r="O261" s="555"/>
      <c r="P261" s="556"/>
      <c r="Q261" s="557">
        <v>1322290.96</v>
      </c>
      <c r="R261" s="557">
        <v>0</v>
      </c>
      <c r="S261" s="558">
        <f>SUM(S253:S260)</f>
        <v>1322290.96</v>
      </c>
      <c r="T261" s="59"/>
    </row>
    <row r="262" spans="1:22" ht="22.5" customHeight="1" thickTop="1" x14ac:dyDescent="0.3">
      <c r="A262" s="559"/>
      <c r="B262" s="560" t="s">
        <v>92</v>
      </c>
      <c r="C262" s="561"/>
      <c r="D262" s="562"/>
      <c r="E262" s="563"/>
      <c r="F262" s="563"/>
      <c r="G262" s="564"/>
      <c r="H262" s="565"/>
      <c r="I262" s="565"/>
      <c r="J262" s="565"/>
      <c r="K262" s="566"/>
      <c r="L262" s="566"/>
      <c r="M262" s="562"/>
      <c r="N262" s="567"/>
      <c r="O262" s="567"/>
      <c r="P262" s="568"/>
      <c r="Q262" s="569"/>
      <c r="R262" s="569"/>
      <c r="S262" s="570"/>
      <c r="T262" s="2"/>
    </row>
    <row r="263" spans="1:22" ht="22.5" customHeight="1" x14ac:dyDescent="0.3">
      <c r="A263" s="23">
        <v>1</v>
      </c>
      <c r="B263" s="73" t="s">
        <v>512</v>
      </c>
      <c r="C263" s="25" t="s">
        <v>97</v>
      </c>
      <c r="D263" s="43">
        <v>0</v>
      </c>
      <c r="E263" s="212" t="s">
        <v>513</v>
      </c>
      <c r="F263" s="212"/>
      <c r="G263" s="213" t="s">
        <v>514</v>
      </c>
      <c r="H263" s="219">
        <v>9813.08</v>
      </c>
      <c r="I263" s="219">
        <v>686.91560000000004</v>
      </c>
      <c r="J263" s="219">
        <v>10499.9956</v>
      </c>
      <c r="K263" s="408"/>
      <c r="L263" s="408"/>
      <c r="M263" s="43"/>
      <c r="N263" s="41" t="s">
        <v>513</v>
      </c>
      <c r="O263" s="41"/>
      <c r="P263" s="34" t="s">
        <v>514</v>
      </c>
      <c r="Q263" s="114">
        <v>9813.08</v>
      </c>
      <c r="R263" s="114">
        <v>686.91560000000004</v>
      </c>
      <c r="S263" s="36">
        <v>10499.9956</v>
      </c>
      <c r="T263" s="2"/>
    </row>
    <row r="264" spans="1:22" s="60" customFormat="1" ht="22.5" customHeight="1" thickBot="1" x14ac:dyDescent="0.35">
      <c r="A264" s="548"/>
      <c r="B264" s="548" t="s">
        <v>15</v>
      </c>
      <c r="C264" s="549"/>
      <c r="D264" s="550"/>
      <c r="E264" s="571"/>
      <c r="F264" s="571"/>
      <c r="G264" s="552"/>
      <c r="H264" s="553">
        <v>9813.08</v>
      </c>
      <c r="I264" s="553">
        <v>686.91560000000004</v>
      </c>
      <c r="J264" s="553">
        <v>10499.9956</v>
      </c>
      <c r="K264" s="554"/>
      <c r="L264" s="554"/>
      <c r="M264" s="550"/>
      <c r="N264" s="548"/>
      <c r="O264" s="548"/>
      <c r="P264" s="552"/>
      <c r="Q264" s="557">
        <v>9813.08</v>
      </c>
      <c r="R264" s="557">
        <v>686.91560000000004</v>
      </c>
      <c r="S264" s="558">
        <v>10499.9956</v>
      </c>
      <c r="T264" s="59"/>
    </row>
    <row r="265" spans="1:22" s="60" customFormat="1" ht="22.5" customHeight="1" thickTop="1" thickBot="1" x14ac:dyDescent="0.35">
      <c r="A265" s="572"/>
      <c r="B265" s="572" t="s">
        <v>515</v>
      </c>
      <c r="C265" s="573"/>
      <c r="D265" s="574"/>
      <c r="E265" s="575"/>
      <c r="F265" s="575"/>
      <c r="G265" s="576"/>
      <c r="H265" s="577">
        <v>1332104.04</v>
      </c>
      <c r="I265" s="577">
        <v>686.91560000000004</v>
      </c>
      <c r="J265" s="577">
        <v>1332790.9556</v>
      </c>
      <c r="K265" s="578"/>
      <c r="L265" s="578"/>
      <c r="M265" s="579">
        <v>0</v>
      </c>
      <c r="N265" s="580"/>
      <c r="O265" s="580"/>
      <c r="P265" s="581"/>
      <c r="Q265" s="582">
        <f>SUM(Q261+Q264)</f>
        <v>1332104.04</v>
      </c>
      <c r="R265" s="582">
        <v>686.91560000000004</v>
      </c>
      <c r="S265" s="583">
        <f>SUM(S261+S264)</f>
        <v>1332790.9556</v>
      </c>
      <c r="T265" s="59"/>
    </row>
    <row r="266" spans="1:22" ht="22.5" customHeight="1" thickTop="1" x14ac:dyDescent="0.3">
      <c r="E266" s="469"/>
      <c r="F266" s="469"/>
      <c r="G266" s="470"/>
      <c r="H266" s="3"/>
      <c r="I266" s="3"/>
      <c r="J266" s="3"/>
      <c r="K266" s="584"/>
      <c r="L266" s="585"/>
      <c r="N266" s="470"/>
      <c r="O266" s="470"/>
      <c r="P266" s="586"/>
      <c r="Q266" s="471"/>
      <c r="R266" s="471"/>
      <c r="S266" s="472"/>
      <c r="T266" s="2"/>
    </row>
    <row r="267" spans="1:22" s="589" customFormat="1" ht="20.399999999999999" x14ac:dyDescent="0.5">
      <c r="A267" s="1126" t="s">
        <v>516</v>
      </c>
      <c r="B267" s="1127"/>
      <c r="C267" s="1127"/>
      <c r="D267" s="1127"/>
      <c r="E267" s="1127"/>
      <c r="F267" s="1127"/>
      <c r="G267" s="1127"/>
      <c r="H267" s="1127"/>
      <c r="I267" s="1127"/>
      <c r="J267" s="1127"/>
      <c r="K267" s="1127"/>
      <c r="L267" s="1127"/>
      <c r="M267" s="1127"/>
      <c r="N267" s="1127"/>
      <c r="O267" s="1127"/>
      <c r="P267" s="1127"/>
      <c r="Q267" s="1127"/>
      <c r="R267" s="1127"/>
      <c r="S267" s="1127"/>
      <c r="T267" s="587"/>
      <c r="U267" s="587"/>
      <c r="V267" s="588"/>
    </row>
    <row r="268" spans="1:22" s="599" customFormat="1" x14ac:dyDescent="0.6">
      <c r="A268" s="590">
        <v>1</v>
      </c>
      <c r="B268" s="591" t="s">
        <v>517</v>
      </c>
      <c r="C268" s="591" t="s">
        <v>518</v>
      </c>
      <c r="D268" s="592">
        <v>0</v>
      </c>
      <c r="E268" s="593"/>
      <c r="F268" s="593"/>
      <c r="G268" s="594"/>
      <c r="H268" s="595">
        <v>0</v>
      </c>
      <c r="I268" s="595">
        <v>0</v>
      </c>
      <c r="J268" s="595">
        <v>0</v>
      </c>
      <c r="K268" s="596"/>
      <c r="L268" s="596"/>
      <c r="M268" s="597"/>
      <c r="N268" s="598"/>
      <c r="O268" s="598"/>
      <c r="P268" s="594"/>
      <c r="Q268" s="595">
        <v>0</v>
      </c>
      <c r="R268" s="595">
        <v>0</v>
      </c>
      <c r="S268" s="595">
        <v>0</v>
      </c>
      <c r="V268" s="600"/>
    </row>
    <row r="269" spans="1:22" s="599" customFormat="1" x14ac:dyDescent="0.6">
      <c r="A269" s="601">
        <v>2</v>
      </c>
      <c r="B269" s="602" t="s">
        <v>519</v>
      </c>
      <c r="C269" s="602" t="s">
        <v>520</v>
      </c>
      <c r="D269" s="603">
        <v>0</v>
      </c>
      <c r="E269" s="604"/>
      <c r="F269" s="604"/>
      <c r="G269" s="605"/>
      <c r="H269" s="606">
        <v>54000</v>
      </c>
      <c r="I269" s="606">
        <v>0</v>
      </c>
      <c r="J269" s="606">
        <v>54000</v>
      </c>
      <c r="K269" s="607"/>
      <c r="L269" s="607"/>
      <c r="M269" s="608"/>
      <c r="N269" s="604"/>
      <c r="O269" s="604"/>
      <c r="P269" s="605"/>
      <c r="Q269" s="609">
        <v>54000</v>
      </c>
      <c r="R269" s="609">
        <v>0</v>
      </c>
      <c r="S269" s="609">
        <v>54000</v>
      </c>
      <c r="V269" s="600"/>
    </row>
    <row r="270" spans="1:22" s="599" customFormat="1" x14ac:dyDescent="0.6">
      <c r="A270" s="610">
        <v>3</v>
      </c>
      <c r="B270" s="611" t="s">
        <v>521</v>
      </c>
      <c r="C270" s="611" t="s">
        <v>522</v>
      </c>
      <c r="D270" s="612">
        <v>0</v>
      </c>
      <c r="E270" s="613"/>
      <c r="F270" s="613"/>
      <c r="G270" s="614"/>
      <c r="H270" s="615">
        <v>0</v>
      </c>
      <c r="I270" s="615">
        <v>0</v>
      </c>
      <c r="J270" s="615">
        <v>0</v>
      </c>
      <c r="K270" s="616"/>
      <c r="L270" s="616"/>
      <c r="M270" s="617"/>
      <c r="N270" s="618"/>
      <c r="O270" s="618"/>
      <c r="P270" s="614"/>
      <c r="Q270" s="609">
        <v>0</v>
      </c>
      <c r="R270" s="609">
        <v>0</v>
      </c>
      <c r="S270" s="609">
        <v>0</v>
      </c>
      <c r="V270" s="600"/>
    </row>
    <row r="271" spans="1:22" s="599" customFormat="1" ht="24" thickBot="1" x14ac:dyDescent="0.65">
      <c r="A271" s="619"/>
      <c r="B271" s="620" t="s">
        <v>523</v>
      </c>
      <c r="C271" s="621"/>
      <c r="D271" s="622">
        <v>0</v>
      </c>
      <c r="E271" s="623"/>
      <c r="F271" s="623"/>
      <c r="G271" s="624"/>
      <c r="H271" s="625">
        <v>54000</v>
      </c>
      <c r="I271" s="625">
        <v>0</v>
      </c>
      <c r="J271" s="625">
        <v>54000</v>
      </c>
      <c r="K271" s="624"/>
      <c r="L271" s="624"/>
      <c r="M271" s="622">
        <v>0</v>
      </c>
      <c r="N271" s="623"/>
      <c r="O271" s="623"/>
      <c r="P271" s="624"/>
      <c r="Q271" s="626">
        <v>54000</v>
      </c>
      <c r="R271" s="626">
        <v>0</v>
      </c>
      <c r="S271" s="626">
        <v>54000</v>
      </c>
      <c r="T271" s="627">
        <v>2034140.3755999999</v>
      </c>
      <c r="V271" s="600"/>
    </row>
    <row r="272" spans="1:22" s="636" customFormat="1" ht="24" thickTop="1" x14ac:dyDescent="0.6">
      <c r="A272" s="628"/>
      <c r="B272" s="629"/>
      <c r="C272" s="630"/>
      <c r="D272" s="631"/>
      <c r="E272" s="632"/>
      <c r="F272" s="632"/>
      <c r="G272" s="633"/>
      <c r="H272" s="634"/>
      <c r="I272" s="634"/>
      <c r="J272" s="634"/>
      <c r="K272" s="633"/>
      <c r="L272" s="633"/>
      <c r="M272" s="631"/>
      <c r="N272" s="632"/>
      <c r="O272" s="632"/>
      <c r="P272" s="633"/>
      <c r="Q272" s="635"/>
      <c r="R272" s="635"/>
      <c r="S272" s="635"/>
      <c r="V272" s="637"/>
    </row>
    <row r="273" spans="1:22" s="636" customFormat="1" x14ac:dyDescent="0.6">
      <c r="A273" s="1128" t="s">
        <v>524</v>
      </c>
      <c r="B273" s="1128"/>
      <c r="C273" s="1128"/>
      <c r="D273" s="1128"/>
      <c r="E273" s="1128"/>
      <c r="F273" s="1128"/>
      <c r="G273" s="1128"/>
      <c r="H273" s="1128"/>
      <c r="I273" s="1128"/>
      <c r="J273" s="1128"/>
      <c r="K273" s="1128"/>
      <c r="L273" s="1128"/>
      <c r="M273" s="1128"/>
      <c r="N273" s="1128"/>
      <c r="O273" s="1128"/>
      <c r="P273" s="1128"/>
      <c r="Q273" s="1128"/>
      <c r="R273" s="1128"/>
      <c r="S273" s="1128"/>
      <c r="V273" s="637"/>
    </row>
    <row r="274" spans="1:22" s="599" customFormat="1" x14ac:dyDescent="0.6">
      <c r="A274" s="638">
        <v>1</v>
      </c>
      <c r="B274" s="639" t="s">
        <v>519</v>
      </c>
      <c r="C274" s="639" t="s">
        <v>518</v>
      </c>
      <c r="D274" s="640">
        <v>5600</v>
      </c>
      <c r="E274" s="641" t="s">
        <v>806</v>
      </c>
      <c r="F274" s="641"/>
      <c r="G274" s="642" t="s">
        <v>807</v>
      </c>
      <c r="H274" s="643">
        <v>72800</v>
      </c>
      <c r="I274" s="643">
        <v>0</v>
      </c>
      <c r="J274" s="643">
        <v>72800</v>
      </c>
      <c r="K274" s="884"/>
      <c r="L274" s="884"/>
      <c r="M274" s="884"/>
      <c r="N274" s="884" t="s">
        <v>936</v>
      </c>
      <c r="O274" s="884"/>
      <c r="P274" s="884">
        <v>14</v>
      </c>
      <c r="Q274" s="643">
        <f>SUM(D274+J274-M274)</f>
        <v>78400</v>
      </c>
      <c r="R274" s="643">
        <v>0</v>
      </c>
      <c r="S274" s="643">
        <f>SUM(D274+J274-M274)</f>
        <v>78400</v>
      </c>
      <c r="V274" s="600"/>
    </row>
    <row r="275" spans="1:22" s="599" customFormat="1" x14ac:dyDescent="0.6">
      <c r="A275" s="646">
        <v>2</v>
      </c>
      <c r="B275" s="647" t="s">
        <v>521</v>
      </c>
      <c r="C275" s="647" t="s">
        <v>522</v>
      </c>
      <c r="D275" s="648">
        <v>8400</v>
      </c>
      <c r="E275" s="649"/>
      <c r="F275" s="649"/>
      <c r="G275" s="650"/>
      <c r="H275" s="651">
        <v>6917.6500000000015</v>
      </c>
      <c r="I275" s="615">
        <v>0</v>
      </c>
      <c r="J275" s="615">
        <v>6917.6500000000015</v>
      </c>
      <c r="K275" s="644" t="s">
        <v>1060</v>
      </c>
      <c r="L275" s="644" t="s">
        <v>1058</v>
      </c>
      <c r="M275" s="645">
        <v>8400</v>
      </c>
      <c r="N275" s="641" t="s">
        <v>1059</v>
      </c>
      <c r="O275" s="641" t="s">
        <v>33</v>
      </c>
      <c r="P275" s="642" t="s">
        <v>33</v>
      </c>
      <c r="Q275" s="643">
        <f>SUM(D275+J275-M275)</f>
        <v>6917.6500000000015</v>
      </c>
      <c r="R275" s="606">
        <v>0</v>
      </c>
      <c r="S275" s="643">
        <f>SUM(D275+J275-M275)</f>
        <v>6917.6500000000015</v>
      </c>
      <c r="V275" s="600"/>
    </row>
    <row r="276" spans="1:22" s="599" customFormat="1" x14ac:dyDescent="0.6">
      <c r="A276" s="646"/>
      <c r="B276" s="653" t="s">
        <v>534</v>
      </c>
      <c r="C276" s="647"/>
      <c r="D276" s="648"/>
      <c r="E276" s="649"/>
      <c r="F276" s="649"/>
      <c r="G276" s="650"/>
      <c r="H276" s="651"/>
      <c r="I276" s="651"/>
      <c r="J276" s="651"/>
      <c r="K276" s="30"/>
      <c r="L276" s="249"/>
      <c r="M276" s="221"/>
      <c r="N276" s="652"/>
      <c r="O276" s="652"/>
      <c r="P276" s="373"/>
      <c r="Q276" s="651"/>
      <c r="R276" s="651"/>
      <c r="S276" s="651"/>
      <c r="V276" s="600"/>
    </row>
    <row r="277" spans="1:22" s="599" customFormat="1" ht="24" thickBot="1" x14ac:dyDescent="0.65">
      <c r="A277" s="619"/>
      <c r="B277" s="620" t="s">
        <v>535</v>
      </c>
      <c r="C277" s="621"/>
      <c r="D277" s="622">
        <v>14000</v>
      </c>
      <c r="E277" s="623"/>
      <c r="F277" s="623"/>
      <c r="G277" s="624"/>
      <c r="H277" s="625">
        <f>SUM(H274:H276)-H275</f>
        <v>72800</v>
      </c>
      <c r="I277" s="625">
        <f>SUM(I274:I276)-I275</f>
        <v>0</v>
      </c>
      <c r="J277" s="625">
        <f>SUM(J274:J276)-J275</f>
        <v>72800</v>
      </c>
      <c r="K277" s="625"/>
      <c r="L277" s="625"/>
      <c r="M277" s="625">
        <f>SUM(M275:M276)</f>
        <v>8400</v>
      </c>
      <c r="N277" s="625"/>
      <c r="O277" s="625"/>
      <c r="P277" s="625"/>
      <c r="Q277" s="625">
        <f>SUM(Q274:Q276)</f>
        <v>85317.65</v>
      </c>
      <c r="R277" s="625">
        <f>SUM(R274:R276)</f>
        <v>0</v>
      </c>
      <c r="S277" s="625">
        <f>SUM(S274:S276)</f>
        <v>85317.65</v>
      </c>
      <c r="V277" s="600"/>
    </row>
    <row r="278" spans="1:22" ht="22.5" customHeight="1" thickTop="1" x14ac:dyDescent="0.3">
      <c r="E278" s="469"/>
      <c r="F278" s="469"/>
      <c r="G278" s="470"/>
      <c r="H278" s="3"/>
      <c r="I278" s="3"/>
      <c r="J278" s="3"/>
      <c r="K278" s="584"/>
      <c r="L278" s="585"/>
      <c r="N278" s="470"/>
      <c r="O278" s="470"/>
      <c r="P278" s="586"/>
      <c r="Q278" s="471"/>
      <c r="R278" s="471"/>
      <c r="S278" s="472"/>
      <c r="T278" s="2"/>
    </row>
    <row r="279" spans="1:22" ht="22.5" customHeight="1" thickBot="1" x14ac:dyDescent="0.35">
      <c r="E279" s="469"/>
      <c r="F279" s="469"/>
      <c r="G279" s="470"/>
      <c r="H279" s="3"/>
      <c r="I279" s="3"/>
      <c r="J279" s="3"/>
      <c r="K279" s="584"/>
      <c r="L279" s="585"/>
      <c r="M279" s="657">
        <f>SUM(M249+M265+M271+M277)</f>
        <v>1153590.51</v>
      </c>
      <c r="N279" s="470"/>
      <c r="O279" s="470"/>
      <c r="P279" s="586"/>
      <c r="Q279" s="1148" t="s">
        <v>536</v>
      </c>
      <c r="R279" s="1148"/>
      <c r="S279" s="658">
        <f>SUM(S249+S265+S271+S277)</f>
        <v>1742428.6132</v>
      </c>
      <c r="T279" s="2"/>
    </row>
    <row r="280" spans="1:22" ht="22.5" customHeight="1" thickTop="1" x14ac:dyDescent="0.5">
      <c r="B280" s="587" t="s">
        <v>537</v>
      </c>
      <c r="C280" s="587"/>
      <c r="D280" s="587"/>
      <c r="E280" s="587"/>
      <c r="F280" s="587"/>
      <c r="G280" s="587"/>
      <c r="H280" s="587"/>
      <c r="I280" s="587"/>
      <c r="J280" s="587"/>
      <c r="K280" s="587"/>
      <c r="N280" s="3"/>
      <c r="O280" s="3"/>
      <c r="P280" s="470"/>
      <c r="Q280" s="471"/>
      <c r="R280" s="471"/>
      <c r="S280" s="472"/>
    </row>
    <row r="281" spans="1:22" x14ac:dyDescent="0.5">
      <c r="B281" s="1129" t="s">
        <v>538</v>
      </c>
      <c r="C281" s="1129"/>
      <c r="D281" s="1129"/>
      <c r="E281" s="1129"/>
      <c r="F281" s="1129"/>
      <c r="G281" s="1129"/>
      <c r="H281" s="1129"/>
      <c r="I281" s="1129"/>
      <c r="J281" s="1129"/>
      <c r="K281" s="1129"/>
      <c r="N281" s="3"/>
      <c r="O281" s="3"/>
      <c r="P281" s="470"/>
      <c r="Q281" s="471"/>
      <c r="R281" s="471"/>
      <c r="S281" s="472"/>
    </row>
    <row r="282" spans="1:22" x14ac:dyDescent="0.5">
      <c r="B282" s="1129" t="s">
        <v>539</v>
      </c>
      <c r="C282" s="1129"/>
      <c r="D282" s="1129"/>
      <c r="E282" s="1129"/>
      <c r="F282" s="1129"/>
      <c r="G282" s="1129"/>
      <c r="H282" s="1129"/>
      <c r="I282" s="1129"/>
      <c r="J282" s="1129"/>
      <c r="K282" s="1129"/>
      <c r="N282" s="3"/>
      <c r="O282" s="3"/>
      <c r="P282" s="470"/>
      <c r="Q282" s="471"/>
      <c r="R282" s="471"/>
      <c r="S282" s="472"/>
    </row>
    <row r="283" spans="1:22" x14ac:dyDescent="0.3">
      <c r="E283" s="469"/>
      <c r="F283" s="469"/>
      <c r="G283" s="470"/>
      <c r="H283" s="3"/>
      <c r="I283" s="3"/>
      <c r="J283" s="3"/>
      <c r="N283" s="3"/>
      <c r="O283" s="3"/>
      <c r="P283" s="470"/>
      <c r="Q283" s="471"/>
      <c r="R283" s="471"/>
      <c r="S283" s="472"/>
    </row>
    <row r="284" spans="1:22" x14ac:dyDescent="0.3">
      <c r="E284" s="469"/>
      <c r="F284" s="469"/>
      <c r="G284" s="470"/>
      <c r="H284" s="3"/>
      <c r="I284" s="3"/>
      <c r="J284" s="3"/>
      <c r="N284" s="3"/>
      <c r="O284" s="3"/>
      <c r="P284" s="470"/>
      <c r="Q284" s="471"/>
      <c r="R284" s="471"/>
      <c r="S284" s="472"/>
    </row>
    <row r="285" spans="1:22" x14ac:dyDescent="0.3">
      <c r="E285" s="469"/>
      <c r="F285" s="469"/>
      <c r="G285" s="470"/>
      <c r="H285" s="3"/>
      <c r="I285" s="3"/>
      <c r="J285" s="3"/>
      <c r="N285" s="3"/>
      <c r="O285" s="3"/>
      <c r="P285" s="470"/>
      <c r="Q285" s="471"/>
      <c r="R285" s="471"/>
      <c r="S285" s="472"/>
    </row>
    <row r="286" spans="1:22" x14ac:dyDescent="0.3">
      <c r="E286" s="469"/>
      <c r="F286" s="469"/>
      <c r="G286" s="470"/>
      <c r="H286" s="3"/>
      <c r="I286" s="3"/>
      <c r="J286" s="3"/>
      <c r="N286" s="3"/>
      <c r="O286" s="3"/>
      <c r="P286" s="470"/>
      <c r="Q286" s="471"/>
      <c r="R286" s="471"/>
      <c r="S286" s="472"/>
    </row>
    <row r="287" spans="1:22" x14ac:dyDescent="0.3">
      <c r="E287" s="469"/>
      <c r="F287" s="469"/>
      <c r="G287" s="470"/>
      <c r="H287" s="3"/>
      <c r="I287" s="3"/>
      <c r="J287" s="3"/>
      <c r="N287" s="3"/>
      <c r="O287" s="3"/>
      <c r="P287" s="470"/>
      <c r="Q287" s="471"/>
      <c r="R287" s="471"/>
      <c r="S287" s="472"/>
    </row>
    <row r="288" spans="1:22" x14ac:dyDescent="0.3">
      <c r="E288" s="469"/>
      <c r="F288" s="469"/>
      <c r="G288" s="470"/>
      <c r="H288" s="3"/>
      <c r="I288" s="3"/>
      <c r="J288" s="3"/>
      <c r="N288" s="3"/>
      <c r="O288" s="3"/>
      <c r="P288" s="470"/>
      <c r="Q288" s="471"/>
      <c r="R288" s="471"/>
      <c r="S288" s="472"/>
    </row>
    <row r="289" spans="5:19" x14ac:dyDescent="0.3">
      <c r="E289" s="469"/>
      <c r="F289" s="469"/>
      <c r="G289" s="470"/>
      <c r="H289" s="3"/>
      <c r="I289" s="3"/>
      <c r="J289" s="3"/>
      <c r="N289" s="3"/>
      <c r="O289" s="3"/>
      <c r="P289" s="470"/>
      <c r="Q289" s="471"/>
      <c r="R289" s="471"/>
      <c r="S289" s="472"/>
    </row>
  </sheetData>
  <mergeCells count="22">
    <mergeCell ref="A1:S1"/>
    <mergeCell ref="A2:S2"/>
    <mergeCell ref="A3:S3"/>
    <mergeCell ref="A4:A6"/>
    <mergeCell ref="B4:B6"/>
    <mergeCell ref="C4:C6"/>
    <mergeCell ref="D4:D6"/>
    <mergeCell ref="E4:J4"/>
    <mergeCell ref="K4:M4"/>
    <mergeCell ref="N4:S4"/>
    <mergeCell ref="B282:K282"/>
    <mergeCell ref="E5:E6"/>
    <mergeCell ref="G5:G6"/>
    <mergeCell ref="H5:J5"/>
    <mergeCell ref="N5:N6"/>
    <mergeCell ref="A251:S251"/>
    <mergeCell ref="A267:S267"/>
    <mergeCell ref="A273:S273"/>
    <mergeCell ref="Q279:R279"/>
    <mergeCell ref="B281:K281"/>
    <mergeCell ref="P5:P6"/>
    <mergeCell ref="Q5:S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CFC9-C121-47F4-99BF-38D67A5A52F1}">
  <sheetPr>
    <tabColor rgb="FF92D050"/>
  </sheetPr>
  <dimension ref="A1:Z163"/>
  <sheetViews>
    <sheetView zoomScale="80" zoomScaleNormal="80" workbookViewId="0">
      <pane ySplit="6" topLeftCell="A147" activePane="bottomLeft" state="frozen"/>
      <selection pane="bottomLeft" activeCell="C168" sqref="C168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2.44140625" style="88" customWidth="1"/>
    <col min="5" max="5" width="18.6640625" style="88" customWidth="1"/>
    <col min="6" max="6" width="16.33203125" style="88" customWidth="1"/>
    <col min="7" max="7" width="10.6640625" style="3" customWidth="1"/>
    <col min="8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8" ht="22.5" customHeight="1" x14ac:dyDescent="0.3">
      <c r="A3" s="1110" t="s">
        <v>934</v>
      </c>
      <c r="B3" s="1111"/>
      <c r="C3" s="1111"/>
      <c r="D3" s="1111"/>
      <c r="E3" s="1111"/>
      <c r="F3" s="1111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8" ht="22.5" customHeight="1" x14ac:dyDescent="0.3">
      <c r="A5" s="1113"/>
      <c r="B5" s="1113"/>
      <c r="C5" s="1116"/>
      <c r="D5" s="5"/>
      <c r="E5" s="6"/>
      <c r="F5" s="6"/>
    </row>
    <row r="6" spans="1:8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8" ht="22.5" customHeight="1" x14ac:dyDescent="0.3">
      <c r="A7" s="11"/>
      <c r="B7" s="12" t="s">
        <v>19</v>
      </c>
      <c r="C7" s="13"/>
      <c r="D7" s="18"/>
      <c r="E7" s="18"/>
      <c r="F7" s="14"/>
    </row>
    <row r="8" spans="1:8" ht="22.5" customHeight="1" x14ac:dyDescent="0.5">
      <c r="A8" s="23">
        <v>1</v>
      </c>
      <c r="B8" s="24" t="s">
        <v>20</v>
      </c>
      <c r="C8" s="25" t="s">
        <v>21</v>
      </c>
      <c r="D8" s="30">
        <v>25226</v>
      </c>
      <c r="E8" s="31" t="s">
        <v>939</v>
      </c>
      <c r="F8" s="32">
        <v>11382.95</v>
      </c>
    </row>
    <row r="9" spans="1:8" ht="22.5" customHeight="1" x14ac:dyDescent="0.5">
      <c r="A9" s="23">
        <v>2</v>
      </c>
      <c r="B9" s="24" t="s">
        <v>24</v>
      </c>
      <c r="C9" s="25" t="s">
        <v>25</v>
      </c>
      <c r="D9" s="30">
        <v>25232</v>
      </c>
      <c r="E9" s="31" t="s">
        <v>940</v>
      </c>
      <c r="F9" s="32">
        <v>7451.28</v>
      </c>
    </row>
    <row r="10" spans="1:8" ht="22.5" customHeight="1" x14ac:dyDescent="0.5">
      <c r="A10" s="23">
        <v>3</v>
      </c>
      <c r="B10" s="24" t="s">
        <v>27</v>
      </c>
      <c r="C10" s="25" t="s">
        <v>28</v>
      </c>
      <c r="D10" s="38">
        <v>25226</v>
      </c>
      <c r="E10" s="39" t="s">
        <v>941</v>
      </c>
      <c r="F10" s="40">
        <v>802.5</v>
      </c>
    </row>
    <row r="11" spans="1:8" ht="22.5" customHeight="1" x14ac:dyDescent="0.5">
      <c r="A11" s="23">
        <v>4</v>
      </c>
      <c r="B11" s="24" t="s">
        <v>30</v>
      </c>
      <c r="C11" s="25" t="s">
        <v>31</v>
      </c>
      <c r="D11" s="30">
        <v>25215</v>
      </c>
      <c r="E11" s="31" t="s">
        <v>942</v>
      </c>
      <c r="F11" s="32">
        <v>1926</v>
      </c>
    </row>
    <row r="12" spans="1:8" s="60" customFormat="1" ht="22.5" customHeight="1" thickBot="1" x14ac:dyDescent="0.35">
      <c r="A12" s="48"/>
      <c r="B12" s="48" t="s">
        <v>15</v>
      </c>
      <c r="C12" s="49"/>
      <c r="D12" s="54"/>
      <c r="E12" s="55"/>
      <c r="F12" s="50">
        <v>21562.73</v>
      </c>
      <c r="H12" s="683">
        <f>SUM(F8:F11)</f>
        <v>21562.73</v>
      </c>
    </row>
    <row r="13" spans="1:8" ht="22.5" customHeight="1" thickTop="1" x14ac:dyDescent="0.3">
      <c r="A13" s="61"/>
      <c r="B13" s="62" t="s">
        <v>37</v>
      </c>
      <c r="C13" s="63"/>
      <c r="D13" s="68"/>
      <c r="E13" s="68"/>
      <c r="F13" s="64"/>
    </row>
    <row r="14" spans="1:8" ht="22.5" customHeight="1" x14ac:dyDescent="0.5">
      <c r="A14" s="23">
        <v>1</v>
      </c>
      <c r="B14" s="73" t="s">
        <v>38</v>
      </c>
      <c r="C14" s="25" t="s">
        <v>39</v>
      </c>
      <c r="D14" s="30">
        <v>25208</v>
      </c>
      <c r="E14" s="31" t="s">
        <v>943</v>
      </c>
      <c r="F14" s="32">
        <v>1284</v>
      </c>
    </row>
    <row r="15" spans="1:8" ht="22.5" customHeight="1" x14ac:dyDescent="0.5">
      <c r="A15" s="23">
        <v>2</v>
      </c>
      <c r="B15" s="73" t="s">
        <v>42</v>
      </c>
      <c r="C15" s="25" t="s">
        <v>43</v>
      </c>
      <c r="D15" s="30">
        <v>25229</v>
      </c>
      <c r="E15" s="31" t="s">
        <v>944</v>
      </c>
      <c r="F15" s="32">
        <v>1861.8</v>
      </c>
    </row>
    <row r="16" spans="1:8" ht="22.5" customHeight="1" x14ac:dyDescent="0.5">
      <c r="A16" s="23">
        <v>3</v>
      </c>
      <c r="B16" s="73" t="s">
        <v>45</v>
      </c>
      <c r="C16" s="25" t="s">
        <v>46</v>
      </c>
      <c r="D16" s="30">
        <v>25215</v>
      </c>
      <c r="E16" s="31" t="s">
        <v>945</v>
      </c>
      <c r="F16" s="32">
        <v>834.6</v>
      </c>
    </row>
    <row r="17" spans="1:26" ht="22.5" customHeight="1" x14ac:dyDescent="0.5">
      <c r="A17" s="23">
        <v>4</v>
      </c>
      <c r="B17" s="73" t="s">
        <v>48</v>
      </c>
      <c r="C17" s="25" t="s">
        <v>49</v>
      </c>
      <c r="D17" s="30">
        <v>25232</v>
      </c>
      <c r="E17" s="31" t="s">
        <v>946</v>
      </c>
      <c r="F17" s="32">
        <v>2937.15</v>
      </c>
    </row>
    <row r="18" spans="1:26" ht="22.5" customHeight="1" x14ac:dyDescent="0.5">
      <c r="A18" s="23">
        <v>5</v>
      </c>
      <c r="B18" s="73" t="s">
        <v>51</v>
      </c>
      <c r="C18" s="25" t="s">
        <v>52</v>
      </c>
      <c r="D18" s="30">
        <v>25233</v>
      </c>
      <c r="E18" s="31" t="s">
        <v>947</v>
      </c>
      <c r="F18" s="32">
        <v>4766.8500000000004</v>
      </c>
    </row>
    <row r="19" spans="1:26" ht="22.5" customHeight="1" x14ac:dyDescent="0.5">
      <c r="A19" s="23">
        <v>6</v>
      </c>
      <c r="B19" s="73" t="s">
        <v>30</v>
      </c>
      <c r="C19" s="25" t="s">
        <v>31</v>
      </c>
      <c r="D19" s="30">
        <v>25215</v>
      </c>
      <c r="E19" s="31" t="s">
        <v>948</v>
      </c>
      <c r="F19" s="32">
        <v>6420</v>
      </c>
    </row>
    <row r="20" spans="1:26" ht="22.5" customHeight="1" x14ac:dyDescent="0.5">
      <c r="A20" s="23">
        <v>7</v>
      </c>
      <c r="B20" s="78" t="s">
        <v>54</v>
      </c>
      <c r="C20" s="25" t="s">
        <v>55</v>
      </c>
      <c r="D20" s="38">
        <v>25229</v>
      </c>
      <c r="E20" s="39" t="s">
        <v>949</v>
      </c>
      <c r="F20" s="40">
        <v>1444.5</v>
      </c>
    </row>
    <row r="21" spans="1:26" ht="22.5" customHeight="1" x14ac:dyDescent="0.5">
      <c r="A21" s="23">
        <v>8</v>
      </c>
      <c r="B21" s="78" t="s">
        <v>56</v>
      </c>
      <c r="C21" s="81" t="s">
        <v>57</v>
      </c>
      <c r="D21" s="38">
        <v>25230</v>
      </c>
      <c r="E21" s="39" t="s">
        <v>950</v>
      </c>
      <c r="F21" s="40">
        <v>722.25</v>
      </c>
    </row>
    <row r="22" spans="1:26" ht="22.5" customHeight="1" x14ac:dyDescent="0.5">
      <c r="A22" s="23">
        <v>9</v>
      </c>
      <c r="B22" s="78" t="s">
        <v>59</v>
      </c>
      <c r="C22" s="83" t="s">
        <v>60</v>
      </c>
      <c r="D22" s="38">
        <v>25225</v>
      </c>
      <c r="E22" s="39" t="s">
        <v>951</v>
      </c>
      <c r="F22" s="40">
        <v>21400</v>
      </c>
    </row>
    <row r="23" spans="1:26" s="88" customFormat="1" ht="22.5" customHeight="1" x14ac:dyDescent="0.5">
      <c r="A23" s="23">
        <v>10</v>
      </c>
      <c r="B23" s="84" t="s">
        <v>62</v>
      </c>
      <c r="C23" s="85" t="s">
        <v>28</v>
      </c>
      <c r="D23" s="38">
        <v>25226</v>
      </c>
      <c r="E23" s="39" t="s">
        <v>952</v>
      </c>
      <c r="F23" s="40">
        <v>856</v>
      </c>
    </row>
    <row r="24" spans="1:26" ht="22.5" customHeight="1" x14ac:dyDescent="0.5">
      <c r="A24" s="23">
        <v>11</v>
      </c>
      <c r="B24" s="94" t="s">
        <v>67</v>
      </c>
      <c r="C24" s="95" t="s">
        <v>68</v>
      </c>
      <c r="D24" s="38">
        <v>25222</v>
      </c>
      <c r="E24" s="39" t="s">
        <v>953</v>
      </c>
      <c r="F24" s="40">
        <v>3210</v>
      </c>
    </row>
    <row r="25" spans="1:26" ht="22.5" customHeight="1" x14ac:dyDescent="0.5">
      <c r="A25" s="23">
        <v>12</v>
      </c>
      <c r="B25" s="99" t="s">
        <v>70</v>
      </c>
      <c r="C25" s="100" t="s">
        <v>60</v>
      </c>
      <c r="D25" s="101">
        <v>25225</v>
      </c>
      <c r="E25" s="102" t="s">
        <v>954</v>
      </c>
      <c r="F25" s="103">
        <v>3210</v>
      </c>
      <c r="H25" s="790">
        <f>SUM(F14:F25)</f>
        <v>48947.15</v>
      </c>
    </row>
    <row r="26" spans="1:26" s="60" customFormat="1" ht="22.5" customHeight="1" thickBot="1" x14ac:dyDescent="0.35">
      <c r="A26" s="48"/>
      <c r="B26" s="48" t="s">
        <v>15</v>
      </c>
      <c r="C26" s="49"/>
      <c r="D26" s="104"/>
      <c r="E26" s="104"/>
      <c r="F26" s="104">
        <v>48947.15</v>
      </c>
    </row>
    <row r="27" spans="1:26" ht="22.5" customHeight="1" thickTop="1" x14ac:dyDescent="0.3">
      <c r="A27" s="61"/>
      <c r="B27" s="62" t="s">
        <v>71</v>
      </c>
      <c r="C27" s="63"/>
      <c r="D27" s="68"/>
      <c r="E27" s="68"/>
      <c r="F27" s="64"/>
    </row>
    <row r="28" spans="1:26" ht="22.5" customHeight="1" x14ac:dyDescent="0.5">
      <c r="A28" s="23">
        <v>1</v>
      </c>
      <c r="B28" s="73" t="s">
        <v>72</v>
      </c>
      <c r="C28" s="25" t="s">
        <v>73</v>
      </c>
      <c r="D28" s="38">
        <v>25229</v>
      </c>
      <c r="E28" s="39" t="s">
        <v>955</v>
      </c>
      <c r="F28" s="32">
        <v>7037.93</v>
      </c>
    </row>
    <row r="29" spans="1:26" ht="22.5" customHeight="1" x14ac:dyDescent="0.5">
      <c r="A29" s="115">
        <v>2</v>
      </c>
      <c r="B29" s="4" t="s">
        <v>75</v>
      </c>
      <c r="C29" s="25" t="s">
        <v>76</v>
      </c>
      <c r="D29" s="101">
        <v>25219</v>
      </c>
      <c r="E29" s="102" t="s">
        <v>956</v>
      </c>
      <c r="F29" s="103">
        <v>14445</v>
      </c>
    </row>
    <row r="30" spans="1:26" s="60" customFormat="1" ht="22.5" customHeight="1" thickBot="1" x14ac:dyDescent="0.35">
      <c r="A30" s="48"/>
      <c r="B30" s="48" t="s">
        <v>15</v>
      </c>
      <c r="C30" s="49"/>
      <c r="D30" s="50"/>
      <c r="E30" s="50">
        <v>0</v>
      </c>
      <c r="F30" s="50">
        <v>21482.93</v>
      </c>
      <c r="H30" s="683">
        <f>SUM(F28:F29)</f>
        <v>21482.93</v>
      </c>
    </row>
    <row r="31" spans="1:26" ht="22.5" customHeight="1" thickTop="1" x14ac:dyDescent="0.3">
      <c r="A31" s="61"/>
      <c r="B31" s="121" t="s">
        <v>78</v>
      </c>
      <c r="C31" s="63"/>
      <c r="D31" s="68"/>
      <c r="E31" s="68"/>
      <c r="F31" s="64"/>
    </row>
    <row r="32" spans="1:26" s="134" customFormat="1" ht="22.5" customHeight="1" x14ac:dyDescent="0.6">
      <c r="A32" s="122">
        <v>1</v>
      </c>
      <c r="B32" s="123" t="s">
        <v>79</v>
      </c>
      <c r="C32" s="124" t="s">
        <v>60</v>
      </c>
      <c r="D32" s="38">
        <v>25225</v>
      </c>
      <c r="E32" s="39" t="s">
        <v>957</v>
      </c>
      <c r="F32" s="40">
        <v>5350</v>
      </c>
      <c r="G32" s="131"/>
      <c r="H32" s="132"/>
      <c r="I32" s="132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spans="1:8" s="60" customFormat="1" ht="22.5" customHeight="1" thickBot="1" x14ac:dyDescent="0.35">
      <c r="A33" s="48"/>
      <c r="B33" s="48" t="s">
        <v>15</v>
      </c>
      <c r="C33" s="49"/>
      <c r="D33" s="109"/>
      <c r="E33" s="109"/>
      <c r="F33" s="138">
        <v>5350</v>
      </c>
      <c r="H33" s="683">
        <f>SUM(F32)</f>
        <v>5350</v>
      </c>
    </row>
    <row r="34" spans="1:8" ht="22.5" customHeight="1" thickTop="1" x14ac:dyDescent="0.3">
      <c r="A34" s="139"/>
      <c r="B34" s="140" t="s">
        <v>81</v>
      </c>
      <c r="C34" s="141"/>
      <c r="D34" s="68"/>
      <c r="E34" s="68"/>
      <c r="F34" s="64"/>
    </row>
    <row r="35" spans="1:8" ht="22.5" customHeight="1" x14ac:dyDescent="0.5">
      <c r="A35" s="148">
        <v>1</v>
      </c>
      <c r="B35" s="149" t="s">
        <v>82</v>
      </c>
      <c r="C35" s="90" t="s">
        <v>83</v>
      </c>
      <c r="D35" s="30">
        <v>25212</v>
      </c>
      <c r="E35" s="31" t="s">
        <v>959</v>
      </c>
      <c r="F35" s="32">
        <v>6955</v>
      </c>
    </row>
    <row r="36" spans="1:8" s="60" customFormat="1" ht="22.5" customHeight="1" thickBot="1" x14ac:dyDescent="0.35">
      <c r="A36" s="158"/>
      <c r="B36" s="158" t="s">
        <v>15</v>
      </c>
      <c r="C36" s="159"/>
      <c r="D36" s="161"/>
      <c r="E36" s="161"/>
      <c r="F36" s="162">
        <v>6955</v>
      </c>
      <c r="H36" s="683">
        <f>SUM(F35)</f>
        <v>6955</v>
      </c>
    </row>
    <row r="37" spans="1:8" ht="22.5" customHeight="1" thickTop="1" x14ac:dyDescent="0.3">
      <c r="A37" s="115"/>
      <c r="B37" s="164" t="s">
        <v>85</v>
      </c>
      <c r="C37" s="165"/>
      <c r="D37" s="170"/>
      <c r="E37" s="170"/>
      <c r="F37" s="171"/>
    </row>
    <row r="38" spans="1:8" ht="22.5" customHeight="1" x14ac:dyDescent="0.3">
      <c r="A38" s="174">
        <v>1</v>
      </c>
      <c r="B38" s="175" t="s">
        <v>86</v>
      </c>
      <c r="C38" s="176" t="s">
        <v>87</v>
      </c>
      <c r="D38" s="182">
        <v>25226</v>
      </c>
      <c r="E38" s="183" t="s">
        <v>960</v>
      </c>
      <c r="F38" s="184">
        <v>625.95000000000005</v>
      </c>
    </row>
    <row r="39" spans="1:8" ht="22.5" customHeight="1" x14ac:dyDescent="0.5">
      <c r="A39" s="174">
        <v>2</v>
      </c>
      <c r="B39" s="189" t="s">
        <v>89</v>
      </c>
      <c r="C39" s="190" t="s">
        <v>90</v>
      </c>
      <c r="D39" s="38">
        <v>25222</v>
      </c>
      <c r="E39" s="39" t="s">
        <v>961</v>
      </c>
      <c r="F39" s="40">
        <v>3210</v>
      </c>
    </row>
    <row r="40" spans="1:8" s="60" customFormat="1" ht="22.5" customHeight="1" thickBot="1" x14ac:dyDescent="0.35">
      <c r="A40" s="194"/>
      <c r="B40" s="194" t="s">
        <v>15</v>
      </c>
      <c r="C40" s="195"/>
      <c r="D40" s="198"/>
      <c r="E40" s="199"/>
      <c r="F40" s="200">
        <v>3835.95</v>
      </c>
      <c r="H40" s="683">
        <f>SUM(F38:F39)</f>
        <v>3835.95</v>
      </c>
    </row>
    <row r="41" spans="1:8" ht="22.5" customHeight="1" thickTop="1" x14ac:dyDescent="0.3">
      <c r="A41" s="61"/>
      <c r="B41" s="62" t="s">
        <v>92</v>
      </c>
      <c r="C41" s="63"/>
      <c r="D41" s="68"/>
      <c r="E41" s="68"/>
      <c r="F41" s="64"/>
    </row>
    <row r="42" spans="1:8" ht="22.5" customHeight="1" x14ac:dyDescent="0.5">
      <c r="A42" s="208">
        <v>1</v>
      </c>
      <c r="B42" s="209" t="s">
        <v>93</v>
      </c>
      <c r="C42" s="210" t="s">
        <v>43</v>
      </c>
      <c r="D42" s="30">
        <v>25229</v>
      </c>
      <c r="E42" s="31" t="s">
        <v>963</v>
      </c>
      <c r="F42" s="32">
        <v>3381.2</v>
      </c>
    </row>
    <row r="43" spans="1:8" ht="22.5" customHeight="1" x14ac:dyDescent="0.5">
      <c r="A43" s="208">
        <v>2</v>
      </c>
      <c r="B43" s="209" t="s">
        <v>95</v>
      </c>
      <c r="C43" s="210" t="s">
        <v>43</v>
      </c>
      <c r="D43" s="30">
        <v>25229</v>
      </c>
      <c r="E43" s="31" t="s">
        <v>963</v>
      </c>
      <c r="F43" s="32">
        <v>7350.9</v>
      </c>
    </row>
    <row r="44" spans="1:8" ht="22.5" customHeight="1" x14ac:dyDescent="0.5">
      <c r="A44" s="208">
        <v>3</v>
      </c>
      <c r="B44" s="73" t="s">
        <v>99</v>
      </c>
      <c r="C44" s="25" t="s">
        <v>100</v>
      </c>
      <c r="D44" s="30">
        <v>25233</v>
      </c>
      <c r="E44" s="31" t="s">
        <v>964</v>
      </c>
      <c r="F44" s="32">
        <v>4815</v>
      </c>
    </row>
    <row r="45" spans="1:8" ht="22.5" customHeight="1" x14ac:dyDescent="0.5">
      <c r="A45" s="208">
        <v>4</v>
      </c>
      <c r="B45" s="24" t="s">
        <v>102</v>
      </c>
      <c r="C45" s="222" t="s">
        <v>100</v>
      </c>
      <c r="D45" s="30">
        <v>25233</v>
      </c>
      <c r="E45" s="31" t="s">
        <v>964</v>
      </c>
      <c r="F45" s="32">
        <v>246.1</v>
      </c>
    </row>
    <row r="46" spans="1:8" ht="22.5" customHeight="1" x14ac:dyDescent="0.5">
      <c r="A46" s="208">
        <v>5</v>
      </c>
      <c r="B46" s="73" t="s">
        <v>103</v>
      </c>
      <c r="C46" s="25" t="s">
        <v>97</v>
      </c>
      <c r="D46" s="30">
        <v>25233</v>
      </c>
      <c r="E46" s="31" t="s">
        <v>965</v>
      </c>
      <c r="F46" s="32">
        <v>470.8</v>
      </c>
    </row>
    <row r="47" spans="1:8" ht="22.5" customHeight="1" x14ac:dyDescent="0.5">
      <c r="A47" s="208">
        <v>6</v>
      </c>
      <c r="B47" s="73" t="s">
        <v>104</v>
      </c>
      <c r="C47" s="25" t="s">
        <v>97</v>
      </c>
      <c r="D47" s="30">
        <v>25233</v>
      </c>
      <c r="E47" s="31" t="s">
        <v>965</v>
      </c>
      <c r="F47" s="32">
        <v>18286.3</v>
      </c>
    </row>
    <row r="48" spans="1:8" ht="22.5" customHeight="1" x14ac:dyDescent="0.5">
      <c r="A48" s="208">
        <v>7</v>
      </c>
      <c r="B48" s="73" t="s">
        <v>105</v>
      </c>
      <c r="C48" s="25" t="s">
        <v>97</v>
      </c>
      <c r="D48" s="30">
        <v>25232</v>
      </c>
      <c r="E48" s="31" t="s">
        <v>966</v>
      </c>
      <c r="F48" s="32">
        <v>11737.9</v>
      </c>
    </row>
    <row r="49" spans="1:6" ht="22.5" customHeight="1" x14ac:dyDescent="0.5">
      <c r="A49" s="208">
        <v>8</v>
      </c>
      <c r="B49" s="73" t="s">
        <v>107</v>
      </c>
      <c r="C49" s="25" t="s">
        <v>97</v>
      </c>
      <c r="D49" s="30">
        <v>25209</v>
      </c>
      <c r="E49" s="31" t="s">
        <v>967</v>
      </c>
      <c r="F49" s="32">
        <v>535</v>
      </c>
    </row>
    <row r="50" spans="1:6" ht="22.5" customHeight="1" x14ac:dyDescent="0.5">
      <c r="A50" s="208">
        <v>9</v>
      </c>
      <c r="B50" s="209" t="s">
        <v>109</v>
      </c>
      <c r="C50" s="210" t="s">
        <v>97</v>
      </c>
      <c r="D50" s="30">
        <v>25233</v>
      </c>
      <c r="E50" s="31" t="s">
        <v>968</v>
      </c>
      <c r="F50" s="32">
        <v>42479</v>
      </c>
    </row>
    <row r="51" spans="1:6" ht="22.5" customHeight="1" x14ac:dyDescent="0.5">
      <c r="A51" s="208">
        <v>10</v>
      </c>
      <c r="B51" s="73" t="s">
        <v>110</v>
      </c>
      <c r="C51" s="25" t="s">
        <v>87</v>
      </c>
      <c r="D51" s="30">
        <v>25226</v>
      </c>
      <c r="E51" s="31" t="s">
        <v>969</v>
      </c>
      <c r="F51" s="32">
        <v>8934.5</v>
      </c>
    </row>
    <row r="52" spans="1:6" ht="22.5" customHeight="1" x14ac:dyDescent="0.5">
      <c r="A52" s="208">
        <v>11</v>
      </c>
      <c r="B52" s="73" t="s">
        <v>117</v>
      </c>
      <c r="C52" s="25" t="s">
        <v>118</v>
      </c>
      <c r="D52" s="30">
        <v>25208</v>
      </c>
      <c r="E52" s="31" t="s">
        <v>971</v>
      </c>
      <c r="F52" s="32">
        <v>438.7</v>
      </c>
    </row>
    <row r="53" spans="1:6" ht="22.5" customHeight="1" x14ac:dyDescent="0.5">
      <c r="A53" s="208">
        <v>12</v>
      </c>
      <c r="B53" s="73" t="s">
        <v>120</v>
      </c>
      <c r="C53" s="25" t="s">
        <v>118</v>
      </c>
      <c r="D53" s="30">
        <v>25208</v>
      </c>
      <c r="E53" s="31" t="s">
        <v>971</v>
      </c>
      <c r="F53" s="32">
        <v>3787.8</v>
      </c>
    </row>
    <row r="54" spans="1:6" ht="22.5" customHeight="1" x14ac:dyDescent="0.5">
      <c r="A54" s="208">
        <v>13</v>
      </c>
      <c r="B54" s="73" t="s">
        <v>121</v>
      </c>
      <c r="C54" s="83" t="s">
        <v>122</v>
      </c>
      <c r="D54" s="30" t="s">
        <v>972</v>
      </c>
      <c r="E54" s="31" t="s">
        <v>973</v>
      </c>
      <c r="F54" s="32">
        <v>16060.7</v>
      </c>
    </row>
    <row r="55" spans="1:6" ht="22.5" customHeight="1" x14ac:dyDescent="0.5">
      <c r="A55" s="208">
        <v>14</v>
      </c>
      <c r="B55" s="73" t="s">
        <v>121</v>
      </c>
      <c r="C55" s="83" t="s">
        <v>122</v>
      </c>
      <c r="D55" s="30" t="s">
        <v>972</v>
      </c>
      <c r="E55" s="31" t="s">
        <v>973</v>
      </c>
      <c r="F55" s="32">
        <v>5874.2999999999993</v>
      </c>
    </row>
    <row r="56" spans="1:6" ht="22.5" customHeight="1" x14ac:dyDescent="0.5">
      <c r="A56" s="208">
        <v>15</v>
      </c>
      <c r="B56" s="78" t="s">
        <v>129</v>
      </c>
      <c r="C56" s="210" t="s">
        <v>130</v>
      </c>
      <c r="D56" s="30">
        <v>25226</v>
      </c>
      <c r="E56" s="31" t="s">
        <v>974</v>
      </c>
      <c r="F56" s="32">
        <v>2771.3</v>
      </c>
    </row>
    <row r="57" spans="1:6" ht="22.5" customHeight="1" x14ac:dyDescent="0.5">
      <c r="A57" s="208">
        <v>16</v>
      </c>
      <c r="B57" s="78" t="s">
        <v>132</v>
      </c>
      <c r="C57" s="210" t="s">
        <v>130</v>
      </c>
      <c r="D57" s="30">
        <v>25226</v>
      </c>
      <c r="E57" s="31" t="s">
        <v>974</v>
      </c>
      <c r="F57" s="32">
        <v>11523.9</v>
      </c>
    </row>
    <row r="58" spans="1:6" ht="22.5" customHeight="1" x14ac:dyDescent="0.5">
      <c r="A58" s="208">
        <v>17</v>
      </c>
      <c r="B58" s="78" t="s">
        <v>134</v>
      </c>
      <c r="C58" s="165" t="s">
        <v>135</v>
      </c>
      <c r="D58" s="38" t="s">
        <v>975</v>
      </c>
      <c r="E58" s="39" t="s">
        <v>976</v>
      </c>
      <c r="F58" s="40">
        <v>12240.8</v>
      </c>
    </row>
    <row r="59" spans="1:6" s="229" customFormat="1" ht="22.5" customHeight="1" x14ac:dyDescent="0.5">
      <c r="A59" s="208">
        <v>18</v>
      </c>
      <c r="B59" s="226" t="s">
        <v>137</v>
      </c>
      <c r="C59" s="227"/>
      <c r="D59" s="38">
        <v>25212</v>
      </c>
      <c r="E59" s="39" t="s">
        <v>977</v>
      </c>
      <c r="F59" s="40">
        <v>2439.6</v>
      </c>
    </row>
    <row r="60" spans="1:6" ht="22.5" customHeight="1" x14ac:dyDescent="0.5">
      <c r="A60" s="208">
        <v>19</v>
      </c>
      <c r="B60" s="78" t="s">
        <v>54</v>
      </c>
      <c r="C60" s="81" t="s">
        <v>55</v>
      </c>
      <c r="D60" s="38">
        <v>25229</v>
      </c>
      <c r="E60" s="39" t="s">
        <v>978</v>
      </c>
      <c r="F60" s="40">
        <v>12593.9</v>
      </c>
    </row>
    <row r="61" spans="1:6" ht="22.5" customHeight="1" x14ac:dyDescent="0.5">
      <c r="A61" s="208">
        <v>20</v>
      </c>
      <c r="B61" s="78" t="s">
        <v>141</v>
      </c>
      <c r="C61" s="81" t="s">
        <v>142</v>
      </c>
      <c r="D61" s="38">
        <v>25230</v>
      </c>
      <c r="E61" s="39" t="s">
        <v>979</v>
      </c>
      <c r="F61" s="40">
        <v>4793.6000000000004</v>
      </c>
    </row>
    <row r="62" spans="1:6" ht="22.5" customHeight="1" x14ac:dyDescent="0.5">
      <c r="A62" s="208">
        <v>21</v>
      </c>
      <c r="B62" s="78" t="s">
        <v>144</v>
      </c>
      <c r="C62" s="81" t="s">
        <v>145</v>
      </c>
      <c r="D62" s="38">
        <v>25226</v>
      </c>
      <c r="E62" s="39" t="s">
        <v>980</v>
      </c>
      <c r="F62" s="40">
        <v>428</v>
      </c>
    </row>
    <row r="63" spans="1:6" ht="22.5" customHeight="1" x14ac:dyDescent="0.5">
      <c r="A63" s="208">
        <v>22</v>
      </c>
      <c r="B63" s="73" t="s">
        <v>147</v>
      </c>
      <c r="C63" s="25" t="s">
        <v>148</v>
      </c>
      <c r="D63" s="38">
        <v>25209</v>
      </c>
      <c r="E63" s="39" t="s">
        <v>981</v>
      </c>
      <c r="F63" s="40">
        <v>288.89999999999998</v>
      </c>
    </row>
    <row r="64" spans="1:6" ht="22.5" customHeight="1" x14ac:dyDescent="0.5">
      <c r="A64" s="208">
        <v>23</v>
      </c>
      <c r="B64" s="237" t="s">
        <v>149</v>
      </c>
      <c r="C64" s="238" t="s">
        <v>150</v>
      </c>
      <c r="D64" s="38">
        <v>25225</v>
      </c>
      <c r="E64" s="39" t="s">
        <v>982</v>
      </c>
      <c r="F64" s="40">
        <v>2225.6</v>
      </c>
    </row>
    <row r="65" spans="1:6" ht="22.5" customHeight="1" x14ac:dyDescent="0.5">
      <c r="A65" s="208">
        <v>24</v>
      </c>
      <c r="B65" s="240" t="s">
        <v>569</v>
      </c>
      <c r="C65" s="83" t="s">
        <v>153</v>
      </c>
      <c r="D65" s="38" t="s">
        <v>983</v>
      </c>
      <c r="E65" s="39" t="s">
        <v>984</v>
      </c>
      <c r="F65" s="40">
        <v>12433.4</v>
      </c>
    </row>
    <row r="66" spans="1:6" ht="22.5" customHeight="1" x14ac:dyDescent="0.5">
      <c r="A66" s="208">
        <v>25</v>
      </c>
      <c r="B66" s="240" t="s">
        <v>569</v>
      </c>
      <c r="C66" s="83"/>
      <c r="D66" s="38" t="s">
        <v>983</v>
      </c>
      <c r="E66" s="39" t="s">
        <v>984</v>
      </c>
      <c r="F66" s="40">
        <v>25551.599999999999</v>
      </c>
    </row>
    <row r="67" spans="1:6" ht="22.5" customHeight="1" x14ac:dyDescent="0.5">
      <c r="A67" s="208">
        <v>26</v>
      </c>
      <c r="B67" s="240" t="s">
        <v>157</v>
      </c>
      <c r="C67" s="83" t="s">
        <v>158</v>
      </c>
      <c r="D67" s="38">
        <v>25225</v>
      </c>
      <c r="E67" s="39" t="s">
        <v>985</v>
      </c>
      <c r="F67" s="40">
        <v>1819</v>
      </c>
    </row>
    <row r="68" spans="1:6" ht="22.5" customHeight="1" x14ac:dyDescent="0.5">
      <c r="A68" s="208">
        <v>27</v>
      </c>
      <c r="B68" s="209" t="s">
        <v>165</v>
      </c>
      <c r="C68" s="210" t="s">
        <v>166</v>
      </c>
      <c r="D68" s="38">
        <v>25225</v>
      </c>
      <c r="E68" s="39" t="s">
        <v>986</v>
      </c>
      <c r="F68" s="40">
        <v>2129.3000000000002</v>
      </c>
    </row>
    <row r="69" spans="1:6" ht="22.5" customHeight="1" x14ac:dyDescent="0.5">
      <c r="A69" s="208">
        <v>28</v>
      </c>
      <c r="B69" s="243" t="s">
        <v>168</v>
      </c>
      <c r="C69" s="244" t="s">
        <v>169</v>
      </c>
      <c r="D69" s="30" t="s">
        <v>987</v>
      </c>
      <c r="E69" s="31" t="s">
        <v>988</v>
      </c>
      <c r="F69" s="32">
        <v>11374.099999999999</v>
      </c>
    </row>
    <row r="70" spans="1:6" ht="22.5" customHeight="1" x14ac:dyDescent="0.5">
      <c r="A70" s="208">
        <v>29</v>
      </c>
      <c r="B70" s="209" t="s">
        <v>171</v>
      </c>
      <c r="C70" s="210"/>
      <c r="D70" s="38">
        <v>25225</v>
      </c>
      <c r="E70" s="39" t="s">
        <v>989</v>
      </c>
      <c r="F70" s="40">
        <v>449.4</v>
      </c>
    </row>
    <row r="71" spans="1:6" ht="22.5" customHeight="1" x14ac:dyDescent="0.5">
      <c r="A71" s="208">
        <v>30</v>
      </c>
      <c r="B71" s="209" t="s">
        <v>173</v>
      </c>
      <c r="C71" s="210" t="s">
        <v>174</v>
      </c>
      <c r="D71" s="38">
        <v>25225</v>
      </c>
      <c r="E71" s="39" t="s">
        <v>990</v>
      </c>
      <c r="F71" s="40">
        <v>1273.3</v>
      </c>
    </row>
    <row r="72" spans="1:6" ht="22.5" customHeight="1" x14ac:dyDescent="0.5">
      <c r="A72" s="208">
        <v>31</v>
      </c>
      <c r="B72" s="209" t="s">
        <v>175</v>
      </c>
      <c r="C72" s="210" t="s">
        <v>176</v>
      </c>
      <c r="D72" s="30" t="s">
        <v>991</v>
      </c>
      <c r="E72" s="31" t="s">
        <v>992</v>
      </c>
      <c r="F72" s="32">
        <v>6345.1</v>
      </c>
    </row>
    <row r="73" spans="1:6" ht="22.5" customHeight="1" x14ac:dyDescent="0.5">
      <c r="A73" s="208">
        <v>32</v>
      </c>
      <c r="B73" s="209" t="s">
        <v>181</v>
      </c>
      <c r="C73" s="210" t="s">
        <v>182</v>
      </c>
      <c r="D73" s="38">
        <v>25225</v>
      </c>
      <c r="E73" s="39" t="s">
        <v>993</v>
      </c>
      <c r="F73" s="40">
        <v>781.1</v>
      </c>
    </row>
    <row r="74" spans="1:6" ht="22.5" customHeight="1" x14ac:dyDescent="0.5">
      <c r="A74" s="208">
        <v>33</v>
      </c>
      <c r="B74" s="209" t="s">
        <v>64</v>
      </c>
      <c r="C74" s="210" t="s">
        <v>184</v>
      </c>
      <c r="D74" s="38">
        <v>25229</v>
      </c>
      <c r="E74" s="245" t="s">
        <v>994</v>
      </c>
      <c r="F74" s="246">
        <v>1872.5</v>
      </c>
    </row>
    <row r="75" spans="1:6" ht="22.5" customHeight="1" x14ac:dyDescent="0.5">
      <c r="A75" s="208">
        <v>34</v>
      </c>
      <c r="B75" s="209" t="s">
        <v>64</v>
      </c>
      <c r="C75" s="210" t="s">
        <v>184</v>
      </c>
      <c r="D75" s="38">
        <v>25229</v>
      </c>
      <c r="E75" s="245" t="s">
        <v>994</v>
      </c>
      <c r="F75" s="246">
        <v>2075.8000000000002</v>
      </c>
    </row>
    <row r="76" spans="1:6" ht="22.5" customHeight="1" x14ac:dyDescent="0.5">
      <c r="A76" s="208">
        <v>35</v>
      </c>
      <c r="B76" s="209" t="s">
        <v>186</v>
      </c>
      <c r="C76" s="210" t="s">
        <v>187</v>
      </c>
      <c r="D76" s="38">
        <v>25226</v>
      </c>
      <c r="E76" s="39" t="s">
        <v>995</v>
      </c>
      <c r="F76" s="246">
        <v>502.9</v>
      </c>
    </row>
    <row r="77" spans="1:6" ht="22.5" customHeight="1" x14ac:dyDescent="0.5">
      <c r="A77" s="208">
        <v>36</v>
      </c>
      <c r="B77" s="209" t="s">
        <v>191</v>
      </c>
      <c r="C77" s="210" t="s">
        <v>190</v>
      </c>
      <c r="D77" s="38">
        <v>25223</v>
      </c>
      <c r="E77" s="39" t="s">
        <v>996</v>
      </c>
      <c r="F77" s="246">
        <v>8570.7000000000007</v>
      </c>
    </row>
    <row r="78" spans="1:6" ht="22.5" customHeight="1" x14ac:dyDescent="0.5">
      <c r="A78" s="208">
        <v>37</v>
      </c>
      <c r="B78" s="209" t="s">
        <v>193</v>
      </c>
      <c r="C78" s="210" t="s">
        <v>194</v>
      </c>
      <c r="D78" s="38">
        <v>25208</v>
      </c>
      <c r="E78" s="39" t="s">
        <v>997</v>
      </c>
      <c r="F78" s="246">
        <v>1883.2</v>
      </c>
    </row>
    <row r="79" spans="1:6" ht="22.5" customHeight="1" x14ac:dyDescent="0.5">
      <c r="A79" s="208">
        <v>38</v>
      </c>
      <c r="B79" s="209" t="s">
        <v>195</v>
      </c>
      <c r="C79" s="210" t="s">
        <v>196</v>
      </c>
      <c r="D79" s="38">
        <v>25233</v>
      </c>
      <c r="E79" s="245" t="s">
        <v>998</v>
      </c>
      <c r="F79" s="246">
        <v>952.3</v>
      </c>
    </row>
    <row r="80" spans="1:6" ht="22.5" customHeight="1" x14ac:dyDescent="0.5">
      <c r="A80" s="208">
        <v>39</v>
      </c>
      <c r="B80" s="209" t="s">
        <v>198</v>
      </c>
      <c r="C80" s="210" t="s">
        <v>567</v>
      </c>
      <c r="D80" s="38">
        <v>25215</v>
      </c>
      <c r="E80" s="245" t="s">
        <v>999</v>
      </c>
      <c r="F80" s="246">
        <v>706.2</v>
      </c>
    </row>
    <row r="81" spans="1:8" ht="22.5" customHeight="1" x14ac:dyDescent="0.5">
      <c r="A81" s="208">
        <v>40</v>
      </c>
      <c r="B81" s="209" t="s">
        <v>208</v>
      </c>
      <c r="C81" s="210"/>
      <c r="D81" s="250">
        <v>25233</v>
      </c>
      <c r="E81" s="251" t="s">
        <v>1001</v>
      </c>
      <c r="F81" s="252">
        <v>5863.6</v>
      </c>
    </row>
    <row r="82" spans="1:8" ht="22.5" customHeight="1" x14ac:dyDescent="0.5">
      <c r="A82" s="208">
        <v>41</v>
      </c>
      <c r="B82" s="209" t="s">
        <v>210</v>
      </c>
      <c r="C82" s="210" t="s">
        <v>211</v>
      </c>
      <c r="D82" s="38">
        <v>25222</v>
      </c>
      <c r="E82" s="39" t="s">
        <v>1002</v>
      </c>
      <c r="F82" s="246">
        <v>6676.8</v>
      </c>
    </row>
    <row r="83" spans="1:8" ht="22.5" customHeight="1" x14ac:dyDescent="0.5">
      <c r="A83" s="208">
        <v>42</v>
      </c>
      <c r="B83" s="209" t="s">
        <v>214</v>
      </c>
      <c r="C83" s="210" t="s">
        <v>215</v>
      </c>
      <c r="D83" s="38">
        <v>24860</v>
      </c>
      <c r="E83" s="39" t="s">
        <v>1003</v>
      </c>
      <c r="F83" s="246">
        <v>1455.2</v>
      </c>
    </row>
    <row r="84" spans="1:8" ht="22.5" customHeight="1" x14ac:dyDescent="0.5">
      <c r="A84" s="208">
        <v>43</v>
      </c>
      <c r="B84" s="254" t="s">
        <v>217</v>
      </c>
      <c r="C84" s="238" t="s">
        <v>218</v>
      </c>
      <c r="D84" s="38">
        <v>25225</v>
      </c>
      <c r="E84" s="245" t="s">
        <v>1004</v>
      </c>
      <c r="F84" s="246">
        <v>2942.5</v>
      </c>
    </row>
    <row r="85" spans="1:8" ht="22.5" customHeight="1" x14ac:dyDescent="0.5">
      <c r="A85" s="208">
        <v>44</v>
      </c>
      <c r="B85" s="261" t="s">
        <v>224</v>
      </c>
      <c r="C85" s="261" t="s">
        <v>225</v>
      </c>
      <c r="D85" s="38">
        <v>25233</v>
      </c>
      <c r="E85" s="245" t="s">
        <v>1005</v>
      </c>
      <c r="F85" s="246">
        <v>385.2</v>
      </c>
    </row>
    <row r="86" spans="1:8" ht="22.5" customHeight="1" x14ac:dyDescent="0.5">
      <c r="A86" s="208">
        <v>45</v>
      </c>
      <c r="B86" s="265" t="s">
        <v>226</v>
      </c>
      <c r="C86" s="265" t="s">
        <v>227</v>
      </c>
      <c r="D86" s="38">
        <v>25210</v>
      </c>
      <c r="E86" s="245" t="s">
        <v>1006</v>
      </c>
      <c r="F86" s="246">
        <v>7778.9</v>
      </c>
    </row>
    <row r="87" spans="1:8" ht="22.5" customHeight="1" x14ac:dyDescent="0.5">
      <c r="A87" s="208">
        <v>46</v>
      </c>
      <c r="B87" s="265" t="s">
        <v>229</v>
      </c>
      <c r="C87" s="265" t="s">
        <v>230</v>
      </c>
      <c r="D87" s="101">
        <v>25229</v>
      </c>
      <c r="E87" s="102" t="s">
        <v>1007</v>
      </c>
      <c r="F87" s="272">
        <v>7661.2</v>
      </c>
    </row>
    <row r="88" spans="1:8" ht="22.5" customHeight="1" x14ac:dyDescent="0.5">
      <c r="A88" s="208">
        <v>47</v>
      </c>
      <c r="B88" s="265" t="s">
        <v>566</v>
      </c>
      <c r="C88" s="265" t="s">
        <v>567</v>
      </c>
      <c r="D88" s="672" t="s">
        <v>975</v>
      </c>
      <c r="E88" s="673" t="s">
        <v>1008</v>
      </c>
      <c r="F88" s="674">
        <v>5082.5</v>
      </c>
    </row>
    <row r="89" spans="1:8" ht="22.5" customHeight="1" x14ac:dyDescent="0.5">
      <c r="A89" s="208">
        <v>48</v>
      </c>
      <c r="B89" s="265" t="s">
        <v>568</v>
      </c>
      <c r="C89" s="265" t="s">
        <v>567</v>
      </c>
      <c r="D89" s="678" t="s">
        <v>975</v>
      </c>
      <c r="E89" s="679" t="s">
        <v>1008</v>
      </c>
      <c r="F89" s="680">
        <v>6291.6</v>
      </c>
    </row>
    <row r="90" spans="1:8" ht="22.5" customHeight="1" x14ac:dyDescent="0.5">
      <c r="A90" s="208">
        <v>49</v>
      </c>
      <c r="B90" s="265" t="s">
        <v>705</v>
      </c>
      <c r="C90" s="794"/>
      <c r="D90" s="672">
        <v>25226</v>
      </c>
      <c r="E90" s="673" t="s">
        <v>1009</v>
      </c>
      <c r="F90" s="674">
        <v>1016.5</v>
      </c>
    </row>
    <row r="91" spans="1:8" s="60" customFormat="1" ht="22.5" customHeight="1" thickBot="1" x14ac:dyDescent="0.35">
      <c r="A91" s="278"/>
      <c r="B91" s="278" t="s">
        <v>15</v>
      </c>
      <c r="C91" s="279"/>
      <c r="D91" s="280"/>
      <c r="E91" s="280">
        <v>0</v>
      </c>
      <c r="F91" s="280">
        <v>297577.7</v>
      </c>
      <c r="H91" s="683">
        <f>SUM(F42:F90)</f>
        <v>297577.7</v>
      </c>
    </row>
    <row r="92" spans="1:8" ht="22.5" customHeight="1" thickTop="1" x14ac:dyDescent="0.3">
      <c r="A92" s="61"/>
      <c r="B92" s="121" t="s">
        <v>232</v>
      </c>
      <c r="C92" s="63"/>
      <c r="D92" s="286"/>
      <c r="E92" s="287"/>
      <c r="F92" s="288"/>
    </row>
    <row r="93" spans="1:8" ht="22.5" customHeight="1" x14ac:dyDescent="0.5">
      <c r="A93" s="23">
        <v>1</v>
      </c>
      <c r="B93" s="73" t="s">
        <v>234</v>
      </c>
      <c r="C93" s="25" t="s">
        <v>235</v>
      </c>
      <c r="D93" s="30">
        <v>25219</v>
      </c>
      <c r="E93" s="31" t="s">
        <v>1010</v>
      </c>
      <c r="F93" s="32">
        <v>9450</v>
      </c>
    </row>
    <row r="94" spans="1:8" ht="22.5" customHeight="1" x14ac:dyDescent="0.5">
      <c r="A94" s="23">
        <v>2</v>
      </c>
      <c r="B94" s="73" t="s">
        <v>237</v>
      </c>
      <c r="C94" s="25" t="s">
        <v>238</v>
      </c>
      <c r="D94" s="30">
        <v>25219</v>
      </c>
      <c r="E94" s="31" t="s">
        <v>1011</v>
      </c>
      <c r="F94" s="32">
        <v>3150</v>
      </c>
    </row>
    <row r="95" spans="1:8" ht="22.5" customHeight="1" x14ac:dyDescent="0.5">
      <c r="A95" s="23">
        <v>3</v>
      </c>
      <c r="B95" s="73" t="s">
        <v>240</v>
      </c>
      <c r="C95" s="25" t="s">
        <v>241</v>
      </c>
      <c r="D95" s="30">
        <v>25231</v>
      </c>
      <c r="E95" s="31" t="s">
        <v>1012</v>
      </c>
      <c r="F95" s="32">
        <v>15750</v>
      </c>
    </row>
    <row r="96" spans="1:8" ht="22.5" customHeight="1" x14ac:dyDescent="0.5">
      <c r="A96" s="23">
        <v>4</v>
      </c>
      <c r="B96" s="73" t="s">
        <v>240</v>
      </c>
      <c r="C96" s="25" t="s">
        <v>242</v>
      </c>
      <c r="D96" s="30">
        <v>25231</v>
      </c>
      <c r="E96" s="31" t="s">
        <v>1012</v>
      </c>
      <c r="F96" s="32">
        <v>6300</v>
      </c>
    </row>
    <row r="97" spans="1:6" ht="22.5" customHeight="1" x14ac:dyDescent="0.5">
      <c r="A97" s="23">
        <v>5</v>
      </c>
      <c r="B97" s="73" t="s">
        <v>198</v>
      </c>
      <c r="C97" s="25" t="s">
        <v>243</v>
      </c>
      <c r="D97" s="30">
        <v>25215</v>
      </c>
      <c r="E97" s="31" t="s">
        <v>1013</v>
      </c>
      <c r="F97" s="32">
        <v>22050</v>
      </c>
    </row>
    <row r="98" spans="1:6" ht="22.5" customHeight="1" x14ac:dyDescent="0.5">
      <c r="A98" s="23">
        <v>6</v>
      </c>
      <c r="B98" s="73" t="s">
        <v>245</v>
      </c>
      <c r="C98" s="25" t="s">
        <v>246</v>
      </c>
      <c r="D98" s="30">
        <v>25212</v>
      </c>
      <c r="E98" s="31" t="s">
        <v>1014</v>
      </c>
      <c r="F98" s="32">
        <v>9450</v>
      </c>
    </row>
    <row r="99" spans="1:6" ht="22.5" customHeight="1" x14ac:dyDescent="0.5">
      <c r="A99" s="23">
        <v>7</v>
      </c>
      <c r="B99" s="209" t="s">
        <v>250</v>
      </c>
      <c r="C99" s="210" t="s">
        <v>251</v>
      </c>
      <c r="D99" s="30">
        <v>25217</v>
      </c>
      <c r="E99" s="31" t="s">
        <v>1015</v>
      </c>
      <c r="F99" s="32">
        <v>6300</v>
      </c>
    </row>
    <row r="100" spans="1:6" ht="22.5" customHeight="1" x14ac:dyDescent="0.5">
      <c r="A100" s="23">
        <v>8</v>
      </c>
      <c r="B100" s="73" t="s">
        <v>253</v>
      </c>
      <c r="C100" s="25" t="s">
        <v>254</v>
      </c>
      <c r="D100" s="30">
        <v>25222</v>
      </c>
      <c r="E100" s="31" t="s">
        <v>1016</v>
      </c>
      <c r="F100" s="32">
        <v>9450</v>
      </c>
    </row>
    <row r="101" spans="1:6" ht="22.5" customHeight="1" x14ac:dyDescent="0.5">
      <c r="A101" s="23">
        <v>9</v>
      </c>
      <c r="B101" s="73" t="s">
        <v>257</v>
      </c>
      <c r="C101" s="25" t="s">
        <v>258</v>
      </c>
      <c r="D101" s="30">
        <v>25212</v>
      </c>
      <c r="E101" s="31" t="s">
        <v>1017</v>
      </c>
      <c r="F101" s="32">
        <v>5600</v>
      </c>
    </row>
    <row r="102" spans="1:6" ht="22.5" customHeight="1" x14ac:dyDescent="0.5">
      <c r="A102" s="23">
        <v>10</v>
      </c>
      <c r="B102" s="73" t="s">
        <v>198</v>
      </c>
      <c r="C102" s="25" t="s">
        <v>260</v>
      </c>
      <c r="D102" s="30">
        <v>25215</v>
      </c>
      <c r="E102" s="31" t="s">
        <v>1013</v>
      </c>
      <c r="F102" s="32">
        <v>2800</v>
      </c>
    </row>
    <row r="103" spans="1:6" ht="22.5" customHeight="1" x14ac:dyDescent="0.5">
      <c r="A103" s="23">
        <v>11</v>
      </c>
      <c r="B103" s="73" t="s">
        <v>261</v>
      </c>
      <c r="C103" s="25" t="s">
        <v>262</v>
      </c>
      <c r="D103" s="30">
        <v>25222</v>
      </c>
      <c r="E103" s="31" t="s">
        <v>1018</v>
      </c>
      <c r="F103" s="32">
        <v>5600</v>
      </c>
    </row>
    <row r="104" spans="1:6" ht="22.5" customHeight="1" x14ac:dyDescent="0.5">
      <c r="A104" s="23">
        <v>12</v>
      </c>
      <c r="B104" s="73" t="s">
        <v>264</v>
      </c>
      <c r="C104" s="25" t="s">
        <v>265</v>
      </c>
      <c r="D104" s="30">
        <v>25222</v>
      </c>
      <c r="E104" s="31" t="s">
        <v>1018</v>
      </c>
      <c r="F104" s="32">
        <v>5600</v>
      </c>
    </row>
    <row r="105" spans="1:6" ht="22.5" customHeight="1" x14ac:dyDescent="0.5">
      <c r="A105" s="23">
        <v>13</v>
      </c>
      <c r="B105" s="73" t="s">
        <v>266</v>
      </c>
      <c r="C105" s="25" t="s">
        <v>267</v>
      </c>
      <c r="D105" s="30">
        <v>25212</v>
      </c>
      <c r="E105" s="31" t="s">
        <v>1019</v>
      </c>
      <c r="F105" s="32">
        <v>5600</v>
      </c>
    </row>
    <row r="106" spans="1:6" ht="22.5" customHeight="1" x14ac:dyDescent="0.5">
      <c r="A106" s="23">
        <v>14</v>
      </c>
      <c r="B106" s="73" t="s">
        <v>270</v>
      </c>
      <c r="C106" s="25" t="s">
        <v>271</v>
      </c>
      <c r="D106" s="30">
        <v>25209</v>
      </c>
      <c r="E106" s="31" t="s">
        <v>1020</v>
      </c>
      <c r="F106" s="32">
        <v>9450</v>
      </c>
    </row>
    <row r="107" spans="1:6" ht="22.5" customHeight="1" x14ac:dyDescent="0.5">
      <c r="A107" s="23">
        <v>15</v>
      </c>
      <c r="B107" s="73" t="s">
        <v>261</v>
      </c>
      <c r="C107" s="25" t="s">
        <v>273</v>
      </c>
      <c r="D107" s="30">
        <v>25222</v>
      </c>
      <c r="E107" s="31" t="s">
        <v>1018</v>
      </c>
      <c r="F107" s="32">
        <v>9450</v>
      </c>
    </row>
    <row r="108" spans="1:6" ht="22.5" customHeight="1" x14ac:dyDescent="0.5">
      <c r="A108" s="23">
        <v>16</v>
      </c>
      <c r="B108" s="73" t="s">
        <v>274</v>
      </c>
      <c r="C108" s="25" t="s">
        <v>275</v>
      </c>
      <c r="D108" s="30">
        <v>25212</v>
      </c>
      <c r="E108" s="31" t="s">
        <v>1021</v>
      </c>
      <c r="F108" s="32">
        <v>3150</v>
      </c>
    </row>
    <row r="109" spans="1:6" ht="22.5" customHeight="1" x14ac:dyDescent="0.5">
      <c r="A109" s="23">
        <v>17</v>
      </c>
      <c r="B109" s="73" t="s">
        <v>277</v>
      </c>
      <c r="C109" s="25" t="s">
        <v>278</v>
      </c>
      <c r="D109" s="30">
        <v>25209</v>
      </c>
      <c r="E109" s="31" t="s">
        <v>1022</v>
      </c>
      <c r="F109" s="32">
        <v>6300</v>
      </c>
    </row>
    <row r="110" spans="1:6" ht="22.5" customHeight="1" x14ac:dyDescent="0.5">
      <c r="A110" s="23">
        <v>18</v>
      </c>
      <c r="B110" s="73" t="s">
        <v>281</v>
      </c>
      <c r="C110" s="25" t="s">
        <v>282</v>
      </c>
      <c r="D110" s="30" t="s">
        <v>1023</v>
      </c>
      <c r="E110" s="31" t="s">
        <v>1024</v>
      </c>
      <c r="F110" s="32">
        <v>16800</v>
      </c>
    </row>
    <row r="111" spans="1:6" ht="22.5" customHeight="1" x14ac:dyDescent="0.5">
      <c r="A111" s="23">
        <v>19</v>
      </c>
      <c r="B111" s="73" t="s">
        <v>287</v>
      </c>
      <c r="C111" s="25" t="s">
        <v>288</v>
      </c>
      <c r="D111" s="30">
        <v>25208</v>
      </c>
      <c r="E111" s="31" t="s">
        <v>1025</v>
      </c>
      <c r="F111" s="32">
        <v>5600</v>
      </c>
    </row>
    <row r="112" spans="1:6" ht="22.5" customHeight="1" x14ac:dyDescent="0.5">
      <c r="A112" s="23">
        <v>20</v>
      </c>
      <c r="B112" s="73" t="s">
        <v>290</v>
      </c>
      <c r="C112" s="25" t="s">
        <v>291</v>
      </c>
      <c r="D112" s="30">
        <v>25208</v>
      </c>
      <c r="E112" s="31" t="s">
        <v>1026</v>
      </c>
      <c r="F112" s="32">
        <v>5600</v>
      </c>
    </row>
    <row r="113" spans="1:8" ht="22.5" customHeight="1" x14ac:dyDescent="0.5">
      <c r="A113" s="23">
        <v>21</v>
      </c>
      <c r="B113" s="73" t="s">
        <v>293</v>
      </c>
      <c r="C113" s="25" t="s">
        <v>294</v>
      </c>
      <c r="D113" s="30">
        <v>25212</v>
      </c>
      <c r="E113" s="31" t="s">
        <v>1027</v>
      </c>
      <c r="F113" s="32">
        <v>2800</v>
      </c>
    </row>
    <row r="114" spans="1:8" ht="22.5" customHeight="1" x14ac:dyDescent="0.5">
      <c r="A114" s="23">
        <v>22</v>
      </c>
      <c r="B114" s="209" t="s">
        <v>300</v>
      </c>
      <c r="C114" s="210" t="s">
        <v>301</v>
      </c>
      <c r="D114" s="30">
        <v>25216</v>
      </c>
      <c r="E114" s="31" t="s">
        <v>1028</v>
      </c>
      <c r="F114" s="32">
        <v>5600</v>
      </c>
    </row>
    <row r="115" spans="1:8" ht="22.5" customHeight="1" x14ac:dyDescent="0.5">
      <c r="A115" s="23">
        <v>23</v>
      </c>
      <c r="B115" s="209" t="s">
        <v>303</v>
      </c>
      <c r="C115" s="210" t="s">
        <v>304</v>
      </c>
      <c r="D115" s="30">
        <v>25226</v>
      </c>
      <c r="E115" s="249" t="s">
        <v>1029</v>
      </c>
      <c r="F115" s="221">
        <v>2800</v>
      </c>
    </row>
    <row r="116" spans="1:8" ht="22.5" customHeight="1" x14ac:dyDescent="0.5">
      <c r="A116" s="23">
        <v>24</v>
      </c>
      <c r="B116" s="73" t="s">
        <v>308</v>
      </c>
      <c r="C116" s="25" t="s">
        <v>309</v>
      </c>
      <c r="D116" s="30">
        <v>25229</v>
      </c>
      <c r="E116" s="31" t="s">
        <v>1030</v>
      </c>
      <c r="F116" s="32">
        <v>8400</v>
      </c>
    </row>
    <row r="117" spans="1:8" ht="22.5" customHeight="1" x14ac:dyDescent="0.5">
      <c r="A117" s="23">
        <v>25</v>
      </c>
      <c r="B117" s="73" t="s">
        <v>261</v>
      </c>
      <c r="C117" s="25" t="s">
        <v>311</v>
      </c>
      <c r="D117" s="30">
        <v>25222</v>
      </c>
      <c r="E117" s="31" t="s">
        <v>1018</v>
      </c>
      <c r="F117" s="32">
        <v>2800</v>
      </c>
    </row>
    <row r="118" spans="1:8" ht="22.5" customHeight="1" x14ac:dyDescent="0.5">
      <c r="A118" s="23">
        <v>26</v>
      </c>
      <c r="B118" s="310" t="s">
        <v>261</v>
      </c>
      <c r="C118" s="311" t="s">
        <v>312</v>
      </c>
      <c r="D118" s="30">
        <v>25222</v>
      </c>
      <c r="E118" s="31" t="s">
        <v>1018</v>
      </c>
      <c r="F118" s="32">
        <v>2800</v>
      </c>
    </row>
    <row r="119" spans="1:8" ht="22.5" customHeight="1" x14ac:dyDescent="0.5">
      <c r="A119" s="23">
        <v>27</v>
      </c>
      <c r="B119" s="73" t="s">
        <v>313</v>
      </c>
      <c r="C119" s="25" t="s">
        <v>314</v>
      </c>
      <c r="D119" s="30">
        <v>25222</v>
      </c>
      <c r="E119" s="31" t="s">
        <v>1016</v>
      </c>
      <c r="F119" s="32">
        <v>2800</v>
      </c>
    </row>
    <row r="120" spans="1:8" ht="22.5" customHeight="1" x14ac:dyDescent="0.5">
      <c r="A120" s="23">
        <v>28</v>
      </c>
      <c r="B120" s="73" t="s">
        <v>261</v>
      </c>
      <c r="C120" s="25" t="s">
        <v>316</v>
      </c>
      <c r="D120" s="30">
        <v>25222</v>
      </c>
      <c r="E120" s="31" t="s">
        <v>1018</v>
      </c>
      <c r="F120" s="32">
        <v>2800</v>
      </c>
    </row>
    <row r="121" spans="1:8" ht="22.5" customHeight="1" x14ac:dyDescent="0.5">
      <c r="A121" s="23">
        <v>29</v>
      </c>
      <c r="B121" s="73" t="s">
        <v>317</v>
      </c>
      <c r="C121" s="25" t="s">
        <v>318</v>
      </c>
      <c r="D121" s="30">
        <v>25210</v>
      </c>
      <c r="E121" s="31" t="s">
        <v>1031</v>
      </c>
      <c r="F121" s="32">
        <v>2800</v>
      </c>
    </row>
    <row r="122" spans="1:8" ht="22.5" customHeight="1" x14ac:dyDescent="0.5">
      <c r="A122" s="23">
        <v>30</v>
      </c>
      <c r="B122" s="73" t="s">
        <v>320</v>
      </c>
      <c r="C122" s="25" t="s">
        <v>321</v>
      </c>
      <c r="D122" s="30">
        <v>25229</v>
      </c>
      <c r="E122" s="31" t="s">
        <v>1032</v>
      </c>
      <c r="F122" s="32">
        <v>2800</v>
      </c>
    </row>
    <row r="123" spans="1:8" ht="22.5" customHeight="1" x14ac:dyDescent="0.5">
      <c r="A123" s="23">
        <v>31</v>
      </c>
      <c r="B123" s="73" t="s">
        <v>322</v>
      </c>
      <c r="C123" s="25" t="s">
        <v>323</v>
      </c>
      <c r="D123" s="30">
        <v>25231</v>
      </c>
      <c r="E123" s="31" t="s">
        <v>1033</v>
      </c>
      <c r="F123" s="32">
        <v>5600</v>
      </c>
    </row>
    <row r="124" spans="1:8" ht="22.5" customHeight="1" x14ac:dyDescent="0.5">
      <c r="A124" s="23">
        <v>32</v>
      </c>
      <c r="B124" s="73" t="s">
        <v>293</v>
      </c>
      <c r="C124" s="25" t="s">
        <v>326</v>
      </c>
      <c r="D124" s="30">
        <v>25212</v>
      </c>
      <c r="E124" s="31" t="s">
        <v>1027</v>
      </c>
      <c r="F124" s="32">
        <v>5600</v>
      </c>
    </row>
    <row r="125" spans="1:8" ht="22.5" customHeight="1" x14ac:dyDescent="0.5">
      <c r="A125" s="23">
        <v>33</v>
      </c>
      <c r="B125" s="73" t="s">
        <v>293</v>
      </c>
      <c r="C125" s="25" t="s">
        <v>327</v>
      </c>
      <c r="D125" s="30">
        <v>25212</v>
      </c>
      <c r="E125" s="31" t="s">
        <v>1027</v>
      </c>
      <c r="F125" s="32">
        <v>5600</v>
      </c>
      <c r="H125" s="790">
        <f>SUM(F93:F125)</f>
        <v>216650</v>
      </c>
    </row>
    <row r="126" spans="1:8" ht="22.5" customHeight="1" x14ac:dyDescent="0.5">
      <c r="A126" s="23">
        <v>34</v>
      </c>
      <c r="B126" s="24" t="s">
        <v>329</v>
      </c>
      <c r="C126" s="25" t="s">
        <v>330</v>
      </c>
      <c r="D126" s="30">
        <v>25225</v>
      </c>
      <c r="E126" s="31" t="s">
        <v>1035</v>
      </c>
      <c r="F126" s="32">
        <v>130536.37</v>
      </c>
    </row>
    <row r="127" spans="1:8" ht="22.5" customHeight="1" x14ac:dyDescent="0.5">
      <c r="A127" s="23">
        <v>35</v>
      </c>
      <c r="B127" s="24" t="s">
        <v>329</v>
      </c>
      <c r="C127" s="25" t="s">
        <v>331</v>
      </c>
      <c r="D127" s="30">
        <v>25225</v>
      </c>
      <c r="E127" s="31" t="s">
        <v>1036</v>
      </c>
      <c r="F127" s="32">
        <v>96520.67</v>
      </c>
    </row>
    <row r="128" spans="1:8" ht="22.5" customHeight="1" x14ac:dyDescent="0.5">
      <c r="A128" s="23">
        <v>36</v>
      </c>
      <c r="B128" s="24" t="s">
        <v>332</v>
      </c>
      <c r="C128" s="25" t="s">
        <v>333</v>
      </c>
      <c r="D128" s="30">
        <v>25210</v>
      </c>
      <c r="E128" s="31" t="s">
        <v>1037</v>
      </c>
      <c r="F128" s="32">
        <v>63810</v>
      </c>
    </row>
    <row r="129" spans="1:8" ht="22.5" customHeight="1" x14ac:dyDescent="0.5">
      <c r="A129" s="23">
        <v>37</v>
      </c>
      <c r="B129" s="332" t="s">
        <v>335</v>
      </c>
      <c r="C129" s="81" t="s">
        <v>336</v>
      </c>
      <c r="D129" s="335">
        <v>25218</v>
      </c>
      <c r="E129" s="336" t="s">
        <v>1038</v>
      </c>
      <c r="F129" s="337">
        <v>60170</v>
      </c>
    </row>
    <row r="130" spans="1:8" ht="22.5" customHeight="1" x14ac:dyDescent="0.5">
      <c r="A130" s="23">
        <v>38</v>
      </c>
      <c r="B130" s="24" t="s">
        <v>338</v>
      </c>
      <c r="C130" s="25" t="s">
        <v>339</v>
      </c>
      <c r="D130" s="335">
        <v>25215</v>
      </c>
      <c r="E130" s="336" t="s">
        <v>1039</v>
      </c>
      <c r="F130" s="342">
        <v>23527.65</v>
      </c>
    </row>
    <row r="131" spans="1:8" ht="22.5" customHeight="1" x14ac:dyDescent="0.5">
      <c r="A131" s="23">
        <v>39</v>
      </c>
      <c r="B131" s="343" t="s">
        <v>341</v>
      </c>
      <c r="C131" s="165" t="s">
        <v>342</v>
      </c>
      <c r="D131" s="345">
        <v>25229</v>
      </c>
      <c r="E131" s="346" t="s">
        <v>1040</v>
      </c>
      <c r="F131" s="347">
        <v>20715.32</v>
      </c>
    </row>
    <row r="132" spans="1:8" ht="22.5" customHeight="1" x14ac:dyDescent="0.5">
      <c r="A132" s="23">
        <v>40</v>
      </c>
      <c r="B132" s="332" t="s">
        <v>344</v>
      </c>
      <c r="C132" s="81" t="s">
        <v>345</v>
      </c>
      <c r="D132" s="182">
        <v>25226</v>
      </c>
      <c r="E132" s="350" t="s">
        <v>1041</v>
      </c>
      <c r="F132" s="337">
        <v>21986</v>
      </c>
    </row>
    <row r="133" spans="1:8" s="356" customFormat="1" ht="22.5" customHeight="1" x14ac:dyDescent="0.5">
      <c r="A133" s="23">
        <v>41</v>
      </c>
      <c r="B133" s="24" t="s">
        <v>347</v>
      </c>
      <c r="C133" s="351" t="s">
        <v>348</v>
      </c>
      <c r="D133" s="30">
        <v>25218</v>
      </c>
      <c r="E133" s="31" t="s">
        <v>1042</v>
      </c>
      <c r="F133" s="32">
        <v>20000</v>
      </c>
      <c r="H133" s="899">
        <f>SUM(F126:F133)</f>
        <v>437266.01</v>
      </c>
    </row>
    <row r="134" spans="1:8" ht="22.5" customHeight="1" x14ac:dyDescent="0.5">
      <c r="A134" s="23">
        <v>42</v>
      </c>
      <c r="B134" s="290" t="s">
        <v>147</v>
      </c>
      <c r="C134" s="371" t="s">
        <v>351</v>
      </c>
      <c r="D134" s="30">
        <v>25210</v>
      </c>
      <c r="E134" s="220" t="s">
        <v>1043</v>
      </c>
      <c r="F134" s="221">
        <v>1400</v>
      </c>
    </row>
    <row r="135" spans="1:8" ht="22.5" customHeight="1" x14ac:dyDescent="0.5">
      <c r="A135" s="23">
        <v>43</v>
      </c>
      <c r="B135" s="290" t="s">
        <v>355</v>
      </c>
      <c r="C135" s="371" t="s">
        <v>356</v>
      </c>
      <c r="D135" s="30">
        <v>25219</v>
      </c>
      <c r="E135" s="220" t="s">
        <v>1044</v>
      </c>
      <c r="F135" s="221">
        <v>9400</v>
      </c>
    </row>
    <row r="136" spans="1:8" ht="22.5" customHeight="1" x14ac:dyDescent="0.5">
      <c r="A136" s="23">
        <v>44</v>
      </c>
      <c r="B136" s="374" t="s">
        <v>358</v>
      </c>
      <c r="C136" s="375" t="s">
        <v>356</v>
      </c>
      <c r="D136" s="38">
        <v>25234</v>
      </c>
      <c r="E136" s="376" t="s">
        <v>1045</v>
      </c>
      <c r="F136" s="246">
        <v>9810</v>
      </c>
    </row>
    <row r="137" spans="1:8" ht="22.5" customHeight="1" x14ac:dyDescent="0.5">
      <c r="A137" s="23">
        <v>45</v>
      </c>
      <c r="B137" s="378" t="s">
        <v>359</v>
      </c>
      <c r="C137" s="311" t="s">
        <v>360</v>
      </c>
      <c r="D137" s="38">
        <v>25208</v>
      </c>
      <c r="E137" s="376" t="s">
        <v>1046</v>
      </c>
      <c r="F137" s="246">
        <v>6000</v>
      </c>
    </row>
    <row r="138" spans="1:8" ht="22.5" customHeight="1" x14ac:dyDescent="0.5">
      <c r="A138" s="23">
        <v>46</v>
      </c>
      <c r="B138" s="149" t="s">
        <v>281</v>
      </c>
      <c r="C138" s="311" t="s">
        <v>360</v>
      </c>
      <c r="D138" s="30">
        <v>25212</v>
      </c>
      <c r="E138" s="31" t="s">
        <v>1047</v>
      </c>
      <c r="F138" s="32">
        <v>6000</v>
      </c>
      <c r="H138" s="790">
        <f>SUM(F134:F138)</f>
        <v>32610</v>
      </c>
    </row>
    <row r="139" spans="1:8" ht="22.5" customHeight="1" x14ac:dyDescent="0.5">
      <c r="A139" s="23">
        <v>47</v>
      </c>
      <c r="B139" s="73" t="s">
        <v>364</v>
      </c>
      <c r="C139" s="25" t="s">
        <v>365</v>
      </c>
      <c r="D139" s="30">
        <v>25222</v>
      </c>
      <c r="E139" s="31" t="s">
        <v>1048</v>
      </c>
      <c r="F139" s="32">
        <v>10000</v>
      </c>
    </row>
    <row r="140" spans="1:8" ht="22.5" customHeight="1" x14ac:dyDescent="0.5">
      <c r="A140" s="23">
        <v>48</v>
      </c>
      <c r="B140" s="290" t="s">
        <v>367</v>
      </c>
      <c r="C140" s="25" t="s">
        <v>368</v>
      </c>
      <c r="D140" s="250">
        <v>25215</v>
      </c>
      <c r="E140" s="251" t="s">
        <v>1049</v>
      </c>
      <c r="F140" s="390">
        <v>3500</v>
      </c>
    </row>
    <row r="141" spans="1:8" ht="22.5" customHeight="1" x14ac:dyDescent="0.5">
      <c r="A141" s="23">
        <v>49</v>
      </c>
      <c r="B141" s="392" t="s">
        <v>370</v>
      </c>
      <c r="C141" s="63" t="s">
        <v>371</v>
      </c>
      <c r="D141" s="30">
        <v>25222</v>
      </c>
      <c r="E141" s="31" t="s">
        <v>1050</v>
      </c>
      <c r="F141" s="32">
        <v>12000</v>
      </c>
    </row>
    <row r="142" spans="1:8" ht="22.5" customHeight="1" x14ac:dyDescent="0.3">
      <c r="A142" s="23">
        <v>50</v>
      </c>
      <c r="B142" s="398" t="s">
        <v>373</v>
      </c>
      <c r="C142" s="165" t="s">
        <v>374</v>
      </c>
      <c r="D142" s="399">
        <v>25208</v>
      </c>
      <c r="E142" s="400" t="s">
        <v>1051</v>
      </c>
      <c r="F142" s="401">
        <v>4100</v>
      </c>
    </row>
    <row r="143" spans="1:8" ht="22.5" customHeight="1" x14ac:dyDescent="0.5">
      <c r="A143" s="23">
        <v>51</v>
      </c>
      <c r="B143" s="402" t="s">
        <v>376</v>
      </c>
      <c r="C143" s="403" t="s">
        <v>377</v>
      </c>
      <c r="D143" s="30">
        <v>25208</v>
      </c>
      <c r="E143" s="31" t="s">
        <v>1052</v>
      </c>
      <c r="F143" s="32">
        <v>1850</v>
      </c>
    </row>
    <row r="144" spans="1:8" ht="22.5" customHeight="1" x14ac:dyDescent="0.5">
      <c r="A144" s="23">
        <v>52</v>
      </c>
      <c r="B144" s="149" t="s">
        <v>383</v>
      </c>
      <c r="C144" s="311" t="s">
        <v>384</v>
      </c>
      <c r="D144" s="250">
        <v>25208</v>
      </c>
      <c r="E144" s="251" t="s">
        <v>1053</v>
      </c>
      <c r="F144" s="390">
        <v>5400</v>
      </c>
      <c r="H144" s="790">
        <f>SUM(F139:F144)</f>
        <v>36850</v>
      </c>
    </row>
    <row r="145" spans="1:9" s="60" customFormat="1" ht="22.5" customHeight="1" thickBot="1" x14ac:dyDescent="0.35">
      <c r="A145" s="317"/>
      <c r="B145" s="317" t="s">
        <v>15</v>
      </c>
      <c r="C145" s="318"/>
      <c r="D145" s="383"/>
      <c r="E145" s="383">
        <v>0</v>
      </c>
      <c r="F145" s="383">
        <f>SUM(F93:F144)</f>
        <v>723376.01</v>
      </c>
      <c r="I145" s="900">
        <f>SUM(H125:H144)</f>
        <v>723376.01</v>
      </c>
    </row>
    <row r="146" spans="1:9" ht="22.5" customHeight="1" thickTop="1" x14ac:dyDescent="0.3">
      <c r="A146" s="61"/>
      <c r="B146" s="62" t="s">
        <v>386</v>
      </c>
      <c r="C146" s="63"/>
      <c r="D146" s="68"/>
      <c r="E146" s="68"/>
      <c r="F146" s="64"/>
    </row>
    <row r="147" spans="1:9" ht="22.5" customHeight="1" x14ac:dyDescent="0.3">
      <c r="A147" s="208">
        <v>1</v>
      </c>
      <c r="B147" s="290" t="s">
        <v>389</v>
      </c>
      <c r="C147" s="25" t="s">
        <v>390</v>
      </c>
      <c r="D147" s="335">
        <v>25209</v>
      </c>
      <c r="E147" s="410" t="s">
        <v>1054</v>
      </c>
      <c r="F147" s="411">
        <v>3150</v>
      </c>
    </row>
    <row r="148" spans="1:9" s="60" customFormat="1" ht="22.5" customHeight="1" thickBot="1" x14ac:dyDescent="0.35">
      <c r="A148" s="317"/>
      <c r="B148" s="317" t="s">
        <v>15</v>
      </c>
      <c r="C148" s="318"/>
      <c r="D148" s="383"/>
      <c r="E148" s="383">
        <v>0</v>
      </c>
      <c r="F148" s="383">
        <v>3150</v>
      </c>
      <c r="H148" s="683">
        <f>SUM(F147)</f>
        <v>3150</v>
      </c>
    </row>
    <row r="149" spans="1:9" ht="22.5" customHeight="1" thickTop="1" x14ac:dyDescent="0.3">
      <c r="A149" s="61"/>
      <c r="B149" s="164" t="s">
        <v>399</v>
      </c>
      <c r="C149" s="63"/>
      <c r="D149" s="68"/>
      <c r="E149" s="445"/>
      <c r="F149" s="64"/>
    </row>
    <row r="150" spans="1:9" ht="22.5" customHeight="1" x14ac:dyDescent="0.5">
      <c r="A150" s="61">
        <v>1</v>
      </c>
      <c r="B150" s="290" t="s">
        <v>397</v>
      </c>
      <c r="C150" s="63" t="s">
        <v>417</v>
      </c>
      <c r="D150" s="449">
        <v>25219</v>
      </c>
      <c r="E150" s="450" t="s">
        <v>1055</v>
      </c>
      <c r="F150" s="451">
        <v>8604.76</v>
      </c>
    </row>
    <row r="151" spans="1:9" ht="22.5" customHeight="1" x14ac:dyDescent="0.5">
      <c r="A151" s="61">
        <v>2</v>
      </c>
      <c r="B151" s="290" t="s">
        <v>398</v>
      </c>
      <c r="C151" s="63" t="s">
        <v>417</v>
      </c>
      <c r="D151" s="449">
        <v>25208</v>
      </c>
      <c r="E151" s="450" t="s">
        <v>1056</v>
      </c>
      <c r="F151" s="451">
        <v>3283.84</v>
      </c>
    </row>
    <row r="152" spans="1:9" ht="22.5" customHeight="1" x14ac:dyDescent="0.5">
      <c r="A152" s="61">
        <v>3</v>
      </c>
      <c r="B152" s="290" t="s">
        <v>456</v>
      </c>
      <c r="C152" s="63" t="s">
        <v>457</v>
      </c>
      <c r="D152" s="449">
        <v>25208</v>
      </c>
      <c r="E152" s="450" t="s">
        <v>1057</v>
      </c>
      <c r="F152" s="451">
        <v>1064.44</v>
      </c>
    </row>
    <row r="153" spans="1:9" s="60" customFormat="1" ht="22.5" customHeight="1" thickBot="1" x14ac:dyDescent="0.35">
      <c r="A153" s="362"/>
      <c r="B153" s="362" t="s">
        <v>15</v>
      </c>
      <c r="C153" s="455"/>
      <c r="D153" s="457"/>
      <c r="E153" s="458"/>
      <c r="F153" s="458">
        <v>12953.04</v>
      </c>
      <c r="H153" s="683">
        <f>SUM(F150:F152)</f>
        <v>12953.04</v>
      </c>
    </row>
    <row r="154" spans="1:9" s="60" customFormat="1" ht="22.5" customHeight="1" thickTop="1" thickBot="1" x14ac:dyDescent="0.35">
      <c r="A154" s="459"/>
      <c r="B154" s="460" t="s">
        <v>497</v>
      </c>
      <c r="C154" s="461"/>
      <c r="D154" s="462">
        <v>0</v>
      </c>
      <c r="E154" s="462">
        <v>0</v>
      </c>
      <c r="F154" s="462">
        <v>1145190.51</v>
      </c>
      <c r="I154" s="683">
        <f>SUM(H12:H153)</f>
        <v>1145190.51</v>
      </c>
    </row>
    <row r="155" spans="1:9" ht="22.5" customHeight="1" thickTop="1" x14ac:dyDescent="0.3"/>
    <row r="156" spans="1:9" s="636" customFormat="1" x14ac:dyDescent="0.6">
      <c r="A156" s="1128" t="s">
        <v>524</v>
      </c>
      <c r="B156" s="1128"/>
      <c r="C156" s="1128"/>
      <c r="D156" s="1128"/>
      <c r="E156" s="1128"/>
      <c r="F156" s="1128"/>
    </row>
    <row r="157" spans="1:9" s="599" customFormat="1" x14ac:dyDescent="0.6">
      <c r="A157" s="646">
        <v>1</v>
      </c>
      <c r="B157" s="647" t="s">
        <v>521</v>
      </c>
      <c r="C157" s="647" t="s">
        <v>522</v>
      </c>
      <c r="D157" s="644" t="s">
        <v>1060</v>
      </c>
      <c r="E157" s="644" t="s">
        <v>1058</v>
      </c>
      <c r="F157" s="645">
        <v>8400</v>
      </c>
    </row>
    <row r="158" spans="1:9" s="599" customFormat="1" ht="24" thickBot="1" x14ac:dyDescent="0.65">
      <c r="A158" s="619"/>
      <c r="B158" s="620" t="s">
        <v>535</v>
      </c>
      <c r="C158" s="621"/>
      <c r="D158" s="625"/>
      <c r="E158" s="625"/>
      <c r="F158" s="625">
        <v>8400</v>
      </c>
      <c r="H158" s="691">
        <f>SUM(F157)</f>
        <v>8400</v>
      </c>
    </row>
    <row r="159" spans="1:9" ht="22.5" customHeight="1" thickTop="1" x14ac:dyDescent="0.3">
      <c r="D159" s="584"/>
      <c r="E159" s="585"/>
    </row>
    <row r="160" spans="1:9" ht="22.5" customHeight="1" x14ac:dyDescent="0.3">
      <c r="D160" s="584"/>
      <c r="E160" s="585"/>
      <c r="F160" s="657">
        <v>1153590.51</v>
      </c>
      <c r="I160" s="901">
        <f>SUM(I154+H158)</f>
        <v>1153590.51</v>
      </c>
    </row>
    <row r="161" spans="2:4" ht="22.5" customHeight="1" x14ac:dyDescent="0.5">
      <c r="B161" s="587" t="s">
        <v>537</v>
      </c>
      <c r="C161" s="587"/>
      <c r="D161" s="587"/>
    </row>
    <row r="162" spans="2:4" x14ac:dyDescent="0.5">
      <c r="B162" s="1129" t="s">
        <v>538</v>
      </c>
      <c r="C162" s="1129"/>
      <c r="D162" s="1129"/>
    </row>
    <row r="163" spans="2:4" x14ac:dyDescent="0.5">
      <c r="B163" s="1129" t="s">
        <v>539</v>
      </c>
      <c r="C163" s="1129"/>
      <c r="D163" s="1129"/>
    </row>
  </sheetData>
  <mergeCells count="10">
    <mergeCell ref="A156:F156"/>
    <mergeCell ref="B162:D162"/>
    <mergeCell ref="B163:D163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94EF-C198-4682-9185-72931097A4C5}">
  <sheetPr>
    <tabColor rgb="FF92D050"/>
  </sheetPr>
  <dimension ref="A1:AE101"/>
  <sheetViews>
    <sheetView zoomScale="70" zoomScaleNormal="70" workbookViewId="0">
      <pane ySplit="6" topLeftCell="A47" activePane="bottomLeft" state="frozen"/>
      <selection pane="bottomLeft" activeCell="G61" sqref="G61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24" style="696" customWidth="1"/>
    <col min="5" max="5" width="14.5546875" style="662" customWidth="1"/>
    <col min="6" max="6" width="5.77734375" style="662" customWidth="1"/>
    <col min="7" max="7" width="16.5546875" style="665" customWidth="1"/>
    <col min="8" max="16384" width="27.109375" style="3"/>
  </cols>
  <sheetData>
    <row r="1" spans="1:31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2"/>
    </row>
    <row r="2" spans="1:31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2"/>
    </row>
    <row r="3" spans="1:31" ht="22.5" customHeight="1" x14ac:dyDescent="0.3">
      <c r="A3" s="1110" t="s">
        <v>934</v>
      </c>
      <c r="B3" s="1111"/>
      <c r="C3" s="1111"/>
      <c r="D3" s="1111"/>
      <c r="E3" s="1111"/>
      <c r="F3" s="1111"/>
      <c r="G3" s="1111"/>
      <c r="H3" s="2"/>
    </row>
    <row r="4" spans="1:31" ht="22.5" customHeight="1" x14ac:dyDescent="0.3">
      <c r="A4" s="1112" t="s">
        <v>3</v>
      </c>
      <c r="B4" s="1112" t="s">
        <v>4</v>
      </c>
      <c r="C4" s="1115" t="s">
        <v>5</v>
      </c>
      <c r="D4" s="796"/>
      <c r="E4" s="1118" t="s">
        <v>9</v>
      </c>
      <c r="F4" s="1119"/>
      <c r="G4" s="1120"/>
      <c r="H4" s="2"/>
    </row>
    <row r="5" spans="1:31" ht="22.5" customHeight="1" x14ac:dyDescent="0.3">
      <c r="A5" s="1113"/>
      <c r="B5" s="1113"/>
      <c r="C5" s="1116"/>
      <c r="D5" s="797" t="s">
        <v>618</v>
      </c>
      <c r="E5" s="1121" t="s">
        <v>10</v>
      </c>
      <c r="F5" s="882"/>
      <c r="G5" s="667"/>
      <c r="H5" s="2"/>
    </row>
    <row r="6" spans="1:31" ht="22.5" customHeight="1" x14ac:dyDescent="0.3">
      <c r="A6" s="1114"/>
      <c r="B6" s="1114"/>
      <c r="C6" s="1117"/>
      <c r="D6" s="695"/>
      <c r="E6" s="1122"/>
      <c r="F6" s="883" t="s">
        <v>937</v>
      </c>
      <c r="G6" s="10" t="s">
        <v>15</v>
      </c>
      <c r="H6" s="2"/>
    </row>
    <row r="7" spans="1:31" ht="22.5" customHeight="1" x14ac:dyDescent="0.3">
      <c r="A7" s="61"/>
      <c r="B7" s="62" t="s">
        <v>37</v>
      </c>
      <c r="C7" s="63"/>
      <c r="D7" s="798"/>
      <c r="E7" s="69"/>
      <c r="F7" s="69"/>
      <c r="G7" s="72"/>
      <c r="H7" s="2"/>
    </row>
    <row r="8" spans="1:31" ht="22.5" customHeight="1" x14ac:dyDescent="0.3">
      <c r="A8" s="23">
        <v>1</v>
      </c>
      <c r="B8" s="73" t="s">
        <v>45</v>
      </c>
      <c r="C8" s="25" t="s">
        <v>46</v>
      </c>
      <c r="D8" s="799"/>
      <c r="E8" s="33" t="s">
        <v>958</v>
      </c>
      <c r="F8" s="747" t="s">
        <v>33</v>
      </c>
      <c r="G8" s="36">
        <v>1701.2999999999997</v>
      </c>
      <c r="H8" s="2"/>
    </row>
    <row r="9" spans="1:31" ht="22.5" customHeight="1" x14ac:dyDescent="0.3">
      <c r="A9" s="23">
        <v>2</v>
      </c>
      <c r="B9" s="89" t="s">
        <v>64</v>
      </c>
      <c r="C9" s="90" t="s">
        <v>65</v>
      </c>
      <c r="D9" s="902"/>
      <c r="E9" s="69" t="s">
        <v>958</v>
      </c>
      <c r="F9" s="69" t="s">
        <v>33</v>
      </c>
      <c r="G9" s="36">
        <v>21400</v>
      </c>
      <c r="H9" s="93"/>
    </row>
    <row r="10" spans="1:31" s="60" customFormat="1" ht="22.5" customHeight="1" thickBot="1" x14ac:dyDescent="0.35">
      <c r="A10" s="48"/>
      <c r="B10" s="48" t="s">
        <v>15</v>
      </c>
      <c r="C10" s="49"/>
      <c r="D10" s="800"/>
      <c r="E10" s="107"/>
      <c r="F10" s="107"/>
      <c r="G10" s="110">
        <v>23101.300000000003</v>
      </c>
      <c r="H10" s="683">
        <f>SUM(G8:G9)</f>
        <v>23101.3</v>
      </c>
    </row>
    <row r="11" spans="1:31" ht="22.5" customHeight="1" thickTop="1" x14ac:dyDescent="0.3">
      <c r="A11" s="61"/>
      <c r="B11" s="121" t="s">
        <v>78</v>
      </c>
      <c r="C11" s="63"/>
      <c r="D11" s="798"/>
      <c r="E11" s="69"/>
      <c r="F11" s="69"/>
      <c r="G11" s="72"/>
    </row>
    <row r="12" spans="1:31" s="134" customFormat="1" ht="22.5" customHeight="1" x14ac:dyDescent="0.6">
      <c r="A12" s="122">
        <v>1</v>
      </c>
      <c r="B12" s="123" t="s">
        <v>80</v>
      </c>
      <c r="C12" s="124" t="s">
        <v>65</v>
      </c>
      <c r="D12" s="903"/>
      <c r="E12" s="137" t="s">
        <v>958</v>
      </c>
      <c r="F12" s="137" t="s">
        <v>33</v>
      </c>
      <c r="G12" s="36">
        <v>5350</v>
      </c>
      <c r="H12" s="130"/>
      <c r="I12" s="130"/>
      <c r="J12" s="131"/>
      <c r="K12" s="132"/>
      <c r="L12" s="131"/>
      <c r="M12" s="132"/>
      <c r="N12" s="132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</row>
    <row r="13" spans="1:31" s="60" customFormat="1" ht="22.5" customHeight="1" thickBot="1" x14ac:dyDescent="0.35">
      <c r="A13" s="48"/>
      <c r="B13" s="48" t="s">
        <v>15</v>
      </c>
      <c r="C13" s="49"/>
      <c r="D13" s="800"/>
      <c r="E13" s="119"/>
      <c r="F13" s="119"/>
      <c r="G13" s="138">
        <v>5350</v>
      </c>
      <c r="H13" s="683">
        <f>SUM(G12)</f>
        <v>5350</v>
      </c>
    </row>
    <row r="14" spans="1:31" ht="22.5" customHeight="1" thickTop="1" x14ac:dyDescent="0.3">
      <c r="A14" s="61"/>
      <c r="B14" s="62" t="s">
        <v>92</v>
      </c>
      <c r="C14" s="63"/>
      <c r="D14" s="798"/>
      <c r="E14" s="61"/>
      <c r="F14" s="61"/>
      <c r="G14" s="207"/>
      <c r="H14" s="2"/>
    </row>
    <row r="15" spans="1:31" ht="22.5" customHeight="1" x14ac:dyDescent="0.5">
      <c r="A15" s="208">
        <v>1</v>
      </c>
      <c r="B15" s="73" t="s">
        <v>96</v>
      </c>
      <c r="C15" s="25" t="s">
        <v>97</v>
      </c>
      <c r="D15" s="801"/>
      <c r="E15" s="215" t="s">
        <v>958</v>
      </c>
      <c r="F15" s="215" t="s">
        <v>33</v>
      </c>
      <c r="G15" s="217">
        <v>6837.2999999999965</v>
      </c>
      <c r="H15" s="2"/>
    </row>
    <row r="16" spans="1:31" ht="22.5" customHeight="1" x14ac:dyDescent="0.5">
      <c r="A16" s="208">
        <v>2</v>
      </c>
      <c r="B16" s="73" t="s">
        <v>107</v>
      </c>
      <c r="C16" s="25" t="s">
        <v>97</v>
      </c>
      <c r="D16" s="801"/>
      <c r="E16" s="215" t="s">
        <v>958</v>
      </c>
      <c r="F16" s="215" t="s">
        <v>33</v>
      </c>
      <c r="G16" s="217">
        <v>535</v>
      </c>
      <c r="H16" s="2"/>
    </row>
    <row r="17" spans="1:8" ht="22.5" customHeight="1" x14ac:dyDescent="0.5">
      <c r="A17" s="208">
        <v>3</v>
      </c>
      <c r="B17" s="73" t="s">
        <v>112</v>
      </c>
      <c r="C17" s="25" t="s">
        <v>113</v>
      </c>
      <c r="D17" s="801"/>
      <c r="E17" s="215" t="s">
        <v>958</v>
      </c>
      <c r="F17" s="215" t="s">
        <v>33</v>
      </c>
      <c r="G17" s="217">
        <v>2428.900000000001</v>
      </c>
      <c r="H17" s="2"/>
    </row>
    <row r="18" spans="1:8" ht="22.5" customHeight="1" x14ac:dyDescent="0.5">
      <c r="A18" s="208">
        <v>4</v>
      </c>
      <c r="B18" s="73" t="s">
        <v>116</v>
      </c>
      <c r="C18" s="25" t="s">
        <v>113</v>
      </c>
      <c r="D18" s="801"/>
      <c r="E18" s="215" t="s">
        <v>970</v>
      </c>
      <c r="F18" s="215" t="s">
        <v>115</v>
      </c>
      <c r="G18" s="217">
        <v>9694.2000000000025</v>
      </c>
      <c r="H18" s="2"/>
    </row>
    <row r="19" spans="1:8" ht="22.5" customHeight="1" x14ac:dyDescent="0.5">
      <c r="A19" s="208">
        <v>5</v>
      </c>
      <c r="B19" s="73" t="s">
        <v>117</v>
      </c>
      <c r="C19" s="25" t="s">
        <v>118</v>
      </c>
      <c r="D19" s="801"/>
      <c r="E19" s="215" t="s">
        <v>958</v>
      </c>
      <c r="F19" s="215" t="s">
        <v>33</v>
      </c>
      <c r="G19" s="217">
        <v>1326.8</v>
      </c>
      <c r="H19" s="2"/>
    </row>
    <row r="20" spans="1:8" ht="22.5" customHeight="1" x14ac:dyDescent="0.5">
      <c r="A20" s="208">
        <v>6</v>
      </c>
      <c r="B20" s="73" t="s">
        <v>120</v>
      </c>
      <c r="C20" s="25" t="s">
        <v>118</v>
      </c>
      <c r="D20" s="801"/>
      <c r="E20" s="215" t="s">
        <v>958</v>
      </c>
      <c r="F20" s="215" t="s">
        <v>33</v>
      </c>
      <c r="G20" s="217">
        <v>9276.9000000000015</v>
      </c>
      <c r="H20" s="2"/>
    </row>
    <row r="21" spans="1:8" ht="22.5" customHeight="1" x14ac:dyDescent="0.5">
      <c r="A21" s="208">
        <v>7</v>
      </c>
      <c r="B21" s="73" t="s">
        <v>124</v>
      </c>
      <c r="C21" s="83" t="s">
        <v>125</v>
      </c>
      <c r="D21" s="803"/>
      <c r="E21" s="215" t="s">
        <v>958</v>
      </c>
      <c r="F21" s="215" t="s">
        <v>33</v>
      </c>
      <c r="G21" s="217">
        <v>4975.5</v>
      </c>
      <c r="H21" s="2"/>
    </row>
    <row r="22" spans="1:8" ht="22.5" customHeight="1" x14ac:dyDescent="0.5">
      <c r="A22" s="208">
        <v>8</v>
      </c>
      <c r="B22" s="78" t="s">
        <v>129</v>
      </c>
      <c r="C22" s="210" t="s">
        <v>130</v>
      </c>
      <c r="D22" s="803"/>
      <c r="E22" s="215" t="s">
        <v>958</v>
      </c>
      <c r="F22" s="215" t="s">
        <v>33</v>
      </c>
      <c r="G22" s="217">
        <v>4386.9999999999991</v>
      </c>
      <c r="H22" s="2"/>
    </row>
    <row r="23" spans="1:8" ht="22.5" customHeight="1" x14ac:dyDescent="0.5">
      <c r="A23" s="208">
        <v>9</v>
      </c>
      <c r="B23" s="78" t="s">
        <v>132</v>
      </c>
      <c r="C23" s="210" t="s">
        <v>130</v>
      </c>
      <c r="D23" s="803"/>
      <c r="E23" s="215" t="s">
        <v>958</v>
      </c>
      <c r="F23" s="215" t="s">
        <v>33</v>
      </c>
      <c r="G23" s="217">
        <v>9448.0999999999931</v>
      </c>
      <c r="H23" s="2"/>
    </row>
    <row r="24" spans="1:8" s="229" customFormat="1" ht="22.5" customHeight="1" x14ac:dyDescent="0.5">
      <c r="A24" s="208">
        <v>10</v>
      </c>
      <c r="B24" s="226" t="s">
        <v>137</v>
      </c>
      <c r="C24" s="227"/>
      <c r="D24" s="804"/>
      <c r="E24" s="215" t="s">
        <v>958</v>
      </c>
      <c r="F24" s="215" t="s">
        <v>33</v>
      </c>
      <c r="G24" s="217">
        <v>4023.2000000000003</v>
      </c>
      <c r="H24" s="47"/>
    </row>
    <row r="25" spans="1:8" ht="22.5" customHeight="1" x14ac:dyDescent="0.5">
      <c r="A25" s="208">
        <v>11</v>
      </c>
      <c r="B25" s="240" t="s">
        <v>162</v>
      </c>
      <c r="C25" s="83" t="s">
        <v>163</v>
      </c>
      <c r="D25" s="803"/>
      <c r="E25" s="215" t="s">
        <v>970</v>
      </c>
      <c r="F25" s="215" t="s">
        <v>115</v>
      </c>
      <c r="G25" s="217">
        <v>12979.099999999997</v>
      </c>
      <c r="H25" s="2"/>
    </row>
    <row r="26" spans="1:8" ht="22.5" customHeight="1" x14ac:dyDescent="0.5">
      <c r="A26" s="208">
        <v>12</v>
      </c>
      <c r="B26" s="243" t="s">
        <v>168</v>
      </c>
      <c r="C26" s="244" t="s">
        <v>169</v>
      </c>
      <c r="D26" s="803"/>
      <c r="E26" s="215" t="s">
        <v>970</v>
      </c>
      <c r="F26" s="215" t="s">
        <v>115</v>
      </c>
      <c r="G26" s="217">
        <v>8891.7000000000007</v>
      </c>
      <c r="H26" s="2"/>
    </row>
    <row r="27" spans="1:8" ht="22.5" customHeight="1" x14ac:dyDescent="0.5">
      <c r="A27" s="208">
        <v>13</v>
      </c>
      <c r="B27" s="209" t="s">
        <v>191</v>
      </c>
      <c r="C27" s="210" t="s">
        <v>190</v>
      </c>
      <c r="D27" s="803"/>
      <c r="E27" s="215" t="s">
        <v>958</v>
      </c>
      <c r="F27" s="215" t="s">
        <v>33</v>
      </c>
      <c r="G27" s="217">
        <v>11802.100000000002</v>
      </c>
      <c r="H27" s="2"/>
    </row>
    <row r="28" spans="1:8" ht="22.5" customHeight="1" x14ac:dyDescent="0.5">
      <c r="A28" s="208">
        <v>14</v>
      </c>
      <c r="B28" s="209" t="s">
        <v>193</v>
      </c>
      <c r="C28" s="210" t="s">
        <v>194</v>
      </c>
      <c r="D28" s="803"/>
      <c r="E28" s="215" t="s">
        <v>958</v>
      </c>
      <c r="F28" s="215" t="s">
        <v>33</v>
      </c>
      <c r="G28" s="217">
        <v>1701.3</v>
      </c>
      <c r="H28" s="2"/>
    </row>
    <row r="29" spans="1:8" ht="22.5" customHeight="1" x14ac:dyDescent="0.5">
      <c r="A29" s="208">
        <v>15</v>
      </c>
      <c r="B29" s="209" t="s">
        <v>198</v>
      </c>
      <c r="C29" s="210" t="s">
        <v>46</v>
      </c>
      <c r="D29" s="803"/>
      <c r="E29" s="215" t="s">
        <v>958</v>
      </c>
      <c r="F29" s="215" t="s">
        <v>33</v>
      </c>
      <c r="G29" s="217">
        <v>256.79999999999933</v>
      </c>
      <c r="H29" s="2"/>
    </row>
    <row r="30" spans="1:8" ht="22.5" customHeight="1" x14ac:dyDescent="0.5">
      <c r="A30" s="208">
        <v>16</v>
      </c>
      <c r="B30" s="209" t="s">
        <v>198</v>
      </c>
      <c r="C30" s="210" t="s">
        <v>567</v>
      </c>
      <c r="D30" s="803"/>
      <c r="E30" s="215" t="s">
        <v>958</v>
      </c>
      <c r="F30" s="215" t="s">
        <v>33</v>
      </c>
      <c r="G30" s="217">
        <v>1005.8</v>
      </c>
      <c r="H30" s="2"/>
    </row>
    <row r="31" spans="1:8" ht="22.5" customHeight="1" x14ac:dyDescent="0.5">
      <c r="A31" s="208">
        <v>17</v>
      </c>
      <c r="B31" s="209" t="s">
        <v>200</v>
      </c>
      <c r="C31" s="210" t="s">
        <v>201</v>
      </c>
      <c r="D31" s="803"/>
      <c r="E31" s="215" t="s">
        <v>1000</v>
      </c>
      <c r="F31" s="215" t="s">
        <v>284</v>
      </c>
      <c r="G31" s="217">
        <v>19088.799999999996</v>
      </c>
      <c r="H31" s="2"/>
    </row>
    <row r="32" spans="1:8" ht="22.5" customHeight="1" x14ac:dyDescent="0.5">
      <c r="A32" s="208">
        <v>18</v>
      </c>
      <c r="B32" s="209" t="s">
        <v>203</v>
      </c>
      <c r="C32" s="210" t="s">
        <v>204</v>
      </c>
      <c r="D32" s="803"/>
      <c r="E32" s="215" t="s">
        <v>958</v>
      </c>
      <c r="F32" s="215" t="s">
        <v>33</v>
      </c>
      <c r="G32" s="217">
        <v>727.6</v>
      </c>
      <c r="H32" s="2"/>
    </row>
    <row r="33" spans="1:9" ht="22.5" customHeight="1" x14ac:dyDescent="0.5">
      <c r="A33" s="208">
        <v>19</v>
      </c>
      <c r="B33" s="209" t="s">
        <v>205</v>
      </c>
      <c r="C33" s="210" t="s">
        <v>206</v>
      </c>
      <c r="D33" s="803"/>
      <c r="E33" s="215" t="s">
        <v>958</v>
      </c>
      <c r="F33" s="215" t="s">
        <v>33</v>
      </c>
      <c r="G33" s="217">
        <v>1369.6</v>
      </c>
      <c r="H33" s="2"/>
    </row>
    <row r="34" spans="1:9" ht="22.5" customHeight="1" x14ac:dyDescent="0.5">
      <c r="A34" s="208">
        <v>20</v>
      </c>
      <c r="B34" s="209" t="s">
        <v>208</v>
      </c>
      <c r="C34" s="210"/>
      <c r="D34" s="803"/>
      <c r="E34" s="215" t="s">
        <v>970</v>
      </c>
      <c r="F34" s="215" t="s">
        <v>115</v>
      </c>
      <c r="G34" s="217">
        <v>2803.3999999999978</v>
      </c>
      <c r="H34" s="2"/>
    </row>
    <row r="35" spans="1:9" ht="22.5" customHeight="1" x14ac:dyDescent="0.5">
      <c r="A35" s="208">
        <v>21</v>
      </c>
      <c r="B35" s="209" t="s">
        <v>210</v>
      </c>
      <c r="C35" s="210" t="s">
        <v>211</v>
      </c>
      <c r="D35" s="803"/>
      <c r="E35" s="239" t="s">
        <v>958</v>
      </c>
      <c r="F35" s="239" t="s">
        <v>33</v>
      </c>
      <c r="G35" s="217">
        <v>10453.900000000001</v>
      </c>
      <c r="H35" s="2"/>
    </row>
    <row r="36" spans="1:9" ht="22.5" customHeight="1" x14ac:dyDescent="0.5">
      <c r="A36" s="208">
        <v>22</v>
      </c>
      <c r="B36" s="265" t="s">
        <v>226</v>
      </c>
      <c r="C36" s="265" t="s">
        <v>227</v>
      </c>
      <c r="D36" s="806"/>
      <c r="E36" s="215" t="s">
        <v>958</v>
      </c>
      <c r="F36" s="215" t="s">
        <v>33</v>
      </c>
      <c r="G36" s="217">
        <v>7522.1</v>
      </c>
      <c r="H36" s="2"/>
    </row>
    <row r="37" spans="1:9" s="60" customFormat="1" ht="22.5" customHeight="1" thickBot="1" x14ac:dyDescent="0.35">
      <c r="A37" s="278"/>
      <c r="B37" s="278" t="s">
        <v>15</v>
      </c>
      <c r="C37" s="279"/>
      <c r="D37" s="808"/>
      <c r="E37" s="280"/>
      <c r="F37" s="280"/>
      <c r="G37" s="280">
        <v>131535.1</v>
      </c>
      <c r="H37" s="59">
        <f>SUM(G15:G36)</f>
        <v>131535.1</v>
      </c>
    </row>
    <row r="38" spans="1:9" ht="22.5" customHeight="1" thickTop="1" x14ac:dyDescent="0.3">
      <c r="A38" s="61"/>
      <c r="B38" s="121" t="s">
        <v>232</v>
      </c>
      <c r="C38" s="63"/>
      <c r="D38" s="798"/>
      <c r="E38" s="69"/>
      <c r="F38" s="69"/>
      <c r="G38" s="289"/>
      <c r="H38" s="2"/>
    </row>
    <row r="39" spans="1:9" ht="22.5" customHeight="1" x14ac:dyDescent="0.5">
      <c r="A39" s="23">
        <v>1</v>
      </c>
      <c r="B39" s="73" t="s">
        <v>248</v>
      </c>
      <c r="C39" s="25" t="s">
        <v>249</v>
      </c>
      <c r="D39" s="801"/>
      <c r="E39" s="215" t="s">
        <v>958</v>
      </c>
      <c r="F39" s="215" t="s">
        <v>33</v>
      </c>
      <c r="G39" s="36">
        <v>6300</v>
      </c>
      <c r="H39" s="2"/>
    </row>
    <row r="40" spans="1:9" ht="22.5" customHeight="1" x14ac:dyDescent="0.5">
      <c r="A40" s="23">
        <v>2</v>
      </c>
      <c r="B40" s="209" t="s">
        <v>250</v>
      </c>
      <c r="C40" s="210" t="s">
        <v>251</v>
      </c>
      <c r="D40" s="803"/>
      <c r="E40" s="215" t="s">
        <v>958</v>
      </c>
      <c r="F40" s="215" t="s">
        <v>33</v>
      </c>
      <c r="G40" s="36">
        <v>6300</v>
      </c>
      <c r="H40" s="218"/>
    </row>
    <row r="41" spans="1:9" ht="22.5" customHeight="1" x14ac:dyDescent="0.5">
      <c r="A41" s="23">
        <v>3</v>
      </c>
      <c r="B41" s="73" t="s">
        <v>281</v>
      </c>
      <c r="C41" s="25" t="s">
        <v>282</v>
      </c>
      <c r="D41" s="801"/>
      <c r="E41" s="215" t="s">
        <v>958</v>
      </c>
      <c r="F41" s="215" t="s">
        <v>33</v>
      </c>
      <c r="G41" s="36">
        <v>5600</v>
      </c>
      <c r="H41" s="2"/>
    </row>
    <row r="42" spans="1:9" ht="22.5" customHeight="1" x14ac:dyDescent="0.5">
      <c r="A42" s="23">
        <v>4</v>
      </c>
      <c r="B42" s="73" t="s">
        <v>287</v>
      </c>
      <c r="C42" s="25" t="s">
        <v>288</v>
      </c>
      <c r="D42" s="801"/>
      <c r="E42" s="215" t="s">
        <v>958</v>
      </c>
      <c r="F42" s="215" t="s">
        <v>33</v>
      </c>
      <c r="G42" s="36">
        <v>5600</v>
      </c>
      <c r="H42" s="2"/>
    </row>
    <row r="43" spans="1:9" ht="22.5" customHeight="1" x14ac:dyDescent="0.5">
      <c r="A43" s="23">
        <v>5</v>
      </c>
      <c r="B43" s="73" t="s">
        <v>296</v>
      </c>
      <c r="C43" s="25" t="s">
        <v>297</v>
      </c>
      <c r="D43" s="801"/>
      <c r="E43" s="297" t="s">
        <v>958</v>
      </c>
      <c r="F43" s="297" t="s">
        <v>33</v>
      </c>
      <c r="G43" s="36">
        <v>5600</v>
      </c>
      <c r="H43" s="2"/>
    </row>
    <row r="44" spans="1:9" ht="22.5" customHeight="1" x14ac:dyDescent="0.5">
      <c r="A44" s="23">
        <v>6</v>
      </c>
      <c r="B44" s="209" t="s">
        <v>300</v>
      </c>
      <c r="C44" s="210" t="s">
        <v>301</v>
      </c>
      <c r="D44" s="803"/>
      <c r="E44" s="215" t="s">
        <v>958</v>
      </c>
      <c r="F44" s="215" t="s">
        <v>33</v>
      </c>
      <c r="G44" s="36">
        <v>5600</v>
      </c>
      <c r="H44" s="2"/>
    </row>
    <row r="45" spans="1:9" ht="22.5" customHeight="1" x14ac:dyDescent="0.5">
      <c r="A45" s="23">
        <v>7</v>
      </c>
      <c r="B45" s="209" t="s">
        <v>306</v>
      </c>
      <c r="C45" s="210" t="s">
        <v>307</v>
      </c>
      <c r="D45" s="803"/>
      <c r="E45" s="215" t="s">
        <v>958</v>
      </c>
      <c r="F45" s="215" t="s">
        <v>33</v>
      </c>
      <c r="G45" s="36">
        <v>5600</v>
      </c>
      <c r="H45" s="218">
        <f>SUM(G39:G45)</f>
        <v>40600</v>
      </c>
      <c r="I45" s="309"/>
    </row>
    <row r="46" spans="1:9" ht="22.5" customHeight="1" x14ac:dyDescent="0.3">
      <c r="A46" s="23">
        <v>8</v>
      </c>
      <c r="B46" s="73" t="s">
        <v>322</v>
      </c>
      <c r="C46" s="25" t="s">
        <v>323</v>
      </c>
      <c r="D46" s="801">
        <v>11200</v>
      </c>
      <c r="E46" s="314"/>
      <c r="F46" s="315"/>
      <c r="G46" s="36"/>
    </row>
    <row r="47" spans="1:9" ht="22.5" customHeight="1" x14ac:dyDescent="0.5">
      <c r="A47" s="23">
        <v>9</v>
      </c>
      <c r="B47" s="290" t="s">
        <v>353</v>
      </c>
      <c r="C47" s="371" t="s">
        <v>354</v>
      </c>
      <c r="D47" s="801"/>
      <c r="E47" s="215" t="s">
        <v>958</v>
      </c>
      <c r="F47" s="215" t="s">
        <v>33</v>
      </c>
      <c r="G47" s="36">
        <v>11000</v>
      </c>
    </row>
    <row r="48" spans="1:9" ht="22.5" customHeight="1" x14ac:dyDescent="0.5">
      <c r="A48" s="23">
        <v>10</v>
      </c>
      <c r="B48" s="290" t="s">
        <v>355</v>
      </c>
      <c r="C48" s="371" t="s">
        <v>356</v>
      </c>
      <c r="D48" s="801"/>
      <c r="E48" s="215" t="s">
        <v>958</v>
      </c>
      <c r="F48" s="215" t="s">
        <v>33</v>
      </c>
      <c r="G48" s="36">
        <v>9400</v>
      </c>
    </row>
    <row r="49" spans="1:10" ht="22.5" customHeight="1" x14ac:dyDescent="0.5">
      <c r="A49" s="23">
        <v>11</v>
      </c>
      <c r="B49" s="374" t="s">
        <v>358</v>
      </c>
      <c r="C49" s="375" t="s">
        <v>356</v>
      </c>
      <c r="D49" s="801"/>
      <c r="E49" s="215" t="s">
        <v>958</v>
      </c>
      <c r="F49" s="215" t="s">
        <v>33</v>
      </c>
      <c r="G49" s="36">
        <v>9810</v>
      </c>
    </row>
    <row r="50" spans="1:10" ht="22.5" customHeight="1" x14ac:dyDescent="0.5">
      <c r="A50" s="23">
        <v>12</v>
      </c>
      <c r="B50" s="149" t="s">
        <v>281</v>
      </c>
      <c r="C50" s="311" t="s">
        <v>360</v>
      </c>
      <c r="D50" s="811"/>
      <c r="E50" s="215" t="s">
        <v>958</v>
      </c>
      <c r="F50" s="215" t="s">
        <v>33</v>
      </c>
      <c r="G50" s="36">
        <v>3000</v>
      </c>
      <c r="H50" s="790">
        <f>SUM(G47:G50)</f>
        <v>33210</v>
      </c>
    </row>
    <row r="51" spans="1:10" s="60" customFormat="1" ht="22.5" customHeight="1" thickBot="1" x14ac:dyDescent="0.35">
      <c r="A51" s="317"/>
      <c r="B51" s="317" t="s">
        <v>15</v>
      </c>
      <c r="C51" s="357"/>
      <c r="D51" s="809"/>
      <c r="E51" s="317"/>
      <c r="F51" s="317"/>
      <c r="G51" s="386">
        <f>SUM(G39:G50)</f>
        <v>73810</v>
      </c>
      <c r="I51" s="59">
        <f>SUM(H45:H50)</f>
        <v>73810</v>
      </c>
    </row>
    <row r="52" spans="1:10" ht="22.5" customHeight="1" thickTop="1" x14ac:dyDescent="0.3">
      <c r="A52" s="61"/>
      <c r="B52" s="62" t="s">
        <v>386</v>
      </c>
      <c r="C52" s="63"/>
      <c r="D52" s="798"/>
      <c r="E52" s="69"/>
      <c r="F52" s="69"/>
      <c r="G52" s="387"/>
    </row>
    <row r="53" spans="1:10" ht="22.5" customHeight="1" x14ac:dyDescent="0.5">
      <c r="A53" s="208">
        <v>1</v>
      </c>
      <c r="B53" s="290" t="s">
        <v>389</v>
      </c>
      <c r="C53" s="25" t="s">
        <v>390</v>
      </c>
      <c r="D53" s="801"/>
      <c r="E53" s="215" t="s">
        <v>958</v>
      </c>
      <c r="F53" s="215" t="s">
        <v>33</v>
      </c>
      <c r="G53" s="409">
        <v>3150</v>
      </c>
    </row>
    <row r="54" spans="1:10" s="60" customFormat="1" ht="22.5" customHeight="1" thickBot="1" x14ac:dyDescent="0.35">
      <c r="A54" s="317"/>
      <c r="B54" s="317" t="s">
        <v>15</v>
      </c>
      <c r="C54" s="318"/>
      <c r="D54" s="809"/>
      <c r="E54" s="407"/>
      <c r="F54" s="407"/>
      <c r="G54" s="386">
        <v>3150</v>
      </c>
      <c r="H54" s="683">
        <f>SUM(G53)</f>
        <v>3150</v>
      </c>
    </row>
    <row r="55" spans="1:10" ht="22.5" customHeight="1" thickTop="1" x14ac:dyDescent="0.3">
      <c r="A55" s="61"/>
      <c r="B55" s="164" t="s">
        <v>399</v>
      </c>
      <c r="C55" s="63"/>
      <c r="D55" s="798"/>
      <c r="E55" s="69"/>
      <c r="F55" s="69"/>
      <c r="G55" s="387"/>
    </row>
    <row r="56" spans="1:10" ht="22.5" customHeight="1" x14ac:dyDescent="0.3">
      <c r="A56" s="61">
        <v>1</v>
      </c>
      <c r="B56" s="290" t="s">
        <v>358</v>
      </c>
      <c r="C56" s="63" t="s">
        <v>417</v>
      </c>
      <c r="D56" s="798"/>
      <c r="E56" s="69" t="s">
        <v>795</v>
      </c>
      <c r="F56" s="69"/>
      <c r="G56" s="387">
        <v>9651.43</v>
      </c>
    </row>
    <row r="57" spans="1:10" ht="22.5" customHeight="1" x14ac:dyDescent="0.3">
      <c r="A57" s="61">
        <v>2</v>
      </c>
      <c r="B57" s="290" t="s">
        <v>463</v>
      </c>
      <c r="C57" s="63" t="s">
        <v>464</v>
      </c>
      <c r="D57" s="798"/>
      <c r="E57" s="69" t="s">
        <v>795</v>
      </c>
      <c r="F57" s="69"/>
      <c r="G57" s="387">
        <v>1064.44</v>
      </c>
    </row>
    <row r="58" spans="1:10" ht="22.5" customHeight="1" x14ac:dyDescent="0.3">
      <c r="A58" s="23">
        <v>3</v>
      </c>
      <c r="B58" s="290" t="s">
        <v>493</v>
      </c>
      <c r="C58" s="25" t="s">
        <v>494</v>
      </c>
      <c r="D58" s="799"/>
      <c r="E58" s="41" t="s">
        <v>795</v>
      </c>
      <c r="F58" s="41"/>
      <c r="G58" s="387">
        <v>2061.84</v>
      </c>
    </row>
    <row r="59" spans="1:10" ht="22.5" customHeight="1" x14ac:dyDescent="0.3">
      <c r="A59" s="23">
        <v>4</v>
      </c>
      <c r="B59" s="290" t="s">
        <v>495</v>
      </c>
      <c r="C59" s="25" t="s">
        <v>496</v>
      </c>
      <c r="D59" s="799"/>
      <c r="E59" s="41" t="s">
        <v>795</v>
      </c>
      <c r="F59" s="41"/>
      <c r="G59" s="387">
        <v>20595.900000000001</v>
      </c>
    </row>
    <row r="60" spans="1:10" s="60" customFormat="1" ht="22.5" customHeight="1" thickBot="1" x14ac:dyDescent="0.35">
      <c r="A60" s="362"/>
      <c r="B60" s="362" t="s">
        <v>15</v>
      </c>
      <c r="C60" s="455"/>
      <c r="D60" s="812"/>
      <c r="E60" s="362"/>
      <c r="F60" s="362"/>
      <c r="G60" s="364">
        <v>33373.61</v>
      </c>
      <c r="H60" s="683">
        <f>SUM(G56:G59)</f>
        <v>33373.61</v>
      </c>
    </row>
    <row r="61" spans="1:10" s="60" customFormat="1" ht="22.5" customHeight="1" thickTop="1" thickBot="1" x14ac:dyDescent="0.35">
      <c r="A61" s="459"/>
      <c r="B61" s="460" t="s">
        <v>497</v>
      </c>
      <c r="C61" s="461"/>
      <c r="D61" s="813"/>
      <c r="E61" s="462">
        <v>0</v>
      </c>
      <c r="F61" s="462"/>
      <c r="G61" s="462">
        <v>270320.00760000001</v>
      </c>
      <c r="I61" s="900">
        <f>SUM(H10:H60)</f>
        <v>270320.01</v>
      </c>
      <c r="J61" s="60" t="s">
        <v>670</v>
      </c>
    </row>
    <row r="62" spans="1:10" ht="22.5" customHeight="1" thickTop="1" x14ac:dyDescent="0.3">
      <c r="E62" s="3"/>
      <c r="F62" s="3"/>
      <c r="G62" s="472"/>
    </row>
    <row r="63" spans="1:10" ht="22.5" customHeight="1" x14ac:dyDescent="0.3">
      <c r="A63" s="1123" t="s">
        <v>498</v>
      </c>
      <c r="B63" s="1124"/>
      <c r="C63" s="1124"/>
      <c r="D63" s="1124"/>
      <c r="E63" s="1124"/>
      <c r="F63" s="1124"/>
      <c r="G63" s="1125"/>
      <c r="H63" s="2"/>
    </row>
    <row r="64" spans="1:10" ht="22.5" customHeight="1" x14ac:dyDescent="0.3">
      <c r="A64" s="115"/>
      <c r="B64" s="164" t="s">
        <v>499</v>
      </c>
      <c r="C64" s="165"/>
      <c r="D64" s="810"/>
      <c r="E64" s="117"/>
      <c r="F64" s="117"/>
      <c r="G64" s="370"/>
      <c r="H64" s="2"/>
    </row>
    <row r="65" spans="1:10" ht="22.5" customHeight="1" x14ac:dyDescent="0.3">
      <c r="A65" s="475">
        <v>1</v>
      </c>
      <c r="B65" s="476" t="s">
        <v>500</v>
      </c>
      <c r="C65" s="477" t="s">
        <v>501</v>
      </c>
      <c r="D65" s="814"/>
      <c r="E65" s="484"/>
      <c r="F65" s="484"/>
      <c r="G65" s="487">
        <v>325409.68</v>
      </c>
      <c r="H65" s="2"/>
    </row>
    <row r="66" spans="1:10" ht="22.5" customHeight="1" x14ac:dyDescent="0.3">
      <c r="A66" s="488"/>
      <c r="B66" s="489" t="s">
        <v>503</v>
      </c>
      <c r="C66" s="490"/>
      <c r="D66" s="697"/>
      <c r="E66" s="484"/>
      <c r="F66" s="892"/>
      <c r="G66" s="487"/>
      <c r="H66" s="2"/>
    </row>
    <row r="67" spans="1:10" ht="22.5" customHeight="1" x14ac:dyDescent="0.3">
      <c r="A67" s="475">
        <v>2</v>
      </c>
      <c r="B67" s="476" t="s">
        <v>504</v>
      </c>
      <c r="C67" s="477" t="s">
        <v>415</v>
      </c>
      <c r="D67" s="814"/>
      <c r="E67" s="484"/>
      <c r="F67" s="892"/>
      <c r="G67" s="497">
        <v>74600.88</v>
      </c>
      <c r="H67" s="2"/>
    </row>
    <row r="68" spans="1:10" ht="22.5" customHeight="1" x14ac:dyDescent="0.3">
      <c r="A68" s="475"/>
      <c r="B68" s="489" t="s">
        <v>505</v>
      </c>
      <c r="C68" s="498"/>
      <c r="D68" s="698"/>
      <c r="E68" s="484"/>
      <c r="F68" s="892"/>
      <c r="G68" s="497"/>
      <c r="H68" s="2"/>
    </row>
    <row r="69" spans="1:10" ht="22.5" customHeight="1" x14ac:dyDescent="0.3">
      <c r="A69" s="502">
        <v>3</v>
      </c>
      <c r="B69" s="503" t="s">
        <v>506</v>
      </c>
      <c r="C69" s="504" t="s">
        <v>507</v>
      </c>
      <c r="D69" s="815"/>
      <c r="E69" s="509"/>
      <c r="F69" s="893"/>
      <c r="G69" s="513">
        <v>32500</v>
      </c>
      <c r="H69" s="2"/>
    </row>
    <row r="70" spans="1:10" ht="22.5" customHeight="1" x14ac:dyDescent="0.3">
      <c r="A70" s="488"/>
      <c r="B70" s="489" t="s">
        <v>508</v>
      </c>
      <c r="C70" s="514"/>
      <c r="D70" s="699"/>
      <c r="E70" s="520"/>
      <c r="F70" s="520"/>
      <c r="G70" s="524"/>
    </row>
    <row r="71" spans="1:10" ht="22.5" customHeight="1" x14ac:dyDescent="0.3">
      <c r="A71" s="488">
        <v>4</v>
      </c>
      <c r="B71" s="525" t="s">
        <v>509</v>
      </c>
      <c r="C71" s="526" t="s">
        <v>510</v>
      </c>
      <c r="D71" s="816"/>
      <c r="E71" s="521"/>
      <c r="F71" s="529"/>
      <c r="G71" s="532">
        <v>796450.4</v>
      </c>
    </row>
    <row r="72" spans="1:10" ht="22.5" customHeight="1" x14ac:dyDescent="0.3">
      <c r="A72" s="533"/>
      <c r="B72" s="534" t="s">
        <v>509</v>
      </c>
      <c r="C72" s="535" t="s">
        <v>511</v>
      </c>
      <c r="D72" s="817"/>
      <c r="E72" s="543"/>
      <c r="F72" s="544"/>
      <c r="G72" s="547">
        <v>93330</v>
      </c>
    </row>
    <row r="73" spans="1:10" s="60" customFormat="1" ht="22.5" customHeight="1" thickBot="1" x14ac:dyDescent="0.35">
      <c r="A73" s="548"/>
      <c r="B73" s="548" t="s">
        <v>15</v>
      </c>
      <c r="C73" s="549"/>
      <c r="D73" s="818"/>
      <c r="E73" s="555"/>
      <c r="F73" s="555"/>
      <c r="G73" s="558">
        <v>1322290.96</v>
      </c>
      <c r="H73" s="59">
        <f>SUM(G65:G72)</f>
        <v>1322290.96</v>
      </c>
    </row>
    <row r="74" spans="1:10" ht="22.5" customHeight="1" thickTop="1" x14ac:dyDescent="0.3">
      <c r="A74" s="559"/>
      <c r="B74" s="560" t="s">
        <v>92</v>
      </c>
      <c r="C74" s="561"/>
      <c r="D74" s="819"/>
      <c r="E74" s="567"/>
      <c r="F74" s="567"/>
      <c r="G74" s="570"/>
      <c r="H74" s="2"/>
    </row>
    <row r="75" spans="1:10" ht="22.5" customHeight="1" x14ac:dyDescent="0.3">
      <c r="A75" s="23">
        <v>1</v>
      </c>
      <c r="B75" s="73" t="s">
        <v>512</v>
      </c>
      <c r="C75" s="25" t="s">
        <v>97</v>
      </c>
      <c r="D75" s="799"/>
      <c r="E75" s="41" t="s">
        <v>513</v>
      </c>
      <c r="F75" s="41"/>
      <c r="G75" s="36">
        <v>10499.9956</v>
      </c>
      <c r="H75" s="2"/>
    </row>
    <row r="76" spans="1:10" s="60" customFormat="1" ht="22.5" customHeight="1" thickBot="1" x14ac:dyDescent="0.35">
      <c r="A76" s="548"/>
      <c r="B76" s="548" t="s">
        <v>15</v>
      </c>
      <c r="C76" s="549"/>
      <c r="D76" s="818"/>
      <c r="E76" s="548"/>
      <c r="F76" s="548"/>
      <c r="G76" s="558">
        <v>10499.9956</v>
      </c>
      <c r="H76" s="59">
        <f>SUM(G75)</f>
        <v>10499.9956</v>
      </c>
    </row>
    <row r="77" spans="1:10" s="60" customFormat="1" ht="22.5" customHeight="1" thickTop="1" thickBot="1" x14ac:dyDescent="0.35">
      <c r="A77" s="572"/>
      <c r="B77" s="572" t="s">
        <v>515</v>
      </c>
      <c r="C77" s="573"/>
      <c r="D77" s="820"/>
      <c r="E77" s="580"/>
      <c r="F77" s="580"/>
      <c r="G77" s="583">
        <v>1332790.9556</v>
      </c>
      <c r="H77" s="59"/>
    </row>
    <row r="78" spans="1:10" ht="22.5" customHeight="1" thickTop="1" x14ac:dyDescent="0.3">
      <c r="E78" s="470"/>
      <c r="F78" s="470"/>
      <c r="G78" s="472"/>
      <c r="H78" s="2"/>
    </row>
    <row r="79" spans="1:10" s="589" customFormat="1" ht="20.399999999999999" x14ac:dyDescent="0.5">
      <c r="A79" s="1126" t="s">
        <v>516</v>
      </c>
      <c r="B79" s="1127"/>
      <c r="C79" s="1127"/>
      <c r="D79" s="1127"/>
      <c r="E79" s="1127"/>
      <c r="F79" s="1127"/>
      <c r="G79" s="1127"/>
      <c r="H79" s="587"/>
      <c r="I79" s="587"/>
      <c r="J79" s="588"/>
    </row>
    <row r="80" spans="1:10" s="599" customFormat="1" x14ac:dyDescent="0.6">
      <c r="A80" s="590">
        <v>1</v>
      </c>
      <c r="B80" s="591" t="s">
        <v>517</v>
      </c>
      <c r="C80" s="591" t="s">
        <v>518</v>
      </c>
      <c r="D80" s="868"/>
      <c r="E80" s="598"/>
      <c r="F80" s="598"/>
      <c r="G80" s="595">
        <v>0</v>
      </c>
      <c r="J80" s="600"/>
    </row>
    <row r="81" spans="1:10" s="599" customFormat="1" x14ac:dyDescent="0.6">
      <c r="A81" s="601">
        <v>2</v>
      </c>
      <c r="B81" s="602" t="s">
        <v>519</v>
      </c>
      <c r="C81" s="602" t="s">
        <v>520</v>
      </c>
      <c r="D81" s="821"/>
      <c r="E81" s="604"/>
      <c r="F81" s="604"/>
      <c r="G81" s="609">
        <v>54000</v>
      </c>
      <c r="J81" s="600"/>
    </row>
    <row r="82" spans="1:10" s="599" customFormat="1" x14ac:dyDescent="0.6">
      <c r="A82" s="610">
        <v>3</v>
      </c>
      <c r="B82" s="611" t="s">
        <v>521</v>
      </c>
      <c r="C82" s="611" t="s">
        <v>522</v>
      </c>
      <c r="D82" s="869"/>
      <c r="E82" s="618"/>
      <c r="F82" s="618"/>
      <c r="G82" s="609">
        <v>0</v>
      </c>
      <c r="J82" s="600"/>
    </row>
    <row r="83" spans="1:10" s="599" customFormat="1" ht="24" thickBot="1" x14ac:dyDescent="0.65">
      <c r="A83" s="619"/>
      <c r="B83" s="620" t="s">
        <v>523</v>
      </c>
      <c r="C83" s="621"/>
      <c r="D83" s="822"/>
      <c r="E83" s="623"/>
      <c r="F83" s="623"/>
      <c r="G83" s="626">
        <v>54000</v>
      </c>
      <c r="H83" s="627">
        <f>SUM(G81)</f>
        <v>54000</v>
      </c>
      <c r="I83" s="904">
        <f>SUM(I61+H73+H76+H83)</f>
        <v>1657110.9656</v>
      </c>
      <c r="J83" s="600" t="s">
        <v>1061</v>
      </c>
    </row>
    <row r="84" spans="1:10" s="636" customFormat="1" ht="24" thickTop="1" x14ac:dyDescent="0.6">
      <c r="A84" s="628"/>
      <c r="B84" s="629"/>
      <c r="C84" s="630"/>
      <c r="D84" s="823"/>
      <c r="E84" s="632"/>
      <c r="F84" s="632"/>
      <c r="G84" s="635"/>
      <c r="J84" s="637"/>
    </row>
    <row r="85" spans="1:10" s="636" customFormat="1" x14ac:dyDescent="0.6">
      <c r="A85" s="1128" t="s">
        <v>524</v>
      </c>
      <c r="B85" s="1128"/>
      <c r="C85" s="1128"/>
      <c r="D85" s="1128"/>
      <c r="E85" s="1128"/>
      <c r="F85" s="1128"/>
      <c r="G85" s="1128"/>
      <c r="J85" s="637"/>
    </row>
    <row r="86" spans="1:10" s="599" customFormat="1" x14ac:dyDescent="0.6">
      <c r="A86" s="638">
        <v>1</v>
      </c>
      <c r="B86" s="639" t="s">
        <v>519</v>
      </c>
      <c r="C86" s="639" t="s">
        <v>518</v>
      </c>
      <c r="D86" s="824"/>
      <c r="E86" s="884" t="s">
        <v>936</v>
      </c>
      <c r="F86" s="884"/>
      <c r="G86" s="643">
        <v>78400</v>
      </c>
      <c r="J86" s="600"/>
    </row>
    <row r="87" spans="1:10" s="599" customFormat="1" x14ac:dyDescent="0.6">
      <c r="A87" s="646">
        <v>2</v>
      </c>
      <c r="B87" s="647" t="s">
        <v>521</v>
      </c>
      <c r="C87" s="647" t="s">
        <v>522</v>
      </c>
      <c r="D87" s="825"/>
      <c r="E87" s="641" t="s">
        <v>1059</v>
      </c>
      <c r="F87" s="641" t="s">
        <v>33</v>
      </c>
      <c r="G87" s="643">
        <v>6917.6500000000015</v>
      </c>
      <c r="J87" s="600"/>
    </row>
    <row r="88" spans="1:10" s="599" customFormat="1" x14ac:dyDescent="0.6">
      <c r="A88" s="646"/>
      <c r="B88" s="653" t="s">
        <v>534</v>
      </c>
      <c r="C88" s="647"/>
      <c r="D88" s="825"/>
      <c r="E88" s="652"/>
      <c r="F88" s="652"/>
      <c r="G88" s="651"/>
      <c r="J88" s="600"/>
    </row>
    <row r="89" spans="1:10" s="599" customFormat="1" ht="24" thickBot="1" x14ac:dyDescent="0.65">
      <c r="A89" s="619"/>
      <c r="B89" s="620" t="s">
        <v>535</v>
      </c>
      <c r="C89" s="621"/>
      <c r="D89" s="822"/>
      <c r="E89" s="625"/>
      <c r="F89" s="625"/>
      <c r="G89" s="625">
        <v>85317.65</v>
      </c>
      <c r="H89" s="731">
        <f>SUM(G86:G87)</f>
        <v>85317.65</v>
      </c>
      <c r="I89" s="904">
        <f>SUM(I83+H89)-0.01</f>
        <v>1742428.6055999999</v>
      </c>
      <c r="J89" s="600" t="s">
        <v>1062</v>
      </c>
    </row>
    <row r="90" spans="1:10" ht="22.5" customHeight="1" thickTop="1" x14ac:dyDescent="0.3">
      <c r="E90" s="470"/>
      <c r="F90" s="470"/>
      <c r="G90" s="472"/>
      <c r="H90" s="2"/>
    </row>
    <row r="91" spans="1:10" ht="22.5" customHeight="1" thickBot="1" x14ac:dyDescent="0.35">
      <c r="E91" s="470"/>
      <c r="F91" s="470"/>
      <c r="G91" s="658">
        <v>1742428.6132</v>
      </c>
      <c r="H91" s="2"/>
    </row>
    <row r="92" spans="1:10" ht="22.5" customHeight="1" thickTop="1" x14ac:dyDescent="0.5">
      <c r="B92" s="587" t="s">
        <v>537</v>
      </c>
      <c r="C92" s="587"/>
      <c r="D92" s="826"/>
      <c r="E92" s="3"/>
      <c r="F92" s="3"/>
      <c r="G92" s="472"/>
    </row>
    <row r="93" spans="1:10" x14ac:dyDescent="0.5">
      <c r="B93" s="1129" t="s">
        <v>538</v>
      </c>
      <c r="C93" s="1129"/>
      <c r="D93" s="827"/>
      <c r="E93" s="3"/>
      <c r="F93" s="3"/>
      <c r="G93" s="472"/>
    </row>
    <row r="94" spans="1:10" x14ac:dyDescent="0.5">
      <c r="B94" s="1129" t="s">
        <v>539</v>
      </c>
      <c r="C94" s="1129"/>
      <c r="D94" s="827"/>
      <c r="E94" s="3"/>
      <c r="F94" s="3"/>
      <c r="G94" s="472"/>
    </row>
    <row r="95" spans="1:10" x14ac:dyDescent="0.3">
      <c r="E95" s="3"/>
      <c r="F95" s="3"/>
      <c r="G95" s="472"/>
    </row>
    <row r="96" spans="1:10" x14ac:dyDescent="0.3">
      <c r="E96" s="3"/>
      <c r="F96" s="3"/>
      <c r="G96" s="472"/>
    </row>
    <row r="97" spans="5:7" x14ac:dyDescent="0.3">
      <c r="E97" s="3"/>
      <c r="F97" s="3"/>
      <c r="G97" s="472"/>
    </row>
    <row r="98" spans="5:7" x14ac:dyDescent="0.3">
      <c r="E98" s="3"/>
      <c r="F98" s="3"/>
      <c r="G98" s="472"/>
    </row>
    <row r="99" spans="5:7" x14ac:dyDescent="0.3">
      <c r="E99" s="3"/>
      <c r="F99" s="3"/>
      <c r="G99" s="472"/>
    </row>
    <row r="100" spans="5:7" x14ac:dyDescent="0.3">
      <c r="E100" s="3"/>
      <c r="F100" s="3"/>
      <c r="G100" s="472"/>
    </row>
    <row r="101" spans="5:7" x14ac:dyDescent="0.3">
      <c r="E101" s="3"/>
      <c r="F101" s="3"/>
      <c r="G101" s="472"/>
    </row>
  </sheetData>
  <mergeCells count="13">
    <mergeCell ref="A63:G63"/>
    <mergeCell ref="A79:G79"/>
    <mergeCell ref="A85:G85"/>
    <mergeCell ref="B93:C93"/>
    <mergeCell ref="B94:C94"/>
    <mergeCell ref="E5:E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2331-C5B7-4D2B-8023-BD30725B3CF3}">
  <sheetPr>
    <tabColor rgb="FF92D050"/>
  </sheetPr>
  <dimension ref="A1:AD96"/>
  <sheetViews>
    <sheetView zoomScale="70" zoomScaleNormal="70" workbookViewId="0">
      <pane ySplit="6" topLeftCell="A19" activePane="bottomLeft" state="frozen"/>
      <selection pane="bottomLeft" activeCell="G66" sqref="G66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5546875" style="662" customWidth="1"/>
    <col min="5" max="5" width="5.77734375" style="662" customWidth="1"/>
    <col min="6" max="6" width="16.5546875" style="665" customWidth="1"/>
    <col min="7" max="16384" width="27.109375" style="3"/>
  </cols>
  <sheetData>
    <row r="1" spans="1:30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30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30" ht="22.5" customHeight="1" x14ac:dyDescent="0.3">
      <c r="A3" s="1110" t="s">
        <v>934</v>
      </c>
      <c r="B3" s="1111"/>
      <c r="C3" s="1111"/>
      <c r="D3" s="1111"/>
      <c r="E3" s="1111"/>
      <c r="F3" s="1111"/>
      <c r="G3" s="2"/>
    </row>
    <row r="4" spans="1:30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19"/>
      <c r="F4" s="1120"/>
      <c r="G4" s="2"/>
    </row>
    <row r="5" spans="1:30" ht="22.5" customHeight="1" x14ac:dyDescent="0.3">
      <c r="A5" s="1113"/>
      <c r="B5" s="1113"/>
      <c r="C5" s="1116"/>
      <c r="D5" s="1121" t="s">
        <v>10</v>
      </c>
      <c r="E5" s="882"/>
      <c r="F5" s="667"/>
      <c r="G5" s="2"/>
    </row>
    <row r="6" spans="1:30" ht="22.5" customHeight="1" x14ac:dyDescent="0.3">
      <c r="A6" s="1114"/>
      <c r="B6" s="1114"/>
      <c r="C6" s="1117"/>
      <c r="D6" s="1122"/>
      <c r="E6" s="883" t="s">
        <v>937</v>
      </c>
      <c r="F6" s="10" t="s">
        <v>15</v>
      </c>
      <c r="G6" s="2"/>
    </row>
    <row r="7" spans="1:30" ht="22.5" customHeight="1" x14ac:dyDescent="0.3">
      <c r="A7" s="4"/>
      <c r="B7" s="115" t="s">
        <v>677</v>
      </c>
      <c r="C7" s="668"/>
      <c r="D7" s="784"/>
      <c r="E7" s="784"/>
      <c r="F7" s="173"/>
      <c r="G7" s="2"/>
    </row>
    <row r="8" spans="1:30" ht="22.5" customHeight="1" x14ac:dyDescent="0.3">
      <c r="A8" s="23">
        <v>1</v>
      </c>
      <c r="B8" s="73" t="s">
        <v>45</v>
      </c>
      <c r="C8" s="25" t="s">
        <v>46</v>
      </c>
      <c r="D8" s="33" t="s">
        <v>958</v>
      </c>
      <c r="E8" s="747" t="s">
        <v>33</v>
      </c>
      <c r="F8" s="36">
        <v>1701.2999999999997</v>
      </c>
      <c r="G8" s="2"/>
    </row>
    <row r="9" spans="1:30" ht="22.5" customHeight="1" x14ac:dyDescent="0.3">
      <c r="A9" s="23">
        <v>2</v>
      </c>
      <c r="B9" s="89" t="s">
        <v>64</v>
      </c>
      <c r="C9" s="90" t="s">
        <v>65</v>
      </c>
      <c r="D9" s="69" t="s">
        <v>958</v>
      </c>
      <c r="E9" s="69" t="s">
        <v>33</v>
      </c>
      <c r="F9" s="36">
        <v>21400</v>
      </c>
      <c r="G9" s="93"/>
    </row>
    <row r="10" spans="1:30" s="134" customFormat="1" ht="22.5" customHeight="1" x14ac:dyDescent="0.6">
      <c r="A10" s="23">
        <v>3</v>
      </c>
      <c r="B10" s="123" t="s">
        <v>80</v>
      </c>
      <c r="C10" s="124" t="s">
        <v>65</v>
      </c>
      <c r="D10" s="137" t="s">
        <v>958</v>
      </c>
      <c r="E10" s="137" t="s">
        <v>33</v>
      </c>
      <c r="F10" s="36">
        <v>5350</v>
      </c>
      <c r="G10" s="130"/>
      <c r="H10" s="130"/>
      <c r="I10" s="131"/>
      <c r="J10" s="132"/>
      <c r="K10" s="131"/>
      <c r="L10" s="132"/>
      <c r="M10" s="132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</row>
    <row r="11" spans="1:30" ht="22.5" customHeight="1" x14ac:dyDescent="0.5">
      <c r="A11" s="23">
        <v>4</v>
      </c>
      <c r="B11" s="73" t="s">
        <v>96</v>
      </c>
      <c r="C11" s="25" t="s">
        <v>97</v>
      </c>
      <c r="D11" s="215" t="s">
        <v>958</v>
      </c>
      <c r="E11" s="215" t="s">
        <v>33</v>
      </c>
      <c r="F11" s="217">
        <v>6837.2999999999965</v>
      </c>
      <c r="G11" s="2"/>
    </row>
    <row r="12" spans="1:30" ht="22.5" customHeight="1" x14ac:dyDescent="0.5">
      <c r="A12" s="23">
        <v>5</v>
      </c>
      <c r="B12" s="73" t="s">
        <v>107</v>
      </c>
      <c r="C12" s="25" t="s">
        <v>97</v>
      </c>
      <c r="D12" s="215" t="s">
        <v>958</v>
      </c>
      <c r="E12" s="215" t="s">
        <v>33</v>
      </c>
      <c r="F12" s="217">
        <v>535</v>
      </c>
      <c r="G12" s="2"/>
    </row>
    <row r="13" spans="1:30" ht="22.5" customHeight="1" x14ac:dyDescent="0.5">
      <c r="A13" s="23">
        <v>6</v>
      </c>
      <c r="B13" s="73" t="s">
        <v>112</v>
      </c>
      <c r="C13" s="25" t="s">
        <v>113</v>
      </c>
      <c r="D13" s="215" t="s">
        <v>958</v>
      </c>
      <c r="E13" s="215" t="s">
        <v>33</v>
      </c>
      <c r="F13" s="217">
        <v>2428.900000000001</v>
      </c>
      <c r="G13" s="2"/>
    </row>
    <row r="14" spans="1:30" ht="22.5" customHeight="1" x14ac:dyDescent="0.5">
      <c r="A14" s="23">
        <v>7</v>
      </c>
      <c r="B14" s="73" t="s">
        <v>117</v>
      </c>
      <c r="C14" s="25" t="s">
        <v>118</v>
      </c>
      <c r="D14" s="215" t="s">
        <v>958</v>
      </c>
      <c r="E14" s="215" t="s">
        <v>33</v>
      </c>
      <c r="F14" s="217">
        <v>1326.8</v>
      </c>
      <c r="G14" s="2"/>
    </row>
    <row r="15" spans="1:30" ht="22.5" customHeight="1" x14ac:dyDescent="0.5">
      <c r="A15" s="23">
        <v>8</v>
      </c>
      <c r="B15" s="73" t="s">
        <v>120</v>
      </c>
      <c r="C15" s="25" t="s">
        <v>118</v>
      </c>
      <c r="D15" s="215" t="s">
        <v>958</v>
      </c>
      <c r="E15" s="215" t="s">
        <v>33</v>
      </c>
      <c r="F15" s="217">
        <v>9276.9000000000015</v>
      </c>
      <c r="G15" s="2"/>
    </row>
    <row r="16" spans="1:30" ht="22.5" customHeight="1" x14ac:dyDescent="0.5">
      <c r="A16" s="23">
        <v>9</v>
      </c>
      <c r="B16" s="73" t="s">
        <v>124</v>
      </c>
      <c r="C16" s="210" t="s">
        <v>125</v>
      </c>
      <c r="D16" s="215" t="s">
        <v>958</v>
      </c>
      <c r="E16" s="215" t="s">
        <v>33</v>
      </c>
      <c r="F16" s="217">
        <v>4975.5</v>
      </c>
      <c r="G16" s="2"/>
    </row>
    <row r="17" spans="1:7" ht="22.5" customHeight="1" x14ac:dyDescent="0.5">
      <c r="A17" s="23">
        <v>10</v>
      </c>
      <c r="B17" s="73" t="s">
        <v>129</v>
      </c>
      <c r="C17" s="83" t="s">
        <v>130</v>
      </c>
      <c r="D17" s="215" t="s">
        <v>958</v>
      </c>
      <c r="E17" s="215" t="s">
        <v>33</v>
      </c>
      <c r="F17" s="217">
        <v>4386.9999999999991</v>
      </c>
      <c r="G17" s="2"/>
    </row>
    <row r="18" spans="1:7" ht="22.5" customHeight="1" x14ac:dyDescent="0.5">
      <c r="A18" s="23">
        <v>11</v>
      </c>
      <c r="B18" s="78" t="s">
        <v>132</v>
      </c>
      <c r="C18" s="210" t="s">
        <v>130</v>
      </c>
      <c r="D18" s="215" t="s">
        <v>958</v>
      </c>
      <c r="E18" s="215" t="s">
        <v>33</v>
      </c>
      <c r="F18" s="217">
        <v>9448.0999999999931</v>
      </c>
      <c r="G18" s="2"/>
    </row>
    <row r="19" spans="1:7" ht="22.5" customHeight="1" x14ac:dyDescent="0.5">
      <c r="A19" s="23">
        <v>12</v>
      </c>
      <c r="B19" s="226" t="s">
        <v>137</v>
      </c>
      <c r="C19" s="741"/>
      <c r="D19" s="215" t="s">
        <v>958</v>
      </c>
      <c r="E19" s="215" t="s">
        <v>33</v>
      </c>
      <c r="F19" s="217">
        <v>4023.2000000000003</v>
      </c>
      <c r="G19" s="2"/>
    </row>
    <row r="20" spans="1:7" s="229" customFormat="1" ht="22.5" customHeight="1" x14ac:dyDescent="0.5">
      <c r="A20" s="23">
        <v>13</v>
      </c>
      <c r="B20" s="240" t="s">
        <v>191</v>
      </c>
      <c r="C20" s="83" t="s">
        <v>190</v>
      </c>
      <c r="D20" s="215" t="s">
        <v>958</v>
      </c>
      <c r="E20" s="215" t="s">
        <v>33</v>
      </c>
      <c r="F20" s="217">
        <v>11802.100000000002</v>
      </c>
      <c r="G20" s="47"/>
    </row>
    <row r="21" spans="1:7" ht="22.5" customHeight="1" x14ac:dyDescent="0.5">
      <c r="A21" s="23">
        <v>14</v>
      </c>
      <c r="B21" s="240" t="s">
        <v>193</v>
      </c>
      <c r="C21" s="83" t="s">
        <v>194</v>
      </c>
      <c r="D21" s="215" t="s">
        <v>958</v>
      </c>
      <c r="E21" s="215" t="s">
        <v>33</v>
      </c>
      <c r="F21" s="217">
        <v>1701.3</v>
      </c>
      <c r="G21" s="2"/>
    </row>
    <row r="22" spans="1:7" ht="22.5" customHeight="1" x14ac:dyDescent="0.5">
      <c r="A22" s="23">
        <v>15</v>
      </c>
      <c r="B22" s="243" t="s">
        <v>198</v>
      </c>
      <c r="C22" s="244" t="s">
        <v>46</v>
      </c>
      <c r="D22" s="215" t="s">
        <v>958</v>
      </c>
      <c r="E22" s="215" t="s">
        <v>33</v>
      </c>
      <c r="F22" s="217">
        <v>256.79999999999933</v>
      </c>
      <c r="G22" s="2"/>
    </row>
    <row r="23" spans="1:7" ht="22.5" customHeight="1" x14ac:dyDescent="0.5">
      <c r="A23" s="23">
        <v>16</v>
      </c>
      <c r="B23" s="209" t="s">
        <v>198</v>
      </c>
      <c r="C23" s="210" t="s">
        <v>567</v>
      </c>
      <c r="D23" s="215" t="s">
        <v>958</v>
      </c>
      <c r="E23" s="215" t="s">
        <v>33</v>
      </c>
      <c r="F23" s="217">
        <v>1005.8</v>
      </c>
      <c r="G23" s="2"/>
    </row>
    <row r="24" spans="1:7" ht="22.5" customHeight="1" x14ac:dyDescent="0.5">
      <c r="A24" s="23">
        <v>17</v>
      </c>
      <c r="B24" s="209" t="s">
        <v>203</v>
      </c>
      <c r="C24" s="210" t="s">
        <v>204</v>
      </c>
      <c r="D24" s="215" t="s">
        <v>958</v>
      </c>
      <c r="E24" s="215" t="s">
        <v>33</v>
      </c>
      <c r="F24" s="217">
        <v>727.6</v>
      </c>
      <c r="G24" s="2"/>
    </row>
    <row r="25" spans="1:7" ht="22.5" customHeight="1" x14ac:dyDescent="0.5">
      <c r="A25" s="23">
        <v>18</v>
      </c>
      <c r="B25" s="209" t="s">
        <v>205</v>
      </c>
      <c r="C25" s="210" t="s">
        <v>206</v>
      </c>
      <c r="D25" s="215" t="s">
        <v>958</v>
      </c>
      <c r="E25" s="215" t="s">
        <v>33</v>
      </c>
      <c r="F25" s="217">
        <v>1369.6</v>
      </c>
      <c r="G25" s="2"/>
    </row>
    <row r="26" spans="1:7" ht="22.5" customHeight="1" x14ac:dyDescent="0.5">
      <c r="A26" s="23">
        <v>19</v>
      </c>
      <c r="B26" s="209" t="s">
        <v>210</v>
      </c>
      <c r="C26" s="210" t="s">
        <v>211</v>
      </c>
      <c r="D26" s="215" t="s">
        <v>958</v>
      </c>
      <c r="E26" s="215" t="s">
        <v>33</v>
      </c>
      <c r="F26" s="217">
        <v>10453.900000000001</v>
      </c>
      <c r="G26" s="2"/>
    </row>
    <row r="27" spans="1:7" ht="22.5" customHeight="1" x14ac:dyDescent="0.5">
      <c r="A27" s="23">
        <v>20</v>
      </c>
      <c r="B27" s="736" t="s">
        <v>226</v>
      </c>
      <c r="C27" s="736" t="s">
        <v>227</v>
      </c>
      <c r="D27" s="215" t="s">
        <v>958</v>
      </c>
      <c r="E27" s="215" t="s">
        <v>33</v>
      </c>
      <c r="F27" s="217">
        <v>7522.1</v>
      </c>
      <c r="G27" s="2"/>
    </row>
    <row r="28" spans="1:7" ht="22.5" customHeight="1" x14ac:dyDescent="0.5">
      <c r="A28" s="23">
        <v>21</v>
      </c>
      <c r="B28" s="73" t="s">
        <v>248</v>
      </c>
      <c r="C28" s="25" t="s">
        <v>249</v>
      </c>
      <c r="D28" s="215" t="s">
        <v>958</v>
      </c>
      <c r="E28" s="215" t="s">
        <v>33</v>
      </c>
      <c r="F28" s="36">
        <v>6300</v>
      </c>
      <c r="G28" s="2"/>
    </row>
    <row r="29" spans="1:7" ht="22.5" customHeight="1" x14ac:dyDescent="0.5">
      <c r="A29" s="23">
        <v>22</v>
      </c>
      <c r="B29" s="209" t="s">
        <v>250</v>
      </c>
      <c r="C29" s="210" t="s">
        <v>251</v>
      </c>
      <c r="D29" s="215" t="s">
        <v>958</v>
      </c>
      <c r="E29" s="215" t="s">
        <v>33</v>
      </c>
      <c r="F29" s="36">
        <v>6300</v>
      </c>
      <c r="G29" s="2"/>
    </row>
    <row r="30" spans="1:7" ht="22.5" customHeight="1" x14ac:dyDescent="0.5">
      <c r="A30" s="23">
        <v>23</v>
      </c>
      <c r="B30" s="73" t="s">
        <v>281</v>
      </c>
      <c r="C30" s="25" t="s">
        <v>282</v>
      </c>
      <c r="D30" s="215" t="s">
        <v>958</v>
      </c>
      <c r="E30" s="215" t="s">
        <v>33</v>
      </c>
      <c r="F30" s="36">
        <v>5600</v>
      </c>
      <c r="G30" s="2"/>
    </row>
    <row r="31" spans="1:7" ht="22.5" customHeight="1" x14ac:dyDescent="0.5">
      <c r="A31" s="23">
        <v>24</v>
      </c>
      <c r="B31" s="73" t="s">
        <v>287</v>
      </c>
      <c r="C31" s="25" t="s">
        <v>288</v>
      </c>
      <c r="D31" s="239" t="s">
        <v>958</v>
      </c>
      <c r="E31" s="239" t="s">
        <v>33</v>
      </c>
      <c r="F31" s="36">
        <v>5600</v>
      </c>
      <c r="G31" s="2"/>
    </row>
    <row r="32" spans="1:7" ht="22.5" customHeight="1" x14ac:dyDescent="0.5">
      <c r="A32" s="23">
        <v>25</v>
      </c>
      <c r="B32" s="189" t="s">
        <v>296</v>
      </c>
      <c r="C32" s="176" t="s">
        <v>297</v>
      </c>
      <c r="D32" s="297" t="s">
        <v>958</v>
      </c>
      <c r="E32" s="297" t="s">
        <v>33</v>
      </c>
      <c r="F32" s="36">
        <v>5600</v>
      </c>
      <c r="G32" s="2"/>
    </row>
    <row r="33" spans="1:8" ht="22.5" customHeight="1" x14ac:dyDescent="0.5">
      <c r="A33" s="23">
        <v>26</v>
      </c>
      <c r="B33" s="209" t="s">
        <v>300</v>
      </c>
      <c r="C33" s="210" t="s">
        <v>301</v>
      </c>
      <c r="D33" s="215" t="s">
        <v>958</v>
      </c>
      <c r="E33" s="215" t="s">
        <v>33</v>
      </c>
      <c r="F33" s="36">
        <v>5600</v>
      </c>
      <c r="G33" s="2"/>
    </row>
    <row r="34" spans="1:8" ht="22.5" customHeight="1" x14ac:dyDescent="0.5">
      <c r="A34" s="23">
        <v>27</v>
      </c>
      <c r="B34" s="209" t="s">
        <v>306</v>
      </c>
      <c r="C34" s="210" t="s">
        <v>307</v>
      </c>
      <c r="D34" s="215" t="s">
        <v>958</v>
      </c>
      <c r="E34" s="215" t="s">
        <v>33</v>
      </c>
      <c r="F34" s="36">
        <v>5600</v>
      </c>
      <c r="G34" s="218"/>
    </row>
    <row r="35" spans="1:8" ht="22.5" customHeight="1" x14ac:dyDescent="0.5">
      <c r="A35" s="23">
        <v>28</v>
      </c>
      <c r="B35" s="290" t="s">
        <v>353</v>
      </c>
      <c r="C35" s="371" t="s">
        <v>354</v>
      </c>
      <c r="D35" s="215" t="s">
        <v>958</v>
      </c>
      <c r="E35" s="215" t="s">
        <v>33</v>
      </c>
      <c r="F35" s="36">
        <v>11000</v>
      </c>
      <c r="G35" s="2"/>
    </row>
    <row r="36" spans="1:8" ht="22.5" customHeight="1" x14ac:dyDescent="0.5">
      <c r="A36" s="23">
        <v>29</v>
      </c>
      <c r="B36" s="290" t="s">
        <v>355</v>
      </c>
      <c r="C36" s="371" t="s">
        <v>356</v>
      </c>
      <c r="D36" s="215" t="s">
        <v>958</v>
      </c>
      <c r="E36" s="215" t="s">
        <v>33</v>
      </c>
      <c r="F36" s="36">
        <v>9400</v>
      </c>
      <c r="G36" s="2"/>
    </row>
    <row r="37" spans="1:8" ht="22.5" customHeight="1" x14ac:dyDescent="0.5">
      <c r="A37" s="23">
        <v>30</v>
      </c>
      <c r="B37" s="290" t="s">
        <v>358</v>
      </c>
      <c r="C37" s="371" t="s">
        <v>356</v>
      </c>
      <c r="D37" s="215" t="s">
        <v>958</v>
      </c>
      <c r="E37" s="215" t="s">
        <v>33</v>
      </c>
      <c r="F37" s="36">
        <v>9810</v>
      </c>
      <c r="G37" s="2"/>
    </row>
    <row r="38" spans="1:8" ht="22.5" customHeight="1" x14ac:dyDescent="0.5">
      <c r="A38" s="23">
        <v>31</v>
      </c>
      <c r="B38" s="149" t="s">
        <v>281</v>
      </c>
      <c r="C38" s="311" t="s">
        <v>360</v>
      </c>
      <c r="D38" s="215" t="s">
        <v>958</v>
      </c>
      <c r="E38" s="215" t="s">
        <v>33</v>
      </c>
      <c r="F38" s="36">
        <v>3000</v>
      </c>
      <c r="G38" s="2"/>
    </row>
    <row r="39" spans="1:8" ht="22.5" customHeight="1" x14ac:dyDescent="0.5">
      <c r="A39" s="23">
        <v>32</v>
      </c>
      <c r="B39" s="374" t="s">
        <v>389</v>
      </c>
      <c r="C39" s="81" t="s">
        <v>390</v>
      </c>
      <c r="D39" s="239" t="s">
        <v>958</v>
      </c>
      <c r="E39" s="239" t="s">
        <v>33</v>
      </c>
      <c r="F39" s="830">
        <v>3150</v>
      </c>
      <c r="G39" s="218"/>
      <c r="H39" s="309"/>
    </row>
    <row r="40" spans="1:8" ht="22.5" customHeight="1" thickBot="1" x14ac:dyDescent="0.55000000000000004">
      <c r="A40" s="833"/>
      <c r="B40" s="834"/>
      <c r="C40" s="835"/>
      <c r="D40" s="781"/>
      <c r="E40" s="781"/>
      <c r="F40" s="836">
        <f>SUM(F8:F39)</f>
        <v>183489.20000000004</v>
      </c>
      <c r="G40" s="218"/>
      <c r="H40" s="309"/>
    </row>
    <row r="41" spans="1:8" ht="22.5" customHeight="1" thickTop="1" x14ac:dyDescent="0.5">
      <c r="A41" s="391"/>
      <c r="B41" s="61" t="s">
        <v>676</v>
      </c>
      <c r="C41" s="63"/>
      <c r="D41" s="831"/>
      <c r="E41" s="831"/>
      <c r="F41" s="387"/>
      <c r="G41" s="218"/>
      <c r="H41" s="309"/>
    </row>
    <row r="42" spans="1:8" ht="22.5" customHeight="1" x14ac:dyDescent="0.5">
      <c r="A42" s="208">
        <v>1</v>
      </c>
      <c r="B42" s="73" t="s">
        <v>116</v>
      </c>
      <c r="C42" s="25" t="s">
        <v>113</v>
      </c>
      <c r="D42" s="215" t="s">
        <v>970</v>
      </c>
      <c r="E42" s="215" t="s">
        <v>115</v>
      </c>
      <c r="F42" s="217">
        <v>9694.2000000000025</v>
      </c>
    </row>
    <row r="43" spans="1:8" ht="22.5" customHeight="1" x14ac:dyDescent="0.5">
      <c r="A43" s="208">
        <v>2</v>
      </c>
      <c r="B43" s="209" t="s">
        <v>162</v>
      </c>
      <c r="C43" s="210" t="s">
        <v>163</v>
      </c>
      <c r="D43" s="215" t="s">
        <v>970</v>
      </c>
      <c r="E43" s="215" t="s">
        <v>115</v>
      </c>
      <c r="F43" s="217">
        <v>12979.099999999997</v>
      </c>
    </row>
    <row r="44" spans="1:8" ht="22.5" customHeight="1" x14ac:dyDescent="0.5">
      <c r="A44" s="208">
        <v>3</v>
      </c>
      <c r="B44" s="240" t="s">
        <v>168</v>
      </c>
      <c r="C44" s="83" t="s">
        <v>169</v>
      </c>
      <c r="D44" s="215" t="s">
        <v>970</v>
      </c>
      <c r="E44" s="215" t="s">
        <v>115</v>
      </c>
      <c r="F44" s="217">
        <v>8891.7000000000007</v>
      </c>
    </row>
    <row r="45" spans="1:8" ht="22.5" customHeight="1" x14ac:dyDescent="0.5">
      <c r="A45" s="837">
        <v>4</v>
      </c>
      <c r="B45" s="240" t="s">
        <v>208</v>
      </c>
      <c r="C45" s="83"/>
      <c r="D45" s="239" t="s">
        <v>970</v>
      </c>
      <c r="E45" s="239" t="s">
        <v>115</v>
      </c>
      <c r="F45" s="761">
        <v>2803.3999999999978</v>
      </c>
      <c r="G45" s="790"/>
    </row>
    <row r="46" spans="1:8" ht="22.5" customHeight="1" thickBot="1" x14ac:dyDescent="0.55000000000000004">
      <c r="A46" s="833"/>
      <c r="B46" s="785"/>
      <c r="C46" s="786"/>
      <c r="D46" s="781"/>
      <c r="E46" s="781"/>
      <c r="F46" s="789">
        <f>SUM(F42:F45)</f>
        <v>34368.399999999994</v>
      </c>
      <c r="G46" s="790"/>
    </row>
    <row r="47" spans="1:8" ht="22.5" customHeight="1" thickTop="1" x14ac:dyDescent="0.5">
      <c r="A47" s="391"/>
      <c r="B47" s="768" t="s">
        <v>1064</v>
      </c>
      <c r="C47" s="743"/>
      <c r="D47" s="831"/>
      <c r="E47" s="831"/>
      <c r="F47" s="751"/>
      <c r="G47" s="790"/>
    </row>
    <row r="48" spans="1:8" ht="22.5" customHeight="1" x14ac:dyDescent="0.5">
      <c r="A48" s="837">
        <v>1</v>
      </c>
      <c r="B48" s="240" t="s">
        <v>200</v>
      </c>
      <c r="C48" s="83" t="s">
        <v>201</v>
      </c>
      <c r="D48" s="239" t="s">
        <v>1000</v>
      </c>
      <c r="E48" s="239" t="s">
        <v>284</v>
      </c>
      <c r="F48" s="761">
        <v>19088.799999999996</v>
      </c>
    </row>
    <row r="49" spans="1:9" ht="22.5" customHeight="1" thickBot="1" x14ac:dyDescent="0.55000000000000004">
      <c r="A49" s="833"/>
      <c r="B49" s="785"/>
      <c r="C49" s="786"/>
      <c r="D49" s="847"/>
      <c r="E49" s="847"/>
      <c r="F49" s="789">
        <f>SUM(F48)</f>
        <v>19088.799999999996</v>
      </c>
    </row>
    <row r="50" spans="1:9" ht="22.5" customHeight="1" thickTop="1" x14ac:dyDescent="0.5">
      <c r="A50" s="391"/>
      <c r="B50" s="768" t="s">
        <v>1063</v>
      </c>
      <c r="C50" s="743"/>
      <c r="D50" s="675"/>
      <c r="E50" s="675"/>
      <c r="F50" s="751"/>
    </row>
    <row r="51" spans="1:9" ht="22.5" customHeight="1" x14ac:dyDescent="0.3">
      <c r="A51" s="61">
        <v>1</v>
      </c>
      <c r="B51" s="290" t="s">
        <v>358</v>
      </c>
      <c r="C51" s="63" t="s">
        <v>417</v>
      </c>
      <c r="D51" s="69" t="s">
        <v>795</v>
      </c>
      <c r="E51" s="69"/>
      <c r="F51" s="387">
        <v>9651.43</v>
      </c>
    </row>
    <row r="52" spans="1:9" ht="22.5" customHeight="1" x14ac:dyDescent="0.3">
      <c r="A52" s="61">
        <v>2</v>
      </c>
      <c r="B52" s="290" t="s">
        <v>463</v>
      </c>
      <c r="C52" s="63" t="s">
        <v>464</v>
      </c>
      <c r="D52" s="69" t="s">
        <v>795</v>
      </c>
      <c r="E52" s="69"/>
      <c r="F52" s="387">
        <v>1064.44</v>
      </c>
    </row>
    <row r="53" spans="1:9" ht="22.5" customHeight="1" x14ac:dyDescent="0.3">
      <c r="A53" s="23">
        <v>3</v>
      </c>
      <c r="B53" s="290" t="s">
        <v>493</v>
      </c>
      <c r="C53" s="25" t="s">
        <v>494</v>
      </c>
      <c r="D53" s="41" t="s">
        <v>795</v>
      </c>
      <c r="E53" s="41"/>
      <c r="F53" s="387">
        <v>2061.84</v>
      </c>
    </row>
    <row r="54" spans="1:9" ht="22.5" customHeight="1" x14ac:dyDescent="0.3">
      <c r="A54" s="331">
        <v>4</v>
      </c>
      <c r="B54" s="374" t="s">
        <v>495</v>
      </c>
      <c r="C54" s="81" t="s">
        <v>496</v>
      </c>
      <c r="D54" s="338" t="s">
        <v>795</v>
      </c>
      <c r="E54" s="338"/>
      <c r="F54" s="849">
        <v>20595.900000000001</v>
      </c>
    </row>
    <row r="55" spans="1:9" ht="22.5" customHeight="1" thickBot="1" x14ac:dyDescent="0.35">
      <c r="A55" s="905"/>
      <c r="B55" s="834"/>
      <c r="C55" s="835"/>
      <c r="D55" s="862"/>
      <c r="E55" s="862"/>
      <c r="F55" s="836">
        <f>SUM(F51:F54)</f>
        <v>33373.61</v>
      </c>
    </row>
    <row r="56" spans="1:9" s="60" customFormat="1" ht="22.5" customHeight="1" thickTop="1" thickBot="1" x14ac:dyDescent="0.35">
      <c r="A56" s="850"/>
      <c r="B56" s="851" t="s">
        <v>497</v>
      </c>
      <c r="C56" s="852"/>
      <c r="D56" s="853">
        <v>0</v>
      </c>
      <c r="E56" s="853"/>
      <c r="F56" s="853">
        <v>270320.00760000001</v>
      </c>
      <c r="G56" s="879">
        <f>SUM(F40+F46+F49+F55)</f>
        <v>270320.01</v>
      </c>
      <c r="H56" s="900">
        <v>270320.01</v>
      </c>
      <c r="I56" s="60" t="s">
        <v>670</v>
      </c>
    </row>
    <row r="57" spans="1:9" ht="22.5" customHeight="1" thickTop="1" x14ac:dyDescent="0.3">
      <c r="D57" s="3"/>
      <c r="E57" s="3"/>
      <c r="F57" s="472"/>
    </row>
    <row r="58" spans="1:9" ht="22.5" customHeight="1" x14ac:dyDescent="0.3">
      <c r="A58" s="1123" t="s">
        <v>498</v>
      </c>
      <c r="B58" s="1124"/>
      <c r="C58" s="1124"/>
      <c r="D58" s="1124"/>
      <c r="E58" s="1124"/>
      <c r="F58" s="1125"/>
      <c r="G58" s="2"/>
    </row>
    <row r="59" spans="1:9" ht="22.5" customHeight="1" x14ac:dyDescent="0.3">
      <c r="A59" s="115"/>
      <c r="B59" s="164" t="s">
        <v>499</v>
      </c>
      <c r="C59" s="165"/>
      <c r="D59" s="117"/>
      <c r="E59" s="117"/>
      <c r="F59" s="370"/>
      <c r="G59" s="2"/>
    </row>
    <row r="60" spans="1:9" ht="22.5" customHeight="1" x14ac:dyDescent="0.3">
      <c r="A60" s="475">
        <v>1</v>
      </c>
      <c r="B60" s="476" t="s">
        <v>500</v>
      </c>
      <c r="C60" s="477" t="s">
        <v>501</v>
      </c>
      <c r="D60" s="484"/>
      <c r="E60" s="484"/>
      <c r="F60" s="487">
        <v>325409.68</v>
      </c>
      <c r="G60" s="2"/>
    </row>
    <row r="61" spans="1:9" ht="22.5" customHeight="1" x14ac:dyDescent="0.3">
      <c r="A61" s="488"/>
      <c r="B61" s="489" t="s">
        <v>503</v>
      </c>
      <c r="C61" s="490"/>
      <c r="D61" s="484"/>
      <c r="E61" s="892"/>
      <c r="F61" s="487"/>
      <c r="G61" s="2"/>
    </row>
    <row r="62" spans="1:9" ht="22.5" customHeight="1" x14ac:dyDescent="0.3">
      <c r="A62" s="475">
        <v>2</v>
      </c>
      <c r="B62" s="476" t="s">
        <v>504</v>
      </c>
      <c r="C62" s="477" t="s">
        <v>415</v>
      </c>
      <c r="D62" s="484"/>
      <c r="E62" s="892"/>
      <c r="F62" s="497">
        <v>74600.88</v>
      </c>
      <c r="G62" s="2"/>
    </row>
    <row r="63" spans="1:9" ht="22.5" customHeight="1" x14ac:dyDescent="0.3">
      <c r="A63" s="475"/>
      <c r="B63" s="489" t="s">
        <v>505</v>
      </c>
      <c r="C63" s="498"/>
      <c r="D63" s="484"/>
      <c r="E63" s="892"/>
      <c r="F63" s="497"/>
      <c r="G63" s="2"/>
    </row>
    <row r="64" spans="1:9" ht="22.5" customHeight="1" x14ac:dyDescent="0.3">
      <c r="A64" s="502">
        <v>3</v>
      </c>
      <c r="B64" s="503" t="s">
        <v>506</v>
      </c>
      <c r="C64" s="504" t="s">
        <v>507</v>
      </c>
      <c r="D64" s="509"/>
      <c r="E64" s="893"/>
      <c r="F64" s="513">
        <v>32500</v>
      </c>
      <c r="G64" s="2"/>
    </row>
    <row r="65" spans="1:9" ht="22.5" customHeight="1" x14ac:dyDescent="0.3">
      <c r="A65" s="488"/>
      <c r="B65" s="489" t="s">
        <v>508</v>
      </c>
      <c r="C65" s="514"/>
      <c r="D65" s="520"/>
      <c r="E65" s="520"/>
      <c r="F65" s="524"/>
    </row>
    <row r="66" spans="1:9" ht="22.5" customHeight="1" x14ac:dyDescent="0.3">
      <c r="A66" s="488">
        <v>4</v>
      </c>
      <c r="B66" s="525" t="s">
        <v>509</v>
      </c>
      <c r="C66" s="526" t="s">
        <v>510</v>
      </c>
      <c r="D66" s="521"/>
      <c r="E66" s="529"/>
      <c r="F66" s="532">
        <v>796450.4</v>
      </c>
    </row>
    <row r="67" spans="1:9" ht="22.5" customHeight="1" x14ac:dyDescent="0.3">
      <c r="A67" s="533"/>
      <c r="B67" s="534" t="s">
        <v>509</v>
      </c>
      <c r="C67" s="535" t="s">
        <v>511</v>
      </c>
      <c r="D67" s="543"/>
      <c r="E67" s="544"/>
      <c r="F67" s="547">
        <v>93330</v>
      </c>
    </row>
    <row r="68" spans="1:9" s="60" customFormat="1" ht="22.5" customHeight="1" thickBot="1" x14ac:dyDescent="0.35">
      <c r="A68" s="548"/>
      <c r="B68" s="548" t="s">
        <v>15</v>
      </c>
      <c r="C68" s="549"/>
      <c r="D68" s="555"/>
      <c r="E68" s="555"/>
      <c r="F68" s="558">
        <v>1322290.96</v>
      </c>
      <c r="G68" s="59">
        <v>1322290.96</v>
      </c>
    </row>
    <row r="69" spans="1:9" ht="22.5" customHeight="1" thickTop="1" x14ac:dyDescent="0.3">
      <c r="A69" s="559"/>
      <c r="B69" s="560" t="s">
        <v>92</v>
      </c>
      <c r="C69" s="561"/>
      <c r="D69" s="567"/>
      <c r="E69" s="567"/>
      <c r="F69" s="570"/>
      <c r="G69" s="2"/>
    </row>
    <row r="70" spans="1:9" ht="22.5" customHeight="1" x14ac:dyDescent="0.3">
      <c r="A70" s="23">
        <v>1</v>
      </c>
      <c r="B70" s="73" t="s">
        <v>512</v>
      </c>
      <c r="C70" s="25" t="s">
        <v>97</v>
      </c>
      <c r="D70" s="41" t="s">
        <v>513</v>
      </c>
      <c r="E70" s="41"/>
      <c r="F70" s="36">
        <v>10499.9956</v>
      </c>
      <c r="G70" s="2"/>
    </row>
    <row r="71" spans="1:9" s="60" customFormat="1" ht="22.5" customHeight="1" thickBot="1" x14ac:dyDescent="0.35">
      <c r="A71" s="548"/>
      <c r="B71" s="548" t="s">
        <v>15</v>
      </c>
      <c r="C71" s="549"/>
      <c r="D71" s="548"/>
      <c r="E71" s="548"/>
      <c r="F71" s="558">
        <v>10499.9956</v>
      </c>
      <c r="G71" s="59">
        <v>10499.9956</v>
      </c>
    </row>
    <row r="72" spans="1:9" s="60" customFormat="1" ht="22.5" customHeight="1" thickTop="1" thickBot="1" x14ac:dyDescent="0.35">
      <c r="A72" s="572"/>
      <c r="B72" s="572" t="s">
        <v>515</v>
      </c>
      <c r="C72" s="573"/>
      <c r="D72" s="580"/>
      <c r="E72" s="580"/>
      <c r="F72" s="583">
        <v>1332790.9556</v>
      </c>
      <c r="G72" s="59"/>
    </row>
    <row r="73" spans="1:9" ht="22.5" customHeight="1" thickTop="1" x14ac:dyDescent="0.3">
      <c r="D73" s="470"/>
      <c r="E73" s="470"/>
      <c r="F73" s="472"/>
      <c r="G73" s="2"/>
    </row>
    <row r="74" spans="1:9" s="589" customFormat="1" ht="20.399999999999999" x14ac:dyDescent="0.5">
      <c r="A74" s="1126" t="s">
        <v>516</v>
      </c>
      <c r="B74" s="1127"/>
      <c r="C74" s="1127"/>
      <c r="D74" s="1127"/>
      <c r="E74" s="1127"/>
      <c r="F74" s="1127"/>
      <c r="G74" s="587"/>
      <c r="H74" s="587"/>
      <c r="I74" s="588"/>
    </row>
    <row r="75" spans="1:9" s="599" customFormat="1" x14ac:dyDescent="0.6">
      <c r="A75" s="590">
        <v>1</v>
      </c>
      <c r="B75" s="591" t="s">
        <v>517</v>
      </c>
      <c r="C75" s="591" t="s">
        <v>518</v>
      </c>
      <c r="D75" s="598"/>
      <c r="E75" s="598"/>
      <c r="F75" s="595">
        <v>0</v>
      </c>
      <c r="I75" s="600"/>
    </row>
    <row r="76" spans="1:9" s="599" customFormat="1" x14ac:dyDescent="0.6">
      <c r="A76" s="601">
        <v>2</v>
      </c>
      <c r="B76" s="602" t="s">
        <v>519</v>
      </c>
      <c r="C76" s="602" t="s">
        <v>520</v>
      </c>
      <c r="D76" s="604"/>
      <c r="E76" s="604"/>
      <c r="F76" s="609">
        <v>54000</v>
      </c>
      <c r="I76" s="600"/>
    </row>
    <row r="77" spans="1:9" s="599" customFormat="1" x14ac:dyDescent="0.6">
      <c r="A77" s="610">
        <v>3</v>
      </c>
      <c r="B77" s="611" t="s">
        <v>521</v>
      </c>
      <c r="C77" s="611" t="s">
        <v>522</v>
      </c>
      <c r="D77" s="618"/>
      <c r="E77" s="618"/>
      <c r="F77" s="609">
        <v>0</v>
      </c>
      <c r="I77" s="600"/>
    </row>
    <row r="78" spans="1:9" s="599" customFormat="1" ht="24" thickBot="1" x14ac:dyDescent="0.65">
      <c r="A78" s="619"/>
      <c r="B78" s="620" t="s">
        <v>523</v>
      </c>
      <c r="C78" s="621"/>
      <c r="D78" s="623"/>
      <c r="E78" s="623"/>
      <c r="F78" s="626">
        <v>54000</v>
      </c>
      <c r="G78" s="627">
        <v>54000</v>
      </c>
      <c r="H78" s="904">
        <v>1657110.9656</v>
      </c>
      <c r="I78" s="600" t="s">
        <v>1061</v>
      </c>
    </row>
    <row r="79" spans="1:9" s="636" customFormat="1" ht="24" thickTop="1" x14ac:dyDescent="0.6">
      <c r="A79" s="628"/>
      <c r="B79" s="629"/>
      <c r="C79" s="630"/>
      <c r="D79" s="632"/>
      <c r="E79" s="632"/>
      <c r="F79" s="635"/>
      <c r="I79" s="637"/>
    </row>
    <row r="80" spans="1:9" s="636" customFormat="1" x14ac:dyDescent="0.6">
      <c r="A80" s="1128" t="s">
        <v>524</v>
      </c>
      <c r="B80" s="1128"/>
      <c r="C80" s="1128"/>
      <c r="D80" s="1128"/>
      <c r="E80" s="1128"/>
      <c r="F80" s="1128"/>
      <c r="I80" s="637"/>
    </row>
    <row r="81" spans="1:9" s="599" customFormat="1" x14ac:dyDescent="0.6">
      <c r="A81" s="638">
        <v>1</v>
      </c>
      <c r="B81" s="639" t="s">
        <v>519</v>
      </c>
      <c r="C81" s="639" t="s">
        <v>518</v>
      </c>
      <c r="D81" s="884" t="s">
        <v>936</v>
      </c>
      <c r="E81" s="884"/>
      <c r="F81" s="643">
        <v>78400</v>
      </c>
      <c r="I81" s="600"/>
    </row>
    <row r="82" spans="1:9" s="599" customFormat="1" x14ac:dyDescent="0.6">
      <c r="A82" s="646">
        <v>2</v>
      </c>
      <c r="B82" s="647" t="s">
        <v>521</v>
      </c>
      <c r="C82" s="647" t="s">
        <v>522</v>
      </c>
      <c r="D82" s="641" t="s">
        <v>1059</v>
      </c>
      <c r="E82" s="641" t="s">
        <v>33</v>
      </c>
      <c r="F82" s="643">
        <v>6917.6500000000015</v>
      </c>
      <c r="I82" s="600"/>
    </row>
    <row r="83" spans="1:9" s="599" customFormat="1" x14ac:dyDescent="0.6">
      <c r="A83" s="646"/>
      <c r="B83" s="653" t="s">
        <v>534</v>
      </c>
      <c r="C83" s="647"/>
      <c r="D83" s="652"/>
      <c r="E83" s="652"/>
      <c r="F83" s="651"/>
      <c r="I83" s="600"/>
    </row>
    <row r="84" spans="1:9" s="599" customFormat="1" ht="24" thickBot="1" x14ac:dyDescent="0.65">
      <c r="A84" s="619"/>
      <c r="B84" s="620" t="s">
        <v>535</v>
      </c>
      <c r="C84" s="621"/>
      <c r="D84" s="625"/>
      <c r="E84" s="625"/>
      <c r="F84" s="625">
        <v>85317.65</v>
      </c>
      <c r="G84" s="731">
        <v>85317.65</v>
      </c>
      <c r="H84" s="904">
        <v>1742428.6055999999</v>
      </c>
      <c r="I84" s="600" t="s">
        <v>1062</v>
      </c>
    </row>
    <row r="85" spans="1:9" ht="22.5" customHeight="1" thickTop="1" x14ac:dyDescent="0.3">
      <c r="D85" s="470"/>
      <c r="E85" s="470"/>
      <c r="F85" s="472"/>
      <c r="G85" s="2"/>
    </row>
    <row r="86" spans="1:9" ht="22.5" customHeight="1" thickBot="1" x14ac:dyDescent="0.35">
      <c r="D86" s="470"/>
      <c r="E86" s="470"/>
      <c r="F86" s="658">
        <v>1742428.6132</v>
      </c>
      <c r="G86" s="2"/>
    </row>
    <row r="87" spans="1:9" ht="22.5" customHeight="1" thickTop="1" x14ac:dyDescent="0.5">
      <c r="B87" s="587" t="s">
        <v>537</v>
      </c>
      <c r="C87" s="587"/>
      <c r="D87" s="3"/>
      <c r="E87" s="3"/>
      <c r="F87" s="472"/>
    </row>
    <row r="88" spans="1:9" x14ac:dyDescent="0.5">
      <c r="B88" s="1129" t="s">
        <v>538</v>
      </c>
      <c r="C88" s="1129"/>
      <c r="D88" s="3"/>
      <c r="E88" s="3"/>
      <c r="F88" s="472"/>
    </row>
    <row r="89" spans="1:9" x14ac:dyDescent="0.5">
      <c r="B89" s="1129" t="s">
        <v>539</v>
      </c>
      <c r="C89" s="1129"/>
      <c r="D89" s="3"/>
      <c r="E89" s="3"/>
      <c r="F89" s="472"/>
    </row>
    <row r="90" spans="1:9" x14ac:dyDescent="0.3">
      <c r="D90" s="3"/>
      <c r="E90" s="3"/>
      <c r="F90" s="472"/>
    </row>
    <row r="91" spans="1:9" x14ac:dyDescent="0.3">
      <c r="D91" s="3"/>
      <c r="E91" s="3"/>
      <c r="F91" s="472"/>
    </row>
    <row r="92" spans="1:9" x14ac:dyDescent="0.3">
      <c r="D92" s="3"/>
      <c r="E92" s="3"/>
      <c r="F92" s="472"/>
    </row>
    <row r="93" spans="1:9" x14ac:dyDescent="0.3">
      <c r="D93" s="3"/>
      <c r="E93" s="3"/>
      <c r="F93" s="472"/>
    </row>
    <row r="94" spans="1:9" x14ac:dyDescent="0.3">
      <c r="D94" s="3"/>
      <c r="E94" s="3"/>
      <c r="F94" s="472"/>
    </row>
    <row r="95" spans="1:9" x14ac:dyDescent="0.3">
      <c r="D95" s="3"/>
      <c r="E95" s="3"/>
      <c r="F95" s="472"/>
    </row>
    <row r="96" spans="1:9" x14ac:dyDescent="0.3">
      <c r="D96" s="3"/>
      <c r="E96" s="3"/>
      <c r="F96" s="472"/>
    </row>
  </sheetData>
  <sortState xmlns:xlrd2="http://schemas.microsoft.com/office/spreadsheetml/2017/richdata2" ref="A9:F54">
    <sortCondition ref="E9:E54"/>
  </sortState>
  <mergeCells count="13">
    <mergeCell ref="A58:F58"/>
    <mergeCell ref="A74:F74"/>
    <mergeCell ref="A80:F80"/>
    <mergeCell ref="B88:C88"/>
    <mergeCell ref="B89:C89"/>
    <mergeCell ref="A1:F1"/>
    <mergeCell ref="A2:F2"/>
    <mergeCell ref="A3:F3"/>
    <mergeCell ref="A4:A6"/>
    <mergeCell ref="B4:B6"/>
    <mergeCell ref="C4:C6"/>
    <mergeCell ref="D4:F4"/>
    <mergeCell ref="D5:D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6659-91BD-4CB1-8BC0-B3673F4E2DA3}">
  <sheetPr>
    <tabColor rgb="FFFFFF00"/>
  </sheetPr>
  <dimension ref="A1:AO289"/>
  <sheetViews>
    <sheetView zoomScale="70" zoomScaleNormal="70" workbookViewId="0">
      <pane ySplit="6" topLeftCell="A249" activePane="bottomLeft" state="frozen"/>
      <selection pane="bottomLeft" activeCell="C249" sqref="C249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88671875" style="88" customWidth="1"/>
    <col min="5" max="5" width="13.33203125" style="659" customWidth="1"/>
    <col min="6" max="6" width="7.88671875" style="660" customWidth="1"/>
    <col min="7" max="7" width="14.88671875" style="661" customWidth="1"/>
    <col min="8" max="8" width="14.6640625" style="661" customWidth="1"/>
    <col min="9" max="9" width="14.44140625" style="661" customWidth="1"/>
    <col min="10" max="10" width="12.44140625" style="88" customWidth="1"/>
    <col min="11" max="11" width="18.6640625" style="88" customWidth="1"/>
    <col min="12" max="12" width="16.33203125" style="88" customWidth="1"/>
    <col min="13" max="13" width="14.5546875" style="662" customWidth="1"/>
    <col min="14" max="14" width="8" style="663" customWidth="1"/>
    <col min="15" max="15" width="16.33203125" style="664" customWidth="1"/>
    <col min="16" max="16" width="13.88671875" style="664" customWidth="1"/>
    <col min="17" max="17" width="16.5546875" style="665" customWidth="1"/>
    <col min="18" max="16384" width="27.109375" style="3"/>
  </cols>
  <sheetData>
    <row r="1" spans="1:18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2"/>
    </row>
    <row r="2" spans="1:18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2"/>
    </row>
    <row r="3" spans="1:18" ht="22.5" customHeight="1" x14ac:dyDescent="0.3">
      <c r="A3" s="1110" t="s">
        <v>804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2"/>
    </row>
    <row r="4" spans="1:18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35"/>
      <c r="G4" s="1135"/>
      <c r="H4" s="1135"/>
      <c r="I4" s="1136"/>
      <c r="J4" s="1145" t="s">
        <v>8</v>
      </c>
      <c r="K4" s="1146"/>
      <c r="L4" s="1147"/>
      <c r="M4" s="1118" t="s">
        <v>9</v>
      </c>
      <c r="N4" s="1140"/>
      <c r="O4" s="1140"/>
      <c r="P4" s="1140"/>
      <c r="Q4" s="1120"/>
      <c r="R4" s="2"/>
    </row>
    <row r="5" spans="1:18" ht="22.5" customHeight="1" x14ac:dyDescent="0.3">
      <c r="A5" s="1113"/>
      <c r="B5" s="1113"/>
      <c r="C5" s="1116"/>
      <c r="D5" s="1142"/>
      <c r="E5" s="1130" t="s">
        <v>10</v>
      </c>
      <c r="F5" s="1132" t="s">
        <v>11</v>
      </c>
      <c r="G5" s="1134" t="s">
        <v>12</v>
      </c>
      <c r="H5" s="1135"/>
      <c r="I5" s="1136"/>
      <c r="J5" s="5"/>
      <c r="K5" s="6"/>
      <c r="L5" s="6"/>
      <c r="M5" s="1121" t="s">
        <v>10</v>
      </c>
      <c r="N5" s="1138" t="s">
        <v>11</v>
      </c>
      <c r="O5" s="1118" t="s">
        <v>12</v>
      </c>
      <c r="P5" s="1140"/>
      <c r="Q5" s="1120"/>
      <c r="R5" s="2"/>
    </row>
    <row r="6" spans="1:18" ht="22.5" customHeight="1" x14ac:dyDescent="0.3">
      <c r="A6" s="1114"/>
      <c r="B6" s="1114"/>
      <c r="C6" s="1117"/>
      <c r="D6" s="1143"/>
      <c r="E6" s="1131"/>
      <c r="F6" s="1133"/>
      <c r="G6" s="7" t="s">
        <v>13</v>
      </c>
      <c r="H6" s="7" t="s">
        <v>14</v>
      </c>
      <c r="I6" s="7" t="s">
        <v>15</v>
      </c>
      <c r="J6" s="5" t="s">
        <v>16</v>
      </c>
      <c r="K6" s="8" t="s">
        <v>17</v>
      </c>
      <c r="L6" s="6" t="s">
        <v>13</v>
      </c>
      <c r="M6" s="1122"/>
      <c r="N6" s="1139"/>
      <c r="O6" s="9" t="s">
        <v>18</v>
      </c>
      <c r="P6" s="9" t="s">
        <v>14</v>
      </c>
      <c r="Q6" s="10" t="s">
        <v>15</v>
      </c>
      <c r="R6" s="2"/>
    </row>
    <row r="7" spans="1:18" ht="22.5" customHeight="1" x14ac:dyDescent="0.3">
      <c r="A7" s="11"/>
      <c r="B7" s="12" t="s">
        <v>19</v>
      </c>
      <c r="C7" s="13"/>
      <c r="D7" s="14"/>
      <c r="E7" s="15"/>
      <c r="F7" s="16"/>
      <c r="G7" s="7"/>
      <c r="H7" s="17"/>
      <c r="I7" s="17"/>
      <c r="J7" s="18"/>
      <c r="K7" s="18"/>
      <c r="L7" s="14"/>
      <c r="M7" s="19"/>
      <c r="N7" s="20"/>
      <c r="O7" s="21"/>
      <c r="P7" s="21"/>
      <c r="Q7" s="22"/>
      <c r="R7" s="2"/>
    </row>
    <row r="8" spans="1:18" ht="22.5" customHeight="1" x14ac:dyDescent="0.6">
      <c r="A8" s="23">
        <v>1</v>
      </c>
      <c r="B8" s="24" t="s">
        <v>20</v>
      </c>
      <c r="C8" s="25" t="s">
        <v>21</v>
      </c>
      <c r="D8" s="26">
        <v>1755.3799999999999</v>
      </c>
      <c r="E8" s="27"/>
      <c r="F8" s="28"/>
      <c r="G8" s="29">
        <v>-2.2429906541738178E-3</v>
      </c>
      <c r="H8" s="29">
        <v>-1.5700934579216723E-4</v>
      </c>
      <c r="I8" s="29">
        <v>-2.3999999999659849E-3</v>
      </c>
      <c r="J8" s="30">
        <v>25196</v>
      </c>
      <c r="K8" s="31" t="s">
        <v>808</v>
      </c>
      <c r="L8" s="32">
        <v>1755.38</v>
      </c>
      <c r="M8" s="33"/>
      <c r="N8" s="34"/>
      <c r="O8" s="35">
        <f>SUM(Q8-P8)</f>
        <v>-2.2429906544925659E-3</v>
      </c>
      <c r="P8" s="35">
        <f>SUM(Q8*7/107)</f>
        <v>-1.5700934581447962E-4</v>
      </c>
      <c r="Q8" s="36">
        <f>SUM(D8+I8-L8)</f>
        <v>-2.4000000003070454E-3</v>
      </c>
      <c r="R8" s="47" t="s">
        <v>681</v>
      </c>
    </row>
    <row r="9" spans="1:18" ht="22.5" customHeight="1" x14ac:dyDescent="0.6">
      <c r="A9" s="23">
        <v>2</v>
      </c>
      <c r="B9" s="24" t="s">
        <v>24</v>
      </c>
      <c r="C9" s="25" t="s">
        <v>25</v>
      </c>
      <c r="D9" s="26">
        <v>799.38</v>
      </c>
      <c r="E9" s="27"/>
      <c r="F9" s="28"/>
      <c r="G9" s="29">
        <v>0</v>
      </c>
      <c r="H9" s="29">
        <v>0</v>
      </c>
      <c r="I9" s="29">
        <v>0</v>
      </c>
      <c r="J9" s="30">
        <v>25201</v>
      </c>
      <c r="K9" s="31" t="s">
        <v>809</v>
      </c>
      <c r="L9" s="32">
        <v>799.38</v>
      </c>
      <c r="M9" s="33"/>
      <c r="N9" s="34"/>
      <c r="O9" s="35">
        <f>SUM(Q9-P9)</f>
        <v>0</v>
      </c>
      <c r="P9" s="35">
        <f>SUM(Q9*7/107)</f>
        <v>0</v>
      </c>
      <c r="Q9" s="36">
        <f>SUM(D9+I9-L9)</f>
        <v>0</v>
      </c>
      <c r="R9" s="47" t="s">
        <v>681</v>
      </c>
    </row>
    <row r="10" spans="1:18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8"/>
      <c r="G10" s="29">
        <v>0</v>
      </c>
      <c r="H10" s="29">
        <v>0</v>
      </c>
      <c r="I10" s="29">
        <v>0</v>
      </c>
      <c r="J10" s="38">
        <v>25196</v>
      </c>
      <c r="K10" s="39" t="s">
        <v>810</v>
      </c>
      <c r="L10" s="40">
        <v>802.5</v>
      </c>
      <c r="M10" s="41"/>
      <c r="N10" s="34"/>
      <c r="O10" s="35">
        <f>SUM(Q10-P10)</f>
        <v>0</v>
      </c>
      <c r="P10" s="35">
        <f>SUM(Q10*7/107)</f>
        <v>0</v>
      </c>
      <c r="Q10" s="36">
        <f>SUM(D10+I10-L10)</f>
        <v>0</v>
      </c>
      <c r="R10" s="2"/>
    </row>
    <row r="11" spans="1:18" ht="22.5" customHeight="1" x14ac:dyDescent="0.5">
      <c r="A11" s="23">
        <v>4</v>
      </c>
      <c r="B11" s="24" t="s">
        <v>30</v>
      </c>
      <c r="C11" s="25" t="s">
        <v>31</v>
      </c>
      <c r="D11" s="43"/>
      <c r="E11" s="44"/>
      <c r="F11" s="45"/>
      <c r="G11" s="46">
        <v>1440</v>
      </c>
      <c r="H11" s="46">
        <v>100.8</v>
      </c>
      <c r="I11" s="46">
        <v>1540.8</v>
      </c>
      <c r="J11" s="30">
        <v>25180</v>
      </c>
      <c r="K11" s="31" t="s">
        <v>811</v>
      </c>
      <c r="L11" s="32">
        <v>1540.8</v>
      </c>
      <c r="M11" s="33"/>
      <c r="N11" s="34"/>
      <c r="O11" s="669">
        <f>SUM(Q11-P11)</f>
        <v>0</v>
      </c>
      <c r="P11" s="669">
        <f>SUM(Q11*7/107)</f>
        <v>0</v>
      </c>
      <c r="Q11" s="340">
        <f>SUM(D11+I11-L11)</f>
        <v>0</v>
      </c>
      <c r="R11" s="47"/>
    </row>
    <row r="12" spans="1:18" s="60" customFormat="1" ht="22.5" customHeight="1" thickBot="1" x14ac:dyDescent="0.35">
      <c r="A12" s="48"/>
      <c r="B12" s="48" t="s">
        <v>15</v>
      </c>
      <c r="C12" s="49"/>
      <c r="D12" s="50">
        <f>SUM(D8:D11)</f>
        <v>3357.2599999999998</v>
      </c>
      <c r="E12" s="51"/>
      <c r="F12" s="52"/>
      <c r="G12" s="53">
        <f>SUM(G8:G11)</f>
        <v>1439.9977570093458</v>
      </c>
      <c r="H12" s="53">
        <f>SUM(H8:H11)</f>
        <v>100.7998429906542</v>
      </c>
      <c r="I12" s="53">
        <f>SUM(I8:I11)</f>
        <v>1540.7975999999999</v>
      </c>
      <c r="J12" s="54"/>
      <c r="K12" s="55"/>
      <c r="L12" s="50">
        <f>SUM(L8:L11)</f>
        <v>4898.0600000000004</v>
      </c>
      <c r="M12" s="48"/>
      <c r="N12" s="56"/>
      <c r="O12" s="670">
        <f>SUM(Q12-P12)</f>
        <v>-2.2429906544925659E-3</v>
      </c>
      <c r="P12" s="670">
        <f>SUM(Q12*7/107)</f>
        <v>-1.5700934581447962E-4</v>
      </c>
      <c r="Q12" s="671">
        <f>SUM(D12+I12-L12)</f>
        <v>-2.4000000003070454E-3</v>
      </c>
      <c r="R12" s="59"/>
    </row>
    <row r="13" spans="1:18" ht="22.5" customHeight="1" thickTop="1" x14ac:dyDescent="0.3">
      <c r="A13" s="61"/>
      <c r="B13" s="62" t="s">
        <v>37</v>
      </c>
      <c r="C13" s="63"/>
      <c r="D13" s="64"/>
      <c r="E13" s="65"/>
      <c r="F13" s="66"/>
      <c r="G13" s="67"/>
      <c r="H13" s="67"/>
      <c r="I13" s="67"/>
      <c r="J13" s="68"/>
      <c r="K13" s="68"/>
      <c r="L13" s="64"/>
      <c r="M13" s="69"/>
      <c r="N13" s="70"/>
      <c r="O13" s="71"/>
      <c r="P13" s="71"/>
      <c r="Q13" s="72"/>
      <c r="R13" s="2"/>
    </row>
    <row r="14" spans="1:18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5"/>
      <c r="G14" s="76">
        <v>0</v>
      </c>
      <c r="H14" s="76">
        <v>0</v>
      </c>
      <c r="I14" s="76">
        <v>0</v>
      </c>
      <c r="J14" s="30">
        <v>25173</v>
      </c>
      <c r="K14" s="31" t="s">
        <v>812</v>
      </c>
      <c r="L14" s="32">
        <v>1284</v>
      </c>
      <c r="M14" s="69"/>
      <c r="N14" s="70"/>
      <c r="O14" s="35">
        <f>SUM(Q14-P14)</f>
        <v>0</v>
      </c>
      <c r="P14" s="42">
        <f>SUM(Q14*7/107)</f>
        <v>0</v>
      </c>
      <c r="Q14" s="36">
        <f>SUM(D14+I14-L14)</f>
        <v>0</v>
      </c>
      <c r="R14" s="2"/>
    </row>
    <row r="15" spans="1:18" ht="22.5" customHeight="1" x14ac:dyDescent="0.5">
      <c r="A15" s="23">
        <v>2</v>
      </c>
      <c r="B15" s="73" t="s">
        <v>42</v>
      </c>
      <c r="C15" s="25" t="s">
        <v>43</v>
      </c>
      <c r="D15" s="43">
        <v>1733.4</v>
      </c>
      <c r="E15" s="74"/>
      <c r="F15" s="77"/>
      <c r="G15" s="76">
        <v>-4.2499752419295712E-13</v>
      </c>
      <c r="H15" s="76">
        <v>-2.9749826693506995E-14</v>
      </c>
      <c r="I15" s="76">
        <v>-4.5474735088646412E-13</v>
      </c>
      <c r="J15" s="30">
        <v>25197</v>
      </c>
      <c r="K15" s="31" t="s">
        <v>813</v>
      </c>
      <c r="L15" s="32">
        <v>1733.4</v>
      </c>
      <c r="M15" s="33"/>
      <c r="N15" s="70"/>
      <c r="O15" s="35">
        <f t="shared" ref="O15:O26" si="0">SUM(Q15-P15)</f>
        <v>-4.2499752419295712E-13</v>
      </c>
      <c r="P15" s="42">
        <f t="shared" ref="P15:P26" si="1">SUM(Q15*7/107)</f>
        <v>-2.9749826693506995E-14</v>
      </c>
      <c r="Q15" s="36">
        <f t="shared" ref="Q15:Q26" si="2">SUM(D15+I15-L15)</f>
        <v>-4.5474735088646412E-13</v>
      </c>
      <c r="R15" s="2"/>
    </row>
    <row r="16" spans="1:18" ht="22.5" customHeight="1" x14ac:dyDescent="0.5">
      <c r="A16" s="23">
        <v>3</v>
      </c>
      <c r="B16" s="73" t="s">
        <v>45</v>
      </c>
      <c r="C16" s="25" t="s">
        <v>46</v>
      </c>
      <c r="D16" s="43">
        <v>834.6</v>
      </c>
      <c r="E16" s="74" t="s">
        <v>805</v>
      </c>
      <c r="F16" s="77" t="s">
        <v>33</v>
      </c>
      <c r="G16" s="76">
        <v>779.99999999999989</v>
      </c>
      <c r="H16" s="76">
        <v>54.599999999999987</v>
      </c>
      <c r="I16" s="76">
        <v>834.59999999999991</v>
      </c>
      <c r="J16" s="30">
        <v>25181</v>
      </c>
      <c r="K16" s="31" t="s">
        <v>814</v>
      </c>
      <c r="L16" s="32">
        <v>834.6</v>
      </c>
      <c r="M16" s="33">
        <v>25203</v>
      </c>
      <c r="N16" s="70" t="s">
        <v>33</v>
      </c>
      <c r="O16" s="35">
        <f t="shared" si="0"/>
        <v>779.99999999999977</v>
      </c>
      <c r="P16" s="42">
        <f t="shared" si="1"/>
        <v>54.599999999999987</v>
      </c>
      <c r="Q16" s="36">
        <f t="shared" si="2"/>
        <v>834.5999999999998</v>
      </c>
      <c r="R16" s="2"/>
    </row>
    <row r="17" spans="1:18" ht="22.5" customHeight="1" x14ac:dyDescent="0.5">
      <c r="A17" s="23">
        <v>4</v>
      </c>
      <c r="B17" s="73" t="s">
        <v>48</v>
      </c>
      <c r="C17" s="25" t="s">
        <v>49</v>
      </c>
      <c r="D17" s="43">
        <v>1877.85</v>
      </c>
      <c r="E17" s="74" t="s">
        <v>805</v>
      </c>
      <c r="F17" s="77" t="s">
        <v>33</v>
      </c>
      <c r="G17" s="76">
        <v>1574.9999999999986</v>
      </c>
      <c r="H17" s="76">
        <v>110.24999999999991</v>
      </c>
      <c r="I17" s="76">
        <v>1685.2499999999986</v>
      </c>
      <c r="J17" s="30" t="s">
        <v>815</v>
      </c>
      <c r="K17" s="31" t="s">
        <v>816</v>
      </c>
      <c r="L17" s="32">
        <v>3563.1</v>
      </c>
      <c r="M17" s="33"/>
      <c r="N17" s="70"/>
      <c r="O17" s="35">
        <f t="shared" si="0"/>
        <v>-1.2749925725788713E-12</v>
      </c>
      <c r="P17" s="42">
        <f t="shared" si="1"/>
        <v>-8.9249480080520993E-14</v>
      </c>
      <c r="Q17" s="36">
        <f t="shared" si="2"/>
        <v>-1.3642420526593924E-12</v>
      </c>
      <c r="R17" s="2"/>
    </row>
    <row r="18" spans="1:18" ht="22.5" customHeight="1" x14ac:dyDescent="0.5">
      <c r="A18" s="23">
        <v>5</v>
      </c>
      <c r="B18" s="73" t="s">
        <v>51</v>
      </c>
      <c r="C18" s="25" t="s">
        <v>52</v>
      </c>
      <c r="D18" s="43">
        <v>4526.1000000000004</v>
      </c>
      <c r="E18" s="74"/>
      <c r="F18" s="77"/>
      <c r="G18" s="76">
        <v>3.3999801935436569E-12</v>
      </c>
      <c r="H18" s="76">
        <v>2.3799861354805596E-13</v>
      </c>
      <c r="I18" s="76">
        <v>3.637978807091713E-12</v>
      </c>
      <c r="J18" s="30">
        <v>25201</v>
      </c>
      <c r="K18" s="31" t="s">
        <v>817</v>
      </c>
      <c r="L18" s="32">
        <v>4526.1000000000004</v>
      </c>
      <c r="M18" s="33"/>
      <c r="N18" s="70"/>
      <c r="O18" s="35">
        <f t="shared" si="0"/>
        <v>3.3999801935436569E-12</v>
      </c>
      <c r="P18" s="42">
        <f t="shared" si="1"/>
        <v>2.3799861354805596E-13</v>
      </c>
      <c r="Q18" s="36">
        <f t="shared" si="2"/>
        <v>3.637978807091713E-12</v>
      </c>
      <c r="R18" s="2"/>
    </row>
    <row r="19" spans="1:18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5"/>
      <c r="G19" s="76">
        <v>0</v>
      </c>
      <c r="H19" s="76">
        <v>0</v>
      </c>
      <c r="I19" s="76">
        <v>0</v>
      </c>
      <c r="J19" s="30">
        <v>25180</v>
      </c>
      <c r="K19" s="31" t="s">
        <v>818</v>
      </c>
      <c r="L19" s="32">
        <v>6420</v>
      </c>
      <c r="M19" s="69"/>
      <c r="N19" s="70"/>
      <c r="O19" s="35">
        <f t="shared" si="0"/>
        <v>0</v>
      </c>
      <c r="P19" s="42">
        <f t="shared" si="1"/>
        <v>0</v>
      </c>
      <c r="Q19" s="36">
        <f t="shared" si="2"/>
        <v>0</v>
      </c>
      <c r="R19" s="2"/>
    </row>
    <row r="20" spans="1:18" ht="22.5" customHeight="1" x14ac:dyDescent="0.5">
      <c r="A20" s="23">
        <v>7</v>
      </c>
      <c r="B20" s="78" t="s">
        <v>54</v>
      </c>
      <c r="C20" s="25" t="s">
        <v>55</v>
      </c>
      <c r="D20" s="79">
        <v>2166.75</v>
      </c>
      <c r="E20" s="80"/>
      <c r="F20" s="77"/>
      <c r="G20" s="76">
        <v>0</v>
      </c>
      <c r="H20" s="76">
        <v>0</v>
      </c>
      <c r="I20" s="76">
        <v>0</v>
      </c>
      <c r="J20" s="38">
        <v>25201</v>
      </c>
      <c r="K20" s="39" t="s">
        <v>819</v>
      </c>
      <c r="L20" s="40">
        <v>2166.75</v>
      </c>
      <c r="M20" s="33"/>
      <c r="N20" s="70"/>
      <c r="O20" s="35">
        <f t="shared" si="0"/>
        <v>0</v>
      </c>
      <c r="P20" s="42">
        <f t="shared" si="1"/>
        <v>0</v>
      </c>
      <c r="Q20" s="36">
        <f t="shared" si="2"/>
        <v>0</v>
      </c>
      <c r="R20" s="2"/>
    </row>
    <row r="21" spans="1:18" ht="22.5" customHeight="1" x14ac:dyDescent="0.5">
      <c r="A21" s="23">
        <v>8</v>
      </c>
      <c r="B21" s="78" t="s">
        <v>56</v>
      </c>
      <c r="C21" s="81" t="s">
        <v>57</v>
      </c>
      <c r="D21" s="79"/>
      <c r="E21" s="74"/>
      <c r="F21" s="77"/>
      <c r="G21" s="82">
        <v>0</v>
      </c>
      <c r="H21" s="82">
        <v>0</v>
      </c>
      <c r="I21" s="82">
        <v>0</v>
      </c>
      <c r="J21" s="38"/>
      <c r="K21" s="39"/>
      <c r="L21" s="40"/>
      <c r="M21" s="33"/>
      <c r="N21" s="70"/>
      <c r="O21" s="35">
        <f t="shared" si="0"/>
        <v>0</v>
      </c>
      <c r="P21" s="42">
        <f t="shared" si="1"/>
        <v>0</v>
      </c>
      <c r="Q21" s="36">
        <f t="shared" si="2"/>
        <v>0</v>
      </c>
      <c r="R21" s="2"/>
    </row>
    <row r="22" spans="1:18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5"/>
      <c r="G22" s="76">
        <v>0</v>
      </c>
      <c r="H22" s="76">
        <v>0</v>
      </c>
      <c r="I22" s="76">
        <v>0</v>
      </c>
      <c r="J22" s="38">
        <v>25189</v>
      </c>
      <c r="K22" s="39" t="s">
        <v>820</v>
      </c>
      <c r="L22" s="40">
        <v>21400</v>
      </c>
      <c r="M22" s="69"/>
      <c r="N22" s="70"/>
      <c r="O22" s="35">
        <f t="shared" si="0"/>
        <v>0</v>
      </c>
      <c r="P22" s="42">
        <f t="shared" si="1"/>
        <v>0</v>
      </c>
      <c r="Q22" s="36">
        <f t="shared" si="2"/>
        <v>0</v>
      </c>
      <c r="R22" s="2"/>
    </row>
    <row r="23" spans="1:18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5"/>
      <c r="G23" s="76">
        <v>0</v>
      </c>
      <c r="H23" s="76">
        <v>0</v>
      </c>
      <c r="I23" s="76">
        <v>0</v>
      </c>
      <c r="J23" s="38">
        <v>25196</v>
      </c>
      <c r="K23" s="39" t="s">
        <v>821</v>
      </c>
      <c r="L23" s="40">
        <v>856</v>
      </c>
      <c r="M23" s="69"/>
      <c r="N23" s="70"/>
      <c r="O23" s="35">
        <f t="shared" si="0"/>
        <v>0</v>
      </c>
      <c r="P23" s="42">
        <f t="shared" si="1"/>
        <v>0</v>
      </c>
      <c r="Q23" s="36">
        <f t="shared" si="2"/>
        <v>0</v>
      </c>
      <c r="R23" s="87"/>
    </row>
    <row r="24" spans="1:18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92"/>
      <c r="G24" s="76">
        <v>0</v>
      </c>
      <c r="H24" s="76">
        <v>0</v>
      </c>
      <c r="I24" s="76">
        <v>0</v>
      </c>
      <c r="J24" s="38">
        <v>25197</v>
      </c>
      <c r="K24" s="39" t="s">
        <v>822</v>
      </c>
      <c r="L24" s="40">
        <v>21400</v>
      </c>
      <c r="M24" s="69"/>
      <c r="N24" s="70"/>
      <c r="O24" s="35">
        <f t="shared" si="0"/>
        <v>0</v>
      </c>
      <c r="P24" s="42">
        <f t="shared" si="1"/>
        <v>0</v>
      </c>
      <c r="Q24" s="36">
        <f t="shared" si="2"/>
        <v>0</v>
      </c>
      <c r="R24" s="93"/>
    </row>
    <row r="25" spans="1:18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7"/>
      <c r="G25" s="98">
        <v>0</v>
      </c>
      <c r="H25" s="98">
        <v>0</v>
      </c>
      <c r="I25" s="98">
        <v>0</v>
      </c>
      <c r="J25" s="38">
        <v>25190</v>
      </c>
      <c r="K25" s="39" t="s">
        <v>823</v>
      </c>
      <c r="L25" s="40">
        <v>3210</v>
      </c>
      <c r="M25" s="69"/>
      <c r="N25" s="70"/>
      <c r="O25" s="35">
        <f t="shared" si="0"/>
        <v>0</v>
      </c>
      <c r="P25" s="42">
        <f t="shared" si="1"/>
        <v>0</v>
      </c>
      <c r="Q25" s="36">
        <f t="shared" si="2"/>
        <v>0</v>
      </c>
    </row>
    <row r="26" spans="1:18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7"/>
      <c r="G26" s="98">
        <v>0</v>
      </c>
      <c r="H26" s="98">
        <v>0</v>
      </c>
      <c r="I26" s="98">
        <v>0</v>
      </c>
      <c r="J26" s="101">
        <v>25189</v>
      </c>
      <c r="K26" s="102" t="s">
        <v>824</v>
      </c>
      <c r="L26" s="103">
        <v>3210</v>
      </c>
      <c r="M26" s="69"/>
      <c r="N26" s="70"/>
      <c r="O26" s="35">
        <f t="shared" si="0"/>
        <v>0</v>
      </c>
      <c r="P26" s="42">
        <f t="shared" si="1"/>
        <v>0</v>
      </c>
      <c r="Q26" s="36">
        <f t="shared" si="2"/>
        <v>0</v>
      </c>
      <c r="R26" s="93"/>
    </row>
    <row r="27" spans="1:18" s="60" customFormat="1" ht="22.5" customHeight="1" thickBot="1" x14ac:dyDescent="0.35">
      <c r="A27" s="48"/>
      <c r="B27" s="48" t="s">
        <v>15</v>
      </c>
      <c r="C27" s="49"/>
      <c r="D27" s="104">
        <f>SUM(D14:D26)</f>
        <v>68918.7</v>
      </c>
      <c r="E27" s="105"/>
      <c r="F27" s="56"/>
      <c r="G27" s="106">
        <f>SUM(G14:G26)</f>
        <v>2355.0000000000014</v>
      </c>
      <c r="H27" s="106">
        <f>SUM(H14:H26)</f>
        <v>164.85000000000011</v>
      </c>
      <c r="I27" s="106">
        <f>SUM(I14:I26)</f>
        <v>2519.8500000000017</v>
      </c>
      <c r="J27" s="104"/>
      <c r="K27" s="104"/>
      <c r="L27" s="104">
        <f>SUM(L14:L26)</f>
        <v>70603.95</v>
      </c>
      <c r="M27" s="107"/>
      <c r="N27" s="108"/>
      <c r="O27" s="109">
        <f>SUM(O14:O26)</f>
        <v>780.00000000000148</v>
      </c>
      <c r="P27" s="109">
        <f>SUM(P14:P26)</f>
        <v>54.600000000000101</v>
      </c>
      <c r="Q27" s="110">
        <f>SUM(Q14:Q26)</f>
        <v>834.60000000000161</v>
      </c>
    </row>
    <row r="28" spans="1:18" ht="22.5" customHeight="1" thickTop="1" x14ac:dyDescent="0.3">
      <c r="A28" s="61"/>
      <c r="B28" s="62" t="s">
        <v>71</v>
      </c>
      <c r="C28" s="63"/>
      <c r="D28" s="64"/>
      <c r="E28" s="65"/>
      <c r="F28" s="66"/>
      <c r="G28" s="67"/>
      <c r="H28" s="67"/>
      <c r="I28" s="67"/>
      <c r="J28" s="68"/>
      <c r="K28" s="68"/>
      <c r="L28" s="64"/>
      <c r="M28" s="69"/>
      <c r="N28" s="70"/>
      <c r="O28" s="71"/>
      <c r="P28" s="71"/>
      <c r="Q28" s="72"/>
    </row>
    <row r="29" spans="1:18" ht="22.5" customHeight="1" x14ac:dyDescent="0.5">
      <c r="A29" s="23">
        <v>1</v>
      </c>
      <c r="B29" s="73" t="s">
        <v>72</v>
      </c>
      <c r="C29" s="25" t="s">
        <v>73</v>
      </c>
      <c r="D29" s="43">
        <v>5071.8</v>
      </c>
      <c r="E29" s="74"/>
      <c r="F29" s="77"/>
      <c r="G29" s="76">
        <v>0</v>
      </c>
      <c r="H29" s="76">
        <v>0</v>
      </c>
      <c r="I29" s="76">
        <v>0</v>
      </c>
      <c r="J29" s="38">
        <v>25196</v>
      </c>
      <c r="K29" s="39" t="s">
        <v>825</v>
      </c>
      <c r="L29" s="32">
        <v>5071.8</v>
      </c>
      <c r="M29" s="111"/>
      <c r="N29" s="112"/>
      <c r="O29" s="113">
        <v>0</v>
      </c>
      <c r="P29" s="114">
        <v>0</v>
      </c>
      <c r="Q29" s="36">
        <v>0</v>
      </c>
    </row>
    <row r="30" spans="1:18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97"/>
      <c r="G30" s="76">
        <v>0</v>
      </c>
      <c r="H30" s="76">
        <v>0</v>
      </c>
      <c r="I30" s="76">
        <v>0</v>
      </c>
      <c r="J30" s="101">
        <v>25181</v>
      </c>
      <c r="K30" s="102" t="s">
        <v>826</v>
      </c>
      <c r="L30" s="103">
        <v>14445</v>
      </c>
      <c r="M30" s="117"/>
      <c r="N30" s="118"/>
      <c r="O30" s="113">
        <v>0</v>
      </c>
      <c r="P30" s="114">
        <v>0</v>
      </c>
      <c r="Q30" s="36">
        <v>0</v>
      </c>
    </row>
    <row r="31" spans="1:18" s="60" customFormat="1" ht="22.5" customHeight="1" thickBot="1" x14ac:dyDescent="0.35">
      <c r="A31" s="48"/>
      <c r="B31" s="48" t="s">
        <v>15</v>
      </c>
      <c r="C31" s="49"/>
      <c r="D31" s="50">
        <f>SUM(D29:D30)</f>
        <v>19516.8</v>
      </c>
      <c r="E31" s="50">
        <f t="shared" ref="E31:Q31" si="3">SUM(E29:E30)</f>
        <v>0</v>
      </c>
      <c r="F31" s="50">
        <f t="shared" si="3"/>
        <v>0</v>
      </c>
      <c r="G31" s="50">
        <f t="shared" si="3"/>
        <v>0</v>
      </c>
      <c r="H31" s="50">
        <f t="shared" si="3"/>
        <v>0</v>
      </c>
      <c r="I31" s="50">
        <f t="shared" si="3"/>
        <v>0</v>
      </c>
      <c r="J31" s="50"/>
      <c r="K31" s="50">
        <f t="shared" si="3"/>
        <v>0</v>
      </c>
      <c r="L31" s="50">
        <f t="shared" si="3"/>
        <v>19516.8</v>
      </c>
      <c r="M31" s="50">
        <f t="shared" si="3"/>
        <v>0</v>
      </c>
      <c r="N31" s="50">
        <f t="shared" si="3"/>
        <v>0</v>
      </c>
      <c r="O31" s="50">
        <f t="shared" si="3"/>
        <v>0</v>
      </c>
      <c r="P31" s="50">
        <f t="shared" si="3"/>
        <v>0</v>
      </c>
      <c r="Q31" s="50">
        <f t="shared" si="3"/>
        <v>0</v>
      </c>
    </row>
    <row r="32" spans="1:18" ht="22.5" customHeight="1" thickTop="1" x14ac:dyDescent="0.3">
      <c r="A32" s="61"/>
      <c r="B32" s="121" t="s">
        <v>78</v>
      </c>
      <c r="C32" s="63"/>
      <c r="D32" s="64"/>
      <c r="E32" s="65"/>
      <c r="F32" s="66"/>
      <c r="G32" s="67"/>
      <c r="H32" s="67"/>
      <c r="I32" s="67"/>
      <c r="J32" s="68"/>
      <c r="K32" s="68"/>
      <c r="L32" s="64"/>
      <c r="M32" s="69"/>
      <c r="N32" s="70"/>
      <c r="O32" s="71"/>
      <c r="P32" s="71"/>
      <c r="Q32" s="72"/>
    </row>
    <row r="33" spans="1:41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6"/>
      <c r="G33" s="76">
        <v>0</v>
      </c>
      <c r="H33" s="127">
        <v>0</v>
      </c>
      <c r="I33" s="76">
        <v>0</v>
      </c>
      <c r="J33" s="38">
        <v>25189</v>
      </c>
      <c r="K33" s="39" t="s">
        <v>827</v>
      </c>
      <c r="L33" s="40">
        <v>5350</v>
      </c>
      <c r="M33" s="128"/>
      <c r="N33" s="129"/>
      <c r="O33" s="113">
        <f>SUM(Q33-P33)</f>
        <v>0</v>
      </c>
      <c r="P33" s="114">
        <f>SUM(Q33*7/107)</f>
        <v>0</v>
      </c>
      <c r="Q33" s="36">
        <f>SUM(D33+I33-L33)</f>
        <v>0</v>
      </c>
      <c r="R33" s="130"/>
      <c r="S33" s="130"/>
      <c r="T33" s="131"/>
      <c r="U33" s="132"/>
      <c r="V33" s="131"/>
      <c r="W33" s="132"/>
      <c r="X33" s="132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</row>
    <row r="34" spans="1:41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6"/>
      <c r="G34" s="127">
        <v>0</v>
      </c>
      <c r="H34" s="127">
        <v>0</v>
      </c>
      <c r="I34" s="98">
        <v>0</v>
      </c>
      <c r="J34" s="38">
        <v>25197</v>
      </c>
      <c r="K34" s="39" t="s">
        <v>828</v>
      </c>
      <c r="L34" s="40">
        <v>5350</v>
      </c>
      <c r="M34" s="137"/>
      <c r="N34" s="137"/>
      <c r="O34" s="113">
        <f>SUM(Q34-P34)</f>
        <v>0</v>
      </c>
      <c r="P34" s="114">
        <f>SUM(Q34*7/107)</f>
        <v>0</v>
      </c>
      <c r="Q34" s="36">
        <f>SUM(D34+I34-L34)</f>
        <v>0</v>
      </c>
      <c r="R34" s="130"/>
      <c r="S34" s="130"/>
      <c r="T34" s="131"/>
      <c r="U34" s="132"/>
      <c r="V34" s="131"/>
      <c r="W34" s="132"/>
      <c r="X34" s="132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</row>
    <row r="35" spans="1:41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56"/>
      <c r="G35" s="109">
        <f>SUM(G33:G34)</f>
        <v>0</v>
      </c>
      <c r="H35" s="109">
        <f>SUM(H33:H34)</f>
        <v>0</v>
      </c>
      <c r="I35" s="109">
        <f>SUM(I33:I34)</f>
        <v>0</v>
      </c>
      <c r="J35" s="109"/>
      <c r="K35" s="109"/>
      <c r="L35" s="138">
        <f>SUM(L33:L34)</f>
        <v>10700</v>
      </c>
      <c r="M35" s="119"/>
      <c r="N35" s="108"/>
      <c r="O35" s="109">
        <f>SUM(O33:O34)</f>
        <v>0</v>
      </c>
      <c r="P35" s="109">
        <f>SUM(P33:P34)</f>
        <v>0</v>
      </c>
      <c r="Q35" s="138">
        <f>SUM(Q33:Q34)</f>
        <v>0</v>
      </c>
    </row>
    <row r="36" spans="1:41" ht="22.5" customHeight="1" thickTop="1" x14ac:dyDescent="0.3">
      <c r="A36" s="139"/>
      <c r="B36" s="140" t="s">
        <v>81</v>
      </c>
      <c r="C36" s="141"/>
      <c r="D36" s="91"/>
      <c r="E36" s="142"/>
      <c r="F36" s="92"/>
      <c r="G36" s="143"/>
      <c r="H36" s="143"/>
      <c r="I36" s="143"/>
      <c r="J36" s="68"/>
      <c r="K36" s="68"/>
      <c r="L36" s="64"/>
      <c r="M36" s="144"/>
      <c r="N36" s="145"/>
      <c r="O36" s="146"/>
      <c r="P36" s="146"/>
      <c r="Q36" s="147"/>
    </row>
    <row r="37" spans="1:41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2"/>
      <c r="G37" s="153">
        <v>0</v>
      </c>
      <c r="H37" s="153">
        <v>0</v>
      </c>
      <c r="I37" s="153">
        <v>0</v>
      </c>
      <c r="J37" s="30">
        <v>25181</v>
      </c>
      <c r="K37" s="31" t="s">
        <v>829</v>
      </c>
      <c r="L37" s="32">
        <v>6955</v>
      </c>
      <c r="M37" s="154"/>
      <c r="N37" s="155"/>
      <c r="O37" s="156">
        <v>0</v>
      </c>
      <c r="P37" s="156">
        <v>0</v>
      </c>
      <c r="Q37" s="157">
        <v>0</v>
      </c>
    </row>
    <row r="38" spans="1:41" s="60" customFormat="1" ht="22.5" customHeight="1" thickBot="1" x14ac:dyDescent="0.35">
      <c r="A38" s="158"/>
      <c r="B38" s="158" t="s">
        <v>15</v>
      </c>
      <c r="C38" s="159"/>
      <c r="D38" s="160">
        <v>6955</v>
      </c>
      <c r="E38" s="161"/>
      <c r="F38" s="161"/>
      <c r="G38" s="162">
        <f>SUM(G37)</f>
        <v>0</v>
      </c>
      <c r="H38" s="162">
        <f>SUM(H37)</f>
        <v>0</v>
      </c>
      <c r="I38" s="162">
        <f>SUM(I37)</f>
        <v>0</v>
      </c>
      <c r="J38" s="161"/>
      <c r="K38" s="161"/>
      <c r="L38" s="162">
        <f>SUM(L37)</f>
        <v>6955</v>
      </c>
      <c r="M38" s="158"/>
      <c r="N38" s="161"/>
      <c r="O38" s="162">
        <f>SUM(O37)</f>
        <v>0</v>
      </c>
      <c r="P38" s="162">
        <f>SUM(P37)</f>
        <v>0</v>
      </c>
      <c r="Q38" s="163">
        <f>SUM(Q37)</f>
        <v>0</v>
      </c>
    </row>
    <row r="39" spans="1:41" ht="22.5" customHeight="1" thickTop="1" x14ac:dyDescent="0.3">
      <c r="A39" s="115"/>
      <c r="B39" s="164" t="s">
        <v>85</v>
      </c>
      <c r="C39" s="165"/>
      <c r="D39" s="166"/>
      <c r="E39" s="167"/>
      <c r="F39" s="168"/>
      <c r="G39" s="169"/>
      <c r="H39" s="169"/>
      <c r="I39" s="169"/>
      <c r="J39" s="170"/>
      <c r="K39" s="170"/>
      <c r="L39" s="171"/>
      <c r="M39" s="117"/>
      <c r="N39" s="118"/>
      <c r="O39" s="172"/>
      <c r="P39" s="172"/>
      <c r="Q39" s="173"/>
    </row>
    <row r="40" spans="1:41" ht="22.5" customHeight="1" x14ac:dyDescent="0.3">
      <c r="A40" s="174">
        <v>1</v>
      </c>
      <c r="B40" s="175" t="s">
        <v>86</v>
      </c>
      <c r="C40" s="176" t="s">
        <v>87</v>
      </c>
      <c r="D40" s="177">
        <v>577.79999999999995</v>
      </c>
      <c r="E40" s="178"/>
      <c r="F40" s="179"/>
      <c r="G40" s="180">
        <v>0</v>
      </c>
      <c r="H40" s="180">
        <v>0</v>
      </c>
      <c r="I40" s="181">
        <v>0</v>
      </c>
      <c r="J40" s="182">
        <v>25196</v>
      </c>
      <c r="K40" s="183" t="s">
        <v>830</v>
      </c>
      <c r="L40" s="184">
        <v>577.79999999999995</v>
      </c>
      <c r="M40" s="185"/>
      <c r="N40" s="186"/>
      <c r="O40" s="187">
        <v>0</v>
      </c>
      <c r="P40" s="187">
        <v>0</v>
      </c>
      <c r="Q40" s="188">
        <v>0</v>
      </c>
      <c r="R40" s="3" t="s">
        <v>751</v>
      </c>
    </row>
    <row r="41" spans="1:41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92"/>
      <c r="G41" s="180">
        <v>0</v>
      </c>
      <c r="H41" s="180">
        <v>0</v>
      </c>
      <c r="I41" s="181">
        <v>0</v>
      </c>
      <c r="J41" s="38">
        <v>25190</v>
      </c>
      <c r="K41" s="39" t="s">
        <v>831</v>
      </c>
      <c r="L41" s="40">
        <v>3210</v>
      </c>
      <c r="M41" s="111"/>
      <c r="N41" s="193"/>
      <c r="O41" s="187">
        <v>0</v>
      </c>
      <c r="P41" s="187">
        <v>0</v>
      </c>
      <c r="Q41" s="188">
        <v>0</v>
      </c>
    </row>
    <row r="42" spans="1:41" s="60" customFormat="1" ht="22.5" customHeight="1" thickBot="1" x14ac:dyDescent="0.35">
      <c r="A42" s="194"/>
      <c r="B42" s="194" t="s">
        <v>15</v>
      </c>
      <c r="C42" s="195"/>
      <c r="D42" s="53">
        <f>SUM(D40:D41)</f>
        <v>3787.8</v>
      </c>
      <c r="E42" s="196"/>
      <c r="F42" s="197"/>
      <c r="G42" s="109">
        <f>SUM(G40:G41)</f>
        <v>0</v>
      </c>
      <c r="H42" s="109">
        <f>SUM(H40:H41)</f>
        <v>0</v>
      </c>
      <c r="I42" s="109">
        <f>SUM(I40:I41)</f>
        <v>0</v>
      </c>
      <c r="J42" s="198"/>
      <c r="K42" s="199"/>
      <c r="L42" s="200">
        <f>SUM(L40:L41)</f>
        <v>3787.8</v>
      </c>
      <c r="M42" s="201"/>
      <c r="N42" s="202"/>
      <c r="O42" s="162">
        <f>SUM(O40:O41)</f>
        <v>0</v>
      </c>
      <c r="P42" s="162">
        <f>SUM(P40:P41)</f>
        <v>0</v>
      </c>
      <c r="Q42" s="162">
        <f>SUM(Q40:Q41)</f>
        <v>0</v>
      </c>
      <c r="R42" s="59"/>
    </row>
    <row r="43" spans="1:41" ht="22.5" customHeight="1" thickTop="1" x14ac:dyDescent="0.3">
      <c r="A43" s="61"/>
      <c r="B43" s="62" t="s">
        <v>92</v>
      </c>
      <c r="C43" s="63"/>
      <c r="D43" s="64"/>
      <c r="E43" s="203"/>
      <c r="F43" s="204"/>
      <c r="G43" s="205"/>
      <c r="H43" s="205"/>
      <c r="I43" s="205"/>
      <c r="J43" s="68"/>
      <c r="K43" s="68"/>
      <c r="L43" s="64"/>
      <c r="M43" s="61"/>
      <c r="N43" s="204"/>
      <c r="O43" s="206"/>
      <c r="P43" s="206"/>
      <c r="Q43" s="207"/>
      <c r="R43" s="2"/>
    </row>
    <row r="44" spans="1:41" ht="22.5" customHeight="1" x14ac:dyDescent="0.5">
      <c r="A44" s="208">
        <v>1</v>
      </c>
      <c r="B44" s="209" t="s">
        <v>93</v>
      </c>
      <c r="C44" s="210" t="s">
        <v>43</v>
      </c>
      <c r="D44" s="211">
        <v>3370.5</v>
      </c>
      <c r="E44" s="212"/>
      <c r="F44" s="213"/>
      <c r="G44" s="214">
        <v>0</v>
      </c>
      <c r="H44" s="214">
        <v>0</v>
      </c>
      <c r="I44" s="214">
        <v>0</v>
      </c>
      <c r="J44" s="30">
        <v>25197</v>
      </c>
      <c r="K44" s="31" t="s">
        <v>833</v>
      </c>
      <c r="L44" s="32">
        <v>3370.5</v>
      </c>
      <c r="M44" s="215"/>
      <c r="N44" s="216"/>
      <c r="O44" s="113">
        <f>SUM(Q44-P44)</f>
        <v>0</v>
      </c>
      <c r="P44" s="113">
        <f>SUM(Q44*7/107)</f>
        <v>0</v>
      </c>
      <c r="Q44" s="217">
        <f>SUM(D44+I44-L44)</f>
        <v>0</v>
      </c>
      <c r="R44" s="218"/>
    </row>
    <row r="45" spans="1:41" ht="22.5" customHeight="1" x14ac:dyDescent="0.5">
      <c r="A45" s="208"/>
      <c r="B45" s="209" t="s">
        <v>95</v>
      </c>
      <c r="C45" s="210" t="s">
        <v>43</v>
      </c>
      <c r="D45" s="211">
        <v>6955</v>
      </c>
      <c r="E45" s="212"/>
      <c r="F45" s="213"/>
      <c r="G45" s="214">
        <v>0</v>
      </c>
      <c r="H45" s="214">
        <v>0</v>
      </c>
      <c r="I45" s="214">
        <v>0</v>
      </c>
      <c r="J45" s="30">
        <v>25197</v>
      </c>
      <c r="K45" s="31" t="s">
        <v>833</v>
      </c>
      <c r="L45" s="32">
        <v>6955</v>
      </c>
      <c r="M45" s="215"/>
      <c r="N45" s="216"/>
      <c r="O45" s="113">
        <f t="shared" ref="O45:O108" si="4">SUM(Q45-P45)</f>
        <v>0</v>
      </c>
      <c r="P45" s="113">
        <f t="shared" ref="P45:P108" si="5">SUM(Q45*7/107)</f>
        <v>0</v>
      </c>
      <c r="Q45" s="217">
        <f t="shared" ref="Q45:Q108" si="6">SUM(D45+I45-L45)</f>
        <v>0</v>
      </c>
      <c r="R45" s="218"/>
    </row>
    <row r="46" spans="1:41" ht="22.5" customHeight="1" x14ac:dyDescent="0.5">
      <c r="A46" s="208">
        <v>2</v>
      </c>
      <c r="B46" s="73" t="s">
        <v>96</v>
      </c>
      <c r="C46" s="25" t="s">
        <v>97</v>
      </c>
      <c r="D46" s="211">
        <v>4290.7</v>
      </c>
      <c r="E46" s="212">
        <v>25143</v>
      </c>
      <c r="F46" s="213" t="s">
        <v>33</v>
      </c>
      <c r="G46" s="219">
        <v>4119.9999999999955</v>
      </c>
      <c r="H46" s="214">
        <v>288.39999999999969</v>
      </c>
      <c r="I46" s="219">
        <v>4408.3999999999951</v>
      </c>
      <c r="J46" s="30" t="s">
        <v>834</v>
      </c>
      <c r="K46" s="220" t="s">
        <v>835</v>
      </c>
      <c r="L46" s="221">
        <v>8699.0999999999985</v>
      </c>
      <c r="M46" s="215"/>
      <c r="N46" s="216"/>
      <c r="O46" s="113">
        <f t="shared" si="4"/>
        <v>-3.3999801935436569E-12</v>
      </c>
      <c r="P46" s="113">
        <f t="shared" si="5"/>
        <v>-2.3799861354805596E-13</v>
      </c>
      <c r="Q46" s="217">
        <f t="shared" si="6"/>
        <v>-3.637978807091713E-12</v>
      </c>
      <c r="R46" s="2"/>
    </row>
    <row r="47" spans="1:41" ht="22.5" customHeight="1" x14ac:dyDescent="0.5">
      <c r="A47" s="208">
        <v>3</v>
      </c>
      <c r="B47" s="73" t="s">
        <v>99</v>
      </c>
      <c r="C47" s="25" t="s">
        <v>100</v>
      </c>
      <c r="D47" s="211">
        <v>2632.2</v>
      </c>
      <c r="E47" s="212">
        <v>25143</v>
      </c>
      <c r="F47" s="213" t="s">
        <v>33</v>
      </c>
      <c r="G47" s="219">
        <v>2939.9999999999991</v>
      </c>
      <c r="H47" s="214">
        <v>205.79999999999995</v>
      </c>
      <c r="I47" s="219">
        <v>3145.7999999999993</v>
      </c>
      <c r="J47" s="30" t="s">
        <v>836</v>
      </c>
      <c r="K47" s="31" t="s">
        <v>837</v>
      </c>
      <c r="L47" s="32">
        <v>5778</v>
      </c>
      <c r="M47" s="215"/>
      <c r="N47" s="216"/>
      <c r="O47" s="113">
        <f t="shared" si="4"/>
        <v>-8.4999504838591423E-13</v>
      </c>
      <c r="P47" s="113">
        <f t="shared" si="5"/>
        <v>-5.9499653387013991E-14</v>
      </c>
      <c r="Q47" s="217">
        <f t="shared" si="6"/>
        <v>-9.0949470177292824E-13</v>
      </c>
      <c r="R47" s="2"/>
    </row>
    <row r="48" spans="1:41" ht="22.5" customHeight="1" x14ac:dyDescent="0.5">
      <c r="A48" s="208"/>
      <c r="B48" s="24" t="s">
        <v>102</v>
      </c>
      <c r="C48" s="222" t="s">
        <v>100</v>
      </c>
      <c r="D48" s="211">
        <v>192.6</v>
      </c>
      <c r="E48" s="212">
        <v>25143</v>
      </c>
      <c r="F48" s="213" t="s">
        <v>33</v>
      </c>
      <c r="G48" s="219">
        <v>200</v>
      </c>
      <c r="H48" s="214">
        <v>14</v>
      </c>
      <c r="I48" s="219">
        <v>214</v>
      </c>
      <c r="J48" s="30" t="s">
        <v>836</v>
      </c>
      <c r="K48" s="31" t="s">
        <v>837</v>
      </c>
      <c r="L48" s="32">
        <v>406.6</v>
      </c>
      <c r="M48" s="215"/>
      <c r="N48" s="216"/>
      <c r="O48" s="113">
        <f t="shared" si="4"/>
        <v>0</v>
      </c>
      <c r="P48" s="113">
        <f t="shared" si="5"/>
        <v>0</v>
      </c>
      <c r="Q48" s="217">
        <f t="shared" si="6"/>
        <v>0</v>
      </c>
      <c r="R48" s="2"/>
    </row>
    <row r="49" spans="1:18" ht="22.5" customHeight="1" x14ac:dyDescent="0.5">
      <c r="A49" s="208">
        <v>4</v>
      </c>
      <c r="B49" s="73" t="s">
        <v>103</v>
      </c>
      <c r="C49" s="25" t="s">
        <v>97</v>
      </c>
      <c r="D49" s="211">
        <v>4590.3</v>
      </c>
      <c r="E49" s="212"/>
      <c r="F49" s="213"/>
      <c r="G49" s="219">
        <v>0</v>
      </c>
      <c r="H49" s="214">
        <v>0</v>
      </c>
      <c r="I49" s="219">
        <v>0</v>
      </c>
      <c r="J49" s="30">
        <v>25201</v>
      </c>
      <c r="K49" s="31" t="s">
        <v>838</v>
      </c>
      <c r="L49" s="32">
        <v>4590.3</v>
      </c>
      <c r="M49" s="215"/>
      <c r="N49" s="216"/>
      <c r="O49" s="113">
        <f t="shared" si="4"/>
        <v>0</v>
      </c>
      <c r="P49" s="113">
        <f t="shared" si="5"/>
        <v>0</v>
      </c>
      <c r="Q49" s="217">
        <f t="shared" si="6"/>
        <v>0</v>
      </c>
      <c r="R49" s="2"/>
    </row>
    <row r="50" spans="1:18" ht="22.5" customHeight="1" x14ac:dyDescent="0.5">
      <c r="A50" s="208"/>
      <c r="B50" s="73" t="s">
        <v>104</v>
      </c>
      <c r="C50" s="25" t="s">
        <v>97</v>
      </c>
      <c r="D50" s="211">
        <v>10689.3</v>
      </c>
      <c r="E50" s="212"/>
      <c r="F50" s="213"/>
      <c r="G50" s="219">
        <v>0</v>
      </c>
      <c r="H50" s="214">
        <v>0</v>
      </c>
      <c r="I50" s="219">
        <v>0</v>
      </c>
      <c r="J50" s="30">
        <v>25201</v>
      </c>
      <c r="K50" s="31" t="s">
        <v>838</v>
      </c>
      <c r="L50" s="32">
        <v>10689.3</v>
      </c>
      <c r="M50" s="215"/>
      <c r="N50" s="216"/>
      <c r="O50" s="113">
        <f t="shared" si="4"/>
        <v>0</v>
      </c>
      <c r="P50" s="113">
        <f t="shared" si="5"/>
        <v>0</v>
      </c>
      <c r="Q50" s="217">
        <f t="shared" si="6"/>
        <v>0</v>
      </c>
      <c r="R50" s="2"/>
    </row>
    <row r="51" spans="1:18" ht="22.5" customHeight="1" x14ac:dyDescent="0.5">
      <c r="A51" s="208">
        <v>5</v>
      </c>
      <c r="B51" s="73" t="s">
        <v>105</v>
      </c>
      <c r="C51" s="25" t="s">
        <v>97</v>
      </c>
      <c r="D51" s="211">
        <v>16499.400000000001</v>
      </c>
      <c r="E51" s="212">
        <v>25143</v>
      </c>
      <c r="F51" s="213" t="s">
        <v>33</v>
      </c>
      <c r="G51" s="219">
        <v>18040.000000000004</v>
      </c>
      <c r="H51" s="214">
        <v>1262.8000000000004</v>
      </c>
      <c r="I51" s="219">
        <v>19302.800000000003</v>
      </c>
      <c r="J51" s="30" t="s">
        <v>815</v>
      </c>
      <c r="K51" s="31" t="s">
        <v>839</v>
      </c>
      <c r="L51" s="32">
        <v>35802.199999999997</v>
      </c>
      <c r="M51" s="215"/>
      <c r="N51" s="216"/>
      <c r="O51" s="113">
        <f t="shared" si="4"/>
        <v>6.7999603870873139E-12</v>
      </c>
      <c r="P51" s="113">
        <f t="shared" si="5"/>
        <v>4.7599722709611193E-13</v>
      </c>
      <c r="Q51" s="217">
        <f t="shared" si="6"/>
        <v>7.2759576141834259E-12</v>
      </c>
      <c r="R51" s="2"/>
    </row>
    <row r="52" spans="1:18" ht="22.5" customHeight="1" x14ac:dyDescent="0.5">
      <c r="A52" s="208">
        <v>6</v>
      </c>
      <c r="B52" s="73" t="s">
        <v>107</v>
      </c>
      <c r="C52" s="25" t="s">
        <v>97</v>
      </c>
      <c r="D52" s="211">
        <v>535</v>
      </c>
      <c r="E52" s="212">
        <v>25143</v>
      </c>
      <c r="F52" s="213" t="s">
        <v>33</v>
      </c>
      <c r="G52" s="219">
        <v>500</v>
      </c>
      <c r="H52" s="214">
        <v>35</v>
      </c>
      <c r="I52" s="219">
        <v>535</v>
      </c>
      <c r="J52" s="30">
        <v>25180</v>
      </c>
      <c r="K52" s="31" t="s">
        <v>840</v>
      </c>
      <c r="L52" s="32">
        <v>535</v>
      </c>
      <c r="M52" s="215">
        <v>25203</v>
      </c>
      <c r="N52" s="216" t="s">
        <v>33</v>
      </c>
      <c r="O52" s="113">
        <f t="shared" si="4"/>
        <v>500</v>
      </c>
      <c r="P52" s="113">
        <f t="shared" si="5"/>
        <v>35</v>
      </c>
      <c r="Q52" s="217">
        <f t="shared" si="6"/>
        <v>535</v>
      </c>
      <c r="R52" s="2" t="s">
        <v>832</v>
      </c>
    </row>
    <row r="53" spans="1:18" ht="22.5" customHeight="1" x14ac:dyDescent="0.5">
      <c r="A53" s="208">
        <v>7</v>
      </c>
      <c r="B53" s="209" t="s">
        <v>109</v>
      </c>
      <c r="C53" s="210" t="s">
        <v>97</v>
      </c>
      <c r="D53" s="211">
        <v>34026</v>
      </c>
      <c r="E53" s="212">
        <v>25143</v>
      </c>
      <c r="F53" s="213" t="s">
        <v>33</v>
      </c>
      <c r="G53" s="214">
        <v>38290</v>
      </c>
      <c r="H53" s="214">
        <v>2680.3</v>
      </c>
      <c r="I53" s="214">
        <v>40970.300000000003</v>
      </c>
      <c r="J53" s="30" t="s">
        <v>841</v>
      </c>
      <c r="K53" s="31" t="s">
        <v>842</v>
      </c>
      <c r="L53" s="32">
        <v>74996.3</v>
      </c>
      <c r="M53" s="215"/>
      <c r="N53" s="216"/>
      <c r="O53" s="113">
        <f t="shared" si="4"/>
        <v>0</v>
      </c>
      <c r="P53" s="113">
        <f t="shared" si="5"/>
        <v>0</v>
      </c>
      <c r="Q53" s="217">
        <f t="shared" si="6"/>
        <v>0</v>
      </c>
      <c r="R53" s="218"/>
    </row>
    <row r="54" spans="1:18" ht="22.5" customHeight="1" x14ac:dyDescent="0.5">
      <c r="A54" s="208">
        <v>8</v>
      </c>
      <c r="B54" s="73" t="s">
        <v>110</v>
      </c>
      <c r="C54" s="25" t="s">
        <v>87</v>
      </c>
      <c r="D54" s="211">
        <v>6901.5</v>
      </c>
      <c r="E54" s="212"/>
      <c r="F54" s="213"/>
      <c r="G54" s="219">
        <v>0</v>
      </c>
      <c r="H54" s="214">
        <v>0</v>
      </c>
      <c r="I54" s="219">
        <v>0</v>
      </c>
      <c r="J54" s="30">
        <v>25196</v>
      </c>
      <c r="K54" s="31" t="s">
        <v>843</v>
      </c>
      <c r="L54" s="32">
        <v>6901.5</v>
      </c>
      <c r="M54" s="215"/>
      <c r="N54" s="216"/>
      <c r="O54" s="113">
        <f t="shared" si="4"/>
        <v>0</v>
      </c>
      <c r="P54" s="113">
        <f t="shared" si="5"/>
        <v>0</v>
      </c>
      <c r="Q54" s="217">
        <f t="shared" si="6"/>
        <v>0</v>
      </c>
      <c r="R54" s="2"/>
    </row>
    <row r="55" spans="1:18" ht="22.5" customHeight="1" x14ac:dyDescent="0.5">
      <c r="A55" s="208">
        <v>9</v>
      </c>
      <c r="B55" s="73" t="s">
        <v>112</v>
      </c>
      <c r="C55" s="25" t="s">
        <v>113</v>
      </c>
      <c r="D55" s="211">
        <v>535</v>
      </c>
      <c r="E55" s="212"/>
      <c r="F55" s="213"/>
      <c r="G55" s="219">
        <v>8.4999504838591423E-13</v>
      </c>
      <c r="H55" s="214">
        <v>5.9499653387013991E-14</v>
      </c>
      <c r="I55" s="219">
        <v>9.0949470177292824E-13</v>
      </c>
      <c r="J55" s="30">
        <v>25201</v>
      </c>
      <c r="K55" s="31" t="s">
        <v>844</v>
      </c>
      <c r="L55" s="32">
        <v>535</v>
      </c>
      <c r="M55" s="215"/>
      <c r="N55" s="216"/>
      <c r="O55" s="113">
        <f t="shared" si="4"/>
        <v>8.4999504838591423E-13</v>
      </c>
      <c r="P55" s="113">
        <f t="shared" si="5"/>
        <v>5.9499653387013991E-14</v>
      </c>
      <c r="Q55" s="217">
        <f t="shared" si="6"/>
        <v>9.0949470177292824E-13</v>
      </c>
      <c r="R55" s="2"/>
    </row>
    <row r="56" spans="1:18" ht="22.5" customHeight="1" x14ac:dyDescent="0.5">
      <c r="A56" s="208"/>
      <c r="B56" s="73" t="s">
        <v>116</v>
      </c>
      <c r="C56" s="25" t="s">
        <v>113</v>
      </c>
      <c r="D56" s="211">
        <v>5007.6000000000004</v>
      </c>
      <c r="E56" s="212"/>
      <c r="F56" s="213"/>
      <c r="G56" s="219">
        <v>1.2749925725788713E-12</v>
      </c>
      <c r="H56" s="214">
        <v>8.9249480080520993E-14</v>
      </c>
      <c r="I56" s="219">
        <v>1.3642420526593924E-12</v>
      </c>
      <c r="J56" s="30"/>
      <c r="K56" s="31"/>
      <c r="L56" s="32"/>
      <c r="M56" s="215">
        <v>25203</v>
      </c>
      <c r="N56" s="216" t="s">
        <v>33</v>
      </c>
      <c r="O56" s="113">
        <f t="shared" si="4"/>
        <v>4680.0000000000018</v>
      </c>
      <c r="P56" s="113">
        <f t="shared" si="5"/>
        <v>327.60000000000014</v>
      </c>
      <c r="Q56" s="217">
        <f t="shared" si="6"/>
        <v>5007.6000000000022</v>
      </c>
      <c r="R56" s="2"/>
    </row>
    <row r="57" spans="1:18" ht="22.5" customHeight="1" x14ac:dyDescent="0.5">
      <c r="A57" s="208">
        <v>10</v>
      </c>
      <c r="B57" s="73" t="s">
        <v>117</v>
      </c>
      <c r="C57" s="25" t="s">
        <v>118</v>
      </c>
      <c r="D57" s="211">
        <v>438.7</v>
      </c>
      <c r="E57" s="212">
        <v>25143</v>
      </c>
      <c r="F57" s="213" t="s">
        <v>33</v>
      </c>
      <c r="G57" s="219">
        <v>1310</v>
      </c>
      <c r="H57" s="214">
        <v>91.7</v>
      </c>
      <c r="I57" s="219">
        <v>1401.7</v>
      </c>
      <c r="J57" s="30">
        <v>25174</v>
      </c>
      <c r="K57" s="31" t="s">
        <v>845</v>
      </c>
      <c r="L57" s="32">
        <v>1401.7</v>
      </c>
      <c r="M57" s="215">
        <v>25203</v>
      </c>
      <c r="N57" s="216" t="s">
        <v>33</v>
      </c>
      <c r="O57" s="113">
        <f t="shared" si="4"/>
        <v>410.00000000000006</v>
      </c>
      <c r="P57" s="113">
        <f t="shared" si="5"/>
        <v>28.700000000000006</v>
      </c>
      <c r="Q57" s="217">
        <f t="shared" si="6"/>
        <v>438.70000000000005</v>
      </c>
      <c r="R57" s="2"/>
    </row>
    <row r="58" spans="1:18" ht="22.5" customHeight="1" x14ac:dyDescent="0.5">
      <c r="A58" s="208"/>
      <c r="B58" s="73" t="s">
        <v>120</v>
      </c>
      <c r="C58" s="25" t="s">
        <v>118</v>
      </c>
      <c r="D58" s="211">
        <v>3787.8</v>
      </c>
      <c r="E58" s="212">
        <v>25143</v>
      </c>
      <c r="F58" s="213" t="s">
        <v>33</v>
      </c>
      <c r="G58" s="219">
        <v>3260</v>
      </c>
      <c r="H58" s="214">
        <v>228.2</v>
      </c>
      <c r="I58" s="219">
        <v>3488.2</v>
      </c>
      <c r="J58" s="30">
        <v>25174</v>
      </c>
      <c r="K58" s="31" t="s">
        <v>845</v>
      </c>
      <c r="L58" s="32">
        <v>3488.2</v>
      </c>
      <c r="M58" s="215">
        <v>25203</v>
      </c>
      <c r="N58" s="216" t="s">
        <v>33</v>
      </c>
      <c r="O58" s="113">
        <f t="shared" si="4"/>
        <v>3540</v>
      </c>
      <c r="P58" s="113">
        <f t="shared" si="5"/>
        <v>247.8</v>
      </c>
      <c r="Q58" s="217">
        <f t="shared" si="6"/>
        <v>3787.8</v>
      </c>
      <c r="R58" s="2"/>
    </row>
    <row r="59" spans="1:18" ht="22.5" customHeight="1" x14ac:dyDescent="0.5">
      <c r="A59" s="208">
        <v>11</v>
      </c>
      <c r="B59" s="73" t="s">
        <v>121</v>
      </c>
      <c r="C59" s="83" t="s">
        <v>122</v>
      </c>
      <c r="D59" s="211">
        <v>7896.6</v>
      </c>
      <c r="E59" s="212"/>
      <c r="F59" s="213"/>
      <c r="G59" s="219">
        <v>-1.6999900967718285E-12</v>
      </c>
      <c r="H59" s="214">
        <v>-1.1899930677402798E-13</v>
      </c>
      <c r="I59" s="219">
        <v>-1.8189894035458565E-12</v>
      </c>
      <c r="J59" s="30"/>
      <c r="K59" s="31"/>
      <c r="L59" s="32"/>
      <c r="M59" s="215">
        <v>25203</v>
      </c>
      <c r="N59" s="216" t="s">
        <v>33</v>
      </c>
      <c r="O59" s="113">
        <f t="shared" si="4"/>
        <v>7379.9999999999982</v>
      </c>
      <c r="P59" s="113">
        <f t="shared" si="5"/>
        <v>516.59999999999991</v>
      </c>
      <c r="Q59" s="217">
        <f t="shared" si="6"/>
        <v>7896.5999999999985</v>
      </c>
      <c r="R59" s="223"/>
    </row>
    <row r="60" spans="1:18" ht="22.5" customHeight="1" x14ac:dyDescent="0.5">
      <c r="A60" s="208"/>
      <c r="B60" s="73" t="s">
        <v>121</v>
      </c>
      <c r="C60" s="83" t="s">
        <v>122</v>
      </c>
      <c r="D60" s="211">
        <v>3862.7</v>
      </c>
      <c r="E60" s="212"/>
      <c r="F60" s="213"/>
      <c r="G60" s="219">
        <v>0</v>
      </c>
      <c r="H60" s="214">
        <v>0</v>
      </c>
      <c r="I60" s="219">
        <v>0</v>
      </c>
      <c r="J60" s="30"/>
      <c r="K60" s="31"/>
      <c r="L60" s="32"/>
      <c r="M60" s="215">
        <v>25203</v>
      </c>
      <c r="N60" s="216" t="s">
        <v>33</v>
      </c>
      <c r="O60" s="113">
        <f t="shared" si="4"/>
        <v>3610</v>
      </c>
      <c r="P60" s="113">
        <f t="shared" si="5"/>
        <v>252.7</v>
      </c>
      <c r="Q60" s="217">
        <f t="shared" si="6"/>
        <v>3862.7</v>
      </c>
      <c r="R60" s="223"/>
    </row>
    <row r="61" spans="1:18" ht="22.5" customHeight="1" x14ac:dyDescent="0.5">
      <c r="A61" s="208">
        <v>12</v>
      </c>
      <c r="B61" s="73" t="s">
        <v>124</v>
      </c>
      <c r="C61" s="83" t="s">
        <v>125</v>
      </c>
      <c r="D61" s="211">
        <v>5574.7</v>
      </c>
      <c r="E61" s="212">
        <v>25143</v>
      </c>
      <c r="F61" s="213" t="s">
        <v>33</v>
      </c>
      <c r="G61" s="219">
        <v>7330</v>
      </c>
      <c r="H61" s="214">
        <v>513.1</v>
      </c>
      <c r="I61" s="219">
        <v>7843.1</v>
      </c>
      <c r="J61" s="30" t="s">
        <v>846</v>
      </c>
      <c r="K61" s="31" t="s">
        <v>847</v>
      </c>
      <c r="L61" s="32">
        <v>13417.8</v>
      </c>
      <c r="M61" s="215"/>
      <c r="N61" s="216"/>
      <c r="O61" s="113">
        <f t="shared" si="4"/>
        <v>0</v>
      </c>
      <c r="P61" s="113">
        <f t="shared" si="5"/>
        <v>0</v>
      </c>
      <c r="Q61" s="217">
        <f t="shared" si="6"/>
        <v>0</v>
      </c>
      <c r="R61" s="2"/>
    </row>
    <row r="62" spans="1:18" ht="22.5" customHeight="1" x14ac:dyDescent="0.5">
      <c r="A62" s="208">
        <v>13</v>
      </c>
      <c r="B62" s="78" t="s">
        <v>127</v>
      </c>
      <c r="C62" s="25" t="s">
        <v>128</v>
      </c>
      <c r="D62" s="211"/>
      <c r="E62" s="212"/>
      <c r="F62" s="213"/>
      <c r="G62" s="224">
        <v>0</v>
      </c>
      <c r="H62" s="214">
        <v>0</v>
      </c>
      <c r="I62" s="219">
        <v>0</v>
      </c>
      <c r="J62" s="38"/>
      <c r="K62" s="39"/>
      <c r="L62" s="40"/>
      <c r="M62" s="215"/>
      <c r="N62" s="216"/>
      <c r="O62" s="113">
        <f t="shared" si="4"/>
        <v>0</v>
      </c>
      <c r="P62" s="113">
        <f t="shared" si="5"/>
        <v>0</v>
      </c>
      <c r="Q62" s="217">
        <f t="shared" si="6"/>
        <v>0</v>
      </c>
      <c r="R62" s="2"/>
    </row>
    <row r="63" spans="1:18" ht="22.5" customHeight="1" x14ac:dyDescent="0.5">
      <c r="A63" s="208">
        <v>14</v>
      </c>
      <c r="B63" s="78" t="s">
        <v>129</v>
      </c>
      <c r="C63" s="210" t="s">
        <v>130</v>
      </c>
      <c r="D63" s="211">
        <v>2771.3</v>
      </c>
      <c r="E63" s="212" t="s">
        <v>716</v>
      </c>
      <c r="F63" s="213" t="s">
        <v>115</v>
      </c>
      <c r="G63" s="224">
        <v>21100</v>
      </c>
      <c r="H63" s="214">
        <v>1477</v>
      </c>
      <c r="I63" s="219">
        <v>22577</v>
      </c>
      <c r="J63" s="30" t="s">
        <v>848</v>
      </c>
      <c r="K63" s="31" t="s">
        <v>849</v>
      </c>
      <c r="L63" s="32">
        <v>22577</v>
      </c>
      <c r="M63" s="215">
        <v>25203</v>
      </c>
      <c r="N63" s="216" t="s">
        <v>33</v>
      </c>
      <c r="O63" s="113">
        <f t="shared" si="4"/>
        <v>2589.9999999999991</v>
      </c>
      <c r="P63" s="113">
        <f t="shared" si="5"/>
        <v>181.29999999999995</v>
      </c>
      <c r="Q63" s="217">
        <f t="shared" si="6"/>
        <v>2771.2999999999993</v>
      </c>
      <c r="R63" s="2"/>
    </row>
    <row r="64" spans="1:18" ht="22.5" customHeight="1" x14ac:dyDescent="0.5">
      <c r="A64" s="208"/>
      <c r="B64" s="78" t="s">
        <v>132</v>
      </c>
      <c r="C64" s="210" t="s">
        <v>130</v>
      </c>
      <c r="D64" s="211">
        <v>11523.9</v>
      </c>
      <c r="E64" s="212" t="s">
        <v>719</v>
      </c>
      <c r="F64" s="213" t="s">
        <v>115</v>
      </c>
      <c r="G64" s="224">
        <v>32028.411214953267</v>
      </c>
      <c r="H64" s="214">
        <v>2241.9887850467285</v>
      </c>
      <c r="I64" s="219">
        <v>34270.399999999994</v>
      </c>
      <c r="J64" s="30">
        <v>25187</v>
      </c>
      <c r="K64" s="31" t="s">
        <v>850</v>
      </c>
      <c r="L64" s="32">
        <v>34270.400000000001</v>
      </c>
      <c r="M64" s="215">
        <v>25203</v>
      </c>
      <c r="N64" s="216" t="s">
        <v>33</v>
      </c>
      <c r="O64" s="113">
        <f t="shared" si="4"/>
        <v>10769.999999999995</v>
      </c>
      <c r="P64" s="113">
        <f t="shared" si="5"/>
        <v>753.89999999999964</v>
      </c>
      <c r="Q64" s="217">
        <f t="shared" si="6"/>
        <v>11523.899999999994</v>
      </c>
      <c r="R64" s="2"/>
    </row>
    <row r="65" spans="1:18" ht="22.5" customHeight="1" x14ac:dyDescent="0.5">
      <c r="A65" s="208">
        <v>15</v>
      </c>
      <c r="B65" s="78" t="s">
        <v>134</v>
      </c>
      <c r="C65" s="165" t="s">
        <v>135</v>
      </c>
      <c r="D65" s="211">
        <v>6634</v>
      </c>
      <c r="E65" s="212">
        <v>25143</v>
      </c>
      <c r="F65" s="213" t="s">
        <v>33</v>
      </c>
      <c r="G65" s="224">
        <v>5109.9999999999991</v>
      </c>
      <c r="H65" s="214">
        <v>357.69999999999993</v>
      </c>
      <c r="I65" s="219">
        <v>5467.6999999999989</v>
      </c>
      <c r="J65" s="38">
        <v>25175</v>
      </c>
      <c r="K65" s="39" t="s">
        <v>851</v>
      </c>
      <c r="L65" s="40">
        <v>5467.7</v>
      </c>
      <c r="M65" s="215">
        <v>25203</v>
      </c>
      <c r="N65" s="216" t="s">
        <v>33</v>
      </c>
      <c r="O65" s="113">
        <f t="shared" si="4"/>
        <v>6199.9999999999991</v>
      </c>
      <c r="P65" s="113">
        <f t="shared" si="5"/>
        <v>433.99999999999994</v>
      </c>
      <c r="Q65" s="217">
        <f t="shared" si="6"/>
        <v>6633.9999999999991</v>
      </c>
      <c r="R65" s="2"/>
    </row>
    <row r="66" spans="1:18" s="229" customFormat="1" ht="22.5" customHeight="1" x14ac:dyDescent="0.5">
      <c r="A66" s="225">
        <v>16</v>
      </c>
      <c r="B66" s="226" t="s">
        <v>137</v>
      </c>
      <c r="C66" s="227"/>
      <c r="D66" s="211">
        <v>2439.6</v>
      </c>
      <c r="E66" s="212">
        <v>25143</v>
      </c>
      <c r="F66" s="228" t="s">
        <v>33</v>
      </c>
      <c r="G66" s="224">
        <v>2450.0000000000009</v>
      </c>
      <c r="H66" s="214">
        <v>171.50000000000006</v>
      </c>
      <c r="I66" s="224">
        <v>2621.5000000000009</v>
      </c>
      <c r="J66" s="38">
        <v>25181</v>
      </c>
      <c r="K66" s="39" t="s">
        <v>852</v>
      </c>
      <c r="L66" s="40">
        <v>2621.5</v>
      </c>
      <c r="M66" s="215">
        <v>25203</v>
      </c>
      <c r="N66" s="216" t="s">
        <v>33</v>
      </c>
      <c r="O66" s="113">
        <f t="shared" si="4"/>
        <v>2280.0000000000005</v>
      </c>
      <c r="P66" s="113">
        <f t="shared" si="5"/>
        <v>159.60000000000005</v>
      </c>
      <c r="Q66" s="217">
        <f t="shared" si="6"/>
        <v>2439.6000000000004</v>
      </c>
      <c r="R66" s="47"/>
    </row>
    <row r="67" spans="1:18" s="229" customFormat="1" ht="22.5" customHeight="1" x14ac:dyDescent="0.5">
      <c r="A67" s="225"/>
      <c r="B67" s="226" t="s">
        <v>139</v>
      </c>
      <c r="C67" s="227" t="s">
        <v>140</v>
      </c>
      <c r="D67" s="211"/>
      <c r="E67" s="230"/>
      <c r="F67" s="231"/>
      <c r="G67" s="232">
        <v>0</v>
      </c>
      <c r="H67" s="233">
        <v>0</v>
      </c>
      <c r="I67" s="232">
        <v>0</v>
      </c>
      <c r="J67" s="38"/>
      <c r="K67" s="39"/>
      <c r="L67" s="40"/>
      <c r="M67" s="215"/>
      <c r="N67" s="216"/>
      <c r="O67" s="113">
        <f t="shared" si="4"/>
        <v>0</v>
      </c>
      <c r="P67" s="113">
        <f t="shared" si="5"/>
        <v>0</v>
      </c>
      <c r="Q67" s="217">
        <f t="shared" si="6"/>
        <v>0</v>
      </c>
      <c r="R67" s="47"/>
    </row>
    <row r="68" spans="1:18" ht="22.5" customHeight="1" x14ac:dyDescent="0.5">
      <c r="A68" s="208">
        <v>17</v>
      </c>
      <c r="B68" s="78" t="s">
        <v>54</v>
      </c>
      <c r="C68" s="81" t="s">
        <v>55</v>
      </c>
      <c r="D68" s="211">
        <v>13524.8</v>
      </c>
      <c r="E68" s="212"/>
      <c r="F68" s="228"/>
      <c r="G68" s="224">
        <v>0</v>
      </c>
      <c r="H68" s="214">
        <v>0</v>
      </c>
      <c r="I68" s="224">
        <v>0</v>
      </c>
      <c r="J68" s="38">
        <v>25201</v>
      </c>
      <c r="K68" s="39" t="s">
        <v>853</v>
      </c>
      <c r="L68" s="40">
        <v>13524.8</v>
      </c>
      <c r="M68" s="215"/>
      <c r="N68" s="216"/>
      <c r="O68" s="113">
        <f t="shared" si="4"/>
        <v>0</v>
      </c>
      <c r="P68" s="113">
        <f t="shared" si="5"/>
        <v>0</v>
      </c>
      <c r="Q68" s="217">
        <f t="shared" si="6"/>
        <v>0</v>
      </c>
      <c r="R68" s="2"/>
    </row>
    <row r="69" spans="1:18" ht="22.5" customHeight="1" x14ac:dyDescent="0.5">
      <c r="A69" s="208">
        <v>18</v>
      </c>
      <c r="B69" s="78" t="s">
        <v>141</v>
      </c>
      <c r="C69" s="81" t="s">
        <v>142</v>
      </c>
      <c r="D69" s="211">
        <v>3648.7</v>
      </c>
      <c r="E69" s="234"/>
      <c r="F69" s="228"/>
      <c r="G69" s="224">
        <v>0</v>
      </c>
      <c r="H69" s="214">
        <v>0</v>
      </c>
      <c r="I69" s="224">
        <v>0</v>
      </c>
      <c r="J69" s="38">
        <v>25196</v>
      </c>
      <c r="K69" s="39" t="s">
        <v>854</v>
      </c>
      <c r="L69" s="40">
        <v>3648.7</v>
      </c>
      <c r="M69" s="235"/>
      <c r="N69" s="236"/>
      <c r="O69" s="113">
        <f t="shared" si="4"/>
        <v>0</v>
      </c>
      <c r="P69" s="113">
        <f t="shared" si="5"/>
        <v>0</v>
      </c>
      <c r="Q69" s="217">
        <f t="shared" si="6"/>
        <v>0</v>
      </c>
      <c r="R69" s="2"/>
    </row>
    <row r="70" spans="1:18" ht="22.5" customHeight="1" x14ac:dyDescent="0.5">
      <c r="A70" s="208">
        <v>19</v>
      </c>
      <c r="B70" s="78" t="s">
        <v>144</v>
      </c>
      <c r="C70" s="81" t="s">
        <v>145</v>
      </c>
      <c r="D70" s="211">
        <v>406.6</v>
      </c>
      <c r="E70" s="212"/>
      <c r="F70" s="213"/>
      <c r="G70" s="224">
        <v>-4.2499752419295712E-13</v>
      </c>
      <c r="H70" s="214">
        <v>-2.9749826693506995E-14</v>
      </c>
      <c r="I70" s="224">
        <v>-4.5474735088646412E-13</v>
      </c>
      <c r="J70" s="38">
        <v>25196</v>
      </c>
      <c r="K70" s="39" t="s">
        <v>855</v>
      </c>
      <c r="L70" s="40">
        <v>406.6</v>
      </c>
      <c r="M70" s="215"/>
      <c r="N70" s="216"/>
      <c r="O70" s="113">
        <f t="shared" si="4"/>
        <v>-4.2499752419295712E-13</v>
      </c>
      <c r="P70" s="113">
        <f t="shared" si="5"/>
        <v>-2.9749826693506995E-14</v>
      </c>
      <c r="Q70" s="217">
        <f t="shared" si="6"/>
        <v>-4.5474735088646412E-13</v>
      </c>
      <c r="R70" s="2"/>
    </row>
    <row r="71" spans="1:18" ht="22.5" customHeight="1" x14ac:dyDescent="0.5">
      <c r="A71" s="208">
        <v>20</v>
      </c>
      <c r="B71" s="73" t="s">
        <v>147</v>
      </c>
      <c r="C71" s="25" t="s">
        <v>148</v>
      </c>
      <c r="D71" s="211"/>
      <c r="E71" s="234"/>
      <c r="F71" s="228"/>
      <c r="G71" s="224">
        <v>2.656234526205982E-14</v>
      </c>
      <c r="H71" s="214">
        <v>1.8593641683441872E-15</v>
      </c>
      <c r="I71" s="224">
        <v>2.8421709430404007E-14</v>
      </c>
      <c r="J71" s="38"/>
      <c r="K71" s="39"/>
      <c r="L71" s="40"/>
      <c r="M71" s="215"/>
      <c r="N71" s="216"/>
      <c r="O71" s="113">
        <f t="shared" si="4"/>
        <v>2.656234526205982E-14</v>
      </c>
      <c r="P71" s="113">
        <f t="shared" si="5"/>
        <v>1.8593641683441872E-15</v>
      </c>
      <c r="Q71" s="217">
        <f t="shared" si="6"/>
        <v>2.8421709430404007E-14</v>
      </c>
      <c r="R71" s="2"/>
    </row>
    <row r="72" spans="1:18" ht="22.5" customHeight="1" x14ac:dyDescent="0.5">
      <c r="A72" s="208">
        <v>21</v>
      </c>
      <c r="B72" s="237" t="s">
        <v>149</v>
      </c>
      <c r="C72" s="238" t="s">
        <v>150</v>
      </c>
      <c r="D72" s="211">
        <v>1476.6</v>
      </c>
      <c r="E72" s="234"/>
      <c r="F72" s="228"/>
      <c r="G72" s="224">
        <v>0</v>
      </c>
      <c r="H72" s="214">
        <v>0</v>
      </c>
      <c r="I72" s="224">
        <v>0</v>
      </c>
      <c r="J72" s="38">
        <v>25195</v>
      </c>
      <c r="K72" s="39" t="s">
        <v>856</v>
      </c>
      <c r="L72" s="40">
        <v>1476.6</v>
      </c>
      <c r="M72" s="239"/>
      <c r="N72" s="236"/>
      <c r="O72" s="113">
        <f t="shared" si="4"/>
        <v>0</v>
      </c>
      <c r="P72" s="113">
        <f t="shared" si="5"/>
        <v>0</v>
      </c>
      <c r="Q72" s="217">
        <f t="shared" si="6"/>
        <v>0</v>
      </c>
      <c r="R72" s="2"/>
    </row>
    <row r="73" spans="1:18" ht="22.5" customHeight="1" x14ac:dyDescent="0.5">
      <c r="A73" s="208">
        <v>22</v>
      </c>
      <c r="B73" s="240" t="s">
        <v>569</v>
      </c>
      <c r="C73" s="83" t="s">
        <v>153</v>
      </c>
      <c r="D73" s="211">
        <v>4772.2</v>
      </c>
      <c r="E73" s="234"/>
      <c r="F73" s="228"/>
      <c r="G73" s="224">
        <v>-3.3999801935436569E-12</v>
      </c>
      <c r="H73" s="214">
        <v>-2.3799861354805596E-13</v>
      </c>
      <c r="I73" s="224">
        <v>-3.637978807091713E-12</v>
      </c>
      <c r="J73" s="38"/>
      <c r="K73" s="39"/>
      <c r="L73" s="40"/>
      <c r="M73" s="215">
        <v>25203</v>
      </c>
      <c r="N73" s="216" t="s">
        <v>33</v>
      </c>
      <c r="O73" s="113">
        <f t="shared" si="4"/>
        <v>4459.9999999999964</v>
      </c>
      <c r="P73" s="113">
        <f t="shared" si="5"/>
        <v>312.19999999999976</v>
      </c>
      <c r="Q73" s="217">
        <f t="shared" si="6"/>
        <v>4772.1999999999962</v>
      </c>
      <c r="R73" s="2"/>
    </row>
    <row r="74" spans="1:18" ht="22.5" customHeight="1" x14ac:dyDescent="0.5">
      <c r="A74" s="208"/>
      <c r="B74" s="240" t="s">
        <v>569</v>
      </c>
      <c r="C74" s="83"/>
      <c r="D74" s="211">
        <v>11277.8</v>
      </c>
      <c r="E74" s="234"/>
      <c r="F74" s="228"/>
      <c r="G74" s="224">
        <v>0</v>
      </c>
      <c r="H74" s="241">
        <v>0</v>
      </c>
      <c r="I74" s="224">
        <v>0</v>
      </c>
      <c r="J74" s="38"/>
      <c r="K74" s="39"/>
      <c r="L74" s="40"/>
      <c r="M74" s="215">
        <v>25203</v>
      </c>
      <c r="N74" s="216" t="s">
        <v>33</v>
      </c>
      <c r="O74" s="113">
        <f t="shared" si="4"/>
        <v>10540</v>
      </c>
      <c r="P74" s="113">
        <f t="shared" si="5"/>
        <v>737.8</v>
      </c>
      <c r="Q74" s="217">
        <f t="shared" si="6"/>
        <v>11277.8</v>
      </c>
      <c r="R74" s="2"/>
    </row>
    <row r="75" spans="1:18" ht="22.5" customHeight="1" x14ac:dyDescent="0.5">
      <c r="A75" s="208">
        <v>23</v>
      </c>
      <c r="B75" s="240" t="s">
        <v>157</v>
      </c>
      <c r="C75" s="83" t="s">
        <v>158</v>
      </c>
      <c r="D75" s="211">
        <v>1765.5</v>
      </c>
      <c r="E75" s="234"/>
      <c r="F75" s="228"/>
      <c r="G75" s="224">
        <v>0</v>
      </c>
      <c r="H75" s="241">
        <v>0</v>
      </c>
      <c r="I75" s="224">
        <v>0</v>
      </c>
      <c r="J75" s="38">
        <v>25201</v>
      </c>
      <c r="K75" s="39" t="s">
        <v>857</v>
      </c>
      <c r="L75" s="40">
        <v>1765.5</v>
      </c>
      <c r="M75" s="239"/>
      <c r="N75" s="236"/>
      <c r="O75" s="113">
        <f t="shared" si="4"/>
        <v>0</v>
      </c>
      <c r="P75" s="113">
        <f t="shared" si="5"/>
        <v>0</v>
      </c>
      <c r="Q75" s="217">
        <f t="shared" si="6"/>
        <v>0</v>
      </c>
      <c r="R75" s="2"/>
    </row>
    <row r="76" spans="1:18" ht="22.5" customHeight="1" x14ac:dyDescent="0.5">
      <c r="A76" s="208">
        <v>24</v>
      </c>
      <c r="B76" s="240" t="s">
        <v>160</v>
      </c>
      <c r="C76" s="83" t="s">
        <v>161</v>
      </c>
      <c r="D76" s="211"/>
      <c r="E76" s="212"/>
      <c r="F76" s="228"/>
      <c r="G76" s="224">
        <v>0</v>
      </c>
      <c r="H76" s="241">
        <v>0</v>
      </c>
      <c r="I76" s="224">
        <v>0</v>
      </c>
      <c r="J76" s="38"/>
      <c r="K76" s="39"/>
      <c r="L76" s="40"/>
      <c r="M76" s="215"/>
      <c r="N76" s="216"/>
      <c r="O76" s="113">
        <f t="shared" si="4"/>
        <v>0</v>
      </c>
      <c r="P76" s="113">
        <f t="shared" si="5"/>
        <v>0</v>
      </c>
      <c r="Q76" s="217">
        <f t="shared" si="6"/>
        <v>0</v>
      </c>
      <c r="R76" s="2"/>
    </row>
    <row r="77" spans="1:18" ht="22.5" customHeight="1" x14ac:dyDescent="0.5">
      <c r="A77" s="208">
        <v>25</v>
      </c>
      <c r="B77" s="240" t="s">
        <v>162</v>
      </c>
      <c r="C77" s="83" t="s">
        <v>163</v>
      </c>
      <c r="D77" s="211">
        <v>6066.9</v>
      </c>
      <c r="E77" s="212">
        <v>25143</v>
      </c>
      <c r="F77" s="228" t="s">
        <v>33</v>
      </c>
      <c r="G77" s="224">
        <v>4659.9999999999973</v>
      </c>
      <c r="H77" s="241">
        <v>326.19999999999982</v>
      </c>
      <c r="I77" s="224">
        <v>4986.1999999999971</v>
      </c>
      <c r="J77" s="38">
        <v>25201</v>
      </c>
      <c r="K77" s="39" t="s">
        <v>858</v>
      </c>
      <c r="L77" s="40">
        <v>4986.2</v>
      </c>
      <c r="M77" s="215">
        <v>25203</v>
      </c>
      <c r="N77" s="216" t="s">
        <v>33</v>
      </c>
      <c r="O77" s="113">
        <f t="shared" si="4"/>
        <v>5669.9999999999973</v>
      </c>
      <c r="P77" s="113">
        <f t="shared" si="5"/>
        <v>396.89999999999981</v>
      </c>
      <c r="Q77" s="217">
        <f t="shared" si="6"/>
        <v>6066.8999999999969</v>
      </c>
      <c r="R77" s="2"/>
    </row>
    <row r="78" spans="1:18" ht="22.5" customHeight="1" x14ac:dyDescent="0.5">
      <c r="A78" s="208">
        <v>26</v>
      </c>
      <c r="B78" s="209" t="s">
        <v>165</v>
      </c>
      <c r="C78" s="210" t="s">
        <v>166</v>
      </c>
      <c r="D78" s="211"/>
      <c r="E78" s="212">
        <v>25143</v>
      </c>
      <c r="F78" s="213" t="s">
        <v>33</v>
      </c>
      <c r="G78" s="219">
        <v>460.00000000000028</v>
      </c>
      <c r="H78" s="214">
        <v>32.200000000000024</v>
      </c>
      <c r="I78" s="219">
        <v>492.20000000000033</v>
      </c>
      <c r="J78" s="38">
        <v>25187</v>
      </c>
      <c r="K78" s="39" t="s">
        <v>859</v>
      </c>
      <c r="L78" s="40">
        <v>492.2</v>
      </c>
      <c r="M78" s="215"/>
      <c r="N78" s="216"/>
      <c r="O78" s="113">
        <f t="shared" si="4"/>
        <v>3.1874814314471783E-13</v>
      </c>
      <c r="P78" s="113">
        <f t="shared" si="5"/>
        <v>2.2312370020130248E-14</v>
      </c>
      <c r="Q78" s="217">
        <f t="shared" si="6"/>
        <v>3.4106051316484809E-13</v>
      </c>
      <c r="R78" s="2"/>
    </row>
    <row r="79" spans="1:18" ht="22.5" customHeight="1" x14ac:dyDescent="0.5">
      <c r="A79" s="242">
        <v>27</v>
      </c>
      <c r="B79" s="243" t="s">
        <v>168</v>
      </c>
      <c r="C79" s="244" t="s">
        <v>169</v>
      </c>
      <c r="D79" s="211">
        <v>6601.9</v>
      </c>
      <c r="E79" s="212" t="s">
        <v>170</v>
      </c>
      <c r="F79" s="213" t="s">
        <v>115</v>
      </c>
      <c r="G79" s="219">
        <v>10630.000000000002</v>
      </c>
      <c r="H79" s="214">
        <v>744.10000000000014</v>
      </c>
      <c r="I79" s="219">
        <v>11374.100000000002</v>
      </c>
      <c r="J79" s="30"/>
      <c r="K79" s="31"/>
      <c r="L79" s="32"/>
      <c r="M79" s="215" t="s">
        <v>860</v>
      </c>
      <c r="N79" s="216" t="s">
        <v>284</v>
      </c>
      <c r="O79" s="113">
        <f t="shared" si="4"/>
        <v>16800</v>
      </c>
      <c r="P79" s="113">
        <f t="shared" si="5"/>
        <v>1176</v>
      </c>
      <c r="Q79" s="217">
        <f t="shared" si="6"/>
        <v>17976</v>
      </c>
      <c r="R79" s="2"/>
    </row>
    <row r="80" spans="1:18" ht="22.5" customHeight="1" x14ac:dyDescent="0.5">
      <c r="A80" s="208">
        <v>28</v>
      </c>
      <c r="B80" s="209" t="s">
        <v>171</v>
      </c>
      <c r="C80" s="210"/>
      <c r="D80" s="211">
        <v>395.9</v>
      </c>
      <c r="E80" s="212"/>
      <c r="F80" s="213"/>
      <c r="G80" s="219">
        <v>0</v>
      </c>
      <c r="H80" s="214">
        <v>0</v>
      </c>
      <c r="I80" s="219">
        <v>0</v>
      </c>
      <c r="J80" s="38">
        <v>25194</v>
      </c>
      <c r="K80" s="39" t="s">
        <v>861</v>
      </c>
      <c r="L80" s="40">
        <v>395.9</v>
      </c>
      <c r="M80" s="239"/>
      <c r="N80" s="236"/>
      <c r="O80" s="113">
        <f t="shared" si="4"/>
        <v>0</v>
      </c>
      <c r="P80" s="113">
        <f t="shared" si="5"/>
        <v>0</v>
      </c>
      <c r="Q80" s="217">
        <f t="shared" si="6"/>
        <v>0</v>
      </c>
      <c r="R80" s="2"/>
    </row>
    <row r="81" spans="1:18" ht="22.5" customHeight="1" x14ac:dyDescent="0.5">
      <c r="A81" s="208">
        <v>29</v>
      </c>
      <c r="B81" s="209" t="s">
        <v>173</v>
      </c>
      <c r="C81" s="210" t="s">
        <v>174</v>
      </c>
      <c r="D81" s="211">
        <v>1615.7</v>
      </c>
      <c r="E81" s="212"/>
      <c r="F81" s="213"/>
      <c r="G81" s="219">
        <v>0</v>
      </c>
      <c r="H81" s="214">
        <v>0</v>
      </c>
      <c r="I81" s="219">
        <v>0</v>
      </c>
      <c r="J81" s="38">
        <v>25195</v>
      </c>
      <c r="K81" s="39" t="s">
        <v>862</v>
      </c>
      <c r="L81" s="40">
        <v>1615.7</v>
      </c>
      <c r="M81" s="215"/>
      <c r="N81" s="216"/>
      <c r="O81" s="113">
        <f t="shared" si="4"/>
        <v>0</v>
      </c>
      <c r="P81" s="113">
        <f t="shared" si="5"/>
        <v>0</v>
      </c>
      <c r="Q81" s="217">
        <f t="shared" si="6"/>
        <v>0</v>
      </c>
      <c r="R81" s="2"/>
    </row>
    <row r="82" spans="1:18" ht="22.5" customHeight="1" x14ac:dyDescent="0.5">
      <c r="A82" s="208">
        <v>30</v>
      </c>
      <c r="B82" s="209" t="s">
        <v>175</v>
      </c>
      <c r="C82" s="210" t="s">
        <v>176</v>
      </c>
      <c r="D82" s="211">
        <v>845.3</v>
      </c>
      <c r="E82" s="212">
        <v>25143</v>
      </c>
      <c r="F82" s="213" t="s">
        <v>33</v>
      </c>
      <c r="G82" s="219">
        <v>629.9999999999992</v>
      </c>
      <c r="H82" s="214">
        <v>44.099999999999937</v>
      </c>
      <c r="I82" s="219">
        <v>674.09999999999911</v>
      </c>
      <c r="J82" s="30">
        <v>25180</v>
      </c>
      <c r="K82" s="31" t="s">
        <v>863</v>
      </c>
      <c r="L82" s="32">
        <v>674.1</v>
      </c>
      <c r="M82" s="215">
        <v>25203</v>
      </c>
      <c r="N82" s="216" t="s">
        <v>33</v>
      </c>
      <c r="O82" s="113">
        <f t="shared" si="4"/>
        <v>789.9999999999992</v>
      </c>
      <c r="P82" s="113">
        <f t="shared" si="5"/>
        <v>55.299999999999947</v>
      </c>
      <c r="Q82" s="217">
        <f t="shared" si="6"/>
        <v>845.29999999999916</v>
      </c>
      <c r="R82" s="2"/>
    </row>
    <row r="83" spans="1:18" ht="22.5" customHeight="1" x14ac:dyDescent="0.5">
      <c r="A83" s="208">
        <v>31</v>
      </c>
      <c r="B83" s="209" t="s">
        <v>178</v>
      </c>
      <c r="C83" s="210" t="s">
        <v>179</v>
      </c>
      <c r="D83" s="211"/>
      <c r="E83" s="212"/>
      <c r="F83" s="213"/>
      <c r="G83" s="219">
        <v>0</v>
      </c>
      <c r="H83" s="214">
        <v>0</v>
      </c>
      <c r="I83" s="219">
        <v>0</v>
      </c>
      <c r="J83" s="38"/>
      <c r="K83" s="39"/>
      <c r="L83" s="40"/>
      <c r="M83" s="215"/>
      <c r="N83" s="216"/>
      <c r="O83" s="113">
        <f t="shared" si="4"/>
        <v>0</v>
      </c>
      <c r="P83" s="113">
        <f t="shared" si="5"/>
        <v>0</v>
      </c>
      <c r="Q83" s="217">
        <f t="shared" si="6"/>
        <v>0</v>
      </c>
      <c r="R83" s="2"/>
    </row>
    <row r="84" spans="1:18" ht="22.5" customHeight="1" x14ac:dyDescent="0.5">
      <c r="A84" s="208">
        <v>32</v>
      </c>
      <c r="B84" s="209" t="s">
        <v>181</v>
      </c>
      <c r="C84" s="210" t="s">
        <v>182</v>
      </c>
      <c r="D84" s="211">
        <v>353.1</v>
      </c>
      <c r="E84" s="212"/>
      <c r="F84" s="213"/>
      <c r="G84" s="219">
        <v>0</v>
      </c>
      <c r="H84" s="214">
        <v>0</v>
      </c>
      <c r="I84" s="219">
        <v>0</v>
      </c>
      <c r="J84" s="38">
        <v>25196</v>
      </c>
      <c r="K84" s="39" t="s">
        <v>864</v>
      </c>
      <c r="L84" s="40">
        <v>353.1</v>
      </c>
      <c r="M84" s="215"/>
      <c r="N84" s="216"/>
      <c r="O84" s="113">
        <f t="shared" si="4"/>
        <v>0</v>
      </c>
      <c r="P84" s="113">
        <f t="shared" si="5"/>
        <v>0</v>
      </c>
      <c r="Q84" s="217">
        <f t="shared" si="6"/>
        <v>0</v>
      </c>
      <c r="R84" s="2"/>
    </row>
    <row r="85" spans="1:18" ht="22.5" customHeight="1" x14ac:dyDescent="0.5">
      <c r="A85" s="208">
        <v>33</v>
      </c>
      <c r="B85" s="209" t="s">
        <v>64</v>
      </c>
      <c r="C85" s="210" t="s">
        <v>184</v>
      </c>
      <c r="D85" s="211">
        <v>3445.4</v>
      </c>
      <c r="E85" s="212"/>
      <c r="F85" s="213"/>
      <c r="G85" s="219">
        <v>0</v>
      </c>
      <c r="H85" s="214">
        <v>0</v>
      </c>
      <c r="I85" s="219">
        <v>0</v>
      </c>
      <c r="J85" s="38">
        <v>25197</v>
      </c>
      <c r="K85" s="245" t="s">
        <v>865</v>
      </c>
      <c r="L85" s="246">
        <v>3445.4</v>
      </c>
      <c r="M85" s="215"/>
      <c r="N85" s="216"/>
      <c r="O85" s="113">
        <f t="shared" si="4"/>
        <v>0</v>
      </c>
      <c r="P85" s="113">
        <f t="shared" si="5"/>
        <v>0</v>
      </c>
      <c r="Q85" s="217">
        <f t="shared" si="6"/>
        <v>0</v>
      </c>
      <c r="R85" s="2"/>
    </row>
    <row r="86" spans="1:18" ht="22.5" customHeight="1" x14ac:dyDescent="0.5">
      <c r="A86" s="208"/>
      <c r="B86" s="209" t="s">
        <v>64</v>
      </c>
      <c r="C86" s="210" t="s">
        <v>184</v>
      </c>
      <c r="D86" s="211">
        <v>2418.1999999999998</v>
      </c>
      <c r="E86" s="212"/>
      <c r="F86" s="213"/>
      <c r="G86" s="219">
        <v>0</v>
      </c>
      <c r="H86" s="214">
        <v>0</v>
      </c>
      <c r="I86" s="219">
        <v>0</v>
      </c>
      <c r="J86" s="38">
        <v>25197</v>
      </c>
      <c r="K86" s="245" t="s">
        <v>865</v>
      </c>
      <c r="L86" s="246">
        <v>2418.1999999999998</v>
      </c>
      <c r="M86" s="215"/>
      <c r="N86" s="216"/>
      <c r="O86" s="113">
        <f t="shared" si="4"/>
        <v>0</v>
      </c>
      <c r="P86" s="113">
        <f t="shared" si="5"/>
        <v>0</v>
      </c>
      <c r="Q86" s="217">
        <f t="shared" si="6"/>
        <v>0</v>
      </c>
      <c r="R86" s="2"/>
    </row>
    <row r="87" spans="1:18" ht="22.5" customHeight="1" x14ac:dyDescent="0.5">
      <c r="A87" s="208">
        <v>34</v>
      </c>
      <c r="B87" s="209" t="s">
        <v>186</v>
      </c>
      <c r="C87" s="210" t="s">
        <v>187</v>
      </c>
      <c r="D87" s="211">
        <v>224.7</v>
      </c>
      <c r="E87" s="212"/>
      <c r="F87" s="213"/>
      <c r="G87" s="219">
        <v>0</v>
      </c>
      <c r="H87" s="214">
        <v>0</v>
      </c>
      <c r="I87" s="219">
        <v>0</v>
      </c>
      <c r="J87" s="38">
        <v>25194</v>
      </c>
      <c r="K87" s="39" t="s">
        <v>866</v>
      </c>
      <c r="L87" s="246">
        <v>224.7</v>
      </c>
      <c r="M87" s="247"/>
      <c r="N87" s="248"/>
      <c r="O87" s="113">
        <f t="shared" si="4"/>
        <v>0</v>
      </c>
      <c r="P87" s="113">
        <f t="shared" si="5"/>
        <v>0</v>
      </c>
      <c r="Q87" s="217">
        <f t="shared" si="6"/>
        <v>0</v>
      </c>
      <c r="R87" s="2"/>
    </row>
    <row r="88" spans="1:18" ht="22.5" customHeight="1" x14ac:dyDescent="0.5">
      <c r="A88" s="208">
        <v>35</v>
      </c>
      <c r="B88" s="209" t="s">
        <v>189</v>
      </c>
      <c r="C88" s="210" t="s">
        <v>190</v>
      </c>
      <c r="D88" s="211"/>
      <c r="E88" s="212"/>
      <c r="F88" s="213"/>
      <c r="G88" s="219">
        <v>0</v>
      </c>
      <c r="H88" s="214">
        <v>0</v>
      </c>
      <c r="I88" s="219">
        <v>0</v>
      </c>
      <c r="J88" s="38"/>
      <c r="K88" s="39"/>
      <c r="L88" s="246"/>
      <c r="M88" s="215"/>
      <c r="N88" s="216"/>
      <c r="O88" s="113">
        <f t="shared" si="4"/>
        <v>0</v>
      </c>
      <c r="P88" s="113">
        <f t="shared" si="5"/>
        <v>0</v>
      </c>
      <c r="Q88" s="217">
        <f t="shared" si="6"/>
        <v>0</v>
      </c>
      <c r="R88" s="2"/>
    </row>
    <row r="89" spans="1:18" ht="22.5" customHeight="1" x14ac:dyDescent="0.5">
      <c r="A89" s="208"/>
      <c r="B89" s="209" t="s">
        <v>191</v>
      </c>
      <c r="C89" s="210" t="s">
        <v>190</v>
      </c>
      <c r="D89" s="211">
        <v>8570.7000000000007</v>
      </c>
      <c r="E89" s="212">
        <v>25143</v>
      </c>
      <c r="F89" s="213" t="s">
        <v>33</v>
      </c>
      <c r="G89" s="219">
        <v>7789.9999999999991</v>
      </c>
      <c r="H89" s="214">
        <v>545.29999999999995</v>
      </c>
      <c r="I89" s="219">
        <v>8335.2999999999993</v>
      </c>
      <c r="J89" s="38">
        <v>25189</v>
      </c>
      <c r="K89" s="39" t="s">
        <v>867</v>
      </c>
      <c r="L89" s="246">
        <v>8335.2999999999993</v>
      </c>
      <c r="M89" s="215">
        <v>25203</v>
      </c>
      <c r="N89" s="216" t="s">
        <v>33</v>
      </c>
      <c r="O89" s="113">
        <f t="shared" si="4"/>
        <v>8010.0000000000009</v>
      </c>
      <c r="P89" s="113">
        <f t="shared" si="5"/>
        <v>560.70000000000005</v>
      </c>
      <c r="Q89" s="217">
        <f t="shared" si="6"/>
        <v>8570.7000000000007</v>
      </c>
      <c r="R89" s="2"/>
    </row>
    <row r="90" spans="1:18" ht="22.5" customHeight="1" x14ac:dyDescent="0.5">
      <c r="A90" s="208">
        <v>36</v>
      </c>
      <c r="B90" s="209" t="s">
        <v>193</v>
      </c>
      <c r="C90" s="210" t="s">
        <v>194</v>
      </c>
      <c r="D90" s="211">
        <v>1883.2</v>
      </c>
      <c r="E90" s="212">
        <v>25143</v>
      </c>
      <c r="F90" s="213" t="s">
        <v>33</v>
      </c>
      <c r="G90" s="219">
        <v>1749.9999999999995</v>
      </c>
      <c r="H90" s="214">
        <v>122.49999999999997</v>
      </c>
      <c r="I90" s="219">
        <v>1872.4999999999995</v>
      </c>
      <c r="J90" s="38">
        <v>25174</v>
      </c>
      <c r="K90" s="39" t="s">
        <v>868</v>
      </c>
      <c r="L90" s="246">
        <v>1872.5</v>
      </c>
      <c r="M90" s="215">
        <v>25203</v>
      </c>
      <c r="N90" s="216" t="s">
        <v>33</v>
      </c>
      <c r="O90" s="113">
        <f t="shared" si="4"/>
        <v>1759.9999999999998</v>
      </c>
      <c r="P90" s="113">
        <f t="shared" si="5"/>
        <v>123.19999999999997</v>
      </c>
      <c r="Q90" s="217">
        <f t="shared" si="6"/>
        <v>1883.1999999999998</v>
      </c>
      <c r="R90" s="2"/>
    </row>
    <row r="91" spans="1:18" ht="22.5" customHeight="1" x14ac:dyDescent="0.5">
      <c r="A91" s="208">
        <v>37</v>
      </c>
      <c r="B91" s="209" t="s">
        <v>195</v>
      </c>
      <c r="C91" s="210" t="s">
        <v>196</v>
      </c>
      <c r="D91" s="211">
        <v>599.20000000000005</v>
      </c>
      <c r="E91" s="212"/>
      <c r="F91" s="213"/>
      <c r="G91" s="219">
        <v>0</v>
      </c>
      <c r="H91" s="214">
        <v>0</v>
      </c>
      <c r="I91" s="219">
        <v>0</v>
      </c>
      <c r="J91" s="38">
        <v>25194</v>
      </c>
      <c r="K91" s="245" t="s">
        <v>869</v>
      </c>
      <c r="L91" s="246">
        <v>599.20000000000005</v>
      </c>
      <c r="M91" s="247"/>
      <c r="N91" s="248"/>
      <c r="O91" s="113">
        <f t="shared" si="4"/>
        <v>0</v>
      </c>
      <c r="P91" s="113">
        <f t="shared" si="5"/>
        <v>0</v>
      </c>
      <c r="Q91" s="217">
        <f t="shared" si="6"/>
        <v>0</v>
      </c>
      <c r="R91" s="2"/>
    </row>
    <row r="92" spans="1:18" ht="22.5" customHeight="1" x14ac:dyDescent="0.5">
      <c r="A92" s="208">
        <v>38</v>
      </c>
      <c r="B92" s="209" t="s">
        <v>198</v>
      </c>
      <c r="C92" s="210" t="s">
        <v>46</v>
      </c>
      <c r="D92" s="211"/>
      <c r="E92" s="212">
        <v>25143</v>
      </c>
      <c r="F92" s="213" t="s">
        <v>33</v>
      </c>
      <c r="G92" s="219">
        <v>39.999999999999375</v>
      </c>
      <c r="H92" s="214">
        <v>2.7999999999999563</v>
      </c>
      <c r="I92" s="219">
        <v>42.799999999999329</v>
      </c>
      <c r="J92" s="38">
        <v>25181</v>
      </c>
      <c r="K92" s="245" t="s">
        <v>870</v>
      </c>
      <c r="L92" s="246">
        <v>42.8</v>
      </c>
      <c r="M92" s="215"/>
      <c r="N92" s="216"/>
      <c r="O92" s="113">
        <f t="shared" si="4"/>
        <v>-6.2421511365840581E-13</v>
      </c>
      <c r="P92" s="113">
        <f t="shared" si="5"/>
        <v>-4.3695057956088404E-14</v>
      </c>
      <c r="Q92" s="217">
        <f t="shared" si="6"/>
        <v>-6.6791017161449417E-13</v>
      </c>
      <c r="R92" s="2"/>
    </row>
    <row r="93" spans="1:18" ht="22.5" customHeight="1" x14ac:dyDescent="0.5">
      <c r="A93" s="208"/>
      <c r="B93" s="209" t="s">
        <v>198</v>
      </c>
      <c r="C93" s="210" t="s">
        <v>567</v>
      </c>
      <c r="D93" s="211">
        <v>706.2</v>
      </c>
      <c r="E93" s="212">
        <v>25143</v>
      </c>
      <c r="F93" s="213" t="s">
        <v>33</v>
      </c>
      <c r="G93" s="219">
        <v>830.00000000000011</v>
      </c>
      <c r="H93" s="214">
        <v>58.100000000000009</v>
      </c>
      <c r="I93" s="219">
        <v>888.10000000000014</v>
      </c>
      <c r="J93" s="38">
        <v>25181</v>
      </c>
      <c r="K93" s="245" t="s">
        <v>871</v>
      </c>
      <c r="L93" s="246">
        <v>888.1</v>
      </c>
      <c r="M93" s="215">
        <v>25203</v>
      </c>
      <c r="N93" s="216" t="s">
        <v>33</v>
      </c>
      <c r="O93" s="113">
        <f t="shared" si="4"/>
        <v>660.00000000000011</v>
      </c>
      <c r="P93" s="113">
        <f t="shared" si="5"/>
        <v>46.200000000000017</v>
      </c>
      <c r="Q93" s="217">
        <f t="shared" si="6"/>
        <v>706.20000000000016</v>
      </c>
      <c r="R93" s="2"/>
    </row>
    <row r="94" spans="1:18" ht="22.5" customHeight="1" x14ac:dyDescent="0.5">
      <c r="A94" s="208">
        <v>39</v>
      </c>
      <c r="B94" s="209" t="s">
        <v>200</v>
      </c>
      <c r="C94" s="210" t="s">
        <v>201</v>
      </c>
      <c r="D94" s="211">
        <v>6270.2</v>
      </c>
      <c r="E94" s="212">
        <v>25143</v>
      </c>
      <c r="F94" s="213" t="s">
        <v>33</v>
      </c>
      <c r="G94" s="219">
        <v>5839.9999999999973</v>
      </c>
      <c r="H94" s="214">
        <v>408.79999999999984</v>
      </c>
      <c r="I94" s="219">
        <v>6248.7999999999975</v>
      </c>
      <c r="J94" s="38"/>
      <c r="K94" s="245"/>
      <c r="L94" s="246"/>
      <c r="M94" s="215" t="s">
        <v>872</v>
      </c>
      <c r="N94" s="216" t="s">
        <v>115</v>
      </c>
      <c r="O94" s="113">
        <f t="shared" si="4"/>
        <v>11699.999999999996</v>
      </c>
      <c r="P94" s="113">
        <f t="shared" si="5"/>
        <v>818.99999999999977</v>
      </c>
      <c r="Q94" s="217">
        <f t="shared" si="6"/>
        <v>12518.999999999996</v>
      </c>
      <c r="R94" s="2"/>
    </row>
    <row r="95" spans="1:18" ht="22.5" customHeight="1" x14ac:dyDescent="0.5">
      <c r="A95" s="208">
        <v>40</v>
      </c>
      <c r="B95" s="209" t="s">
        <v>203</v>
      </c>
      <c r="C95" s="210" t="s">
        <v>204</v>
      </c>
      <c r="D95" s="211">
        <v>1412.4</v>
      </c>
      <c r="E95" s="212"/>
      <c r="F95" s="213"/>
      <c r="G95" s="219">
        <v>0</v>
      </c>
      <c r="H95" s="214">
        <v>0</v>
      </c>
      <c r="I95" s="219">
        <v>0</v>
      </c>
      <c r="J95" s="30">
        <v>25194</v>
      </c>
      <c r="K95" s="31" t="s">
        <v>873</v>
      </c>
      <c r="L95" s="221">
        <v>1412.4</v>
      </c>
      <c r="M95" s="215"/>
      <c r="N95" s="216"/>
      <c r="O95" s="113">
        <f t="shared" si="4"/>
        <v>0</v>
      </c>
      <c r="P95" s="113">
        <f t="shared" si="5"/>
        <v>0</v>
      </c>
      <c r="Q95" s="217">
        <f t="shared" si="6"/>
        <v>0</v>
      </c>
      <c r="R95" s="2"/>
    </row>
    <row r="96" spans="1:18" ht="22.5" customHeight="1" x14ac:dyDescent="0.5">
      <c r="A96" s="208">
        <v>41</v>
      </c>
      <c r="B96" s="209" t="s">
        <v>205</v>
      </c>
      <c r="C96" s="210" t="s">
        <v>206</v>
      </c>
      <c r="D96" s="211">
        <v>973.7</v>
      </c>
      <c r="E96" s="212"/>
      <c r="F96" s="213"/>
      <c r="G96" s="219">
        <v>0</v>
      </c>
      <c r="H96" s="214">
        <v>0</v>
      </c>
      <c r="I96" s="219">
        <v>0</v>
      </c>
      <c r="J96" s="30">
        <v>25194</v>
      </c>
      <c r="K96" s="249" t="s">
        <v>874</v>
      </c>
      <c r="L96" s="221">
        <v>973.7</v>
      </c>
      <c r="M96" s="215"/>
      <c r="N96" s="216"/>
      <c r="O96" s="113">
        <f t="shared" si="4"/>
        <v>0</v>
      </c>
      <c r="P96" s="113">
        <f t="shared" si="5"/>
        <v>0</v>
      </c>
      <c r="Q96" s="217">
        <f t="shared" si="6"/>
        <v>0</v>
      </c>
      <c r="R96" s="2"/>
    </row>
    <row r="97" spans="1:18" ht="22.5" customHeight="1" x14ac:dyDescent="0.5">
      <c r="A97" s="208">
        <v>42</v>
      </c>
      <c r="B97" s="209" t="s">
        <v>208</v>
      </c>
      <c r="C97" s="210"/>
      <c r="D97" s="211">
        <v>53.5</v>
      </c>
      <c r="E97" s="212">
        <v>25143</v>
      </c>
      <c r="F97" s="213" t="s">
        <v>33</v>
      </c>
      <c r="G97" s="219">
        <v>5479.9999999999982</v>
      </c>
      <c r="H97" s="214">
        <v>383.59999999999985</v>
      </c>
      <c r="I97" s="219">
        <v>5863.5999999999976</v>
      </c>
      <c r="J97" s="250"/>
      <c r="K97" s="251"/>
      <c r="L97" s="252"/>
      <c r="M97" s="215" t="s">
        <v>872</v>
      </c>
      <c r="N97" s="216" t="s">
        <v>115</v>
      </c>
      <c r="O97" s="113">
        <f t="shared" si="4"/>
        <v>5529.9999999999982</v>
      </c>
      <c r="P97" s="113">
        <f t="shared" si="5"/>
        <v>387.09999999999985</v>
      </c>
      <c r="Q97" s="217">
        <f t="shared" si="6"/>
        <v>5917.0999999999976</v>
      </c>
      <c r="R97" s="2"/>
    </row>
    <row r="98" spans="1:18" ht="22.5" customHeight="1" x14ac:dyDescent="0.5">
      <c r="A98" s="208">
        <v>43</v>
      </c>
      <c r="B98" s="209" t="s">
        <v>210</v>
      </c>
      <c r="C98" s="210" t="s">
        <v>211</v>
      </c>
      <c r="D98" s="211">
        <v>6676.8</v>
      </c>
      <c r="E98" s="212">
        <v>25143</v>
      </c>
      <c r="F98" s="213" t="s">
        <v>33</v>
      </c>
      <c r="G98" s="219">
        <v>3810.0000000000014</v>
      </c>
      <c r="H98" s="214">
        <v>266.7000000000001</v>
      </c>
      <c r="I98" s="219">
        <v>4076.7000000000016</v>
      </c>
      <c r="J98" s="38">
        <v>25187</v>
      </c>
      <c r="K98" s="39" t="s">
        <v>875</v>
      </c>
      <c r="L98" s="246">
        <v>4076.7</v>
      </c>
      <c r="M98" s="239">
        <v>25203</v>
      </c>
      <c r="N98" s="236" t="s">
        <v>33</v>
      </c>
      <c r="O98" s="113">
        <f t="shared" si="4"/>
        <v>6240.0000000000018</v>
      </c>
      <c r="P98" s="113">
        <f t="shared" si="5"/>
        <v>436.80000000000013</v>
      </c>
      <c r="Q98" s="217">
        <f t="shared" si="6"/>
        <v>6676.800000000002</v>
      </c>
      <c r="R98" s="2"/>
    </row>
    <row r="99" spans="1:18" ht="22.5" customHeight="1" x14ac:dyDescent="0.5">
      <c r="A99" s="208">
        <v>44</v>
      </c>
      <c r="B99" s="209" t="s">
        <v>212</v>
      </c>
      <c r="C99" s="210" t="s">
        <v>213</v>
      </c>
      <c r="D99" s="211"/>
      <c r="E99" s="212"/>
      <c r="F99" s="213"/>
      <c r="G99" s="219">
        <v>0</v>
      </c>
      <c r="H99" s="214">
        <v>0</v>
      </c>
      <c r="I99" s="219">
        <v>0</v>
      </c>
      <c r="J99" s="38"/>
      <c r="K99" s="39"/>
      <c r="L99" s="246"/>
      <c r="M99" s="239"/>
      <c r="N99" s="236"/>
      <c r="O99" s="113">
        <f t="shared" si="4"/>
        <v>0</v>
      </c>
      <c r="P99" s="113">
        <f t="shared" si="5"/>
        <v>0</v>
      </c>
      <c r="Q99" s="217">
        <f t="shared" si="6"/>
        <v>0</v>
      </c>
      <c r="R99" s="2"/>
    </row>
    <row r="100" spans="1:18" ht="22.5" customHeight="1" x14ac:dyDescent="0.5">
      <c r="A100" s="208">
        <v>45</v>
      </c>
      <c r="B100" s="209" t="s">
        <v>214</v>
      </c>
      <c r="C100" s="210" t="s">
        <v>215</v>
      </c>
      <c r="D100" s="211">
        <v>1712</v>
      </c>
      <c r="E100" s="212"/>
      <c r="F100" s="213"/>
      <c r="G100" s="219">
        <v>0</v>
      </c>
      <c r="H100" s="214">
        <v>0</v>
      </c>
      <c r="I100" s="219">
        <v>0</v>
      </c>
      <c r="J100" s="38">
        <v>25198</v>
      </c>
      <c r="K100" s="39" t="s">
        <v>876</v>
      </c>
      <c r="L100" s="246">
        <v>1712</v>
      </c>
      <c r="M100" s="239"/>
      <c r="N100" s="236"/>
      <c r="O100" s="113">
        <f t="shared" si="4"/>
        <v>0</v>
      </c>
      <c r="P100" s="113">
        <f t="shared" si="5"/>
        <v>0</v>
      </c>
      <c r="Q100" s="217">
        <f t="shared" si="6"/>
        <v>0</v>
      </c>
      <c r="R100" s="2"/>
    </row>
    <row r="101" spans="1:18" ht="22.5" customHeight="1" x14ac:dyDescent="0.5">
      <c r="A101" s="253">
        <v>46</v>
      </c>
      <c r="B101" s="254" t="s">
        <v>217</v>
      </c>
      <c r="C101" s="238" t="s">
        <v>218</v>
      </c>
      <c r="D101" s="211">
        <v>2161.4</v>
      </c>
      <c r="E101" s="167"/>
      <c r="F101" s="168"/>
      <c r="G101" s="255">
        <v>0</v>
      </c>
      <c r="H101" s="256">
        <v>0</v>
      </c>
      <c r="I101" s="255">
        <v>0</v>
      </c>
      <c r="J101" s="38">
        <v>25194</v>
      </c>
      <c r="K101" s="245" t="s">
        <v>877</v>
      </c>
      <c r="L101" s="246">
        <v>2161.4</v>
      </c>
      <c r="M101" s="239"/>
      <c r="N101" s="236"/>
      <c r="O101" s="113">
        <f t="shared" si="4"/>
        <v>0</v>
      </c>
      <c r="P101" s="113">
        <f t="shared" si="5"/>
        <v>0</v>
      </c>
      <c r="Q101" s="217">
        <f t="shared" si="6"/>
        <v>0</v>
      </c>
      <c r="R101" s="2"/>
    </row>
    <row r="102" spans="1:18" ht="22.5" customHeight="1" x14ac:dyDescent="0.5">
      <c r="A102" s="235">
        <v>47</v>
      </c>
      <c r="B102" s="257" t="s">
        <v>220</v>
      </c>
      <c r="C102" s="257" t="s">
        <v>221</v>
      </c>
      <c r="D102" s="211"/>
      <c r="E102" s="212"/>
      <c r="F102" s="213"/>
      <c r="G102" s="219">
        <v>0</v>
      </c>
      <c r="H102" s="214">
        <v>0</v>
      </c>
      <c r="I102" s="258">
        <v>0</v>
      </c>
      <c r="J102" s="38"/>
      <c r="K102" s="39"/>
      <c r="L102" s="246"/>
      <c r="M102" s="239"/>
      <c r="N102" s="236"/>
      <c r="O102" s="113">
        <f t="shared" si="4"/>
        <v>0</v>
      </c>
      <c r="P102" s="113">
        <f t="shared" si="5"/>
        <v>0</v>
      </c>
      <c r="Q102" s="217">
        <f t="shared" si="6"/>
        <v>0</v>
      </c>
      <c r="R102" s="2"/>
    </row>
    <row r="103" spans="1:18" ht="22.5" customHeight="1" x14ac:dyDescent="0.5">
      <c r="A103" s="260">
        <v>48</v>
      </c>
      <c r="B103" s="261" t="s">
        <v>222</v>
      </c>
      <c r="C103" s="261" t="s">
        <v>223</v>
      </c>
      <c r="D103" s="262"/>
      <c r="E103" s="212"/>
      <c r="F103" s="213"/>
      <c r="G103" s="219">
        <v>0</v>
      </c>
      <c r="H103" s="214">
        <v>0</v>
      </c>
      <c r="I103" s="258">
        <v>0</v>
      </c>
      <c r="J103" s="38"/>
      <c r="K103" s="39"/>
      <c r="L103" s="246"/>
      <c r="M103" s="215"/>
      <c r="N103" s="216"/>
      <c r="O103" s="113">
        <f t="shared" si="4"/>
        <v>0</v>
      </c>
      <c r="P103" s="113">
        <f t="shared" si="5"/>
        <v>0</v>
      </c>
      <c r="Q103" s="217">
        <f t="shared" si="6"/>
        <v>0</v>
      </c>
      <c r="R103" s="2"/>
    </row>
    <row r="104" spans="1:18" ht="22.5" customHeight="1" x14ac:dyDescent="0.5">
      <c r="A104" s="260">
        <v>49</v>
      </c>
      <c r="B104" s="261" t="s">
        <v>224</v>
      </c>
      <c r="C104" s="261" t="s">
        <v>225</v>
      </c>
      <c r="D104" s="263">
        <v>481.5</v>
      </c>
      <c r="E104" s="212" t="s">
        <v>716</v>
      </c>
      <c r="F104" s="213" t="s">
        <v>115</v>
      </c>
      <c r="G104" s="219">
        <v>560</v>
      </c>
      <c r="H104" s="214">
        <v>39.200000000000003</v>
      </c>
      <c r="I104" s="258">
        <v>599.20000000000005</v>
      </c>
      <c r="J104" s="38" t="s">
        <v>878</v>
      </c>
      <c r="K104" s="245" t="s">
        <v>879</v>
      </c>
      <c r="L104" s="246">
        <v>1080.7</v>
      </c>
      <c r="M104" s="215"/>
      <c r="N104" s="216"/>
      <c r="O104" s="113">
        <f t="shared" si="4"/>
        <v>0</v>
      </c>
      <c r="P104" s="113">
        <f t="shared" si="5"/>
        <v>0</v>
      </c>
      <c r="Q104" s="217">
        <f t="shared" si="6"/>
        <v>0</v>
      </c>
      <c r="R104" s="2"/>
    </row>
    <row r="105" spans="1:18" ht="22.5" customHeight="1" x14ac:dyDescent="0.5">
      <c r="A105" s="264">
        <v>50</v>
      </c>
      <c r="B105" s="265" t="s">
        <v>226</v>
      </c>
      <c r="C105" s="265" t="s">
        <v>227</v>
      </c>
      <c r="D105" s="266">
        <v>7778.9</v>
      </c>
      <c r="E105" s="267">
        <v>25143</v>
      </c>
      <c r="F105" s="168" t="s">
        <v>33</v>
      </c>
      <c r="G105" s="255">
        <v>2840</v>
      </c>
      <c r="H105" s="256">
        <v>198.8</v>
      </c>
      <c r="I105" s="268">
        <v>3038.8</v>
      </c>
      <c r="J105" s="38">
        <v>25180</v>
      </c>
      <c r="K105" s="245" t="s">
        <v>880</v>
      </c>
      <c r="L105" s="246">
        <v>3038.8</v>
      </c>
      <c r="M105" s="215">
        <v>25203</v>
      </c>
      <c r="N105" s="216" t="s">
        <v>33</v>
      </c>
      <c r="O105" s="113">
        <f>SUM(Q105-P105)</f>
        <v>7270.0000000000009</v>
      </c>
      <c r="P105" s="113">
        <f t="shared" si="5"/>
        <v>508.90000000000003</v>
      </c>
      <c r="Q105" s="217">
        <f>SUM(D105+I105-L105)</f>
        <v>7778.9000000000005</v>
      </c>
      <c r="R105" s="2"/>
    </row>
    <row r="106" spans="1:18" ht="22.5" customHeight="1" x14ac:dyDescent="0.5">
      <c r="A106" s="264">
        <v>51</v>
      </c>
      <c r="B106" s="265" t="s">
        <v>229</v>
      </c>
      <c r="C106" s="265" t="s">
        <v>230</v>
      </c>
      <c r="D106" s="266">
        <v>7821.7</v>
      </c>
      <c r="E106" s="267">
        <v>25143</v>
      </c>
      <c r="F106" s="168" t="s">
        <v>33</v>
      </c>
      <c r="G106" s="255">
        <v>7860.0000000000009</v>
      </c>
      <c r="H106" s="256">
        <v>550.20000000000005</v>
      </c>
      <c r="I106" s="271">
        <v>8410.2000000000007</v>
      </c>
      <c r="J106" s="101" t="s">
        <v>881</v>
      </c>
      <c r="K106" s="102" t="s">
        <v>882</v>
      </c>
      <c r="L106" s="272">
        <v>16231.900000000001</v>
      </c>
      <c r="M106" s="273"/>
      <c r="N106" s="274"/>
      <c r="O106" s="113">
        <f t="shared" si="4"/>
        <v>0</v>
      </c>
      <c r="P106" s="113">
        <f t="shared" si="5"/>
        <v>0</v>
      </c>
      <c r="Q106" s="217">
        <f t="shared" si="6"/>
        <v>0</v>
      </c>
      <c r="R106" s="2"/>
    </row>
    <row r="107" spans="1:18" ht="22.5" customHeight="1" x14ac:dyDescent="0.5">
      <c r="A107" s="264">
        <v>52</v>
      </c>
      <c r="B107" s="265" t="s">
        <v>566</v>
      </c>
      <c r="C107" s="265" t="s">
        <v>567</v>
      </c>
      <c r="D107" s="266">
        <v>2311.1999999999998</v>
      </c>
      <c r="E107" s="267"/>
      <c r="F107" s="168"/>
      <c r="G107" s="255">
        <v>0</v>
      </c>
      <c r="H107" s="256">
        <v>0</v>
      </c>
      <c r="I107" s="268">
        <v>0</v>
      </c>
      <c r="J107" s="672"/>
      <c r="K107" s="673"/>
      <c r="L107" s="674"/>
      <c r="M107" s="675">
        <v>25203</v>
      </c>
      <c r="N107" s="676" t="s">
        <v>33</v>
      </c>
      <c r="O107" s="113">
        <f t="shared" si="4"/>
        <v>2160</v>
      </c>
      <c r="P107" s="113">
        <f t="shared" si="5"/>
        <v>151.19999999999999</v>
      </c>
      <c r="Q107" s="217">
        <f t="shared" si="6"/>
        <v>2311.1999999999998</v>
      </c>
      <c r="R107" s="2"/>
    </row>
    <row r="108" spans="1:18" ht="22.5" customHeight="1" x14ac:dyDescent="0.5">
      <c r="A108" s="264"/>
      <c r="B108" s="265" t="s">
        <v>568</v>
      </c>
      <c r="C108" s="265" t="s">
        <v>567</v>
      </c>
      <c r="D108" s="266">
        <v>2642.9</v>
      </c>
      <c r="E108" s="267"/>
      <c r="F108" s="168"/>
      <c r="G108" s="255">
        <v>0</v>
      </c>
      <c r="H108" s="256">
        <v>0</v>
      </c>
      <c r="I108" s="677">
        <v>0</v>
      </c>
      <c r="J108" s="678"/>
      <c r="K108" s="679"/>
      <c r="L108" s="680"/>
      <c r="M108" s="681">
        <v>25203</v>
      </c>
      <c r="N108" s="682" t="s">
        <v>33</v>
      </c>
      <c r="O108" s="113">
        <f t="shared" si="4"/>
        <v>2470</v>
      </c>
      <c r="P108" s="113">
        <f t="shared" si="5"/>
        <v>172.9</v>
      </c>
      <c r="Q108" s="217">
        <f t="shared" si="6"/>
        <v>2642.9</v>
      </c>
      <c r="R108" s="2"/>
    </row>
    <row r="109" spans="1:18" ht="22.5" customHeight="1" x14ac:dyDescent="0.5">
      <c r="A109" s="269">
        <v>53</v>
      </c>
      <c r="B109" s="265" t="s">
        <v>705</v>
      </c>
      <c r="C109" s="794"/>
      <c r="D109" s="266">
        <v>984.4</v>
      </c>
      <c r="E109" s="267"/>
      <c r="F109" s="168"/>
      <c r="G109" s="255"/>
      <c r="H109" s="256"/>
      <c r="I109" s="268"/>
      <c r="J109" s="672">
        <v>25195</v>
      </c>
      <c r="K109" s="673" t="s">
        <v>883</v>
      </c>
      <c r="L109" s="674">
        <v>984.4</v>
      </c>
      <c r="M109" s="675"/>
      <c r="N109" s="776"/>
      <c r="O109" s="276"/>
      <c r="P109" s="276"/>
      <c r="Q109" s="277"/>
      <c r="R109" s="2"/>
    </row>
    <row r="110" spans="1:18" s="60" customFormat="1" ht="22.5" customHeight="1" thickBot="1" x14ac:dyDescent="0.35">
      <c r="A110" s="278"/>
      <c r="B110" s="278" t="s">
        <v>15</v>
      </c>
      <c r="C110" s="279"/>
      <c r="D110" s="280">
        <f>SUM(D44:D109)</f>
        <v>253033.60000000009</v>
      </c>
      <c r="E110" s="281"/>
      <c r="F110" s="282"/>
      <c r="G110" s="280">
        <f>SUM(G44:G109)</f>
        <v>189858.41121495326</v>
      </c>
      <c r="H110" s="280">
        <f>SUM(H44:H109)</f>
        <v>13290.08878504673</v>
      </c>
      <c r="I110" s="280">
        <f>SUM(I44:I109)</f>
        <v>203148.50000000006</v>
      </c>
      <c r="J110" s="280"/>
      <c r="K110" s="280">
        <f>SUM(K44:K108)</f>
        <v>0</v>
      </c>
      <c r="L110" s="280">
        <f>SUM(L44:L109)</f>
        <v>321340.70000000019</v>
      </c>
      <c r="M110" s="280"/>
      <c r="N110" s="280">
        <f>SUM(N44:N108)</f>
        <v>0</v>
      </c>
      <c r="O110" s="280">
        <f>SUM(O44:O109)</f>
        <v>126020</v>
      </c>
      <c r="P110" s="280">
        <f>SUM(P44:P109)</f>
        <v>8821.4</v>
      </c>
      <c r="Q110" s="280">
        <f>SUM(Q44:Q109)</f>
        <v>134841.39999999997</v>
      </c>
      <c r="R110" s="59"/>
    </row>
    <row r="111" spans="1:18" ht="22.5" customHeight="1" thickTop="1" x14ac:dyDescent="0.3">
      <c r="A111" s="61"/>
      <c r="B111" s="121" t="s">
        <v>232</v>
      </c>
      <c r="C111" s="63"/>
      <c r="D111" s="64"/>
      <c r="E111" s="65"/>
      <c r="F111" s="66"/>
      <c r="G111" s="67"/>
      <c r="H111" s="67"/>
      <c r="I111" s="67"/>
      <c r="J111" s="286"/>
      <c r="K111" s="287"/>
      <c r="L111" s="288"/>
      <c r="M111" s="69"/>
      <c r="N111" s="70"/>
      <c r="O111" s="71"/>
      <c r="P111" s="71"/>
      <c r="Q111" s="289"/>
      <c r="R111" s="2"/>
    </row>
    <row r="112" spans="1:18" ht="22.5" customHeight="1" x14ac:dyDescent="0.5">
      <c r="A112" s="290"/>
      <c r="B112" s="291" t="s">
        <v>233</v>
      </c>
      <c r="C112" s="292"/>
      <c r="D112" s="293"/>
      <c r="E112" s="212"/>
      <c r="F112" s="213"/>
      <c r="G112" s="219"/>
      <c r="H112" s="219"/>
      <c r="I112" s="219"/>
      <c r="J112" s="294"/>
      <c r="K112" s="295"/>
      <c r="L112" s="296"/>
      <c r="M112" s="41"/>
      <c r="N112" s="34"/>
      <c r="O112" s="114"/>
      <c r="P112" s="114"/>
      <c r="Q112" s="36"/>
      <c r="R112" s="2"/>
    </row>
    <row r="113" spans="1:18" ht="22.5" customHeight="1" x14ac:dyDescent="0.5">
      <c r="A113" s="23">
        <v>1</v>
      </c>
      <c r="B113" s="73" t="s">
        <v>234</v>
      </c>
      <c r="C113" s="25" t="s">
        <v>235</v>
      </c>
      <c r="D113" s="43">
        <v>9450</v>
      </c>
      <c r="E113" s="212"/>
      <c r="F113" s="213"/>
      <c r="G113" s="219">
        <v>0</v>
      </c>
      <c r="H113" s="219">
        <v>0</v>
      </c>
      <c r="I113" s="219">
        <v>0</v>
      </c>
      <c r="J113" s="30">
        <v>25198</v>
      </c>
      <c r="K113" s="31" t="s">
        <v>884</v>
      </c>
      <c r="L113" s="32">
        <v>9450</v>
      </c>
      <c r="M113" s="215"/>
      <c r="N113" s="216"/>
      <c r="O113" s="114">
        <f>SUM(D113+I113-L113)</f>
        <v>0</v>
      </c>
      <c r="P113" s="114">
        <v>0</v>
      </c>
      <c r="Q113" s="36">
        <f>SUM(O113)</f>
        <v>0</v>
      </c>
      <c r="R113" s="2"/>
    </row>
    <row r="114" spans="1:18" ht="22.5" customHeight="1" x14ac:dyDescent="0.5">
      <c r="A114" s="23">
        <v>2</v>
      </c>
      <c r="B114" s="73" t="s">
        <v>237</v>
      </c>
      <c r="C114" s="25" t="s">
        <v>238</v>
      </c>
      <c r="D114" s="43">
        <v>3150</v>
      </c>
      <c r="E114" s="212"/>
      <c r="F114" s="213"/>
      <c r="G114" s="219">
        <v>0</v>
      </c>
      <c r="H114" s="219">
        <v>0</v>
      </c>
      <c r="I114" s="219">
        <v>0</v>
      </c>
      <c r="J114" s="30">
        <v>25198</v>
      </c>
      <c r="K114" s="31" t="s">
        <v>885</v>
      </c>
      <c r="L114" s="32">
        <v>3150</v>
      </c>
      <c r="M114" s="215"/>
      <c r="N114" s="216"/>
      <c r="O114" s="114">
        <f t="shared" ref="O114:O153" si="7">SUM(D114+I114-L114)</f>
        <v>0</v>
      </c>
      <c r="P114" s="114">
        <v>0</v>
      </c>
      <c r="Q114" s="36">
        <f t="shared" ref="Q114:Q153" si="8">SUM(O114)</f>
        <v>0</v>
      </c>
      <c r="R114" s="2"/>
    </row>
    <row r="115" spans="1:18" ht="22.5" customHeight="1" x14ac:dyDescent="0.5">
      <c r="A115" s="23">
        <v>3</v>
      </c>
      <c r="B115" s="73" t="s">
        <v>240</v>
      </c>
      <c r="C115" s="25" t="s">
        <v>241</v>
      </c>
      <c r="D115" s="43">
        <v>15750</v>
      </c>
      <c r="E115" s="212" t="s">
        <v>716</v>
      </c>
      <c r="F115" s="213" t="s">
        <v>115</v>
      </c>
      <c r="G115" s="219">
        <v>31500</v>
      </c>
      <c r="H115" s="219">
        <v>0</v>
      </c>
      <c r="I115" s="219">
        <v>31500</v>
      </c>
      <c r="J115" s="30" t="s">
        <v>886</v>
      </c>
      <c r="K115" s="31" t="s">
        <v>887</v>
      </c>
      <c r="L115" s="32">
        <v>47250</v>
      </c>
      <c r="M115" s="297"/>
      <c r="N115" s="216"/>
      <c r="O115" s="114">
        <f t="shared" si="7"/>
        <v>0</v>
      </c>
      <c r="P115" s="114">
        <v>0</v>
      </c>
      <c r="Q115" s="36">
        <f t="shared" si="8"/>
        <v>0</v>
      </c>
      <c r="R115" s="2"/>
    </row>
    <row r="116" spans="1:18" ht="22.5" customHeight="1" x14ac:dyDescent="0.5">
      <c r="A116" s="23">
        <v>4</v>
      </c>
      <c r="B116" s="73" t="s">
        <v>240</v>
      </c>
      <c r="C116" s="25" t="s">
        <v>242</v>
      </c>
      <c r="D116" s="43">
        <v>6300</v>
      </c>
      <c r="E116" s="212" t="s">
        <v>716</v>
      </c>
      <c r="F116" s="213" t="s">
        <v>115</v>
      </c>
      <c r="G116" s="219">
        <v>12600</v>
      </c>
      <c r="H116" s="219">
        <v>0</v>
      </c>
      <c r="I116" s="219">
        <v>12600</v>
      </c>
      <c r="J116" s="30" t="s">
        <v>886</v>
      </c>
      <c r="K116" s="31" t="s">
        <v>887</v>
      </c>
      <c r="L116" s="32">
        <v>18900</v>
      </c>
      <c r="M116" s="297"/>
      <c r="N116" s="216"/>
      <c r="O116" s="114">
        <f t="shared" si="7"/>
        <v>0</v>
      </c>
      <c r="P116" s="114">
        <v>0</v>
      </c>
      <c r="Q116" s="36">
        <f t="shared" si="8"/>
        <v>0</v>
      </c>
      <c r="R116" s="2"/>
    </row>
    <row r="117" spans="1:18" ht="22.5" customHeight="1" x14ac:dyDescent="0.5">
      <c r="A117" s="23">
        <v>5</v>
      </c>
      <c r="B117" s="73" t="s">
        <v>198</v>
      </c>
      <c r="C117" s="25" t="s">
        <v>243</v>
      </c>
      <c r="D117" s="43">
        <v>22050</v>
      </c>
      <c r="E117" s="212"/>
      <c r="F117" s="213"/>
      <c r="G117" s="219">
        <v>0</v>
      </c>
      <c r="H117" s="219">
        <v>0</v>
      </c>
      <c r="I117" s="219">
        <v>0</v>
      </c>
      <c r="J117" s="30">
        <v>25181</v>
      </c>
      <c r="K117" s="31" t="s">
        <v>888</v>
      </c>
      <c r="L117" s="32">
        <v>22050</v>
      </c>
      <c r="M117" s="297"/>
      <c r="N117" s="216"/>
      <c r="O117" s="114">
        <f t="shared" si="7"/>
        <v>0</v>
      </c>
      <c r="P117" s="114">
        <v>0</v>
      </c>
      <c r="Q117" s="36">
        <f t="shared" si="8"/>
        <v>0</v>
      </c>
      <c r="R117" s="2"/>
    </row>
    <row r="118" spans="1:18" ht="22.5" customHeight="1" x14ac:dyDescent="0.5">
      <c r="A118" s="23">
        <v>6</v>
      </c>
      <c r="B118" s="73" t="s">
        <v>245</v>
      </c>
      <c r="C118" s="25" t="s">
        <v>246</v>
      </c>
      <c r="D118" s="43">
        <v>9450</v>
      </c>
      <c r="E118" s="212"/>
      <c r="F118" s="213"/>
      <c r="G118" s="219">
        <v>0</v>
      </c>
      <c r="H118" s="219">
        <v>0</v>
      </c>
      <c r="I118" s="219">
        <v>0</v>
      </c>
      <c r="J118" s="30">
        <v>25176</v>
      </c>
      <c r="K118" s="31" t="s">
        <v>889</v>
      </c>
      <c r="L118" s="32">
        <v>9450</v>
      </c>
      <c r="M118" s="297"/>
      <c r="N118" s="216"/>
      <c r="O118" s="114">
        <f t="shared" si="7"/>
        <v>0</v>
      </c>
      <c r="P118" s="114">
        <v>0</v>
      </c>
      <c r="Q118" s="36">
        <f t="shared" si="8"/>
        <v>0</v>
      </c>
      <c r="R118" s="2"/>
    </row>
    <row r="119" spans="1:18" ht="22.5" customHeight="1" x14ac:dyDescent="0.5">
      <c r="A119" s="23">
        <v>7</v>
      </c>
      <c r="B119" s="73" t="s">
        <v>248</v>
      </c>
      <c r="C119" s="25" t="s">
        <v>249</v>
      </c>
      <c r="D119" s="43">
        <v>6300</v>
      </c>
      <c r="E119" s="212" t="s">
        <v>805</v>
      </c>
      <c r="F119" s="213" t="s">
        <v>33</v>
      </c>
      <c r="G119" s="219">
        <v>6300</v>
      </c>
      <c r="H119" s="219">
        <v>0</v>
      </c>
      <c r="I119" s="219">
        <v>6300</v>
      </c>
      <c r="J119" s="30">
        <v>25195</v>
      </c>
      <c r="K119" s="31" t="s">
        <v>890</v>
      </c>
      <c r="L119" s="32">
        <v>12600</v>
      </c>
      <c r="M119" s="215"/>
      <c r="N119" s="216"/>
      <c r="O119" s="114">
        <f t="shared" si="7"/>
        <v>0</v>
      </c>
      <c r="P119" s="114">
        <v>0</v>
      </c>
      <c r="Q119" s="36">
        <f t="shared" si="8"/>
        <v>0</v>
      </c>
      <c r="R119" s="2"/>
    </row>
    <row r="120" spans="1:18" ht="22.5" customHeight="1" x14ac:dyDescent="0.5">
      <c r="A120" s="208">
        <v>8</v>
      </c>
      <c r="B120" s="209" t="s">
        <v>250</v>
      </c>
      <c r="C120" s="210" t="s">
        <v>251</v>
      </c>
      <c r="D120" s="298">
        <v>6300</v>
      </c>
      <c r="E120" s="299" t="s">
        <v>805</v>
      </c>
      <c r="F120" s="300" t="s">
        <v>33</v>
      </c>
      <c r="G120" s="214">
        <v>6300</v>
      </c>
      <c r="H120" s="219">
        <v>0</v>
      </c>
      <c r="I120" s="219">
        <v>6300</v>
      </c>
      <c r="J120" s="30">
        <v>25175</v>
      </c>
      <c r="K120" s="31" t="s">
        <v>891</v>
      </c>
      <c r="L120" s="32">
        <v>6300</v>
      </c>
      <c r="M120" s="215">
        <v>25203</v>
      </c>
      <c r="N120" s="216" t="s">
        <v>33</v>
      </c>
      <c r="O120" s="114">
        <f t="shared" si="7"/>
        <v>6300</v>
      </c>
      <c r="P120" s="114">
        <v>0</v>
      </c>
      <c r="Q120" s="36">
        <f t="shared" si="8"/>
        <v>6300</v>
      </c>
      <c r="R120" s="218"/>
    </row>
    <row r="121" spans="1:18" ht="22.5" customHeight="1" x14ac:dyDescent="0.5">
      <c r="A121" s="23">
        <v>9</v>
      </c>
      <c r="B121" s="73" t="s">
        <v>253</v>
      </c>
      <c r="C121" s="25" t="s">
        <v>254</v>
      </c>
      <c r="D121" s="43">
        <v>9450</v>
      </c>
      <c r="E121" s="212"/>
      <c r="F121" s="213"/>
      <c r="G121" s="219">
        <v>0</v>
      </c>
      <c r="H121" s="219">
        <v>0</v>
      </c>
      <c r="I121" s="219">
        <v>0</v>
      </c>
      <c r="J121" s="30">
        <v>25195</v>
      </c>
      <c r="K121" s="31" t="s">
        <v>892</v>
      </c>
      <c r="L121" s="32">
        <v>9450</v>
      </c>
      <c r="M121" s="215"/>
      <c r="N121" s="216"/>
      <c r="O121" s="114">
        <f t="shared" si="7"/>
        <v>0</v>
      </c>
      <c r="P121" s="114">
        <v>0</v>
      </c>
      <c r="Q121" s="36">
        <f t="shared" si="8"/>
        <v>0</v>
      </c>
    </row>
    <row r="122" spans="1:18" ht="22.5" customHeight="1" x14ac:dyDescent="0.5">
      <c r="A122" s="23"/>
      <c r="B122" s="301" t="s">
        <v>256</v>
      </c>
      <c r="C122" s="25"/>
      <c r="D122" s="43"/>
      <c r="E122" s="302"/>
      <c r="F122" s="303"/>
      <c r="G122" s="304">
        <v>0</v>
      </c>
      <c r="H122" s="304">
        <v>0</v>
      </c>
      <c r="I122" s="304">
        <v>0</v>
      </c>
      <c r="J122" s="30"/>
      <c r="K122" s="31"/>
      <c r="L122" s="32"/>
      <c r="M122" s="297"/>
      <c r="N122" s="216"/>
      <c r="O122" s="114">
        <f t="shared" si="7"/>
        <v>0</v>
      </c>
      <c r="P122" s="114">
        <v>0</v>
      </c>
      <c r="Q122" s="36">
        <f t="shared" si="8"/>
        <v>0</v>
      </c>
    </row>
    <row r="123" spans="1:18" ht="22.5" customHeight="1" x14ac:dyDescent="0.5">
      <c r="A123" s="23">
        <v>10</v>
      </c>
      <c r="B123" s="73" t="s">
        <v>257</v>
      </c>
      <c r="C123" s="25" t="s">
        <v>258</v>
      </c>
      <c r="D123" s="43">
        <v>5600</v>
      </c>
      <c r="E123" s="212"/>
      <c r="F123" s="213"/>
      <c r="G123" s="219">
        <v>0</v>
      </c>
      <c r="H123" s="219">
        <v>0</v>
      </c>
      <c r="I123" s="219">
        <v>0</v>
      </c>
      <c r="J123" s="30">
        <v>25176</v>
      </c>
      <c r="K123" s="31" t="s">
        <v>893</v>
      </c>
      <c r="L123" s="32">
        <v>5600</v>
      </c>
      <c r="M123" s="297"/>
      <c r="N123" s="216"/>
      <c r="O123" s="114">
        <f t="shared" si="7"/>
        <v>0</v>
      </c>
      <c r="P123" s="114">
        <v>0</v>
      </c>
      <c r="Q123" s="36">
        <f t="shared" si="8"/>
        <v>0</v>
      </c>
    </row>
    <row r="124" spans="1:18" ht="22.5" customHeight="1" x14ac:dyDescent="0.5">
      <c r="A124" s="23">
        <v>11</v>
      </c>
      <c r="B124" s="73" t="s">
        <v>198</v>
      </c>
      <c r="C124" s="25" t="s">
        <v>260</v>
      </c>
      <c r="D124" s="43">
        <v>2800</v>
      </c>
      <c r="E124" s="212"/>
      <c r="F124" s="213"/>
      <c r="G124" s="219">
        <v>0</v>
      </c>
      <c r="H124" s="219">
        <v>0</v>
      </c>
      <c r="I124" s="219">
        <v>0</v>
      </c>
      <c r="J124" s="30">
        <v>25181</v>
      </c>
      <c r="K124" s="31" t="s">
        <v>888</v>
      </c>
      <c r="L124" s="32">
        <v>2800</v>
      </c>
      <c r="M124" s="297"/>
      <c r="N124" s="216"/>
      <c r="O124" s="114">
        <f t="shared" si="7"/>
        <v>0</v>
      </c>
      <c r="P124" s="114">
        <v>0</v>
      </c>
      <c r="Q124" s="36">
        <f t="shared" si="8"/>
        <v>0</v>
      </c>
    </row>
    <row r="125" spans="1:18" ht="22.5" customHeight="1" x14ac:dyDescent="0.5">
      <c r="A125" s="23">
        <v>12</v>
      </c>
      <c r="B125" s="73" t="s">
        <v>261</v>
      </c>
      <c r="C125" s="25" t="s">
        <v>262</v>
      </c>
      <c r="D125" s="43">
        <v>5600</v>
      </c>
      <c r="E125" s="212"/>
      <c r="F125" s="213"/>
      <c r="G125" s="219">
        <v>0</v>
      </c>
      <c r="H125" s="219">
        <v>0</v>
      </c>
      <c r="I125" s="219">
        <v>0</v>
      </c>
      <c r="J125" s="30">
        <v>25183</v>
      </c>
      <c r="K125" s="31" t="s">
        <v>894</v>
      </c>
      <c r="L125" s="32">
        <v>5600</v>
      </c>
      <c r="M125" s="215"/>
      <c r="N125" s="216"/>
      <c r="O125" s="114">
        <f t="shared" si="7"/>
        <v>0</v>
      </c>
      <c r="P125" s="114">
        <v>0</v>
      </c>
      <c r="Q125" s="36">
        <f t="shared" si="8"/>
        <v>0</v>
      </c>
    </row>
    <row r="126" spans="1:18" ht="22.5" customHeight="1" x14ac:dyDescent="0.5">
      <c r="A126" s="23">
        <v>13</v>
      </c>
      <c r="B126" s="73" t="s">
        <v>264</v>
      </c>
      <c r="C126" s="25" t="s">
        <v>265</v>
      </c>
      <c r="D126" s="43">
        <v>5600</v>
      </c>
      <c r="E126" s="212"/>
      <c r="F126" s="213"/>
      <c r="G126" s="219">
        <v>0</v>
      </c>
      <c r="H126" s="219">
        <v>0</v>
      </c>
      <c r="I126" s="219">
        <v>0</v>
      </c>
      <c r="J126" s="30">
        <v>25183</v>
      </c>
      <c r="K126" s="31" t="s">
        <v>894</v>
      </c>
      <c r="L126" s="32">
        <v>5600</v>
      </c>
      <c r="M126" s="215"/>
      <c r="N126" s="216"/>
      <c r="O126" s="114">
        <f t="shared" si="7"/>
        <v>0</v>
      </c>
      <c r="P126" s="114">
        <v>0</v>
      </c>
      <c r="Q126" s="36">
        <f t="shared" si="8"/>
        <v>0</v>
      </c>
    </row>
    <row r="127" spans="1:18" ht="22.5" customHeight="1" x14ac:dyDescent="0.5">
      <c r="A127" s="23">
        <v>14</v>
      </c>
      <c r="B127" s="73" t="s">
        <v>266</v>
      </c>
      <c r="C127" s="25" t="s">
        <v>267</v>
      </c>
      <c r="D127" s="43">
        <v>5600</v>
      </c>
      <c r="E127" s="212"/>
      <c r="F127" s="213"/>
      <c r="G127" s="219">
        <v>0</v>
      </c>
      <c r="H127" s="219">
        <v>0</v>
      </c>
      <c r="I127" s="219">
        <v>0</v>
      </c>
      <c r="J127" s="30">
        <v>25180</v>
      </c>
      <c r="K127" s="31" t="s">
        <v>895</v>
      </c>
      <c r="L127" s="32">
        <v>5600</v>
      </c>
      <c r="M127" s="297"/>
      <c r="N127" s="216"/>
      <c r="O127" s="114">
        <f t="shared" si="7"/>
        <v>0</v>
      </c>
      <c r="P127" s="114">
        <v>0</v>
      </c>
      <c r="Q127" s="36">
        <f t="shared" si="8"/>
        <v>0</v>
      </c>
    </row>
    <row r="128" spans="1:18" ht="22.5" customHeight="1" x14ac:dyDescent="0.5">
      <c r="A128" s="23"/>
      <c r="B128" s="301" t="s">
        <v>269</v>
      </c>
      <c r="C128" s="25"/>
      <c r="D128" s="43"/>
      <c r="E128" s="302"/>
      <c r="F128" s="303"/>
      <c r="G128" s="304">
        <v>0</v>
      </c>
      <c r="H128" s="304">
        <v>0</v>
      </c>
      <c r="I128" s="304">
        <v>0</v>
      </c>
      <c r="J128" s="30"/>
      <c r="K128" s="31"/>
      <c r="L128" s="32"/>
      <c r="M128" s="297"/>
      <c r="N128" s="216"/>
      <c r="O128" s="114">
        <f t="shared" si="7"/>
        <v>0</v>
      </c>
      <c r="P128" s="114">
        <v>0</v>
      </c>
      <c r="Q128" s="36">
        <f t="shared" si="8"/>
        <v>0</v>
      </c>
    </row>
    <row r="129" spans="1:19" ht="22.5" customHeight="1" x14ac:dyDescent="0.5">
      <c r="A129" s="23">
        <v>1</v>
      </c>
      <c r="B129" s="73" t="s">
        <v>270</v>
      </c>
      <c r="C129" s="25" t="s">
        <v>271</v>
      </c>
      <c r="D129" s="43">
        <v>9450</v>
      </c>
      <c r="E129" s="212"/>
      <c r="F129" s="213"/>
      <c r="G129" s="219">
        <v>0</v>
      </c>
      <c r="H129" s="219">
        <v>0</v>
      </c>
      <c r="I129" s="219">
        <v>0</v>
      </c>
      <c r="J129" s="30">
        <v>25176</v>
      </c>
      <c r="K129" s="31" t="s">
        <v>896</v>
      </c>
      <c r="L129" s="32">
        <v>9450</v>
      </c>
      <c r="M129" s="307"/>
      <c r="N129" s="308"/>
      <c r="O129" s="114">
        <f t="shared" si="7"/>
        <v>0</v>
      </c>
      <c r="P129" s="114">
        <v>0</v>
      </c>
      <c r="Q129" s="36">
        <f t="shared" si="8"/>
        <v>0</v>
      </c>
    </row>
    <row r="130" spans="1:19" ht="22.5" customHeight="1" x14ac:dyDescent="0.5">
      <c r="A130" s="23">
        <v>2</v>
      </c>
      <c r="B130" s="73" t="s">
        <v>261</v>
      </c>
      <c r="C130" s="25" t="s">
        <v>273</v>
      </c>
      <c r="D130" s="43">
        <v>9450</v>
      </c>
      <c r="E130" s="212"/>
      <c r="F130" s="213"/>
      <c r="G130" s="219">
        <v>0</v>
      </c>
      <c r="H130" s="219">
        <v>0</v>
      </c>
      <c r="I130" s="219">
        <v>0</v>
      </c>
      <c r="J130" s="30">
        <v>25183</v>
      </c>
      <c r="K130" s="31" t="s">
        <v>894</v>
      </c>
      <c r="L130" s="32">
        <v>9450</v>
      </c>
      <c r="M130" s="215"/>
      <c r="N130" s="216"/>
      <c r="O130" s="114">
        <f t="shared" si="7"/>
        <v>0</v>
      </c>
      <c r="P130" s="114">
        <v>0</v>
      </c>
      <c r="Q130" s="36">
        <f t="shared" si="8"/>
        <v>0</v>
      </c>
    </row>
    <row r="131" spans="1:19" ht="22.5" customHeight="1" x14ac:dyDescent="0.5">
      <c r="A131" s="23">
        <v>3</v>
      </c>
      <c r="B131" s="73" t="s">
        <v>274</v>
      </c>
      <c r="C131" s="25" t="s">
        <v>275</v>
      </c>
      <c r="D131" s="43">
        <v>3150</v>
      </c>
      <c r="E131" s="212"/>
      <c r="F131" s="213"/>
      <c r="G131" s="219">
        <v>0</v>
      </c>
      <c r="H131" s="219">
        <v>0</v>
      </c>
      <c r="I131" s="219">
        <v>0</v>
      </c>
      <c r="J131" s="30">
        <v>25180</v>
      </c>
      <c r="K131" s="31" t="s">
        <v>897</v>
      </c>
      <c r="L131" s="32">
        <v>3150</v>
      </c>
      <c r="M131" s="297"/>
      <c r="N131" s="216"/>
      <c r="O131" s="114">
        <f t="shared" si="7"/>
        <v>0</v>
      </c>
      <c r="P131" s="114">
        <v>0</v>
      </c>
      <c r="Q131" s="36">
        <f t="shared" si="8"/>
        <v>0</v>
      </c>
      <c r="R131" s="2"/>
    </row>
    <row r="132" spans="1:19" ht="22.5" customHeight="1" x14ac:dyDescent="0.5">
      <c r="A132" s="23">
        <v>4</v>
      </c>
      <c r="B132" s="73" t="s">
        <v>277</v>
      </c>
      <c r="C132" s="25" t="s">
        <v>278</v>
      </c>
      <c r="D132" s="43">
        <v>6300</v>
      </c>
      <c r="E132" s="212"/>
      <c r="F132" s="213"/>
      <c r="G132" s="219">
        <v>0</v>
      </c>
      <c r="H132" s="219">
        <v>0</v>
      </c>
      <c r="I132" s="219">
        <v>0</v>
      </c>
      <c r="J132" s="30">
        <v>25175</v>
      </c>
      <c r="K132" s="31" t="s">
        <v>898</v>
      </c>
      <c r="L132" s="32">
        <v>6300</v>
      </c>
      <c r="M132" s="297"/>
      <c r="N132" s="216"/>
      <c r="O132" s="114">
        <f t="shared" si="7"/>
        <v>0</v>
      </c>
      <c r="P132" s="114">
        <v>0</v>
      </c>
      <c r="Q132" s="36">
        <f t="shared" si="8"/>
        <v>0</v>
      </c>
      <c r="R132" s="2"/>
    </row>
    <row r="133" spans="1:19" ht="22.5" customHeight="1" x14ac:dyDescent="0.5">
      <c r="A133" s="23"/>
      <c r="B133" s="301" t="s">
        <v>280</v>
      </c>
      <c r="C133" s="25"/>
      <c r="D133" s="43"/>
      <c r="E133" s="302"/>
      <c r="F133" s="303"/>
      <c r="G133" s="304">
        <v>0</v>
      </c>
      <c r="H133" s="304">
        <v>0</v>
      </c>
      <c r="I133" s="304">
        <v>0</v>
      </c>
      <c r="J133" s="30"/>
      <c r="K133" s="31"/>
      <c r="L133" s="32"/>
      <c r="M133" s="297"/>
      <c r="N133" s="216"/>
      <c r="O133" s="114">
        <f t="shared" si="7"/>
        <v>0</v>
      </c>
      <c r="P133" s="114">
        <v>0</v>
      </c>
      <c r="Q133" s="36">
        <f t="shared" si="8"/>
        <v>0</v>
      </c>
      <c r="R133" s="2"/>
    </row>
    <row r="134" spans="1:19" ht="22.5" customHeight="1" x14ac:dyDescent="0.5">
      <c r="A134" s="23">
        <v>1</v>
      </c>
      <c r="B134" s="73" t="s">
        <v>281</v>
      </c>
      <c r="C134" s="25" t="s">
        <v>282</v>
      </c>
      <c r="D134" s="43">
        <v>5600</v>
      </c>
      <c r="E134" s="212" t="s">
        <v>716</v>
      </c>
      <c r="F134" s="213" t="s">
        <v>115</v>
      </c>
      <c r="G134" s="219">
        <v>11200</v>
      </c>
      <c r="H134" s="219">
        <v>0</v>
      </c>
      <c r="I134" s="219">
        <v>11200</v>
      </c>
      <c r="J134" s="30"/>
      <c r="K134" s="31"/>
      <c r="L134" s="32"/>
      <c r="M134" s="215" t="s">
        <v>899</v>
      </c>
      <c r="N134" s="216" t="s">
        <v>284</v>
      </c>
      <c r="O134" s="114">
        <f t="shared" si="7"/>
        <v>16800</v>
      </c>
      <c r="P134" s="114">
        <v>0</v>
      </c>
      <c r="Q134" s="36">
        <f t="shared" si="8"/>
        <v>16800</v>
      </c>
      <c r="R134" s="2"/>
    </row>
    <row r="135" spans="1:19" ht="22.5" customHeight="1" x14ac:dyDescent="0.5">
      <c r="A135" s="23">
        <v>2</v>
      </c>
      <c r="B135" s="73" t="s">
        <v>287</v>
      </c>
      <c r="C135" s="25" t="s">
        <v>288</v>
      </c>
      <c r="D135" s="43">
        <v>5600</v>
      </c>
      <c r="E135" s="212" t="s">
        <v>805</v>
      </c>
      <c r="F135" s="213" t="s">
        <v>33</v>
      </c>
      <c r="G135" s="219">
        <v>5600</v>
      </c>
      <c r="H135" s="219">
        <v>0</v>
      </c>
      <c r="I135" s="219">
        <v>5600</v>
      </c>
      <c r="J135" s="30">
        <v>25174</v>
      </c>
      <c r="K135" s="31" t="s">
        <v>900</v>
      </c>
      <c r="L135" s="32">
        <v>5600</v>
      </c>
      <c r="M135" s="215">
        <v>25203</v>
      </c>
      <c r="N135" s="216" t="s">
        <v>33</v>
      </c>
      <c r="O135" s="114">
        <f t="shared" si="7"/>
        <v>5600</v>
      </c>
      <c r="P135" s="114">
        <v>0</v>
      </c>
      <c r="Q135" s="36">
        <f t="shared" si="8"/>
        <v>5600</v>
      </c>
      <c r="R135" s="2"/>
    </row>
    <row r="136" spans="1:19" ht="22.5" customHeight="1" x14ac:dyDescent="0.5">
      <c r="A136" s="23">
        <v>3</v>
      </c>
      <c r="B136" s="73" t="s">
        <v>290</v>
      </c>
      <c r="C136" s="25" t="s">
        <v>291</v>
      </c>
      <c r="D136" s="43">
        <v>5600</v>
      </c>
      <c r="E136" s="212"/>
      <c r="F136" s="213"/>
      <c r="G136" s="219">
        <v>0</v>
      </c>
      <c r="H136" s="219">
        <v>0</v>
      </c>
      <c r="I136" s="219">
        <v>0</v>
      </c>
      <c r="J136" s="30">
        <v>25173</v>
      </c>
      <c r="K136" s="31" t="s">
        <v>901</v>
      </c>
      <c r="L136" s="32">
        <v>5600</v>
      </c>
      <c r="M136" s="215"/>
      <c r="N136" s="216"/>
      <c r="O136" s="114">
        <f t="shared" si="7"/>
        <v>0</v>
      </c>
      <c r="P136" s="114">
        <v>0</v>
      </c>
      <c r="Q136" s="36">
        <f t="shared" si="8"/>
        <v>0</v>
      </c>
      <c r="R136" s="2"/>
    </row>
    <row r="137" spans="1:19" ht="22.5" customHeight="1" x14ac:dyDescent="0.5">
      <c r="A137" s="23">
        <v>4</v>
      </c>
      <c r="B137" s="73" t="s">
        <v>293</v>
      </c>
      <c r="C137" s="25" t="s">
        <v>294</v>
      </c>
      <c r="D137" s="43">
        <v>2800</v>
      </c>
      <c r="E137" s="212"/>
      <c r="F137" s="213"/>
      <c r="G137" s="219">
        <v>0</v>
      </c>
      <c r="H137" s="219">
        <v>0</v>
      </c>
      <c r="I137" s="219">
        <v>0</v>
      </c>
      <c r="J137" s="30">
        <v>25176</v>
      </c>
      <c r="K137" s="31" t="s">
        <v>902</v>
      </c>
      <c r="L137" s="32">
        <v>2800</v>
      </c>
      <c r="M137" s="215"/>
      <c r="N137" s="216"/>
      <c r="O137" s="114">
        <f t="shared" si="7"/>
        <v>0</v>
      </c>
      <c r="P137" s="114">
        <v>0</v>
      </c>
      <c r="Q137" s="36">
        <f t="shared" si="8"/>
        <v>0</v>
      </c>
      <c r="R137" s="2"/>
    </row>
    <row r="138" spans="1:19" ht="22.5" customHeight="1" x14ac:dyDescent="0.5">
      <c r="A138" s="23">
        <v>5</v>
      </c>
      <c r="B138" s="73" t="s">
        <v>296</v>
      </c>
      <c r="C138" s="25" t="s">
        <v>297</v>
      </c>
      <c r="D138" s="43">
        <v>5600</v>
      </c>
      <c r="E138" s="212"/>
      <c r="F138" s="213"/>
      <c r="G138" s="219">
        <v>0</v>
      </c>
      <c r="H138" s="219">
        <v>0</v>
      </c>
      <c r="I138" s="219">
        <v>0</v>
      </c>
      <c r="J138" s="30">
        <v>25198</v>
      </c>
      <c r="K138" s="31" t="s">
        <v>903</v>
      </c>
      <c r="L138" s="32">
        <v>5600</v>
      </c>
      <c r="M138" s="297"/>
      <c r="N138" s="216"/>
      <c r="O138" s="114">
        <f t="shared" si="7"/>
        <v>0</v>
      </c>
      <c r="P138" s="114">
        <v>0</v>
      </c>
      <c r="Q138" s="36">
        <f t="shared" si="8"/>
        <v>0</v>
      </c>
      <c r="R138" s="2"/>
      <c r="S138" s="3">
        <v>700</v>
      </c>
    </row>
    <row r="139" spans="1:19" ht="22.5" customHeight="1" x14ac:dyDescent="0.5">
      <c r="A139" s="23"/>
      <c r="B139" s="301" t="s">
        <v>299</v>
      </c>
      <c r="C139" s="25"/>
      <c r="D139" s="43"/>
      <c r="E139" s="302"/>
      <c r="F139" s="303"/>
      <c r="G139" s="304">
        <v>0</v>
      </c>
      <c r="H139" s="304">
        <v>0</v>
      </c>
      <c r="I139" s="304">
        <v>0</v>
      </c>
      <c r="J139" s="30"/>
      <c r="K139" s="31"/>
      <c r="L139" s="32"/>
      <c r="M139" s="297"/>
      <c r="N139" s="216"/>
      <c r="O139" s="114">
        <f t="shared" si="7"/>
        <v>0</v>
      </c>
      <c r="P139" s="114">
        <v>0</v>
      </c>
      <c r="Q139" s="36">
        <f t="shared" si="8"/>
        <v>0</v>
      </c>
      <c r="R139" s="2"/>
    </row>
    <row r="140" spans="1:19" ht="22.5" customHeight="1" x14ac:dyDescent="0.5">
      <c r="A140" s="208">
        <v>1</v>
      </c>
      <c r="B140" s="209" t="s">
        <v>300</v>
      </c>
      <c r="C140" s="210" t="s">
        <v>301</v>
      </c>
      <c r="D140" s="298">
        <v>5600</v>
      </c>
      <c r="E140" s="299" t="s">
        <v>805</v>
      </c>
      <c r="F140" s="300" t="s">
        <v>33</v>
      </c>
      <c r="G140" s="214">
        <v>5600</v>
      </c>
      <c r="H140" s="214">
        <v>0</v>
      </c>
      <c r="I140" s="214">
        <v>5600</v>
      </c>
      <c r="J140" s="30">
        <v>25187</v>
      </c>
      <c r="K140" s="31" t="s">
        <v>904</v>
      </c>
      <c r="L140" s="32">
        <v>5600</v>
      </c>
      <c r="M140" s="215">
        <v>25203</v>
      </c>
      <c r="N140" s="216" t="s">
        <v>33</v>
      </c>
      <c r="O140" s="114">
        <f t="shared" si="7"/>
        <v>5600</v>
      </c>
      <c r="P140" s="114">
        <v>0</v>
      </c>
      <c r="Q140" s="36">
        <f t="shared" si="8"/>
        <v>5600</v>
      </c>
      <c r="R140" s="2"/>
    </row>
    <row r="141" spans="1:19" ht="22.5" customHeight="1" x14ac:dyDescent="0.5">
      <c r="A141" s="208">
        <v>2</v>
      </c>
      <c r="B141" s="209" t="s">
        <v>303</v>
      </c>
      <c r="C141" s="210" t="s">
        <v>304</v>
      </c>
      <c r="D141" s="298">
        <v>2800</v>
      </c>
      <c r="E141" s="299"/>
      <c r="F141" s="300"/>
      <c r="G141" s="214">
        <v>0</v>
      </c>
      <c r="H141" s="214">
        <v>0</v>
      </c>
      <c r="I141" s="214">
        <v>0</v>
      </c>
      <c r="J141" s="30">
        <v>25194</v>
      </c>
      <c r="K141" s="249" t="s">
        <v>905</v>
      </c>
      <c r="L141" s="221">
        <v>2800</v>
      </c>
      <c r="M141" s="215"/>
      <c r="N141" s="216"/>
      <c r="O141" s="114">
        <f t="shared" si="7"/>
        <v>0</v>
      </c>
      <c r="P141" s="114">
        <v>0</v>
      </c>
      <c r="Q141" s="36">
        <f t="shared" si="8"/>
        <v>0</v>
      </c>
      <c r="R141" s="2"/>
    </row>
    <row r="142" spans="1:19" ht="22.5" customHeight="1" x14ac:dyDescent="0.5">
      <c r="A142" s="208">
        <v>3</v>
      </c>
      <c r="B142" s="209" t="s">
        <v>306</v>
      </c>
      <c r="C142" s="210" t="s">
        <v>307</v>
      </c>
      <c r="D142" s="298">
        <v>5600</v>
      </c>
      <c r="E142" s="299"/>
      <c r="F142" s="300"/>
      <c r="G142" s="214">
        <v>0</v>
      </c>
      <c r="H142" s="214">
        <v>0</v>
      </c>
      <c r="I142" s="214">
        <v>0</v>
      </c>
      <c r="J142" s="30">
        <v>25198</v>
      </c>
      <c r="K142" s="31" t="s">
        <v>903</v>
      </c>
      <c r="L142" s="32">
        <v>5600</v>
      </c>
      <c r="M142" s="215"/>
      <c r="N142" s="216"/>
      <c r="O142" s="114">
        <f t="shared" si="7"/>
        <v>0</v>
      </c>
      <c r="P142" s="114">
        <v>0</v>
      </c>
      <c r="Q142" s="36">
        <f t="shared" si="8"/>
        <v>0</v>
      </c>
      <c r="R142" s="218"/>
      <c r="S142" s="309"/>
    </row>
    <row r="143" spans="1:19" ht="22.5" customHeight="1" x14ac:dyDescent="0.5">
      <c r="A143" s="208">
        <v>4</v>
      </c>
      <c r="B143" s="73" t="s">
        <v>308</v>
      </c>
      <c r="C143" s="25" t="s">
        <v>309</v>
      </c>
      <c r="D143" s="43">
        <v>8400</v>
      </c>
      <c r="E143" s="212"/>
      <c r="F143" s="213"/>
      <c r="G143" s="219">
        <v>0</v>
      </c>
      <c r="H143" s="219">
        <v>0</v>
      </c>
      <c r="I143" s="219">
        <v>0</v>
      </c>
      <c r="J143" s="30">
        <v>25183</v>
      </c>
      <c r="K143" s="31" t="s">
        <v>906</v>
      </c>
      <c r="L143" s="32">
        <v>8400</v>
      </c>
      <c r="M143" s="215"/>
      <c r="N143" s="216"/>
      <c r="O143" s="114">
        <f t="shared" si="7"/>
        <v>0</v>
      </c>
      <c r="P143" s="114">
        <v>0</v>
      </c>
      <c r="Q143" s="36">
        <f t="shared" si="8"/>
        <v>0</v>
      </c>
    </row>
    <row r="144" spans="1:19" ht="22.5" customHeight="1" x14ac:dyDescent="0.5">
      <c r="A144" s="208">
        <v>5</v>
      </c>
      <c r="B144" s="73" t="s">
        <v>261</v>
      </c>
      <c r="C144" s="25" t="s">
        <v>311</v>
      </c>
      <c r="D144" s="43">
        <v>2800</v>
      </c>
      <c r="E144" s="212"/>
      <c r="F144" s="213"/>
      <c r="G144" s="219">
        <v>0</v>
      </c>
      <c r="H144" s="219">
        <v>0</v>
      </c>
      <c r="I144" s="219">
        <v>0</v>
      </c>
      <c r="J144" s="30">
        <v>25183</v>
      </c>
      <c r="K144" s="31" t="s">
        <v>894</v>
      </c>
      <c r="L144" s="32">
        <v>2800</v>
      </c>
      <c r="M144" s="215"/>
      <c r="N144" s="216"/>
      <c r="O144" s="114">
        <f t="shared" si="7"/>
        <v>0</v>
      </c>
      <c r="P144" s="114">
        <v>0</v>
      </c>
      <c r="Q144" s="36">
        <f t="shared" si="8"/>
        <v>0</v>
      </c>
    </row>
    <row r="145" spans="1:17" ht="22.5" customHeight="1" x14ac:dyDescent="0.5">
      <c r="A145" s="148">
        <v>6</v>
      </c>
      <c r="B145" s="310" t="s">
        <v>261</v>
      </c>
      <c r="C145" s="311" t="s">
        <v>312</v>
      </c>
      <c r="D145" s="312">
        <v>2800</v>
      </c>
      <c r="E145" s="27"/>
      <c r="F145" s="75"/>
      <c r="G145" s="76">
        <v>0</v>
      </c>
      <c r="H145" s="76">
        <v>0</v>
      </c>
      <c r="I145" s="76">
        <v>0</v>
      </c>
      <c r="J145" s="30">
        <v>25183</v>
      </c>
      <c r="K145" s="31" t="s">
        <v>894</v>
      </c>
      <c r="L145" s="32">
        <v>2800</v>
      </c>
      <c r="M145" s="215"/>
      <c r="N145" s="216"/>
      <c r="O145" s="114">
        <f t="shared" si="7"/>
        <v>0</v>
      </c>
      <c r="P145" s="114">
        <v>0</v>
      </c>
      <c r="Q145" s="36">
        <f t="shared" si="8"/>
        <v>0</v>
      </c>
    </row>
    <row r="146" spans="1:17" ht="22.5" customHeight="1" x14ac:dyDescent="0.5">
      <c r="A146" s="208">
        <v>7</v>
      </c>
      <c r="B146" s="73" t="s">
        <v>313</v>
      </c>
      <c r="C146" s="25" t="s">
        <v>314</v>
      </c>
      <c r="D146" s="43">
        <v>2800</v>
      </c>
      <c r="E146" s="212"/>
      <c r="F146" s="213"/>
      <c r="G146" s="219">
        <v>0</v>
      </c>
      <c r="H146" s="219">
        <v>0</v>
      </c>
      <c r="I146" s="219">
        <v>0</v>
      </c>
      <c r="J146" s="30">
        <v>25195</v>
      </c>
      <c r="K146" s="31" t="s">
        <v>892</v>
      </c>
      <c r="L146" s="32">
        <v>2800</v>
      </c>
      <c r="M146" s="215"/>
      <c r="N146" s="216"/>
      <c r="O146" s="114">
        <f t="shared" si="7"/>
        <v>0</v>
      </c>
      <c r="P146" s="114">
        <v>0</v>
      </c>
      <c r="Q146" s="36">
        <f t="shared" si="8"/>
        <v>0</v>
      </c>
    </row>
    <row r="147" spans="1:17" ht="22.5" customHeight="1" x14ac:dyDescent="0.5">
      <c r="A147" s="23"/>
      <c r="B147" s="301" t="s">
        <v>315</v>
      </c>
      <c r="C147" s="25"/>
      <c r="D147" s="43"/>
      <c r="E147" s="302"/>
      <c r="F147" s="303"/>
      <c r="G147" s="304">
        <v>0</v>
      </c>
      <c r="H147" s="304">
        <v>0</v>
      </c>
      <c r="I147" s="304">
        <v>0</v>
      </c>
      <c r="J147" s="30"/>
      <c r="K147" s="31"/>
      <c r="L147" s="32"/>
      <c r="M147" s="297"/>
      <c r="N147" s="216"/>
      <c r="O147" s="114">
        <f t="shared" si="7"/>
        <v>0</v>
      </c>
      <c r="P147" s="114">
        <v>0</v>
      </c>
      <c r="Q147" s="36">
        <f t="shared" si="8"/>
        <v>0</v>
      </c>
    </row>
    <row r="148" spans="1:17" ht="22.5" customHeight="1" x14ac:dyDescent="0.5">
      <c r="A148" s="23">
        <v>1</v>
      </c>
      <c r="B148" s="73" t="s">
        <v>261</v>
      </c>
      <c r="C148" s="25" t="s">
        <v>316</v>
      </c>
      <c r="D148" s="43">
        <v>2800</v>
      </c>
      <c r="E148" s="212"/>
      <c r="F148" s="213"/>
      <c r="G148" s="219">
        <v>0</v>
      </c>
      <c r="H148" s="219">
        <v>0</v>
      </c>
      <c r="I148" s="219">
        <v>0</v>
      </c>
      <c r="J148" s="30">
        <v>25183</v>
      </c>
      <c r="K148" s="31" t="s">
        <v>894</v>
      </c>
      <c r="L148" s="32">
        <v>2800</v>
      </c>
      <c r="M148" s="215"/>
      <c r="N148" s="216"/>
      <c r="O148" s="114">
        <f t="shared" si="7"/>
        <v>0</v>
      </c>
      <c r="P148" s="114">
        <v>0</v>
      </c>
      <c r="Q148" s="36">
        <f t="shared" si="8"/>
        <v>0</v>
      </c>
    </row>
    <row r="149" spans="1:17" ht="22.5" customHeight="1" x14ac:dyDescent="0.5">
      <c r="A149" s="23">
        <v>2</v>
      </c>
      <c r="B149" s="73" t="s">
        <v>317</v>
      </c>
      <c r="C149" s="25" t="s">
        <v>318</v>
      </c>
      <c r="D149" s="43">
        <v>2800</v>
      </c>
      <c r="E149" s="212"/>
      <c r="F149" s="213"/>
      <c r="G149" s="313">
        <v>0</v>
      </c>
      <c r="H149" s="219">
        <v>0</v>
      </c>
      <c r="I149" s="313">
        <v>0</v>
      </c>
      <c r="J149" s="30">
        <v>25180</v>
      </c>
      <c r="K149" s="31" t="s">
        <v>907</v>
      </c>
      <c r="L149" s="32">
        <v>2800</v>
      </c>
      <c r="M149" s="307"/>
      <c r="N149" s="307"/>
      <c r="O149" s="114">
        <f t="shared" si="7"/>
        <v>0</v>
      </c>
      <c r="P149" s="114">
        <v>0</v>
      </c>
      <c r="Q149" s="36">
        <f t="shared" si="8"/>
        <v>0</v>
      </c>
    </row>
    <row r="150" spans="1:17" ht="22.5" customHeight="1" x14ac:dyDescent="0.5">
      <c r="A150" s="23">
        <v>3</v>
      </c>
      <c r="B150" s="73" t="s">
        <v>320</v>
      </c>
      <c r="C150" s="25" t="s">
        <v>321</v>
      </c>
      <c r="D150" s="43">
        <v>2800</v>
      </c>
      <c r="E150" s="212"/>
      <c r="F150" s="213"/>
      <c r="G150" s="219">
        <v>0</v>
      </c>
      <c r="H150" s="219">
        <v>0</v>
      </c>
      <c r="I150" s="219">
        <v>0</v>
      </c>
      <c r="J150" s="30">
        <v>25198</v>
      </c>
      <c r="K150" s="31" t="s">
        <v>876</v>
      </c>
      <c r="L150" s="32">
        <v>2800</v>
      </c>
      <c r="M150" s="307"/>
      <c r="N150" s="308"/>
      <c r="O150" s="114">
        <f t="shared" si="7"/>
        <v>0</v>
      </c>
      <c r="P150" s="114">
        <v>0</v>
      </c>
      <c r="Q150" s="36">
        <f t="shared" si="8"/>
        <v>0</v>
      </c>
    </row>
    <row r="151" spans="1:17" ht="22.5" customHeight="1" x14ac:dyDescent="0.5">
      <c r="A151" s="23">
        <v>4</v>
      </c>
      <c r="B151" s="73" t="s">
        <v>322</v>
      </c>
      <c r="C151" s="25" t="s">
        <v>323</v>
      </c>
      <c r="D151" s="43">
        <v>5600</v>
      </c>
      <c r="E151" s="212"/>
      <c r="F151" s="213"/>
      <c r="G151" s="219">
        <v>-11200</v>
      </c>
      <c r="H151" s="219">
        <v>0</v>
      </c>
      <c r="I151" s="219">
        <v>-11200</v>
      </c>
      <c r="J151" s="30">
        <v>25201</v>
      </c>
      <c r="K151" s="31" t="s">
        <v>908</v>
      </c>
      <c r="L151" s="32">
        <v>5600</v>
      </c>
      <c r="M151" s="314"/>
      <c r="N151" s="315"/>
      <c r="O151" s="114">
        <f t="shared" si="7"/>
        <v>-11200</v>
      </c>
      <c r="P151" s="114">
        <v>0</v>
      </c>
      <c r="Q151" s="36">
        <f t="shared" si="8"/>
        <v>-11200</v>
      </c>
    </row>
    <row r="152" spans="1:17" ht="22.5" customHeight="1" x14ac:dyDescent="0.5">
      <c r="A152" s="23">
        <v>5</v>
      </c>
      <c r="B152" s="73" t="s">
        <v>293</v>
      </c>
      <c r="C152" s="25" t="s">
        <v>326</v>
      </c>
      <c r="D152" s="43">
        <v>5600</v>
      </c>
      <c r="E152" s="212"/>
      <c r="F152" s="213"/>
      <c r="G152" s="219">
        <v>0</v>
      </c>
      <c r="H152" s="219">
        <v>0</v>
      </c>
      <c r="I152" s="219">
        <v>0</v>
      </c>
      <c r="J152" s="30">
        <v>25176</v>
      </c>
      <c r="K152" s="31" t="s">
        <v>902</v>
      </c>
      <c r="L152" s="32">
        <v>5600</v>
      </c>
      <c r="M152" s="215"/>
      <c r="N152" s="216"/>
      <c r="O152" s="114">
        <f t="shared" si="7"/>
        <v>0</v>
      </c>
      <c r="P152" s="114">
        <v>0</v>
      </c>
      <c r="Q152" s="36">
        <f t="shared" si="8"/>
        <v>0</v>
      </c>
    </row>
    <row r="153" spans="1:17" ht="22.5" customHeight="1" x14ac:dyDescent="0.5">
      <c r="A153" s="23">
        <v>6</v>
      </c>
      <c r="B153" s="73" t="s">
        <v>293</v>
      </c>
      <c r="C153" s="25" t="s">
        <v>327</v>
      </c>
      <c r="D153" s="43">
        <v>5600</v>
      </c>
      <c r="E153" s="212"/>
      <c r="F153" s="213"/>
      <c r="G153" s="219">
        <v>0</v>
      </c>
      <c r="H153" s="219">
        <v>0</v>
      </c>
      <c r="I153" s="219">
        <v>0</v>
      </c>
      <c r="J153" s="30">
        <v>25176</v>
      </c>
      <c r="K153" s="31" t="s">
        <v>902</v>
      </c>
      <c r="L153" s="32">
        <v>5600</v>
      </c>
      <c r="M153" s="215"/>
      <c r="N153" s="216"/>
      <c r="O153" s="114">
        <f t="shared" si="7"/>
        <v>0</v>
      </c>
      <c r="P153" s="114">
        <v>0</v>
      </c>
      <c r="Q153" s="36">
        <f t="shared" si="8"/>
        <v>0</v>
      </c>
    </row>
    <row r="154" spans="1:17" s="60" customFormat="1" ht="22.5" customHeight="1" thickBot="1" x14ac:dyDescent="0.35">
      <c r="A154" s="317"/>
      <c r="B154" s="317" t="s">
        <v>15</v>
      </c>
      <c r="C154" s="318"/>
      <c r="D154" s="319">
        <f>SUM(D113:D153)</f>
        <v>222950</v>
      </c>
      <c r="E154" s="320"/>
      <c r="F154" s="321"/>
      <c r="G154" s="319">
        <f>SUM(G113:G153)-G151</f>
        <v>79100</v>
      </c>
      <c r="H154" s="319">
        <f>SUM(H113:H153)-H151</f>
        <v>0</v>
      </c>
      <c r="I154" s="319">
        <f>SUM(I113:I153)-I151</f>
        <v>79100</v>
      </c>
      <c r="J154" s="322"/>
      <c r="K154" s="322"/>
      <c r="L154" s="323">
        <f>SUM(L113:L153)</f>
        <v>267750</v>
      </c>
      <c r="M154" s="324"/>
      <c r="N154" s="325"/>
      <c r="O154" s="323">
        <f>SUM(O113:O153)-O151</f>
        <v>34300</v>
      </c>
      <c r="P154" s="323">
        <f>SUM(P113:P153)-P151</f>
        <v>0</v>
      </c>
      <c r="Q154" s="323">
        <f>SUM(Q113:Q153)-Q151</f>
        <v>34300</v>
      </c>
    </row>
    <row r="155" spans="1:17" ht="22.5" customHeight="1" thickTop="1" x14ac:dyDescent="0.5">
      <c r="A155" s="61"/>
      <c r="B155" s="327" t="s">
        <v>328</v>
      </c>
      <c r="C155" s="63"/>
      <c r="D155" s="64"/>
      <c r="E155" s="65"/>
      <c r="F155" s="66"/>
      <c r="G155" s="67"/>
      <c r="H155" s="67"/>
      <c r="I155" s="67"/>
      <c r="J155" s="286"/>
      <c r="K155" s="286"/>
      <c r="L155" s="328"/>
      <c r="M155" s="69"/>
      <c r="N155" s="70"/>
      <c r="O155" s="71"/>
      <c r="P155" s="71"/>
      <c r="Q155" s="72"/>
    </row>
    <row r="156" spans="1:17" ht="22.5" customHeight="1" x14ac:dyDescent="0.5">
      <c r="A156" s="23">
        <v>1</v>
      </c>
      <c r="B156" s="24" t="s">
        <v>329</v>
      </c>
      <c r="C156" s="25" t="s">
        <v>330</v>
      </c>
      <c r="D156" s="43">
        <v>130536.37</v>
      </c>
      <c r="E156" s="212"/>
      <c r="F156" s="213"/>
      <c r="G156" s="219">
        <v>0</v>
      </c>
      <c r="H156" s="329">
        <v>0</v>
      </c>
      <c r="I156" s="329">
        <v>0</v>
      </c>
      <c r="J156" s="30">
        <v>25189</v>
      </c>
      <c r="K156" s="31" t="s">
        <v>909</v>
      </c>
      <c r="L156" s="32">
        <v>130536.37</v>
      </c>
      <c r="M156" s="41"/>
      <c r="N156" s="34"/>
      <c r="O156" s="330">
        <f>SUM(D156+I156-L156)</f>
        <v>0</v>
      </c>
      <c r="P156" s="330">
        <v>0</v>
      </c>
      <c r="Q156" s="36">
        <f>SUM(D156+I156-L156)</f>
        <v>0</v>
      </c>
    </row>
    <row r="157" spans="1:17" ht="22.5" customHeight="1" x14ac:dyDescent="0.5">
      <c r="A157" s="23">
        <v>2</v>
      </c>
      <c r="B157" s="24" t="s">
        <v>329</v>
      </c>
      <c r="C157" s="25" t="s">
        <v>331</v>
      </c>
      <c r="D157" s="64">
        <v>96520.67</v>
      </c>
      <c r="E157" s="212"/>
      <c r="F157" s="213"/>
      <c r="G157" s="219">
        <v>0</v>
      </c>
      <c r="H157" s="329">
        <v>0</v>
      </c>
      <c r="I157" s="329">
        <v>0</v>
      </c>
      <c r="J157" s="30">
        <v>25189</v>
      </c>
      <c r="K157" s="31" t="s">
        <v>910</v>
      </c>
      <c r="L157" s="32">
        <v>96520.67</v>
      </c>
      <c r="M157" s="41"/>
      <c r="N157" s="34"/>
      <c r="O157" s="330">
        <f t="shared" ref="O157:O163" si="9">SUM(D157+I157-L157)</f>
        <v>0</v>
      </c>
      <c r="P157" s="330">
        <v>0</v>
      </c>
      <c r="Q157" s="36">
        <f t="shared" ref="Q157:Q163" si="10">SUM(D157+I157-L157)</f>
        <v>0</v>
      </c>
    </row>
    <row r="158" spans="1:17" ht="22.5" customHeight="1" x14ac:dyDescent="0.5">
      <c r="A158" s="23">
        <v>3</v>
      </c>
      <c r="B158" s="24" t="s">
        <v>332</v>
      </c>
      <c r="C158" s="25" t="s">
        <v>333</v>
      </c>
      <c r="D158" s="43">
        <v>63810</v>
      </c>
      <c r="E158" s="212"/>
      <c r="F158" s="213"/>
      <c r="G158" s="329">
        <v>0</v>
      </c>
      <c r="H158" s="329">
        <v>0</v>
      </c>
      <c r="I158" s="329">
        <v>0</v>
      </c>
      <c r="J158" s="30">
        <v>25174</v>
      </c>
      <c r="K158" s="31" t="s">
        <v>911</v>
      </c>
      <c r="L158" s="32">
        <v>63810</v>
      </c>
      <c r="M158" s="41"/>
      <c r="N158" s="34"/>
      <c r="O158" s="330">
        <f t="shared" si="9"/>
        <v>0</v>
      </c>
      <c r="P158" s="330">
        <v>0</v>
      </c>
      <c r="Q158" s="36">
        <f t="shared" si="10"/>
        <v>0</v>
      </c>
    </row>
    <row r="159" spans="1:17" ht="22.5" customHeight="1" x14ac:dyDescent="0.5">
      <c r="A159" s="331">
        <v>4</v>
      </c>
      <c r="B159" s="332" t="s">
        <v>335</v>
      </c>
      <c r="C159" s="81" t="s">
        <v>336</v>
      </c>
      <c r="D159" s="333">
        <v>60170</v>
      </c>
      <c r="E159" s="234"/>
      <c r="F159" s="228"/>
      <c r="G159" s="334">
        <v>0</v>
      </c>
      <c r="H159" s="334">
        <v>0</v>
      </c>
      <c r="I159" s="334">
        <v>0</v>
      </c>
      <c r="J159" s="335">
        <v>25190</v>
      </c>
      <c r="K159" s="336" t="s">
        <v>912</v>
      </c>
      <c r="L159" s="337">
        <v>60170</v>
      </c>
      <c r="M159" s="338"/>
      <c r="N159" s="112"/>
      <c r="O159" s="330">
        <f t="shared" si="9"/>
        <v>0</v>
      </c>
      <c r="P159" s="339">
        <v>0</v>
      </c>
      <c r="Q159" s="36">
        <f t="shared" si="10"/>
        <v>0</v>
      </c>
    </row>
    <row r="160" spans="1:17" ht="22.5" customHeight="1" x14ac:dyDescent="0.5">
      <c r="A160" s="23">
        <v>5</v>
      </c>
      <c r="B160" s="24" t="s">
        <v>338</v>
      </c>
      <c r="C160" s="25" t="s">
        <v>339</v>
      </c>
      <c r="D160" s="341">
        <v>23527.65</v>
      </c>
      <c r="E160" s="212"/>
      <c r="F160" s="213"/>
      <c r="G160" s="219">
        <v>0</v>
      </c>
      <c r="H160" s="329">
        <v>0</v>
      </c>
      <c r="I160" s="329">
        <v>0</v>
      </c>
      <c r="J160" s="335">
        <v>25180</v>
      </c>
      <c r="K160" s="336" t="s">
        <v>913</v>
      </c>
      <c r="L160" s="342">
        <v>23527.65</v>
      </c>
      <c r="M160" s="41"/>
      <c r="N160" s="34"/>
      <c r="O160" s="330">
        <f t="shared" si="9"/>
        <v>0</v>
      </c>
      <c r="P160" s="330">
        <v>0</v>
      </c>
      <c r="Q160" s="36">
        <f t="shared" si="10"/>
        <v>0</v>
      </c>
    </row>
    <row r="161" spans="1:17" ht="22.5" customHeight="1" x14ac:dyDescent="0.5">
      <c r="A161" s="61">
        <v>6</v>
      </c>
      <c r="B161" s="343" t="s">
        <v>341</v>
      </c>
      <c r="C161" s="165" t="s">
        <v>342</v>
      </c>
      <c r="D161" s="344">
        <v>20715.32</v>
      </c>
      <c r="E161" s="167"/>
      <c r="F161" s="213"/>
      <c r="G161" s="219">
        <v>0</v>
      </c>
      <c r="H161" s="329">
        <v>0</v>
      </c>
      <c r="I161" s="329">
        <v>0</v>
      </c>
      <c r="J161" s="345">
        <v>25197</v>
      </c>
      <c r="K161" s="346" t="s">
        <v>914</v>
      </c>
      <c r="L161" s="347">
        <v>20715.32</v>
      </c>
      <c r="M161" s="41"/>
      <c r="N161" s="34"/>
      <c r="O161" s="330">
        <f t="shared" si="9"/>
        <v>0</v>
      </c>
      <c r="P161" s="330">
        <v>0</v>
      </c>
      <c r="Q161" s="36">
        <f t="shared" si="10"/>
        <v>0</v>
      </c>
    </row>
    <row r="162" spans="1:17" ht="22.5" customHeight="1" x14ac:dyDescent="0.5">
      <c r="A162" s="331">
        <v>7</v>
      </c>
      <c r="B162" s="332" t="s">
        <v>344</v>
      </c>
      <c r="C162" s="81" t="s">
        <v>345</v>
      </c>
      <c r="D162" s="348">
        <v>21986</v>
      </c>
      <c r="E162" s="349"/>
      <c r="F162" s="213"/>
      <c r="G162" s="219">
        <v>0</v>
      </c>
      <c r="H162" s="329">
        <v>0</v>
      </c>
      <c r="I162" s="329">
        <v>0</v>
      </c>
      <c r="J162" s="182">
        <v>25196</v>
      </c>
      <c r="K162" s="350" t="s">
        <v>915</v>
      </c>
      <c r="L162" s="337">
        <v>21986</v>
      </c>
      <c r="M162" s="41"/>
      <c r="N162" s="34"/>
      <c r="O162" s="330">
        <f t="shared" si="9"/>
        <v>0</v>
      </c>
      <c r="P162" s="339">
        <v>0</v>
      </c>
      <c r="Q162" s="36">
        <f t="shared" si="10"/>
        <v>0</v>
      </c>
    </row>
    <row r="163" spans="1:17" s="356" customFormat="1" ht="22.5" customHeight="1" x14ac:dyDescent="0.5">
      <c r="A163" s="253">
        <v>8</v>
      </c>
      <c r="B163" s="24" t="s">
        <v>347</v>
      </c>
      <c r="C163" s="351" t="s">
        <v>348</v>
      </c>
      <c r="D163" s="352">
        <v>20000</v>
      </c>
      <c r="E163" s="353"/>
      <c r="F163" s="228"/>
      <c r="G163" s="329">
        <v>0</v>
      </c>
      <c r="H163" s="329">
        <v>0</v>
      </c>
      <c r="I163" s="329">
        <v>0</v>
      </c>
      <c r="J163" s="30">
        <v>25197</v>
      </c>
      <c r="K163" s="31" t="s">
        <v>916</v>
      </c>
      <c r="L163" s="32">
        <v>20000</v>
      </c>
      <c r="M163" s="354"/>
      <c r="N163" s="355"/>
      <c r="O163" s="330">
        <f t="shared" si="9"/>
        <v>0</v>
      </c>
      <c r="P163" s="330">
        <v>0</v>
      </c>
      <c r="Q163" s="36">
        <f t="shared" si="10"/>
        <v>0</v>
      </c>
    </row>
    <row r="164" spans="1:17" s="60" customFormat="1" ht="22.5" customHeight="1" thickBot="1" x14ac:dyDescent="0.35">
      <c r="A164" s="317"/>
      <c r="B164" s="317" t="s">
        <v>15</v>
      </c>
      <c r="C164" s="357"/>
      <c r="D164" s="358">
        <f>SUM(D156:D163)</f>
        <v>437266.01</v>
      </c>
      <c r="E164" s="320"/>
      <c r="F164" s="321"/>
      <c r="G164" s="359">
        <f>SUM(G156:G163)</f>
        <v>0</v>
      </c>
      <c r="H164" s="359">
        <f>SUM(H156:H163)</f>
        <v>0</v>
      </c>
      <c r="I164" s="359">
        <f>SUM(I156:I163)</f>
        <v>0</v>
      </c>
      <c r="J164" s="360"/>
      <c r="K164" s="361"/>
      <c r="L164" s="358">
        <f>SUM(L156:L163)</f>
        <v>437266.01</v>
      </c>
      <c r="M164" s="362"/>
      <c r="N164" s="363"/>
      <c r="O164" s="364">
        <f>SUM(O156:O163)</f>
        <v>0</v>
      </c>
      <c r="P164" s="364">
        <f>SUM(P156:P163)</f>
        <v>0</v>
      </c>
      <c r="Q164" s="364">
        <f>SUM(Q156:Q163)</f>
        <v>0</v>
      </c>
    </row>
    <row r="165" spans="1:17" ht="22.5" customHeight="1" thickTop="1" x14ac:dyDescent="0.3">
      <c r="A165" s="115"/>
      <c r="B165" s="164" t="s">
        <v>350</v>
      </c>
      <c r="C165" s="366"/>
      <c r="D165" s="86"/>
      <c r="E165" s="167"/>
      <c r="F165" s="168"/>
      <c r="G165" s="255"/>
      <c r="H165" s="255"/>
      <c r="I165" s="255"/>
      <c r="J165" s="367"/>
      <c r="K165" s="368"/>
      <c r="L165" s="369"/>
      <c r="M165" s="117"/>
      <c r="N165" s="118"/>
      <c r="O165" s="172"/>
      <c r="P165" s="172"/>
      <c r="Q165" s="370"/>
    </row>
    <row r="166" spans="1:17" ht="22.5" customHeight="1" x14ac:dyDescent="0.5">
      <c r="A166" s="23">
        <v>1</v>
      </c>
      <c r="B166" s="290" t="s">
        <v>147</v>
      </c>
      <c r="C166" s="371" t="s">
        <v>351</v>
      </c>
      <c r="D166" s="43">
        <v>1400</v>
      </c>
      <c r="E166" s="212"/>
      <c r="F166" s="213"/>
      <c r="G166" s="219">
        <v>0</v>
      </c>
      <c r="H166" s="219">
        <v>0</v>
      </c>
      <c r="I166" s="219">
        <v>0</v>
      </c>
      <c r="J166" s="30">
        <v>25180</v>
      </c>
      <c r="K166" s="220" t="s">
        <v>923</v>
      </c>
      <c r="L166" s="221">
        <v>1400</v>
      </c>
      <c r="M166" s="372"/>
      <c r="N166" s="373"/>
      <c r="O166" s="114">
        <f t="shared" ref="O166:O171" si="11">SUM(D166+I166-L166)</f>
        <v>0</v>
      </c>
      <c r="P166" s="114">
        <v>0</v>
      </c>
      <c r="Q166" s="36">
        <f t="shared" ref="Q166:Q171" si="12">SUM(O166)</f>
        <v>0</v>
      </c>
    </row>
    <row r="167" spans="1:17" ht="22.5" customHeight="1" x14ac:dyDescent="0.5">
      <c r="A167" s="23">
        <v>2</v>
      </c>
      <c r="B167" s="290" t="s">
        <v>353</v>
      </c>
      <c r="C167" s="371" t="s">
        <v>354</v>
      </c>
      <c r="D167" s="43">
        <v>11000</v>
      </c>
      <c r="E167" s="212"/>
      <c r="F167" s="213"/>
      <c r="G167" s="219">
        <v>0</v>
      </c>
      <c r="H167" s="219">
        <v>1</v>
      </c>
      <c r="I167" s="219">
        <v>0</v>
      </c>
      <c r="J167" s="30">
        <v>25201</v>
      </c>
      <c r="K167" s="220" t="s">
        <v>924</v>
      </c>
      <c r="L167" s="221">
        <v>11000</v>
      </c>
      <c r="M167" s="215"/>
      <c r="N167" s="216"/>
      <c r="O167" s="114">
        <f t="shared" si="11"/>
        <v>0</v>
      </c>
      <c r="P167" s="114">
        <v>1</v>
      </c>
      <c r="Q167" s="36">
        <f t="shared" si="12"/>
        <v>0</v>
      </c>
    </row>
    <row r="168" spans="1:17" ht="22.5" customHeight="1" x14ac:dyDescent="0.5">
      <c r="A168" s="23">
        <v>3</v>
      </c>
      <c r="B168" s="290" t="s">
        <v>355</v>
      </c>
      <c r="C168" s="371" t="s">
        <v>356</v>
      </c>
      <c r="D168" s="43">
        <v>9400</v>
      </c>
      <c r="E168" s="212" t="s">
        <v>805</v>
      </c>
      <c r="F168" s="213" t="s">
        <v>33</v>
      </c>
      <c r="G168" s="219">
        <v>9400</v>
      </c>
      <c r="H168" s="219">
        <v>2</v>
      </c>
      <c r="I168" s="219">
        <v>9400</v>
      </c>
      <c r="J168" s="30">
        <v>25196</v>
      </c>
      <c r="K168" s="220" t="s">
        <v>925</v>
      </c>
      <c r="L168" s="221">
        <v>9400</v>
      </c>
      <c r="M168" s="215">
        <v>25203</v>
      </c>
      <c r="N168" s="216" t="s">
        <v>33</v>
      </c>
      <c r="O168" s="114">
        <f t="shared" si="11"/>
        <v>9400</v>
      </c>
      <c r="P168" s="114">
        <v>2</v>
      </c>
      <c r="Q168" s="36">
        <f t="shared" si="12"/>
        <v>9400</v>
      </c>
    </row>
    <row r="169" spans="1:17" ht="22.5" customHeight="1" x14ac:dyDescent="0.5">
      <c r="A169" s="331">
        <v>5</v>
      </c>
      <c r="B169" s="374" t="s">
        <v>358</v>
      </c>
      <c r="C169" s="375" t="s">
        <v>356</v>
      </c>
      <c r="D169" s="79">
        <v>9810</v>
      </c>
      <c r="E169" s="234" t="s">
        <v>805</v>
      </c>
      <c r="F169" s="228" t="s">
        <v>33</v>
      </c>
      <c r="G169" s="219">
        <v>9810</v>
      </c>
      <c r="H169" s="219">
        <v>3</v>
      </c>
      <c r="I169" s="219">
        <v>9810</v>
      </c>
      <c r="J169" s="38">
        <v>25203</v>
      </c>
      <c r="K169" s="376" t="s">
        <v>926</v>
      </c>
      <c r="L169" s="246">
        <v>9810</v>
      </c>
      <c r="M169" s="215">
        <v>25203</v>
      </c>
      <c r="N169" s="216" t="s">
        <v>33</v>
      </c>
      <c r="O169" s="114">
        <f t="shared" si="11"/>
        <v>9810</v>
      </c>
      <c r="P169" s="114">
        <v>3</v>
      </c>
      <c r="Q169" s="36">
        <f t="shared" si="12"/>
        <v>9810</v>
      </c>
    </row>
    <row r="170" spans="1:17" ht="22.5" customHeight="1" x14ac:dyDescent="0.5">
      <c r="A170" s="377">
        <v>6</v>
      </c>
      <c r="B170" s="378" t="s">
        <v>359</v>
      </c>
      <c r="C170" s="311" t="s">
        <v>360</v>
      </c>
      <c r="D170" s="379">
        <v>6000</v>
      </c>
      <c r="E170" s="380"/>
      <c r="F170" s="75"/>
      <c r="G170" s="76">
        <v>0</v>
      </c>
      <c r="H170" s="219">
        <v>4</v>
      </c>
      <c r="I170" s="76">
        <v>0</v>
      </c>
      <c r="J170" s="38">
        <v>25175</v>
      </c>
      <c r="K170" s="376" t="s">
        <v>927</v>
      </c>
      <c r="L170" s="246">
        <v>6000</v>
      </c>
      <c r="M170" s="247"/>
      <c r="N170" s="248"/>
      <c r="O170" s="114">
        <f t="shared" si="11"/>
        <v>0</v>
      </c>
      <c r="P170" s="114">
        <v>4</v>
      </c>
      <c r="Q170" s="36">
        <f t="shared" si="12"/>
        <v>0</v>
      </c>
    </row>
    <row r="171" spans="1:17" ht="22.5" customHeight="1" x14ac:dyDescent="0.5">
      <c r="A171" s="381">
        <v>7</v>
      </c>
      <c r="B171" s="149" t="s">
        <v>281</v>
      </c>
      <c r="C171" s="311" t="s">
        <v>360</v>
      </c>
      <c r="D171" s="382">
        <v>3000</v>
      </c>
      <c r="E171" s="96" t="s">
        <v>787</v>
      </c>
      <c r="F171" s="97" t="s">
        <v>284</v>
      </c>
      <c r="G171" s="76">
        <v>9000</v>
      </c>
      <c r="H171" s="219">
        <v>5</v>
      </c>
      <c r="I171" s="76">
        <v>9000</v>
      </c>
      <c r="J171" s="30">
        <v>25183</v>
      </c>
      <c r="K171" s="31" t="s">
        <v>928</v>
      </c>
      <c r="L171" s="32">
        <v>6000</v>
      </c>
      <c r="M171" s="215" t="s">
        <v>872</v>
      </c>
      <c r="N171" s="216" t="s">
        <v>115</v>
      </c>
      <c r="O171" s="114">
        <f t="shared" si="11"/>
        <v>6000</v>
      </c>
      <c r="P171" s="114">
        <v>5</v>
      </c>
      <c r="Q171" s="36">
        <f t="shared" si="12"/>
        <v>6000</v>
      </c>
    </row>
    <row r="172" spans="1:17" s="60" customFormat="1" ht="22.5" customHeight="1" thickBot="1" x14ac:dyDescent="0.35">
      <c r="A172" s="317"/>
      <c r="B172" s="317" t="s">
        <v>15</v>
      </c>
      <c r="C172" s="357"/>
      <c r="D172" s="383">
        <f>SUM(D166:D171)</f>
        <v>40610</v>
      </c>
      <c r="E172" s="320"/>
      <c r="F172" s="321"/>
      <c r="G172" s="383">
        <f>SUM(G166:G171)</f>
        <v>28210</v>
      </c>
      <c r="H172" s="383">
        <f>SUM(H166:H171)</f>
        <v>15</v>
      </c>
      <c r="I172" s="383">
        <f>SUM(I166:I171)</f>
        <v>28210</v>
      </c>
      <c r="J172" s="384"/>
      <c r="K172" s="384"/>
      <c r="L172" s="359">
        <f>SUM(L166:L171)</f>
        <v>43610</v>
      </c>
      <c r="M172" s="317"/>
      <c r="N172" s="321"/>
      <c r="O172" s="385">
        <f>SUM(O166:O171)</f>
        <v>25210</v>
      </c>
      <c r="P172" s="385">
        <v>0</v>
      </c>
      <c r="Q172" s="386">
        <f>SUM(Q166:Q171)</f>
        <v>25210</v>
      </c>
    </row>
    <row r="173" spans="1:17" ht="22.5" customHeight="1" thickTop="1" x14ac:dyDescent="0.3">
      <c r="A173" s="61"/>
      <c r="B173" s="62" t="s">
        <v>363</v>
      </c>
      <c r="C173" s="63"/>
      <c r="D173" s="64"/>
      <c r="E173" s="65"/>
      <c r="F173" s="66"/>
      <c r="G173" s="67"/>
      <c r="H173" s="67"/>
      <c r="I173" s="67"/>
      <c r="J173" s="286"/>
      <c r="K173" s="286"/>
      <c r="L173" s="328"/>
      <c r="M173" s="69"/>
      <c r="N173" s="70"/>
      <c r="O173" s="71"/>
      <c r="P173" s="71"/>
      <c r="Q173" s="387"/>
    </row>
    <row r="174" spans="1:17" ht="22.5" customHeight="1" x14ac:dyDescent="0.5">
      <c r="A174" s="208">
        <v>1</v>
      </c>
      <c r="B174" s="73" t="s">
        <v>364</v>
      </c>
      <c r="C174" s="25" t="s">
        <v>365</v>
      </c>
      <c r="D174" s="43">
        <v>10000</v>
      </c>
      <c r="E174" s="212"/>
      <c r="F174" s="228"/>
      <c r="G174" s="219">
        <v>0</v>
      </c>
      <c r="H174" s="219">
        <v>0</v>
      </c>
      <c r="I174" s="219">
        <v>0</v>
      </c>
      <c r="J174" s="30">
        <v>25195</v>
      </c>
      <c r="K174" s="31" t="s">
        <v>917</v>
      </c>
      <c r="L174" s="32">
        <v>10000</v>
      </c>
      <c r="M174" s="41"/>
      <c r="N174" s="34"/>
      <c r="O174" s="114">
        <f>SUM(D174+I174-L174)</f>
        <v>0</v>
      </c>
      <c r="P174" s="114">
        <v>0</v>
      </c>
      <c r="Q174" s="36">
        <f>SUM(O174)</f>
        <v>0</v>
      </c>
    </row>
    <row r="175" spans="1:17" ht="22.5" customHeight="1" x14ac:dyDescent="0.5">
      <c r="A175" s="208">
        <v>2</v>
      </c>
      <c r="B175" s="290" t="s">
        <v>367</v>
      </c>
      <c r="C175" s="25" t="s">
        <v>368</v>
      </c>
      <c r="D175" s="388">
        <v>5000</v>
      </c>
      <c r="E175" s="212"/>
      <c r="F175" s="228"/>
      <c r="G175" s="389">
        <v>0</v>
      </c>
      <c r="H175" s="219">
        <v>0</v>
      </c>
      <c r="I175" s="219">
        <v>0</v>
      </c>
      <c r="J175" s="250">
        <v>25181</v>
      </c>
      <c r="K175" s="251" t="s">
        <v>918</v>
      </c>
      <c r="L175" s="390">
        <v>5000</v>
      </c>
      <c r="M175" s="41"/>
      <c r="N175" s="34"/>
      <c r="O175" s="114">
        <f t="shared" ref="O175:O181" si="13">SUM(D175+I175-L175)</f>
        <v>0</v>
      </c>
      <c r="P175" s="114">
        <v>0</v>
      </c>
      <c r="Q175" s="36">
        <f t="shared" ref="Q175:Q181" si="14">SUM(O175)</f>
        <v>0</v>
      </c>
    </row>
    <row r="176" spans="1:17" ht="22.5" customHeight="1" x14ac:dyDescent="0.5">
      <c r="A176" s="391">
        <v>3</v>
      </c>
      <c r="B176" s="392" t="s">
        <v>370</v>
      </c>
      <c r="C176" s="63" t="s">
        <v>371</v>
      </c>
      <c r="D176" s="393">
        <v>12000</v>
      </c>
      <c r="E176" s="394"/>
      <c r="F176" s="395"/>
      <c r="G176" s="396">
        <v>0</v>
      </c>
      <c r="H176" s="397">
        <v>0</v>
      </c>
      <c r="I176" s="67">
        <v>0</v>
      </c>
      <c r="J176" s="30">
        <v>25190</v>
      </c>
      <c r="K176" s="31" t="s">
        <v>919</v>
      </c>
      <c r="L176" s="32">
        <v>12000</v>
      </c>
      <c r="M176" s="41"/>
      <c r="N176" s="34"/>
      <c r="O176" s="114">
        <f t="shared" si="13"/>
        <v>0</v>
      </c>
      <c r="P176" s="114">
        <v>0</v>
      </c>
      <c r="Q176" s="36">
        <f t="shared" si="14"/>
        <v>0</v>
      </c>
    </row>
    <row r="177" spans="1:17" ht="22.5" customHeight="1" x14ac:dyDescent="0.3">
      <c r="A177" s="253">
        <v>4</v>
      </c>
      <c r="B177" s="398" t="s">
        <v>373</v>
      </c>
      <c r="C177" s="165" t="s">
        <v>374</v>
      </c>
      <c r="D177" s="166">
        <v>4100</v>
      </c>
      <c r="E177" s="394"/>
      <c r="F177" s="395"/>
      <c r="G177" s="396">
        <v>0</v>
      </c>
      <c r="H177" s="397">
        <v>0</v>
      </c>
      <c r="I177" s="397">
        <v>0</v>
      </c>
      <c r="J177" s="399">
        <v>25173</v>
      </c>
      <c r="K177" s="400" t="s">
        <v>920</v>
      </c>
      <c r="L177" s="401">
        <v>4100</v>
      </c>
      <c r="M177" s="41"/>
      <c r="N177" s="34"/>
      <c r="O177" s="114">
        <f t="shared" si="13"/>
        <v>0</v>
      </c>
      <c r="P177" s="114">
        <v>0</v>
      </c>
      <c r="Q177" s="36">
        <f t="shared" si="14"/>
        <v>0</v>
      </c>
    </row>
    <row r="178" spans="1:17" ht="22.5" customHeight="1" x14ac:dyDescent="0.5">
      <c r="A178" s="253">
        <v>5</v>
      </c>
      <c r="B178" s="402" t="s">
        <v>376</v>
      </c>
      <c r="C178" s="403" t="s">
        <v>377</v>
      </c>
      <c r="D178" s="166">
        <v>1850</v>
      </c>
      <c r="E178" s="65"/>
      <c r="F178" s="168"/>
      <c r="G178" s="404">
        <v>0</v>
      </c>
      <c r="H178" s="67">
        <v>0</v>
      </c>
      <c r="I178" s="67">
        <v>0</v>
      </c>
      <c r="J178" s="30">
        <v>25180</v>
      </c>
      <c r="K178" s="31" t="s">
        <v>921</v>
      </c>
      <c r="L178" s="32">
        <v>1850</v>
      </c>
      <c r="M178" s="41"/>
      <c r="N178" s="34"/>
      <c r="O178" s="114">
        <f t="shared" si="13"/>
        <v>0</v>
      </c>
      <c r="P178" s="114">
        <v>0</v>
      </c>
      <c r="Q178" s="36">
        <f t="shared" si="14"/>
        <v>0</v>
      </c>
    </row>
    <row r="179" spans="1:17" ht="22.5" customHeight="1" x14ac:dyDescent="0.5">
      <c r="A179" s="253">
        <v>6</v>
      </c>
      <c r="B179" s="378" t="s">
        <v>380</v>
      </c>
      <c r="C179" s="405" t="s">
        <v>381</v>
      </c>
      <c r="D179" s="166">
        <v>0</v>
      </c>
      <c r="E179" s="65"/>
      <c r="F179" s="168"/>
      <c r="G179" s="404">
        <v>0</v>
      </c>
      <c r="H179" s="67">
        <v>0</v>
      </c>
      <c r="I179" s="67">
        <v>0</v>
      </c>
      <c r="J179" s="30"/>
      <c r="K179" s="31"/>
      <c r="L179" s="32"/>
      <c r="M179" s="41"/>
      <c r="N179" s="34"/>
      <c r="O179" s="114">
        <f t="shared" si="13"/>
        <v>0</v>
      </c>
      <c r="P179" s="114">
        <v>0</v>
      </c>
      <c r="Q179" s="36">
        <f t="shared" si="14"/>
        <v>0</v>
      </c>
    </row>
    <row r="180" spans="1:17" ht="22.5" customHeight="1" x14ac:dyDescent="0.5">
      <c r="A180" s="253"/>
      <c r="B180" s="406" t="s">
        <v>382</v>
      </c>
      <c r="C180" s="405"/>
      <c r="D180" s="166"/>
      <c r="E180" s="65"/>
      <c r="F180" s="168"/>
      <c r="G180" s="404">
        <v>0</v>
      </c>
      <c r="H180" s="67"/>
      <c r="I180" s="67">
        <v>0</v>
      </c>
      <c r="J180" s="30"/>
      <c r="K180" s="31"/>
      <c r="L180" s="32"/>
      <c r="M180" s="41"/>
      <c r="N180" s="34"/>
      <c r="O180" s="114">
        <f t="shared" si="13"/>
        <v>0</v>
      </c>
      <c r="P180" s="114"/>
      <c r="Q180" s="36">
        <f t="shared" si="14"/>
        <v>0</v>
      </c>
    </row>
    <row r="181" spans="1:17" ht="22.5" customHeight="1" x14ac:dyDescent="0.5">
      <c r="A181" s="208">
        <v>7</v>
      </c>
      <c r="B181" s="149" t="s">
        <v>383</v>
      </c>
      <c r="C181" s="311" t="s">
        <v>384</v>
      </c>
      <c r="D181" s="166">
        <v>5400</v>
      </c>
      <c r="E181" s="65"/>
      <c r="F181" s="168"/>
      <c r="G181" s="404">
        <v>0</v>
      </c>
      <c r="H181" s="67">
        <v>0</v>
      </c>
      <c r="I181" s="67">
        <v>0</v>
      </c>
      <c r="J181" s="250">
        <v>25176</v>
      </c>
      <c r="K181" s="251" t="s">
        <v>922</v>
      </c>
      <c r="L181" s="390">
        <v>5400</v>
      </c>
      <c r="M181" s="41"/>
      <c r="N181" s="34"/>
      <c r="O181" s="114">
        <f t="shared" si="13"/>
        <v>0</v>
      </c>
      <c r="P181" s="114">
        <v>0</v>
      </c>
      <c r="Q181" s="36">
        <f t="shared" si="14"/>
        <v>0</v>
      </c>
    </row>
    <row r="182" spans="1:17" s="60" customFormat="1" ht="22.5" customHeight="1" thickBot="1" x14ac:dyDescent="0.35">
      <c r="A182" s="317"/>
      <c r="B182" s="317" t="s">
        <v>15</v>
      </c>
      <c r="C182" s="318"/>
      <c r="D182" s="383">
        <v>38350</v>
      </c>
      <c r="E182" s="320"/>
      <c r="F182" s="321"/>
      <c r="G182" s="358">
        <f>SUM(G177:G181)</f>
        <v>0</v>
      </c>
      <c r="H182" s="358">
        <f>SUM(H177:H181)</f>
        <v>0</v>
      </c>
      <c r="I182" s="358">
        <f>SUM(I177:I181)</f>
        <v>0</v>
      </c>
      <c r="J182" s="383"/>
      <c r="K182" s="383">
        <v>0</v>
      </c>
      <c r="L182" s="383">
        <f>SUM(L174:L181)</f>
        <v>38350</v>
      </c>
      <c r="M182" s="407"/>
      <c r="N182" s="321"/>
      <c r="O182" s="323">
        <f>SUM(O174:O181)</f>
        <v>0</v>
      </c>
      <c r="P182" s="323">
        <f>SUM(P174:P181)</f>
        <v>0</v>
      </c>
      <c r="Q182" s="323">
        <f>SUM(Q174:Q181)</f>
        <v>0</v>
      </c>
    </row>
    <row r="183" spans="1:17" ht="22.5" customHeight="1" thickTop="1" x14ac:dyDescent="0.3">
      <c r="A183" s="61"/>
      <c r="B183" s="62" t="s">
        <v>386</v>
      </c>
      <c r="C183" s="63"/>
      <c r="D183" s="64"/>
      <c r="E183" s="65"/>
      <c r="F183" s="66"/>
      <c r="G183" s="67"/>
      <c r="H183" s="67"/>
      <c r="I183" s="67"/>
      <c r="J183" s="68"/>
      <c r="K183" s="68"/>
      <c r="L183" s="64"/>
      <c r="M183" s="69"/>
      <c r="N183" s="70"/>
      <c r="O183" s="71"/>
      <c r="P183" s="71"/>
      <c r="Q183" s="387"/>
    </row>
    <row r="184" spans="1:17" ht="22.5" customHeight="1" x14ac:dyDescent="0.3">
      <c r="A184" s="208">
        <v>1</v>
      </c>
      <c r="B184" s="73" t="s">
        <v>387</v>
      </c>
      <c r="C184" s="25" t="s">
        <v>388</v>
      </c>
      <c r="D184" s="43">
        <v>0</v>
      </c>
      <c r="E184" s="212"/>
      <c r="F184" s="213"/>
      <c r="G184" s="219">
        <v>0</v>
      </c>
      <c r="H184" s="219">
        <v>0</v>
      </c>
      <c r="I184" s="219">
        <v>0</v>
      </c>
      <c r="J184" s="408"/>
      <c r="K184" s="408"/>
      <c r="L184" s="43"/>
      <c r="M184" s="41"/>
      <c r="N184" s="34"/>
      <c r="O184" s="114">
        <v>0</v>
      </c>
      <c r="P184" s="114">
        <v>0</v>
      </c>
      <c r="Q184" s="409">
        <v>0</v>
      </c>
    </row>
    <row r="185" spans="1:17" ht="22.5" customHeight="1" x14ac:dyDescent="0.5">
      <c r="A185" s="208">
        <v>2</v>
      </c>
      <c r="B185" s="290" t="s">
        <v>389</v>
      </c>
      <c r="C185" s="25" t="s">
        <v>390</v>
      </c>
      <c r="D185" s="388">
        <v>3150</v>
      </c>
      <c r="E185" s="212">
        <v>25143</v>
      </c>
      <c r="F185" s="228" t="s">
        <v>33</v>
      </c>
      <c r="G185" s="666">
        <v>3150</v>
      </c>
      <c r="H185" s="219">
        <v>0</v>
      </c>
      <c r="I185" s="219">
        <v>3150</v>
      </c>
      <c r="J185" s="335">
        <v>25176</v>
      </c>
      <c r="K185" s="410" t="s">
        <v>929</v>
      </c>
      <c r="L185" s="411">
        <v>3150</v>
      </c>
      <c r="M185" s="215">
        <v>25203</v>
      </c>
      <c r="N185" s="216" t="s">
        <v>33</v>
      </c>
      <c r="O185" s="114">
        <f>SUM(G185+D185-L185)</f>
        <v>3150</v>
      </c>
      <c r="P185" s="114">
        <v>0</v>
      </c>
      <c r="Q185" s="409">
        <f>SUM(O185)</f>
        <v>3150</v>
      </c>
    </row>
    <row r="186" spans="1:17" s="60" customFormat="1" ht="22.5" customHeight="1" thickBot="1" x14ac:dyDescent="0.35">
      <c r="A186" s="317"/>
      <c r="B186" s="317" t="s">
        <v>15</v>
      </c>
      <c r="C186" s="318"/>
      <c r="D186" s="383">
        <f>SUM(D184:D185)</f>
        <v>3150</v>
      </c>
      <c r="E186" s="320"/>
      <c r="F186" s="321"/>
      <c r="G186" s="358">
        <f>SUM(G184:G185)</f>
        <v>3150</v>
      </c>
      <c r="H186" s="358">
        <f>SUM(H184:H185)</f>
        <v>0</v>
      </c>
      <c r="I186" s="358">
        <f>SUM(I184:I185)</f>
        <v>3150</v>
      </c>
      <c r="J186" s="383"/>
      <c r="K186" s="383">
        <v>0</v>
      </c>
      <c r="L186" s="383">
        <f>SUM(L184:L185)</f>
        <v>3150</v>
      </c>
      <c r="M186" s="407"/>
      <c r="N186" s="321"/>
      <c r="O186" s="323">
        <f>SUM(O184:O185)</f>
        <v>3150</v>
      </c>
      <c r="P186" s="323">
        <v>0</v>
      </c>
      <c r="Q186" s="386">
        <f>SUM(Q184:Q185)</f>
        <v>3150</v>
      </c>
    </row>
    <row r="187" spans="1:17" ht="22.5" customHeight="1" thickTop="1" x14ac:dyDescent="0.3">
      <c r="A187" s="61"/>
      <c r="B187" s="62" t="s">
        <v>392</v>
      </c>
      <c r="C187" s="63" t="s">
        <v>393</v>
      </c>
      <c r="D187" s="64"/>
      <c r="E187" s="65"/>
      <c r="F187" s="66"/>
      <c r="G187" s="67"/>
      <c r="H187" s="67"/>
      <c r="I187" s="67"/>
      <c r="J187" s="68"/>
      <c r="K187" s="68"/>
      <c r="L187" s="64"/>
      <c r="M187" s="69"/>
      <c r="N187" s="70"/>
      <c r="O187" s="71"/>
      <c r="P187" s="71"/>
      <c r="Q187" s="72"/>
    </row>
    <row r="188" spans="1:17" ht="22.5" customHeight="1" x14ac:dyDescent="0.3">
      <c r="A188" s="208"/>
      <c r="B188" s="290" t="s">
        <v>394</v>
      </c>
      <c r="C188" s="25"/>
      <c r="D188" s="388"/>
      <c r="E188" s="212"/>
      <c r="F188" s="228"/>
      <c r="G188" s="389"/>
      <c r="H188" s="219"/>
      <c r="I188" s="219"/>
      <c r="J188" s="303"/>
      <c r="K188" s="303"/>
      <c r="L188" s="388"/>
      <c r="M188" s="33"/>
      <c r="N188" s="112"/>
      <c r="O188" s="114"/>
      <c r="P188" s="114"/>
      <c r="Q188" s="409"/>
    </row>
    <row r="189" spans="1:17" s="60" customFormat="1" ht="22.5" customHeight="1" thickBot="1" x14ac:dyDescent="0.35">
      <c r="A189" s="317"/>
      <c r="B189" s="317" t="s">
        <v>15</v>
      </c>
      <c r="C189" s="318"/>
      <c r="D189" s="383">
        <v>0</v>
      </c>
      <c r="E189" s="320"/>
      <c r="F189" s="321"/>
      <c r="G189" s="358">
        <v>0</v>
      </c>
      <c r="H189" s="358">
        <v>0</v>
      </c>
      <c r="I189" s="358">
        <v>0</v>
      </c>
      <c r="J189" s="383">
        <v>0</v>
      </c>
      <c r="K189" s="383">
        <v>0</v>
      </c>
      <c r="L189" s="383">
        <v>0</v>
      </c>
      <c r="M189" s="407"/>
      <c r="N189" s="321"/>
      <c r="O189" s="323">
        <v>0</v>
      </c>
      <c r="P189" s="323">
        <v>0</v>
      </c>
      <c r="Q189" s="386">
        <v>0</v>
      </c>
    </row>
    <row r="190" spans="1:17" ht="22.5" customHeight="1" thickTop="1" x14ac:dyDescent="0.3">
      <c r="A190" s="115"/>
      <c r="B190" s="412" t="s">
        <v>395</v>
      </c>
      <c r="C190" s="165"/>
      <c r="D190" s="86"/>
      <c r="E190" s="413"/>
      <c r="F190" s="414"/>
      <c r="G190" s="415"/>
      <c r="H190" s="415"/>
      <c r="I190" s="415"/>
      <c r="J190" s="170"/>
      <c r="K190" s="171"/>
      <c r="L190" s="86"/>
      <c r="M190" s="115"/>
      <c r="N190" s="414"/>
      <c r="O190" s="416"/>
      <c r="P190" s="416"/>
      <c r="Q190" s="417"/>
    </row>
    <row r="191" spans="1:17" ht="22.5" customHeight="1" x14ac:dyDescent="0.3">
      <c r="A191" s="115"/>
      <c r="B191" s="412"/>
      <c r="C191" s="165"/>
      <c r="D191" s="86"/>
      <c r="E191" s="413"/>
      <c r="F191" s="414"/>
      <c r="G191" s="415"/>
      <c r="H191" s="415"/>
      <c r="I191" s="415"/>
      <c r="J191" s="170"/>
      <c r="K191" s="171"/>
      <c r="L191" s="86"/>
      <c r="M191" s="115"/>
      <c r="N191" s="414"/>
      <c r="O191" s="416"/>
      <c r="P191" s="416"/>
      <c r="Q191" s="417"/>
    </row>
    <row r="192" spans="1:17" ht="22.5" customHeight="1" x14ac:dyDescent="0.3">
      <c r="A192" s="115"/>
      <c r="B192" s="412"/>
      <c r="C192" s="165"/>
      <c r="D192" s="86"/>
      <c r="E192" s="413"/>
      <c r="F192" s="414"/>
      <c r="G192" s="415"/>
      <c r="H192" s="415"/>
      <c r="I192" s="415"/>
      <c r="J192" s="170"/>
      <c r="K192" s="171"/>
      <c r="L192" s="86"/>
      <c r="M192" s="115"/>
      <c r="N192" s="414"/>
      <c r="O192" s="416"/>
      <c r="P192" s="416"/>
      <c r="Q192" s="417"/>
    </row>
    <row r="193" spans="1:17" s="60" customFormat="1" ht="22.2" customHeight="1" thickBot="1" x14ac:dyDescent="0.35">
      <c r="A193" s="418"/>
      <c r="B193" s="419" t="s">
        <v>15</v>
      </c>
      <c r="C193" s="420"/>
      <c r="D193" s="421">
        <v>0</v>
      </c>
      <c r="E193" s="422"/>
      <c r="F193" s="423"/>
      <c r="G193" s="424"/>
      <c r="H193" s="424"/>
      <c r="I193" s="424"/>
      <c r="J193" s="425"/>
      <c r="K193" s="426"/>
      <c r="L193" s="421">
        <v>0</v>
      </c>
      <c r="M193" s="418"/>
      <c r="N193" s="423"/>
      <c r="O193" s="427">
        <v>0</v>
      </c>
      <c r="P193" s="427">
        <v>0</v>
      </c>
      <c r="Q193" s="428">
        <v>0</v>
      </c>
    </row>
    <row r="194" spans="1:17" ht="22.5" customHeight="1" thickTop="1" x14ac:dyDescent="0.3">
      <c r="A194" s="429"/>
      <c r="B194" s="430"/>
      <c r="C194" s="431"/>
      <c r="D194" s="432"/>
      <c r="E194" s="433"/>
      <c r="F194" s="434"/>
      <c r="G194" s="435"/>
      <c r="H194" s="435"/>
      <c r="I194" s="435"/>
      <c r="J194" s="436"/>
      <c r="K194" s="437"/>
      <c r="L194" s="438"/>
      <c r="M194" s="439"/>
      <c r="N194" s="440"/>
      <c r="O194" s="441"/>
      <c r="P194" s="441"/>
      <c r="Q194" s="442"/>
    </row>
    <row r="195" spans="1:17" ht="22.5" customHeight="1" x14ac:dyDescent="0.3">
      <c r="A195" s="61"/>
      <c r="B195" s="4" t="s">
        <v>396</v>
      </c>
      <c r="C195" s="63"/>
      <c r="D195" s="382"/>
      <c r="E195" s="443"/>
      <c r="F195" s="66"/>
      <c r="G195" s="444"/>
      <c r="H195" s="444"/>
      <c r="I195" s="444"/>
      <c r="J195" s="68"/>
      <c r="K195" s="445"/>
      <c r="L195" s="64"/>
      <c r="M195" s="69"/>
      <c r="N195" s="70"/>
      <c r="O195" s="71"/>
      <c r="P195" s="71"/>
      <c r="Q195" s="387"/>
    </row>
    <row r="196" spans="1:17" ht="22.5" customHeight="1" x14ac:dyDescent="0.5">
      <c r="A196" s="446">
        <v>1</v>
      </c>
      <c r="B196" s="447" t="s">
        <v>398</v>
      </c>
      <c r="C196" s="63"/>
      <c r="D196" s="382"/>
      <c r="E196" s="443" t="s">
        <v>794</v>
      </c>
      <c r="F196" s="66"/>
      <c r="G196" s="448">
        <v>2591.5100000000002</v>
      </c>
      <c r="H196" s="448">
        <v>0</v>
      </c>
      <c r="I196" s="448">
        <v>2591.5100000000002</v>
      </c>
      <c r="J196" s="449">
        <v>25196</v>
      </c>
      <c r="K196" s="450" t="s">
        <v>930</v>
      </c>
      <c r="L196" s="451">
        <v>2591.5100000000002</v>
      </c>
      <c r="M196" s="69"/>
      <c r="N196" s="70"/>
      <c r="O196" s="71">
        <f>SUM(Q196)</f>
        <v>0</v>
      </c>
      <c r="P196" s="71">
        <v>0</v>
      </c>
      <c r="Q196" s="387">
        <f>SUM(D196+I196-L196)</f>
        <v>0</v>
      </c>
    </row>
    <row r="197" spans="1:17" ht="22.5" customHeight="1" x14ac:dyDescent="0.3">
      <c r="A197" s="61"/>
      <c r="B197" s="164" t="s">
        <v>399</v>
      </c>
      <c r="C197" s="63"/>
      <c r="D197" s="382"/>
      <c r="E197" s="443"/>
      <c r="F197" s="66"/>
      <c r="G197" s="444">
        <v>0</v>
      </c>
      <c r="H197" s="444">
        <v>0</v>
      </c>
      <c r="I197" s="444">
        <v>0</v>
      </c>
      <c r="J197" s="68"/>
      <c r="K197" s="445"/>
      <c r="L197" s="64"/>
      <c r="M197" s="69"/>
      <c r="N197" s="70"/>
      <c r="O197" s="71"/>
      <c r="P197" s="71"/>
      <c r="Q197" s="387"/>
    </row>
    <row r="198" spans="1:17" ht="22.5" customHeight="1" x14ac:dyDescent="0.5">
      <c r="A198" s="61">
        <v>1</v>
      </c>
      <c r="B198" s="290" t="s">
        <v>400</v>
      </c>
      <c r="C198" s="25" t="s">
        <v>333</v>
      </c>
      <c r="D198" s="452"/>
      <c r="E198" s="443"/>
      <c r="F198" s="66"/>
      <c r="G198" s="67">
        <v>0</v>
      </c>
      <c r="H198" s="67">
        <v>0</v>
      </c>
      <c r="I198" s="67">
        <v>0</v>
      </c>
      <c r="J198" s="449"/>
      <c r="K198" s="450"/>
      <c r="L198" s="451"/>
      <c r="M198" s="69"/>
      <c r="N198" s="70"/>
      <c r="O198" s="71">
        <f t="shared" ref="O198:O247" si="15">SUM(Q198)</f>
        <v>0</v>
      </c>
      <c r="P198" s="71">
        <v>0</v>
      </c>
      <c r="Q198" s="387">
        <f t="shared" ref="Q198:Q247" si="16">SUM(D198+I198-L198)</f>
        <v>0</v>
      </c>
    </row>
    <row r="199" spans="1:17" ht="22.5" customHeight="1" x14ac:dyDescent="0.5">
      <c r="A199" s="61">
        <v>2</v>
      </c>
      <c r="B199" s="290" t="s">
        <v>401</v>
      </c>
      <c r="C199" s="81" t="s">
        <v>336</v>
      </c>
      <c r="D199" s="452"/>
      <c r="E199" s="443"/>
      <c r="F199" s="66"/>
      <c r="G199" s="67">
        <v>0</v>
      </c>
      <c r="H199" s="67">
        <v>0</v>
      </c>
      <c r="I199" s="67">
        <v>0</v>
      </c>
      <c r="J199" s="449"/>
      <c r="K199" s="450"/>
      <c r="L199" s="451"/>
      <c r="M199" s="69"/>
      <c r="N199" s="70"/>
      <c r="O199" s="71">
        <f t="shared" si="15"/>
        <v>0</v>
      </c>
      <c r="P199" s="71">
        <v>0</v>
      </c>
      <c r="Q199" s="387">
        <f t="shared" si="16"/>
        <v>0</v>
      </c>
    </row>
    <row r="200" spans="1:17" ht="22.5" customHeight="1" x14ac:dyDescent="0.5">
      <c r="A200" s="61">
        <v>3</v>
      </c>
      <c r="B200" s="290" t="s">
        <v>403</v>
      </c>
      <c r="C200" s="25" t="s">
        <v>339</v>
      </c>
      <c r="D200" s="452"/>
      <c r="E200" s="443"/>
      <c r="F200" s="66"/>
      <c r="G200" s="67">
        <v>0</v>
      </c>
      <c r="H200" s="67">
        <v>0</v>
      </c>
      <c r="I200" s="67">
        <v>0</v>
      </c>
      <c r="J200" s="449"/>
      <c r="K200" s="450"/>
      <c r="L200" s="451"/>
      <c r="M200" s="69"/>
      <c r="N200" s="70"/>
      <c r="O200" s="71">
        <f t="shared" si="15"/>
        <v>0</v>
      </c>
      <c r="P200" s="71">
        <v>0</v>
      </c>
      <c r="Q200" s="387">
        <f t="shared" si="16"/>
        <v>0</v>
      </c>
    </row>
    <row r="201" spans="1:17" ht="22.5" customHeight="1" x14ac:dyDescent="0.5">
      <c r="A201" s="61">
        <v>4</v>
      </c>
      <c r="B201" s="290" t="s">
        <v>405</v>
      </c>
      <c r="C201" s="25" t="s">
        <v>406</v>
      </c>
      <c r="D201" s="452"/>
      <c r="E201" s="443"/>
      <c r="F201" s="66"/>
      <c r="G201" s="67">
        <v>0</v>
      </c>
      <c r="H201" s="67">
        <v>0</v>
      </c>
      <c r="I201" s="67">
        <v>0</v>
      </c>
      <c r="J201" s="449"/>
      <c r="K201" s="450"/>
      <c r="L201" s="451"/>
      <c r="M201" s="69"/>
      <c r="N201" s="70"/>
      <c r="O201" s="71">
        <f t="shared" si="15"/>
        <v>0</v>
      </c>
      <c r="P201" s="71">
        <v>0</v>
      </c>
      <c r="Q201" s="387">
        <f t="shared" si="16"/>
        <v>0</v>
      </c>
    </row>
    <row r="202" spans="1:17" ht="22.5" customHeight="1" x14ac:dyDescent="0.5">
      <c r="A202" s="61">
        <v>5</v>
      </c>
      <c r="B202" s="290" t="s">
        <v>407</v>
      </c>
      <c r="C202" s="63" t="s">
        <v>331</v>
      </c>
      <c r="D202" s="452"/>
      <c r="E202" s="443"/>
      <c r="F202" s="66"/>
      <c r="G202" s="67">
        <v>0</v>
      </c>
      <c r="H202" s="67">
        <v>0</v>
      </c>
      <c r="I202" s="67">
        <v>0</v>
      </c>
      <c r="J202" s="449"/>
      <c r="K202" s="450"/>
      <c r="L202" s="451"/>
      <c r="M202" s="69"/>
      <c r="N202" s="70"/>
      <c r="O202" s="71">
        <f t="shared" si="15"/>
        <v>0</v>
      </c>
      <c r="P202" s="71">
        <v>0</v>
      </c>
      <c r="Q202" s="387">
        <f t="shared" si="16"/>
        <v>0</v>
      </c>
    </row>
    <row r="203" spans="1:17" ht="22.5" customHeight="1" x14ac:dyDescent="0.5">
      <c r="A203" s="61">
        <v>6</v>
      </c>
      <c r="B203" s="290" t="s">
        <v>408</v>
      </c>
      <c r="C203" s="63" t="s">
        <v>331</v>
      </c>
      <c r="D203" s="452"/>
      <c r="E203" s="443"/>
      <c r="F203" s="66"/>
      <c r="G203" s="67">
        <v>0</v>
      </c>
      <c r="H203" s="67">
        <v>0</v>
      </c>
      <c r="I203" s="67">
        <v>0</v>
      </c>
      <c r="J203" s="449"/>
      <c r="K203" s="450"/>
      <c r="L203" s="451"/>
      <c r="M203" s="69"/>
      <c r="N203" s="70"/>
      <c r="O203" s="71">
        <f t="shared" si="15"/>
        <v>0</v>
      </c>
      <c r="P203" s="71">
        <v>0</v>
      </c>
      <c r="Q203" s="387">
        <f t="shared" si="16"/>
        <v>0</v>
      </c>
    </row>
    <row r="204" spans="1:17" ht="22.5" customHeight="1" x14ac:dyDescent="0.5">
      <c r="A204" s="61">
        <v>7</v>
      </c>
      <c r="B204" s="290" t="s">
        <v>410</v>
      </c>
      <c r="C204" s="63" t="s">
        <v>411</v>
      </c>
      <c r="D204" s="452"/>
      <c r="E204" s="443"/>
      <c r="F204" s="66"/>
      <c r="G204" s="67">
        <v>0</v>
      </c>
      <c r="H204" s="67">
        <v>0</v>
      </c>
      <c r="I204" s="67">
        <v>0</v>
      </c>
      <c r="J204" s="449"/>
      <c r="K204" s="450"/>
      <c r="L204" s="451"/>
      <c r="M204" s="69"/>
      <c r="N204" s="70"/>
      <c r="O204" s="71">
        <f t="shared" si="15"/>
        <v>0</v>
      </c>
      <c r="P204" s="71">
        <v>0</v>
      </c>
      <c r="Q204" s="387">
        <f t="shared" si="16"/>
        <v>0</v>
      </c>
    </row>
    <row r="205" spans="1:17" ht="22.5" customHeight="1" x14ac:dyDescent="0.5">
      <c r="A205" s="61">
        <v>8</v>
      </c>
      <c r="B205" s="290" t="s">
        <v>413</v>
      </c>
      <c r="C205" s="63"/>
      <c r="D205" s="452"/>
      <c r="E205" s="443"/>
      <c r="F205" s="66"/>
      <c r="G205" s="67">
        <v>0</v>
      </c>
      <c r="H205" s="67">
        <v>0</v>
      </c>
      <c r="I205" s="67">
        <v>0</v>
      </c>
      <c r="J205" s="449"/>
      <c r="K205" s="450"/>
      <c r="L205" s="451"/>
      <c r="M205" s="69"/>
      <c r="N205" s="70"/>
      <c r="O205" s="71">
        <f t="shared" si="15"/>
        <v>0</v>
      </c>
      <c r="P205" s="71">
        <v>0</v>
      </c>
      <c r="Q205" s="387">
        <f t="shared" si="16"/>
        <v>0</v>
      </c>
    </row>
    <row r="206" spans="1:17" ht="22.5" customHeight="1" x14ac:dyDescent="0.5">
      <c r="A206" s="61">
        <v>9</v>
      </c>
      <c r="B206" s="290" t="s">
        <v>414</v>
      </c>
      <c r="C206" s="63" t="s">
        <v>415</v>
      </c>
      <c r="D206" s="452"/>
      <c r="E206" s="443"/>
      <c r="F206" s="66"/>
      <c r="G206" s="67">
        <v>0</v>
      </c>
      <c r="H206" s="67">
        <v>0</v>
      </c>
      <c r="I206" s="67">
        <v>0</v>
      </c>
      <c r="J206" s="449"/>
      <c r="K206" s="450"/>
      <c r="L206" s="451"/>
      <c r="M206" s="69"/>
      <c r="N206" s="70"/>
      <c r="O206" s="71">
        <f t="shared" si="15"/>
        <v>0</v>
      </c>
      <c r="P206" s="71">
        <v>0</v>
      </c>
      <c r="Q206" s="387">
        <f t="shared" si="16"/>
        <v>0</v>
      </c>
    </row>
    <row r="207" spans="1:17" ht="22.5" customHeight="1" x14ac:dyDescent="0.5">
      <c r="A207" s="61">
        <v>10</v>
      </c>
      <c r="B207" s="290" t="s">
        <v>359</v>
      </c>
      <c r="C207" s="63" t="s">
        <v>417</v>
      </c>
      <c r="D207" s="452"/>
      <c r="E207" s="443"/>
      <c r="F207" s="66"/>
      <c r="G207" s="67">
        <v>0</v>
      </c>
      <c r="H207" s="67">
        <v>0</v>
      </c>
      <c r="I207" s="67">
        <v>0</v>
      </c>
      <c r="J207" s="449"/>
      <c r="K207" s="450"/>
      <c r="L207" s="451"/>
      <c r="M207" s="69"/>
      <c r="N207" s="70"/>
      <c r="O207" s="71">
        <f t="shared" si="15"/>
        <v>0</v>
      </c>
      <c r="P207" s="71">
        <v>0</v>
      </c>
      <c r="Q207" s="387">
        <f t="shared" si="16"/>
        <v>0</v>
      </c>
    </row>
    <row r="208" spans="1:17" ht="22.5" customHeight="1" x14ac:dyDescent="0.5">
      <c r="A208" s="61">
        <v>11</v>
      </c>
      <c r="B208" s="290" t="s">
        <v>397</v>
      </c>
      <c r="C208" s="63" t="s">
        <v>417</v>
      </c>
      <c r="D208" s="452"/>
      <c r="E208" s="443" t="s">
        <v>795</v>
      </c>
      <c r="F208" s="66"/>
      <c r="G208" s="67">
        <v>8604.76</v>
      </c>
      <c r="H208" s="67">
        <v>0</v>
      </c>
      <c r="I208" s="67">
        <v>8604.76</v>
      </c>
      <c r="J208" s="449"/>
      <c r="K208" s="450"/>
      <c r="L208" s="451"/>
      <c r="M208" s="69" t="s">
        <v>795</v>
      </c>
      <c r="N208" s="70"/>
      <c r="O208" s="71">
        <f t="shared" si="15"/>
        <v>8604.76</v>
      </c>
      <c r="P208" s="71">
        <v>0</v>
      </c>
      <c r="Q208" s="387">
        <f t="shared" si="16"/>
        <v>8604.76</v>
      </c>
    </row>
    <row r="209" spans="1:18" ht="22.5" customHeight="1" x14ac:dyDescent="0.5">
      <c r="A209" s="61">
        <v>12</v>
      </c>
      <c r="B209" s="290" t="s">
        <v>358</v>
      </c>
      <c r="C209" s="63" t="s">
        <v>417</v>
      </c>
      <c r="D209" s="452"/>
      <c r="E209" s="443" t="s">
        <v>795</v>
      </c>
      <c r="F209" s="66"/>
      <c r="G209" s="67">
        <v>9651.43</v>
      </c>
      <c r="H209" s="67">
        <v>0</v>
      </c>
      <c r="I209" s="67">
        <v>9651.43</v>
      </c>
      <c r="J209" s="449"/>
      <c r="K209" s="450"/>
      <c r="L209" s="451"/>
      <c r="M209" s="69" t="s">
        <v>795</v>
      </c>
      <c r="N209" s="70"/>
      <c r="O209" s="71">
        <f t="shared" si="15"/>
        <v>9651.43</v>
      </c>
      <c r="P209" s="71">
        <v>0</v>
      </c>
      <c r="Q209" s="387">
        <f t="shared" si="16"/>
        <v>9651.43</v>
      </c>
    </row>
    <row r="210" spans="1:18" ht="22.5" customHeight="1" x14ac:dyDescent="0.5">
      <c r="A210" s="61">
        <v>13</v>
      </c>
      <c r="B210" s="290" t="s">
        <v>419</v>
      </c>
      <c r="C210" s="63" t="s">
        <v>417</v>
      </c>
      <c r="D210" s="452"/>
      <c r="E210" s="443"/>
      <c r="F210" s="66"/>
      <c r="G210" s="67">
        <v>0</v>
      </c>
      <c r="H210" s="67">
        <v>0</v>
      </c>
      <c r="I210" s="67">
        <v>0</v>
      </c>
      <c r="J210" s="30"/>
      <c r="K210" s="249"/>
      <c r="L210" s="451"/>
      <c r="M210" s="69"/>
      <c r="N210" s="70"/>
      <c r="O210" s="71">
        <f t="shared" si="15"/>
        <v>0</v>
      </c>
      <c r="P210" s="71">
        <v>0</v>
      </c>
      <c r="Q210" s="387">
        <f t="shared" si="16"/>
        <v>0</v>
      </c>
      <c r="R210" s="3" t="s">
        <v>420</v>
      </c>
    </row>
    <row r="211" spans="1:18" ht="22.5" customHeight="1" x14ac:dyDescent="0.5">
      <c r="A211" s="61">
        <v>14</v>
      </c>
      <c r="B211" s="290" t="s">
        <v>353</v>
      </c>
      <c r="C211" s="63" t="s">
        <v>417</v>
      </c>
      <c r="D211" s="452"/>
      <c r="E211" s="443"/>
      <c r="F211" s="66"/>
      <c r="G211" s="67">
        <v>0</v>
      </c>
      <c r="H211" s="67">
        <v>0</v>
      </c>
      <c r="I211" s="67">
        <v>0</v>
      </c>
      <c r="J211" s="449"/>
      <c r="K211" s="450"/>
      <c r="L211" s="451"/>
      <c r="M211" s="69"/>
      <c r="N211" s="70"/>
      <c r="O211" s="71">
        <f t="shared" si="15"/>
        <v>0</v>
      </c>
      <c r="P211" s="71">
        <v>0</v>
      </c>
      <c r="Q211" s="387">
        <f t="shared" si="16"/>
        <v>0</v>
      </c>
    </row>
    <row r="212" spans="1:18" ht="22.5" customHeight="1" x14ac:dyDescent="0.5">
      <c r="A212" s="61">
        <v>15</v>
      </c>
      <c r="B212" s="290" t="s">
        <v>398</v>
      </c>
      <c r="C212" s="63" t="s">
        <v>417</v>
      </c>
      <c r="D212" s="452"/>
      <c r="E212" s="443" t="s">
        <v>795</v>
      </c>
      <c r="F212" s="66"/>
      <c r="G212" s="67">
        <v>3283.84</v>
      </c>
      <c r="H212" s="67">
        <v>0</v>
      </c>
      <c r="I212" s="67">
        <v>3283.84</v>
      </c>
      <c r="J212" s="449"/>
      <c r="K212" s="450"/>
      <c r="L212" s="451"/>
      <c r="M212" s="69" t="s">
        <v>795</v>
      </c>
      <c r="N212" s="70"/>
      <c r="O212" s="71">
        <f t="shared" si="15"/>
        <v>3283.84</v>
      </c>
      <c r="P212" s="71">
        <v>0</v>
      </c>
      <c r="Q212" s="387">
        <f t="shared" si="16"/>
        <v>3283.84</v>
      </c>
    </row>
    <row r="213" spans="1:18" ht="22.5" customHeight="1" x14ac:dyDescent="0.5">
      <c r="A213" s="61">
        <v>16</v>
      </c>
      <c r="B213" s="290" t="s">
        <v>421</v>
      </c>
      <c r="C213" s="63" t="s">
        <v>422</v>
      </c>
      <c r="D213" s="452"/>
      <c r="E213" s="443"/>
      <c r="F213" s="66"/>
      <c r="G213" s="67">
        <v>0</v>
      </c>
      <c r="H213" s="67">
        <v>0</v>
      </c>
      <c r="I213" s="67">
        <v>0</v>
      </c>
      <c r="J213" s="449"/>
      <c r="K213" s="450"/>
      <c r="L213" s="451"/>
      <c r="M213" s="69"/>
      <c r="N213" s="70"/>
      <c r="O213" s="71">
        <f t="shared" si="15"/>
        <v>0</v>
      </c>
      <c r="P213" s="71">
        <v>0</v>
      </c>
      <c r="Q213" s="387">
        <f t="shared" si="16"/>
        <v>0</v>
      </c>
    </row>
    <row r="214" spans="1:18" ht="22.5" customHeight="1" x14ac:dyDescent="0.5">
      <c r="A214" s="61">
        <v>17</v>
      </c>
      <c r="B214" s="290" t="s">
        <v>423</v>
      </c>
      <c r="C214" s="63" t="s">
        <v>424</v>
      </c>
      <c r="D214" s="452"/>
      <c r="E214" s="443"/>
      <c r="F214" s="66"/>
      <c r="G214" s="67">
        <v>0</v>
      </c>
      <c r="H214" s="67">
        <v>0</v>
      </c>
      <c r="I214" s="67">
        <v>0</v>
      </c>
      <c r="J214" s="449"/>
      <c r="K214" s="450"/>
      <c r="L214" s="451"/>
      <c r="M214" s="69"/>
      <c r="N214" s="70"/>
      <c r="O214" s="71">
        <f t="shared" si="15"/>
        <v>0</v>
      </c>
      <c r="P214" s="71">
        <v>0</v>
      </c>
      <c r="Q214" s="387">
        <f t="shared" si="16"/>
        <v>0</v>
      </c>
    </row>
    <row r="215" spans="1:18" ht="22.5" customHeight="1" x14ac:dyDescent="0.5">
      <c r="A215" s="61">
        <v>18</v>
      </c>
      <c r="B215" s="290" t="s">
        <v>425</v>
      </c>
      <c r="C215" s="63" t="s">
        <v>426</v>
      </c>
      <c r="D215" s="452"/>
      <c r="E215" s="443"/>
      <c r="F215" s="66"/>
      <c r="G215" s="67">
        <v>0</v>
      </c>
      <c r="H215" s="67">
        <v>0</v>
      </c>
      <c r="I215" s="67">
        <v>0</v>
      </c>
      <c r="J215" s="449"/>
      <c r="K215" s="450"/>
      <c r="L215" s="451"/>
      <c r="M215" s="69"/>
      <c r="N215" s="70"/>
      <c r="O215" s="71">
        <f t="shared" si="15"/>
        <v>0</v>
      </c>
      <c r="P215" s="71">
        <v>0</v>
      </c>
      <c r="Q215" s="387">
        <f t="shared" si="16"/>
        <v>0</v>
      </c>
    </row>
    <row r="216" spans="1:18" ht="22.5" customHeight="1" x14ac:dyDescent="0.5">
      <c r="A216" s="61">
        <v>19</v>
      </c>
      <c r="B216" s="290" t="s">
        <v>428</v>
      </c>
      <c r="C216" s="63" t="s">
        <v>429</v>
      </c>
      <c r="D216" s="452"/>
      <c r="E216" s="443"/>
      <c r="F216" s="66"/>
      <c r="G216" s="67">
        <v>0</v>
      </c>
      <c r="H216" s="67">
        <v>0</v>
      </c>
      <c r="I216" s="67">
        <v>0</v>
      </c>
      <c r="J216" s="449"/>
      <c r="K216" s="450"/>
      <c r="L216" s="451"/>
      <c r="M216" s="69"/>
      <c r="N216" s="70"/>
      <c r="O216" s="71">
        <f t="shared" si="15"/>
        <v>0</v>
      </c>
      <c r="P216" s="71">
        <v>0</v>
      </c>
      <c r="Q216" s="387">
        <f t="shared" si="16"/>
        <v>0</v>
      </c>
    </row>
    <row r="217" spans="1:18" ht="22.5" customHeight="1" x14ac:dyDescent="0.5">
      <c r="A217" s="61">
        <v>20</v>
      </c>
      <c r="B217" s="290" t="s">
        <v>431</v>
      </c>
      <c r="C217" s="63" t="s">
        <v>432</v>
      </c>
      <c r="D217" s="452"/>
      <c r="E217" s="443"/>
      <c r="F217" s="66"/>
      <c r="G217" s="67">
        <v>0</v>
      </c>
      <c r="H217" s="67">
        <v>0</v>
      </c>
      <c r="I217" s="67">
        <v>0</v>
      </c>
      <c r="J217" s="449"/>
      <c r="K217" s="450"/>
      <c r="L217" s="451"/>
      <c r="M217" s="69"/>
      <c r="N217" s="70"/>
      <c r="O217" s="71">
        <f t="shared" si="15"/>
        <v>0</v>
      </c>
      <c r="P217" s="71">
        <v>0</v>
      </c>
      <c r="Q217" s="387">
        <f t="shared" si="16"/>
        <v>0</v>
      </c>
    </row>
    <row r="218" spans="1:18" ht="22.5" customHeight="1" x14ac:dyDescent="0.5">
      <c r="A218" s="61">
        <v>21</v>
      </c>
      <c r="B218" s="290" t="s">
        <v>433</v>
      </c>
      <c r="C218" s="63" t="s">
        <v>434</v>
      </c>
      <c r="D218" s="452"/>
      <c r="E218" s="443"/>
      <c r="F218" s="66"/>
      <c r="G218" s="67">
        <v>0</v>
      </c>
      <c r="H218" s="67">
        <v>0</v>
      </c>
      <c r="I218" s="67">
        <v>0</v>
      </c>
      <c r="J218" s="449"/>
      <c r="K218" s="450"/>
      <c r="L218" s="451"/>
      <c r="M218" s="69"/>
      <c r="N218" s="70"/>
      <c r="O218" s="71">
        <f t="shared" si="15"/>
        <v>0</v>
      </c>
      <c r="P218" s="71">
        <v>0</v>
      </c>
      <c r="Q218" s="387">
        <f t="shared" si="16"/>
        <v>0</v>
      </c>
    </row>
    <row r="219" spans="1:18" ht="22.5" customHeight="1" x14ac:dyDescent="0.5">
      <c r="A219" s="61">
        <v>22</v>
      </c>
      <c r="B219" s="290" t="s">
        <v>435</v>
      </c>
      <c r="C219" s="63" t="s">
        <v>436</v>
      </c>
      <c r="D219" s="452"/>
      <c r="E219" s="443"/>
      <c r="F219" s="66"/>
      <c r="G219" s="67">
        <v>0</v>
      </c>
      <c r="H219" s="67">
        <v>0</v>
      </c>
      <c r="I219" s="67">
        <v>0</v>
      </c>
      <c r="J219" s="449"/>
      <c r="K219" s="450"/>
      <c r="L219" s="451"/>
      <c r="M219" s="69"/>
      <c r="N219" s="70"/>
      <c r="O219" s="71">
        <f t="shared" si="15"/>
        <v>0</v>
      </c>
      <c r="P219" s="71">
        <v>0</v>
      </c>
      <c r="Q219" s="387">
        <f t="shared" si="16"/>
        <v>0</v>
      </c>
    </row>
    <row r="220" spans="1:18" ht="22.5" customHeight="1" x14ac:dyDescent="0.5">
      <c r="A220" s="61">
        <v>23</v>
      </c>
      <c r="B220" s="290" t="s">
        <v>437</v>
      </c>
      <c r="C220" s="63" t="s">
        <v>438</v>
      </c>
      <c r="D220" s="452"/>
      <c r="E220" s="443"/>
      <c r="F220" s="66"/>
      <c r="G220" s="67">
        <v>0</v>
      </c>
      <c r="H220" s="67">
        <v>0</v>
      </c>
      <c r="I220" s="67">
        <v>0</v>
      </c>
      <c r="J220" s="449"/>
      <c r="K220" s="450"/>
      <c r="L220" s="451"/>
      <c r="M220" s="69"/>
      <c r="N220" s="70"/>
      <c r="O220" s="71">
        <f t="shared" si="15"/>
        <v>0</v>
      </c>
      <c r="P220" s="71">
        <v>0</v>
      </c>
      <c r="Q220" s="387">
        <f t="shared" si="16"/>
        <v>0</v>
      </c>
    </row>
    <row r="221" spans="1:18" ht="22.5" customHeight="1" x14ac:dyDescent="0.5">
      <c r="A221" s="61">
        <v>24</v>
      </c>
      <c r="B221" s="290" t="s">
        <v>439</v>
      </c>
      <c r="C221" s="63" t="s">
        <v>440</v>
      </c>
      <c r="D221" s="452"/>
      <c r="E221" s="443"/>
      <c r="F221" s="66"/>
      <c r="G221" s="67">
        <v>0</v>
      </c>
      <c r="H221" s="67">
        <v>0</v>
      </c>
      <c r="I221" s="67">
        <v>0</v>
      </c>
      <c r="J221" s="449"/>
      <c r="K221" s="450"/>
      <c r="L221" s="451"/>
      <c r="M221" s="69"/>
      <c r="N221" s="70"/>
      <c r="O221" s="71">
        <f t="shared" si="15"/>
        <v>0</v>
      </c>
      <c r="P221" s="71">
        <v>0</v>
      </c>
      <c r="Q221" s="387">
        <f t="shared" si="16"/>
        <v>0</v>
      </c>
    </row>
    <row r="222" spans="1:18" ht="22.5" customHeight="1" x14ac:dyDescent="0.5">
      <c r="A222" s="61">
        <v>25</v>
      </c>
      <c r="B222" s="453" t="s">
        <v>441</v>
      </c>
      <c r="C222" s="63" t="s">
        <v>442</v>
      </c>
      <c r="D222" s="452"/>
      <c r="E222" s="443"/>
      <c r="F222" s="66"/>
      <c r="G222" s="67">
        <v>0</v>
      </c>
      <c r="H222" s="67">
        <v>0</v>
      </c>
      <c r="I222" s="67">
        <v>0</v>
      </c>
      <c r="J222" s="449"/>
      <c r="K222" s="450"/>
      <c r="L222" s="451"/>
      <c r="M222" s="69"/>
      <c r="N222" s="70"/>
      <c r="O222" s="71">
        <f t="shared" si="15"/>
        <v>0</v>
      </c>
      <c r="P222" s="71">
        <v>0</v>
      </c>
      <c r="Q222" s="387">
        <f t="shared" si="16"/>
        <v>0</v>
      </c>
    </row>
    <row r="223" spans="1:18" ht="22.5" customHeight="1" x14ac:dyDescent="0.5">
      <c r="A223" s="61">
        <v>26</v>
      </c>
      <c r="B223" s="290" t="s">
        <v>443</v>
      </c>
      <c r="C223" s="63" t="s">
        <v>444</v>
      </c>
      <c r="D223" s="452"/>
      <c r="E223" s="443"/>
      <c r="F223" s="66"/>
      <c r="G223" s="67">
        <v>0</v>
      </c>
      <c r="H223" s="67">
        <v>0</v>
      </c>
      <c r="I223" s="67">
        <v>0</v>
      </c>
      <c r="J223" s="449"/>
      <c r="K223" s="450"/>
      <c r="L223" s="451"/>
      <c r="M223" s="69"/>
      <c r="N223" s="70"/>
      <c r="O223" s="71">
        <f t="shared" si="15"/>
        <v>0</v>
      </c>
      <c r="P223" s="71">
        <v>0</v>
      </c>
      <c r="Q223" s="387">
        <f t="shared" si="16"/>
        <v>0</v>
      </c>
    </row>
    <row r="224" spans="1:18" ht="22.5" customHeight="1" x14ac:dyDescent="0.5">
      <c r="A224" s="61">
        <v>27</v>
      </c>
      <c r="B224" s="290" t="s">
        <v>445</v>
      </c>
      <c r="C224" s="63" t="s">
        <v>446</v>
      </c>
      <c r="D224" s="452"/>
      <c r="E224" s="443"/>
      <c r="F224" s="66"/>
      <c r="G224" s="67">
        <v>0</v>
      </c>
      <c r="H224" s="67">
        <v>0</v>
      </c>
      <c r="I224" s="67">
        <v>0</v>
      </c>
      <c r="J224" s="449"/>
      <c r="K224" s="450"/>
      <c r="L224" s="451"/>
      <c r="M224" s="69"/>
      <c r="N224" s="70"/>
      <c r="O224" s="71">
        <f t="shared" si="15"/>
        <v>0</v>
      </c>
      <c r="P224" s="71">
        <v>0</v>
      </c>
      <c r="Q224" s="387">
        <f t="shared" si="16"/>
        <v>0</v>
      </c>
    </row>
    <row r="225" spans="1:17" ht="22.5" customHeight="1" x14ac:dyDescent="0.5">
      <c r="A225" s="61">
        <v>28</v>
      </c>
      <c r="B225" s="290" t="s">
        <v>447</v>
      </c>
      <c r="C225" s="63" t="s">
        <v>448</v>
      </c>
      <c r="D225" s="452"/>
      <c r="E225" s="443"/>
      <c r="F225" s="66"/>
      <c r="G225" s="67">
        <v>0</v>
      </c>
      <c r="H225" s="67">
        <v>0</v>
      </c>
      <c r="I225" s="67">
        <v>0</v>
      </c>
      <c r="J225" s="449"/>
      <c r="K225" s="450"/>
      <c r="L225" s="451"/>
      <c r="M225" s="69"/>
      <c r="N225" s="70"/>
      <c r="O225" s="71">
        <f t="shared" si="15"/>
        <v>0</v>
      </c>
      <c r="P225" s="71">
        <v>0</v>
      </c>
      <c r="Q225" s="387">
        <f t="shared" si="16"/>
        <v>0</v>
      </c>
    </row>
    <row r="226" spans="1:17" ht="22.5" customHeight="1" x14ac:dyDescent="0.5">
      <c r="A226" s="61">
        <v>29</v>
      </c>
      <c r="B226" s="290" t="s">
        <v>449</v>
      </c>
      <c r="C226" s="63" t="s">
        <v>450</v>
      </c>
      <c r="D226" s="452"/>
      <c r="E226" s="443"/>
      <c r="F226" s="66"/>
      <c r="G226" s="67">
        <v>0</v>
      </c>
      <c r="H226" s="67">
        <v>0</v>
      </c>
      <c r="I226" s="67">
        <v>0</v>
      </c>
      <c r="J226" s="449"/>
      <c r="K226" s="450"/>
      <c r="L226" s="451"/>
      <c r="M226" s="69"/>
      <c r="N226" s="70"/>
      <c r="O226" s="71">
        <f t="shared" si="15"/>
        <v>0</v>
      </c>
      <c r="P226" s="71">
        <v>0</v>
      </c>
      <c r="Q226" s="387">
        <f t="shared" si="16"/>
        <v>0</v>
      </c>
    </row>
    <row r="227" spans="1:17" ht="22.5" customHeight="1" x14ac:dyDescent="0.5">
      <c r="A227" s="61">
        <v>30</v>
      </c>
      <c r="B227" s="290" t="s">
        <v>451</v>
      </c>
      <c r="C227" s="63" t="s">
        <v>452</v>
      </c>
      <c r="D227" s="452"/>
      <c r="E227" s="443"/>
      <c r="F227" s="66"/>
      <c r="G227" s="67">
        <v>0</v>
      </c>
      <c r="H227" s="67">
        <v>0</v>
      </c>
      <c r="I227" s="67">
        <v>0</v>
      </c>
      <c r="J227" s="449"/>
      <c r="K227" s="450"/>
      <c r="L227" s="451"/>
      <c r="M227" s="69"/>
      <c r="N227" s="70"/>
      <c r="O227" s="71">
        <f t="shared" si="15"/>
        <v>0</v>
      </c>
      <c r="P227" s="71">
        <v>0</v>
      </c>
      <c r="Q227" s="387">
        <f t="shared" si="16"/>
        <v>0</v>
      </c>
    </row>
    <row r="228" spans="1:17" ht="22.5" customHeight="1" x14ac:dyDescent="0.5">
      <c r="A228" s="61">
        <v>31</v>
      </c>
      <c r="B228" s="290" t="s">
        <v>454</v>
      </c>
      <c r="C228" s="63" t="s">
        <v>455</v>
      </c>
      <c r="D228" s="452"/>
      <c r="E228" s="443"/>
      <c r="F228" s="66"/>
      <c r="G228" s="67">
        <v>0</v>
      </c>
      <c r="H228" s="67">
        <v>0</v>
      </c>
      <c r="I228" s="67">
        <v>0</v>
      </c>
      <c r="J228" s="449"/>
      <c r="K228" s="450"/>
      <c r="L228" s="451"/>
      <c r="M228" s="69"/>
      <c r="N228" s="70"/>
      <c r="O228" s="71">
        <f t="shared" si="15"/>
        <v>0</v>
      </c>
      <c r="P228" s="71">
        <v>0</v>
      </c>
      <c r="Q228" s="387">
        <f t="shared" si="16"/>
        <v>0</v>
      </c>
    </row>
    <row r="229" spans="1:17" ht="22.5" customHeight="1" x14ac:dyDescent="0.5">
      <c r="A229" s="61">
        <v>32</v>
      </c>
      <c r="B229" s="290" t="s">
        <v>456</v>
      </c>
      <c r="C229" s="63" t="s">
        <v>457</v>
      </c>
      <c r="D229" s="452"/>
      <c r="E229" s="443" t="s">
        <v>795</v>
      </c>
      <c r="F229" s="66"/>
      <c r="G229" s="67">
        <v>1064.44</v>
      </c>
      <c r="H229" s="67">
        <v>0</v>
      </c>
      <c r="I229" s="67">
        <v>1064.44</v>
      </c>
      <c r="J229" s="449"/>
      <c r="K229" s="450"/>
      <c r="L229" s="451"/>
      <c r="M229" s="69" t="s">
        <v>795</v>
      </c>
      <c r="N229" s="70"/>
      <c r="O229" s="71">
        <f t="shared" si="15"/>
        <v>1064.44</v>
      </c>
      <c r="P229" s="71">
        <v>0</v>
      </c>
      <c r="Q229" s="387">
        <f t="shared" si="16"/>
        <v>1064.44</v>
      </c>
    </row>
    <row r="230" spans="1:17" ht="22.5" customHeight="1" x14ac:dyDescent="0.5">
      <c r="A230" s="61">
        <v>33</v>
      </c>
      <c r="B230" s="290" t="s">
        <v>458</v>
      </c>
      <c r="C230" s="63" t="s">
        <v>459</v>
      </c>
      <c r="D230" s="452"/>
      <c r="E230" s="443"/>
      <c r="F230" s="66"/>
      <c r="G230" s="67">
        <v>0</v>
      </c>
      <c r="H230" s="67">
        <v>0</v>
      </c>
      <c r="I230" s="67">
        <v>0</v>
      </c>
      <c r="J230" s="449"/>
      <c r="K230" s="450"/>
      <c r="L230" s="451"/>
      <c r="M230" s="69"/>
      <c r="N230" s="70"/>
      <c r="O230" s="71">
        <f t="shared" si="15"/>
        <v>0</v>
      </c>
      <c r="P230" s="71">
        <v>0</v>
      </c>
      <c r="Q230" s="387">
        <f t="shared" si="16"/>
        <v>0</v>
      </c>
    </row>
    <row r="231" spans="1:17" ht="22.5" customHeight="1" x14ac:dyDescent="0.5">
      <c r="A231" s="61">
        <v>34</v>
      </c>
      <c r="B231" s="290" t="s">
        <v>460</v>
      </c>
      <c r="C231" s="63" t="s">
        <v>461</v>
      </c>
      <c r="D231" s="452"/>
      <c r="E231" s="443"/>
      <c r="F231" s="66"/>
      <c r="G231" s="67">
        <v>0</v>
      </c>
      <c r="H231" s="67">
        <v>0</v>
      </c>
      <c r="I231" s="67">
        <v>0</v>
      </c>
      <c r="J231" s="449"/>
      <c r="K231" s="450"/>
      <c r="L231" s="451"/>
      <c r="M231" s="69"/>
      <c r="N231" s="70"/>
      <c r="O231" s="71">
        <f t="shared" si="15"/>
        <v>0</v>
      </c>
      <c r="P231" s="71">
        <v>0</v>
      </c>
      <c r="Q231" s="387">
        <f t="shared" si="16"/>
        <v>0</v>
      </c>
    </row>
    <row r="232" spans="1:17" ht="22.5" customHeight="1" x14ac:dyDescent="0.5">
      <c r="A232" s="61">
        <v>35</v>
      </c>
      <c r="B232" s="290" t="s">
        <v>463</v>
      </c>
      <c r="C232" s="63" t="s">
        <v>464</v>
      </c>
      <c r="D232" s="452"/>
      <c r="E232" s="443" t="s">
        <v>795</v>
      </c>
      <c r="F232" s="66"/>
      <c r="G232" s="67">
        <v>1064.44</v>
      </c>
      <c r="H232" s="67">
        <v>0</v>
      </c>
      <c r="I232" s="67">
        <v>1064.44</v>
      </c>
      <c r="J232" s="449"/>
      <c r="K232" s="450"/>
      <c r="L232" s="451"/>
      <c r="M232" s="69" t="s">
        <v>795</v>
      </c>
      <c r="N232" s="70"/>
      <c r="O232" s="71">
        <f t="shared" si="15"/>
        <v>1064.44</v>
      </c>
      <c r="P232" s="71">
        <v>0</v>
      </c>
      <c r="Q232" s="387">
        <f t="shared" si="16"/>
        <v>1064.44</v>
      </c>
    </row>
    <row r="233" spans="1:17" ht="22.5" customHeight="1" x14ac:dyDescent="0.5">
      <c r="A233" s="61">
        <v>36</v>
      </c>
      <c r="B233" s="290" t="s">
        <v>465</v>
      </c>
      <c r="C233" s="63" t="s">
        <v>466</v>
      </c>
      <c r="D233" s="452"/>
      <c r="E233" s="443"/>
      <c r="F233" s="66"/>
      <c r="G233" s="67">
        <v>0</v>
      </c>
      <c r="H233" s="67">
        <v>0</v>
      </c>
      <c r="I233" s="67">
        <v>0</v>
      </c>
      <c r="J233" s="449"/>
      <c r="K233" s="450"/>
      <c r="L233" s="451"/>
      <c r="M233" s="69"/>
      <c r="N233" s="70"/>
      <c r="O233" s="71">
        <f t="shared" si="15"/>
        <v>0</v>
      </c>
      <c r="P233" s="71">
        <v>0</v>
      </c>
      <c r="Q233" s="387">
        <f t="shared" si="16"/>
        <v>0</v>
      </c>
    </row>
    <row r="234" spans="1:17" ht="22.5" customHeight="1" x14ac:dyDescent="0.5">
      <c r="A234" s="61">
        <v>37</v>
      </c>
      <c r="B234" s="290" t="s">
        <v>467</v>
      </c>
      <c r="C234" s="63" t="s">
        <v>468</v>
      </c>
      <c r="D234" s="452"/>
      <c r="E234" s="443"/>
      <c r="F234" s="66"/>
      <c r="G234" s="67">
        <v>0</v>
      </c>
      <c r="H234" s="67">
        <v>0</v>
      </c>
      <c r="I234" s="67">
        <v>0</v>
      </c>
      <c r="J234" s="449"/>
      <c r="K234" s="450"/>
      <c r="L234" s="451"/>
      <c r="M234" s="69"/>
      <c r="N234" s="70"/>
      <c r="O234" s="71">
        <f t="shared" si="15"/>
        <v>0</v>
      </c>
      <c r="P234" s="71">
        <v>0</v>
      </c>
      <c r="Q234" s="387">
        <f t="shared" si="16"/>
        <v>0</v>
      </c>
    </row>
    <row r="235" spans="1:17" ht="22.5" customHeight="1" x14ac:dyDescent="0.5">
      <c r="A235" s="61">
        <v>38</v>
      </c>
      <c r="B235" s="290" t="s">
        <v>469</v>
      </c>
      <c r="C235" s="63" t="s">
        <v>470</v>
      </c>
      <c r="D235" s="452"/>
      <c r="E235" s="443"/>
      <c r="F235" s="66"/>
      <c r="G235" s="67">
        <v>0</v>
      </c>
      <c r="H235" s="67">
        <v>0</v>
      </c>
      <c r="I235" s="67">
        <v>0</v>
      </c>
      <c r="J235" s="449"/>
      <c r="K235" s="450"/>
      <c r="L235" s="451"/>
      <c r="M235" s="69"/>
      <c r="N235" s="70"/>
      <c r="O235" s="71">
        <f t="shared" si="15"/>
        <v>0</v>
      </c>
      <c r="P235" s="71">
        <v>0</v>
      </c>
      <c r="Q235" s="387">
        <f t="shared" si="16"/>
        <v>0</v>
      </c>
    </row>
    <row r="236" spans="1:17" ht="22.5" customHeight="1" x14ac:dyDescent="0.5">
      <c r="A236" s="61">
        <v>39</v>
      </c>
      <c r="B236" s="290" t="s">
        <v>471</v>
      </c>
      <c r="C236" s="63" t="s">
        <v>472</v>
      </c>
      <c r="D236" s="452"/>
      <c r="E236" s="443"/>
      <c r="F236" s="66"/>
      <c r="G236" s="67">
        <v>0</v>
      </c>
      <c r="H236" s="67">
        <v>0</v>
      </c>
      <c r="I236" s="67">
        <v>0</v>
      </c>
      <c r="J236" s="449"/>
      <c r="K236" s="450"/>
      <c r="L236" s="451"/>
      <c r="M236" s="69"/>
      <c r="N236" s="70"/>
      <c r="O236" s="71">
        <f t="shared" si="15"/>
        <v>0</v>
      </c>
      <c r="P236" s="71">
        <v>0</v>
      </c>
      <c r="Q236" s="387">
        <f t="shared" si="16"/>
        <v>0</v>
      </c>
    </row>
    <row r="237" spans="1:17" ht="22.5" customHeight="1" x14ac:dyDescent="0.5">
      <c r="A237" s="61">
        <v>40</v>
      </c>
      <c r="B237" s="290" t="s">
        <v>473</v>
      </c>
      <c r="C237" s="63" t="s">
        <v>474</v>
      </c>
      <c r="D237" s="452"/>
      <c r="E237" s="443"/>
      <c r="F237" s="66"/>
      <c r="G237" s="67">
        <v>0</v>
      </c>
      <c r="H237" s="67">
        <v>0</v>
      </c>
      <c r="I237" s="67">
        <v>0</v>
      </c>
      <c r="J237" s="449"/>
      <c r="K237" s="450"/>
      <c r="L237" s="451"/>
      <c r="M237" s="69"/>
      <c r="N237" s="70"/>
      <c r="O237" s="71">
        <f t="shared" si="15"/>
        <v>0</v>
      </c>
      <c r="P237" s="71">
        <v>0</v>
      </c>
      <c r="Q237" s="387">
        <f t="shared" si="16"/>
        <v>0</v>
      </c>
    </row>
    <row r="238" spans="1:17" ht="22.5" customHeight="1" x14ac:dyDescent="0.5">
      <c r="A238" s="61">
        <v>41</v>
      </c>
      <c r="B238" s="290" t="s">
        <v>475</v>
      </c>
      <c r="C238" s="63" t="s">
        <v>476</v>
      </c>
      <c r="D238" s="452"/>
      <c r="E238" s="443"/>
      <c r="F238" s="66"/>
      <c r="G238" s="67">
        <v>0</v>
      </c>
      <c r="H238" s="67">
        <v>0</v>
      </c>
      <c r="I238" s="67">
        <v>0</v>
      </c>
      <c r="J238" s="449"/>
      <c r="K238" s="450"/>
      <c r="L238" s="451"/>
      <c r="M238" s="69"/>
      <c r="N238" s="70"/>
      <c r="O238" s="71">
        <f t="shared" si="15"/>
        <v>0</v>
      </c>
      <c r="P238" s="71">
        <v>0</v>
      </c>
      <c r="Q238" s="387">
        <f t="shared" si="16"/>
        <v>0</v>
      </c>
    </row>
    <row r="239" spans="1:17" ht="22.5" customHeight="1" x14ac:dyDescent="0.5">
      <c r="A239" s="61">
        <v>42</v>
      </c>
      <c r="B239" s="290" t="s">
        <v>477</v>
      </c>
      <c r="C239" s="63" t="s">
        <v>478</v>
      </c>
      <c r="D239" s="452"/>
      <c r="E239" s="443"/>
      <c r="F239" s="66"/>
      <c r="G239" s="67">
        <v>0</v>
      </c>
      <c r="H239" s="67">
        <v>0</v>
      </c>
      <c r="I239" s="67">
        <v>0</v>
      </c>
      <c r="J239" s="449"/>
      <c r="K239" s="450"/>
      <c r="L239" s="451"/>
      <c r="M239" s="69"/>
      <c r="N239" s="70"/>
      <c r="O239" s="71">
        <f t="shared" si="15"/>
        <v>0</v>
      </c>
      <c r="P239" s="71">
        <v>0</v>
      </c>
      <c r="Q239" s="387">
        <f t="shared" si="16"/>
        <v>0</v>
      </c>
    </row>
    <row r="240" spans="1:17" ht="22.5" customHeight="1" x14ac:dyDescent="0.5">
      <c r="A240" s="61">
        <v>43</v>
      </c>
      <c r="B240" s="290" t="s">
        <v>479</v>
      </c>
      <c r="C240" s="63" t="s">
        <v>480</v>
      </c>
      <c r="D240" s="452"/>
      <c r="E240" s="443"/>
      <c r="F240" s="66"/>
      <c r="G240" s="67">
        <v>0</v>
      </c>
      <c r="H240" s="67">
        <v>0</v>
      </c>
      <c r="I240" s="67">
        <v>0</v>
      </c>
      <c r="J240" s="449"/>
      <c r="K240" s="450"/>
      <c r="L240" s="451"/>
      <c r="M240" s="69"/>
      <c r="N240" s="70"/>
      <c r="O240" s="71">
        <f t="shared" si="15"/>
        <v>0</v>
      </c>
      <c r="P240" s="71">
        <v>0</v>
      </c>
      <c r="Q240" s="387">
        <f t="shared" si="16"/>
        <v>0</v>
      </c>
    </row>
    <row r="241" spans="1:18" ht="22.5" customHeight="1" x14ac:dyDescent="0.5">
      <c r="A241" s="61">
        <v>44</v>
      </c>
      <c r="B241" s="290" t="s">
        <v>482</v>
      </c>
      <c r="C241" s="63" t="s">
        <v>483</v>
      </c>
      <c r="D241" s="452"/>
      <c r="E241" s="443"/>
      <c r="F241" s="66"/>
      <c r="G241" s="67">
        <v>0</v>
      </c>
      <c r="H241" s="67">
        <v>0</v>
      </c>
      <c r="I241" s="67">
        <v>0</v>
      </c>
      <c r="J241" s="449"/>
      <c r="K241" s="450"/>
      <c r="L241" s="451"/>
      <c r="M241" s="69"/>
      <c r="N241" s="70"/>
      <c r="O241" s="71">
        <f t="shared" si="15"/>
        <v>0</v>
      </c>
      <c r="P241" s="71">
        <v>0</v>
      </c>
      <c r="Q241" s="387">
        <f t="shared" si="16"/>
        <v>0</v>
      </c>
    </row>
    <row r="242" spans="1:18" ht="22.5" customHeight="1" x14ac:dyDescent="0.5">
      <c r="A242" s="61">
        <v>45</v>
      </c>
      <c r="B242" s="290" t="s">
        <v>484</v>
      </c>
      <c r="C242" s="63" t="s">
        <v>485</v>
      </c>
      <c r="D242" s="452"/>
      <c r="E242" s="443"/>
      <c r="F242" s="66"/>
      <c r="G242" s="67">
        <v>0</v>
      </c>
      <c r="H242" s="67">
        <v>0</v>
      </c>
      <c r="I242" s="67">
        <v>0</v>
      </c>
      <c r="J242" s="449"/>
      <c r="K242" s="450"/>
      <c r="L242" s="451"/>
      <c r="M242" s="69"/>
      <c r="N242" s="70"/>
      <c r="O242" s="71">
        <f t="shared" si="15"/>
        <v>0</v>
      </c>
      <c r="P242" s="71">
        <v>0</v>
      </c>
      <c r="Q242" s="387">
        <f t="shared" si="16"/>
        <v>0</v>
      </c>
    </row>
    <row r="243" spans="1:18" ht="22.5" customHeight="1" x14ac:dyDescent="0.5">
      <c r="A243" s="23">
        <v>46</v>
      </c>
      <c r="B243" s="290" t="s">
        <v>486</v>
      </c>
      <c r="C243" s="25" t="s">
        <v>487</v>
      </c>
      <c r="D243" s="452"/>
      <c r="E243" s="454"/>
      <c r="F243" s="213"/>
      <c r="G243" s="219">
        <v>0</v>
      </c>
      <c r="H243" s="219">
        <v>0</v>
      </c>
      <c r="I243" s="219">
        <v>0</v>
      </c>
      <c r="J243" s="449"/>
      <c r="K243" s="450"/>
      <c r="L243" s="451"/>
      <c r="M243" s="41"/>
      <c r="N243" s="34"/>
      <c r="O243" s="71">
        <f t="shared" si="15"/>
        <v>0</v>
      </c>
      <c r="P243" s="71">
        <v>0</v>
      </c>
      <c r="Q243" s="387">
        <f t="shared" si="16"/>
        <v>0</v>
      </c>
    </row>
    <row r="244" spans="1:18" ht="22.5" customHeight="1" x14ac:dyDescent="0.5">
      <c r="A244" s="61">
        <v>47</v>
      </c>
      <c r="B244" s="392" t="s">
        <v>489</v>
      </c>
      <c r="C244" s="63" t="s">
        <v>490</v>
      </c>
      <c r="D244" s="452"/>
      <c r="E244" s="443"/>
      <c r="F244" s="66"/>
      <c r="G244" s="67">
        <v>0</v>
      </c>
      <c r="H244" s="67">
        <v>0</v>
      </c>
      <c r="I244" s="67">
        <v>0</v>
      </c>
      <c r="J244" s="449"/>
      <c r="K244" s="450"/>
      <c r="L244" s="451"/>
      <c r="M244" s="69"/>
      <c r="N244" s="70"/>
      <c r="O244" s="71">
        <f t="shared" si="15"/>
        <v>0</v>
      </c>
      <c r="P244" s="71">
        <v>0</v>
      </c>
      <c r="Q244" s="387">
        <f t="shared" si="16"/>
        <v>0</v>
      </c>
    </row>
    <row r="245" spans="1:18" ht="22.5" customHeight="1" x14ac:dyDescent="0.5">
      <c r="A245" s="23">
        <v>48</v>
      </c>
      <c r="B245" s="290" t="s">
        <v>491</v>
      </c>
      <c r="C245" s="25" t="s">
        <v>492</v>
      </c>
      <c r="D245" s="452"/>
      <c r="E245" s="454"/>
      <c r="F245" s="213"/>
      <c r="G245" s="219">
        <v>0</v>
      </c>
      <c r="H245" s="219">
        <v>0</v>
      </c>
      <c r="I245" s="219">
        <v>0</v>
      </c>
      <c r="J245" s="449"/>
      <c r="K245" s="450"/>
      <c r="L245" s="451"/>
      <c r="M245" s="41"/>
      <c r="N245" s="34"/>
      <c r="O245" s="71">
        <f t="shared" si="15"/>
        <v>0</v>
      </c>
      <c r="P245" s="71">
        <v>0</v>
      </c>
      <c r="Q245" s="387">
        <f t="shared" si="16"/>
        <v>0</v>
      </c>
    </row>
    <row r="246" spans="1:18" ht="22.5" customHeight="1" x14ac:dyDescent="0.5">
      <c r="A246" s="23">
        <v>49</v>
      </c>
      <c r="B246" s="290" t="s">
        <v>493</v>
      </c>
      <c r="C246" s="25" t="s">
        <v>494</v>
      </c>
      <c r="D246" s="452"/>
      <c r="E246" s="454" t="s">
        <v>795</v>
      </c>
      <c r="F246" s="213"/>
      <c r="G246" s="219">
        <v>2061.84</v>
      </c>
      <c r="H246" s="219">
        <v>0</v>
      </c>
      <c r="I246" s="219">
        <v>2061.84</v>
      </c>
      <c r="J246" s="449"/>
      <c r="K246" s="450"/>
      <c r="L246" s="451"/>
      <c r="M246" s="41" t="s">
        <v>795</v>
      </c>
      <c r="N246" s="34"/>
      <c r="O246" s="71">
        <f t="shared" si="15"/>
        <v>2061.84</v>
      </c>
      <c r="P246" s="71">
        <v>0</v>
      </c>
      <c r="Q246" s="387">
        <f t="shared" si="16"/>
        <v>2061.84</v>
      </c>
    </row>
    <row r="247" spans="1:18" ht="22.5" customHeight="1" x14ac:dyDescent="0.5">
      <c r="A247" s="23">
        <v>50</v>
      </c>
      <c r="B247" s="290" t="s">
        <v>495</v>
      </c>
      <c r="C247" s="25" t="s">
        <v>496</v>
      </c>
      <c r="D247" s="452"/>
      <c r="E247" s="454" t="s">
        <v>795</v>
      </c>
      <c r="F247" s="213"/>
      <c r="G247" s="219">
        <v>20595.900000000001</v>
      </c>
      <c r="H247" s="219">
        <v>0</v>
      </c>
      <c r="I247" s="219">
        <v>20595.900000000001</v>
      </c>
      <c r="J247" s="449"/>
      <c r="K247" s="450"/>
      <c r="L247" s="451"/>
      <c r="M247" s="41" t="s">
        <v>795</v>
      </c>
      <c r="N247" s="34"/>
      <c r="O247" s="71">
        <f t="shared" si="15"/>
        <v>20595.900000000001</v>
      </c>
      <c r="P247" s="71">
        <v>0</v>
      </c>
      <c r="Q247" s="387">
        <f t="shared" si="16"/>
        <v>20595.900000000001</v>
      </c>
    </row>
    <row r="248" spans="1:18" s="60" customFormat="1" ht="22.5" customHeight="1" thickBot="1" x14ac:dyDescent="0.35">
      <c r="A248" s="362"/>
      <c r="B248" s="362" t="s">
        <v>15</v>
      </c>
      <c r="C248" s="455"/>
      <c r="D248" s="456">
        <v>0</v>
      </c>
      <c r="E248" s="362"/>
      <c r="F248" s="363"/>
      <c r="G248" s="456">
        <f>SUM(G196:G247)</f>
        <v>48918.16</v>
      </c>
      <c r="H248" s="456">
        <f>SUM(H196:H247)</f>
        <v>0</v>
      </c>
      <c r="I248" s="456">
        <f>SUM(I196:I247)</f>
        <v>48918.16</v>
      </c>
      <c r="J248" s="457"/>
      <c r="K248" s="458"/>
      <c r="L248" s="458">
        <f>SUM(L196:L247)</f>
        <v>2591.5100000000002</v>
      </c>
      <c r="M248" s="362"/>
      <c r="N248" s="363"/>
      <c r="O248" s="364">
        <f>SUM(O196:O247)</f>
        <v>46326.65</v>
      </c>
      <c r="P248" s="364">
        <f>SUM(P196:P247)</f>
        <v>0</v>
      </c>
      <c r="Q248" s="364">
        <f>SUM(Q196:Q247)</f>
        <v>46326.65</v>
      </c>
    </row>
    <row r="249" spans="1:18" s="60" customFormat="1" ht="22.5" customHeight="1" thickTop="1" thickBot="1" x14ac:dyDescent="0.35">
      <c r="A249" s="459"/>
      <c r="B249" s="460" t="s">
        <v>497</v>
      </c>
      <c r="C249" s="461"/>
      <c r="D249" s="462">
        <f t="shared" ref="D249:P249" si="17">SUM(D12+D27+D31+D35+D38+D42+D110+D154+D164+D172+D182+D186+D189+D193+D248)</f>
        <v>1108595.1700000002</v>
      </c>
      <c r="E249" s="462">
        <f t="shared" si="17"/>
        <v>0</v>
      </c>
      <c r="F249" s="462">
        <f t="shared" si="17"/>
        <v>0</v>
      </c>
      <c r="G249" s="462">
        <f t="shared" si="17"/>
        <v>353031.56897196267</v>
      </c>
      <c r="H249" s="462">
        <f t="shared" si="17"/>
        <v>13570.738628037385</v>
      </c>
      <c r="I249" s="462">
        <f t="shared" si="17"/>
        <v>366587.30760000006</v>
      </c>
      <c r="J249" s="462">
        <f t="shared" si="17"/>
        <v>0</v>
      </c>
      <c r="K249" s="462">
        <f t="shared" si="17"/>
        <v>0</v>
      </c>
      <c r="L249" s="462">
        <f t="shared" si="17"/>
        <v>1230519.8300000003</v>
      </c>
      <c r="M249" s="462">
        <f t="shared" si="17"/>
        <v>0</v>
      </c>
      <c r="N249" s="462">
        <f t="shared" si="17"/>
        <v>0</v>
      </c>
      <c r="O249" s="462">
        <f t="shared" si="17"/>
        <v>235786.64775700934</v>
      </c>
      <c r="P249" s="462">
        <f t="shared" si="17"/>
        <v>8875.9998429906536</v>
      </c>
      <c r="Q249" s="462">
        <f>SUM(Q12+Q27+Q31+Q35+Q38+Q42+Q110+Q154+Q164+Q172+Q182+Q186+Q189+Q193+Q248)</f>
        <v>244662.64759999997</v>
      </c>
    </row>
    <row r="250" spans="1:18" ht="22.5" customHeight="1" thickTop="1" x14ac:dyDescent="0.3">
      <c r="E250" s="469"/>
      <c r="F250" s="470"/>
      <c r="G250" s="3"/>
      <c r="H250" s="3"/>
      <c r="I250" s="3"/>
      <c r="M250" s="3"/>
      <c r="N250" s="470"/>
      <c r="O250" s="471"/>
      <c r="P250" s="471"/>
      <c r="Q250" s="472"/>
    </row>
    <row r="251" spans="1:18" ht="22.5" customHeight="1" x14ac:dyDescent="0.3">
      <c r="A251" s="1123" t="s">
        <v>498</v>
      </c>
      <c r="B251" s="1124"/>
      <c r="C251" s="1124"/>
      <c r="D251" s="1124"/>
      <c r="E251" s="1124"/>
      <c r="F251" s="1124"/>
      <c r="G251" s="1124"/>
      <c r="H251" s="1124"/>
      <c r="I251" s="1124"/>
      <c r="J251" s="1124"/>
      <c r="K251" s="1124"/>
      <c r="L251" s="1124"/>
      <c r="M251" s="1124"/>
      <c r="N251" s="1124"/>
      <c r="O251" s="1124"/>
      <c r="P251" s="1124"/>
      <c r="Q251" s="1125"/>
      <c r="R251" s="2"/>
    </row>
    <row r="252" spans="1:18" ht="22.5" customHeight="1" x14ac:dyDescent="0.3">
      <c r="A252" s="115"/>
      <c r="B252" s="164" t="s">
        <v>499</v>
      </c>
      <c r="C252" s="165"/>
      <c r="D252" s="86"/>
      <c r="E252" s="167"/>
      <c r="F252" s="168"/>
      <c r="G252" s="473"/>
      <c r="H252" s="473"/>
      <c r="I252" s="473"/>
      <c r="J252" s="170"/>
      <c r="K252" s="171"/>
      <c r="L252" s="86"/>
      <c r="M252" s="117"/>
      <c r="N252" s="118"/>
      <c r="O252" s="474"/>
      <c r="P252" s="474"/>
      <c r="Q252" s="370"/>
      <c r="R252" s="2"/>
    </row>
    <row r="253" spans="1:18" ht="22.5" customHeight="1" x14ac:dyDescent="0.3">
      <c r="A253" s="475">
        <v>1</v>
      </c>
      <c r="B253" s="476" t="s">
        <v>500</v>
      </c>
      <c r="C253" s="477" t="s">
        <v>501</v>
      </c>
      <c r="D253" s="478">
        <v>0</v>
      </c>
      <c r="E253" s="479"/>
      <c r="F253" s="480"/>
      <c r="G253" s="481">
        <v>325409.68</v>
      </c>
      <c r="H253" s="482"/>
      <c r="I253" s="481">
        <v>325409.68</v>
      </c>
      <c r="J253" s="303"/>
      <c r="K253" s="303"/>
      <c r="L253" s="483"/>
      <c r="M253" s="484"/>
      <c r="N253" s="485"/>
      <c r="O253" s="486">
        <v>325409.68</v>
      </c>
      <c r="P253" s="486"/>
      <c r="Q253" s="487">
        <v>325409.68</v>
      </c>
      <c r="R253" s="2" t="s">
        <v>502</v>
      </c>
    </row>
    <row r="254" spans="1:18" ht="22.5" customHeight="1" x14ac:dyDescent="0.3">
      <c r="A254" s="488"/>
      <c r="B254" s="489" t="s">
        <v>503</v>
      </c>
      <c r="C254" s="490"/>
      <c r="D254" s="491"/>
      <c r="E254" s="479"/>
      <c r="F254" s="480"/>
      <c r="G254" s="481"/>
      <c r="H254" s="482"/>
      <c r="I254" s="481"/>
      <c r="J254" s="492"/>
      <c r="K254" s="492"/>
      <c r="L254" s="493"/>
      <c r="M254" s="484"/>
      <c r="N254" s="494"/>
      <c r="O254" s="495"/>
      <c r="P254" s="486"/>
      <c r="Q254" s="487"/>
      <c r="R254" s="2"/>
    </row>
    <row r="255" spans="1:18" ht="22.5" customHeight="1" x14ac:dyDescent="0.3">
      <c r="A255" s="475">
        <v>2</v>
      </c>
      <c r="B255" s="476" t="s">
        <v>504</v>
      </c>
      <c r="C255" s="477" t="s">
        <v>415</v>
      </c>
      <c r="D255" s="478">
        <v>0</v>
      </c>
      <c r="E255" s="479"/>
      <c r="F255" s="480"/>
      <c r="G255" s="481">
        <v>74600.88</v>
      </c>
      <c r="H255" s="482">
        <v>0</v>
      </c>
      <c r="I255" s="481">
        <v>74600.88</v>
      </c>
      <c r="J255" s="492"/>
      <c r="K255" s="492"/>
      <c r="L255" s="493"/>
      <c r="M255" s="484"/>
      <c r="N255" s="494"/>
      <c r="O255" s="495">
        <v>74600.88</v>
      </c>
      <c r="P255" s="496">
        <v>0</v>
      </c>
      <c r="Q255" s="497">
        <v>74600.88</v>
      </c>
      <c r="R255" s="2"/>
    </row>
    <row r="256" spans="1:18" ht="22.5" customHeight="1" x14ac:dyDescent="0.3">
      <c r="A256" s="475"/>
      <c r="B256" s="489" t="s">
        <v>505</v>
      </c>
      <c r="C256" s="498"/>
      <c r="D256" s="499"/>
      <c r="E256" s="500"/>
      <c r="F256" s="501"/>
      <c r="G256" s="481"/>
      <c r="H256" s="482"/>
      <c r="I256" s="481"/>
      <c r="J256" s="492"/>
      <c r="K256" s="492"/>
      <c r="L256" s="493"/>
      <c r="M256" s="484"/>
      <c r="N256" s="494"/>
      <c r="O256" s="495"/>
      <c r="P256" s="496"/>
      <c r="Q256" s="497"/>
      <c r="R256" s="2"/>
    </row>
    <row r="257" spans="1:20" ht="22.5" customHeight="1" x14ac:dyDescent="0.3">
      <c r="A257" s="502">
        <v>3</v>
      </c>
      <c r="B257" s="503" t="s">
        <v>506</v>
      </c>
      <c r="C257" s="504" t="s">
        <v>507</v>
      </c>
      <c r="D257" s="505">
        <v>0</v>
      </c>
      <c r="E257" s="506"/>
      <c r="F257" s="507"/>
      <c r="G257" s="508">
        <v>32500</v>
      </c>
      <c r="H257" s="508">
        <v>0</v>
      </c>
      <c r="I257" s="508">
        <v>32500</v>
      </c>
      <c r="J257" s="492"/>
      <c r="K257" s="492"/>
      <c r="L257" s="298"/>
      <c r="M257" s="509"/>
      <c r="N257" s="510"/>
      <c r="O257" s="511">
        <v>32500</v>
      </c>
      <c r="P257" s="512">
        <v>0</v>
      </c>
      <c r="Q257" s="513">
        <v>32500</v>
      </c>
      <c r="R257" s="2"/>
    </row>
    <row r="258" spans="1:20" ht="22.5" customHeight="1" x14ac:dyDescent="0.3">
      <c r="A258" s="488"/>
      <c r="B258" s="489" t="s">
        <v>508</v>
      </c>
      <c r="C258" s="514"/>
      <c r="D258" s="515"/>
      <c r="E258" s="516"/>
      <c r="F258" s="517"/>
      <c r="G258" s="518"/>
      <c r="H258" s="519"/>
      <c r="I258" s="518"/>
      <c r="J258" s="492"/>
      <c r="K258" s="492"/>
      <c r="L258" s="493"/>
      <c r="M258" s="520"/>
      <c r="N258" s="521"/>
      <c r="O258" s="522"/>
      <c r="P258" s="523"/>
      <c r="Q258" s="524"/>
    </row>
    <row r="259" spans="1:20" ht="22.5" customHeight="1" x14ac:dyDescent="0.3">
      <c r="A259" s="488">
        <v>4</v>
      </c>
      <c r="B259" s="525" t="s">
        <v>509</v>
      </c>
      <c r="C259" s="526" t="s">
        <v>510</v>
      </c>
      <c r="D259" s="515"/>
      <c r="E259" s="527"/>
      <c r="F259" s="517"/>
      <c r="G259" s="528">
        <v>796450.4</v>
      </c>
      <c r="H259" s="519"/>
      <c r="I259" s="528">
        <v>796450.4</v>
      </c>
      <c r="J259" s="515"/>
      <c r="K259" s="492"/>
      <c r="L259" s="493"/>
      <c r="M259" s="521"/>
      <c r="N259" s="529"/>
      <c r="O259" s="530">
        <v>796450.4</v>
      </c>
      <c r="P259" s="531"/>
      <c r="Q259" s="532">
        <v>796450.4</v>
      </c>
    </row>
    <row r="260" spans="1:20" ht="22.5" customHeight="1" x14ac:dyDescent="0.3">
      <c r="A260" s="533"/>
      <c r="B260" s="534" t="s">
        <v>509</v>
      </c>
      <c r="C260" s="535" t="s">
        <v>511</v>
      </c>
      <c r="D260" s="536"/>
      <c r="E260" s="537"/>
      <c r="F260" s="538"/>
      <c r="G260" s="539">
        <v>93330</v>
      </c>
      <c r="H260" s="540"/>
      <c r="I260" s="539">
        <v>93330</v>
      </c>
      <c r="J260" s="536"/>
      <c r="K260" s="541"/>
      <c r="L260" s="542"/>
      <c r="M260" s="543"/>
      <c r="N260" s="544"/>
      <c r="O260" s="545">
        <v>93330</v>
      </c>
      <c r="P260" s="546"/>
      <c r="Q260" s="547">
        <v>93330</v>
      </c>
    </row>
    <row r="261" spans="1:20" s="60" customFormat="1" ht="22.5" customHeight="1" thickBot="1" x14ac:dyDescent="0.35">
      <c r="A261" s="548"/>
      <c r="B261" s="548" t="s">
        <v>15</v>
      </c>
      <c r="C261" s="549"/>
      <c r="D261" s="550">
        <v>0</v>
      </c>
      <c r="E261" s="551"/>
      <c r="F261" s="552"/>
      <c r="G261" s="553">
        <v>1322290.96</v>
      </c>
      <c r="H261" s="553">
        <v>0</v>
      </c>
      <c r="I261" s="553">
        <v>1322290.96</v>
      </c>
      <c r="J261" s="554"/>
      <c r="K261" s="554"/>
      <c r="L261" s="550">
        <v>0</v>
      </c>
      <c r="M261" s="555"/>
      <c r="N261" s="556"/>
      <c r="O261" s="557">
        <v>1322290.96</v>
      </c>
      <c r="P261" s="557">
        <v>0</v>
      </c>
      <c r="Q261" s="558">
        <v>1322290.96</v>
      </c>
      <c r="R261" s="59"/>
    </row>
    <row r="262" spans="1:20" ht="22.5" customHeight="1" thickTop="1" x14ac:dyDescent="0.3">
      <c r="A262" s="559"/>
      <c r="B262" s="560" t="s">
        <v>92</v>
      </c>
      <c r="C262" s="561"/>
      <c r="D262" s="562"/>
      <c r="E262" s="563"/>
      <c r="F262" s="564"/>
      <c r="G262" s="565"/>
      <c r="H262" s="565"/>
      <c r="I262" s="565"/>
      <c r="J262" s="566"/>
      <c r="K262" s="566"/>
      <c r="L262" s="562"/>
      <c r="M262" s="567"/>
      <c r="N262" s="568"/>
      <c r="O262" s="569"/>
      <c r="P262" s="569"/>
      <c r="Q262" s="570"/>
      <c r="R262" s="2"/>
    </row>
    <row r="263" spans="1:20" ht="22.5" customHeight="1" x14ac:dyDescent="0.3">
      <c r="A263" s="23">
        <v>1</v>
      </c>
      <c r="B263" s="73" t="s">
        <v>512</v>
      </c>
      <c r="C263" s="25" t="s">
        <v>97</v>
      </c>
      <c r="D263" s="43">
        <v>0</v>
      </c>
      <c r="E263" s="212" t="s">
        <v>513</v>
      </c>
      <c r="F263" s="213" t="s">
        <v>514</v>
      </c>
      <c r="G263" s="219">
        <v>9813.08</v>
      </c>
      <c r="H263" s="219">
        <v>686.91560000000004</v>
      </c>
      <c r="I263" s="219">
        <v>10499.9956</v>
      </c>
      <c r="J263" s="408"/>
      <c r="K263" s="408"/>
      <c r="L263" s="43"/>
      <c r="M263" s="41" t="s">
        <v>513</v>
      </c>
      <c r="N263" s="34" t="s">
        <v>514</v>
      </c>
      <c r="O263" s="114">
        <v>9813.08</v>
      </c>
      <c r="P263" s="114">
        <v>686.91560000000004</v>
      </c>
      <c r="Q263" s="36">
        <v>10499.9956</v>
      </c>
      <c r="R263" s="2"/>
    </row>
    <row r="264" spans="1:20" s="60" customFormat="1" ht="22.5" customHeight="1" thickBot="1" x14ac:dyDescent="0.35">
      <c r="A264" s="548"/>
      <c r="B264" s="548" t="s">
        <v>15</v>
      </c>
      <c r="C264" s="549"/>
      <c r="D264" s="550"/>
      <c r="E264" s="571"/>
      <c r="F264" s="552"/>
      <c r="G264" s="553">
        <v>9813.08</v>
      </c>
      <c r="H264" s="553">
        <v>686.91560000000004</v>
      </c>
      <c r="I264" s="553">
        <v>10499.9956</v>
      </c>
      <c r="J264" s="554"/>
      <c r="K264" s="554"/>
      <c r="L264" s="550"/>
      <c r="M264" s="548"/>
      <c r="N264" s="552"/>
      <c r="O264" s="557">
        <v>9813.08</v>
      </c>
      <c r="P264" s="557">
        <v>686.91560000000004</v>
      </c>
      <c r="Q264" s="558">
        <v>10499.9956</v>
      </c>
      <c r="R264" s="59"/>
    </row>
    <row r="265" spans="1:20" s="60" customFormat="1" ht="22.5" customHeight="1" thickTop="1" thickBot="1" x14ac:dyDescent="0.35">
      <c r="A265" s="572"/>
      <c r="B265" s="572" t="s">
        <v>515</v>
      </c>
      <c r="C265" s="573"/>
      <c r="D265" s="574"/>
      <c r="E265" s="575"/>
      <c r="F265" s="576"/>
      <c r="G265" s="577">
        <v>1332104.04</v>
      </c>
      <c r="H265" s="577">
        <v>686.91560000000004</v>
      </c>
      <c r="I265" s="577">
        <v>1332790.9556</v>
      </c>
      <c r="J265" s="578"/>
      <c r="K265" s="578"/>
      <c r="L265" s="579">
        <v>0</v>
      </c>
      <c r="M265" s="580"/>
      <c r="N265" s="581"/>
      <c r="O265" s="582">
        <v>1332104.04</v>
      </c>
      <c r="P265" s="582">
        <v>686.91560000000004</v>
      </c>
      <c r="Q265" s="583">
        <v>1332790.9556</v>
      </c>
      <c r="R265" s="59"/>
    </row>
    <row r="266" spans="1:20" ht="22.5" customHeight="1" thickTop="1" x14ac:dyDescent="0.3">
      <c r="E266" s="469"/>
      <c r="F266" s="470"/>
      <c r="G266" s="3"/>
      <c r="H266" s="3"/>
      <c r="I266" s="3"/>
      <c r="J266" s="584"/>
      <c r="K266" s="585"/>
      <c r="M266" s="470"/>
      <c r="N266" s="586"/>
      <c r="O266" s="471"/>
      <c r="P266" s="471"/>
      <c r="Q266" s="472"/>
      <c r="R266" s="2"/>
    </row>
    <row r="267" spans="1:20" s="589" customFormat="1" ht="20.399999999999999" x14ac:dyDescent="0.5">
      <c r="A267" s="1126" t="s">
        <v>516</v>
      </c>
      <c r="B267" s="1127"/>
      <c r="C267" s="1127"/>
      <c r="D267" s="1127"/>
      <c r="E267" s="1127"/>
      <c r="F267" s="1127"/>
      <c r="G267" s="1127"/>
      <c r="H267" s="1127"/>
      <c r="I267" s="1127"/>
      <c r="J267" s="1127"/>
      <c r="K267" s="1127"/>
      <c r="L267" s="1127"/>
      <c r="M267" s="1127"/>
      <c r="N267" s="1127"/>
      <c r="O267" s="1127"/>
      <c r="P267" s="1127"/>
      <c r="Q267" s="1127"/>
      <c r="R267" s="587"/>
      <c r="S267" s="587"/>
      <c r="T267" s="588"/>
    </row>
    <row r="268" spans="1:20" s="599" customFormat="1" x14ac:dyDescent="0.6">
      <c r="A268" s="590">
        <v>1</v>
      </c>
      <c r="B268" s="591" t="s">
        <v>517</v>
      </c>
      <c r="C268" s="591" t="s">
        <v>518</v>
      </c>
      <c r="D268" s="592">
        <v>0</v>
      </c>
      <c r="E268" s="593"/>
      <c r="F268" s="594"/>
      <c r="G268" s="595">
        <v>0</v>
      </c>
      <c r="H268" s="595">
        <v>0</v>
      </c>
      <c r="I268" s="595">
        <v>0</v>
      </c>
      <c r="J268" s="596"/>
      <c r="K268" s="596"/>
      <c r="L268" s="597"/>
      <c r="M268" s="598"/>
      <c r="N268" s="594"/>
      <c r="O268" s="595">
        <v>0</v>
      </c>
      <c r="P268" s="595">
        <v>0</v>
      </c>
      <c r="Q268" s="595">
        <v>0</v>
      </c>
      <c r="T268" s="600"/>
    </row>
    <row r="269" spans="1:20" s="599" customFormat="1" x14ac:dyDescent="0.6">
      <c r="A269" s="601">
        <v>2</v>
      </c>
      <c r="B269" s="602" t="s">
        <v>519</v>
      </c>
      <c r="C269" s="602" t="s">
        <v>520</v>
      </c>
      <c r="D269" s="603">
        <v>0</v>
      </c>
      <c r="E269" s="604"/>
      <c r="F269" s="605"/>
      <c r="G269" s="606">
        <v>54000</v>
      </c>
      <c r="H269" s="606">
        <v>0</v>
      </c>
      <c r="I269" s="606">
        <v>54000</v>
      </c>
      <c r="J269" s="607"/>
      <c r="K269" s="607"/>
      <c r="L269" s="608"/>
      <c r="M269" s="604"/>
      <c r="N269" s="605"/>
      <c r="O269" s="609">
        <v>54000</v>
      </c>
      <c r="P269" s="609">
        <v>0</v>
      </c>
      <c r="Q269" s="609">
        <v>54000</v>
      </c>
      <c r="T269" s="600"/>
    </row>
    <row r="270" spans="1:20" s="599" customFormat="1" x14ac:dyDescent="0.6">
      <c r="A270" s="610">
        <v>3</v>
      </c>
      <c r="B270" s="611" t="s">
        <v>521</v>
      </c>
      <c r="C270" s="611" t="s">
        <v>522</v>
      </c>
      <c r="D270" s="612">
        <v>0</v>
      </c>
      <c r="E270" s="613"/>
      <c r="F270" s="614"/>
      <c r="G270" s="615">
        <v>0</v>
      </c>
      <c r="H270" s="615">
        <v>0</v>
      </c>
      <c r="I270" s="615">
        <v>0</v>
      </c>
      <c r="J270" s="616"/>
      <c r="K270" s="616"/>
      <c r="L270" s="617"/>
      <c r="M270" s="618"/>
      <c r="N270" s="614"/>
      <c r="O270" s="609">
        <v>0</v>
      </c>
      <c r="P270" s="609">
        <v>0</v>
      </c>
      <c r="Q270" s="609">
        <v>0</v>
      </c>
      <c r="T270" s="600"/>
    </row>
    <row r="271" spans="1:20" s="599" customFormat="1" ht="24" thickBot="1" x14ac:dyDescent="0.65">
      <c r="A271" s="619"/>
      <c r="B271" s="620" t="s">
        <v>523</v>
      </c>
      <c r="C271" s="621"/>
      <c r="D271" s="622">
        <v>0</v>
      </c>
      <c r="E271" s="623"/>
      <c r="F271" s="624"/>
      <c r="G271" s="625">
        <v>54000</v>
      </c>
      <c r="H271" s="625">
        <v>0</v>
      </c>
      <c r="I271" s="625">
        <v>54000</v>
      </c>
      <c r="J271" s="624"/>
      <c r="K271" s="624"/>
      <c r="L271" s="622">
        <v>0</v>
      </c>
      <c r="M271" s="623"/>
      <c r="N271" s="624"/>
      <c r="O271" s="626">
        <v>54000</v>
      </c>
      <c r="P271" s="626">
        <v>0</v>
      </c>
      <c r="Q271" s="626">
        <v>54000</v>
      </c>
      <c r="R271" s="627">
        <v>2034140.3755999999</v>
      </c>
      <c r="T271" s="600"/>
    </row>
    <row r="272" spans="1:20" s="636" customFormat="1" ht="24" thickTop="1" x14ac:dyDescent="0.6">
      <c r="A272" s="628"/>
      <c r="B272" s="629"/>
      <c r="C272" s="630"/>
      <c r="D272" s="631"/>
      <c r="E272" s="632"/>
      <c r="F272" s="633"/>
      <c r="G272" s="634"/>
      <c r="H272" s="634"/>
      <c r="I272" s="634"/>
      <c r="J272" s="633"/>
      <c r="K272" s="633"/>
      <c r="L272" s="631"/>
      <c r="M272" s="632"/>
      <c r="N272" s="633"/>
      <c r="O272" s="635"/>
      <c r="P272" s="635"/>
      <c r="Q272" s="635"/>
      <c r="T272" s="637"/>
    </row>
    <row r="273" spans="1:20" s="636" customFormat="1" x14ac:dyDescent="0.6">
      <c r="A273" s="1128" t="s">
        <v>524</v>
      </c>
      <c r="B273" s="1128"/>
      <c r="C273" s="1128"/>
      <c r="D273" s="1128"/>
      <c r="E273" s="1128"/>
      <c r="F273" s="1128"/>
      <c r="G273" s="1128"/>
      <c r="H273" s="1128"/>
      <c r="I273" s="1128"/>
      <c r="J273" s="1128"/>
      <c r="K273" s="1128"/>
      <c r="L273" s="1128"/>
      <c r="M273" s="1128"/>
      <c r="N273" s="1128"/>
      <c r="O273" s="1128"/>
      <c r="P273" s="1128"/>
      <c r="Q273" s="1128"/>
      <c r="T273" s="637"/>
    </row>
    <row r="274" spans="1:20" s="599" customFormat="1" x14ac:dyDescent="0.6">
      <c r="A274" s="638">
        <v>1</v>
      </c>
      <c r="B274" s="639" t="s">
        <v>519</v>
      </c>
      <c r="C274" s="639" t="s">
        <v>518</v>
      </c>
      <c r="D274" s="640">
        <v>5600</v>
      </c>
      <c r="E274" s="641" t="s">
        <v>803</v>
      </c>
      <c r="F274" s="642" t="s">
        <v>802</v>
      </c>
      <c r="G274" s="643">
        <v>67200</v>
      </c>
      <c r="H274" s="643">
        <v>0</v>
      </c>
      <c r="I274" s="643">
        <v>67200</v>
      </c>
      <c r="J274" s="644"/>
      <c r="K274" s="644"/>
      <c r="L274" s="645"/>
      <c r="M274" s="641" t="s">
        <v>806</v>
      </c>
      <c r="N274" s="642" t="s">
        <v>807</v>
      </c>
      <c r="O274" s="643">
        <f>SUM(D274+I274-L274)</f>
        <v>72800</v>
      </c>
      <c r="P274" s="643">
        <v>0</v>
      </c>
      <c r="Q274" s="643">
        <f>SUM(D274+I274-L274)</f>
        <v>72800</v>
      </c>
      <c r="T274" s="600"/>
    </row>
    <row r="275" spans="1:20" s="599" customFormat="1" x14ac:dyDescent="0.6">
      <c r="A275" s="646">
        <v>2</v>
      </c>
      <c r="B275" s="647" t="s">
        <v>521</v>
      </c>
      <c r="C275" s="647" t="s">
        <v>522</v>
      </c>
      <c r="D275" s="648">
        <v>8400</v>
      </c>
      <c r="E275" s="649"/>
      <c r="F275" s="650"/>
      <c r="G275" s="651">
        <v>6917.6500000000015</v>
      </c>
      <c r="H275" s="615">
        <v>0</v>
      </c>
      <c r="I275" s="615">
        <v>6917.6500000000015</v>
      </c>
      <c r="J275" s="30">
        <v>25188</v>
      </c>
      <c r="K275" s="249" t="s">
        <v>931</v>
      </c>
      <c r="L275" s="221">
        <v>8400</v>
      </c>
      <c r="M275" s="652"/>
      <c r="N275" s="373"/>
      <c r="O275" s="643">
        <f>SUM(D275+I275-L275)</f>
        <v>6917.6500000000015</v>
      </c>
      <c r="P275" s="606">
        <v>0</v>
      </c>
      <c r="Q275" s="643">
        <f>SUM(D275+I275-L275)</f>
        <v>6917.6500000000015</v>
      </c>
      <c r="T275" s="600"/>
    </row>
    <row r="276" spans="1:20" s="599" customFormat="1" x14ac:dyDescent="0.6">
      <c r="A276" s="646"/>
      <c r="B276" s="653" t="s">
        <v>534</v>
      </c>
      <c r="C276" s="647"/>
      <c r="D276" s="648"/>
      <c r="E276" s="649"/>
      <c r="F276" s="650"/>
      <c r="G276" s="651"/>
      <c r="H276" s="651"/>
      <c r="I276" s="651"/>
      <c r="J276" s="250"/>
      <c r="K276" s="654"/>
      <c r="L276" s="252"/>
      <c r="M276" s="655"/>
      <c r="N276" s="656"/>
      <c r="O276" s="651"/>
      <c r="P276" s="651"/>
      <c r="Q276" s="651"/>
      <c r="T276" s="600"/>
    </row>
    <row r="277" spans="1:20" s="599" customFormat="1" ht="24" thickBot="1" x14ac:dyDescent="0.65">
      <c r="A277" s="619"/>
      <c r="B277" s="620" t="s">
        <v>535</v>
      </c>
      <c r="C277" s="621"/>
      <c r="D277" s="622">
        <v>14000</v>
      </c>
      <c r="E277" s="623"/>
      <c r="F277" s="624"/>
      <c r="G277" s="625">
        <f>SUM(G274:G276)-G275</f>
        <v>67200</v>
      </c>
      <c r="H277" s="625">
        <f>SUM(H274:H276)-H275</f>
        <v>0</v>
      </c>
      <c r="I277" s="625">
        <f>SUM(I274:I276)-I275</f>
        <v>67200</v>
      </c>
      <c r="J277" s="625"/>
      <c r="K277" s="625"/>
      <c r="L277" s="625">
        <f>SUM(L274:L276)</f>
        <v>8400</v>
      </c>
      <c r="M277" s="625"/>
      <c r="N277" s="625"/>
      <c r="O277" s="625">
        <f>SUM(O274:O276)</f>
        <v>79717.649999999994</v>
      </c>
      <c r="P277" s="625">
        <f>SUM(P274:P276)</f>
        <v>0</v>
      </c>
      <c r="Q277" s="625">
        <f>SUM(Q274:Q276)</f>
        <v>79717.649999999994</v>
      </c>
      <c r="T277" s="600"/>
    </row>
    <row r="278" spans="1:20" ht="22.5" customHeight="1" thickTop="1" x14ac:dyDescent="0.3">
      <c r="E278" s="469"/>
      <c r="F278" s="470"/>
      <c r="G278" s="3"/>
      <c r="H278" s="3"/>
      <c r="I278" s="3"/>
      <c r="J278" s="584"/>
      <c r="K278" s="585"/>
      <c r="M278" s="470"/>
      <c r="N278" s="586"/>
      <c r="O278" s="471"/>
      <c r="P278" s="471"/>
      <c r="Q278" s="472"/>
      <c r="R278" s="2"/>
    </row>
    <row r="279" spans="1:20" ht="22.5" customHeight="1" thickBot="1" x14ac:dyDescent="0.35">
      <c r="E279" s="469"/>
      <c r="F279" s="470"/>
      <c r="G279" s="3"/>
      <c r="H279" s="3"/>
      <c r="I279" s="3"/>
      <c r="J279" s="584"/>
      <c r="K279" s="585"/>
      <c r="L279" s="657">
        <f>SUM(L249+L265+L271+L277)</f>
        <v>1238919.8300000003</v>
      </c>
      <c r="M279" s="470"/>
      <c r="N279" s="586"/>
      <c r="O279" s="1148" t="s">
        <v>536</v>
      </c>
      <c r="P279" s="1148"/>
      <c r="Q279" s="658">
        <f>SUM(Q249+Q265+Q271+Q277)</f>
        <v>1711171.2531999999</v>
      </c>
      <c r="R279" s="2"/>
    </row>
    <row r="280" spans="1:20" ht="22.5" customHeight="1" thickTop="1" x14ac:dyDescent="0.5">
      <c r="B280" s="587" t="s">
        <v>537</v>
      </c>
      <c r="C280" s="587"/>
      <c r="D280" s="587"/>
      <c r="E280" s="587"/>
      <c r="F280" s="587"/>
      <c r="G280" s="587"/>
      <c r="H280" s="587"/>
      <c r="I280" s="587"/>
      <c r="J280" s="587"/>
      <c r="M280" s="3"/>
      <c r="N280" s="470"/>
      <c r="O280" s="471"/>
      <c r="P280" s="471"/>
      <c r="Q280" s="472"/>
    </row>
    <row r="281" spans="1:20" x14ac:dyDescent="0.5">
      <c r="B281" s="1129" t="s">
        <v>538</v>
      </c>
      <c r="C281" s="1129"/>
      <c r="D281" s="1129"/>
      <c r="E281" s="1129"/>
      <c r="F281" s="1129"/>
      <c r="G281" s="1129"/>
      <c r="H281" s="1129"/>
      <c r="I281" s="1129"/>
      <c r="J281" s="1129"/>
      <c r="M281" s="3"/>
      <c r="N281" s="470"/>
      <c r="O281" s="471"/>
      <c r="P281" s="471"/>
      <c r="Q281" s="472"/>
    </row>
    <row r="282" spans="1:20" x14ac:dyDescent="0.5">
      <c r="B282" s="1129" t="s">
        <v>539</v>
      </c>
      <c r="C282" s="1129"/>
      <c r="D282" s="1129"/>
      <c r="E282" s="1129"/>
      <c r="F282" s="1129"/>
      <c r="G282" s="1129"/>
      <c r="H282" s="1129"/>
      <c r="I282" s="1129"/>
      <c r="J282" s="1129"/>
      <c r="M282" s="3"/>
      <c r="N282" s="470"/>
      <c r="O282" s="471"/>
      <c r="P282" s="471"/>
      <c r="Q282" s="472"/>
    </row>
    <row r="283" spans="1:20" x14ac:dyDescent="0.3">
      <c r="E283" s="469"/>
      <c r="F283" s="470"/>
      <c r="G283" s="3"/>
      <c r="H283" s="3"/>
      <c r="I283" s="3"/>
      <c r="M283" s="3"/>
      <c r="N283" s="470"/>
      <c r="O283" s="471"/>
      <c r="P283" s="471"/>
      <c r="Q283" s="472"/>
    </row>
    <row r="284" spans="1:20" x14ac:dyDescent="0.3">
      <c r="E284" s="469"/>
      <c r="F284" s="470"/>
      <c r="G284" s="3"/>
      <c r="H284" s="3"/>
      <c r="I284" s="3"/>
      <c r="M284" s="3"/>
      <c r="N284" s="470"/>
      <c r="O284" s="471"/>
      <c r="P284" s="471"/>
      <c r="Q284" s="472"/>
    </row>
    <row r="285" spans="1:20" x14ac:dyDescent="0.3">
      <c r="E285" s="469"/>
      <c r="F285" s="470"/>
      <c r="G285" s="3"/>
      <c r="H285" s="3"/>
      <c r="I285" s="3"/>
      <c r="M285" s="3"/>
      <c r="N285" s="470"/>
      <c r="O285" s="471"/>
      <c r="P285" s="471"/>
      <c r="Q285" s="472"/>
    </row>
    <row r="286" spans="1:20" x14ac:dyDescent="0.3">
      <c r="E286" s="469"/>
      <c r="F286" s="470"/>
      <c r="G286" s="3"/>
      <c r="H286" s="3"/>
      <c r="I286" s="3"/>
      <c r="M286" s="3"/>
      <c r="N286" s="470"/>
      <c r="O286" s="471"/>
      <c r="P286" s="471"/>
      <c r="Q286" s="472"/>
    </row>
    <row r="287" spans="1:20" x14ac:dyDescent="0.3">
      <c r="E287" s="469"/>
      <c r="F287" s="470"/>
      <c r="G287" s="3"/>
      <c r="H287" s="3"/>
      <c r="I287" s="3"/>
      <c r="M287" s="3"/>
      <c r="N287" s="470"/>
      <c r="O287" s="471"/>
      <c r="P287" s="471"/>
      <c r="Q287" s="472"/>
    </row>
    <row r="288" spans="1:20" x14ac:dyDescent="0.3">
      <c r="E288" s="469"/>
      <c r="F288" s="470"/>
      <c r="G288" s="3"/>
      <c r="H288" s="3"/>
      <c r="I288" s="3"/>
      <c r="M288" s="3"/>
      <c r="N288" s="470"/>
      <c r="O288" s="471"/>
      <c r="P288" s="471"/>
      <c r="Q288" s="472"/>
    </row>
    <row r="289" spans="5:17" x14ac:dyDescent="0.3">
      <c r="E289" s="469"/>
      <c r="F289" s="470"/>
      <c r="G289" s="3"/>
      <c r="H289" s="3"/>
      <c r="I289" s="3"/>
      <c r="M289" s="3"/>
      <c r="N289" s="470"/>
      <c r="O289" s="471"/>
      <c r="P289" s="471"/>
      <c r="Q289" s="472"/>
    </row>
  </sheetData>
  <mergeCells count="22">
    <mergeCell ref="A1:Q1"/>
    <mergeCell ref="A2:Q2"/>
    <mergeCell ref="A3:Q3"/>
    <mergeCell ref="A4:A6"/>
    <mergeCell ref="B4:B6"/>
    <mergeCell ref="C4:C6"/>
    <mergeCell ref="D4:D6"/>
    <mergeCell ref="E4:I4"/>
    <mergeCell ref="J4:L4"/>
    <mergeCell ref="M4:Q4"/>
    <mergeCell ref="B282:J282"/>
    <mergeCell ref="E5:E6"/>
    <mergeCell ref="F5:F6"/>
    <mergeCell ref="G5:I5"/>
    <mergeCell ref="M5:M6"/>
    <mergeCell ref="A251:Q251"/>
    <mergeCell ref="A267:Q267"/>
    <mergeCell ref="A273:Q273"/>
    <mergeCell ref="O279:P279"/>
    <mergeCell ref="B281:J281"/>
    <mergeCell ref="N5:N6"/>
    <mergeCell ref="O5:Q5"/>
  </mergeCells>
  <phoneticPr fontId="2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D17F-E601-4340-951E-B4573719E567}">
  <sheetPr>
    <tabColor rgb="FFFFFF00"/>
  </sheetPr>
  <dimension ref="A1:AA157"/>
  <sheetViews>
    <sheetView zoomScale="80" zoomScaleNormal="80" workbookViewId="0">
      <pane ySplit="6" topLeftCell="A135" activePane="bottomLeft" state="frozen"/>
      <selection pane="bottomLeft" activeCell="G148" sqref="G148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2.44140625" style="88" customWidth="1"/>
    <col min="5" max="5" width="18.6640625" style="88" customWidth="1"/>
    <col min="6" max="6" width="16.33203125" style="88" customWidth="1"/>
    <col min="7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7" ht="22.5" customHeight="1" x14ac:dyDescent="0.3">
      <c r="A3" s="1110" t="s">
        <v>804</v>
      </c>
      <c r="B3" s="1111"/>
      <c r="C3" s="1111"/>
      <c r="D3" s="1111"/>
      <c r="E3" s="1111"/>
      <c r="F3" s="1111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7" ht="22.5" customHeight="1" x14ac:dyDescent="0.3">
      <c r="A5" s="1113"/>
      <c r="B5" s="1113"/>
      <c r="C5" s="1116"/>
      <c r="D5" s="5"/>
      <c r="E5" s="6"/>
      <c r="F5" s="6"/>
    </row>
    <row r="6" spans="1:7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7" ht="22.5" customHeight="1" x14ac:dyDescent="0.3">
      <c r="A7" s="11"/>
      <c r="B7" s="12" t="s">
        <v>19</v>
      </c>
      <c r="C7" s="13"/>
      <c r="D7" s="18"/>
      <c r="E7" s="18"/>
      <c r="F7" s="14"/>
    </row>
    <row r="8" spans="1:7" ht="22.5" customHeight="1" x14ac:dyDescent="0.5">
      <c r="A8" s="23">
        <v>1</v>
      </c>
      <c r="B8" s="24" t="s">
        <v>20</v>
      </c>
      <c r="C8" s="25" t="s">
        <v>21</v>
      </c>
      <c r="D8" s="30">
        <v>25196</v>
      </c>
      <c r="E8" s="31" t="s">
        <v>808</v>
      </c>
      <c r="F8" s="32">
        <v>1755.38</v>
      </c>
    </row>
    <row r="9" spans="1:7" ht="22.5" customHeight="1" x14ac:dyDescent="0.5">
      <c r="A9" s="23">
        <v>2</v>
      </c>
      <c r="B9" s="24" t="s">
        <v>24</v>
      </c>
      <c r="C9" s="25" t="s">
        <v>25</v>
      </c>
      <c r="D9" s="30">
        <v>25201</v>
      </c>
      <c r="E9" s="31" t="s">
        <v>809</v>
      </c>
      <c r="F9" s="32">
        <v>799.38</v>
      </c>
    </row>
    <row r="10" spans="1:7" ht="22.5" customHeight="1" x14ac:dyDescent="0.5">
      <c r="A10" s="23">
        <v>3</v>
      </c>
      <c r="B10" s="24" t="s">
        <v>27</v>
      </c>
      <c r="C10" s="25" t="s">
        <v>28</v>
      </c>
      <c r="D10" s="38">
        <v>25196</v>
      </c>
      <c r="E10" s="39" t="s">
        <v>810</v>
      </c>
      <c r="F10" s="40">
        <v>802.5</v>
      </c>
    </row>
    <row r="11" spans="1:7" ht="22.5" customHeight="1" x14ac:dyDescent="0.5">
      <c r="A11" s="23">
        <v>4</v>
      </c>
      <c r="B11" s="24" t="s">
        <v>30</v>
      </c>
      <c r="C11" s="25" t="s">
        <v>31</v>
      </c>
      <c r="D11" s="30">
        <v>25180</v>
      </c>
      <c r="E11" s="31" t="s">
        <v>811</v>
      </c>
      <c r="F11" s="32">
        <v>1540.8</v>
      </c>
    </row>
    <row r="12" spans="1:7" s="60" customFormat="1" ht="22.5" customHeight="1" thickBot="1" x14ac:dyDescent="0.35">
      <c r="A12" s="48"/>
      <c r="B12" s="48" t="s">
        <v>15</v>
      </c>
      <c r="C12" s="49"/>
      <c r="D12" s="54"/>
      <c r="E12" s="55"/>
      <c r="F12" s="50">
        <v>4898.0600000000004</v>
      </c>
      <c r="G12" s="683">
        <f>SUM(F8:F11)</f>
        <v>4898.0600000000004</v>
      </c>
    </row>
    <row r="13" spans="1:7" ht="22.5" customHeight="1" thickTop="1" x14ac:dyDescent="0.3">
      <c r="A13" s="61"/>
      <c r="B13" s="62" t="s">
        <v>37</v>
      </c>
      <c r="C13" s="63"/>
      <c r="D13" s="68"/>
      <c r="E13" s="68"/>
      <c r="F13" s="64"/>
    </row>
    <row r="14" spans="1:7" ht="22.5" customHeight="1" x14ac:dyDescent="0.5">
      <c r="A14" s="23">
        <v>1</v>
      </c>
      <c r="B14" s="73" t="s">
        <v>38</v>
      </c>
      <c r="C14" s="25" t="s">
        <v>39</v>
      </c>
      <c r="D14" s="30">
        <v>25173</v>
      </c>
      <c r="E14" s="31" t="s">
        <v>812</v>
      </c>
      <c r="F14" s="32">
        <v>1284</v>
      </c>
    </row>
    <row r="15" spans="1:7" ht="22.5" customHeight="1" x14ac:dyDescent="0.5">
      <c r="A15" s="23">
        <v>2</v>
      </c>
      <c r="B15" s="73" t="s">
        <v>42</v>
      </c>
      <c r="C15" s="25" t="s">
        <v>43</v>
      </c>
      <c r="D15" s="30">
        <v>25197</v>
      </c>
      <c r="E15" s="31" t="s">
        <v>813</v>
      </c>
      <c r="F15" s="32">
        <v>1733.4</v>
      </c>
    </row>
    <row r="16" spans="1:7" ht="22.5" customHeight="1" x14ac:dyDescent="0.5">
      <c r="A16" s="23">
        <v>3</v>
      </c>
      <c r="B16" s="73" t="s">
        <v>45</v>
      </c>
      <c r="C16" s="25" t="s">
        <v>46</v>
      </c>
      <c r="D16" s="30">
        <v>25181</v>
      </c>
      <c r="E16" s="31" t="s">
        <v>814</v>
      </c>
      <c r="F16" s="32">
        <v>834.6</v>
      </c>
    </row>
    <row r="17" spans="1:27" ht="22.5" customHeight="1" x14ac:dyDescent="0.5">
      <c r="A17" s="23">
        <v>4</v>
      </c>
      <c r="B17" s="73" t="s">
        <v>48</v>
      </c>
      <c r="C17" s="25" t="s">
        <v>49</v>
      </c>
      <c r="D17" s="30" t="s">
        <v>815</v>
      </c>
      <c r="E17" s="31" t="s">
        <v>816</v>
      </c>
      <c r="F17" s="32">
        <v>3563.1</v>
      </c>
    </row>
    <row r="18" spans="1:27" ht="22.5" customHeight="1" x14ac:dyDescent="0.5">
      <c r="A18" s="23">
        <v>5</v>
      </c>
      <c r="B18" s="73" t="s">
        <v>51</v>
      </c>
      <c r="C18" s="25" t="s">
        <v>52</v>
      </c>
      <c r="D18" s="30">
        <v>25201</v>
      </c>
      <c r="E18" s="31" t="s">
        <v>817</v>
      </c>
      <c r="F18" s="32">
        <v>4526.1000000000004</v>
      </c>
    </row>
    <row r="19" spans="1:27" ht="22.5" customHeight="1" x14ac:dyDescent="0.5">
      <c r="A19" s="23">
        <v>6</v>
      </c>
      <c r="B19" s="73" t="s">
        <v>30</v>
      </c>
      <c r="C19" s="25" t="s">
        <v>31</v>
      </c>
      <c r="D19" s="30">
        <v>25180</v>
      </c>
      <c r="E19" s="31" t="s">
        <v>818</v>
      </c>
      <c r="F19" s="32">
        <v>6420</v>
      </c>
    </row>
    <row r="20" spans="1:27" ht="22.5" customHeight="1" x14ac:dyDescent="0.5">
      <c r="A20" s="23">
        <v>7</v>
      </c>
      <c r="B20" s="78" t="s">
        <v>54</v>
      </c>
      <c r="C20" s="25" t="s">
        <v>55</v>
      </c>
      <c r="D20" s="38">
        <v>25201</v>
      </c>
      <c r="E20" s="39" t="s">
        <v>819</v>
      </c>
      <c r="F20" s="40">
        <v>2166.75</v>
      </c>
    </row>
    <row r="21" spans="1:27" ht="22.5" customHeight="1" x14ac:dyDescent="0.5">
      <c r="A21" s="23">
        <v>8</v>
      </c>
      <c r="B21" s="78" t="s">
        <v>59</v>
      </c>
      <c r="C21" s="83" t="s">
        <v>60</v>
      </c>
      <c r="D21" s="38">
        <v>25189</v>
      </c>
      <c r="E21" s="39" t="s">
        <v>820</v>
      </c>
      <c r="F21" s="40">
        <v>21400</v>
      </c>
    </row>
    <row r="22" spans="1:27" s="88" customFormat="1" ht="22.5" customHeight="1" x14ac:dyDescent="0.5">
      <c r="A22" s="23">
        <v>9</v>
      </c>
      <c r="B22" s="84" t="s">
        <v>62</v>
      </c>
      <c r="C22" s="85" t="s">
        <v>28</v>
      </c>
      <c r="D22" s="38">
        <v>25196</v>
      </c>
      <c r="E22" s="39" t="s">
        <v>821</v>
      </c>
      <c r="F22" s="40">
        <v>856</v>
      </c>
    </row>
    <row r="23" spans="1:27" ht="22.5" customHeight="1" x14ac:dyDescent="0.5">
      <c r="A23" s="23">
        <v>10</v>
      </c>
      <c r="B23" s="89" t="s">
        <v>64</v>
      </c>
      <c r="C23" s="90" t="s">
        <v>65</v>
      </c>
      <c r="D23" s="38">
        <v>25197</v>
      </c>
      <c r="E23" s="39" t="s">
        <v>822</v>
      </c>
      <c r="F23" s="40">
        <v>21400</v>
      </c>
    </row>
    <row r="24" spans="1:27" ht="22.5" customHeight="1" x14ac:dyDescent="0.5">
      <c r="A24" s="23">
        <v>11</v>
      </c>
      <c r="B24" s="94" t="s">
        <v>67</v>
      </c>
      <c r="C24" s="95" t="s">
        <v>68</v>
      </c>
      <c r="D24" s="38">
        <v>25190</v>
      </c>
      <c r="E24" s="39" t="s">
        <v>823</v>
      </c>
      <c r="F24" s="40">
        <v>3210</v>
      </c>
    </row>
    <row r="25" spans="1:27" ht="22.5" customHeight="1" x14ac:dyDescent="0.5">
      <c r="A25" s="23">
        <v>12</v>
      </c>
      <c r="B25" s="99" t="s">
        <v>70</v>
      </c>
      <c r="C25" s="100" t="s">
        <v>60</v>
      </c>
      <c r="D25" s="101">
        <v>25189</v>
      </c>
      <c r="E25" s="102" t="s">
        <v>824</v>
      </c>
      <c r="F25" s="103">
        <v>3210</v>
      </c>
    </row>
    <row r="26" spans="1:27" s="60" customFormat="1" ht="22.5" customHeight="1" thickBot="1" x14ac:dyDescent="0.35">
      <c r="A26" s="48"/>
      <c r="B26" s="48" t="s">
        <v>15</v>
      </c>
      <c r="C26" s="49"/>
      <c r="D26" s="104"/>
      <c r="E26" s="104"/>
      <c r="F26" s="104">
        <v>70603.95</v>
      </c>
      <c r="G26" s="683">
        <f>SUM(F14:F25)</f>
        <v>70603.95</v>
      </c>
    </row>
    <row r="27" spans="1:27" ht="22.5" customHeight="1" thickTop="1" x14ac:dyDescent="0.3">
      <c r="A27" s="61"/>
      <c r="B27" s="62" t="s">
        <v>71</v>
      </c>
      <c r="C27" s="63"/>
      <c r="D27" s="68"/>
      <c r="E27" s="68"/>
      <c r="F27" s="64"/>
    </row>
    <row r="28" spans="1:27" ht="22.5" customHeight="1" x14ac:dyDescent="0.5">
      <c r="A28" s="23">
        <v>1</v>
      </c>
      <c r="B28" s="73" t="s">
        <v>72</v>
      </c>
      <c r="C28" s="25" t="s">
        <v>73</v>
      </c>
      <c r="D28" s="38">
        <v>25196</v>
      </c>
      <c r="E28" s="39" t="s">
        <v>825</v>
      </c>
      <c r="F28" s="32">
        <v>5071.8</v>
      </c>
    </row>
    <row r="29" spans="1:27" ht="22.5" customHeight="1" x14ac:dyDescent="0.5">
      <c r="A29" s="115">
        <v>2</v>
      </c>
      <c r="B29" s="4" t="s">
        <v>75</v>
      </c>
      <c r="C29" s="25" t="s">
        <v>76</v>
      </c>
      <c r="D29" s="101">
        <v>25181</v>
      </c>
      <c r="E29" s="102" t="s">
        <v>826</v>
      </c>
      <c r="F29" s="103">
        <v>14445</v>
      </c>
    </row>
    <row r="30" spans="1:27" s="60" customFormat="1" ht="22.5" customHeight="1" thickBot="1" x14ac:dyDescent="0.35">
      <c r="A30" s="48"/>
      <c r="B30" s="48" t="s">
        <v>15</v>
      </c>
      <c r="C30" s="49"/>
      <c r="D30" s="50"/>
      <c r="E30" s="50">
        <v>0</v>
      </c>
      <c r="F30" s="50">
        <v>19516.8</v>
      </c>
      <c r="G30" s="683">
        <f>SUM(F28:F29)</f>
        <v>19516.8</v>
      </c>
    </row>
    <row r="31" spans="1:27" ht="22.5" customHeight="1" thickTop="1" x14ac:dyDescent="0.3">
      <c r="A31" s="61"/>
      <c r="B31" s="121" t="s">
        <v>78</v>
      </c>
      <c r="C31" s="63"/>
      <c r="D31" s="68"/>
      <c r="E31" s="68"/>
      <c r="F31" s="64"/>
    </row>
    <row r="32" spans="1:27" s="134" customFormat="1" ht="22.5" customHeight="1" x14ac:dyDescent="0.6">
      <c r="A32" s="122">
        <v>1</v>
      </c>
      <c r="B32" s="123" t="s">
        <v>79</v>
      </c>
      <c r="C32" s="124" t="s">
        <v>60</v>
      </c>
      <c r="D32" s="38">
        <v>25189</v>
      </c>
      <c r="E32" s="39" t="s">
        <v>827</v>
      </c>
      <c r="F32" s="40">
        <v>5350</v>
      </c>
      <c r="G32" s="132"/>
      <c r="H32" s="131"/>
      <c r="I32" s="132"/>
      <c r="J32" s="132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</row>
    <row r="33" spans="1:27" s="134" customFormat="1" ht="22.5" customHeight="1" x14ac:dyDescent="0.6">
      <c r="A33" s="122">
        <v>2</v>
      </c>
      <c r="B33" s="123" t="s">
        <v>80</v>
      </c>
      <c r="C33" s="124" t="s">
        <v>65</v>
      </c>
      <c r="D33" s="38">
        <v>25197</v>
      </c>
      <c r="E33" s="39" t="s">
        <v>828</v>
      </c>
      <c r="F33" s="40">
        <v>5350</v>
      </c>
      <c r="G33" s="132"/>
      <c r="H33" s="131"/>
      <c r="I33" s="132"/>
      <c r="J33" s="132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</row>
    <row r="34" spans="1:27" s="60" customFormat="1" ht="22.5" customHeight="1" thickBot="1" x14ac:dyDescent="0.35">
      <c r="A34" s="48"/>
      <c r="B34" s="48" t="s">
        <v>15</v>
      </c>
      <c r="C34" s="49"/>
      <c r="D34" s="109"/>
      <c r="E34" s="109"/>
      <c r="F34" s="138">
        <v>10700</v>
      </c>
      <c r="G34" s="683">
        <f>SUM(F32:F33)</f>
        <v>10700</v>
      </c>
    </row>
    <row r="35" spans="1:27" ht="22.5" customHeight="1" thickTop="1" x14ac:dyDescent="0.3">
      <c r="A35" s="139"/>
      <c r="B35" s="140" t="s">
        <v>81</v>
      </c>
      <c r="C35" s="141"/>
      <c r="D35" s="68"/>
      <c r="E35" s="68"/>
      <c r="F35" s="64"/>
    </row>
    <row r="36" spans="1:27" ht="22.5" customHeight="1" x14ac:dyDescent="0.5">
      <c r="A36" s="148">
        <v>1</v>
      </c>
      <c r="B36" s="149" t="s">
        <v>82</v>
      </c>
      <c r="C36" s="90" t="s">
        <v>83</v>
      </c>
      <c r="D36" s="30">
        <v>25181</v>
      </c>
      <c r="E36" s="31" t="s">
        <v>829</v>
      </c>
      <c r="F36" s="32">
        <v>6955</v>
      </c>
    </row>
    <row r="37" spans="1:27" s="60" customFormat="1" ht="22.5" customHeight="1" thickBot="1" x14ac:dyDescent="0.35">
      <c r="A37" s="158"/>
      <c r="B37" s="158" t="s">
        <v>15</v>
      </c>
      <c r="C37" s="159"/>
      <c r="D37" s="161"/>
      <c r="E37" s="161"/>
      <c r="F37" s="162">
        <v>6955</v>
      </c>
      <c r="G37" s="683">
        <f>SUM(F36)</f>
        <v>6955</v>
      </c>
    </row>
    <row r="38" spans="1:27" ht="22.5" customHeight="1" thickTop="1" x14ac:dyDescent="0.3">
      <c r="A38" s="115"/>
      <c r="B38" s="164" t="s">
        <v>85</v>
      </c>
      <c r="C38" s="165"/>
      <c r="D38" s="170"/>
      <c r="E38" s="170"/>
      <c r="F38" s="171"/>
    </row>
    <row r="39" spans="1:27" ht="22.5" customHeight="1" x14ac:dyDescent="0.3">
      <c r="A39" s="174">
        <v>1</v>
      </c>
      <c r="B39" s="175" t="s">
        <v>86</v>
      </c>
      <c r="C39" s="176" t="s">
        <v>87</v>
      </c>
      <c r="D39" s="182">
        <v>25196</v>
      </c>
      <c r="E39" s="183" t="s">
        <v>830</v>
      </c>
      <c r="F39" s="184">
        <v>577.79999999999995</v>
      </c>
    </row>
    <row r="40" spans="1:27" ht="22.5" customHeight="1" x14ac:dyDescent="0.5">
      <c r="A40" s="174">
        <v>2</v>
      </c>
      <c r="B40" s="189" t="s">
        <v>89</v>
      </c>
      <c r="C40" s="190" t="s">
        <v>90</v>
      </c>
      <c r="D40" s="38">
        <v>25190</v>
      </c>
      <c r="E40" s="39" t="s">
        <v>831</v>
      </c>
      <c r="F40" s="40">
        <v>3210</v>
      </c>
    </row>
    <row r="41" spans="1:27" s="60" customFormat="1" ht="22.5" customHeight="1" thickBot="1" x14ac:dyDescent="0.35">
      <c r="A41" s="194"/>
      <c r="B41" s="194" t="s">
        <v>15</v>
      </c>
      <c r="C41" s="195"/>
      <c r="D41" s="198"/>
      <c r="E41" s="199"/>
      <c r="F41" s="200">
        <v>3787.8</v>
      </c>
      <c r="G41" s="683">
        <f>SUM(F39:F40)</f>
        <v>3787.8</v>
      </c>
    </row>
    <row r="42" spans="1:27" ht="22.5" customHeight="1" thickTop="1" x14ac:dyDescent="0.3">
      <c r="A42" s="61"/>
      <c r="B42" s="62" t="s">
        <v>92</v>
      </c>
      <c r="C42" s="63"/>
      <c r="D42" s="68"/>
      <c r="E42" s="68"/>
      <c r="F42" s="64"/>
    </row>
    <row r="43" spans="1:27" ht="22.5" customHeight="1" x14ac:dyDescent="0.5">
      <c r="A43" s="208">
        <v>1</v>
      </c>
      <c r="B43" s="209" t="s">
        <v>93</v>
      </c>
      <c r="C43" s="210" t="s">
        <v>43</v>
      </c>
      <c r="D43" s="30">
        <v>25197</v>
      </c>
      <c r="E43" s="31" t="s">
        <v>833</v>
      </c>
      <c r="F43" s="32">
        <v>3370.5</v>
      </c>
    </row>
    <row r="44" spans="1:27" ht="22.5" customHeight="1" x14ac:dyDescent="0.5">
      <c r="A44" s="208">
        <v>2</v>
      </c>
      <c r="B44" s="209" t="s">
        <v>95</v>
      </c>
      <c r="C44" s="210" t="s">
        <v>43</v>
      </c>
      <c r="D44" s="30">
        <v>25197</v>
      </c>
      <c r="E44" s="31" t="s">
        <v>833</v>
      </c>
      <c r="F44" s="32">
        <v>6955</v>
      </c>
    </row>
    <row r="45" spans="1:27" ht="22.5" customHeight="1" x14ac:dyDescent="0.5">
      <c r="A45" s="208">
        <v>3</v>
      </c>
      <c r="B45" s="73" t="s">
        <v>96</v>
      </c>
      <c r="C45" s="25" t="s">
        <v>97</v>
      </c>
      <c r="D45" s="30" t="s">
        <v>834</v>
      </c>
      <c r="E45" s="220" t="s">
        <v>835</v>
      </c>
      <c r="F45" s="221">
        <v>8699.0999999999985</v>
      </c>
    </row>
    <row r="46" spans="1:27" ht="22.5" customHeight="1" x14ac:dyDescent="0.5">
      <c r="A46" s="208">
        <v>4</v>
      </c>
      <c r="B46" s="73" t="s">
        <v>99</v>
      </c>
      <c r="C46" s="25" t="s">
        <v>100</v>
      </c>
      <c r="D46" s="30" t="s">
        <v>836</v>
      </c>
      <c r="E46" s="31" t="s">
        <v>837</v>
      </c>
      <c r="F46" s="32">
        <v>5778</v>
      </c>
    </row>
    <row r="47" spans="1:27" ht="22.5" customHeight="1" x14ac:dyDescent="0.5">
      <c r="A47" s="208">
        <v>5</v>
      </c>
      <c r="B47" s="24" t="s">
        <v>102</v>
      </c>
      <c r="C47" s="222" t="s">
        <v>100</v>
      </c>
      <c r="D47" s="30" t="s">
        <v>836</v>
      </c>
      <c r="E47" s="31" t="s">
        <v>837</v>
      </c>
      <c r="F47" s="32">
        <v>406.6</v>
      </c>
    </row>
    <row r="48" spans="1:27" ht="22.5" customHeight="1" x14ac:dyDescent="0.5">
      <c r="A48" s="208">
        <v>6</v>
      </c>
      <c r="B48" s="73" t="s">
        <v>103</v>
      </c>
      <c r="C48" s="25" t="s">
        <v>97</v>
      </c>
      <c r="D48" s="30">
        <v>25201</v>
      </c>
      <c r="E48" s="31" t="s">
        <v>838</v>
      </c>
      <c r="F48" s="32">
        <v>4590.3</v>
      </c>
    </row>
    <row r="49" spans="1:6" ht="22.5" customHeight="1" x14ac:dyDescent="0.5">
      <c r="A49" s="208">
        <v>7</v>
      </c>
      <c r="B49" s="73" t="s">
        <v>104</v>
      </c>
      <c r="C49" s="25" t="s">
        <v>97</v>
      </c>
      <c r="D49" s="30">
        <v>25201</v>
      </c>
      <c r="E49" s="31" t="s">
        <v>838</v>
      </c>
      <c r="F49" s="32">
        <v>10689.3</v>
      </c>
    </row>
    <row r="50" spans="1:6" ht="22.5" customHeight="1" x14ac:dyDescent="0.5">
      <c r="A50" s="208">
        <v>8</v>
      </c>
      <c r="B50" s="73" t="s">
        <v>105</v>
      </c>
      <c r="C50" s="25" t="s">
        <v>97</v>
      </c>
      <c r="D50" s="30" t="s">
        <v>815</v>
      </c>
      <c r="E50" s="31" t="s">
        <v>839</v>
      </c>
      <c r="F50" s="32">
        <v>35802.199999999997</v>
      </c>
    </row>
    <row r="51" spans="1:6" ht="22.5" customHeight="1" x14ac:dyDescent="0.5">
      <c r="A51" s="208">
        <v>9</v>
      </c>
      <c r="B51" s="73" t="s">
        <v>107</v>
      </c>
      <c r="C51" s="25" t="s">
        <v>97</v>
      </c>
      <c r="D51" s="30">
        <v>25180</v>
      </c>
      <c r="E51" s="31" t="s">
        <v>840</v>
      </c>
      <c r="F51" s="32">
        <v>535</v>
      </c>
    </row>
    <row r="52" spans="1:6" ht="22.5" customHeight="1" x14ac:dyDescent="0.5">
      <c r="A52" s="208">
        <v>10</v>
      </c>
      <c r="B52" s="209" t="s">
        <v>109</v>
      </c>
      <c r="C52" s="210" t="s">
        <v>97</v>
      </c>
      <c r="D52" s="30" t="s">
        <v>841</v>
      </c>
      <c r="E52" s="31" t="s">
        <v>842</v>
      </c>
      <c r="F52" s="32">
        <v>74996.3</v>
      </c>
    </row>
    <row r="53" spans="1:6" ht="22.5" customHeight="1" x14ac:dyDescent="0.5">
      <c r="A53" s="208">
        <v>11</v>
      </c>
      <c r="B53" s="73" t="s">
        <v>110</v>
      </c>
      <c r="C53" s="25" t="s">
        <v>87</v>
      </c>
      <c r="D53" s="30">
        <v>25196</v>
      </c>
      <c r="E53" s="31" t="s">
        <v>843</v>
      </c>
      <c r="F53" s="32">
        <v>6901.5</v>
      </c>
    </row>
    <row r="54" spans="1:6" ht="22.5" customHeight="1" x14ac:dyDescent="0.5">
      <c r="A54" s="208">
        <v>12</v>
      </c>
      <c r="B54" s="73" t="s">
        <v>112</v>
      </c>
      <c r="C54" s="25" t="s">
        <v>113</v>
      </c>
      <c r="D54" s="30">
        <v>25201</v>
      </c>
      <c r="E54" s="31" t="s">
        <v>844</v>
      </c>
      <c r="F54" s="32">
        <v>535</v>
      </c>
    </row>
    <row r="55" spans="1:6" ht="22.5" customHeight="1" x14ac:dyDescent="0.5">
      <c r="A55" s="208">
        <v>13</v>
      </c>
      <c r="B55" s="73" t="s">
        <v>117</v>
      </c>
      <c r="C55" s="25" t="s">
        <v>118</v>
      </c>
      <c r="D55" s="30">
        <v>25174</v>
      </c>
      <c r="E55" s="31" t="s">
        <v>845</v>
      </c>
      <c r="F55" s="32">
        <v>1401.7</v>
      </c>
    </row>
    <row r="56" spans="1:6" ht="22.5" customHeight="1" x14ac:dyDescent="0.5">
      <c r="A56" s="208">
        <v>14</v>
      </c>
      <c r="B56" s="73" t="s">
        <v>120</v>
      </c>
      <c r="C56" s="25" t="s">
        <v>118</v>
      </c>
      <c r="D56" s="30">
        <v>25174</v>
      </c>
      <c r="E56" s="31" t="s">
        <v>845</v>
      </c>
      <c r="F56" s="32">
        <v>3488.2</v>
      </c>
    </row>
    <row r="57" spans="1:6" ht="22.5" customHeight="1" x14ac:dyDescent="0.5">
      <c r="A57" s="208">
        <v>15</v>
      </c>
      <c r="B57" s="73" t="s">
        <v>124</v>
      </c>
      <c r="C57" s="83" t="s">
        <v>125</v>
      </c>
      <c r="D57" s="30" t="s">
        <v>846</v>
      </c>
      <c r="E57" s="31" t="s">
        <v>847</v>
      </c>
      <c r="F57" s="32">
        <v>13417.8</v>
      </c>
    </row>
    <row r="58" spans="1:6" ht="22.5" customHeight="1" x14ac:dyDescent="0.5">
      <c r="A58" s="208">
        <v>16</v>
      </c>
      <c r="B58" s="78" t="s">
        <v>129</v>
      </c>
      <c r="C58" s="210" t="s">
        <v>130</v>
      </c>
      <c r="D58" s="30" t="s">
        <v>848</v>
      </c>
      <c r="E58" s="31" t="s">
        <v>849</v>
      </c>
      <c r="F58" s="32">
        <v>22577</v>
      </c>
    </row>
    <row r="59" spans="1:6" ht="22.5" customHeight="1" x14ac:dyDescent="0.5">
      <c r="A59" s="208">
        <v>17</v>
      </c>
      <c r="B59" s="78" t="s">
        <v>132</v>
      </c>
      <c r="C59" s="210" t="s">
        <v>130</v>
      </c>
      <c r="D59" s="30">
        <v>25187</v>
      </c>
      <c r="E59" s="31" t="s">
        <v>850</v>
      </c>
      <c r="F59" s="32">
        <v>34270.400000000001</v>
      </c>
    </row>
    <row r="60" spans="1:6" ht="22.5" customHeight="1" x14ac:dyDescent="0.5">
      <c r="A60" s="208">
        <v>18</v>
      </c>
      <c r="B60" s="78" t="s">
        <v>134</v>
      </c>
      <c r="C60" s="165" t="s">
        <v>135</v>
      </c>
      <c r="D60" s="38">
        <v>25175</v>
      </c>
      <c r="E60" s="39" t="s">
        <v>851</v>
      </c>
      <c r="F60" s="40">
        <v>5467.7</v>
      </c>
    </row>
    <row r="61" spans="1:6" s="229" customFormat="1" ht="22.5" customHeight="1" x14ac:dyDescent="0.5">
      <c r="A61" s="208">
        <v>19</v>
      </c>
      <c r="B61" s="226" t="s">
        <v>137</v>
      </c>
      <c r="C61" s="227"/>
      <c r="D61" s="38">
        <v>25181</v>
      </c>
      <c r="E61" s="39" t="s">
        <v>852</v>
      </c>
      <c r="F61" s="40">
        <v>2621.5</v>
      </c>
    </row>
    <row r="62" spans="1:6" ht="22.5" customHeight="1" x14ac:dyDescent="0.5">
      <c r="A62" s="208">
        <v>20</v>
      </c>
      <c r="B62" s="78" t="s">
        <v>54</v>
      </c>
      <c r="C62" s="81" t="s">
        <v>55</v>
      </c>
      <c r="D62" s="38">
        <v>25201</v>
      </c>
      <c r="E62" s="39" t="s">
        <v>853</v>
      </c>
      <c r="F62" s="40">
        <v>13524.8</v>
      </c>
    </row>
    <row r="63" spans="1:6" ht="22.5" customHeight="1" x14ac:dyDescent="0.5">
      <c r="A63" s="208">
        <v>21</v>
      </c>
      <c r="B63" s="78" t="s">
        <v>141</v>
      </c>
      <c r="C63" s="81" t="s">
        <v>142</v>
      </c>
      <c r="D63" s="38">
        <v>25196</v>
      </c>
      <c r="E63" s="39" t="s">
        <v>854</v>
      </c>
      <c r="F63" s="40">
        <v>3648.7</v>
      </c>
    </row>
    <row r="64" spans="1:6" ht="22.5" customHeight="1" x14ac:dyDescent="0.5">
      <c r="A64" s="208">
        <v>22</v>
      </c>
      <c r="B64" s="78" t="s">
        <v>144</v>
      </c>
      <c r="C64" s="81" t="s">
        <v>145</v>
      </c>
      <c r="D64" s="38">
        <v>25196</v>
      </c>
      <c r="E64" s="39" t="s">
        <v>855</v>
      </c>
      <c r="F64" s="40">
        <v>406.6</v>
      </c>
    </row>
    <row r="65" spans="1:6" ht="22.5" customHeight="1" x14ac:dyDescent="0.5">
      <c r="A65" s="208">
        <v>23</v>
      </c>
      <c r="B65" s="237" t="s">
        <v>149</v>
      </c>
      <c r="C65" s="238" t="s">
        <v>150</v>
      </c>
      <c r="D65" s="38">
        <v>25195</v>
      </c>
      <c r="E65" s="39" t="s">
        <v>856</v>
      </c>
      <c r="F65" s="40">
        <v>1476.6</v>
      </c>
    </row>
    <row r="66" spans="1:6" ht="22.5" customHeight="1" x14ac:dyDescent="0.5">
      <c r="A66" s="208">
        <v>24</v>
      </c>
      <c r="B66" s="240" t="s">
        <v>157</v>
      </c>
      <c r="C66" s="83" t="s">
        <v>158</v>
      </c>
      <c r="D66" s="38">
        <v>25201</v>
      </c>
      <c r="E66" s="39" t="s">
        <v>857</v>
      </c>
      <c r="F66" s="40">
        <v>1765.5</v>
      </c>
    </row>
    <row r="67" spans="1:6" ht="22.5" customHeight="1" x14ac:dyDescent="0.5">
      <c r="A67" s="208">
        <v>25</v>
      </c>
      <c r="B67" s="240" t="s">
        <v>162</v>
      </c>
      <c r="C67" s="83" t="s">
        <v>163</v>
      </c>
      <c r="D67" s="38">
        <v>25201</v>
      </c>
      <c r="E67" s="39" t="s">
        <v>858</v>
      </c>
      <c r="F67" s="40">
        <v>4986.2</v>
      </c>
    </row>
    <row r="68" spans="1:6" ht="22.5" customHeight="1" x14ac:dyDescent="0.5">
      <c r="A68" s="208">
        <v>26</v>
      </c>
      <c r="B68" s="209" t="s">
        <v>165</v>
      </c>
      <c r="C68" s="210" t="s">
        <v>166</v>
      </c>
      <c r="D68" s="38">
        <v>25187</v>
      </c>
      <c r="E68" s="39" t="s">
        <v>859</v>
      </c>
      <c r="F68" s="40">
        <v>492.2</v>
      </c>
    </row>
    <row r="69" spans="1:6" ht="22.5" customHeight="1" x14ac:dyDescent="0.5">
      <c r="A69" s="208">
        <v>27</v>
      </c>
      <c r="B69" s="209" t="s">
        <v>171</v>
      </c>
      <c r="C69" s="210"/>
      <c r="D69" s="38">
        <v>25194</v>
      </c>
      <c r="E69" s="39" t="s">
        <v>861</v>
      </c>
      <c r="F69" s="40">
        <v>395.9</v>
      </c>
    </row>
    <row r="70" spans="1:6" ht="22.5" customHeight="1" x14ac:dyDescent="0.5">
      <c r="A70" s="208">
        <v>28</v>
      </c>
      <c r="B70" s="209" t="s">
        <v>173</v>
      </c>
      <c r="C70" s="210" t="s">
        <v>174</v>
      </c>
      <c r="D70" s="38">
        <v>25195</v>
      </c>
      <c r="E70" s="39" t="s">
        <v>862</v>
      </c>
      <c r="F70" s="40">
        <v>1615.7</v>
      </c>
    </row>
    <row r="71" spans="1:6" ht="22.5" customHeight="1" x14ac:dyDescent="0.5">
      <c r="A71" s="208">
        <v>29</v>
      </c>
      <c r="B71" s="209" t="s">
        <v>175</v>
      </c>
      <c r="C71" s="210" t="s">
        <v>176</v>
      </c>
      <c r="D71" s="30">
        <v>25180</v>
      </c>
      <c r="E71" s="31" t="s">
        <v>863</v>
      </c>
      <c r="F71" s="32">
        <v>674.1</v>
      </c>
    </row>
    <row r="72" spans="1:6" ht="22.5" customHeight="1" x14ac:dyDescent="0.5">
      <c r="A72" s="208">
        <v>30</v>
      </c>
      <c r="B72" s="209" t="s">
        <v>181</v>
      </c>
      <c r="C72" s="210" t="s">
        <v>182</v>
      </c>
      <c r="D72" s="38">
        <v>25196</v>
      </c>
      <c r="E72" s="39" t="s">
        <v>864</v>
      </c>
      <c r="F72" s="40">
        <v>353.1</v>
      </c>
    </row>
    <row r="73" spans="1:6" ht="22.5" customHeight="1" x14ac:dyDescent="0.5">
      <c r="A73" s="208">
        <v>31</v>
      </c>
      <c r="B73" s="209" t="s">
        <v>64</v>
      </c>
      <c r="C73" s="210" t="s">
        <v>184</v>
      </c>
      <c r="D73" s="38">
        <v>25197</v>
      </c>
      <c r="E73" s="245" t="s">
        <v>865</v>
      </c>
      <c r="F73" s="246">
        <v>3445.4</v>
      </c>
    </row>
    <row r="74" spans="1:6" ht="22.5" customHeight="1" x14ac:dyDescent="0.5">
      <c r="A74" s="208">
        <v>32</v>
      </c>
      <c r="B74" s="209" t="s">
        <v>64</v>
      </c>
      <c r="C74" s="210" t="s">
        <v>184</v>
      </c>
      <c r="D74" s="38">
        <v>25197</v>
      </c>
      <c r="E74" s="245" t="s">
        <v>865</v>
      </c>
      <c r="F74" s="246">
        <v>2418.1999999999998</v>
      </c>
    </row>
    <row r="75" spans="1:6" ht="22.5" customHeight="1" x14ac:dyDescent="0.5">
      <c r="A75" s="208">
        <v>33</v>
      </c>
      <c r="B75" s="209" t="s">
        <v>186</v>
      </c>
      <c r="C75" s="210" t="s">
        <v>187</v>
      </c>
      <c r="D75" s="38">
        <v>25194</v>
      </c>
      <c r="E75" s="39" t="s">
        <v>866</v>
      </c>
      <c r="F75" s="246">
        <v>224.7</v>
      </c>
    </row>
    <row r="76" spans="1:6" ht="22.5" customHeight="1" x14ac:dyDescent="0.5">
      <c r="A76" s="208">
        <v>34</v>
      </c>
      <c r="B76" s="209" t="s">
        <v>191</v>
      </c>
      <c r="C76" s="210" t="s">
        <v>190</v>
      </c>
      <c r="D76" s="38">
        <v>25189</v>
      </c>
      <c r="E76" s="39" t="s">
        <v>867</v>
      </c>
      <c r="F76" s="246">
        <v>8335.2999999999993</v>
      </c>
    </row>
    <row r="77" spans="1:6" ht="22.5" customHeight="1" x14ac:dyDescent="0.5">
      <c r="A77" s="208">
        <v>35</v>
      </c>
      <c r="B77" s="209" t="s">
        <v>193</v>
      </c>
      <c r="C77" s="210" t="s">
        <v>194</v>
      </c>
      <c r="D77" s="38">
        <v>25174</v>
      </c>
      <c r="E77" s="39" t="s">
        <v>868</v>
      </c>
      <c r="F77" s="246">
        <v>1872.5</v>
      </c>
    </row>
    <row r="78" spans="1:6" ht="22.5" customHeight="1" x14ac:dyDescent="0.5">
      <c r="A78" s="208">
        <v>36</v>
      </c>
      <c r="B78" s="209" t="s">
        <v>195</v>
      </c>
      <c r="C78" s="210" t="s">
        <v>196</v>
      </c>
      <c r="D78" s="38">
        <v>25194</v>
      </c>
      <c r="E78" s="245" t="s">
        <v>869</v>
      </c>
      <c r="F78" s="246">
        <v>599.20000000000005</v>
      </c>
    </row>
    <row r="79" spans="1:6" ht="22.5" customHeight="1" x14ac:dyDescent="0.5">
      <c r="A79" s="208">
        <v>37</v>
      </c>
      <c r="B79" s="209" t="s">
        <v>198</v>
      </c>
      <c r="C79" s="210" t="s">
        <v>46</v>
      </c>
      <c r="D79" s="38">
        <v>25181</v>
      </c>
      <c r="E79" s="245" t="s">
        <v>870</v>
      </c>
      <c r="F79" s="246">
        <v>42.8</v>
      </c>
    </row>
    <row r="80" spans="1:6" ht="22.5" customHeight="1" x14ac:dyDescent="0.5">
      <c r="A80" s="208">
        <v>38</v>
      </c>
      <c r="B80" s="209" t="s">
        <v>198</v>
      </c>
      <c r="C80" s="210" t="s">
        <v>567</v>
      </c>
      <c r="D80" s="38">
        <v>25181</v>
      </c>
      <c r="E80" s="245" t="s">
        <v>871</v>
      </c>
      <c r="F80" s="246">
        <v>888.1</v>
      </c>
    </row>
    <row r="81" spans="1:7" ht="22.5" customHeight="1" x14ac:dyDescent="0.5">
      <c r="A81" s="208">
        <v>39</v>
      </c>
      <c r="B81" s="209" t="s">
        <v>203</v>
      </c>
      <c r="C81" s="210" t="s">
        <v>204</v>
      </c>
      <c r="D81" s="30">
        <v>25194</v>
      </c>
      <c r="E81" s="31" t="s">
        <v>873</v>
      </c>
      <c r="F81" s="221">
        <v>1412.4</v>
      </c>
    </row>
    <row r="82" spans="1:7" ht="22.5" customHeight="1" x14ac:dyDescent="0.5">
      <c r="A82" s="208">
        <v>40</v>
      </c>
      <c r="B82" s="209" t="s">
        <v>205</v>
      </c>
      <c r="C82" s="210" t="s">
        <v>206</v>
      </c>
      <c r="D82" s="30">
        <v>25194</v>
      </c>
      <c r="E82" s="249" t="s">
        <v>874</v>
      </c>
      <c r="F82" s="221">
        <v>973.7</v>
      </c>
    </row>
    <row r="83" spans="1:7" ht="22.5" customHeight="1" x14ac:dyDescent="0.5">
      <c r="A83" s="208">
        <v>41</v>
      </c>
      <c r="B83" s="209" t="s">
        <v>210</v>
      </c>
      <c r="C83" s="210" t="s">
        <v>211</v>
      </c>
      <c r="D83" s="38">
        <v>25187</v>
      </c>
      <c r="E83" s="39" t="s">
        <v>875</v>
      </c>
      <c r="F83" s="246">
        <v>4076.7</v>
      </c>
    </row>
    <row r="84" spans="1:7" ht="22.5" customHeight="1" x14ac:dyDescent="0.5">
      <c r="A84" s="208">
        <v>42</v>
      </c>
      <c r="B84" s="209" t="s">
        <v>214</v>
      </c>
      <c r="C84" s="210" t="s">
        <v>215</v>
      </c>
      <c r="D84" s="38">
        <v>25198</v>
      </c>
      <c r="E84" s="39" t="s">
        <v>876</v>
      </c>
      <c r="F84" s="246">
        <v>1712</v>
      </c>
    </row>
    <row r="85" spans="1:7" ht="22.5" customHeight="1" x14ac:dyDescent="0.5">
      <c r="A85" s="208">
        <v>43</v>
      </c>
      <c r="B85" s="254" t="s">
        <v>217</v>
      </c>
      <c r="C85" s="238" t="s">
        <v>218</v>
      </c>
      <c r="D85" s="38">
        <v>25194</v>
      </c>
      <c r="E85" s="245" t="s">
        <v>877</v>
      </c>
      <c r="F85" s="246">
        <v>2161.4</v>
      </c>
    </row>
    <row r="86" spans="1:7" ht="22.5" customHeight="1" x14ac:dyDescent="0.5">
      <c r="A86" s="208">
        <v>44</v>
      </c>
      <c r="B86" s="261" t="s">
        <v>224</v>
      </c>
      <c r="C86" s="261" t="s">
        <v>225</v>
      </c>
      <c r="D86" s="38" t="s">
        <v>878</v>
      </c>
      <c r="E86" s="245" t="s">
        <v>879</v>
      </c>
      <c r="F86" s="246">
        <v>1080.7</v>
      </c>
    </row>
    <row r="87" spans="1:7" ht="22.5" customHeight="1" x14ac:dyDescent="0.5">
      <c r="A87" s="208">
        <v>45</v>
      </c>
      <c r="B87" s="265" t="s">
        <v>226</v>
      </c>
      <c r="C87" s="265" t="s">
        <v>227</v>
      </c>
      <c r="D87" s="38">
        <v>25180</v>
      </c>
      <c r="E87" s="245" t="s">
        <v>880</v>
      </c>
      <c r="F87" s="246">
        <v>3038.8</v>
      </c>
    </row>
    <row r="88" spans="1:7" ht="22.5" customHeight="1" x14ac:dyDescent="0.5">
      <c r="A88" s="208">
        <v>46</v>
      </c>
      <c r="B88" s="265" t="s">
        <v>229</v>
      </c>
      <c r="C88" s="265" t="s">
        <v>230</v>
      </c>
      <c r="D88" s="101" t="s">
        <v>881</v>
      </c>
      <c r="E88" s="102" t="s">
        <v>882</v>
      </c>
      <c r="F88" s="272">
        <v>16231.900000000001</v>
      </c>
    </row>
    <row r="89" spans="1:7" ht="22.5" customHeight="1" x14ac:dyDescent="0.5">
      <c r="A89" s="208">
        <v>47</v>
      </c>
      <c r="B89" s="265" t="s">
        <v>705</v>
      </c>
      <c r="C89" s="794"/>
      <c r="D89" s="672">
        <v>25195</v>
      </c>
      <c r="E89" s="673" t="s">
        <v>883</v>
      </c>
      <c r="F89" s="674">
        <v>984.4</v>
      </c>
    </row>
    <row r="90" spans="1:7" s="60" customFormat="1" ht="22.5" customHeight="1" thickBot="1" x14ac:dyDescent="0.35">
      <c r="A90" s="278"/>
      <c r="B90" s="278" t="s">
        <v>15</v>
      </c>
      <c r="C90" s="279"/>
      <c r="D90" s="280"/>
      <c r="E90" s="280">
        <v>0</v>
      </c>
      <c r="F90" s="280">
        <v>321340.70000000019</v>
      </c>
      <c r="G90" s="683">
        <f>SUM(F43:F89)</f>
        <v>321340.70000000019</v>
      </c>
    </row>
    <row r="91" spans="1:7" ht="22.5" customHeight="1" thickTop="1" x14ac:dyDescent="0.3">
      <c r="A91" s="61"/>
      <c r="B91" s="121" t="s">
        <v>232</v>
      </c>
      <c r="C91" s="63"/>
      <c r="D91" s="286"/>
      <c r="E91" s="287"/>
      <c r="F91" s="288"/>
    </row>
    <row r="92" spans="1:7" ht="22.5" customHeight="1" x14ac:dyDescent="0.5">
      <c r="A92" s="23">
        <v>1</v>
      </c>
      <c r="B92" s="73" t="s">
        <v>234</v>
      </c>
      <c r="C92" s="25" t="s">
        <v>235</v>
      </c>
      <c r="D92" s="30">
        <v>25198</v>
      </c>
      <c r="E92" s="31" t="s">
        <v>884</v>
      </c>
      <c r="F92" s="32">
        <v>9450</v>
      </c>
    </row>
    <row r="93" spans="1:7" ht="22.5" customHeight="1" x14ac:dyDescent="0.5">
      <c r="A93" s="23">
        <v>2</v>
      </c>
      <c r="B93" s="73" t="s">
        <v>237</v>
      </c>
      <c r="C93" s="25" t="s">
        <v>238</v>
      </c>
      <c r="D93" s="30">
        <v>25198</v>
      </c>
      <c r="E93" s="31" t="s">
        <v>885</v>
      </c>
      <c r="F93" s="32">
        <v>3150</v>
      </c>
    </row>
    <row r="94" spans="1:7" ht="22.5" customHeight="1" x14ac:dyDescent="0.5">
      <c r="A94" s="23">
        <v>3</v>
      </c>
      <c r="B94" s="73" t="s">
        <v>240</v>
      </c>
      <c r="C94" s="25" t="s">
        <v>241</v>
      </c>
      <c r="D94" s="30" t="s">
        <v>886</v>
      </c>
      <c r="E94" s="31" t="s">
        <v>887</v>
      </c>
      <c r="F94" s="32">
        <v>47250</v>
      </c>
    </row>
    <row r="95" spans="1:7" ht="22.5" customHeight="1" x14ac:dyDescent="0.5">
      <c r="A95" s="23">
        <v>4</v>
      </c>
      <c r="B95" s="73" t="s">
        <v>240</v>
      </c>
      <c r="C95" s="25" t="s">
        <v>242</v>
      </c>
      <c r="D95" s="30" t="s">
        <v>886</v>
      </c>
      <c r="E95" s="31" t="s">
        <v>887</v>
      </c>
      <c r="F95" s="32">
        <v>18900</v>
      </c>
    </row>
    <row r="96" spans="1:7" ht="22.5" customHeight="1" x14ac:dyDescent="0.5">
      <c r="A96" s="23">
        <v>5</v>
      </c>
      <c r="B96" s="73" t="s">
        <v>198</v>
      </c>
      <c r="C96" s="25" t="s">
        <v>243</v>
      </c>
      <c r="D96" s="30">
        <v>25181</v>
      </c>
      <c r="E96" s="31" t="s">
        <v>888</v>
      </c>
      <c r="F96" s="32">
        <v>22050</v>
      </c>
    </row>
    <row r="97" spans="1:6" ht="22.5" customHeight="1" x14ac:dyDescent="0.5">
      <c r="A97" s="23">
        <v>6</v>
      </c>
      <c r="B97" s="73" t="s">
        <v>245</v>
      </c>
      <c r="C97" s="25" t="s">
        <v>246</v>
      </c>
      <c r="D97" s="30">
        <v>25176</v>
      </c>
      <c r="E97" s="31" t="s">
        <v>889</v>
      </c>
      <c r="F97" s="32">
        <v>9450</v>
      </c>
    </row>
    <row r="98" spans="1:6" ht="22.5" customHeight="1" x14ac:dyDescent="0.5">
      <c r="A98" s="23">
        <v>7</v>
      </c>
      <c r="B98" s="73" t="s">
        <v>248</v>
      </c>
      <c r="C98" s="25" t="s">
        <v>249</v>
      </c>
      <c r="D98" s="30">
        <v>25195</v>
      </c>
      <c r="E98" s="31" t="s">
        <v>890</v>
      </c>
      <c r="F98" s="32">
        <v>12600</v>
      </c>
    </row>
    <row r="99" spans="1:6" ht="22.5" customHeight="1" x14ac:dyDescent="0.5">
      <c r="A99" s="23">
        <v>8</v>
      </c>
      <c r="B99" s="209" t="s">
        <v>250</v>
      </c>
      <c r="C99" s="210" t="s">
        <v>251</v>
      </c>
      <c r="D99" s="30">
        <v>25175</v>
      </c>
      <c r="E99" s="31" t="s">
        <v>891</v>
      </c>
      <c r="F99" s="32">
        <v>6300</v>
      </c>
    </row>
    <row r="100" spans="1:6" ht="22.5" customHeight="1" x14ac:dyDescent="0.5">
      <c r="A100" s="23">
        <v>9</v>
      </c>
      <c r="B100" s="73" t="s">
        <v>253</v>
      </c>
      <c r="C100" s="25" t="s">
        <v>254</v>
      </c>
      <c r="D100" s="30">
        <v>25195</v>
      </c>
      <c r="E100" s="31" t="s">
        <v>892</v>
      </c>
      <c r="F100" s="32">
        <v>9450</v>
      </c>
    </row>
    <row r="101" spans="1:6" ht="22.5" customHeight="1" x14ac:dyDescent="0.5">
      <c r="A101" s="23">
        <v>10</v>
      </c>
      <c r="B101" s="73" t="s">
        <v>257</v>
      </c>
      <c r="C101" s="25" t="s">
        <v>258</v>
      </c>
      <c r="D101" s="30">
        <v>25176</v>
      </c>
      <c r="E101" s="31" t="s">
        <v>893</v>
      </c>
      <c r="F101" s="32">
        <v>5600</v>
      </c>
    </row>
    <row r="102" spans="1:6" ht="22.5" customHeight="1" x14ac:dyDescent="0.5">
      <c r="A102" s="23">
        <v>11</v>
      </c>
      <c r="B102" s="73" t="s">
        <v>198</v>
      </c>
      <c r="C102" s="25" t="s">
        <v>260</v>
      </c>
      <c r="D102" s="30">
        <v>25181</v>
      </c>
      <c r="E102" s="31" t="s">
        <v>888</v>
      </c>
      <c r="F102" s="32">
        <v>2800</v>
      </c>
    </row>
    <row r="103" spans="1:6" ht="22.5" customHeight="1" x14ac:dyDescent="0.5">
      <c r="A103" s="23">
        <v>12</v>
      </c>
      <c r="B103" s="73" t="s">
        <v>261</v>
      </c>
      <c r="C103" s="25" t="s">
        <v>262</v>
      </c>
      <c r="D103" s="30">
        <v>25183</v>
      </c>
      <c r="E103" s="31" t="s">
        <v>894</v>
      </c>
      <c r="F103" s="32">
        <v>5600</v>
      </c>
    </row>
    <row r="104" spans="1:6" ht="22.5" customHeight="1" x14ac:dyDescent="0.5">
      <c r="A104" s="23">
        <v>13</v>
      </c>
      <c r="B104" s="73" t="s">
        <v>264</v>
      </c>
      <c r="C104" s="25" t="s">
        <v>265</v>
      </c>
      <c r="D104" s="30">
        <v>25183</v>
      </c>
      <c r="E104" s="31" t="s">
        <v>894</v>
      </c>
      <c r="F104" s="32">
        <v>5600</v>
      </c>
    </row>
    <row r="105" spans="1:6" ht="22.5" customHeight="1" x14ac:dyDescent="0.5">
      <c r="A105" s="23">
        <v>14</v>
      </c>
      <c r="B105" s="73" t="s">
        <v>266</v>
      </c>
      <c r="C105" s="25" t="s">
        <v>267</v>
      </c>
      <c r="D105" s="30">
        <v>25180</v>
      </c>
      <c r="E105" s="31" t="s">
        <v>895</v>
      </c>
      <c r="F105" s="32">
        <v>5600</v>
      </c>
    </row>
    <row r="106" spans="1:6" ht="22.5" customHeight="1" x14ac:dyDescent="0.5">
      <c r="A106" s="23">
        <v>15</v>
      </c>
      <c r="B106" s="73" t="s">
        <v>270</v>
      </c>
      <c r="C106" s="25" t="s">
        <v>271</v>
      </c>
      <c r="D106" s="30">
        <v>25176</v>
      </c>
      <c r="E106" s="31" t="s">
        <v>896</v>
      </c>
      <c r="F106" s="32">
        <v>9450</v>
      </c>
    </row>
    <row r="107" spans="1:6" ht="22.5" customHeight="1" x14ac:dyDescent="0.5">
      <c r="A107" s="23">
        <v>16</v>
      </c>
      <c r="B107" s="73" t="s">
        <v>261</v>
      </c>
      <c r="C107" s="25" t="s">
        <v>273</v>
      </c>
      <c r="D107" s="30">
        <v>25183</v>
      </c>
      <c r="E107" s="31" t="s">
        <v>894</v>
      </c>
      <c r="F107" s="32">
        <v>9450</v>
      </c>
    </row>
    <row r="108" spans="1:6" ht="22.5" customHeight="1" x14ac:dyDescent="0.5">
      <c r="A108" s="23">
        <v>17</v>
      </c>
      <c r="B108" s="73" t="s">
        <v>274</v>
      </c>
      <c r="C108" s="25" t="s">
        <v>275</v>
      </c>
      <c r="D108" s="30">
        <v>25180</v>
      </c>
      <c r="E108" s="31" t="s">
        <v>897</v>
      </c>
      <c r="F108" s="32">
        <v>3150</v>
      </c>
    </row>
    <row r="109" spans="1:6" ht="22.5" customHeight="1" x14ac:dyDescent="0.5">
      <c r="A109" s="23">
        <v>18</v>
      </c>
      <c r="B109" s="73" t="s">
        <v>277</v>
      </c>
      <c r="C109" s="25" t="s">
        <v>278</v>
      </c>
      <c r="D109" s="30">
        <v>25175</v>
      </c>
      <c r="E109" s="31" t="s">
        <v>898</v>
      </c>
      <c r="F109" s="32">
        <v>6300</v>
      </c>
    </row>
    <row r="110" spans="1:6" ht="22.5" customHeight="1" x14ac:dyDescent="0.5">
      <c r="A110" s="23">
        <v>19</v>
      </c>
      <c r="B110" s="73" t="s">
        <v>287</v>
      </c>
      <c r="C110" s="25" t="s">
        <v>288</v>
      </c>
      <c r="D110" s="30">
        <v>25174</v>
      </c>
      <c r="E110" s="31" t="s">
        <v>900</v>
      </c>
      <c r="F110" s="32">
        <v>5600</v>
      </c>
    </row>
    <row r="111" spans="1:6" ht="22.5" customHeight="1" x14ac:dyDescent="0.5">
      <c r="A111" s="23">
        <v>20</v>
      </c>
      <c r="B111" s="73" t="s">
        <v>290</v>
      </c>
      <c r="C111" s="25" t="s">
        <v>291</v>
      </c>
      <c r="D111" s="30">
        <v>25173</v>
      </c>
      <c r="E111" s="31" t="s">
        <v>901</v>
      </c>
      <c r="F111" s="32">
        <v>5600</v>
      </c>
    </row>
    <row r="112" spans="1:6" ht="22.5" customHeight="1" x14ac:dyDescent="0.5">
      <c r="A112" s="23">
        <v>21</v>
      </c>
      <c r="B112" s="73" t="s">
        <v>293</v>
      </c>
      <c r="C112" s="25" t="s">
        <v>294</v>
      </c>
      <c r="D112" s="30">
        <v>25176</v>
      </c>
      <c r="E112" s="31" t="s">
        <v>902</v>
      </c>
      <c r="F112" s="32">
        <v>2800</v>
      </c>
    </row>
    <row r="113" spans="1:6" ht="22.5" customHeight="1" x14ac:dyDescent="0.5">
      <c r="A113" s="23">
        <v>22</v>
      </c>
      <c r="B113" s="73" t="s">
        <v>296</v>
      </c>
      <c r="C113" s="25" t="s">
        <v>297</v>
      </c>
      <c r="D113" s="30">
        <v>25198</v>
      </c>
      <c r="E113" s="31" t="s">
        <v>903</v>
      </c>
      <c r="F113" s="32">
        <v>5600</v>
      </c>
    </row>
    <row r="114" spans="1:6" ht="22.5" customHeight="1" x14ac:dyDescent="0.5">
      <c r="A114" s="23">
        <v>23</v>
      </c>
      <c r="B114" s="209" t="s">
        <v>300</v>
      </c>
      <c r="C114" s="210" t="s">
        <v>301</v>
      </c>
      <c r="D114" s="30">
        <v>25187</v>
      </c>
      <c r="E114" s="31" t="s">
        <v>904</v>
      </c>
      <c r="F114" s="32">
        <v>5600</v>
      </c>
    </row>
    <row r="115" spans="1:6" ht="22.5" customHeight="1" x14ac:dyDescent="0.5">
      <c r="A115" s="23">
        <v>24</v>
      </c>
      <c r="B115" s="209" t="s">
        <v>303</v>
      </c>
      <c r="C115" s="210" t="s">
        <v>304</v>
      </c>
      <c r="D115" s="30">
        <v>25194</v>
      </c>
      <c r="E115" s="249" t="s">
        <v>905</v>
      </c>
      <c r="F115" s="221">
        <v>2800</v>
      </c>
    </row>
    <row r="116" spans="1:6" ht="22.5" customHeight="1" x14ac:dyDescent="0.5">
      <c r="A116" s="23">
        <v>25</v>
      </c>
      <c r="B116" s="209" t="s">
        <v>306</v>
      </c>
      <c r="C116" s="210" t="s">
        <v>307</v>
      </c>
      <c r="D116" s="30">
        <v>25198</v>
      </c>
      <c r="E116" s="31" t="s">
        <v>903</v>
      </c>
      <c r="F116" s="32">
        <v>5600</v>
      </c>
    </row>
    <row r="117" spans="1:6" ht="22.5" customHeight="1" x14ac:dyDescent="0.5">
      <c r="A117" s="23">
        <v>26</v>
      </c>
      <c r="B117" s="73" t="s">
        <v>308</v>
      </c>
      <c r="C117" s="25" t="s">
        <v>309</v>
      </c>
      <c r="D117" s="30">
        <v>25183</v>
      </c>
      <c r="E117" s="31" t="s">
        <v>906</v>
      </c>
      <c r="F117" s="32">
        <v>8400</v>
      </c>
    </row>
    <row r="118" spans="1:6" ht="22.5" customHeight="1" x14ac:dyDescent="0.5">
      <c r="A118" s="23">
        <v>27</v>
      </c>
      <c r="B118" s="73" t="s">
        <v>261</v>
      </c>
      <c r="C118" s="25" t="s">
        <v>311</v>
      </c>
      <c r="D118" s="30">
        <v>25183</v>
      </c>
      <c r="E118" s="31" t="s">
        <v>894</v>
      </c>
      <c r="F118" s="32">
        <v>2800</v>
      </c>
    </row>
    <row r="119" spans="1:6" ht="22.5" customHeight="1" x14ac:dyDescent="0.5">
      <c r="A119" s="23">
        <v>28</v>
      </c>
      <c r="B119" s="310" t="s">
        <v>261</v>
      </c>
      <c r="C119" s="311" t="s">
        <v>312</v>
      </c>
      <c r="D119" s="30">
        <v>25183</v>
      </c>
      <c r="E119" s="31" t="s">
        <v>894</v>
      </c>
      <c r="F119" s="32">
        <v>2800</v>
      </c>
    </row>
    <row r="120" spans="1:6" ht="22.5" customHeight="1" x14ac:dyDescent="0.5">
      <c r="A120" s="23">
        <v>29</v>
      </c>
      <c r="B120" s="73" t="s">
        <v>313</v>
      </c>
      <c r="C120" s="25" t="s">
        <v>314</v>
      </c>
      <c r="D120" s="30">
        <v>25195</v>
      </c>
      <c r="E120" s="31" t="s">
        <v>892</v>
      </c>
      <c r="F120" s="32">
        <v>2800</v>
      </c>
    </row>
    <row r="121" spans="1:6" ht="22.5" customHeight="1" x14ac:dyDescent="0.5">
      <c r="A121" s="23">
        <v>30</v>
      </c>
      <c r="B121" s="73" t="s">
        <v>261</v>
      </c>
      <c r="C121" s="25" t="s">
        <v>316</v>
      </c>
      <c r="D121" s="30">
        <v>25183</v>
      </c>
      <c r="E121" s="31" t="s">
        <v>894</v>
      </c>
      <c r="F121" s="32">
        <v>2800</v>
      </c>
    </row>
    <row r="122" spans="1:6" ht="22.5" customHeight="1" x14ac:dyDescent="0.5">
      <c r="A122" s="23">
        <v>31</v>
      </c>
      <c r="B122" s="73" t="s">
        <v>317</v>
      </c>
      <c r="C122" s="25" t="s">
        <v>318</v>
      </c>
      <c r="D122" s="30">
        <v>25180</v>
      </c>
      <c r="E122" s="31" t="s">
        <v>907</v>
      </c>
      <c r="F122" s="32">
        <v>2800</v>
      </c>
    </row>
    <row r="123" spans="1:6" ht="22.5" customHeight="1" x14ac:dyDescent="0.5">
      <c r="A123" s="23">
        <v>32</v>
      </c>
      <c r="B123" s="73" t="s">
        <v>320</v>
      </c>
      <c r="C123" s="25" t="s">
        <v>321</v>
      </c>
      <c r="D123" s="30">
        <v>25198</v>
      </c>
      <c r="E123" s="31" t="s">
        <v>876</v>
      </c>
      <c r="F123" s="32">
        <v>2800</v>
      </c>
    </row>
    <row r="124" spans="1:6" ht="22.5" customHeight="1" x14ac:dyDescent="0.5">
      <c r="A124" s="23">
        <v>33</v>
      </c>
      <c r="B124" s="73" t="s">
        <v>322</v>
      </c>
      <c r="C124" s="25" t="s">
        <v>323</v>
      </c>
      <c r="D124" s="30">
        <v>25201</v>
      </c>
      <c r="E124" s="31" t="s">
        <v>908</v>
      </c>
      <c r="F124" s="32">
        <v>5600</v>
      </c>
    </row>
    <row r="125" spans="1:6" ht="22.5" customHeight="1" x14ac:dyDescent="0.5">
      <c r="A125" s="23">
        <v>34</v>
      </c>
      <c r="B125" s="73" t="s">
        <v>293</v>
      </c>
      <c r="C125" s="25" t="s">
        <v>326</v>
      </c>
      <c r="D125" s="30">
        <v>25176</v>
      </c>
      <c r="E125" s="31" t="s">
        <v>902</v>
      </c>
      <c r="F125" s="32">
        <v>5600</v>
      </c>
    </row>
    <row r="126" spans="1:6" ht="22.5" customHeight="1" x14ac:dyDescent="0.5">
      <c r="A126" s="23">
        <v>35</v>
      </c>
      <c r="B126" s="73" t="s">
        <v>293</v>
      </c>
      <c r="C126" s="25" t="s">
        <v>327</v>
      </c>
      <c r="D126" s="30">
        <v>25176</v>
      </c>
      <c r="E126" s="31" t="s">
        <v>902</v>
      </c>
      <c r="F126" s="32">
        <v>5600</v>
      </c>
    </row>
    <row r="127" spans="1:6" ht="22.5" customHeight="1" x14ac:dyDescent="0.5">
      <c r="A127" s="23">
        <v>36</v>
      </c>
      <c r="B127" s="24" t="s">
        <v>329</v>
      </c>
      <c r="C127" s="25" t="s">
        <v>330</v>
      </c>
      <c r="D127" s="30">
        <v>25189</v>
      </c>
      <c r="E127" s="31" t="s">
        <v>909</v>
      </c>
      <c r="F127" s="32">
        <v>130536.37</v>
      </c>
    </row>
    <row r="128" spans="1:6" ht="22.5" customHeight="1" x14ac:dyDescent="0.5">
      <c r="A128" s="23">
        <v>37</v>
      </c>
      <c r="B128" s="24" t="s">
        <v>329</v>
      </c>
      <c r="C128" s="25" t="s">
        <v>331</v>
      </c>
      <c r="D128" s="30">
        <v>25189</v>
      </c>
      <c r="E128" s="31" t="s">
        <v>910</v>
      </c>
      <c r="F128" s="32">
        <v>96520.67</v>
      </c>
    </row>
    <row r="129" spans="1:6" ht="22.5" customHeight="1" x14ac:dyDescent="0.5">
      <c r="A129" s="23">
        <v>38</v>
      </c>
      <c r="B129" s="24" t="s">
        <v>332</v>
      </c>
      <c r="C129" s="25" t="s">
        <v>333</v>
      </c>
      <c r="D129" s="30">
        <v>25174</v>
      </c>
      <c r="E129" s="31" t="s">
        <v>911</v>
      </c>
      <c r="F129" s="32">
        <v>63810</v>
      </c>
    </row>
    <row r="130" spans="1:6" ht="22.5" customHeight="1" x14ac:dyDescent="0.5">
      <c r="A130" s="23">
        <v>39</v>
      </c>
      <c r="B130" s="332" t="s">
        <v>335</v>
      </c>
      <c r="C130" s="81" t="s">
        <v>336</v>
      </c>
      <c r="D130" s="335">
        <v>25190</v>
      </c>
      <c r="E130" s="336" t="s">
        <v>912</v>
      </c>
      <c r="F130" s="337">
        <v>60170</v>
      </c>
    </row>
    <row r="131" spans="1:6" ht="22.5" customHeight="1" x14ac:dyDescent="0.5">
      <c r="A131" s="23">
        <v>40</v>
      </c>
      <c r="B131" s="24" t="s">
        <v>338</v>
      </c>
      <c r="C131" s="25" t="s">
        <v>339</v>
      </c>
      <c r="D131" s="335">
        <v>25180</v>
      </c>
      <c r="E131" s="336" t="s">
        <v>913</v>
      </c>
      <c r="F131" s="342">
        <v>23527.65</v>
      </c>
    </row>
    <row r="132" spans="1:6" ht="22.5" customHeight="1" x14ac:dyDescent="0.5">
      <c r="A132" s="23">
        <v>41</v>
      </c>
      <c r="B132" s="343" t="s">
        <v>341</v>
      </c>
      <c r="C132" s="165" t="s">
        <v>342</v>
      </c>
      <c r="D132" s="345">
        <v>25197</v>
      </c>
      <c r="E132" s="346" t="s">
        <v>914</v>
      </c>
      <c r="F132" s="347">
        <v>20715.32</v>
      </c>
    </row>
    <row r="133" spans="1:6" ht="22.5" customHeight="1" x14ac:dyDescent="0.5">
      <c r="A133" s="23">
        <v>42</v>
      </c>
      <c r="B133" s="332" t="s">
        <v>344</v>
      </c>
      <c r="C133" s="81" t="s">
        <v>345</v>
      </c>
      <c r="D133" s="182">
        <v>25196</v>
      </c>
      <c r="E133" s="350" t="s">
        <v>915</v>
      </c>
      <c r="F133" s="337">
        <v>21986</v>
      </c>
    </row>
    <row r="134" spans="1:6" s="356" customFormat="1" ht="22.5" customHeight="1" x14ac:dyDescent="0.5">
      <c r="A134" s="23">
        <v>43</v>
      </c>
      <c r="B134" s="24" t="s">
        <v>347</v>
      </c>
      <c r="C134" s="351" t="s">
        <v>348</v>
      </c>
      <c r="D134" s="30">
        <v>25197</v>
      </c>
      <c r="E134" s="31" t="s">
        <v>916</v>
      </c>
      <c r="F134" s="32">
        <v>20000</v>
      </c>
    </row>
    <row r="135" spans="1:6" ht="22.5" customHeight="1" x14ac:dyDescent="0.5">
      <c r="A135" s="23">
        <v>44</v>
      </c>
      <c r="B135" s="290" t="s">
        <v>147</v>
      </c>
      <c r="C135" s="371" t="s">
        <v>351</v>
      </c>
      <c r="D135" s="30">
        <v>25180</v>
      </c>
      <c r="E135" s="220" t="s">
        <v>923</v>
      </c>
      <c r="F135" s="221">
        <v>1400</v>
      </c>
    </row>
    <row r="136" spans="1:6" ht="22.5" customHeight="1" x14ac:dyDescent="0.5">
      <c r="A136" s="23">
        <v>45</v>
      </c>
      <c r="B136" s="290" t="s">
        <v>353</v>
      </c>
      <c r="C136" s="371" t="s">
        <v>354</v>
      </c>
      <c r="D136" s="30">
        <v>25201</v>
      </c>
      <c r="E136" s="220" t="s">
        <v>924</v>
      </c>
      <c r="F136" s="221">
        <v>11000</v>
      </c>
    </row>
    <row r="137" spans="1:6" ht="22.5" customHeight="1" x14ac:dyDescent="0.5">
      <c r="A137" s="23">
        <v>46</v>
      </c>
      <c r="B137" s="290" t="s">
        <v>355</v>
      </c>
      <c r="C137" s="371" t="s">
        <v>356</v>
      </c>
      <c r="D137" s="30">
        <v>25196</v>
      </c>
      <c r="E137" s="220" t="s">
        <v>925</v>
      </c>
      <c r="F137" s="221">
        <v>9400</v>
      </c>
    </row>
    <row r="138" spans="1:6" ht="22.5" customHeight="1" x14ac:dyDescent="0.5">
      <c r="A138" s="23">
        <v>47</v>
      </c>
      <c r="B138" s="374" t="s">
        <v>358</v>
      </c>
      <c r="C138" s="375" t="s">
        <v>356</v>
      </c>
      <c r="D138" s="38">
        <v>25203</v>
      </c>
      <c r="E138" s="376" t="s">
        <v>926</v>
      </c>
      <c r="F138" s="246">
        <v>9810</v>
      </c>
    </row>
    <row r="139" spans="1:6" ht="22.5" customHeight="1" x14ac:dyDescent="0.5">
      <c r="A139" s="23">
        <v>48</v>
      </c>
      <c r="B139" s="378" t="s">
        <v>359</v>
      </c>
      <c r="C139" s="311" t="s">
        <v>360</v>
      </c>
      <c r="D139" s="38">
        <v>25175</v>
      </c>
      <c r="E139" s="376" t="s">
        <v>927</v>
      </c>
      <c r="F139" s="246">
        <v>6000</v>
      </c>
    </row>
    <row r="140" spans="1:6" ht="22.5" customHeight="1" x14ac:dyDescent="0.5">
      <c r="A140" s="23">
        <v>49</v>
      </c>
      <c r="B140" s="149" t="s">
        <v>281</v>
      </c>
      <c r="C140" s="311" t="s">
        <v>360</v>
      </c>
      <c r="D140" s="30">
        <v>25183</v>
      </c>
      <c r="E140" s="31" t="s">
        <v>928</v>
      </c>
      <c r="F140" s="32">
        <v>6000</v>
      </c>
    </row>
    <row r="141" spans="1:6" ht="22.5" customHeight="1" x14ac:dyDescent="0.5">
      <c r="A141" s="23">
        <v>50</v>
      </c>
      <c r="B141" s="73" t="s">
        <v>364</v>
      </c>
      <c r="C141" s="25" t="s">
        <v>365</v>
      </c>
      <c r="D141" s="30">
        <v>25195</v>
      </c>
      <c r="E141" s="31" t="s">
        <v>917</v>
      </c>
      <c r="F141" s="32">
        <v>10000</v>
      </c>
    </row>
    <row r="142" spans="1:6" ht="22.5" customHeight="1" x14ac:dyDescent="0.5">
      <c r="A142" s="23">
        <v>51</v>
      </c>
      <c r="B142" s="290" t="s">
        <v>367</v>
      </c>
      <c r="C142" s="25" t="s">
        <v>368</v>
      </c>
      <c r="D142" s="250">
        <v>25181</v>
      </c>
      <c r="E142" s="251" t="s">
        <v>918</v>
      </c>
      <c r="F142" s="390">
        <v>5000</v>
      </c>
    </row>
    <row r="143" spans="1:6" ht="22.5" customHeight="1" x14ac:dyDescent="0.5">
      <c r="A143" s="23">
        <v>52</v>
      </c>
      <c r="B143" s="392" t="s">
        <v>370</v>
      </c>
      <c r="C143" s="63" t="s">
        <v>371</v>
      </c>
      <c r="D143" s="30">
        <v>25190</v>
      </c>
      <c r="E143" s="31" t="s">
        <v>919</v>
      </c>
      <c r="F143" s="32">
        <v>12000</v>
      </c>
    </row>
    <row r="144" spans="1:6" ht="22.5" customHeight="1" x14ac:dyDescent="0.3">
      <c r="A144" s="23">
        <v>53</v>
      </c>
      <c r="B144" s="398" t="s">
        <v>373</v>
      </c>
      <c r="C144" s="165" t="s">
        <v>374</v>
      </c>
      <c r="D144" s="399">
        <v>25173</v>
      </c>
      <c r="E144" s="400" t="s">
        <v>920</v>
      </c>
      <c r="F144" s="401">
        <v>4100</v>
      </c>
    </row>
    <row r="145" spans="1:7" ht="22.5" customHeight="1" x14ac:dyDescent="0.5">
      <c r="A145" s="23">
        <v>54</v>
      </c>
      <c r="B145" s="402" t="s">
        <v>376</v>
      </c>
      <c r="C145" s="403" t="s">
        <v>377</v>
      </c>
      <c r="D145" s="30">
        <v>25180</v>
      </c>
      <c r="E145" s="31" t="s">
        <v>921</v>
      </c>
      <c r="F145" s="32">
        <v>1850</v>
      </c>
    </row>
    <row r="146" spans="1:7" ht="22.5" customHeight="1" x14ac:dyDescent="0.5">
      <c r="A146" s="23">
        <v>55</v>
      </c>
      <c r="B146" s="149" t="s">
        <v>383</v>
      </c>
      <c r="C146" s="311" t="s">
        <v>384</v>
      </c>
      <c r="D146" s="250">
        <v>25176</v>
      </c>
      <c r="E146" s="251" t="s">
        <v>922</v>
      </c>
      <c r="F146" s="390">
        <v>5400</v>
      </c>
    </row>
    <row r="147" spans="1:7" ht="22.5" customHeight="1" x14ac:dyDescent="0.3">
      <c r="A147" s="23">
        <v>56</v>
      </c>
      <c r="B147" s="290" t="s">
        <v>389</v>
      </c>
      <c r="C147" s="25" t="s">
        <v>390</v>
      </c>
      <c r="D147" s="335">
        <v>25176</v>
      </c>
      <c r="E147" s="410" t="s">
        <v>929</v>
      </c>
      <c r="F147" s="411">
        <v>3150</v>
      </c>
    </row>
    <row r="148" spans="1:7" s="60" customFormat="1" ht="22.5" customHeight="1" thickBot="1" x14ac:dyDescent="0.35">
      <c r="A148" s="317"/>
      <c r="B148" s="317" t="s">
        <v>15</v>
      </c>
      <c r="C148" s="318"/>
      <c r="D148" s="383"/>
      <c r="E148" s="383">
        <v>0</v>
      </c>
      <c r="F148" s="383">
        <f>SUM(F92:F147)</f>
        <v>790126.01</v>
      </c>
      <c r="G148" s="683">
        <f>SUM(F92:F147)</f>
        <v>790126.01</v>
      </c>
    </row>
    <row r="149" spans="1:7" ht="22.5" customHeight="1" thickTop="1" x14ac:dyDescent="0.3">
      <c r="A149" s="429"/>
      <c r="B149" s="430"/>
      <c r="C149" s="431"/>
      <c r="D149" s="436"/>
      <c r="E149" s="437"/>
      <c r="F149" s="438"/>
    </row>
    <row r="150" spans="1:7" ht="22.5" customHeight="1" x14ac:dyDescent="0.3">
      <c r="A150" s="61"/>
      <c r="B150" s="4" t="s">
        <v>396</v>
      </c>
      <c r="C150" s="63"/>
      <c r="D150" s="68"/>
      <c r="E150" s="445"/>
      <c r="F150" s="64"/>
    </row>
    <row r="151" spans="1:7" ht="22.5" customHeight="1" x14ac:dyDescent="0.5">
      <c r="A151" s="446">
        <v>1</v>
      </c>
      <c r="B151" s="447" t="s">
        <v>398</v>
      </c>
      <c r="C151" s="63"/>
      <c r="D151" s="449">
        <v>25196</v>
      </c>
      <c r="E151" s="450" t="s">
        <v>930</v>
      </c>
      <c r="F151" s="451">
        <v>2591.5100000000002</v>
      </c>
    </row>
    <row r="152" spans="1:7" s="60" customFormat="1" ht="22.5" customHeight="1" thickBot="1" x14ac:dyDescent="0.35">
      <c r="A152" s="362"/>
      <c r="B152" s="362" t="s">
        <v>15</v>
      </c>
      <c r="C152" s="455"/>
      <c r="D152" s="457"/>
      <c r="E152" s="458"/>
      <c r="F152" s="458">
        <v>2591.5100000000002</v>
      </c>
      <c r="G152" s="683">
        <f>SUM(F151)</f>
        <v>2591.5100000000002</v>
      </c>
    </row>
    <row r="153" spans="1:7" s="636" customFormat="1" ht="24" thickTop="1" x14ac:dyDescent="0.6">
      <c r="A153" s="1128" t="s">
        <v>524</v>
      </c>
      <c r="B153" s="1128"/>
      <c r="C153" s="1128"/>
      <c r="D153" s="1128"/>
      <c r="E153" s="1128"/>
      <c r="F153" s="1128"/>
    </row>
    <row r="154" spans="1:7" s="599" customFormat="1" x14ac:dyDescent="0.6">
      <c r="A154" s="646">
        <v>1</v>
      </c>
      <c r="B154" s="647" t="s">
        <v>521</v>
      </c>
      <c r="C154" s="647" t="s">
        <v>522</v>
      </c>
      <c r="D154" s="30">
        <v>25188</v>
      </c>
      <c r="E154" s="249" t="s">
        <v>931</v>
      </c>
      <c r="F154" s="221">
        <v>8400</v>
      </c>
    </row>
    <row r="155" spans="1:7" s="599" customFormat="1" ht="24" thickBot="1" x14ac:dyDescent="0.65">
      <c r="A155" s="619"/>
      <c r="B155" s="620" t="s">
        <v>535</v>
      </c>
      <c r="C155" s="621"/>
      <c r="D155" s="625"/>
      <c r="E155" s="625"/>
      <c r="F155" s="625">
        <v>8400</v>
      </c>
      <c r="G155" s="691">
        <f>SUM(F154)</f>
        <v>8400</v>
      </c>
    </row>
    <row r="156" spans="1:7" ht="22.5" customHeight="1" thickTop="1" x14ac:dyDescent="0.3">
      <c r="D156" s="584"/>
      <c r="E156" s="585"/>
    </row>
    <row r="157" spans="1:7" ht="22.5" customHeight="1" x14ac:dyDescent="0.3">
      <c r="D157" s="584"/>
      <c r="E157" s="585"/>
      <c r="F157" s="657">
        <v>1238919.8300000003</v>
      </c>
      <c r="G157" s="864">
        <f>SUM(G12:G155)</f>
        <v>1238919.8300000003</v>
      </c>
    </row>
  </sheetData>
  <mergeCells count="8">
    <mergeCell ref="A153:F153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CE92-374F-4AFC-A3B8-ED8C6FB06813}">
  <sheetPr>
    <tabColor rgb="FFFFFF00"/>
  </sheetPr>
  <dimension ref="A1:L98"/>
  <sheetViews>
    <sheetView zoomScale="80" zoomScaleNormal="80" workbookViewId="0">
      <pane ySplit="6" topLeftCell="A73" activePane="bottomLeft" state="frozen"/>
      <selection pane="bottomLeft" activeCell="F88" sqref="F88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8.44140625" style="696" customWidth="1"/>
    <col min="5" max="5" width="14.5546875" style="662" customWidth="1"/>
    <col min="6" max="6" width="8" style="663" customWidth="1"/>
    <col min="7" max="7" width="16.5546875" style="665" customWidth="1"/>
    <col min="8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2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2"/>
    </row>
    <row r="3" spans="1:8" ht="22.5" customHeight="1" x14ac:dyDescent="0.3">
      <c r="A3" s="1110" t="s">
        <v>804</v>
      </c>
      <c r="B3" s="1111"/>
      <c r="C3" s="1111"/>
      <c r="D3" s="1111"/>
      <c r="E3" s="1111"/>
      <c r="F3" s="1111"/>
      <c r="G3" s="1111"/>
      <c r="H3" s="2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796"/>
      <c r="E4" s="1118" t="s">
        <v>9</v>
      </c>
      <c r="F4" s="1140"/>
      <c r="G4" s="1120"/>
      <c r="H4" s="2"/>
    </row>
    <row r="5" spans="1:8" ht="22.5" customHeight="1" x14ac:dyDescent="0.3">
      <c r="A5" s="1113"/>
      <c r="B5" s="1113"/>
      <c r="C5" s="1116"/>
      <c r="D5" s="797" t="s">
        <v>618</v>
      </c>
      <c r="E5" s="1121" t="s">
        <v>10</v>
      </c>
      <c r="F5" s="1138" t="s">
        <v>11</v>
      </c>
      <c r="G5" s="667"/>
      <c r="H5" s="2"/>
    </row>
    <row r="6" spans="1:8" ht="22.5" customHeight="1" x14ac:dyDescent="0.3">
      <c r="A6" s="1114"/>
      <c r="B6" s="1114"/>
      <c r="C6" s="1117"/>
      <c r="D6" s="695"/>
      <c r="E6" s="1122"/>
      <c r="F6" s="1139"/>
      <c r="G6" s="10" t="s">
        <v>15</v>
      </c>
      <c r="H6" s="2"/>
    </row>
    <row r="7" spans="1:8" ht="22.5" customHeight="1" x14ac:dyDescent="0.3">
      <c r="A7" s="61"/>
      <c r="B7" s="62" t="s">
        <v>37</v>
      </c>
      <c r="C7" s="63"/>
      <c r="D7" s="798"/>
      <c r="E7" s="69"/>
      <c r="F7" s="70"/>
      <c r="G7" s="72"/>
      <c r="H7" s="2"/>
    </row>
    <row r="8" spans="1:8" ht="22.5" customHeight="1" x14ac:dyDescent="0.3">
      <c r="A8" s="23">
        <v>3</v>
      </c>
      <c r="B8" s="73" t="s">
        <v>45</v>
      </c>
      <c r="C8" s="25" t="s">
        <v>46</v>
      </c>
      <c r="D8" s="799"/>
      <c r="E8" s="865">
        <v>25203</v>
      </c>
      <c r="F8" s="70" t="s">
        <v>33</v>
      </c>
      <c r="G8" s="36">
        <v>834.5999999999998</v>
      </c>
      <c r="H8" s="2"/>
    </row>
    <row r="9" spans="1:8" s="60" customFormat="1" ht="22.5" customHeight="1" thickBot="1" x14ac:dyDescent="0.35">
      <c r="A9" s="48"/>
      <c r="B9" s="48" t="s">
        <v>15</v>
      </c>
      <c r="C9" s="49"/>
      <c r="D9" s="800"/>
      <c r="E9" s="107"/>
      <c r="F9" s="108"/>
      <c r="G9" s="110">
        <v>834.60000000000161</v>
      </c>
      <c r="H9" s="683">
        <f>SUM(G8)</f>
        <v>834.5999999999998</v>
      </c>
    </row>
    <row r="10" spans="1:8" ht="22.5" customHeight="1" thickTop="1" x14ac:dyDescent="0.3">
      <c r="A10" s="61"/>
      <c r="B10" s="62" t="s">
        <v>92</v>
      </c>
      <c r="C10" s="63"/>
      <c r="D10" s="798"/>
      <c r="E10" s="61"/>
      <c r="F10" s="204"/>
      <c r="G10" s="207"/>
      <c r="H10" s="2"/>
    </row>
    <row r="11" spans="1:8" ht="22.5" customHeight="1" x14ac:dyDescent="0.5">
      <c r="A11" s="208">
        <v>6</v>
      </c>
      <c r="B11" s="73" t="s">
        <v>107</v>
      </c>
      <c r="C11" s="25" t="s">
        <v>97</v>
      </c>
      <c r="D11" s="801"/>
      <c r="E11" s="215">
        <v>25203</v>
      </c>
      <c r="F11" s="216" t="s">
        <v>33</v>
      </c>
      <c r="G11" s="217">
        <v>535</v>
      </c>
      <c r="H11" s="2"/>
    </row>
    <row r="12" spans="1:8" ht="22.5" customHeight="1" x14ac:dyDescent="0.5">
      <c r="A12" s="208"/>
      <c r="B12" s="73" t="s">
        <v>116</v>
      </c>
      <c r="C12" s="25" t="s">
        <v>113</v>
      </c>
      <c r="D12" s="801"/>
      <c r="E12" s="215">
        <v>25203</v>
      </c>
      <c r="F12" s="216" t="s">
        <v>33</v>
      </c>
      <c r="G12" s="217">
        <v>5007.6000000000022</v>
      </c>
      <c r="H12" s="2"/>
    </row>
    <row r="13" spans="1:8" ht="22.5" customHeight="1" x14ac:dyDescent="0.5">
      <c r="A13" s="208">
        <v>10</v>
      </c>
      <c r="B13" s="73" t="s">
        <v>117</v>
      </c>
      <c r="C13" s="25" t="s">
        <v>118</v>
      </c>
      <c r="D13" s="801"/>
      <c r="E13" s="215">
        <v>25203</v>
      </c>
      <c r="F13" s="216" t="s">
        <v>33</v>
      </c>
      <c r="G13" s="217">
        <v>438.70000000000005</v>
      </c>
      <c r="H13" s="2"/>
    </row>
    <row r="14" spans="1:8" ht="22.5" customHeight="1" x14ac:dyDescent="0.5">
      <c r="A14" s="208"/>
      <c r="B14" s="73" t="s">
        <v>120</v>
      </c>
      <c r="C14" s="25" t="s">
        <v>118</v>
      </c>
      <c r="D14" s="801"/>
      <c r="E14" s="215">
        <v>25203</v>
      </c>
      <c r="F14" s="216" t="s">
        <v>33</v>
      </c>
      <c r="G14" s="217">
        <v>3787.8</v>
      </c>
      <c r="H14" s="2"/>
    </row>
    <row r="15" spans="1:8" ht="22.5" customHeight="1" x14ac:dyDescent="0.5">
      <c r="A15" s="208">
        <v>11</v>
      </c>
      <c r="B15" s="73" t="s">
        <v>121</v>
      </c>
      <c r="C15" s="83" t="s">
        <v>122</v>
      </c>
      <c r="D15" s="803"/>
      <c r="E15" s="215">
        <v>25203</v>
      </c>
      <c r="F15" s="216" t="s">
        <v>33</v>
      </c>
      <c r="G15" s="217">
        <v>7896.5999999999985</v>
      </c>
      <c r="H15" s="223"/>
    </row>
    <row r="16" spans="1:8" ht="22.5" customHeight="1" x14ac:dyDescent="0.5">
      <c r="A16" s="208"/>
      <c r="B16" s="73" t="s">
        <v>121</v>
      </c>
      <c r="C16" s="83" t="s">
        <v>122</v>
      </c>
      <c r="D16" s="803"/>
      <c r="E16" s="215">
        <v>25203</v>
      </c>
      <c r="F16" s="216" t="s">
        <v>33</v>
      </c>
      <c r="G16" s="217">
        <v>3862.7</v>
      </c>
      <c r="H16" s="223"/>
    </row>
    <row r="17" spans="1:8" ht="22.5" customHeight="1" x14ac:dyDescent="0.5">
      <c r="A17" s="208">
        <v>14</v>
      </c>
      <c r="B17" s="78" t="s">
        <v>129</v>
      </c>
      <c r="C17" s="210" t="s">
        <v>130</v>
      </c>
      <c r="D17" s="803"/>
      <c r="E17" s="215">
        <v>25203</v>
      </c>
      <c r="F17" s="216" t="s">
        <v>33</v>
      </c>
      <c r="G17" s="217">
        <v>2771.2999999999993</v>
      </c>
      <c r="H17" s="2"/>
    </row>
    <row r="18" spans="1:8" ht="22.5" customHeight="1" x14ac:dyDescent="0.5">
      <c r="A18" s="208"/>
      <c r="B18" s="78" t="s">
        <v>132</v>
      </c>
      <c r="C18" s="210" t="s">
        <v>130</v>
      </c>
      <c r="D18" s="803"/>
      <c r="E18" s="215">
        <v>25203</v>
      </c>
      <c r="F18" s="216" t="s">
        <v>33</v>
      </c>
      <c r="G18" s="217">
        <v>11523.899999999994</v>
      </c>
      <c r="H18" s="2"/>
    </row>
    <row r="19" spans="1:8" ht="22.5" customHeight="1" x14ac:dyDescent="0.5">
      <c r="A19" s="208">
        <v>15</v>
      </c>
      <c r="B19" s="78" t="s">
        <v>134</v>
      </c>
      <c r="C19" s="165" t="s">
        <v>135</v>
      </c>
      <c r="D19" s="801"/>
      <c r="E19" s="215">
        <v>25203</v>
      </c>
      <c r="F19" s="216" t="s">
        <v>33</v>
      </c>
      <c r="G19" s="217">
        <v>6633.9999999999991</v>
      </c>
      <c r="H19" s="2"/>
    </row>
    <row r="20" spans="1:8" s="229" customFormat="1" ht="22.5" customHeight="1" x14ac:dyDescent="0.5">
      <c r="A20" s="225">
        <v>16</v>
      </c>
      <c r="B20" s="226" t="s">
        <v>137</v>
      </c>
      <c r="C20" s="227"/>
      <c r="D20" s="804"/>
      <c r="E20" s="215">
        <v>25203</v>
      </c>
      <c r="F20" s="216" t="s">
        <v>33</v>
      </c>
      <c r="G20" s="217">
        <v>2439.6000000000004</v>
      </c>
      <c r="H20" s="47"/>
    </row>
    <row r="21" spans="1:8" ht="22.5" customHeight="1" x14ac:dyDescent="0.5">
      <c r="A21" s="208">
        <v>22</v>
      </c>
      <c r="B21" s="240" t="s">
        <v>569</v>
      </c>
      <c r="C21" s="83" t="s">
        <v>153</v>
      </c>
      <c r="D21" s="803"/>
      <c r="E21" s="215">
        <v>25203</v>
      </c>
      <c r="F21" s="216" t="s">
        <v>33</v>
      </c>
      <c r="G21" s="217">
        <v>4772.1999999999962</v>
      </c>
      <c r="H21" s="2"/>
    </row>
    <row r="22" spans="1:8" ht="22.5" customHeight="1" x14ac:dyDescent="0.5">
      <c r="A22" s="208"/>
      <c r="B22" s="240" t="s">
        <v>569</v>
      </c>
      <c r="C22" s="83"/>
      <c r="D22" s="803"/>
      <c r="E22" s="215">
        <v>25203</v>
      </c>
      <c r="F22" s="216" t="s">
        <v>33</v>
      </c>
      <c r="G22" s="217">
        <v>11277.8</v>
      </c>
      <c r="H22" s="2"/>
    </row>
    <row r="23" spans="1:8" ht="22.5" customHeight="1" x14ac:dyDescent="0.5">
      <c r="A23" s="208">
        <v>25</v>
      </c>
      <c r="B23" s="240" t="s">
        <v>162</v>
      </c>
      <c r="C23" s="83" t="s">
        <v>163</v>
      </c>
      <c r="D23" s="803"/>
      <c r="E23" s="215">
        <v>25203</v>
      </c>
      <c r="F23" s="216" t="s">
        <v>33</v>
      </c>
      <c r="G23" s="217">
        <v>6066.8999999999969</v>
      </c>
      <c r="H23" s="2"/>
    </row>
    <row r="24" spans="1:8" ht="22.5" customHeight="1" x14ac:dyDescent="0.5">
      <c r="A24" s="242">
        <v>27</v>
      </c>
      <c r="B24" s="243" t="s">
        <v>168</v>
      </c>
      <c r="C24" s="244" t="s">
        <v>169</v>
      </c>
      <c r="D24" s="803"/>
      <c r="E24" s="215" t="s">
        <v>860</v>
      </c>
      <c r="F24" s="216" t="s">
        <v>284</v>
      </c>
      <c r="G24" s="217">
        <v>17976</v>
      </c>
      <c r="H24" s="2"/>
    </row>
    <row r="25" spans="1:8" ht="22.5" customHeight="1" x14ac:dyDescent="0.5">
      <c r="A25" s="208">
        <v>30</v>
      </c>
      <c r="B25" s="209" t="s">
        <v>175</v>
      </c>
      <c r="C25" s="210" t="s">
        <v>176</v>
      </c>
      <c r="D25" s="803"/>
      <c r="E25" s="215">
        <v>25203</v>
      </c>
      <c r="F25" s="216" t="s">
        <v>33</v>
      </c>
      <c r="G25" s="217">
        <v>845.29999999999916</v>
      </c>
      <c r="H25" s="2"/>
    </row>
    <row r="26" spans="1:8" ht="22.5" customHeight="1" x14ac:dyDescent="0.5">
      <c r="A26" s="208"/>
      <c r="B26" s="209" t="s">
        <v>191</v>
      </c>
      <c r="C26" s="210" t="s">
        <v>190</v>
      </c>
      <c r="D26" s="803"/>
      <c r="E26" s="215">
        <v>25203</v>
      </c>
      <c r="F26" s="216" t="s">
        <v>33</v>
      </c>
      <c r="G26" s="217">
        <v>8570.7000000000007</v>
      </c>
      <c r="H26" s="2"/>
    </row>
    <row r="27" spans="1:8" ht="22.5" customHeight="1" x14ac:dyDescent="0.5">
      <c r="A27" s="208">
        <v>36</v>
      </c>
      <c r="B27" s="209" t="s">
        <v>193</v>
      </c>
      <c r="C27" s="210" t="s">
        <v>194</v>
      </c>
      <c r="D27" s="803"/>
      <c r="E27" s="215">
        <v>25203</v>
      </c>
      <c r="F27" s="216" t="s">
        <v>33</v>
      </c>
      <c r="G27" s="217">
        <v>1883.1999999999998</v>
      </c>
      <c r="H27" s="2"/>
    </row>
    <row r="28" spans="1:8" ht="22.5" customHeight="1" x14ac:dyDescent="0.5">
      <c r="A28" s="208"/>
      <c r="B28" s="209" t="s">
        <v>198</v>
      </c>
      <c r="C28" s="210" t="s">
        <v>567</v>
      </c>
      <c r="D28" s="803"/>
      <c r="E28" s="215">
        <v>25203</v>
      </c>
      <c r="F28" s="216" t="s">
        <v>33</v>
      </c>
      <c r="G28" s="217">
        <v>706.20000000000016</v>
      </c>
      <c r="H28" s="2"/>
    </row>
    <row r="29" spans="1:8" ht="22.5" customHeight="1" x14ac:dyDescent="0.5">
      <c r="A29" s="208">
        <v>39</v>
      </c>
      <c r="B29" s="209" t="s">
        <v>200</v>
      </c>
      <c r="C29" s="210" t="s">
        <v>201</v>
      </c>
      <c r="D29" s="803"/>
      <c r="E29" s="215" t="s">
        <v>872</v>
      </c>
      <c r="F29" s="216" t="s">
        <v>115</v>
      </c>
      <c r="G29" s="217">
        <v>12518.999999999996</v>
      </c>
      <c r="H29" s="2"/>
    </row>
    <row r="30" spans="1:8" ht="22.5" customHeight="1" x14ac:dyDescent="0.5">
      <c r="A30" s="208">
        <v>42</v>
      </c>
      <c r="B30" s="209" t="s">
        <v>208</v>
      </c>
      <c r="C30" s="210"/>
      <c r="D30" s="803"/>
      <c r="E30" s="215" t="s">
        <v>872</v>
      </c>
      <c r="F30" s="216" t="s">
        <v>115</v>
      </c>
      <c r="G30" s="217">
        <v>5917.0999999999976</v>
      </c>
      <c r="H30" s="2"/>
    </row>
    <row r="31" spans="1:8" ht="22.5" customHeight="1" x14ac:dyDescent="0.5">
      <c r="A31" s="208">
        <v>43</v>
      </c>
      <c r="B31" s="209" t="s">
        <v>210</v>
      </c>
      <c r="C31" s="210" t="s">
        <v>211</v>
      </c>
      <c r="D31" s="803"/>
      <c r="E31" s="239">
        <v>25203</v>
      </c>
      <c r="F31" s="236" t="s">
        <v>33</v>
      </c>
      <c r="G31" s="217">
        <v>6676.800000000002</v>
      </c>
      <c r="H31" s="2"/>
    </row>
    <row r="32" spans="1:8" ht="22.5" customHeight="1" x14ac:dyDescent="0.5">
      <c r="A32" s="264">
        <v>50</v>
      </c>
      <c r="B32" s="265" t="s">
        <v>226</v>
      </c>
      <c r="C32" s="265" t="s">
        <v>227</v>
      </c>
      <c r="D32" s="806"/>
      <c r="E32" s="215">
        <v>25203</v>
      </c>
      <c r="F32" s="216" t="s">
        <v>33</v>
      </c>
      <c r="G32" s="217">
        <v>7778.9000000000005</v>
      </c>
      <c r="H32" s="2"/>
    </row>
    <row r="33" spans="1:8" ht="22.5" customHeight="1" x14ac:dyDescent="0.5">
      <c r="A33" s="264">
        <v>52</v>
      </c>
      <c r="B33" s="265" t="s">
        <v>566</v>
      </c>
      <c r="C33" s="265" t="s">
        <v>567</v>
      </c>
      <c r="D33" s="866"/>
      <c r="E33" s="675">
        <v>25203</v>
      </c>
      <c r="F33" s="676" t="s">
        <v>33</v>
      </c>
      <c r="G33" s="217">
        <v>2311.1999999999998</v>
      </c>
      <c r="H33" s="2"/>
    </row>
    <row r="34" spans="1:8" ht="22.5" customHeight="1" x14ac:dyDescent="0.5">
      <c r="A34" s="264"/>
      <c r="B34" s="265" t="s">
        <v>568</v>
      </c>
      <c r="C34" s="265" t="s">
        <v>567</v>
      </c>
      <c r="D34" s="867"/>
      <c r="E34" s="681">
        <v>25203</v>
      </c>
      <c r="F34" s="682" t="s">
        <v>33</v>
      </c>
      <c r="G34" s="217">
        <v>2642.9</v>
      </c>
      <c r="H34" s="2"/>
    </row>
    <row r="35" spans="1:8" s="60" customFormat="1" ht="22.5" customHeight="1" thickBot="1" x14ac:dyDescent="0.35">
      <c r="A35" s="278"/>
      <c r="B35" s="278" t="s">
        <v>15</v>
      </c>
      <c r="C35" s="279"/>
      <c r="D35" s="808"/>
      <c r="E35" s="280"/>
      <c r="F35" s="280">
        <v>0</v>
      </c>
      <c r="G35" s="280">
        <v>134841.39999999997</v>
      </c>
      <c r="H35" s="59">
        <f>SUM(G11:G34)</f>
        <v>134841.39999999997</v>
      </c>
    </row>
    <row r="36" spans="1:8" ht="22.5" customHeight="1" thickTop="1" x14ac:dyDescent="0.3">
      <c r="A36" s="61"/>
      <c r="B36" s="121" t="s">
        <v>232</v>
      </c>
      <c r="C36" s="63"/>
      <c r="D36" s="798"/>
      <c r="E36" s="69"/>
      <c r="F36" s="70"/>
      <c r="G36" s="289"/>
      <c r="H36" s="2"/>
    </row>
    <row r="37" spans="1:8" ht="22.5" customHeight="1" x14ac:dyDescent="0.5">
      <c r="A37" s="208">
        <v>8</v>
      </c>
      <c r="B37" s="209" t="s">
        <v>250</v>
      </c>
      <c r="C37" s="210" t="s">
        <v>251</v>
      </c>
      <c r="D37" s="803"/>
      <c r="E37" s="215">
        <v>25203</v>
      </c>
      <c r="F37" s="216" t="s">
        <v>33</v>
      </c>
      <c r="G37" s="36">
        <v>6300</v>
      </c>
      <c r="H37" s="218"/>
    </row>
    <row r="38" spans="1:8" ht="22.5" customHeight="1" x14ac:dyDescent="0.5">
      <c r="A38" s="23">
        <v>1</v>
      </c>
      <c r="B38" s="73" t="s">
        <v>281</v>
      </c>
      <c r="C38" s="25" t="s">
        <v>282</v>
      </c>
      <c r="D38" s="801"/>
      <c r="E38" s="215" t="s">
        <v>899</v>
      </c>
      <c r="F38" s="216" t="s">
        <v>284</v>
      </c>
      <c r="G38" s="36">
        <v>16800</v>
      </c>
      <c r="H38" s="2"/>
    </row>
    <row r="39" spans="1:8" ht="22.5" customHeight="1" x14ac:dyDescent="0.5">
      <c r="A39" s="23">
        <v>2</v>
      </c>
      <c r="B39" s="73" t="s">
        <v>287</v>
      </c>
      <c r="C39" s="25" t="s">
        <v>288</v>
      </c>
      <c r="D39" s="801"/>
      <c r="E39" s="215">
        <v>25203</v>
      </c>
      <c r="F39" s="216" t="s">
        <v>33</v>
      </c>
      <c r="G39" s="36">
        <v>5600</v>
      </c>
      <c r="H39" s="2"/>
    </row>
    <row r="40" spans="1:8" ht="22.5" customHeight="1" x14ac:dyDescent="0.5">
      <c r="A40" s="208">
        <v>1</v>
      </c>
      <c r="B40" s="209" t="s">
        <v>300</v>
      </c>
      <c r="C40" s="210" t="s">
        <v>301</v>
      </c>
      <c r="D40" s="803"/>
      <c r="E40" s="215">
        <v>25203</v>
      </c>
      <c r="F40" s="216" t="s">
        <v>33</v>
      </c>
      <c r="G40" s="36">
        <v>5600</v>
      </c>
      <c r="H40" s="2"/>
    </row>
    <row r="41" spans="1:8" ht="22.5" customHeight="1" x14ac:dyDescent="0.3">
      <c r="A41" s="23">
        <v>4</v>
      </c>
      <c r="B41" s="73" t="s">
        <v>322</v>
      </c>
      <c r="C41" s="25" t="s">
        <v>323</v>
      </c>
      <c r="D41" s="801">
        <v>11200</v>
      </c>
      <c r="E41" s="314"/>
      <c r="F41" s="315"/>
      <c r="G41" s="36">
        <v>0</v>
      </c>
    </row>
    <row r="42" spans="1:8" ht="22.5" customHeight="1" x14ac:dyDescent="0.5">
      <c r="A42" s="23">
        <v>3</v>
      </c>
      <c r="B42" s="290" t="s">
        <v>355</v>
      </c>
      <c r="C42" s="371" t="s">
        <v>356</v>
      </c>
      <c r="D42" s="801"/>
      <c r="E42" s="215">
        <v>25203</v>
      </c>
      <c r="F42" s="216" t="s">
        <v>33</v>
      </c>
      <c r="G42" s="36">
        <v>9400</v>
      </c>
    </row>
    <row r="43" spans="1:8" ht="22.5" customHeight="1" x14ac:dyDescent="0.5">
      <c r="A43" s="331">
        <v>5</v>
      </c>
      <c r="B43" s="374" t="s">
        <v>358</v>
      </c>
      <c r="C43" s="375" t="s">
        <v>356</v>
      </c>
      <c r="D43" s="801"/>
      <c r="E43" s="215">
        <v>25203</v>
      </c>
      <c r="F43" s="216" t="s">
        <v>33</v>
      </c>
      <c r="G43" s="36">
        <v>9810</v>
      </c>
    </row>
    <row r="44" spans="1:8" ht="22.5" customHeight="1" x14ac:dyDescent="0.5">
      <c r="A44" s="381">
        <v>7</v>
      </c>
      <c r="B44" s="149" t="s">
        <v>281</v>
      </c>
      <c r="C44" s="311" t="s">
        <v>360</v>
      </c>
      <c r="D44" s="811"/>
      <c r="E44" s="215" t="s">
        <v>872</v>
      </c>
      <c r="F44" s="216" t="s">
        <v>115</v>
      </c>
      <c r="G44" s="36">
        <v>6000</v>
      </c>
    </row>
    <row r="45" spans="1:8" s="60" customFormat="1" ht="22.5" customHeight="1" thickBot="1" x14ac:dyDescent="0.35">
      <c r="A45" s="317"/>
      <c r="B45" s="317" t="s">
        <v>15</v>
      </c>
      <c r="C45" s="318"/>
      <c r="D45" s="809"/>
      <c r="E45" s="407"/>
      <c r="F45" s="321"/>
      <c r="G45" s="323">
        <f>SUM(G37:G44)</f>
        <v>59510</v>
      </c>
      <c r="H45" s="683">
        <f>SUM(G37:G44)</f>
        <v>59510</v>
      </c>
    </row>
    <row r="46" spans="1:8" ht="22.5" customHeight="1" thickTop="1" x14ac:dyDescent="0.3">
      <c r="A46" s="61"/>
      <c r="B46" s="62" t="s">
        <v>386</v>
      </c>
      <c r="C46" s="63"/>
      <c r="D46" s="798"/>
      <c r="E46" s="69"/>
      <c r="F46" s="70"/>
      <c r="G46" s="387"/>
    </row>
    <row r="47" spans="1:8" ht="22.5" customHeight="1" x14ac:dyDescent="0.5">
      <c r="A47" s="208">
        <v>1</v>
      </c>
      <c r="B47" s="290" t="s">
        <v>389</v>
      </c>
      <c r="C47" s="25" t="s">
        <v>390</v>
      </c>
      <c r="D47" s="801"/>
      <c r="E47" s="215">
        <v>25203</v>
      </c>
      <c r="F47" s="216" t="s">
        <v>33</v>
      </c>
      <c r="G47" s="409">
        <v>3150</v>
      </c>
    </row>
    <row r="48" spans="1:8" s="60" customFormat="1" ht="22.5" customHeight="1" thickBot="1" x14ac:dyDescent="0.35">
      <c r="A48" s="317"/>
      <c r="B48" s="317" t="s">
        <v>15</v>
      </c>
      <c r="C48" s="318"/>
      <c r="D48" s="809"/>
      <c r="E48" s="407"/>
      <c r="F48" s="321"/>
      <c r="G48" s="386">
        <v>3150</v>
      </c>
      <c r="H48" s="683">
        <f>SUM(G47)</f>
        <v>3150</v>
      </c>
    </row>
    <row r="49" spans="1:10" ht="22.5" customHeight="1" thickTop="1" x14ac:dyDescent="0.3">
      <c r="A49" s="61"/>
      <c r="B49" s="164" t="s">
        <v>399</v>
      </c>
      <c r="C49" s="63"/>
      <c r="D49" s="798"/>
      <c r="E49" s="69"/>
      <c r="F49" s="70"/>
      <c r="G49" s="387"/>
    </row>
    <row r="50" spans="1:10" ht="22.5" customHeight="1" x14ac:dyDescent="0.3">
      <c r="A50" s="61">
        <v>11</v>
      </c>
      <c r="B50" s="290" t="s">
        <v>397</v>
      </c>
      <c r="C50" s="63" t="s">
        <v>417</v>
      </c>
      <c r="D50" s="798"/>
      <c r="E50" s="69" t="s">
        <v>795</v>
      </c>
      <c r="F50" s="70"/>
      <c r="G50" s="387">
        <v>8604.76</v>
      </c>
    </row>
    <row r="51" spans="1:10" ht="22.5" customHeight="1" x14ac:dyDescent="0.3">
      <c r="A51" s="61">
        <v>12</v>
      </c>
      <c r="B51" s="290" t="s">
        <v>358</v>
      </c>
      <c r="C51" s="63" t="s">
        <v>417</v>
      </c>
      <c r="D51" s="798"/>
      <c r="E51" s="69" t="s">
        <v>795</v>
      </c>
      <c r="F51" s="70"/>
      <c r="G51" s="387">
        <v>9651.43</v>
      </c>
    </row>
    <row r="52" spans="1:10" ht="22.5" customHeight="1" x14ac:dyDescent="0.3">
      <c r="A52" s="61">
        <v>15</v>
      </c>
      <c r="B52" s="290" t="s">
        <v>398</v>
      </c>
      <c r="C52" s="63" t="s">
        <v>417</v>
      </c>
      <c r="D52" s="798"/>
      <c r="E52" s="69" t="s">
        <v>795</v>
      </c>
      <c r="F52" s="70"/>
      <c r="G52" s="387">
        <v>3283.84</v>
      </c>
    </row>
    <row r="53" spans="1:10" ht="22.5" customHeight="1" x14ac:dyDescent="0.3">
      <c r="A53" s="61">
        <v>32</v>
      </c>
      <c r="B53" s="290" t="s">
        <v>456</v>
      </c>
      <c r="C53" s="63" t="s">
        <v>457</v>
      </c>
      <c r="D53" s="798"/>
      <c r="E53" s="69" t="s">
        <v>795</v>
      </c>
      <c r="F53" s="70"/>
      <c r="G53" s="387">
        <v>1064.44</v>
      </c>
    </row>
    <row r="54" spans="1:10" ht="22.5" customHeight="1" x14ac:dyDescent="0.3">
      <c r="A54" s="61">
        <v>35</v>
      </c>
      <c r="B54" s="290" t="s">
        <v>463</v>
      </c>
      <c r="C54" s="63" t="s">
        <v>464</v>
      </c>
      <c r="D54" s="798"/>
      <c r="E54" s="69" t="s">
        <v>795</v>
      </c>
      <c r="F54" s="70"/>
      <c r="G54" s="387">
        <v>1064.44</v>
      </c>
    </row>
    <row r="55" spans="1:10" ht="22.5" customHeight="1" x14ac:dyDescent="0.3">
      <c r="A55" s="23">
        <v>49</v>
      </c>
      <c r="B55" s="290" t="s">
        <v>493</v>
      </c>
      <c r="C55" s="25" t="s">
        <v>494</v>
      </c>
      <c r="D55" s="799"/>
      <c r="E55" s="41" t="s">
        <v>795</v>
      </c>
      <c r="F55" s="34"/>
      <c r="G55" s="387">
        <v>2061.84</v>
      </c>
    </row>
    <row r="56" spans="1:10" ht="22.5" customHeight="1" x14ac:dyDescent="0.3">
      <c r="A56" s="23">
        <v>50</v>
      </c>
      <c r="B56" s="290" t="s">
        <v>495</v>
      </c>
      <c r="C56" s="25" t="s">
        <v>496</v>
      </c>
      <c r="D56" s="799"/>
      <c r="E56" s="41" t="s">
        <v>795</v>
      </c>
      <c r="F56" s="34"/>
      <c r="G56" s="387">
        <v>20595.900000000001</v>
      </c>
    </row>
    <row r="57" spans="1:10" s="60" customFormat="1" ht="22.5" customHeight="1" thickBot="1" x14ac:dyDescent="0.35">
      <c r="A57" s="362"/>
      <c r="B57" s="362" t="s">
        <v>15</v>
      </c>
      <c r="C57" s="455"/>
      <c r="D57" s="812"/>
      <c r="E57" s="362"/>
      <c r="F57" s="363"/>
      <c r="G57" s="364">
        <v>46326.65</v>
      </c>
      <c r="H57" s="683">
        <f>SUM(G50:G56)</f>
        <v>46326.65</v>
      </c>
    </row>
    <row r="58" spans="1:10" s="60" customFormat="1" ht="22.5" customHeight="1" thickTop="1" thickBot="1" x14ac:dyDescent="0.35">
      <c r="A58" s="459"/>
      <c r="B58" s="460" t="s">
        <v>497</v>
      </c>
      <c r="C58" s="461"/>
      <c r="D58" s="813"/>
      <c r="E58" s="462">
        <v>0</v>
      </c>
      <c r="F58" s="462">
        <v>0</v>
      </c>
      <c r="G58" s="462">
        <v>244662.64759999997</v>
      </c>
      <c r="I58" s="730">
        <f>SUM(H9:H57)</f>
        <v>244662.64999999997</v>
      </c>
      <c r="J58" s="60" t="s">
        <v>670</v>
      </c>
    </row>
    <row r="59" spans="1:10" ht="22.5" customHeight="1" thickTop="1" x14ac:dyDescent="0.3">
      <c r="E59" s="3"/>
      <c r="F59" s="470"/>
      <c r="G59" s="472"/>
    </row>
    <row r="60" spans="1:10" ht="22.5" customHeight="1" x14ac:dyDescent="0.3">
      <c r="A60" s="1123" t="s">
        <v>498</v>
      </c>
      <c r="B60" s="1124"/>
      <c r="C60" s="1124"/>
      <c r="D60" s="1124"/>
      <c r="E60" s="1124"/>
      <c r="F60" s="1124"/>
      <c r="G60" s="1125"/>
      <c r="H60" s="2"/>
    </row>
    <row r="61" spans="1:10" ht="22.5" customHeight="1" x14ac:dyDescent="0.3">
      <c r="A61" s="115"/>
      <c r="B61" s="164" t="s">
        <v>499</v>
      </c>
      <c r="C61" s="165"/>
      <c r="D61" s="810"/>
      <c r="E61" s="117"/>
      <c r="F61" s="118"/>
      <c r="G61" s="370"/>
      <c r="H61" s="2"/>
    </row>
    <row r="62" spans="1:10" ht="22.5" customHeight="1" x14ac:dyDescent="0.3">
      <c r="A62" s="475">
        <v>1</v>
      </c>
      <c r="B62" s="476" t="s">
        <v>500</v>
      </c>
      <c r="C62" s="477" t="s">
        <v>501</v>
      </c>
      <c r="D62" s="814"/>
      <c r="E62" s="484"/>
      <c r="F62" s="485"/>
      <c r="G62" s="487">
        <v>325409.68</v>
      </c>
      <c r="H62" s="2" t="s">
        <v>502</v>
      </c>
    </row>
    <row r="63" spans="1:10" ht="22.5" customHeight="1" x14ac:dyDescent="0.3">
      <c r="A63" s="488"/>
      <c r="B63" s="489" t="s">
        <v>503</v>
      </c>
      <c r="C63" s="490"/>
      <c r="D63" s="697"/>
      <c r="E63" s="484"/>
      <c r="F63" s="494"/>
      <c r="G63" s="487"/>
      <c r="H63" s="2"/>
    </row>
    <row r="64" spans="1:10" ht="22.5" customHeight="1" x14ac:dyDescent="0.3">
      <c r="A64" s="475">
        <v>2</v>
      </c>
      <c r="B64" s="476" t="s">
        <v>504</v>
      </c>
      <c r="C64" s="477" t="s">
        <v>415</v>
      </c>
      <c r="D64" s="814"/>
      <c r="E64" s="484"/>
      <c r="F64" s="494"/>
      <c r="G64" s="497">
        <v>74600.88</v>
      </c>
      <c r="H64" s="2"/>
    </row>
    <row r="65" spans="1:12" ht="22.5" customHeight="1" x14ac:dyDescent="0.3">
      <c r="A65" s="475"/>
      <c r="B65" s="489" t="s">
        <v>505</v>
      </c>
      <c r="C65" s="498"/>
      <c r="D65" s="698"/>
      <c r="E65" s="484"/>
      <c r="F65" s="494"/>
      <c r="G65" s="497"/>
      <c r="H65" s="2"/>
    </row>
    <row r="66" spans="1:12" ht="22.5" customHeight="1" x14ac:dyDescent="0.3">
      <c r="A66" s="502">
        <v>3</v>
      </c>
      <c r="B66" s="503" t="s">
        <v>506</v>
      </c>
      <c r="C66" s="504" t="s">
        <v>507</v>
      </c>
      <c r="D66" s="815"/>
      <c r="E66" s="509"/>
      <c r="F66" s="510"/>
      <c r="G66" s="513">
        <v>32500</v>
      </c>
      <c r="H66" s="2"/>
    </row>
    <row r="67" spans="1:12" ht="22.5" customHeight="1" x14ac:dyDescent="0.3">
      <c r="A67" s="488"/>
      <c r="B67" s="489" t="s">
        <v>508</v>
      </c>
      <c r="C67" s="514"/>
      <c r="D67" s="699"/>
      <c r="E67" s="520"/>
      <c r="F67" s="521"/>
      <c r="G67" s="524"/>
    </row>
    <row r="68" spans="1:12" ht="22.5" customHeight="1" x14ac:dyDescent="0.3">
      <c r="A68" s="488">
        <v>4</v>
      </c>
      <c r="B68" s="525" t="s">
        <v>509</v>
      </c>
      <c r="C68" s="526" t="s">
        <v>510</v>
      </c>
      <c r="D68" s="816"/>
      <c r="E68" s="521"/>
      <c r="F68" s="529"/>
      <c r="G68" s="532">
        <v>796450.4</v>
      </c>
    </row>
    <row r="69" spans="1:12" ht="22.5" customHeight="1" x14ac:dyDescent="0.3">
      <c r="A69" s="533"/>
      <c r="B69" s="534" t="s">
        <v>509</v>
      </c>
      <c r="C69" s="535" t="s">
        <v>511</v>
      </c>
      <c r="D69" s="817"/>
      <c r="E69" s="543"/>
      <c r="F69" s="544"/>
      <c r="G69" s="547">
        <v>93330</v>
      </c>
    </row>
    <row r="70" spans="1:12" s="60" customFormat="1" ht="22.5" customHeight="1" thickBot="1" x14ac:dyDescent="0.35">
      <c r="A70" s="548"/>
      <c r="B70" s="548" t="s">
        <v>15</v>
      </c>
      <c r="C70" s="549"/>
      <c r="D70" s="818"/>
      <c r="E70" s="555"/>
      <c r="F70" s="556"/>
      <c r="G70" s="558">
        <v>1322290.96</v>
      </c>
      <c r="H70" s="59">
        <f>SUM(G62:G69)</f>
        <v>1322290.96</v>
      </c>
    </row>
    <row r="71" spans="1:12" ht="22.5" customHeight="1" thickTop="1" x14ac:dyDescent="0.3">
      <c r="A71" s="559"/>
      <c r="B71" s="560" t="s">
        <v>92</v>
      </c>
      <c r="C71" s="561"/>
      <c r="D71" s="819"/>
      <c r="E71" s="567"/>
      <c r="F71" s="568"/>
      <c r="G71" s="570"/>
      <c r="H71" s="2"/>
    </row>
    <row r="72" spans="1:12" ht="22.5" customHeight="1" x14ac:dyDescent="0.3">
      <c r="A72" s="23">
        <v>1</v>
      </c>
      <c r="B72" s="73" t="s">
        <v>512</v>
      </c>
      <c r="C72" s="25" t="s">
        <v>97</v>
      </c>
      <c r="D72" s="799"/>
      <c r="E72" s="41" t="s">
        <v>513</v>
      </c>
      <c r="F72" s="34" t="s">
        <v>514</v>
      </c>
      <c r="G72" s="36">
        <v>10499.9956</v>
      </c>
      <c r="H72" s="2"/>
    </row>
    <row r="73" spans="1:12" s="60" customFormat="1" ht="22.5" customHeight="1" thickBot="1" x14ac:dyDescent="0.35">
      <c r="A73" s="548"/>
      <c r="B73" s="548" t="s">
        <v>15</v>
      </c>
      <c r="C73" s="549"/>
      <c r="D73" s="818"/>
      <c r="E73" s="548"/>
      <c r="F73" s="552"/>
      <c r="G73" s="558">
        <v>10499.9956</v>
      </c>
      <c r="H73" s="59">
        <f>SUM(G72)</f>
        <v>10499.9956</v>
      </c>
    </row>
    <row r="74" spans="1:12" s="60" customFormat="1" ht="22.5" customHeight="1" thickTop="1" thickBot="1" x14ac:dyDescent="0.35">
      <c r="A74" s="572"/>
      <c r="B74" s="572" t="s">
        <v>515</v>
      </c>
      <c r="C74" s="573"/>
      <c r="D74" s="820"/>
      <c r="E74" s="580"/>
      <c r="F74" s="581"/>
      <c r="G74" s="583">
        <v>1332790.9556</v>
      </c>
      <c r="H74" s="59"/>
      <c r="I74" s="870">
        <f>SUM(H70:H73)</f>
        <v>1332790.9556</v>
      </c>
      <c r="J74" s="60" t="s">
        <v>671</v>
      </c>
      <c r="K74" s="871">
        <f>SUM(I58:I74)</f>
        <v>1577453.6055999999</v>
      </c>
      <c r="L74" s="60" t="s">
        <v>932</v>
      </c>
    </row>
    <row r="75" spans="1:12" ht="22.5" customHeight="1" thickTop="1" x14ac:dyDescent="0.3">
      <c r="E75" s="470"/>
      <c r="F75" s="586"/>
      <c r="G75" s="472"/>
      <c r="H75" s="2"/>
    </row>
    <row r="76" spans="1:12" s="589" customFormat="1" ht="20.399999999999999" x14ac:dyDescent="0.5">
      <c r="A76" s="1126" t="s">
        <v>516</v>
      </c>
      <c r="B76" s="1127"/>
      <c r="C76" s="1127"/>
      <c r="D76" s="1127"/>
      <c r="E76" s="1127"/>
      <c r="F76" s="1127"/>
      <c r="G76" s="1127"/>
      <c r="H76" s="587"/>
      <c r="I76" s="587"/>
      <c r="J76" s="588"/>
    </row>
    <row r="77" spans="1:12" s="599" customFormat="1" x14ac:dyDescent="0.6">
      <c r="A77" s="590">
        <v>1</v>
      </c>
      <c r="B77" s="591" t="s">
        <v>517</v>
      </c>
      <c r="C77" s="591" t="s">
        <v>518</v>
      </c>
      <c r="D77" s="868"/>
      <c r="E77" s="598"/>
      <c r="F77" s="594"/>
      <c r="G77" s="595">
        <v>0</v>
      </c>
      <c r="J77" s="600"/>
    </row>
    <row r="78" spans="1:12" s="599" customFormat="1" x14ac:dyDescent="0.6">
      <c r="A78" s="601">
        <v>2</v>
      </c>
      <c r="B78" s="602" t="s">
        <v>519</v>
      </c>
      <c r="C78" s="602" t="s">
        <v>520</v>
      </c>
      <c r="D78" s="821"/>
      <c r="E78" s="604"/>
      <c r="F78" s="605"/>
      <c r="G78" s="609">
        <v>54000</v>
      </c>
      <c r="J78" s="600"/>
    </row>
    <row r="79" spans="1:12" s="599" customFormat="1" x14ac:dyDescent="0.6">
      <c r="A79" s="610">
        <v>3</v>
      </c>
      <c r="B79" s="611" t="s">
        <v>521</v>
      </c>
      <c r="C79" s="611" t="s">
        <v>522</v>
      </c>
      <c r="D79" s="869"/>
      <c r="E79" s="618"/>
      <c r="F79" s="614"/>
      <c r="G79" s="609">
        <v>0</v>
      </c>
      <c r="J79" s="600"/>
    </row>
    <row r="80" spans="1:12" s="599" customFormat="1" ht="24" thickBot="1" x14ac:dyDescent="0.65">
      <c r="A80" s="619"/>
      <c r="B80" s="620" t="s">
        <v>523</v>
      </c>
      <c r="C80" s="621"/>
      <c r="D80" s="822"/>
      <c r="E80" s="623"/>
      <c r="F80" s="624"/>
      <c r="G80" s="626">
        <v>54000</v>
      </c>
      <c r="H80" s="627">
        <f>SUM(G78)</f>
        <v>54000</v>
      </c>
      <c r="I80" s="872">
        <f>SUM(H80)</f>
        <v>54000</v>
      </c>
      <c r="J80" s="600" t="s">
        <v>516</v>
      </c>
      <c r="K80" s="873">
        <f>SUM(K74+I80)</f>
        <v>1631453.6055999999</v>
      </c>
      <c r="L80" s="60" t="s">
        <v>933</v>
      </c>
    </row>
    <row r="81" spans="1:10" s="636" customFormat="1" ht="24" thickTop="1" x14ac:dyDescent="0.6">
      <c r="A81" s="628"/>
      <c r="B81" s="629"/>
      <c r="C81" s="630"/>
      <c r="D81" s="823"/>
      <c r="E81" s="632"/>
      <c r="F81" s="633"/>
      <c r="G81" s="635"/>
      <c r="J81" s="637"/>
    </row>
    <row r="82" spans="1:10" s="636" customFormat="1" x14ac:dyDescent="0.6">
      <c r="A82" s="1128" t="s">
        <v>524</v>
      </c>
      <c r="B82" s="1128"/>
      <c r="C82" s="1128"/>
      <c r="D82" s="1128"/>
      <c r="E82" s="1128"/>
      <c r="F82" s="1128"/>
      <c r="G82" s="1128"/>
      <c r="J82" s="637"/>
    </row>
    <row r="83" spans="1:10" s="599" customFormat="1" x14ac:dyDescent="0.6">
      <c r="A83" s="638">
        <v>1</v>
      </c>
      <c r="B83" s="639" t="s">
        <v>519</v>
      </c>
      <c r="C83" s="639" t="s">
        <v>518</v>
      </c>
      <c r="D83" s="824"/>
      <c r="E83" s="641" t="s">
        <v>806</v>
      </c>
      <c r="F83" s="642" t="s">
        <v>807</v>
      </c>
      <c r="G83" s="643">
        <v>72800</v>
      </c>
      <c r="J83" s="600"/>
    </row>
    <row r="84" spans="1:10" s="599" customFormat="1" x14ac:dyDescent="0.6">
      <c r="A84" s="646">
        <v>2</v>
      </c>
      <c r="B84" s="647" t="s">
        <v>521</v>
      </c>
      <c r="C84" s="647" t="s">
        <v>522</v>
      </c>
      <c r="D84" s="825"/>
      <c r="E84" s="652"/>
      <c r="F84" s="373"/>
      <c r="G84" s="643">
        <v>6917.6500000000015</v>
      </c>
      <c r="J84" s="600"/>
    </row>
    <row r="85" spans="1:10" s="599" customFormat="1" x14ac:dyDescent="0.6">
      <c r="A85" s="646"/>
      <c r="B85" s="653" t="s">
        <v>534</v>
      </c>
      <c r="C85" s="647"/>
      <c r="D85" s="825"/>
      <c r="E85" s="655"/>
      <c r="F85" s="656"/>
      <c r="G85" s="651"/>
      <c r="J85" s="600"/>
    </row>
    <row r="86" spans="1:10" s="599" customFormat="1" ht="24" thickBot="1" x14ac:dyDescent="0.65">
      <c r="A86" s="619"/>
      <c r="B86" s="620" t="s">
        <v>535</v>
      </c>
      <c r="C86" s="621"/>
      <c r="D86" s="822"/>
      <c r="E86" s="625"/>
      <c r="F86" s="625"/>
      <c r="G86" s="625">
        <v>79717.649999999994</v>
      </c>
      <c r="J86" s="600"/>
    </row>
    <row r="87" spans="1:10" ht="22.5" customHeight="1" thickTop="1" x14ac:dyDescent="0.3">
      <c r="E87" s="470"/>
      <c r="F87" s="586"/>
      <c r="G87" s="472"/>
      <c r="H87" s="2"/>
    </row>
    <row r="88" spans="1:10" ht="22.5" customHeight="1" thickBot="1" x14ac:dyDescent="0.35">
      <c r="E88" s="470"/>
      <c r="F88" s="586"/>
      <c r="G88" s="658">
        <v>1711171.2531999999</v>
      </c>
      <c r="H88" s="2"/>
    </row>
    <row r="89" spans="1:10" ht="22.5" customHeight="1" thickTop="1" x14ac:dyDescent="0.5">
      <c r="B89" s="587" t="s">
        <v>537</v>
      </c>
      <c r="C89" s="587"/>
      <c r="D89" s="826"/>
      <c r="E89" s="3"/>
      <c r="F89" s="470"/>
      <c r="G89" s="472"/>
    </row>
    <row r="90" spans="1:10" x14ac:dyDescent="0.5">
      <c r="B90" s="1129" t="s">
        <v>538</v>
      </c>
      <c r="C90" s="1129"/>
      <c r="D90" s="827"/>
      <c r="E90" s="3"/>
      <c r="F90" s="470"/>
      <c r="G90" s="472"/>
    </row>
    <row r="91" spans="1:10" x14ac:dyDescent="0.5">
      <c r="B91" s="1129" t="s">
        <v>539</v>
      </c>
      <c r="C91" s="1129"/>
      <c r="D91" s="827"/>
      <c r="E91" s="3"/>
      <c r="F91" s="470"/>
      <c r="G91" s="472"/>
    </row>
    <row r="92" spans="1:10" x14ac:dyDescent="0.3">
      <c r="E92" s="3"/>
      <c r="F92" s="470"/>
      <c r="G92" s="472"/>
    </row>
    <row r="93" spans="1:10" x14ac:dyDescent="0.3">
      <c r="E93" s="3"/>
      <c r="F93" s="470"/>
      <c r="G93" s="472"/>
    </row>
    <row r="94" spans="1:10" x14ac:dyDescent="0.3">
      <c r="E94" s="3"/>
      <c r="F94" s="470"/>
      <c r="G94" s="472"/>
    </row>
    <row r="95" spans="1:10" x14ac:dyDescent="0.3">
      <c r="E95" s="3"/>
      <c r="F95" s="470"/>
      <c r="G95" s="472"/>
    </row>
    <row r="96" spans="1:10" x14ac:dyDescent="0.3">
      <c r="E96" s="3"/>
      <c r="F96" s="470"/>
      <c r="G96" s="472"/>
    </row>
    <row r="97" spans="5:7" x14ac:dyDescent="0.3">
      <c r="E97" s="3"/>
      <c r="F97" s="470"/>
      <c r="G97" s="472"/>
    </row>
    <row r="98" spans="5:7" x14ac:dyDescent="0.3">
      <c r="E98" s="3"/>
      <c r="F98" s="470"/>
      <c r="G98" s="472"/>
    </row>
  </sheetData>
  <mergeCells count="14">
    <mergeCell ref="A60:G60"/>
    <mergeCell ref="A76:G76"/>
    <mergeCell ref="A82:G82"/>
    <mergeCell ref="B90:C90"/>
    <mergeCell ref="B91:C91"/>
    <mergeCell ref="E5:E6"/>
    <mergeCell ref="F5:F6"/>
    <mergeCell ref="A1:G1"/>
    <mergeCell ref="A2:G2"/>
    <mergeCell ref="A3:G3"/>
    <mergeCell ref="A4:A6"/>
    <mergeCell ref="B4:B6"/>
    <mergeCell ref="C4:C6"/>
    <mergeCell ref="E4:G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1385-E790-461B-9FAF-33B7E72647DF}">
  <sheetPr>
    <tabColor rgb="FFFFFF00"/>
  </sheetPr>
  <dimension ref="A1:K94"/>
  <sheetViews>
    <sheetView zoomScale="80" zoomScaleNormal="80" workbookViewId="0">
      <pane ySplit="6" topLeftCell="A41" activePane="bottomLeft" state="frozen"/>
      <selection pane="bottomLeft" activeCell="C55" sqref="C55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5546875" style="662" customWidth="1"/>
    <col min="5" max="5" width="8" style="663" customWidth="1"/>
    <col min="6" max="6" width="16.5546875" style="665" customWidth="1"/>
    <col min="7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7" ht="22.5" customHeight="1" x14ac:dyDescent="0.3">
      <c r="A3" s="1110" t="s">
        <v>804</v>
      </c>
      <c r="B3" s="1111"/>
      <c r="C3" s="1111"/>
      <c r="D3" s="1111"/>
      <c r="E3" s="1111"/>
      <c r="F3" s="1111"/>
      <c r="G3" s="2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40"/>
      <c r="F4" s="1120"/>
      <c r="G4" s="2"/>
    </row>
    <row r="5" spans="1:7" ht="22.5" customHeight="1" x14ac:dyDescent="0.3">
      <c r="A5" s="1113"/>
      <c r="B5" s="1113"/>
      <c r="C5" s="1116"/>
      <c r="D5" s="1121" t="s">
        <v>10</v>
      </c>
      <c r="E5" s="1138" t="s">
        <v>11</v>
      </c>
      <c r="F5" s="667"/>
      <c r="G5" s="2"/>
    </row>
    <row r="6" spans="1:7" ht="22.5" customHeight="1" x14ac:dyDescent="0.3">
      <c r="A6" s="1114"/>
      <c r="B6" s="1114"/>
      <c r="C6" s="1117"/>
      <c r="D6" s="1122"/>
      <c r="E6" s="1139"/>
      <c r="F6" s="10" t="s">
        <v>15</v>
      </c>
      <c r="G6" s="2"/>
    </row>
    <row r="7" spans="1:7" ht="22.5" customHeight="1" x14ac:dyDescent="0.3">
      <c r="A7" s="4"/>
      <c r="B7" s="4" t="s">
        <v>799</v>
      </c>
      <c r="C7" s="668"/>
      <c r="D7" s="784"/>
      <c r="E7" s="117"/>
      <c r="F7" s="173"/>
      <c r="G7" s="2"/>
    </row>
    <row r="8" spans="1:7" ht="22.5" customHeight="1" x14ac:dyDescent="0.3">
      <c r="A8" s="23">
        <v>1</v>
      </c>
      <c r="B8" s="73" t="s">
        <v>45</v>
      </c>
      <c r="C8" s="25" t="s">
        <v>46</v>
      </c>
      <c r="D8" s="865">
        <v>25203</v>
      </c>
      <c r="E8" s="70" t="s">
        <v>33</v>
      </c>
      <c r="F8" s="36">
        <v>834.5999999999998</v>
      </c>
      <c r="G8" s="2"/>
    </row>
    <row r="9" spans="1:7" ht="22.5" customHeight="1" x14ac:dyDescent="0.5">
      <c r="A9" s="23">
        <v>2</v>
      </c>
      <c r="B9" s="209" t="s">
        <v>300</v>
      </c>
      <c r="C9" s="210" t="s">
        <v>301</v>
      </c>
      <c r="D9" s="215">
        <v>25203</v>
      </c>
      <c r="E9" s="216" t="s">
        <v>33</v>
      </c>
      <c r="F9" s="36">
        <v>5600</v>
      </c>
      <c r="G9" s="2"/>
    </row>
    <row r="10" spans="1:7" ht="22.5" customHeight="1" x14ac:dyDescent="0.5">
      <c r="A10" s="23">
        <v>3</v>
      </c>
      <c r="B10" s="290" t="s">
        <v>389</v>
      </c>
      <c r="C10" s="25" t="s">
        <v>390</v>
      </c>
      <c r="D10" s="215">
        <v>25203</v>
      </c>
      <c r="E10" s="216" t="s">
        <v>33</v>
      </c>
      <c r="F10" s="409">
        <v>3150</v>
      </c>
      <c r="G10" s="2"/>
    </row>
    <row r="11" spans="1:7" ht="22.5" customHeight="1" x14ac:dyDescent="0.5">
      <c r="A11" s="23">
        <v>4</v>
      </c>
      <c r="B11" s="73" t="s">
        <v>287</v>
      </c>
      <c r="C11" s="25" t="s">
        <v>288</v>
      </c>
      <c r="D11" s="215">
        <v>25203</v>
      </c>
      <c r="E11" s="216" t="s">
        <v>33</v>
      </c>
      <c r="F11" s="36">
        <v>5600</v>
      </c>
      <c r="G11" s="2"/>
    </row>
    <row r="12" spans="1:7" ht="22.5" customHeight="1" x14ac:dyDescent="0.5">
      <c r="A12" s="23">
        <v>5</v>
      </c>
      <c r="B12" s="290" t="s">
        <v>355</v>
      </c>
      <c r="C12" s="371" t="s">
        <v>356</v>
      </c>
      <c r="D12" s="215">
        <v>25203</v>
      </c>
      <c r="E12" s="216" t="s">
        <v>33</v>
      </c>
      <c r="F12" s="36">
        <v>9400</v>
      </c>
      <c r="G12" s="2"/>
    </row>
    <row r="13" spans="1:7" ht="22.5" customHeight="1" x14ac:dyDescent="0.5">
      <c r="A13" s="23">
        <v>6</v>
      </c>
      <c r="B13" s="290" t="s">
        <v>358</v>
      </c>
      <c r="C13" s="375" t="s">
        <v>356</v>
      </c>
      <c r="D13" s="215">
        <v>25203</v>
      </c>
      <c r="E13" s="216" t="s">
        <v>33</v>
      </c>
      <c r="F13" s="36">
        <v>9810</v>
      </c>
      <c r="G13" s="223"/>
    </row>
    <row r="14" spans="1:7" ht="22.5" customHeight="1" x14ac:dyDescent="0.5">
      <c r="A14" s="23">
        <v>7</v>
      </c>
      <c r="B14" s="73" t="s">
        <v>107</v>
      </c>
      <c r="C14" s="81" t="s">
        <v>97</v>
      </c>
      <c r="D14" s="215">
        <v>25203</v>
      </c>
      <c r="E14" s="216" t="s">
        <v>33</v>
      </c>
      <c r="F14" s="217">
        <v>535</v>
      </c>
      <c r="G14" s="223"/>
    </row>
    <row r="15" spans="1:7" ht="22.5" customHeight="1" x14ac:dyDescent="0.5">
      <c r="A15" s="23">
        <v>8</v>
      </c>
      <c r="B15" s="240" t="s">
        <v>250</v>
      </c>
      <c r="C15" s="210" t="s">
        <v>251</v>
      </c>
      <c r="D15" s="215">
        <v>25203</v>
      </c>
      <c r="E15" s="216" t="s">
        <v>33</v>
      </c>
      <c r="F15" s="36">
        <v>6300</v>
      </c>
      <c r="G15" s="2"/>
    </row>
    <row r="16" spans="1:7" ht="22.5" customHeight="1" x14ac:dyDescent="0.5">
      <c r="A16" s="23">
        <v>9</v>
      </c>
      <c r="B16" s="78" t="s">
        <v>117</v>
      </c>
      <c r="C16" s="25" t="s">
        <v>118</v>
      </c>
      <c r="D16" s="215">
        <v>25203</v>
      </c>
      <c r="E16" s="216" t="s">
        <v>33</v>
      </c>
      <c r="F16" s="217">
        <v>438.70000000000005</v>
      </c>
      <c r="G16" s="2"/>
    </row>
    <row r="17" spans="1:7" ht="22.5" customHeight="1" x14ac:dyDescent="0.5">
      <c r="A17" s="23">
        <v>10</v>
      </c>
      <c r="B17" s="78" t="s">
        <v>121</v>
      </c>
      <c r="C17" s="238" t="s">
        <v>122</v>
      </c>
      <c r="D17" s="215">
        <v>25203</v>
      </c>
      <c r="E17" s="216" t="s">
        <v>33</v>
      </c>
      <c r="F17" s="217">
        <v>7896.5999999999985</v>
      </c>
      <c r="G17" s="2"/>
    </row>
    <row r="18" spans="1:7" s="229" customFormat="1" ht="22.5" customHeight="1" x14ac:dyDescent="0.5">
      <c r="A18" s="23">
        <v>11</v>
      </c>
      <c r="B18" s="78" t="s">
        <v>129</v>
      </c>
      <c r="C18" s="83" t="s">
        <v>130</v>
      </c>
      <c r="D18" s="215">
        <v>25203</v>
      </c>
      <c r="E18" s="216" t="s">
        <v>33</v>
      </c>
      <c r="F18" s="217">
        <v>2771.2999999999993</v>
      </c>
      <c r="G18" s="47"/>
    </row>
    <row r="19" spans="1:7" ht="22.5" customHeight="1" x14ac:dyDescent="0.5">
      <c r="A19" s="23">
        <v>12</v>
      </c>
      <c r="B19" s="78" t="s">
        <v>134</v>
      </c>
      <c r="C19" s="81" t="s">
        <v>135</v>
      </c>
      <c r="D19" s="215">
        <v>25203</v>
      </c>
      <c r="E19" s="216" t="s">
        <v>33</v>
      </c>
      <c r="F19" s="217">
        <v>6633.9999999999991</v>
      </c>
      <c r="G19" s="2"/>
    </row>
    <row r="20" spans="1:7" ht="22.5" customHeight="1" x14ac:dyDescent="0.5">
      <c r="A20" s="23">
        <v>13</v>
      </c>
      <c r="B20" s="226" t="s">
        <v>137</v>
      </c>
      <c r="C20" s="227"/>
      <c r="D20" s="215">
        <v>25203</v>
      </c>
      <c r="E20" s="216" t="s">
        <v>33</v>
      </c>
      <c r="F20" s="217">
        <v>2439.6000000000004</v>
      </c>
      <c r="G20" s="2"/>
    </row>
    <row r="21" spans="1:7" ht="22.5" customHeight="1" x14ac:dyDescent="0.5">
      <c r="A21" s="23">
        <v>14</v>
      </c>
      <c r="B21" s="240" t="s">
        <v>569</v>
      </c>
      <c r="C21" s="83" t="s">
        <v>153</v>
      </c>
      <c r="D21" s="215">
        <v>25203</v>
      </c>
      <c r="E21" s="216" t="s">
        <v>33</v>
      </c>
      <c r="F21" s="217">
        <v>4772.1999999999962</v>
      </c>
      <c r="G21" s="2"/>
    </row>
    <row r="22" spans="1:7" ht="22.5" customHeight="1" x14ac:dyDescent="0.5">
      <c r="A22" s="23">
        <v>15</v>
      </c>
      <c r="B22" s="243" t="s">
        <v>162</v>
      </c>
      <c r="C22" s="244" t="s">
        <v>163</v>
      </c>
      <c r="D22" s="215">
        <v>25203</v>
      </c>
      <c r="E22" s="216" t="s">
        <v>33</v>
      </c>
      <c r="F22" s="217">
        <v>6066.8999999999969</v>
      </c>
      <c r="G22" s="2"/>
    </row>
    <row r="23" spans="1:7" ht="22.5" customHeight="1" x14ac:dyDescent="0.5">
      <c r="A23" s="23">
        <v>16</v>
      </c>
      <c r="B23" s="209" t="s">
        <v>175</v>
      </c>
      <c r="C23" s="210" t="s">
        <v>176</v>
      </c>
      <c r="D23" s="215">
        <v>25203</v>
      </c>
      <c r="E23" s="216" t="s">
        <v>33</v>
      </c>
      <c r="F23" s="217">
        <v>845.29999999999916</v>
      </c>
      <c r="G23" s="2"/>
    </row>
    <row r="24" spans="1:7" ht="22.5" customHeight="1" x14ac:dyDescent="0.5">
      <c r="A24" s="23">
        <v>17</v>
      </c>
      <c r="B24" s="209" t="s">
        <v>193</v>
      </c>
      <c r="C24" s="210" t="s">
        <v>194</v>
      </c>
      <c r="D24" s="215">
        <v>25203</v>
      </c>
      <c r="E24" s="216" t="s">
        <v>33</v>
      </c>
      <c r="F24" s="217">
        <v>1883.1999999999998</v>
      </c>
      <c r="G24" s="2"/>
    </row>
    <row r="25" spans="1:7" ht="22.5" customHeight="1" x14ac:dyDescent="0.5">
      <c r="A25" s="23">
        <v>18</v>
      </c>
      <c r="B25" s="209" t="s">
        <v>210</v>
      </c>
      <c r="C25" s="210" t="s">
        <v>211</v>
      </c>
      <c r="D25" s="215">
        <v>25203</v>
      </c>
      <c r="E25" s="216" t="s">
        <v>33</v>
      </c>
      <c r="F25" s="217">
        <v>6676.800000000002</v>
      </c>
      <c r="G25" s="2"/>
    </row>
    <row r="26" spans="1:7" ht="22.5" customHeight="1" x14ac:dyDescent="0.5">
      <c r="A26" s="23">
        <v>19</v>
      </c>
      <c r="B26" s="736" t="s">
        <v>226</v>
      </c>
      <c r="C26" s="736" t="s">
        <v>227</v>
      </c>
      <c r="D26" s="215">
        <v>25203</v>
      </c>
      <c r="E26" s="216" t="s">
        <v>33</v>
      </c>
      <c r="F26" s="217">
        <v>7778.9000000000005</v>
      </c>
      <c r="G26" s="2"/>
    </row>
    <row r="27" spans="1:7" ht="22.5" customHeight="1" x14ac:dyDescent="0.5">
      <c r="A27" s="23">
        <v>20</v>
      </c>
      <c r="B27" s="736" t="s">
        <v>566</v>
      </c>
      <c r="C27" s="736" t="s">
        <v>567</v>
      </c>
      <c r="D27" s="215">
        <v>25203</v>
      </c>
      <c r="E27" s="216" t="s">
        <v>33</v>
      </c>
      <c r="F27" s="217">
        <v>2311.1999999999998</v>
      </c>
      <c r="G27" s="2"/>
    </row>
    <row r="28" spans="1:7" ht="22.5" customHeight="1" x14ac:dyDescent="0.5">
      <c r="A28" s="23">
        <v>21</v>
      </c>
      <c r="B28" s="73" t="s">
        <v>116</v>
      </c>
      <c r="C28" s="25" t="s">
        <v>113</v>
      </c>
      <c r="D28" s="215">
        <v>25203</v>
      </c>
      <c r="E28" s="216" t="s">
        <v>33</v>
      </c>
      <c r="F28" s="217">
        <v>5007.6000000000022</v>
      </c>
      <c r="G28" s="2"/>
    </row>
    <row r="29" spans="1:7" ht="22.5" customHeight="1" x14ac:dyDescent="0.5">
      <c r="A29" s="23">
        <v>22</v>
      </c>
      <c r="B29" s="73" t="s">
        <v>120</v>
      </c>
      <c r="C29" s="25" t="s">
        <v>118</v>
      </c>
      <c r="D29" s="239">
        <v>25203</v>
      </c>
      <c r="E29" s="236" t="s">
        <v>33</v>
      </c>
      <c r="F29" s="217">
        <v>3787.8</v>
      </c>
      <c r="G29" s="2"/>
    </row>
    <row r="30" spans="1:7" ht="22.5" customHeight="1" x14ac:dyDescent="0.5">
      <c r="A30" s="23">
        <v>23</v>
      </c>
      <c r="B30" s="189" t="s">
        <v>121</v>
      </c>
      <c r="C30" s="757" t="s">
        <v>122</v>
      </c>
      <c r="D30" s="215">
        <v>25203</v>
      </c>
      <c r="E30" s="216" t="s">
        <v>33</v>
      </c>
      <c r="F30" s="217">
        <v>3862.7</v>
      </c>
      <c r="G30" s="2"/>
    </row>
    <row r="31" spans="1:7" ht="22.5" customHeight="1" x14ac:dyDescent="0.5">
      <c r="A31" s="23">
        <v>24</v>
      </c>
      <c r="B31" s="189" t="s">
        <v>132</v>
      </c>
      <c r="C31" s="757" t="s">
        <v>130</v>
      </c>
      <c r="D31" s="675">
        <v>25203</v>
      </c>
      <c r="E31" s="676" t="s">
        <v>33</v>
      </c>
      <c r="F31" s="217">
        <v>11523.899999999994</v>
      </c>
      <c r="G31" s="2"/>
    </row>
    <row r="32" spans="1:7" ht="22.5" customHeight="1" x14ac:dyDescent="0.5">
      <c r="A32" s="23">
        <v>25</v>
      </c>
      <c r="B32" s="753" t="s">
        <v>569</v>
      </c>
      <c r="C32" s="757"/>
      <c r="D32" s="681">
        <v>25203</v>
      </c>
      <c r="E32" s="682" t="s">
        <v>33</v>
      </c>
      <c r="F32" s="217">
        <v>11277.8</v>
      </c>
      <c r="G32" s="2"/>
    </row>
    <row r="33" spans="1:7" ht="22.5" customHeight="1" x14ac:dyDescent="0.5">
      <c r="A33" s="23">
        <v>26</v>
      </c>
      <c r="B33" s="209" t="s">
        <v>191</v>
      </c>
      <c r="C33" s="210" t="s">
        <v>190</v>
      </c>
      <c r="D33" s="215">
        <v>25203</v>
      </c>
      <c r="E33" s="216" t="s">
        <v>33</v>
      </c>
      <c r="F33" s="217">
        <v>8570.7000000000007</v>
      </c>
      <c r="G33" s="218"/>
    </row>
    <row r="34" spans="1:7" ht="22.5" customHeight="1" x14ac:dyDescent="0.5">
      <c r="A34" s="23">
        <v>27</v>
      </c>
      <c r="B34" s="209" t="s">
        <v>198</v>
      </c>
      <c r="C34" s="210" t="s">
        <v>567</v>
      </c>
      <c r="D34" s="215">
        <v>25203</v>
      </c>
      <c r="E34" s="216" t="s">
        <v>33</v>
      </c>
      <c r="F34" s="217">
        <v>706.20000000000016</v>
      </c>
      <c r="G34" s="2"/>
    </row>
    <row r="35" spans="1:7" ht="22.5" customHeight="1" x14ac:dyDescent="0.5">
      <c r="A35" s="331">
        <v>28</v>
      </c>
      <c r="B35" s="874" t="s">
        <v>568</v>
      </c>
      <c r="C35" s="874" t="s">
        <v>567</v>
      </c>
      <c r="D35" s="239">
        <v>25203</v>
      </c>
      <c r="E35" s="236" t="s">
        <v>33</v>
      </c>
      <c r="F35" s="761">
        <v>2642.9</v>
      </c>
      <c r="G35" s="2"/>
    </row>
    <row r="36" spans="1:7" ht="22.5" customHeight="1" thickBot="1" x14ac:dyDescent="0.55000000000000004">
      <c r="A36" s="877"/>
      <c r="B36" s="878"/>
      <c r="C36" s="878"/>
      <c r="D36" s="781"/>
      <c r="E36" s="782"/>
      <c r="F36" s="789">
        <f>SUM(F8:F35)</f>
        <v>139123.9</v>
      </c>
      <c r="G36" s="2"/>
    </row>
    <row r="37" spans="1:7" ht="22.5" customHeight="1" thickTop="1" x14ac:dyDescent="0.5">
      <c r="A37" s="875"/>
      <c r="B37" s="876" t="s">
        <v>800</v>
      </c>
      <c r="C37" s="876"/>
      <c r="D37" s="831"/>
      <c r="E37" s="832"/>
      <c r="F37" s="751"/>
      <c r="G37" s="2"/>
    </row>
    <row r="38" spans="1:7" ht="22.5" customHeight="1" x14ac:dyDescent="0.5">
      <c r="A38" s="377">
        <v>1</v>
      </c>
      <c r="B38" s="149" t="s">
        <v>281</v>
      </c>
      <c r="C38" s="311" t="s">
        <v>360</v>
      </c>
      <c r="D38" s="215" t="s">
        <v>872</v>
      </c>
      <c r="E38" s="216" t="s">
        <v>115</v>
      </c>
      <c r="F38" s="36">
        <v>6000</v>
      </c>
      <c r="G38" s="2"/>
    </row>
    <row r="39" spans="1:7" ht="22.5" customHeight="1" x14ac:dyDescent="0.5">
      <c r="A39" s="208">
        <v>2</v>
      </c>
      <c r="B39" s="209" t="s">
        <v>200</v>
      </c>
      <c r="C39" s="210" t="s">
        <v>201</v>
      </c>
      <c r="D39" s="215" t="s">
        <v>872</v>
      </c>
      <c r="E39" s="216" t="s">
        <v>115</v>
      </c>
      <c r="F39" s="217">
        <v>12518.999999999996</v>
      </c>
    </row>
    <row r="40" spans="1:7" ht="22.5" customHeight="1" x14ac:dyDescent="0.5">
      <c r="A40" s="837">
        <v>3</v>
      </c>
      <c r="B40" s="240" t="s">
        <v>208</v>
      </c>
      <c r="C40" s="83"/>
      <c r="D40" s="239" t="s">
        <v>872</v>
      </c>
      <c r="E40" s="236" t="s">
        <v>115</v>
      </c>
      <c r="F40" s="761">
        <v>5917.0999999999976</v>
      </c>
    </row>
    <row r="41" spans="1:7" ht="22.5" customHeight="1" thickBot="1" x14ac:dyDescent="0.55000000000000004">
      <c r="A41" s="833"/>
      <c r="B41" s="785"/>
      <c r="C41" s="786"/>
      <c r="D41" s="781"/>
      <c r="E41" s="782"/>
      <c r="F41" s="789">
        <f>SUM(F38:F40)</f>
        <v>24436.099999999995</v>
      </c>
    </row>
    <row r="42" spans="1:7" ht="22.5" customHeight="1" thickTop="1" x14ac:dyDescent="0.5">
      <c r="A42" s="253"/>
      <c r="B42" s="254" t="s">
        <v>801</v>
      </c>
      <c r="C42" s="238"/>
      <c r="D42" s="831"/>
      <c r="E42" s="832"/>
      <c r="F42" s="751"/>
    </row>
    <row r="43" spans="1:7" ht="22.5" customHeight="1" x14ac:dyDescent="0.5">
      <c r="A43" s="115">
        <v>1</v>
      </c>
      <c r="B43" s="73" t="s">
        <v>281</v>
      </c>
      <c r="C43" s="25" t="s">
        <v>282</v>
      </c>
      <c r="D43" s="215" t="s">
        <v>899</v>
      </c>
      <c r="E43" s="216" t="s">
        <v>284</v>
      </c>
      <c r="F43" s="36">
        <v>16800</v>
      </c>
    </row>
    <row r="44" spans="1:7" ht="22.5" customHeight="1" x14ac:dyDescent="0.5">
      <c r="A44" s="837">
        <v>2</v>
      </c>
      <c r="B44" s="240" t="s">
        <v>168</v>
      </c>
      <c r="C44" s="83" t="s">
        <v>169</v>
      </c>
      <c r="D44" s="239" t="s">
        <v>860</v>
      </c>
      <c r="E44" s="236" t="s">
        <v>284</v>
      </c>
      <c r="F44" s="761">
        <v>17976</v>
      </c>
    </row>
    <row r="45" spans="1:7" ht="22.5" customHeight="1" thickBot="1" x14ac:dyDescent="0.55000000000000004">
      <c r="A45" s="833"/>
      <c r="B45" s="785"/>
      <c r="C45" s="786"/>
      <c r="D45" s="847"/>
      <c r="E45" s="848"/>
      <c r="F45" s="789">
        <f>SUM(F43:F44)</f>
        <v>34776</v>
      </c>
    </row>
    <row r="46" spans="1:7" ht="22.5" customHeight="1" thickTop="1" x14ac:dyDescent="0.5">
      <c r="A46" s="391"/>
      <c r="B46" s="768" t="s">
        <v>679</v>
      </c>
      <c r="C46" s="743"/>
      <c r="D46" s="675"/>
      <c r="E46" s="776"/>
      <c r="F46" s="751"/>
    </row>
    <row r="47" spans="1:7" ht="22.5" customHeight="1" x14ac:dyDescent="0.3">
      <c r="A47" s="61">
        <v>1</v>
      </c>
      <c r="B47" s="290" t="s">
        <v>397</v>
      </c>
      <c r="C47" s="63" t="s">
        <v>417</v>
      </c>
      <c r="D47" s="69" t="s">
        <v>795</v>
      </c>
      <c r="E47" s="70"/>
      <c r="F47" s="387">
        <v>8604.76</v>
      </c>
    </row>
    <row r="48" spans="1:7" ht="22.5" customHeight="1" x14ac:dyDescent="0.3">
      <c r="A48" s="61">
        <v>2</v>
      </c>
      <c r="B48" s="290" t="s">
        <v>358</v>
      </c>
      <c r="C48" s="63" t="s">
        <v>417</v>
      </c>
      <c r="D48" s="69" t="s">
        <v>795</v>
      </c>
      <c r="E48" s="70"/>
      <c r="F48" s="387">
        <v>9651.43</v>
      </c>
    </row>
    <row r="49" spans="1:9" ht="22.5" customHeight="1" x14ac:dyDescent="0.3">
      <c r="A49" s="61">
        <v>3</v>
      </c>
      <c r="B49" s="290" t="s">
        <v>398</v>
      </c>
      <c r="C49" s="63" t="s">
        <v>417</v>
      </c>
      <c r="D49" s="69" t="s">
        <v>795</v>
      </c>
      <c r="E49" s="70"/>
      <c r="F49" s="387">
        <v>3283.84</v>
      </c>
    </row>
    <row r="50" spans="1:9" ht="22.5" customHeight="1" x14ac:dyDescent="0.3">
      <c r="A50" s="61">
        <v>4</v>
      </c>
      <c r="B50" s="290" t="s">
        <v>456</v>
      </c>
      <c r="C50" s="63" t="s">
        <v>457</v>
      </c>
      <c r="D50" s="69" t="s">
        <v>795</v>
      </c>
      <c r="E50" s="70"/>
      <c r="F50" s="387">
        <v>1064.44</v>
      </c>
    </row>
    <row r="51" spans="1:9" ht="22.5" customHeight="1" x14ac:dyDescent="0.3">
      <c r="A51" s="61">
        <v>5</v>
      </c>
      <c r="B51" s="290" t="s">
        <v>463</v>
      </c>
      <c r="C51" s="63" t="s">
        <v>464</v>
      </c>
      <c r="D51" s="69" t="s">
        <v>795</v>
      </c>
      <c r="E51" s="70"/>
      <c r="F51" s="387">
        <v>1064.44</v>
      </c>
    </row>
    <row r="52" spans="1:9" ht="22.5" customHeight="1" x14ac:dyDescent="0.3">
      <c r="A52" s="23">
        <v>6</v>
      </c>
      <c r="B52" s="290" t="s">
        <v>493</v>
      </c>
      <c r="C52" s="25" t="s">
        <v>494</v>
      </c>
      <c r="D52" s="41" t="s">
        <v>795</v>
      </c>
      <c r="E52" s="34"/>
      <c r="F52" s="387">
        <v>2061.84</v>
      </c>
    </row>
    <row r="53" spans="1:9" ht="22.5" customHeight="1" thickBot="1" x14ac:dyDescent="0.35">
      <c r="A53" s="23">
        <v>7</v>
      </c>
      <c r="B53" s="290" t="s">
        <v>495</v>
      </c>
      <c r="C53" s="25" t="s">
        <v>496</v>
      </c>
      <c r="D53" s="41" t="s">
        <v>795</v>
      </c>
      <c r="E53" s="34"/>
      <c r="F53" s="387">
        <v>20595.900000000001</v>
      </c>
    </row>
    <row r="54" spans="1:9" s="60" customFormat="1" ht="22.5" customHeight="1" thickTop="1" thickBot="1" x14ac:dyDescent="0.35">
      <c r="A54" s="459"/>
      <c r="B54" s="460" t="s">
        <v>497</v>
      </c>
      <c r="C54" s="461"/>
      <c r="D54" s="462">
        <v>0</v>
      </c>
      <c r="E54" s="462">
        <v>0</v>
      </c>
      <c r="F54" s="462">
        <f>SUM(F47:F53)</f>
        <v>46326.65</v>
      </c>
      <c r="G54" s="879">
        <f>SUM(F36+F41+F45+F54)</f>
        <v>244662.65</v>
      </c>
      <c r="H54" s="730">
        <v>244662.64999999997</v>
      </c>
      <c r="I54" s="60" t="s">
        <v>670</v>
      </c>
    </row>
    <row r="55" spans="1:9" ht="22.5" customHeight="1" thickTop="1" x14ac:dyDescent="0.3">
      <c r="D55" s="3"/>
      <c r="E55" s="470"/>
      <c r="F55" s="472"/>
    </row>
    <row r="56" spans="1:9" ht="22.5" customHeight="1" x14ac:dyDescent="0.3">
      <c r="A56" s="1123" t="s">
        <v>498</v>
      </c>
      <c r="B56" s="1124"/>
      <c r="C56" s="1124"/>
      <c r="D56" s="1124"/>
      <c r="E56" s="1124"/>
      <c r="F56" s="1125"/>
      <c r="G56" s="2"/>
    </row>
    <row r="57" spans="1:9" ht="22.5" customHeight="1" x14ac:dyDescent="0.3">
      <c r="A57" s="115"/>
      <c r="B57" s="164" t="s">
        <v>499</v>
      </c>
      <c r="C57" s="165"/>
      <c r="D57" s="117"/>
      <c r="E57" s="118"/>
      <c r="F57" s="370"/>
      <c r="G57" s="2"/>
    </row>
    <row r="58" spans="1:9" ht="22.5" customHeight="1" x14ac:dyDescent="0.3">
      <c r="A58" s="475">
        <v>1</v>
      </c>
      <c r="B58" s="476" t="s">
        <v>500</v>
      </c>
      <c r="C58" s="477" t="s">
        <v>501</v>
      </c>
      <c r="D58" s="484"/>
      <c r="E58" s="485"/>
      <c r="F58" s="487">
        <v>325409.68</v>
      </c>
      <c r="G58" s="2" t="s">
        <v>502</v>
      </c>
    </row>
    <row r="59" spans="1:9" ht="22.5" customHeight="1" x14ac:dyDescent="0.3">
      <c r="A59" s="488"/>
      <c r="B59" s="489" t="s">
        <v>503</v>
      </c>
      <c r="C59" s="490"/>
      <c r="D59" s="484"/>
      <c r="E59" s="494"/>
      <c r="F59" s="487"/>
      <c r="G59" s="2"/>
    </row>
    <row r="60" spans="1:9" ht="22.5" customHeight="1" x14ac:dyDescent="0.3">
      <c r="A60" s="475">
        <v>2</v>
      </c>
      <c r="B60" s="476" t="s">
        <v>504</v>
      </c>
      <c r="C60" s="477" t="s">
        <v>415</v>
      </c>
      <c r="D60" s="484"/>
      <c r="E60" s="494"/>
      <c r="F60" s="497">
        <v>74600.88</v>
      </c>
      <c r="G60" s="2"/>
    </row>
    <row r="61" spans="1:9" ht="22.5" customHeight="1" x14ac:dyDescent="0.3">
      <c r="A61" s="475"/>
      <c r="B61" s="489" t="s">
        <v>505</v>
      </c>
      <c r="C61" s="498"/>
      <c r="D61" s="484"/>
      <c r="E61" s="494"/>
      <c r="F61" s="497"/>
      <c r="G61" s="2"/>
    </row>
    <row r="62" spans="1:9" ht="22.5" customHeight="1" x14ac:dyDescent="0.3">
      <c r="A62" s="502">
        <v>3</v>
      </c>
      <c r="B62" s="503" t="s">
        <v>506</v>
      </c>
      <c r="C62" s="504" t="s">
        <v>507</v>
      </c>
      <c r="D62" s="509"/>
      <c r="E62" s="510"/>
      <c r="F62" s="513">
        <v>32500</v>
      </c>
      <c r="G62" s="2"/>
    </row>
    <row r="63" spans="1:9" ht="22.5" customHeight="1" x14ac:dyDescent="0.3">
      <c r="A63" s="488"/>
      <c r="B63" s="489" t="s">
        <v>508</v>
      </c>
      <c r="C63" s="514"/>
      <c r="D63" s="520"/>
      <c r="E63" s="521"/>
      <c r="F63" s="524"/>
    </row>
    <row r="64" spans="1:9" ht="22.5" customHeight="1" x14ac:dyDescent="0.3">
      <c r="A64" s="488">
        <v>4</v>
      </c>
      <c r="B64" s="525" t="s">
        <v>509</v>
      </c>
      <c r="C64" s="526" t="s">
        <v>510</v>
      </c>
      <c r="D64" s="521"/>
      <c r="E64" s="529"/>
      <c r="F64" s="532">
        <v>796450.4</v>
      </c>
    </row>
    <row r="65" spans="1:11" ht="22.5" customHeight="1" x14ac:dyDescent="0.3">
      <c r="A65" s="533"/>
      <c r="B65" s="534" t="s">
        <v>509</v>
      </c>
      <c r="C65" s="535" t="s">
        <v>511</v>
      </c>
      <c r="D65" s="543"/>
      <c r="E65" s="544"/>
      <c r="F65" s="547">
        <v>93330</v>
      </c>
    </row>
    <row r="66" spans="1:11" s="60" customFormat="1" ht="22.5" customHeight="1" thickBot="1" x14ac:dyDescent="0.35">
      <c r="A66" s="548"/>
      <c r="B66" s="548" t="s">
        <v>15</v>
      </c>
      <c r="C66" s="549"/>
      <c r="D66" s="555"/>
      <c r="E66" s="556"/>
      <c r="F66" s="558">
        <v>1322290.96</v>
      </c>
      <c r="G66" s="59">
        <v>1322290.96</v>
      </c>
    </row>
    <row r="67" spans="1:11" ht="22.5" customHeight="1" thickTop="1" x14ac:dyDescent="0.3">
      <c r="A67" s="559"/>
      <c r="B67" s="560" t="s">
        <v>92</v>
      </c>
      <c r="C67" s="561"/>
      <c r="D67" s="567"/>
      <c r="E67" s="568"/>
      <c r="F67" s="570"/>
      <c r="G67" s="2"/>
    </row>
    <row r="68" spans="1:11" ht="22.5" customHeight="1" x14ac:dyDescent="0.3">
      <c r="A68" s="23">
        <v>1</v>
      </c>
      <c r="B68" s="73" t="s">
        <v>512</v>
      </c>
      <c r="C68" s="25" t="s">
        <v>97</v>
      </c>
      <c r="D68" s="41" t="s">
        <v>513</v>
      </c>
      <c r="E68" s="34" t="s">
        <v>514</v>
      </c>
      <c r="F68" s="36">
        <v>10499.9956</v>
      </c>
      <c r="G68" s="2"/>
    </row>
    <row r="69" spans="1:11" s="60" customFormat="1" ht="22.5" customHeight="1" thickBot="1" x14ac:dyDescent="0.35">
      <c r="A69" s="548"/>
      <c r="B69" s="548" t="s">
        <v>15</v>
      </c>
      <c r="C69" s="549"/>
      <c r="D69" s="548"/>
      <c r="E69" s="552"/>
      <c r="F69" s="558">
        <v>10499.9956</v>
      </c>
      <c r="G69" s="59">
        <v>10499.9956</v>
      </c>
    </row>
    <row r="70" spans="1:11" s="60" customFormat="1" ht="22.5" customHeight="1" thickTop="1" thickBot="1" x14ac:dyDescent="0.35">
      <c r="A70" s="572"/>
      <c r="B70" s="572" t="s">
        <v>515</v>
      </c>
      <c r="C70" s="573"/>
      <c r="D70" s="580"/>
      <c r="E70" s="581"/>
      <c r="F70" s="583">
        <v>1332790.9556</v>
      </c>
      <c r="G70" s="59"/>
      <c r="H70" s="870">
        <v>1332790.9556</v>
      </c>
      <c r="I70" s="60" t="s">
        <v>671</v>
      </c>
      <c r="J70" s="871">
        <v>1577453.6055999999</v>
      </c>
      <c r="K70" s="60" t="s">
        <v>932</v>
      </c>
    </row>
    <row r="71" spans="1:11" ht="22.5" customHeight="1" thickTop="1" x14ac:dyDescent="0.3">
      <c r="D71" s="470"/>
      <c r="E71" s="586"/>
      <c r="F71" s="472"/>
      <c r="G71" s="2"/>
    </row>
    <row r="72" spans="1:11" s="589" customFormat="1" ht="20.399999999999999" x14ac:dyDescent="0.5">
      <c r="A72" s="1126" t="s">
        <v>516</v>
      </c>
      <c r="B72" s="1127"/>
      <c r="C72" s="1127"/>
      <c r="D72" s="1127"/>
      <c r="E72" s="1127"/>
      <c r="F72" s="1127"/>
      <c r="G72" s="587"/>
      <c r="H72" s="587"/>
      <c r="I72" s="588"/>
    </row>
    <row r="73" spans="1:11" s="599" customFormat="1" x14ac:dyDescent="0.6">
      <c r="A73" s="590">
        <v>1</v>
      </c>
      <c r="B73" s="591" t="s">
        <v>517</v>
      </c>
      <c r="C73" s="591" t="s">
        <v>518</v>
      </c>
      <c r="D73" s="598"/>
      <c r="E73" s="594"/>
      <c r="F73" s="595">
        <v>0</v>
      </c>
      <c r="I73" s="600"/>
    </row>
    <row r="74" spans="1:11" s="599" customFormat="1" x14ac:dyDescent="0.6">
      <c r="A74" s="601">
        <v>2</v>
      </c>
      <c r="B74" s="602" t="s">
        <v>519</v>
      </c>
      <c r="C74" s="602" t="s">
        <v>520</v>
      </c>
      <c r="D74" s="604"/>
      <c r="E74" s="605"/>
      <c r="F74" s="609">
        <v>54000</v>
      </c>
      <c r="I74" s="600"/>
    </row>
    <row r="75" spans="1:11" s="599" customFormat="1" x14ac:dyDescent="0.6">
      <c r="A75" s="610">
        <v>3</v>
      </c>
      <c r="B75" s="611" t="s">
        <v>521</v>
      </c>
      <c r="C75" s="611" t="s">
        <v>522</v>
      </c>
      <c r="D75" s="618"/>
      <c r="E75" s="614"/>
      <c r="F75" s="609">
        <v>0</v>
      </c>
      <c r="I75" s="600"/>
    </row>
    <row r="76" spans="1:11" s="599" customFormat="1" ht="24" thickBot="1" x14ac:dyDescent="0.65">
      <c r="A76" s="619"/>
      <c r="B76" s="620" t="s">
        <v>523</v>
      </c>
      <c r="C76" s="621"/>
      <c r="D76" s="623"/>
      <c r="E76" s="624"/>
      <c r="F76" s="626">
        <v>54000</v>
      </c>
      <c r="G76" s="627">
        <v>54000</v>
      </c>
      <c r="H76" s="872">
        <v>54000</v>
      </c>
      <c r="I76" s="600" t="s">
        <v>516</v>
      </c>
      <c r="J76" s="873">
        <v>1631453.6055999999</v>
      </c>
      <c r="K76" s="60" t="s">
        <v>933</v>
      </c>
    </row>
    <row r="77" spans="1:11" s="636" customFormat="1" ht="24" thickTop="1" x14ac:dyDescent="0.6">
      <c r="A77" s="628"/>
      <c r="B77" s="629"/>
      <c r="C77" s="630"/>
      <c r="D77" s="632"/>
      <c r="E77" s="633"/>
      <c r="F77" s="635"/>
      <c r="I77" s="637"/>
    </row>
    <row r="78" spans="1:11" s="636" customFormat="1" x14ac:dyDescent="0.6">
      <c r="A78" s="1128" t="s">
        <v>524</v>
      </c>
      <c r="B78" s="1128"/>
      <c r="C78" s="1128"/>
      <c r="D78" s="1128"/>
      <c r="E78" s="1128"/>
      <c r="F78" s="1128"/>
      <c r="I78" s="637"/>
    </row>
    <row r="79" spans="1:11" s="599" customFormat="1" x14ac:dyDescent="0.6">
      <c r="A79" s="638">
        <v>1</v>
      </c>
      <c r="B79" s="639" t="s">
        <v>519</v>
      </c>
      <c r="C79" s="639" t="s">
        <v>518</v>
      </c>
      <c r="D79" s="641" t="s">
        <v>806</v>
      </c>
      <c r="E79" s="642" t="s">
        <v>807</v>
      </c>
      <c r="F79" s="643">
        <v>72800</v>
      </c>
      <c r="I79" s="600"/>
    </row>
    <row r="80" spans="1:11" s="599" customFormat="1" x14ac:dyDescent="0.6">
      <c r="A80" s="646">
        <v>2</v>
      </c>
      <c r="B80" s="647" t="s">
        <v>521</v>
      </c>
      <c r="C80" s="647" t="s">
        <v>522</v>
      </c>
      <c r="D80" s="652"/>
      <c r="E80" s="373"/>
      <c r="F80" s="643">
        <v>6917.6500000000015</v>
      </c>
      <c r="I80" s="600"/>
    </row>
    <row r="81" spans="1:9" s="599" customFormat="1" x14ac:dyDescent="0.6">
      <c r="A81" s="646"/>
      <c r="B81" s="653" t="s">
        <v>534</v>
      </c>
      <c r="C81" s="647"/>
      <c r="D81" s="655"/>
      <c r="E81" s="656"/>
      <c r="F81" s="651"/>
      <c r="I81" s="600"/>
    </row>
    <row r="82" spans="1:9" s="599" customFormat="1" ht="24" thickBot="1" x14ac:dyDescent="0.65">
      <c r="A82" s="619"/>
      <c r="B82" s="620" t="s">
        <v>535</v>
      </c>
      <c r="C82" s="621"/>
      <c r="D82" s="625"/>
      <c r="E82" s="625"/>
      <c r="F82" s="625">
        <v>79717.649999999994</v>
      </c>
      <c r="I82" s="600"/>
    </row>
    <row r="83" spans="1:9" ht="22.5" customHeight="1" thickTop="1" x14ac:dyDescent="0.3">
      <c r="D83" s="470"/>
      <c r="E83" s="586"/>
      <c r="F83" s="472"/>
      <c r="G83" s="2"/>
    </row>
    <row r="84" spans="1:9" ht="22.5" customHeight="1" thickBot="1" x14ac:dyDescent="0.35">
      <c r="D84" s="470"/>
      <c r="E84" s="586"/>
      <c r="F84" s="658">
        <v>1711171.2531999999</v>
      </c>
      <c r="G84" s="2"/>
    </row>
    <row r="85" spans="1:9" ht="22.5" customHeight="1" thickTop="1" x14ac:dyDescent="0.5">
      <c r="B85" s="587" t="s">
        <v>537</v>
      </c>
      <c r="C85" s="587"/>
      <c r="D85" s="3"/>
      <c r="E85" s="470"/>
      <c r="F85" s="472"/>
    </row>
    <row r="86" spans="1:9" x14ac:dyDescent="0.5">
      <c r="B86" s="1129" t="s">
        <v>538</v>
      </c>
      <c r="C86" s="1129"/>
      <c r="D86" s="3"/>
      <c r="E86" s="470"/>
      <c r="F86" s="472"/>
    </row>
    <row r="87" spans="1:9" x14ac:dyDescent="0.5">
      <c r="B87" s="1129" t="s">
        <v>539</v>
      </c>
      <c r="C87" s="1129"/>
      <c r="D87" s="3"/>
      <c r="E87" s="470"/>
      <c r="F87" s="472"/>
    </row>
    <row r="88" spans="1:9" x14ac:dyDescent="0.3">
      <c r="D88" s="3"/>
      <c r="E88" s="470"/>
      <c r="F88" s="472"/>
    </row>
    <row r="89" spans="1:9" x14ac:dyDescent="0.3">
      <c r="D89" s="3"/>
      <c r="E89" s="470"/>
      <c r="F89" s="472"/>
    </row>
    <row r="90" spans="1:9" x14ac:dyDescent="0.3">
      <c r="D90" s="3"/>
      <c r="E90" s="470"/>
      <c r="F90" s="472"/>
    </row>
    <row r="91" spans="1:9" x14ac:dyDescent="0.3">
      <c r="D91" s="3"/>
      <c r="E91" s="470"/>
      <c r="F91" s="472"/>
    </row>
    <row r="92" spans="1:9" x14ac:dyDescent="0.3">
      <c r="D92" s="3"/>
      <c r="E92" s="470"/>
      <c r="F92" s="472"/>
    </row>
    <row r="93" spans="1:9" x14ac:dyDescent="0.3">
      <c r="D93" s="3"/>
      <c r="E93" s="470"/>
      <c r="F93" s="472"/>
    </row>
    <row r="94" spans="1:9" x14ac:dyDescent="0.3">
      <c r="D94" s="3"/>
      <c r="E94" s="470"/>
      <c r="F94" s="472"/>
    </row>
  </sheetData>
  <sortState xmlns:xlrd2="http://schemas.microsoft.com/office/spreadsheetml/2017/richdata2" ref="A9:F53">
    <sortCondition ref="E9:E53"/>
  </sortState>
  <mergeCells count="14">
    <mergeCell ref="A56:F56"/>
    <mergeCell ref="A72:F72"/>
    <mergeCell ref="A78:F78"/>
    <mergeCell ref="B86:C86"/>
    <mergeCell ref="B87:C87"/>
    <mergeCell ref="A1:F1"/>
    <mergeCell ref="A2:F2"/>
    <mergeCell ref="A3:F3"/>
    <mergeCell ref="A4:A6"/>
    <mergeCell ref="B4:B6"/>
    <mergeCell ref="C4:C6"/>
    <mergeCell ref="D4:F4"/>
    <mergeCell ref="D5:D6"/>
    <mergeCell ref="E5:E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1524-2074-4DFF-BA4F-5FE60A2476A2}">
  <sheetPr>
    <tabColor rgb="FF92D050"/>
  </sheetPr>
  <dimension ref="A1:AO289"/>
  <sheetViews>
    <sheetView zoomScale="60" zoomScaleNormal="60" workbookViewId="0">
      <pane ySplit="6" topLeftCell="A267" activePane="bottomLeft" state="frozen"/>
      <selection pane="bottomLeft" activeCell="J288" sqref="J288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88671875" style="88" customWidth="1"/>
    <col min="5" max="5" width="13.33203125" style="659" customWidth="1"/>
    <col min="6" max="6" width="7.88671875" style="660" customWidth="1"/>
    <col min="7" max="7" width="14.88671875" style="661" customWidth="1"/>
    <col min="8" max="8" width="14.6640625" style="661" customWidth="1"/>
    <col min="9" max="9" width="14.44140625" style="661" customWidth="1"/>
    <col min="10" max="10" width="12.44140625" style="88" customWidth="1"/>
    <col min="11" max="11" width="18.6640625" style="88" customWidth="1"/>
    <col min="12" max="12" width="16.33203125" style="88" customWidth="1"/>
    <col min="13" max="13" width="14.5546875" style="662" customWidth="1"/>
    <col min="14" max="14" width="8" style="663" customWidth="1"/>
    <col min="15" max="15" width="16.33203125" style="664" customWidth="1"/>
    <col min="16" max="16" width="13.88671875" style="664" customWidth="1"/>
    <col min="17" max="17" width="16.5546875" style="665" customWidth="1"/>
    <col min="18" max="16384" width="27.109375" style="3"/>
  </cols>
  <sheetData>
    <row r="1" spans="1:18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2"/>
    </row>
    <row r="2" spans="1:18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2"/>
    </row>
    <row r="3" spans="1:18" ht="22.5" customHeight="1" x14ac:dyDescent="0.3">
      <c r="A3" s="1110" t="s">
        <v>680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2"/>
    </row>
    <row r="4" spans="1:18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35"/>
      <c r="G4" s="1135"/>
      <c r="H4" s="1135"/>
      <c r="I4" s="1136"/>
      <c r="J4" s="1145" t="s">
        <v>8</v>
      </c>
      <c r="K4" s="1146"/>
      <c r="L4" s="1147"/>
      <c r="M4" s="1118" t="s">
        <v>9</v>
      </c>
      <c r="N4" s="1140"/>
      <c r="O4" s="1140"/>
      <c r="P4" s="1140"/>
      <c r="Q4" s="1120"/>
      <c r="R4" s="2"/>
    </row>
    <row r="5" spans="1:18" ht="22.5" customHeight="1" x14ac:dyDescent="0.3">
      <c r="A5" s="1113"/>
      <c r="B5" s="1113"/>
      <c r="C5" s="1116"/>
      <c r="D5" s="1142"/>
      <c r="E5" s="1130" t="s">
        <v>10</v>
      </c>
      <c r="F5" s="1132" t="s">
        <v>11</v>
      </c>
      <c r="G5" s="1134" t="s">
        <v>12</v>
      </c>
      <c r="H5" s="1135"/>
      <c r="I5" s="1136"/>
      <c r="J5" s="5"/>
      <c r="K5" s="6"/>
      <c r="L5" s="6"/>
      <c r="M5" s="1121" t="s">
        <v>10</v>
      </c>
      <c r="N5" s="1138" t="s">
        <v>11</v>
      </c>
      <c r="O5" s="1118" t="s">
        <v>12</v>
      </c>
      <c r="P5" s="1140"/>
      <c r="Q5" s="1120"/>
      <c r="R5" s="2"/>
    </row>
    <row r="6" spans="1:18" ht="22.5" customHeight="1" x14ac:dyDescent="0.3">
      <c r="A6" s="1114"/>
      <c r="B6" s="1114"/>
      <c r="C6" s="1117"/>
      <c r="D6" s="1143"/>
      <c r="E6" s="1131"/>
      <c r="F6" s="1133"/>
      <c r="G6" s="7" t="s">
        <v>13</v>
      </c>
      <c r="H6" s="7" t="s">
        <v>14</v>
      </c>
      <c r="I6" s="7" t="s">
        <v>15</v>
      </c>
      <c r="J6" s="5" t="s">
        <v>16</v>
      </c>
      <c r="K6" s="8" t="s">
        <v>17</v>
      </c>
      <c r="L6" s="6" t="s">
        <v>13</v>
      </c>
      <c r="M6" s="1122"/>
      <c r="N6" s="1139"/>
      <c r="O6" s="9" t="s">
        <v>18</v>
      </c>
      <c r="P6" s="9" t="s">
        <v>14</v>
      </c>
      <c r="Q6" s="10" t="s">
        <v>15</v>
      </c>
      <c r="R6" s="2"/>
    </row>
    <row r="7" spans="1:18" ht="22.5" customHeight="1" x14ac:dyDescent="0.3">
      <c r="A7" s="11"/>
      <c r="B7" s="12" t="s">
        <v>19</v>
      </c>
      <c r="C7" s="13"/>
      <c r="D7" s="14"/>
      <c r="E7" s="15"/>
      <c r="F7" s="16"/>
      <c r="G7" s="7"/>
      <c r="H7" s="17"/>
      <c r="I7" s="17"/>
      <c r="J7" s="18"/>
      <c r="K7" s="18"/>
      <c r="L7" s="14"/>
      <c r="M7" s="19"/>
      <c r="N7" s="20"/>
      <c r="O7" s="21"/>
      <c r="P7" s="21"/>
      <c r="Q7" s="22"/>
      <c r="R7" s="2"/>
    </row>
    <row r="8" spans="1:18" ht="22.5" customHeight="1" x14ac:dyDescent="0.6">
      <c r="A8" s="23">
        <v>1</v>
      </c>
      <c r="B8" s="24" t="s">
        <v>20</v>
      </c>
      <c r="C8" s="25" t="s">
        <v>21</v>
      </c>
      <c r="D8" s="26">
        <v>273.3</v>
      </c>
      <c r="E8" s="27" t="s">
        <v>559</v>
      </c>
      <c r="F8" s="28" t="s">
        <v>33</v>
      </c>
      <c r="G8" s="29">
        <v>670.68</v>
      </c>
      <c r="H8" s="29">
        <v>46.947600000000001</v>
      </c>
      <c r="I8" s="29">
        <v>717.62759999999992</v>
      </c>
      <c r="J8" s="30">
        <v>25166</v>
      </c>
      <c r="K8" s="31" t="s">
        <v>682</v>
      </c>
      <c r="L8" s="32">
        <v>990.93</v>
      </c>
      <c r="M8" s="33"/>
      <c r="N8" s="34"/>
      <c r="O8" s="35">
        <f>SUM(Q8-P8)</f>
        <v>-2.2429906541738178E-3</v>
      </c>
      <c r="P8" s="35">
        <f>SUM(Q8*7/107)</f>
        <v>-1.5700934579216723E-4</v>
      </c>
      <c r="Q8" s="36">
        <f>SUM(D8+I8-L8)</f>
        <v>-2.3999999999659849E-3</v>
      </c>
      <c r="R8" s="47" t="s">
        <v>681</v>
      </c>
    </row>
    <row r="9" spans="1:18" ht="22.5" customHeight="1" x14ac:dyDescent="0.6">
      <c r="A9" s="23">
        <v>2</v>
      </c>
      <c r="B9" s="24" t="s">
        <v>24</v>
      </c>
      <c r="C9" s="25" t="s">
        <v>25</v>
      </c>
      <c r="D9" s="26">
        <v>162.94</v>
      </c>
      <c r="E9" s="27" t="s">
        <v>559</v>
      </c>
      <c r="F9" s="28" t="s">
        <v>33</v>
      </c>
      <c r="G9" s="29">
        <v>521.1</v>
      </c>
      <c r="H9" s="29">
        <v>36.47</v>
      </c>
      <c r="I9" s="29">
        <v>557.57000000000005</v>
      </c>
      <c r="J9" s="30" t="s">
        <v>683</v>
      </c>
      <c r="K9" s="31" t="s">
        <v>684</v>
      </c>
      <c r="L9" s="32">
        <v>720.51</v>
      </c>
      <c r="M9" s="33"/>
      <c r="N9" s="34"/>
      <c r="O9" s="35">
        <f>SUM(Q9-P9)</f>
        <v>0</v>
      </c>
      <c r="P9" s="35">
        <f>SUM(Q9*7/107)</f>
        <v>0</v>
      </c>
      <c r="Q9" s="36">
        <f>SUM(D9+I9-L9)</f>
        <v>0</v>
      </c>
      <c r="R9" s="47" t="s">
        <v>681</v>
      </c>
    </row>
    <row r="10" spans="1:18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 t="s">
        <v>559</v>
      </c>
      <c r="F10" s="28" t="s">
        <v>33</v>
      </c>
      <c r="G10" s="29">
        <v>750</v>
      </c>
      <c r="H10" s="29">
        <v>52.5</v>
      </c>
      <c r="I10" s="29">
        <v>802.5</v>
      </c>
      <c r="J10" s="38" t="s">
        <v>685</v>
      </c>
      <c r="K10" s="39" t="s">
        <v>686</v>
      </c>
      <c r="L10" s="40">
        <v>1605</v>
      </c>
      <c r="M10" s="41"/>
      <c r="N10" s="34"/>
      <c r="O10" s="35">
        <f>SUM(Q10-P10)</f>
        <v>0</v>
      </c>
      <c r="P10" s="35">
        <f>SUM(Q10*7/107)</f>
        <v>0</v>
      </c>
      <c r="Q10" s="36">
        <f>SUM(D10+I10-L10)</f>
        <v>0</v>
      </c>
      <c r="R10" s="2"/>
    </row>
    <row r="11" spans="1:18" ht="22.5" customHeight="1" x14ac:dyDescent="0.5">
      <c r="A11" s="23">
        <v>4</v>
      </c>
      <c r="B11" s="24" t="s">
        <v>30</v>
      </c>
      <c r="C11" s="25" t="s">
        <v>31</v>
      </c>
      <c r="D11" s="43"/>
      <c r="E11" s="44" t="s">
        <v>559</v>
      </c>
      <c r="F11" s="45" t="s">
        <v>33</v>
      </c>
      <c r="G11" s="46">
        <v>1260</v>
      </c>
      <c r="H11" s="46">
        <v>88.2</v>
      </c>
      <c r="I11" s="46">
        <v>1348.2</v>
      </c>
      <c r="J11" s="30">
        <v>25147</v>
      </c>
      <c r="K11" s="31" t="s">
        <v>687</v>
      </c>
      <c r="L11" s="32">
        <v>1348.2</v>
      </c>
      <c r="M11" s="33"/>
      <c r="N11" s="34"/>
      <c r="O11" s="669">
        <f>SUM(Q11-P11)</f>
        <v>0</v>
      </c>
      <c r="P11" s="669">
        <f>SUM(Q11*7/107)</f>
        <v>0</v>
      </c>
      <c r="Q11" s="340">
        <f>SUM(D11+I11-L11)</f>
        <v>0</v>
      </c>
      <c r="R11" s="47"/>
    </row>
    <row r="12" spans="1:18" s="60" customFormat="1" ht="22.5" customHeight="1" thickBot="1" x14ac:dyDescent="0.35">
      <c r="A12" s="48"/>
      <c r="B12" s="48" t="s">
        <v>15</v>
      </c>
      <c r="C12" s="49"/>
      <c r="D12" s="50">
        <f>SUM(D8:D11)</f>
        <v>1238.74</v>
      </c>
      <c r="E12" s="51"/>
      <c r="F12" s="52"/>
      <c r="G12" s="53">
        <f>SUM(G8:G11)</f>
        <v>3201.7799999999997</v>
      </c>
      <c r="H12" s="53">
        <f>SUM(H8:H11)</f>
        <v>224.11759999999998</v>
      </c>
      <c r="I12" s="53">
        <f>SUM(I8:I11)</f>
        <v>3425.8976000000002</v>
      </c>
      <c r="J12" s="54"/>
      <c r="K12" s="55"/>
      <c r="L12" s="50">
        <f>SUM(L8:L11)</f>
        <v>4664.6400000000003</v>
      </c>
      <c r="M12" s="48"/>
      <c r="N12" s="56"/>
      <c r="O12" s="670">
        <f>SUM(Q12-P12)</f>
        <v>-2.2429906544925659E-3</v>
      </c>
      <c r="P12" s="670">
        <f>SUM(Q12*7/107)</f>
        <v>-1.5700934581447962E-4</v>
      </c>
      <c r="Q12" s="671">
        <f>SUM(D12+I12-L12)</f>
        <v>-2.4000000003070454E-3</v>
      </c>
      <c r="R12" s="59"/>
    </row>
    <row r="13" spans="1:18" ht="22.5" customHeight="1" thickTop="1" x14ac:dyDescent="0.3">
      <c r="A13" s="61"/>
      <c r="B13" s="62" t="s">
        <v>37</v>
      </c>
      <c r="C13" s="63"/>
      <c r="D13" s="64"/>
      <c r="E13" s="65"/>
      <c r="F13" s="66"/>
      <c r="G13" s="67"/>
      <c r="H13" s="67"/>
      <c r="I13" s="67"/>
      <c r="J13" s="68"/>
      <c r="K13" s="68"/>
      <c r="L13" s="64"/>
      <c r="M13" s="69"/>
      <c r="N13" s="70"/>
      <c r="O13" s="71"/>
      <c r="P13" s="71"/>
      <c r="Q13" s="72"/>
      <c r="R13" s="2"/>
    </row>
    <row r="14" spans="1:18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5"/>
      <c r="G14" s="76">
        <v>0</v>
      </c>
      <c r="H14" s="76">
        <v>0</v>
      </c>
      <c r="I14" s="76">
        <v>0</v>
      </c>
      <c r="J14" s="30">
        <v>25146</v>
      </c>
      <c r="K14" s="31" t="s">
        <v>688</v>
      </c>
      <c r="L14" s="32">
        <v>1284</v>
      </c>
      <c r="M14" s="69"/>
      <c r="N14" s="70"/>
      <c r="O14" s="35">
        <f>SUM(Q14-P14)</f>
        <v>0</v>
      </c>
      <c r="P14" s="42">
        <f>SUM(Q14*7/107)</f>
        <v>0</v>
      </c>
      <c r="Q14" s="36">
        <f>SUM(D14+I14-L14)</f>
        <v>0</v>
      </c>
      <c r="R14" s="2"/>
    </row>
    <row r="15" spans="1:18" ht="22.5" customHeight="1" x14ac:dyDescent="0.5">
      <c r="A15" s="23">
        <v>2</v>
      </c>
      <c r="B15" s="73" t="s">
        <v>42</v>
      </c>
      <c r="C15" s="25" t="s">
        <v>43</v>
      </c>
      <c r="D15" s="43">
        <v>1605</v>
      </c>
      <c r="E15" s="74"/>
      <c r="F15" s="77"/>
      <c r="G15" s="76">
        <v>-4.2499752419295712E-13</v>
      </c>
      <c r="H15" s="76">
        <v>-2.9749826693506995E-14</v>
      </c>
      <c r="I15" s="76">
        <v>-4.5474735088646412E-13</v>
      </c>
      <c r="J15" s="30">
        <v>25172</v>
      </c>
      <c r="K15" s="31" t="s">
        <v>689</v>
      </c>
      <c r="L15" s="32">
        <v>1605</v>
      </c>
      <c r="M15" s="33"/>
      <c r="N15" s="70"/>
      <c r="O15" s="35">
        <f t="shared" ref="O15:O26" si="0">SUM(Q15-P15)</f>
        <v>-4.2499752419295712E-13</v>
      </c>
      <c r="P15" s="42">
        <f t="shared" ref="P15:P26" si="1">SUM(Q15*7/107)</f>
        <v>-2.9749826693506995E-14</v>
      </c>
      <c r="Q15" s="36">
        <f t="shared" ref="Q15:Q26" si="2">SUM(D15+I15-L15)</f>
        <v>-4.5474735088646412E-13</v>
      </c>
      <c r="R15" s="2"/>
    </row>
    <row r="16" spans="1:18" ht="22.5" customHeight="1" x14ac:dyDescent="0.5">
      <c r="A16" s="23">
        <v>3</v>
      </c>
      <c r="B16" s="73" t="s">
        <v>45</v>
      </c>
      <c r="C16" s="25" t="s">
        <v>46</v>
      </c>
      <c r="D16" s="43">
        <v>834.6</v>
      </c>
      <c r="E16" s="74" t="s">
        <v>559</v>
      </c>
      <c r="F16" s="77" t="s">
        <v>33</v>
      </c>
      <c r="G16" s="76">
        <v>1080</v>
      </c>
      <c r="H16" s="76">
        <v>75.599999999999994</v>
      </c>
      <c r="I16" s="76">
        <v>1155.5999999999999</v>
      </c>
      <c r="J16" s="30">
        <v>25153</v>
      </c>
      <c r="K16" s="31" t="s">
        <v>690</v>
      </c>
      <c r="L16" s="32">
        <v>1155.5999999999999</v>
      </c>
      <c r="M16" s="33">
        <v>25143</v>
      </c>
      <c r="N16" s="70" t="s">
        <v>33</v>
      </c>
      <c r="O16" s="35">
        <f t="shared" si="0"/>
        <v>779.99999999999989</v>
      </c>
      <c r="P16" s="42">
        <f t="shared" si="1"/>
        <v>54.599999999999987</v>
      </c>
      <c r="Q16" s="36">
        <f t="shared" si="2"/>
        <v>834.59999999999991</v>
      </c>
      <c r="R16" s="2"/>
    </row>
    <row r="17" spans="1:18" ht="22.5" customHeight="1" x14ac:dyDescent="0.5">
      <c r="A17" s="23">
        <v>4</v>
      </c>
      <c r="B17" s="73" t="s">
        <v>48</v>
      </c>
      <c r="C17" s="25" t="s">
        <v>49</v>
      </c>
      <c r="D17" s="43">
        <v>1685.25</v>
      </c>
      <c r="E17" s="74" t="s">
        <v>559</v>
      </c>
      <c r="F17" s="77" t="s">
        <v>33</v>
      </c>
      <c r="G17" s="76">
        <v>2969.9999999999986</v>
      </c>
      <c r="H17" s="76">
        <v>207.89999999999992</v>
      </c>
      <c r="I17" s="76">
        <v>3177.8999999999987</v>
      </c>
      <c r="J17" s="30">
        <v>25156</v>
      </c>
      <c r="K17" s="31" t="s">
        <v>691</v>
      </c>
      <c r="L17" s="32">
        <v>3177.9</v>
      </c>
      <c r="M17" s="33">
        <v>25143</v>
      </c>
      <c r="N17" s="70" t="s">
        <v>33</v>
      </c>
      <c r="O17" s="35">
        <f t="shared" si="0"/>
        <v>1574.9999999999986</v>
      </c>
      <c r="P17" s="42">
        <f t="shared" si="1"/>
        <v>110.24999999999991</v>
      </c>
      <c r="Q17" s="36">
        <f t="shared" si="2"/>
        <v>1685.2499999999986</v>
      </c>
      <c r="R17" s="2"/>
    </row>
    <row r="18" spans="1:18" ht="22.5" customHeight="1" x14ac:dyDescent="0.5">
      <c r="A18" s="23">
        <v>5</v>
      </c>
      <c r="B18" s="73" t="s">
        <v>51</v>
      </c>
      <c r="C18" s="25" t="s">
        <v>52</v>
      </c>
      <c r="D18" s="43">
        <v>4237.2</v>
      </c>
      <c r="E18" s="74"/>
      <c r="F18" s="77"/>
      <c r="G18" s="76">
        <v>3.3999801935436569E-12</v>
      </c>
      <c r="H18" s="76">
        <v>2.3799861354805596E-13</v>
      </c>
      <c r="I18" s="76">
        <v>3.637978807091713E-12</v>
      </c>
      <c r="J18" s="30">
        <v>25172</v>
      </c>
      <c r="K18" s="31" t="s">
        <v>692</v>
      </c>
      <c r="L18" s="32">
        <v>4237.2</v>
      </c>
      <c r="M18" s="33"/>
      <c r="N18" s="70"/>
      <c r="O18" s="35">
        <f t="shared" si="0"/>
        <v>3.3999801935436569E-12</v>
      </c>
      <c r="P18" s="42">
        <f t="shared" si="1"/>
        <v>2.3799861354805596E-13</v>
      </c>
      <c r="Q18" s="36">
        <f t="shared" si="2"/>
        <v>3.637978807091713E-12</v>
      </c>
      <c r="R18" s="2"/>
    </row>
    <row r="19" spans="1:18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5"/>
      <c r="G19" s="76">
        <v>0</v>
      </c>
      <c r="H19" s="76">
        <v>0</v>
      </c>
      <c r="I19" s="76">
        <v>0</v>
      </c>
      <c r="J19" s="30">
        <v>25147</v>
      </c>
      <c r="K19" s="31" t="s">
        <v>693</v>
      </c>
      <c r="L19" s="32">
        <v>6420</v>
      </c>
      <c r="M19" s="69"/>
      <c r="N19" s="70"/>
      <c r="O19" s="35">
        <f t="shared" si="0"/>
        <v>0</v>
      </c>
      <c r="P19" s="42">
        <f t="shared" si="1"/>
        <v>0</v>
      </c>
      <c r="Q19" s="36">
        <f t="shared" si="2"/>
        <v>0</v>
      </c>
      <c r="R19" s="2"/>
    </row>
    <row r="20" spans="1:18" ht="22.5" customHeight="1" x14ac:dyDescent="0.5">
      <c r="A20" s="23">
        <v>7</v>
      </c>
      <c r="B20" s="78" t="s">
        <v>54</v>
      </c>
      <c r="C20" s="25" t="s">
        <v>55</v>
      </c>
      <c r="D20" s="79">
        <v>2118.6</v>
      </c>
      <c r="E20" s="80" t="s">
        <v>552</v>
      </c>
      <c r="F20" s="77" t="s">
        <v>115</v>
      </c>
      <c r="G20" s="76">
        <v>3914.9999999999991</v>
      </c>
      <c r="H20" s="76">
        <v>274.04999999999995</v>
      </c>
      <c r="I20" s="76">
        <v>4189.0499999999993</v>
      </c>
      <c r="J20" s="38">
        <v>25168</v>
      </c>
      <c r="K20" s="39" t="s">
        <v>694</v>
      </c>
      <c r="L20" s="40">
        <v>6307.65</v>
      </c>
      <c r="M20" s="33"/>
      <c r="N20" s="70"/>
      <c r="O20" s="35">
        <f t="shared" si="0"/>
        <v>0</v>
      </c>
      <c r="P20" s="42">
        <f t="shared" si="1"/>
        <v>0</v>
      </c>
      <c r="Q20" s="36">
        <f t="shared" si="2"/>
        <v>0</v>
      </c>
      <c r="R20" s="2"/>
    </row>
    <row r="21" spans="1:18" ht="22.5" customHeight="1" x14ac:dyDescent="0.5">
      <c r="A21" s="23">
        <v>8</v>
      </c>
      <c r="B21" s="78" t="s">
        <v>56</v>
      </c>
      <c r="C21" s="81" t="s">
        <v>57</v>
      </c>
      <c r="D21" s="79">
        <v>0</v>
      </c>
      <c r="E21" s="74"/>
      <c r="F21" s="77"/>
      <c r="G21" s="82">
        <v>0</v>
      </c>
      <c r="H21" s="82">
        <v>0</v>
      </c>
      <c r="I21" s="82">
        <v>0</v>
      </c>
      <c r="J21" s="38"/>
      <c r="K21" s="39"/>
      <c r="L21" s="40"/>
      <c r="M21" s="33"/>
      <c r="N21" s="70"/>
      <c r="O21" s="35">
        <f t="shared" si="0"/>
        <v>0</v>
      </c>
      <c r="P21" s="42">
        <f t="shared" si="1"/>
        <v>0</v>
      </c>
      <c r="Q21" s="36">
        <f t="shared" si="2"/>
        <v>0</v>
      </c>
      <c r="R21" s="2"/>
    </row>
    <row r="22" spans="1:18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5"/>
      <c r="G22" s="76">
        <v>0</v>
      </c>
      <c r="H22" s="76">
        <v>0</v>
      </c>
      <c r="I22" s="76">
        <v>0</v>
      </c>
      <c r="J22" s="38">
        <v>25163</v>
      </c>
      <c r="K22" s="39" t="s">
        <v>695</v>
      </c>
      <c r="L22" s="40">
        <v>21400</v>
      </c>
      <c r="M22" s="69"/>
      <c r="N22" s="70"/>
      <c r="O22" s="35">
        <f t="shared" si="0"/>
        <v>0</v>
      </c>
      <c r="P22" s="42">
        <f t="shared" si="1"/>
        <v>0</v>
      </c>
      <c r="Q22" s="36">
        <f t="shared" si="2"/>
        <v>0</v>
      </c>
      <c r="R22" s="2"/>
    </row>
    <row r="23" spans="1:18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 t="s">
        <v>559</v>
      </c>
      <c r="F23" s="75" t="s">
        <v>33</v>
      </c>
      <c r="G23" s="76">
        <v>800</v>
      </c>
      <c r="H23" s="76">
        <v>56</v>
      </c>
      <c r="I23" s="76">
        <v>856</v>
      </c>
      <c r="J23" s="38" t="s">
        <v>685</v>
      </c>
      <c r="K23" s="39" t="s">
        <v>696</v>
      </c>
      <c r="L23" s="40">
        <v>1712</v>
      </c>
      <c r="M23" s="69"/>
      <c r="N23" s="70"/>
      <c r="O23" s="35">
        <f t="shared" si="0"/>
        <v>0</v>
      </c>
      <c r="P23" s="42">
        <f t="shared" si="1"/>
        <v>0</v>
      </c>
      <c r="Q23" s="36">
        <f t="shared" si="2"/>
        <v>0</v>
      </c>
      <c r="R23" s="87"/>
    </row>
    <row r="24" spans="1:18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92"/>
      <c r="G24" s="76">
        <v>0</v>
      </c>
      <c r="H24" s="76">
        <v>0</v>
      </c>
      <c r="I24" s="76">
        <v>0</v>
      </c>
      <c r="J24" s="38">
        <v>25163</v>
      </c>
      <c r="K24" s="39" t="s">
        <v>697</v>
      </c>
      <c r="L24" s="40">
        <v>21400</v>
      </c>
      <c r="M24" s="69"/>
      <c r="N24" s="70"/>
      <c r="O24" s="35">
        <f t="shared" si="0"/>
        <v>0</v>
      </c>
      <c r="P24" s="42">
        <f t="shared" si="1"/>
        <v>0</v>
      </c>
      <c r="Q24" s="36">
        <f t="shared" si="2"/>
        <v>0</v>
      </c>
      <c r="R24" s="93"/>
    </row>
    <row r="25" spans="1:18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7"/>
      <c r="G25" s="98">
        <v>0</v>
      </c>
      <c r="H25" s="98">
        <v>0</v>
      </c>
      <c r="I25" s="98">
        <v>0</v>
      </c>
      <c r="J25" s="38">
        <v>25166</v>
      </c>
      <c r="K25" s="39" t="s">
        <v>698</v>
      </c>
      <c r="L25" s="40">
        <v>3210</v>
      </c>
      <c r="M25" s="69"/>
      <c r="N25" s="70"/>
      <c r="O25" s="35">
        <f t="shared" si="0"/>
        <v>0</v>
      </c>
      <c r="P25" s="42">
        <f t="shared" si="1"/>
        <v>0</v>
      </c>
      <c r="Q25" s="36">
        <f t="shared" si="2"/>
        <v>0</v>
      </c>
    </row>
    <row r="26" spans="1:18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7"/>
      <c r="G26" s="98">
        <v>0</v>
      </c>
      <c r="H26" s="98">
        <v>0</v>
      </c>
      <c r="I26" s="98">
        <v>0</v>
      </c>
      <c r="J26" s="101">
        <v>25163</v>
      </c>
      <c r="K26" s="102" t="s">
        <v>699</v>
      </c>
      <c r="L26" s="103">
        <v>3210</v>
      </c>
      <c r="M26" s="69"/>
      <c r="N26" s="70"/>
      <c r="O26" s="35">
        <f t="shared" si="0"/>
        <v>0</v>
      </c>
      <c r="P26" s="42">
        <f t="shared" si="1"/>
        <v>0</v>
      </c>
      <c r="Q26" s="36">
        <f t="shared" si="2"/>
        <v>0</v>
      </c>
      <c r="R26" s="93"/>
    </row>
    <row r="27" spans="1:18" s="60" customFormat="1" ht="22.5" customHeight="1" thickBot="1" x14ac:dyDescent="0.35">
      <c r="A27" s="48"/>
      <c r="B27" s="48" t="s">
        <v>15</v>
      </c>
      <c r="C27" s="49"/>
      <c r="D27" s="104">
        <f>SUM(D14:D26)</f>
        <v>68260.649999999994</v>
      </c>
      <c r="E27" s="105"/>
      <c r="F27" s="56"/>
      <c r="G27" s="106">
        <f>SUM(G14:G26)</f>
        <v>8765</v>
      </c>
      <c r="H27" s="106">
        <f>SUM(H14:H26)</f>
        <v>613.55000000000007</v>
      </c>
      <c r="I27" s="106">
        <f>SUM(I14:I26)</f>
        <v>9378.5500000000011</v>
      </c>
      <c r="J27" s="104"/>
      <c r="K27" s="104"/>
      <c r="L27" s="104">
        <f>SUM(L14:L26)</f>
        <v>75119.350000000006</v>
      </c>
      <c r="M27" s="107"/>
      <c r="N27" s="108"/>
      <c r="O27" s="109">
        <f>SUM(O14:O26)</f>
        <v>2355.0000000000014</v>
      </c>
      <c r="P27" s="109">
        <f>SUM(P14:P26)</f>
        <v>164.85000000000011</v>
      </c>
      <c r="Q27" s="110">
        <f>SUM(Q14:Q26)</f>
        <v>2519.8500000000017</v>
      </c>
    </row>
    <row r="28" spans="1:18" ht="22.5" customHeight="1" thickTop="1" x14ac:dyDescent="0.3">
      <c r="A28" s="61"/>
      <c r="B28" s="62" t="s">
        <v>71</v>
      </c>
      <c r="C28" s="63"/>
      <c r="D28" s="64"/>
      <c r="E28" s="65"/>
      <c r="F28" s="66"/>
      <c r="G28" s="67"/>
      <c r="H28" s="67"/>
      <c r="I28" s="67"/>
      <c r="J28" s="68"/>
      <c r="K28" s="68"/>
      <c r="L28" s="64"/>
      <c r="M28" s="69"/>
      <c r="N28" s="70"/>
      <c r="O28" s="71"/>
      <c r="P28" s="71"/>
      <c r="Q28" s="72"/>
    </row>
    <row r="29" spans="1:18" ht="22.5" customHeight="1" x14ac:dyDescent="0.5">
      <c r="A29" s="23">
        <v>1</v>
      </c>
      <c r="B29" s="73" t="s">
        <v>72</v>
      </c>
      <c r="C29" s="25" t="s">
        <v>73</v>
      </c>
      <c r="D29" s="43">
        <v>4261.28</v>
      </c>
      <c r="E29" s="74"/>
      <c r="F29" s="77"/>
      <c r="G29" s="76">
        <v>0</v>
      </c>
      <c r="H29" s="76">
        <v>0</v>
      </c>
      <c r="I29" s="76">
        <v>0</v>
      </c>
      <c r="J29" s="38">
        <v>25170</v>
      </c>
      <c r="K29" s="39" t="s">
        <v>700</v>
      </c>
      <c r="L29" s="32">
        <v>4261.28</v>
      </c>
      <c r="M29" s="111"/>
      <c r="N29" s="112"/>
      <c r="O29" s="113">
        <v>0</v>
      </c>
      <c r="P29" s="114">
        <v>0</v>
      </c>
      <c r="Q29" s="36">
        <v>0</v>
      </c>
    </row>
    <row r="30" spans="1:18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97"/>
      <c r="G30" s="76">
        <v>0</v>
      </c>
      <c r="H30" s="76">
        <v>0</v>
      </c>
      <c r="I30" s="76">
        <v>0</v>
      </c>
      <c r="J30" s="101">
        <v>25153</v>
      </c>
      <c r="K30" s="102" t="s">
        <v>701</v>
      </c>
      <c r="L30" s="103">
        <v>14445</v>
      </c>
      <c r="M30" s="117"/>
      <c r="N30" s="118"/>
      <c r="O30" s="113">
        <v>0</v>
      </c>
      <c r="P30" s="114">
        <v>0</v>
      </c>
      <c r="Q30" s="36">
        <v>0</v>
      </c>
    </row>
    <row r="31" spans="1:18" s="60" customFormat="1" ht="22.5" customHeight="1" thickBot="1" x14ac:dyDescent="0.35">
      <c r="A31" s="48"/>
      <c r="B31" s="48" t="s">
        <v>15</v>
      </c>
      <c r="C31" s="49"/>
      <c r="D31" s="50">
        <f>SUM(D29:D30)</f>
        <v>18706.28</v>
      </c>
      <c r="E31" s="50">
        <f t="shared" ref="E31:Q31" si="3">SUM(E29:E30)</f>
        <v>0</v>
      </c>
      <c r="F31" s="50">
        <f t="shared" si="3"/>
        <v>0</v>
      </c>
      <c r="G31" s="50">
        <f t="shared" si="3"/>
        <v>0</v>
      </c>
      <c r="H31" s="50">
        <f t="shared" si="3"/>
        <v>0</v>
      </c>
      <c r="I31" s="50">
        <f t="shared" si="3"/>
        <v>0</v>
      </c>
      <c r="J31" s="50"/>
      <c r="K31" s="50">
        <f t="shared" si="3"/>
        <v>0</v>
      </c>
      <c r="L31" s="50">
        <f t="shared" si="3"/>
        <v>18706.28</v>
      </c>
      <c r="M31" s="50">
        <f t="shared" si="3"/>
        <v>0</v>
      </c>
      <c r="N31" s="50">
        <f t="shared" si="3"/>
        <v>0</v>
      </c>
      <c r="O31" s="50">
        <f t="shared" si="3"/>
        <v>0</v>
      </c>
      <c r="P31" s="50">
        <f t="shared" si="3"/>
        <v>0</v>
      </c>
      <c r="Q31" s="50">
        <f t="shared" si="3"/>
        <v>0</v>
      </c>
    </row>
    <row r="32" spans="1:18" ht="22.5" customHeight="1" thickTop="1" x14ac:dyDescent="0.3">
      <c r="A32" s="61"/>
      <c r="B32" s="121" t="s">
        <v>78</v>
      </c>
      <c r="C32" s="63"/>
      <c r="D32" s="64"/>
      <c r="E32" s="65"/>
      <c r="F32" s="66"/>
      <c r="G32" s="67"/>
      <c r="H32" s="67"/>
      <c r="I32" s="67"/>
      <c r="J32" s="68"/>
      <c r="K32" s="68"/>
      <c r="L32" s="64"/>
      <c r="M32" s="69"/>
      <c r="N32" s="70"/>
      <c r="O32" s="71"/>
      <c r="P32" s="71"/>
      <c r="Q32" s="72"/>
    </row>
    <row r="33" spans="1:41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6"/>
      <c r="G33" s="76">
        <v>0</v>
      </c>
      <c r="H33" s="127">
        <v>0</v>
      </c>
      <c r="I33" s="76">
        <v>0</v>
      </c>
      <c r="J33" s="38">
        <v>25163</v>
      </c>
      <c r="K33" s="39" t="s">
        <v>702</v>
      </c>
      <c r="L33" s="40">
        <v>5350</v>
      </c>
      <c r="M33" s="128"/>
      <c r="N33" s="129"/>
      <c r="O33" s="113">
        <f>SUM(Q33-P33)</f>
        <v>0</v>
      </c>
      <c r="P33" s="114">
        <f>SUM(Q33*7/107)</f>
        <v>0</v>
      </c>
      <c r="Q33" s="36">
        <f>SUM(D33+I33-L33)</f>
        <v>0</v>
      </c>
      <c r="R33" s="130"/>
      <c r="S33" s="130"/>
      <c r="T33" s="131"/>
      <c r="U33" s="132"/>
      <c r="V33" s="131"/>
      <c r="W33" s="132"/>
      <c r="X33" s="132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</row>
    <row r="34" spans="1:41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6"/>
      <c r="G34" s="127">
        <v>0</v>
      </c>
      <c r="H34" s="127">
        <v>0</v>
      </c>
      <c r="I34" s="98">
        <v>0</v>
      </c>
      <c r="J34" s="38">
        <v>25163</v>
      </c>
      <c r="K34" s="39" t="s">
        <v>703</v>
      </c>
      <c r="L34" s="40">
        <v>5350</v>
      </c>
      <c r="M34" s="137"/>
      <c r="N34" s="137"/>
      <c r="O34" s="113">
        <f>SUM(Q34-P34)</f>
        <v>0</v>
      </c>
      <c r="P34" s="114">
        <f>SUM(Q34*7/107)</f>
        <v>0</v>
      </c>
      <c r="Q34" s="36">
        <f>SUM(D34+I34-L34)</f>
        <v>0</v>
      </c>
      <c r="R34" s="130"/>
      <c r="S34" s="130"/>
      <c r="T34" s="131"/>
      <c r="U34" s="132"/>
      <c r="V34" s="131"/>
      <c r="W34" s="132"/>
      <c r="X34" s="132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</row>
    <row r="35" spans="1:41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56"/>
      <c r="G35" s="109">
        <f>SUM(G33:G34)</f>
        <v>0</v>
      </c>
      <c r="H35" s="109">
        <f>SUM(H33:H34)</f>
        <v>0</v>
      </c>
      <c r="I35" s="109">
        <f>SUM(I33:I34)</f>
        <v>0</v>
      </c>
      <c r="J35" s="109"/>
      <c r="K35" s="109"/>
      <c r="L35" s="138">
        <f>SUM(L33:L34)</f>
        <v>10700</v>
      </c>
      <c r="M35" s="119"/>
      <c r="N35" s="108"/>
      <c r="O35" s="109">
        <f>SUM(O33:O34)</f>
        <v>0</v>
      </c>
      <c r="P35" s="109">
        <f>SUM(P33:P34)</f>
        <v>0</v>
      </c>
      <c r="Q35" s="138">
        <f>SUM(Q33:Q34)</f>
        <v>0</v>
      </c>
    </row>
    <row r="36" spans="1:41" ht="22.5" customHeight="1" thickTop="1" x14ac:dyDescent="0.3">
      <c r="A36" s="139"/>
      <c r="B36" s="140" t="s">
        <v>81</v>
      </c>
      <c r="C36" s="141"/>
      <c r="D36" s="91"/>
      <c r="E36" s="142"/>
      <c r="F36" s="92"/>
      <c r="G36" s="143"/>
      <c r="H36" s="143"/>
      <c r="I36" s="143"/>
      <c r="J36" s="68"/>
      <c r="K36" s="68"/>
      <c r="L36" s="64"/>
      <c r="M36" s="144"/>
      <c r="N36" s="145"/>
      <c r="O36" s="146"/>
      <c r="P36" s="146"/>
      <c r="Q36" s="147"/>
    </row>
    <row r="37" spans="1:41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2"/>
      <c r="G37" s="153">
        <v>0</v>
      </c>
      <c r="H37" s="153">
        <v>0</v>
      </c>
      <c r="I37" s="153">
        <v>0</v>
      </c>
      <c r="J37" s="30">
        <v>25153</v>
      </c>
      <c r="K37" s="31" t="s">
        <v>704</v>
      </c>
      <c r="L37" s="32">
        <v>6955</v>
      </c>
      <c r="M37" s="154"/>
      <c r="N37" s="155"/>
      <c r="O37" s="156">
        <v>0</v>
      </c>
      <c r="P37" s="156">
        <v>0</v>
      </c>
      <c r="Q37" s="157">
        <v>0</v>
      </c>
    </row>
    <row r="38" spans="1:41" s="60" customFormat="1" ht="22.5" customHeight="1" thickBot="1" x14ac:dyDescent="0.35">
      <c r="A38" s="158"/>
      <c r="B38" s="158" t="s">
        <v>15</v>
      </c>
      <c r="C38" s="159"/>
      <c r="D38" s="160">
        <v>6955</v>
      </c>
      <c r="E38" s="161"/>
      <c r="F38" s="161"/>
      <c r="G38" s="162">
        <f>SUM(G37)</f>
        <v>0</v>
      </c>
      <c r="H38" s="162">
        <f>SUM(H37)</f>
        <v>0</v>
      </c>
      <c r="I38" s="162">
        <f>SUM(I37)</f>
        <v>0</v>
      </c>
      <c r="J38" s="161"/>
      <c r="K38" s="161"/>
      <c r="L38" s="162">
        <f>SUM(L37)</f>
        <v>6955</v>
      </c>
      <c r="M38" s="158"/>
      <c r="N38" s="161"/>
      <c r="O38" s="162">
        <f>SUM(O37)</f>
        <v>0</v>
      </c>
      <c r="P38" s="162">
        <f>SUM(P37)</f>
        <v>0</v>
      </c>
      <c r="Q38" s="163">
        <f>SUM(Q37)</f>
        <v>0</v>
      </c>
    </row>
    <row r="39" spans="1:41" ht="22.5" customHeight="1" thickTop="1" x14ac:dyDescent="0.3">
      <c r="A39" s="115"/>
      <c r="B39" s="164" t="s">
        <v>85</v>
      </c>
      <c r="C39" s="165"/>
      <c r="D39" s="166"/>
      <c r="E39" s="167"/>
      <c r="F39" s="168"/>
      <c r="G39" s="169"/>
      <c r="H39" s="169"/>
      <c r="I39" s="169"/>
      <c r="J39" s="170"/>
      <c r="K39" s="170"/>
      <c r="L39" s="171"/>
      <c r="M39" s="117"/>
      <c r="N39" s="118"/>
      <c r="O39" s="172"/>
      <c r="P39" s="172"/>
      <c r="Q39" s="173"/>
    </row>
    <row r="40" spans="1:41" ht="22.5" customHeight="1" x14ac:dyDescent="0.3">
      <c r="A40" s="174">
        <v>1</v>
      </c>
      <c r="B40" s="175" t="s">
        <v>86</v>
      </c>
      <c r="C40" s="176" t="s">
        <v>87</v>
      </c>
      <c r="D40" s="177">
        <v>529.65</v>
      </c>
      <c r="E40" s="178" t="s">
        <v>559</v>
      </c>
      <c r="F40" s="179" t="s">
        <v>33</v>
      </c>
      <c r="G40" s="180">
        <v>1440</v>
      </c>
      <c r="H40" s="180">
        <v>100.8</v>
      </c>
      <c r="I40" s="181">
        <v>1540.8</v>
      </c>
      <c r="J40" s="182" t="s">
        <v>685</v>
      </c>
      <c r="K40" s="183" t="s">
        <v>750</v>
      </c>
      <c r="L40" s="184">
        <v>2070.4499999999998</v>
      </c>
      <c r="M40" s="185"/>
      <c r="N40" s="186"/>
      <c r="O40" s="187">
        <v>0</v>
      </c>
      <c r="P40" s="187">
        <v>0</v>
      </c>
      <c r="Q40" s="188">
        <v>0</v>
      </c>
      <c r="R40" s="3" t="s">
        <v>751</v>
      </c>
    </row>
    <row r="41" spans="1:41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92"/>
      <c r="G41" s="180">
        <v>0</v>
      </c>
      <c r="H41" s="180">
        <v>0</v>
      </c>
      <c r="I41" s="181">
        <v>0</v>
      </c>
      <c r="J41" s="38">
        <v>25162</v>
      </c>
      <c r="K41" s="39" t="s">
        <v>796</v>
      </c>
      <c r="L41" s="40">
        <v>3210</v>
      </c>
      <c r="M41" s="111"/>
      <c r="N41" s="193"/>
      <c r="O41" s="187">
        <v>0</v>
      </c>
      <c r="P41" s="187">
        <v>0</v>
      </c>
      <c r="Q41" s="188">
        <v>0</v>
      </c>
    </row>
    <row r="42" spans="1:41" s="60" customFormat="1" ht="22.5" customHeight="1" thickBot="1" x14ac:dyDescent="0.35">
      <c r="A42" s="194"/>
      <c r="B42" s="194" t="s">
        <v>15</v>
      </c>
      <c r="C42" s="195"/>
      <c r="D42" s="53">
        <f>SUM(D40:D41)</f>
        <v>3739.65</v>
      </c>
      <c r="E42" s="196"/>
      <c r="F42" s="197"/>
      <c r="G42" s="109">
        <f>SUM(G40:G41)</f>
        <v>1440</v>
      </c>
      <c r="H42" s="109">
        <f>SUM(H40:H41)</f>
        <v>100.8</v>
      </c>
      <c r="I42" s="109">
        <f>SUM(I40:I41)</f>
        <v>1540.8</v>
      </c>
      <c r="J42" s="198"/>
      <c r="K42" s="199"/>
      <c r="L42" s="200">
        <f>SUM(L40:L41)</f>
        <v>5280.45</v>
      </c>
      <c r="M42" s="201"/>
      <c r="N42" s="202"/>
      <c r="O42" s="162">
        <f>SUM(O40:O41)</f>
        <v>0</v>
      </c>
      <c r="P42" s="162">
        <f>SUM(P40:P41)</f>
        <v>0</v>
      </c>
      <c r="Q42" s="162">
        <f>SUM(Q40:Q41)</f>
        <v>0</v>
      </c>
      <c r="R42" s="59"/>
    </row>
    <row r="43" spans="1:41" ht="22.5" customHeight="1" thickTop="1" x14ac:dyDescent="0.3">
      <c r="A43" s="61"/>
      <c r="B43" s="62" t="s">
        <v>92</v>
      </c>
      <c r="C43" s="63"/>
      <c r="D43" s="64"/>
      <c r="E43" s="203"/>
      <c r="F43" s="204"/>
      <c r="G43" s="205"/>
      <c r="H43" s="205"/>
      <c r="I43" s="205"/>
      <c r="J43" s="68"/>
      <c r="K43" s="68"/>
      <c r="L43" s="64"/>
      <c r="M43" s="61"/>
      <c r="N43" s="204"/>
      <c r="O43" s="206"/>
      <c r="P43" s="206"/>
      <c r="Q43" s="207"/>
      <c r="R43" s="2"/>
    </row>
    <row r="44" spans="1:41" ht="22.5" customHeight="1" x14ac:dyDescent="0.5">
      <c r="A44" s="208">
        <v>1</v>
      </c>
      <c r="B44" s="209" t="s">
        <v>93</v>
      </c>
      <c r="C44" s="210" t="s">
        <v>43</v>
      </c>
      <c r="D44" s="211">
        <v>4825.7</v>
      </c>
      <c r="E44" s="212"/>
      <c r="F44" s="213"/>
      <c r="G44" s="214">
        <v>0</v>
      </c>
      <c r="H44" s="214">
        <v>0</v>
      </c>
      <c r="I44" s="214">
        <v>0</v>
      </c>
      <c r="J44" s="30">
        <v>25172</v>
      </c>
      <c r="K44" s="31" t="s">
        <v>706</v>
      </c>
      <c r="L44" s="32">
        <v>4825.7</v>
      </c>
      <c r="M44" s="215"/>
      <c r="N44" s="216"/>
      <c r="O44" s="113">
        <f>SUM(Q44-P44)</f>
        <v>0</v>
      </c>
      <c r="P44" s="113">
        <f>SUM(Q44*7/107)</f>
        <v>0</v>
      </c>
      <c r="Q44" s="217">
        <f>SUM(D44+I44-L44)</f>
        <v>0</v>
      </c>
      <c r="R44" s="218"/>
    </row>
    <row r="45" spans="1:41" ht="22.5" customHeight="1" x14ac:dyDescent="0.5">
      <c r="A45" s="208"/>
      <c r="B45" s="209" t="s">
        <v>95</v>
      </c>
      <c r="C45" s="210" t="s">
        <v>43</v>
      </c>
      <c r="D45" s="211">
        <v>12818.6</v>
      </c>
      <c r="E45" s="212"/>
      <c r="F45" s="213"/>
      <c r="G45" s="214">
        <v>0</v>
      </c>
      <c r="H45" s="214">
        <v>0</v>
      </c>
      <c r="I45" s="214">
        <v>0</v>
      </c>
      <c r="J45" s="30">
        <v>25172</v>
      </c>
      <c r="K45" s="31" t="s">
        <v>706</v>
      </c>
      <c r="L45" s="32">
        <v>12818.6</v>
      </c>
      <c r="M45" s="215"/>
      <c r="N45" s="216"/>
      <c r="O45" s="113">
        <f t="shared" ref="O45:O108" si="4">SUM(Q45-P45)</f>
        <v>0</v>
      </c>
      <c r="P45" s="113">
        <f t="shared" ref="P45:P108" si="5">SUM(Q45*7/107)</f>
        <v>0</v>
      </c>
      <c r="Q45" s="217">
        <f t="shared" ref="Q45:Q108" si="6">SUM(D45+I45-L45)</f>
        <v>0</v>
      </c>
      <c r="R45" s="218"/>
    </row>
    <row r="46" spans="1:41" ht="22.5" customHeight="1" x14ac:dyDescent="0.5">
      <c r="A46" s="208">
        <v>2</v>
      </c>
      <c r="B46" s="73" t="s">
        <v>96</v>
      </c>
      <c r="C46" s="25" t="s">
        <v>97</v>
      </c>
      <c r="D46" s="211">
        <v>4408.3999999999996</v>
      </c>
      <c r="E46" s="212" t="s">
        <v>559</v>
      </c>
      <c r="F46" s="213" t="s">
        <v>33</v>
      </c>
      <c r="G46" s="219">
        <v>3609.9999999999964</v>
      </c>
      <c r="H46" s="214">
        <v>252.69999999999973</v>
      </c>
      <c r="I46" s="219">
        <v>3862.6999999999962</v>
      </c>
      <c r="J46" s="30">
        <v>25162</v>
      </c>
      <c r="K46" s="220" t="s">
        <v>707</v>
      </c>
      <c r="L46" s="221">
        <v>3862.7</v>
      </c>
      <c r="M46" s="215">
        <v>25143</v>
      </c>
      <c r="N46" s="216" t="s">
        <v>33</v>
      </c>
      <c r="O46" s="113">
        <f t="shared" si="4"/>
        <v>4119.9999999999955</v>
      </c>
      <c r="P46" s="113">
        <f t="shared" si="5"/>
        <v>288.39999999999969</v>
      </c>
      <c r="Q46" s="217">
        <f t="shared" si="6"/>
        <v>4408.3999999999951</v>
      </c>
      <c r="R46" s="2"/>
    </row>
    <row r="47" spans="1:41" ht="22.5" customHeight="1" x14ac:dyDescent="0.5">
      <c r="A47" s="208">
        <v>3</v>
      </c>
      <c r="B47" s="73" t="s">
        <v>99</v>
      </c>
      <c r="C47" s="25" t="s">
        <v>100</v>
      </c>
      <c r="D47" s="211">
        <v>3145.8</v>
      </c>
      <c r="E47" s="212"/>
      <c r="F47" s="213"/>
      <c r="G47" s="219">
        <v>-8.4999504838591423E-13</v>
      </c>
      <c r="H47" s="214">
        <v>-5.9499653387013991E-14</v>
      </c>
      <c r="I47" s="219">
        <v>-9.0949470177292824E-13</v>
      </c>
      <c r="J47" s="30"/>
      <c r="K47" s="31"/>
      <c r="L47" s="32"/>
      <c r="M47" s="215">
        <v>25143</v>
      </c>
      <c r="N47" s="216" t="s">
        <v>33</v>
      </c>
      <c r="O47" s="113">
        <f t="shared" si="4"/>
        <v>2939.9999999999991</v>
      </c>
      <c r="P47" s="113">
        <f t="shared" si="5"/>
        <v>205.79999999999995</v>
      </c>
      <c r="Q47" s="217">
        <f t="shared" si="6"/>
        <v>3145.7999999999993</v>
      </c>
      <c r="R47" s="2"/>
    </row>
    <row r="48" spans="1:41" ht="22.5" customHeight="1" x14ac:dyDescent="0.5">
      <c r="A48" s="208"/>
      <c r="B48" s="24" t="s">
        <v>102</v>
      </c>
      <c r="C48" s="222" t="s">
        <v>100</v>
      </c>
      <c r="D48" s="211">
        <v>214</v>
      </c>
      <c r="E48" s="212"/>
      <c r="F48" s="213"/>
      <c r="G48" s="219">
        <v>0</v>
      </c>
      <c r="H48" s="214">
        <v>0</v>
      </c>
      <c r="I48" s="219">
        <v>0</v>
      </c>
      <c r="J48" s="30"/>
      <c r="K48" s="31"/>
      <c r="L48" s="32"/>
      <c r="M48" s="215">
        <v>25143</v>
      </c>
      <c r="N48" s="216" t="s">
        <v>33</v>
      </c>
      <c r="O48" s="113">
        <f t="shared" si="4"/>
        <v>200</v>
      </c>
      <c r="P48" s="113">
        <f t="shared" si="5"/>
        <v>14</v>
      </c>
      <c r="Q48" s="217">
        <f t="shared" si="6"/>
        <v>214</v>
      </c>
      <c r="R48" s="2"/>
    </row>
    <row r="49" spans="1:18" ht="22.5" customHeight="1" x14ac:dyDescent="0.5">
      <c r="A49" s="208">
        <v>4</v>
      </c>
      <c r="B49" s="73" t="s">
        <v>103</v>
      </c>
      <c r="C49" s="25" t="s">
        <v>97</v>
      </c>
      <c r="D49" s="211">
        <v>5917.1</v>
      </c>
      <c r="E49" s="212"/>
      <c r="F49" s="213"/>
      <c r="G49" s="219">
        <v>0</v>
      </c>
      <c r="H49" s="214">
        <v>0</v>
      </c>
      <c r="I49" s="219">
        <v>0</v>
      </c>
      <c r="J49" s="30">
        <v>25172</v>
      </c>
      <c r="K49" s="31" t="s">
        <v>708</v>
      </c>
      <c r="L49" s="32">
        <v>5917.1</v>
      </c>
      <c r="M49" s="215"/>
      <c r="N49" s="216"/>
      <c r="O49" s="113">
        <f t="shared" si="4"/>
        <v>0</v>
      </c>
      <c r="P49" s="113">
        <f t="shared" si="5"/>
        <v>0</v>
      </c>
      <c r="Q49" s="217">
        <f t="shared" si="6"/>
        <v>0</v>
      </c>
      <c r="R49" s="2"/>
    </row>
    <row r="50" spans="1:18" ht="22.5" customHeight="1" x14ac:dyDescent="0.5">
      <c r="A50" s="208"/>
      <c r="B50" s="73" t="s">
        <v>104</v>
      </c>
      <c r="C50" s="25" t="s">
        <v>97</v>
      </c>
      <c r="D50" s="211">
        <v>15536.4</v>
      </c>
      <c r="E50" s="212"/>
      <c r="F50" s="213"/>
      <c r="G50" s="219">
        <v>0</v>
      </c>
      <c r="H50" s="214">
        <v>0</v>
      </c>
      <c r="I50" s="219">
        <v>0</v>
      </c>
      <c r="J50" s="30">
        <v>25172</v>
      </c>
      <c r="K50" s="31" t="s">
        <v>708</v>
      </c>
      <c r="L50" s="32">
        <v>15536.4</v>
      </c>
      <c r="M50" s="215"/>
      <c r="N50" s="216"/>
      <c r="O50" s="113">
        <f t="shared" si="4"/>
        <v>0</v>
      </c>
      <c r="P50" s="113">
        <f t="shared" si="5"/>
        <v>0</v>
      </c>
      <c r="Q50" s="217">
        <f t="shared" si="6"/>
        <v>0</v>
      </c>
      <c r="R50" s="2"/>
    </row>
    <row r="51" spans="1:18" ht="22.5" customHeight="1" x14ac:dyDescent="0.5">
      <c r="A51" s="208">
        <v>5</v>
      </c>
      <c r="B51" s="73" t="s">
        <v>105</v>
      </c>
      <c r="C51" s="25" t="s">
        <v>97</v>
      </c>
      <c r="D51" s="211">
        <v>19302.8</v>
      </c>
      <c r="E51" s="212" t="s">
        <v>559</v>
      </c>
      <c r="F51" s="213" t="s">
        <v>33</v>
      </c>
      <c r="G51" s="219">
        <v>12430</v>
      </c>
      <c r="H51" s="214">
        <v>870.1</v>
      </c>
      <c r="I51" s="219">
        <v>13300.1</v>
      </c>
      <c r="J51" s="30">
        <v>25156</v>
      </c>
      <c r="K51" s="31" t="s">
        <v>709</v>
      </c>
      <c r="L51" s="32">
        <v>13300.1</v>
      </c>
      <c r="M51" s="215">
        <v>25143</v>
      </c>
      <c r="N51" s="216" t="s">
        <v>33</v>
      </c>
      <c r="O51" s="113">
        <f t="shared" si="4"/>
        <v>18040.000000000004</v>
      </c>
      <c r="P51" s="113">
        <f t="shared" si="5"/>
        <v>1262.8000000000004</v>
      </c>
      <c r="Q51" s="217">
        <f t="shared" si="6"/>
        <v>19302.800000000003</v>
      </c>
      <c r="R51" s="2"/>
    </row>
    <row r="52" spans="1:18" ht="22.5" customHeight="1" x14ac:dyDescent="0.5">
      <c r="A52" s="208">
        <v>6</v>
      </c>
      <c r="B52" s="73" t="s">
        <v>107</v>
      </c>
      <c r="C52" s="25" t="s">
        <v>97</v>
      </c>
      <c r="D52" s="211"/>
      <c r="E52" s="212" t="s">
        <v>559</v>
      </c>
      <c r="F52" s="213" t="s">
        <v>33</v>
      </c>
      <c r="G52" s="219">
        <v>500</v>
      </c>
      <c r="H52" s="214">
        <v>35</v>
      </c>
      <c r="I52" s="219">
        <v>535</v>
      </c>
      <c r="J52" s="30">
        <v>25145</v>
      </c>
      <c r="K52" s="31" t="s">
        <v>710</v>
      </c>
      <c r="L52" s="32">
        <v>535</v>
      </c>
      <c r="M52" s="215"/>
      <c r="N52" s="216"/>
      <c r="O52" s="113">
        <f t="shared" si="4"/>
        <v>0</v>
      </c>
      <c r="P52" s="113">
        <f t="shared" si="5"/>
        <v>0</v>
      </c>
      <c r="Q52" s="217">
        <f t="shared" si="6"/>
        <v>0</v>
      </c>
      <c r="R52" s="2"/>
    </row>
    <row r="53" spans="1:18" ht="22.5" customHeight="1" x14ac:dyDescent="0.5">
      <c r="A53" s="208">
        <v>7</v>
      </c>
      <c r="B53" s="209" t="s">
        <v>109</v>
      </c>
      <c r="C53" s="210" t="s">
        <v>97</v>
      </c>
      <c r="D53" s="211">
        <v>40970.300000000003</v>
      </c>
      <c r="E53" s="212"/>
      <c r="F53" s="213"/>
      <c r="G53" s="214">
        <v>0</v>
      </c>
      <c r="H53" s="214">
        <v>0</v>
      </c>
      <c r="I53" s="214">
        <v>0</v>
      </c>
      <c r="J53" s="30"/>
      <c r="K53" s="31"/>
      <c r="L53" s="32"/>
      <c r="M53" s="215">
        <v>25143</v>
      </c>
      <c r="N53" s="216" t="s">
        <v>33</v>
      </c>
      <c r="O53" s="113">
        <f t="shared" si="4"/>
        <v>38290</v>
      </c>
      <c r="P53" s="113">
        <f t="shared" si="5"/>
        <v>2680.3</v>
      </c>
      <c r="Q53" s="217">
        <f t="shared" si="6"/>
        <v>40970.300000000003</v>
      </c>
      <c r="R53" s="218"/>
    </row>
    <row r="54" spans="1:18" ht="22.5" customHeight="1" x14ac:dyDescent="0.5">
      <c r="A54" s="208">
        <v>8</v>
      </c>
      <c r="B54" s="73" t="s">
        <v>110</v>
      </c>
      <c r="C54" s="25" t="s">
        <v>87</v>
      </c>
      <c r="D54" s="211">
        <v>7618.4</v>
      </c>
      <c r="E54" s="212" t="s">
        <v>559</v>
      </c>
      <c r="F54" s="213" t="s">
        <v>33</v>
      </c>
      <c r="G54" s="219">
        <v>8850</v>
      </c>
      <c r="H54" s="214">
        <v>619.5</v>
      </c>
      <c r="I54" s="219">
        <v>9469.5</v>
      </c>
      <c r="J54" s="30" t="s">
        <v>685</v>
      </c>
      <c r="K54" s="31" t="s">
        <v>711</v>
      </c>
      <c r="L54" s="32">
        <v>17087.900000000001</v>
      </c>
      <c r="M54" s="215"/>
      <c r="N54" s="216"/>
      <c r="O54" s="113">
        <f t="shared" si="4"/>
        <v>0</v>
      </c>
      <c r="P54" s="113">
        <f t="shared" si="5"/>
        <v>0</v>
      </c>
      <c r="Q54" s="217">
        <f t="shared" si="6"/>
        <v>0</v>
      </c>
      <c r="R54" s="2"/>
    </row>
    <row r="55" spans="1:18" ht="22.5" customHeight="1" x14ac:dyDescent="0.5">
      <c r="A55" s="208">
        <v>9</v>
      </c>
      <c r="B55" s="73" t="s">
        <v>112</v>
      </c>
      <c r="C55" s="25" t="s">
        <v>113</v>
      </c>
      <c r="D55" s="211">
        <v>1915.3</v>
      </c>
      <c r="E55" s="212" t="s">
        <v>559</v>
      </c>
      <c r="F55" s="213" t="s">
        <v>33</v>
      </c>
      <c r="G55" s="219">
        <v>980.00000000000034</v>
      </c>
      <c r="H55" s="214">
        <v>68.600000000000023</v>
      </c>
      <c r="I55" s="219">
        <v>1048.6000000000004</v>
      </c>
      <c r="J55" s="30">
        <v>25145</v>
      </c>
      <c r="K55" s="31" t="s">
        <v>712</v>
      </c>
      <c r="L55" s="32">
        <v>2963.8999999999996</v>
      </c>
      <c r="M55" s="215"/>
      <c r="N55" s="216"/>
      <c r="O55" s="113">
        <f t="shared" si="4"/>
        <v>8.4999504838591423E-13</v>
      </c>
      <c r="P55" s="113">
        <f t="shared" si="5"/>
        <v>5.9499653387013991E-14</v>
      </c>
      <c r="Q55" s="217">
        <f t="shared" si="6"/>
        <v>9.0949470177292824E-13</v>
      </c>
      <c r="R55" s="2"/>
    </row>
    <row r="56" spans="1:18" ht="22.5" customHeight="1" x14ac:dyDescent="0.5">
      <c r="A56" s="208"/>
      <c r="B56" s="73" t="s">
        <v>116</v>
      </c>
      <c r="C56" s="25" t="s">
        <v>113</v>
      </c>
      <c r="D56" s="211">
        <v>2557.3000000000002</v>
      </c>
      <c r="E56" s="212" t="s">
        <v>559</v>
      </c>
      <c r="F56" s="213" t="s">
        <v>33</v>
      </c>
      <c r="G56" s="219">
        <v>990.00000000000148</v>
      </c>
      <c r="H56" s="214">
        <v>69.300000000000111</v>
      </c>
      <c r="I56" s="219">
        <v>1059.3000000000015</v>
      </c>
      <c r="J56" s="30" t="s">
        <v>713</v>
      </c>
      <c r="K56" s="31" t="s">
        <v>714</v>
      </c>
      <c r="L56" s="32">
        <v>3616.6000000000004</v>
      </c>
      <c r="M56" s="215"/>
      <c r="N56" s="216"/>
      <c r="O56" s="113">
        <f t="shared" si="4"/>
        <v>1.2749925725788713E-12</v>
      </c>
      <c r="P56" s="113">
        <f t="shared" si="5"/>
        <v>8.9249480080520993E-14</v>
      </c>
      <c r="Q56" s="217">
        <f t="shared" si="6"/>
        <v>1.3642420526593924E-12</v>
      </c>
      <c r="R56" s="2"/>
    </row>
    <row r="57" spans="1:18" ht="22.5" customHeight="1" x14ac:dyDescent="0.5">
      <c r="A57" s="208">
        <v>10</v>
      </c>
      <c r="B57" s="73" t="s">
        <v>117</v>
      </c>
      <c r="C57" s="25" t="s">
        <v>118</v>
      </c>
      <c r="D57" s="211">
        <v>1401.7</v>
      </c>
      <c r="E57" s="212"/>
      <c r="F57" s="213"/>
      <c r="G57" s="219">
        <v>0</v>
      </c>
      <c r="H57" s="214">
        <v>0</v>
      </c>
      <c r="I57" s="219">
        <v>0</v>
      </c>
      <c r="J57" s="30"/>
      <c r="K57" s="31"/>
      <c r="L57" s="32"/>
      <c r="M57" s="215">
        <v>25143</v>
      </c>
      <c r="N57" s="216" t="s">
        <v>33</v>
      </c>
      <c r="O57" s="113">
        <f t="shared" si="4"/>
        <v>1310</v>
      </c>
      <c r="P57" s="113">
        <f t="shared" si="5"/>
        <v>91.7</v>
      </c>
      <c r="Q57" s="217">
        <f t="shared" si="6"/>
        <v>1401.7</v>
      </c>
      <c r="R57" s="2"/>
    </row>
    <row r="58" spans="1:18" ht="22.5" customHeight="1" x14ac:dyDescent="0.5">
      <c r="A58" s="208"/>
      <c r="B58" s="73" t="s">
        <v>120</v>
      </c>
      <c r="C58" s="25" t="s">
        <v>118</v>
      </c>
      <c r="D58" s="211">
        <v>3488.2</v>
      </c>
      <c r="E58" s="212"/>
      <c r="F58" s="213"/>
      <c r="G58" s="219">
        <v>0</v>
      </c>
      <c r="H58" s="214">
        <v>0</v>
      </c>
      <c r="I58" s="219">
        <v>0</v>
      </c>
      <c r="J58" s="30"/>
      <c r="K58" s="31"/>
      <c r="L58" s="32"/>
      <c r="M58" s="215">
        <v>25143</v>
      </c>
      <c r="N58" s="216" t="s">
        <v>33</v>
      </c>
      <c r="O58" s="113">
        <f t="shared" si="4"/>
        <v>3260</v>
      </c>
      <c r="P58" s="113">
        <f t="shared" si="5"/>
        <v>228.2</v>
      </c>
      <c r="Q58" s="217">
        <f t="shared" si="6"/>
        <v>3488.2</v>
      </c>
      <c r="R58" s="2"/>
    </row>
    <row r="59" spans="1:18" ht="22.5" customHeight="1" x14ac:dyDescent="0.5">
      <c r="A59" s="208">
        <v>11</v>
      </c>
      <c r="B59" s="73" t="s">
        <v>121</v>
      </c>
      <c r="C59" s="83" t="s">
        <v>122</v>
      </c>
      <c r="D59" s="211">
        <v>14102.599999999999</v>
      </c>
      <c r="E59" s="212"/>
      <c r="F59" s="213"/>
      <c r="G59" s="219">
        <v>0</v>
      </c>
      <c r="H59" s="214">
        <v>0</v>
      </c>
      <c r="I59" s="219">
        <v>0</v>
      </c>
      <c r="J59" s="30">
        <v>25163</v>
      </c>
      <c r="K59" s="31" t="s">
        <v>715</v>
      </c>
      <c r="L59" s="32">
        <v>14102.6</v>
      </c>
      <c r="M59" s="215"/>
      <c r="N59" s="216"/>
      <c r="O59" s="113">
        <f t="shared" si="4"/>
        <v>-1.6999900967718285E-12</v>
      </c>
      <c r="P59" s="113">
        <f t="shared" si="5"/>
        <v>-1.1899930677402798E-13</v>
      </c>
      <c r="Q59" s="217">
        <f t="shared" si="6"/>
        <v>-1.8189894035458565E-12</v>
      </c>
      <c r="R59" s="223"/>
    </row>
    <row r="60" spans="1:18" ht="22.5" customHeight="1" x14ac:dyDescent="0.5">
      <c r="A60" s="208"/>
      <c r="B60" s="73" t="s">
        <v>121</v>
      </c>
      <c r="C60" s="83" t="s">
        <v>122</v>
      </c>
      <c r="D60" s="211">
        <v>1166.3</v>
      </c>
      <c r="E60" s="212"/>
      <c r="F60" s="213"/>
      <c r="G60" s="219">
        <v>0</v>
      </c>
      <c r="H60" s="214">
        <v>0</v>
      </c>
      <c r="I60" s="219">
        <v>0</v>
      </c>
      <c r="J60" s="30">
        <v>25163</v>
      </c>
      <c r="K60" s="31" t="s">
        <v>715</v>
      </c>
      <c r="L60" s="32">
        <v>1166.3</v>
      </c>
      <c r="M60" s="215"/>
      <c r="N60" s="216"/>
      <c r="O60" s="113">
        <f t="shared" si="4"/>
        <v>0</v>
      </c>
      <c r="P60" s="113">
        <f t="shared" si="5"/>
        <v>0</v>
      </c>
      <c r="Q60" s="217">
        <f t="shared" si="6"/>
        <v>0</v>
      </c>
      <c r="R60" s="223"/>
    </row>
    <row r="61" spans="1:18" ht="22.5" customHeight="1" x14ac:dyDescent="0.5">
      <c r="A61" s="208">
        <v>12</v>
      </c>
      <c r="B61" s="73" t="s">
        <v>124</v>
      </c>
      <c r="C61" s="83" t="s">
        <v>125</v>
      </c>
      <c r="D61" s="211">
        <v>7843.1</v>
      </c>
      <c r="E61" s="212"/>
      <c r="F61" s="213"/>
      <c r="G61" s="219">
        <v>0</v>
      </c>
      <c r="H61" s="214">
        <v>0</v>
      </c>
      <c r="I61" s="219">
        <v>0</v>
      </c>
      <c r="J61" s="30"/>
      <c r="K61" s="31"/>
      <c r="L61" s="32"/>
      <c r="M61" s="215">
        <v>25143</v>
      </c>
      <c r="N61" s="216" t="s">
        <v>33</v>
      </c>
      <c r="O61" s="113">
        <f t="shared" si="4"/>
        <v>7330</v>
      </c>
      <c r="P61" s="113">
        <f t="shared" si="5"/>
        <v>513.1</v>
      </c>
      <c r="Q61" s="217">
        <f t="shared" si="6"/>
        <v>7843.1</v>
      </c>
      <c r="R61" s="2"/>
    </row>
    <row r="62" spans="1:18" ht="22.5" customHeight="1" x14ac:dyDescent="0.5">
      <c r="A62" s="208">
        <v>13</v>
      </c>
      <c r="B62" s="78" t="s">
        <v>127</v>
      </c>
      <c r="C62" s="25" t="s">
        <v>128</v>
      </c>
      <c r="D62" s="211"/>
      <c r="E62" s="212"/>
      <c r="F62" s="213"/>
      <c r="G62" s="224">
        <v>0</v>
      </c>
      <c r="H62" s="214">
        <v>0</v>
      </c>
      <c r="I62" s="219">
        <v>0</v>
      </c>
      <c r="J62" s="38"/>
      <c r="K62" s="39"/>
      <c r="L62" s="40"/>
      <c r="M62" s="215"/>
      <c r="N62" s="216"/>
      <c r="O62" s="113">
        <f t="shared" si="4"/>
        <v>0</v>
      </c>
      <c r="P62" s="113">
        <f t="shared" si="5"/>
        <v>0</v>
      </c>
      <c r="Q62" s="217">
        <f t="shared" si="6"/>
        <v>0</v>
      </c>
      <c r="R62" s="2"/>
    </row>
    <row r="63" spans="1:18" ht="22.5" customHeight="1" x14ac:dyDescent="0.5">
      <c r="A63" s="208">
        <v>14</v>
      </c>
      <c r="B63" s="78" t="s">
        <v>129</v>
      </c>
      <c r="C63" s="210" t="s">
        <v>130</v>
      </c>
      <c r="D63" s="211">
        <v>11716.5</v>
      </c>
      <c r="E63" s="212" t="s">
        <v>559</v>
      </c>
      <c r="F63" s="213" t="s">
        <v>33</v>
      </c>
      <c r="G63" s="224">
        <v>10149.999999999998</v>
      </c>
      <c r="H63" s="214">
        <v>710.49999999999989</v>
      </c>
      <c r="I63" s="219">
        <v>10860.499999999998</v>
      </c>
      <c r="J63" s="30"/>
      <c r="K63" s="31"/>
      <c r="L63" s="32"/>
      <c r="M63" s="215" t="s">
        <v>716</v>
      </c>
      <c r="N63" s="216" t="s">
        <v>115</v>
      </c>
      <c r="O63" s="113">
        <f t="shared" si="4"/>
        <v>21100</v>
      </c>
      <c r="P63" s="113">
        <f t="shared" si="5"/>
        <v>1477</v>
      </c>
      <c r="Q63" s="217">
        <f t="shared" si="6"/>
        <v>22577</v>
      </c>
      <c r="R63" s="2"/>
    </row>
    <row r="64" spans="1:18" ht="22.5" customHeight="1" x14ac:dyDescent="0.5">
      <c r="A64" s="208"/>
      <c r="B64" s="78" t="s">
        <v>132</v>
      </c>
      <c r="C64" s="210" t="s">
        <v>130</v>
      </c>
      <c r="D64" s="211">
        <v>25316.2</v>
      </c>
      <c r="E64" s="212" t="s">
        <v>559</v>
      </c>
      <c r="F64" s="213" t="s">
        <v>33</v>
      </c>
      <c r="G64" s="224">
        <v>47158.411214953267</v>
      </c>
      <c r="H64" s="214">
        <v>3301.0887850467284</v>
      </c>
      <c r="I64" s="219">
        <v>50459.499999999993</v>
      </c>
      <c r="J64" s="30" t="s">
        <v>717</v>
      </c>
      <c r="K64" s="31" t="s">
        <v>718</v>
      </c>
      <c r="L64" s="32">
        <v>41505.300000000003</v>
      </c>
      <c r="M64" s="215" t="s">
        <v>719</v>
      </c>
      <c r="N64" s="216" t="s">
        <v>115</v>
      </c>
      <c r="O64" s="113">
        <f t="shared" si="4"/>
        <v>32028.411214953267</v>
      </c>
      <c r="P64" s="113">
        <f t="shared" si="5"/>
        <v>2241.9887850467285</v>
      </c>
      <c r="Q64" s="217">
        <f t="shared" si="6"/>
        <v>34270.399999999994</v>
      </c>
      <c r="R64" s="2"/>
    </row>
    <row r="65" spans="1:18" ht="22.5" customHeight="1" x14ac:dyDescent="0.5">
      <c r="A65" s="208">
        <v>15</v>
      </c>
      <c r="B65" s="78" t="s">
        <v>134</v>
      </c>
      <c r="C65" s="165" t="s">
        <v>135</v>
      </c>
      <c r="D65" s="211">
        <v>5467.7</v>
      </c>
      <c r="E65" s="212" t="s">
        <v>559</v>
      </c>
      <c r="F65" s="213" t="s">
        <v>33</v>
      </c>
      <c r="G65" s="224">
        <v>5170</v>
      </c>
      <c r="H65" s="214">
        <v>361.9</v>
      </c>
      <c r="I65" s="219">
        <v>5531.9</v>
      </c>
      <c r="J65" s="38">
        <v>25145</v>
      </c>
      <c r="K65" s="39" t="s">
        <v>720</v>
      </c>
      <c r="L65" s="40">
        <v>5531.9</v>
      </c>
      <c r="M65" s="215">
        <v>25143</v>
      </c>
      <c r="N65" s="216" t="s">
        <v>33</v>
      </c>
      <c r="O65" s="113">
        <f t="shared" si="4"/>
        <v>5109.9999999999991</v>
      </c>
      <c r="P65" s="113">
        <f t="shared" si="5"/>
        <v>357.69999999999993</v>
      </c>
      <c r="Q65" s="217">
        <f t="shared" si="6"/>
        <v>5467.6999999999989</v>
      </c>
      <c r="R65" s="2"/>
    </row>
    <row r="66" spans="1:18" s="229" customFormat="1" ht="22.5" customHeight="1" x14ac:dyDescent="0.5">
      <c r="A66" s="225">
        <v>16</v>
      </c>
      <c r="B66" s="226" t="s">
        <v>137</v>
      </c>
      <c r="C66" s="227"/>
      <c r="D66" s="211">
        <v>2621.5</v>
      </c>
      <c r="E66" s="212" t="s">
        <v>559</v>
      </c>
      <c r="F66" s="228" t="s">
        <v>33</v>
      </c>
      <c r="G66" s="224">
        <v>2440.0000000000005</v>
      </c>
      <c r="H66" s="214">
        <v>170.80000000000007</v>
      </c>
      <c r="I66" s="224">
        <v>2610.8000000000006</v>
      </c>
      <c r="J66" s="38">
        <v>25149</v>
      </c>
      <c r="K66" s="39" t="s">
        <v>721</v>
      </c>
      <c r="L66" s="40">
        <v>2610.8000000000002</v>
      </c>
      <c r="M66" s="215">
        <v>25143</v>
      </c>
      <c r="N66" s="216" t="s">
        <v>33</v>
      </c>
      <c r="O66" s="113">
        <f t="shared" si="4"/>
        <v>2450.0000000000009</v>
      </c>
      <c r="P66" s="113">
        <f t="shared" si="5"/>
        <v>171.50000000000006</v>
      </c>
      <c r="Q66" s="217">
        <f t="shared" si="6"/>
        <v>2621.5000000000009</v>
      </c>
      <c r="R66" s="47"/>
    </row>
    <row r="67" spans="1:18" s="229" customFormat="1" ht="22.5" customHeight="1" x14ac:dyDescent="0.5">
      <c r="A67" s="225"/>
      <c r="B67" s="226" t="s">
        <v>139</v>
      </c>
      <c r="C67" s="227" t="s">
        <v>140</v>
      </c>
      <c r="D67" s="211"/>
      <c r="E67" s="230"/>
      <c r="F67" s="231"/>
      <c r="G67" s="232">
        <v>0</v>
      </c>
      <c r="H67" s="233">
        <v>0</v>
      </c>
      <c r="I67" s="232">
        <v>0</v>
      </c>
      <c r="J67" s="38"/>
      <c r="K67" s="39"/>
      <c r="L67" s="40"/>
      <c r="M67" s="215"/>
      <c r="N67" s="216"/>
      <c r="O67" s="113">
        <f t="shared" si="4"/>
        <v>0</v>
      </c>
      <c r="P67" s="113">
        <f t="shared" si="5"/>
        <v>0</v>
      </c>
      <c r="Q67" s="217">
        <f t="shared" si="6"/>
        <v>0</v>
      </c>
      <c r="R67" s="47"/>
    </row>
    <row r="68" spans="1:18" ht="22.5" customHeight="1" x14ac:dyDescent="0.5">
      <c r="A68" s="208">
        <v>17</v>
      </c>
      <c r="B68" s="78" t="s">
        <v>54</v>
      </c>
      <c r="C68" s="81" t="s">
        <v>55</v>
      </c>
      <c r="D68" s="211">
        <v>9009.4</v>
      </c>
      <c r="E68" s="212" t="s">
        <v>552</v>
      </c>
      <c r="F68" s="228" t="s">
        <v>115</v>
      </c>
      <c r="G68" s="224">
        <v>20050</v>
      </c>
      <c r="H68" s="214">
        <v>1403.5</v>
      </c>
      <c r="I68" s="224">
        <v>21453.5</v>
      </c>
      <c r="J68" s="38">
        <v>25168</v>
      </c>
      <c r="K68" s="39" t="s">
        <v>722</v>
      </c>
      <c r="L68" s="40">
        <v>30462.9</v>
      </c>
      <c r="M68" s="215"/>
      <c r="N68" s="216"/>
      <c r="O68" s="113">
        <f t="shared" si="4"/>
        <v>0</v>
      </c>
      <c r="P68" s="113">
        <f t="shared" si="5"/>
        <v>0</v>
      </c>
      <c r="Q68" s="217">
        <f t="shared" si="6"/>
        <v>0</v>
      </c>
      <c r="R68" s="2"/>
    </row>
    <row r="69" spans="1:18" ht="22.5" customHeight="1" x14ac:dyDescent="0.5">
      <c r="A69" s="208">
        <v>18</v>
      </c>
      <c r="B69" s="78" t="s">
        <v>141</v>
      </c>
      <c r="C69" s="81" t="s">
        <v>142</v>
      </c>
      <c r="D69" s="211">
        <v>5093.2</v>
      </c>
      <c r="E69" s="234"/>
      <c r="F69" s="228"/>
      <c r="G69" s="224">
        <v>0</v>
      </c>
      <c r="H69" s="214">
        <v>0</v>
      </c>
      <c r="I69" s="224">
        <v>0</v>
      </c>
      <c r="J69" s="38">
        <v>25166</v>
      </c>
      <c r="K69" s="39" t="s">
        <v>723</v>
      </c>
      <c r="L69" s="40">
        <v>5093.2</v>
      </c>
      <c r="M69" s="235"/>
      <c r="N69" s="236"/>
      <c r="O69" s="113">
        <f t="shared" si="4"/>
        <v>0</v>
      </c>
      <c r="P69" s="113">
        <f t="shared" si="5"/>
        <v>0</v>
      </c>
      <c r="Q69" s="217">
        <f t="shared" si="6"/>
        <v>0</v>
      </c>
      <c r="R69" s="2"/>
    </row>
    <row r="70" spans="1:18" ht="22.5" customHeight="1" x14ac:dyDescent="0.5">
      <c r="A70" s="208">
        <v>19</v>
      </c>
      <c r="B70" s="78" t="s">
        <v>144</v>
      </c>
      <c r="C70" s="81" t="s">
        <v>145</v>
      </c>
      <c r="D70" s="211">
        <v>920.2</v>
      </c>
      <c r="E70" s="212"/>
      <c r="F70" s="213"/>
      <c r="G70" s="224">
        <v>-4.2499752419295712E-13</v>
      </c>
      <c r="H70" s="214">
        <v>-2.9749826693506995E-14</v>
      </c>
      <c r="I70" s="224">
        <v>-4.5474735088646412E-13</v>
      </c>
      <c r="J70" s="38">
        <v>25166</v>
      </c>
      <c r="K70" s="39" t="s">
        <v>724</v>
      </c>
      <c r="L70" s="40">
        <v>920.2</v>
      </c>
      <c r="M70" s="215"/>
      <c r="N70" s="216"/>
      <c r="O70" s="113">
        <f t="shared" si="4"/>
        <v>-4.2499752419295712E-13</v>
      </c>
      <c r="P70" s="113">
        <f t="shared" si="5"/>
        <v>-2.9749826693506995E-14</v>
      </c>
      <c r="Q70" s="217">
        <f t="shared" si="6"/>
        <v>-4.5474735088646412E-13</v>
      </c>
      <c r="R70" s="2"/>
    </row>
    <row r="71" spans="1:18" ht="22.5" customHeight="1" x14ac:dyDescent="0.5">
      <c r="A71" s="208">
        <v>20</v>
      </c>
      <c r="B71" s="73" t="s">
        <v>147</v>
      </c>
      <c r="C71" s="25" t="s">
        <v>148</v>
      </c>
      <c r="D71" s="211"/>
      <c r="E71" s="234"/>
      <c r="F71" s="228"/>
      <c r="G71" s="224">
        <v>2.656234526205982E-14</v>
      </c>
      <c r="H71" s="214">
        <v>1.8593641683441872E-15</v>
      </c>
      <c r="I71" s="224">
        <v>2.8421709430404007E-14</v>
      </c>
      <c r="J71" s="38"/>
      <c r="K71" s="39"/>
      <c r="L71" s="40"/>
      <c r="M71" s="215"/>
      <c r="N71" s="216"/>
      <c r="O71" s="113">
        <f t="shared" si="4"/>
        <v>2.656234526205982E-14</v>
      </c>
      <c r="P71" s="113">
        <f t="shared" si="5"/>
        <v>1.8593641683441872E-15</v>
      </c>
      <c r="Q71" s="217">
        <f t="shared" si="6"/>
        <v>2.8421709430404007E-14</v>
      </c>
      <c r="R71" s="2"/>
    </row>
    <row r="72" spans="1:18" ht="22.5" customHeight="1" x14ac:dyDescent="0.5">
      <c r="A72" s="208">
        <v>21</v>
      </c>
      <c r="B72" s="237" t="s">
        <v>149</v>
      </c>
      <c r="C72" s="238" t="s">
        <v>150</v>
      </c>
      <c r="D72" s="211">
        <v>1519.4</v>
      </c>
      <c r="E72" s="234"/>
      <c r="F72" s="228"/>
      <c r="G72" s="224">
        <v>0</v>
      </c>
      <c r="H72" s="214">
        <v>0</v>
      </c>
      <c r="I72" s="224">
        <v>0</v>
      </c>
      <c r="J72" s="38">
        <v>25163</v>
      </c>
      <c r="K72" s="39" t="s">
        <v>725</v>
      </c>
      <c r="L72" s="40">
        <v>1519.4</v>
      </c>
      <c r="M72" s="239"/>
      <c r="N72" s="236"/>
      <c r="O72" s="113">
        <f t="shared" si="4"/>
        <v>0</v>
      </c>
      <c r="P72" s="113">
        <f t="shared" si="5"/>
        <v>0</v>
      </c>
      <c r="Q72" s="217">
        <f t="shared" si="6"/>
        <v>0</v>
      </c>
      <c r="R72" s="2"/>
    </row>
    <row r="73" spans="1:18" ht="22.5" customHeight="1" x14ac:dyDescent="0.5">
      <c r="A73" s="208">
        <v>22</v>
      </c>
      <c r="B73" s="240" t="s">
        <v>569</v>
      </c>
      <c r="C73" s="83" t="s">
        <v>153</v>
      </c>
      <c r="D73" s="211">
        <v>4729.3999999999996</v>
      </c>
      <c r="E73" s="234"/>
      <c r="F73" s="228"/>
      <c r="G73" s="224">
        <v>-3.3999801935436569E-12</v>
      </c>
      <c r="H73" s="214">
        <v>-2.3799861354805596E-13</v>
      </c>
      <c r="I73" s="224">
        <v>-3.637978807091713E-12</v>
      </c>
      <c r="J73" s="38">
        <v>25167</v>
      </c>
      <c r="K73" s="39" t="s">
        <v>726</v>
      </c>
      <c r="L73" s="40">
        <v>4729.3999999999996</v>
      </c>
      <c r="M73" s="215"/>
      <c r="N73" s="216"/>
      <c r="O73" s="113">
        <f t="shared" si="4"/>
        <v>-3.3999801935436569E-12</v>
      </c>
      <c r="P73" s="113">
        <f t="shared" si="5"/>
        <v>-2.3799861354805596E-13</v>
      </c>
      <c r="Q73" s="217">
        <f t="shared" si="6"/>
        <v>-3.637978807091713E-12</v>
      </c>
      <c r="R73" s="2"/>
    </row>
    <row r="74" spans="1:18" ht="22.5" customHeight="1" x14ac:dyDescent="0.5">
      <c r="A74" s="208"/>
      <c r="B74" s="240" t="s">
        <v>569</v>
      </c>
      <c r="C74" s="83"/>
      <c r="D74" s="211">
        <v>14851.6</v>
      </c>
      <c r="E74" s="234"/>
      <c r="F74" s="228"/>
      <c r="G74" s="224">
        <v>0</v>
      </c>
      <c r="H74" s="241">
        <v>0</v>
      </c>
      <c r="I74" s="224">
        <v>0</v>
      </c>
      <c r="J74" s="38">
        <v>25167</v>
      </c>
      <c r="K74" s="39" t="s">
        <v>726</v>
      </c>
      <c r="L74" s="40">
        <v>14851.6</v>
      </c>
      <c r="M74" s="215"/>
      <c r="N74" s="216"/>
      <c r="O74" s="113">
        <f t="shared" si="4"/>
        <v>0</v>
      </c>
      <c r="P74" s="113">
        <f t="shared" si="5"/>
        <v>0</v>
      </c>
      <c r="Q74" s="217">
        <f t="shared" si="6"/>
        <v>0</v>
      </c>
      <c r="R74" s="2"/>
    </row>
    <row r="75" spans="1:18" ht="22.5" customHeight="1" x14ac:dyDescent="0.5">
      <c r="A75" s="208">
        <v>23</v>
      </c>
      <c r="B75" s="240" t="s">
        <v>157</v>
      </c>
      <c r="C75" s="83" t="s">
        <v>158</v>
      </c>
      <c r="D75" s="211">
        <v>2343.3000000000002</v>
      </c>
      <c r="E75" s="234"/>
      <c r="F75" s="228"/>
      <c r="G75" s="224">
        <v>0</v>
      </c>
      <c r="H75" s="241">
        <v>0</v>
      </c>
      <c r="I75" s="224">
        <v>0</v>
      </c>
      <c r="J75" s="38">
        <v>25169</v>
      </c>
      <c r="K75" s="39" t="s">
        <v>727</v>
      </c>
      <c r="L75" s="40">
        <v>2343.3000000000002</v>
      </c>
      <c r="M75" s="239"/>
      <c r="N75" s="236"/>
      <c r="O75" s="113">
        <f t="shared" si="4"/>
        <v>0</v>
      </c>
      <c r="P75" s="113">
        <f t="shared" si="5"/>
        <v>0</v>
      </c>
      <c r="Q75" s="217">
        <f t="shared" si="6"/>
        <v>0</v>
      </c>
      <c r="R75" s="2"/>
    </row>
    <row r="76" spans="1:18" ht="22.5" customHeight="1" x14ac:dyDescent="0.5">
      <c r="A76" s="208">
        <v>24</v>
      </c>
      <c r="B76" s="240" t="s">
        <v>160</v>
      </c>
      <c r="C76" s="83" t="s">
        <v>161</v>
      </c>
      <c r="D76" s="211"/>
      <c r="E76" s="212"/>
      <c r="F76" s="228"/>
      <c r="G76" s="224">
        <v>0</v>
      </c>
      <c r="H76" s="241">
        <v>0</v>
      </c>
      <c r="I76" s="224">
        <v>0</v>
      </c>
      <c r="J76" s="38"/>
      <c r="K76" s="39"/>
      <c r="L76" s="40"/>
      <c r="M76" s="215"/>
      <c r="N76" s="216"/>
      <c r="O76" s="113">
        <f t="shared" si="4"/>
        <v>0</v>
      </c>
      <c r="P76" s="113">
        <f t="shared" si="5"/>
        <v>0</v>
      </c>
      <c r="Q76" s="217">
        <f t="shared" si="6"/>
        <v>0</v>
      </c>
      <c r="R76" s="2"/>
    </row>
    <row r="77" spans="1:18" ht="22.5" customHeight="1" x14ac:dyDescent="0.5">
      <c r="A77" s="208">
        <v>25</v>
      </c>
      <c r="B77" s="240" t="s">
        <v>162</v>
      </c>
      <c r="C77" s="83" t="s">
        <v>163</v>
      </c>
      <c r="D77" s="211">
        <v>4986.2</v>
      </c>
      <c r="E77" s="212" t="s">
        <v>559</v>
      </c>
      <c r="F77" s="228" t="s">
        <v>33</v>
      </c>
      <c r="G77" s="224">
        <v>2089.9999999999977</v>
      </c>
      <c r="H77" s="241">
        <v>146.29999999999984</v>
      </c>
      <c r="I77" s="224">
        <v>2236.2999999999975</v>
      </c>
      <c r="J77" s="38">
        <v>25155</v>
      </c>
      <c r="K77" s="39" t="s">
        <v>728</v>
      </c>
      <c r="L77" s="40">
        <v>2236.3000000000002</v>
      </c>
      <c r="M77" s="215">
        <v>25143</v>
      </c>
      <c r="N77" s="216" t="s">
        <v>33</v>
      </c>
      <c r="O77" s="113">
        <f t="shared" si="4"/>
        <v>4659.9999999999973</v>
      </c>
      <c r="P77" s="113">
        <f t="shared" si="5"/>
        <v>326.19999999999982</v>
      </c>
      <c r="Q77" s="217">
        <f t="shared" si="6"/>
        <v>4986.1999999999971</v>
      </c>
      <c r="R77" s="2"/>
    </row>
    <row r="78" spans="1:18" ht="22.5" customHeight="1" x14ac:dyDescent="0.5">
      <c r="A78" s="208">
        <v>26</v>
      </c>
      <c r="B78" s="209" t="s">
        <v>165</v>
      </c>
      <c r="C78" s="210" t="s">
        <v>166</v>
      </c>
      <c r="D78" s="211">
        <v>492.2</v>
      </c>
      <c r="E78" s="212" t="s">
        <v>559</v>
      </c>
      <c r="F78" s="213" t="s">
        <v>33</v>
      </c>
      <c r="G78" s="219">
        <v>90.000000000000327</v>
      </c>
      <c r="H78" s="214">
        <v>6.3000000000000229</v>
      </c>
      <c r="I78" s="219">
        <v>96.300000000000352</v>
      </c>
      <c r="J78" s="38">
        <v>25146</v>
      </c>
      <c r="K78" s="39" t="s">
        <v>729</v>
      </c>
      <c r="L78" s="40">
        <v>96.3</v>
      </c>
      <c r="M78" s="215">
        <v>25143</v>
      </c>
      <c r="N78" s="216" t="s">
        <v>33</v>
      </c>
      <c r="O78" s="113">
        <f t="shared" si="4"/>
        <v>460.00000000000028</v>
      </c>
      <c r="P78" s="113">
        <f t="shared" si="5"/>
        <v>32.200000000000024</v>
      </c>
      <c r="Q78" s="217">
        <f t="shared" si="6"/>
        <v>492.20000000000033</v>
      </c>
      <c r="R78" s="2"/>
    </row>
    <row r="79" spans="1:18" ht="22.5" customHeight="1" x14ac:dyDescent="0.5">
      <c r="A79" s="242">
        <v>27</v>
      </c>
      <c r="B79" s="243" t="s">
        <v>168</v>
      </c>
      <c r="C79" s="244" t="s">
        <v>169</v>
      </c>
      <c r="D79" s="211"/>
      <c r="E79" s="212" t="s">
        <v>170</v>
      </c>
      <c r="F79" s="213" t="s">
        <v>115</v>
      </c>
      <c r="G79" s="219">
        <v>10630.000000000002</v>
      </c>
      <c r="H79" s="214">
        <v>744.10000000000014</v>
      </c>
      <c r="I79" s="219">
        <v>11374.100000000002</v>
      </c>
      <c r="J79" s="30"/>
      <c r="K79" s="31"/>
      <c r="L79" s="32"/>
      <c r="M79" s="215" t="s">
        <v>170</v>
      </c>
      <c r="N79" s="216" t="s">
        <v>115</v>
      </c>
      <c r="O79" s="113">
        <f t="shared" si="4"/>
        <v>10630.000000000002</v>
      </c>
      <c r="P79" s="113">
        <f t="shared" si="5"/>
        <v>744.10000000000014</v>
      </c>
      <c r="Q79" s="217">
        <f t="shared" si="6"/>
        <v>11374.100000000002</v>
      </c>
      <c r="R79" s="2"/>
    </row>
    <row r="80" spans="1:18" ht="22.5" customHeight="1" x14ac:dyDescent="0.5">
      <c r="A80" s="208">
        <v>28</v>
      </c>
      <c r="B80" s="209" t="s">
        <v>171</v>
      </c>
      <c r="C80" s="210"/>
      <c r="D80" s="211">
        <v>1070</v>
      </c>
      <c r="E80" s="212"/>
      <c r="F80" s="213"/>
      <c r="G80" s="219">
        <v>0</v>
      </c>
      <c r="H80" s="214">
        <v>0</v>
      </c>
      <c r="I80" s="219">
        <v>0</v>
      </c>
      <c r="J80" s="38">
        <v>25163</v>
      </c>
      <c r="K80" s="39" t="s">
        <v>730</v>
      </c>
      <c r="L80" s="40">
        <v>1070</v>
      </c>
      <c r="M80" s="239"/>
      <c r="N80" s="236"/>
      <c r="O80" s="113">
        <f t="shared" si="4"/>
        <v>0</v>
      </c>
      <c r="P80" s="113">
        <f t="shared" si="5"/>
        <v>0</v>
      </c>
      <c r="Q80" s="217">
        <f t="shared" si="6"/>
        <v>0</v>
      </c>
      <c r="R80" s="2"/>
    </row>
    <row r="81" spans="1:18" ht="22.5" customHeight="1" x14ac:dyDescent="0.5">
      <c r="A81" s="208">
        <v>29</v>
      </c>
      <c r="B81" s="209" t="s">
        <v>173</v>
      </c>
      <c r="C81" s="210" t="s">
        <v>174</v>
      </c>
      <c r="D81" s="211"/>
      <c r="E81" s="212"/>
      <c r="F81" s="213"/>
      <c r="G81" s="219">
        <v>0</v>
      </c>
      <c r="H81" s="214">
        <v>0</v>
      </c>
      <c r="I81" s="219">
        <v>0</v>
      </c>
      <c r="J81" s="38"/>
      <c r="K81" s="39"/>
      <c r="L81" s="40"/>
      <c r="M81" s="215"/>
      <c r="N81" s="216"/>
      <c r="O81" s="113">
        <f t="shared" si="4"/>
        <v>0</v>
      </c>
      <c r="P81" s="113">
        <f t="shared" si="5"/>
        <v>0</v>
      </c>
      <c r="Q81" s="217">
        <f t="shared" si="6"/>
        <v>0</v>
      </c>
      <c r="R81" s="2"/>
    </row>
    <row r="82" spans="1:18" ht="22.5" customHeight="1" x14ac:dyDescent="0.5">
      <c r="A82" s="208">
        <v>30</v>
      </c>
      <c r="B82" s="209" t="s">
        <v>175</v>
      </c>
      <c r="C82" s="210" t="s">
        <v>176</v>
      </c>
      <c r="D82" s="211">
        <v>674.1</v>
      </c>
      <c r="E82" s="212" t="s">
        <v>559</v>
      </c>
      <c r="F82" s="213" t="s">
        <v>33</v>
      </c>
      <c r="G82" s="219">
        <v>569.99999999999909</v>
      </c>
      <c r="H82" s="214">
        <v>39.899999999999942</v>
      </c>
      <c r="I82" s="219">
        <v>609.89999999999907</v>
      </c>
      <c r="J82" s="30">
        <v>25160</v>
      </c>
      <c r="K82" s="31" t="s">
        <v>731</v>
      </c>
      <c r="L82" s="32">
        <v>609.9</v>
      </c>
      <c r="M82" s="215">
        <v>25143</v>
      </c>
      <c r="N82" s="216" t="s">
        <v>33</v>
      </c>
      <c r="O82" s="113">
        <f t="shared" si="4"/>
        <v>629.9999999999992</v>
      </c>
      <c r="P82" s="113">
        <f t="shared" si="5"/>
        <v>44.099999999999937</v>
      </c>
      <c r="Q82" s="217">
        <f t="shared" si="6"/>
        <v>674.09999999999911</v>
      </c>
      <c r="R82" s="2"/>
    </row>
    <row r="83" spans="1:18" ht="22.5" customHeight="1" x14ac:dyDescent="0.5">
      <c r="A83" s="208">
        <v>31</v>
      </c>
      <c r="B83" s="209" t="s">
        <v>178</v>
      </c>
      <c r="C83" s="210" t="s">
        <v>179</v>
      </c>
      <c r="D83" s="211">
        <v>930.9</v>
      </c>
      <c r="E83" s="212"/>
      <c r="F83" s="213"/>
      <c r="G83" s="219">
        <v>0</v>
      </c>
      <c r="H83" s="214">
        <v>0</v>
      </c>
      <c r="I83" s="219">
        <v>0</v>
      </c>
      <c r="J83" s="38">
        <v>25172</v>
      </c>
      <c r="K83" s="39" t="s">
        <v>732</v>
      </c>
      <c r="L83" s="40">
        <v>930.9</v>
      </c>
      <c r="M83" s="215"/>
      <c r="N83" s="216"/>
      <c r="O83" s="113">
        <f t="shared" si="4"/>
        <v>0</v>
      </c>
      <c r="P83" s="113">
        <f t="shared" si="5"/>
        <v>0</v>
      </c>
      <c r="Q83" s="217">
        <f t="shared" si="6"/>
        <v>0</v>
      </c>
      <c r="R83" s="2"/>
    </row>
    <row r="84" spans="1:18" ht="22.5" customHeight="1" x14ac:dyDescent="0.5">
      <c r="A84" s="208">
        <v>32</v>
      </c>
      <c r="B84" s="209" t="s">
        <v>181</v>
      </c>
      <c r="C84" s="210" t="s">
        <v>182</v>
      </c>
      <c r="D84" s="211">
        <v>449.4</v>
      </c>
      <c r="E84" s="212" t="s">
        <v>559</v>
      </c>
      <c r="F84" s="213" t="s">
        <v>33</v>
      </c>
      <c r="G84" s="219">
        <v>700</v>
      </c>
      <c r="H84" s="214">
        <v>49</v>
      </c>
      <c r="I84" s="219">
        <v>749</v>
      </c>
      <c r="J84" s="38" t="s">
        <v>733</v>
      </c>
      <c r="K84" s="39" t="s">
        <v>734</v>
      </c>
      <c r="L84" s="40">
        <v>1198.4000000000001</v>
      </c>
      <c r="M84" s="215"/>
      <c r="N84" s="216"/>
      <c r="O84" s="113">
        <f t="shared" si="4"/>
        <v>0</v>
      </c>
      <c r="P84" s="113">
        <f t="shared" si="5"/>
        <v>0</v>
      </c>
      <c r="Q84" s="217">
        <f t="shared" si="6"/>
        <v>0</v>
      </c>
      <c r="R84" s="2"/>
    </row>
    <row r="85" spans="1:18" ht="22.5" customHeight="1" x14ac:dyDescent="0.5">
      <c r="A85" s="208">
        <v>33</v>
      </c>
      <c r="B85" s="209" t="s">
        <v>64</v>
      </c>
      <c r="C85" s="210" t="s">
        <v>184</v>
      </c>
      <c r="D85" s="211">
        <v>5285.8</v>
      </c>
      <c r="E85" s="212"/>
      <c r="F85" s="213"/>
      <c r="G85" s="219">
        <v>0</v>
      </c>
      <c r="H85" s="214">
        <v>0</v>
      </c>
      <c r="I85" s="219">
        <v>0</v>
      </c>
      <c r="J85" s="38">
        <v>25163</v>
      </c>
      <c r="K85" s="245" t="s">
        <v>735</v>
      </c>
      <c r="L85" s="246">
        <v>5285.8</v>
      </c>
      <c r="M85" s="215"/>
      <c r="N85" s="216"/>
      <c r="O85" s="113">
        <f t="shared" si="4"/>
        <v>0</v>
      </c>
      <c r="P85" s="113">
        <f t="shared" si="5"/>
        <v>0</v>
      </c>
      <c r="Q85" s="217">
        <f t="shared" si="6"/>
        <v>0</v>
      </c>
      <c r="R85" s="2"/>
    </row>
    <row r="86" spans="1:18" ht="22.5" customHeight="1" x14ac:dyDescent="0.5">
      <c r="A86" s="208"/>
      <c r="B86" s="209" t="s">
        <v>64</v>
      </c>
      <c r="C86" s="210" t="s">
        <v>184</v>
      </c>
      <c r="D86" s="211">
        <v>3188.6</v>
      </c>
      <c r="E86" s="212"/>
      <c r="F86" s="213"/>
      <c r="G86" s="219">
        <v>0</v>
      </c>
      <c r="H86" s="214">
        <v>0</v>
      </c>
      <c r="I86" s="219">
        <v>0</v>
      </c>
      <c r="J86" s="38">
        <v>25163</v>
      </c>
      <c r="K86" s="245" t="s">
        <v>735</v>
      </c>
      <c r="L86" s="246">
        <v>3188.6</v>
      </c>
      <c r="M86" s="215"/>
      <c r="N86" s="216"/>
      <c r="O86" s="113">
        <f t="shared" si="4"/>
        <v>0</v>
      </c>
      <c r="P86" s="113">
        <f t="shared" si="5"/>
        <v>0</v>
      </c>
      <c r="Q86" s="217">
        <f t="shared" si="6"/>
        <v>0</v>
      </c>
      <c r="R86" s="2"/>
    </row>
    <row r="87" spans="1:18" ht="22.5" customHeight="1" x14ac:dyDescent="0.5">
      <c r="A87" s="208">
        <v>34</v>
      </c>
      <c r="B87" s="209" t="s">
        <v>186</v>
      </c>
      <c r="C87" s="210" t="s">
        <v>187</v>
      </c>
      <c r="D87" s="211">
        <v>310.3</v>
      </c>
      <c r="E87" s="212"/>
      <c r="F87" s="213"/>
      <c r="G87" s="219">
        <v>0</v>
      </c>
      <c r="H87" s="214">
        <v>0</v>
      </c>
      <c r="I87" s="219">
        <v>0</v>
      </c>
      <c r="J87" s="38">
        <v>25163</v>
      </c>
      <c r="K87" s="39" t="s">
        <v>736</v>
      </c>
      <c r="L87" s="246">
        <v>310.3</v>
      </c>
      <c r="M87" s="247"/>
      <c r="N87" s="248"/>
      <c r="O87" s="113">
        <f t="shared" si="4"/>
        <v>0</v>
      </c>
      <c r="P87" s="113">
        <f t="shared" si="5"/>
        <v>0</v>
      </c>
      <c r="Q87" s="217">
        <f t="shared" si="6"/>
        <v>0</v>
      </c>
      <c r="R87" s="2"/>
    </row>
    <row r="88" spans="1:18" ht="22.5" customHeight="1" x14ac:dyDescent="0.5">
      <c r="A88" s="208">
        <v>35</v>
      </c>
      <c r="B88" s="209" t="s">
        <v>189</v>
      </c>
      <c r="C88" s="210" t="s">
        <v>190</v>
      </c>
      <c r="D88" s="211"/>
      <c r="E88" s="212"/>
      <c r="F88" s="213"/>
      <c r="G88" s="219">
        <v>0</v>
      </c>
      <c r="H88" s="214">
        <v>0</v>
      </c>
      <c r="I88" s="219">
        <v>0</v>
      </c>
      <c r="J88" s="38"/>
      <c r="K88" s="39"/>
      <c r="L88" s="246"/>
      <c r="M88" s="215"/>
      <c r="N88" s="216"/>
      <c r="O88" s="113">
        <f t="shared" si="4"/>
        <v>0</v>
      </c>
      <c r="P88" s="113">
        <f t="shared" si="5"/>
        <v>0</v>
      </c>
      <c r="Q88" s="217">
        <f t="shared" si="6"/>
        <v>0</v>
      </c>
      <c r="R88" s="2"/>
    </row>
    <row r="89" spans="1:18" ht="22.5" customHeight="1" x14ac:dyDescent="0.5">
      <c r="A89" s="208"/>
      <c r="B89" s="209" t="s">
        <v>191</v>
      </c>
      <c r="C89" s="210" t="s">
        <v>190</v>
      </c>
      <c r="D89" s="211">
        <v>8335.2999999999993</v>
      </c>
      <c r="E89" s="212" t="s">
        <v>559</v>
      </c>
      <c r="F89" s="213" t="s">
        <v>33</v>
      </c>
      <c r="G89" s="219">
        <v>8050</v>
      </c>
      <c r="H89" s="214">
        <v>563.5</v>
      </c>
      <c r="I89" s="219">
        <v>8613.5</v>
      </c>
      <c r="J89" s="38">
        <v>25159</v>
      </c>
      <c r="K89" s="39" t="s">
        <v>737</v>
      </c>
      <c r="L89" s="246">
        <v>8613.5</v>
      </c>
      <c r="M89" s="215">
        <v>25143</v>
      </c>
      <c r="N89" s="216" t="s">
        <v>33</v>
      </c>
      <c r="O89" s="113">
        <f t="shared" si="4"/>
        <v>7789.9999999999991</v>
      </c>
      <c r="P89" s="113">
        <f t="shared" si="5"/>
        <v>545.29999999999995</v>
      </c>
      <c r="Q89" s="217">
        <f t="shared" si="6"/>
        <v>8335.2999999999993</v>
      </c>
      <c r="R89" s="2"/>
    </row>
    <row r="90" spans="1:18" ht="22.5" customHeight="1" x14ac:dyDescent="0.5">
      <c r="A90" s="208">
        <v>36</v>
      </c>
      <c r="B90" s="209" t="s">
        <v>193</v>
      </c>
      <c r="C90" s="210" t="s">
        <v>194</v>
      </c>
      <c r="D90" s="211">
        <v>1872.5</v>
      </c>
      <c r="E90" s="212" t="s">
        <v>559</v>
      </c>
      <c r="F90" s="213" t="s">
        <v>33</v>
      </c>
      <c r="G90" s="219">
        <v>2169.9999999999995</v>
      </c>
      <c r="H90" s="214">
        <v>151.89999999999998</v>
      </c>
      <c r="I90" s="219">
        <v>2321.8999999999996</v>
      </c>
      <c r="J90" s="38">
        <v>25145</v>
      </c>
      <c r="K90" s="39" t="s">
        <v>738</v>
      </c>
      <c r="L90" s="246">
        <v>2321.9</v>
      </c>
      <c r="M90" s="215">
        <v>25143</v>
      </c>
      <c r="N90" s="216" t="s">
        <v>33</v>
      </c>
      <c r="O90" s="113">
        <f t="shared" si="4"/>
        <v>1749.9999999999995</v>
      </c>
      <c r="P90" s="113">
        <f t="shared" si="5"/>
        <v>122.49999999999997</v>
      </c>
      <c r="Q90" s="217">
        <f t="shared" si="6"/>
        <v>1872.4999999999995</v>
      </c>
      <c r="R90" s="2"/>
    </row>
    <row r="91" spans="1:18" ht="22.5" customHeight="1" x14ac:dyDescent="0.5">
      <c r="A91" s="208">
        <v>37</v>
      </c>
      <c r="B91" s="209" t="s">
        <v>195</v>
      </c>
      <c r="C91" s="210" t="s">
        <v>196</v>
      </c>
      <c r="D91" s="211">
        <v>941.6</v>
      </c>
      <c r="E91" s="212"/>
      <c r="F91" s="213"/>
      <c r="G91" s="219">
        <v>0</v>
      </c>
      <c r="H91" s="214">
        <v>0</v>
      </c>
      <c r="I91" s="219">
        <v>0</v>
      </c>
      <c r="J91" s="38">
        <v>25166</v>
      </c>
      <c r="K91" s="245" t="s">
        <v>739</v>
      </c>
      <c r="L91" s="246">
        <v>941.6</v>
      </c>
      <c r="M91" s="247"/>
      <c r="N91" s="248"/>
      <c r="O91" s="113">
        <f t="shared" si="4"/>
        <v>0</v>
      </c>
      <c r="P91" s="113">
        <f t="shared" si="5"/>
        <v>0</v>
      </c>
      <c r="Q91" s="217">
        <f t="shared" si="6"/>
        <v>0</v>
      </c>
      <c r="R91" s="2"/>
    </row>
    <row r="92" spans="1:18" ht="22.5" customHeight="1" x14ac:dyDescent="0.5">
      <c r="A92" s="208">
        <v>38</v>
      </c>
      <c r="B92" s="209" t="s">
        <v>198</v>
      </c>
      <c r="C92" s="210" t="s">
        <v>46</v>
      </c>
      <c r="D92" s="211">
        <v>42.8</v>
      </c>
      <c r="E92" s="212" t="s">
        <v>559</v>
      </c>
      <c r="F92" s="213" t="s">
        <v>33</v>
      </c>
      <c r="G92" s="219">
        <v>349.99999999999937</v>
      </c>
      <c r="H92" s="214">
        <v>24.499999999999957</v>
      </c>
      <c r="I92" s="219">
        <v>374.49999999999932</v>
      </c>
      <c r="J92" s="38">
        <v>25153</v>
      </c>
      <c r="K92" s="245" t="s">
        <v>740</v>
      </c>
      <c r="L92" s="246">
        <v>374.5</v>
      </c>
      <c r="M92" s="215">
        <v>25143</v>
      </c>
      <c r="N92" s="216" t="s">
        <v>33</v>
      </c>
      <c r="O92" s="113">
        <f t="shared" si="4"/>
        <v>39.999999999999375</v>
      </c>
      <c r="P92" s="113">
        <f t="shared" si="5"/>
        <v>2.7999999999999563</v>
      </c>
      <c r="Q92" s="217">
        <f t="shared" si="6"/>
        <v>42.799999999999329</v>
      </c>
      <c r="R92" s="2"/>
    </row>
    <row r="93" spans="1:18" ht="22.5" customHeight="1" x14ac:dyDescent="0.5">
      <c r="A93" s="208"/>
      <c r="B93" s="209" t="s">
        <v>198</v>
      </c>
      <c r="C93" s="210" t="s">
        <v>567</v>
      </c>
      <c r="D93" s="211">
        <v>888.1</v>
      </c>
      <c r="E93" s="212" t="s">
        <v>559</v>
      </c>
      <c r="F93" s="213" t="s">
        <v>33</v>
      </c>
      <c r="G93" s="219">
        <v>910</v>
      </c>
      <c r="H93" s="214">
        <v>63.7</v>
      </c>
      <c r="I93" s="219">
        <v>973.7</v>
      </c>
      <c r="J93" s="38">
        <v>25153</v>
      </c>
      <c r="K93" s="245" t="s">
        <v>741</v>
      </c>
      <c r="L93" s="246">
        <v>973.7</v>
      </c>
      <c r="M93" s="215">
        <v>25143</v>
      </c>
      <c r="N93" s="216" t="s">
        <v>33</v>
      </c>
      <c r="O93" s="113">
        <f t="shared" si="4"/>
        <v>830.00000000000011</v>
      </c>
      <c r="P93" s="113">
        <f t="shared" si="5"/>
        <v>58.100000000000009</v>
      </c>
      <c r="Q93" s="217">
        <f t="shared" si="6"/>
        <v>888.10000000000014</v>
      </c>
      <c r="R93" s="2"/>
    </row>
    <row r="94" spans="1:18" ht="22.5" customHeight="1" x14ac:dyDescent="0.5">
      <c r="A94" s="208">
        <v>39</v>
      </c>
      <c r="B94" s="209" t="s">
        <v>200</v>
      </c>
      <c r="C94" s="210" t="s">
        <v>201</v>
      </c>
      <c r="D94" s="211">
        <v>6248.8</v>
      </c>
      <c r="E94" s="212" t="s">
        <v>559</v>
      </c>
      <c r="F94" s="213" t="s">
        <v>33</v>
      </c>
      <c r="G94" s="219">
        <v>4779.9999999999982</v>
      </c>
      <c r="H94" s="214">
        <v>334.59999999999991</v>
      </c>
      <c r="I94" s="219">
        <v>5114.5999999999985</v>
      </c>
      <c r="J94" s="38">
        <v>25170</v>
      </c>
      <c r="K94" s="245" t="s">
        <v>742</v>
      </c>
      <c r="L94" s="246">
        <v>5114.6000000000004</v>
      </c>
      <c r="M94" s="215">
        <v>25143</v>
      </c>
      <c r="N94" s="216" t="s">
        <v>33</v>
      </c>
      <c r="O94" s="113">
        <f t="shared" si="4"/>
        <v>5839.9999999999973</v>
      </c>
      <c r="P94" s="113">
        <f t="shared" si="5"/>
        <v>408.79999999999984</v>
      </c>
      <c r="Q94" s="217">
        <f t="shared" si="6"/>
        <v>6248.7999999999975</v>
      </c>
      <c r="R94" s="2"/>
    </row>
    <row r="95" spans="1:18" ht="22.5" customHeight="1" x14ac:dyDescent="0.5">
      <c r="A95" s="208">
        <v>40</v>
      </c>
      <c r="B95" s="209" t="s">
        <v>203</v>
      </c>
      <c r="C95" s="210" t="s">
        <v>204</v>
      </c>
      <c r="D95" s="211"/>
      <c r="E95" s="212"/>
      <c r="F95" s="213"/>
      <c r="G95" s="219">
        <v>0</v>
      </c>
      <c r="H95" s="214">
        <v>0</v>
      </c>
      <c r="I95" s="219">
        <v>0</v>
      </c>
      <c r="J95" s="30"/>
      <c r="K95" s="31"/>
      <c r="L95" s="221"/>
      <c r="M95" s="215"/>
      <c r="N95" s="216"/>
      <c r="O95" s="113">
        <f t="shared" si="4"/>
        <v>0</v>
      </c>
      <c r="P95" s="113">
        <f t="shared" si="5"/>
        <v>0</v>
      </c>
      <c r="Q95" s="217">
        <f t="shared" si="6"/>
        <v>0</v>
      </c>
      <c r="R95" s="2"/>
    </row>
    <row r="96" spans="1:18" ht="22.5" customHeight="1" x14ac:dyDescent="0.5">
      <c r="A96" s="208">
        <v>41</v>
      </c>
      <c r="B96" s="209" t="s">
        <v>205</v>
      </c>
      <c r="C96" s="210" t="s">
        <v>206</v>
      </c>
      <c r="D96" s="211">
        <v>1284</v>
      </c>
      <c r="E96" s="212"/>
      <c r="F96" s="213"/>
      <c r="G96" s="219">
        <v>0</v>
      </c>
      <c r="H96" s="214">
        <v>0</v>
      </c>
      <c r="I96" s="219">
        <v>0</v>
      </c>
      <c r="J96" s="30">
        <v>25163</v>
      </c>
      <c r="K96" s="249" t="s">
        <v>743</v>
      </c>
      <c r="L96" s="221">
        <v>1284</v>
      </c>
      <c r="M96" s="215"/>
      <c r="N96" s="216"/>
      <c r="O96" s="113">
        <f t="shared" si="4"/>
        <v>0</v>
      </c>
      <c r="P96" s="113">
        <f t="shared" si="5"/>
        <v>0</v>
      </c>
      <c r="Q96" s="217">
        <f t="shared" si="6"/>
        <v>0</v>
      </c>
      <c r="R96" s="2"/>
    </row>
    <row r="97" spans="1:18" ht="22.5" customHeight="1" x14ac:dyDescent="0.5">
      <c r="A97" s="208">
        <v>42</v>
      </c>
      <c r="B97" s="209" t="s">
        <v>208</v>
      </c>
      <c r="C97" s="210"/>
      <c r="D97" s="211">
        <v>5863.6</v>
      </c>
      <c r="E97" s="212"/>
      <c r="F97" s="213"/>
      <c r="G97" s="219">
        <v>-2.3374863830612643E-12</v>
      </c>
      <c r="H97" s="214">
        <v>-1.6362404681428848E-13</v>
      </c>
      <c r="I97" s="219">
        <v>-2.5011104298755527E-12</v>
      </c>
      <c r="J97" s="250"/>
      <c r="K97" s="251"/>
      <c r="L97" s="252"/>
      <c r="M97" s="215">
        <v>25143</v>
      </c>
      <c r="N97" s="216" t="s">
        <v>33</v>
      </c>
      <c r="O97" s="113">
        <f t="shared" si="4"/>
        <v>5479.9999999999982</v>
      </c>
      <c r="P97" s="113">
        <f t="shared" si="5"/>
        <v>383.59999999999985</v>
      </c>
      <c r="Q97" s="217">
        <f t="shared" si="6"/>
        <v>5863.5999999999976</v>
      </c>
      <c r="R97" s="2"/>
    </row>
    <row r="98" spans="1:18" ht="22.5" customHeight="1" x14ac:dyDescent="0.5">
      <c r="A98" s="208">
        <v>43</v>
      </c>
      <c r="B98" s="209" t="s">
        <v>210</v>
      </c>
      <c r="C98" s="210" t="s">
        <v>211</v>
      </c>
      <c r="D98" s="211">
        <v>4076.7</v>
      </c>
      <c r="E98" s="212" t="s">
        <v>559</v>
      </c>
      <c r="F98" s="213" t="s">
        <v>33</v>
      </c>
      <c r="G98" s="219">
        <v>7560.0000000000009</v>
      </c>
      <c r="H98" s="214">
        <v>529.20000000000005</v>
      </c>
      <c r="I98" s="219">
        <v>8089.2000000000007</v>
      </c>
      <c r="J98" s="38">
        <v>25161</v>
      </c>
      <c r="K98" s="39" t="s">
        <v>744</v>
      </c>
      <c r="L98" s="246">
        <v>8089.2</v>
      </c>
      <c r="M98" s="239">
        <v>25143</v>
      </c>
      <c r="N98" s="236" t="s">
        <v>33</v>
      </c>
      <c r="O98" s="113">
        <f t="shared" si="4"/>
        <v>3810.0000000000014</v>
      </c>
      <c r="P98" s="113">
        <f t="shared" si="5"/>
        <v>266.7000000000001</v>
      </c>
      <c r="Q98" s="217">
        <f t="shared" si="6"/>
        <v>4076.7000000000016</v>
      </c>
      <c r="R98" s="2"/>
    </row>
    <row r="99" spans="1:18" ht="22.5" customHeight="1" x14ac:dyDescent="0.5">
      <c r="A99" s="208">
        <v>44</v>
      </c>
      <c r="B99" s="209" t="s">
        <v>212</v>
      </c>
      <c r="C99" s="210" t="s">
        <v>213</v>
      </c>
      <c r="D99" s="211"/>
      <c r="E99" s="212"/>
      <c r="F99" s="213"/>
      <c r="G99" s="219">
        <v>0</v>
      </c>
      <c r="H99" s="214">
        <v>0</v>
      </c>
      <c r="I99" s="219">
        <v>0</v>
      </c>
      <c r="J99" s="38"/>
      <c r="K99" s="39"/>
      <c r="L99" s="246"/>
      <c r="M99" s="239"/>
      <c r="N99" s="236"/>
      <c r="O99" s="113">
        <f t="shared" si="4"/>
        <v>0</v>
      </c>
      <c r="P99" s="113">
        <f t="shared" si="5"/>
        <v>0</v>
      </c>
      <c r="Q99" s="217">
        <f t="shared" si="6"/>
        <v>0</v>
      </c>
      <c r="R99" s="2"/>
    </row>
    <row r="100" spans="1:18" ht="22.5" customHeight="1" x14ac:dyDescent="0.5">
      <c r="A100" s="208">
        <v>45</v>
      </c>
      <c r="B100" s="209" t="s">
        <v>214</v>
      </c>
      <c r="C100" s="210" t="s">
        <v>215</v>
      </c>
      <c r="D100" s="211">
        <v>11641.6</v>
      </c>
      <c r="E100" s="212"/>
      <c r="F100" s="213"/>
      <c r="G100" s="219">
        <v>0</v>
      </c>
      <c r="H100" s="214">
        <v>0</v>
      </c>
      <c r="I100" s="219">
        <v>0</v>
      </c>
      <c r="J100" s="38">
        <v>25166</v>
      </c>
      <c r="K100" s="39" t="s">
        <v>745</v>
      </c>
      <c r="L100" s="246">
        <v>11641.6</v>
      </c>
      <c r="M100" s="239"/>
      <c r="N100" s="236"/>
      <c r="O100" s="113">
        <f t="shared" si="4"/>
        <v>0</v>
      </c>
      <c r="P100" s="113">
        <f t="shared" si="5"/>
        <v>0</v>
      </c>
      <c r="Q100" s="217">
        <f t="shared" si="6"/>
        <v>0</v>
      </c>
      <c r="R100" s="2"/>
    </row>
    <row r="101" spans="1:18" ht="22.5" customHeight="1" x14ac:dyDescent="0.5">
      <c r="A101" s="253">
        <v>46</v>
      </c>
      <c r="B101" s="254" t="s">
        <v>217</v>
      </c>
      <c r="C101" s="238" t="s">
        <v>218</v>
      </c>
      <c r="D101" s="211">
        <v>1594.3</v>
      </c>
      <c r="E101" s="167"/>
      <c r="F101" s="168"/>
      <c r="G101" s="255">
        <v>0</v>
      </c>
      <c r="H101" s="256">
        <v>0</v>
      </c>
      <c r="I101" s="255">
        <v>0</v>
      </c>
      <c r="J101" s="38">
        <v>25163</v>
      </c>
      <c r="K101" s="245" t="s">
        <v>746</v>
      </c>
      <c r="L101" s="246">
        <v>1594.3</v>
      </c>
      <c r="M101" s="239"/>
      <c r="N101" s="236"/>
      <c r="O101" s="113">
        <f t="shared" si="4"/>
        <v>0</v>
      </c>
      <c r="P101" s="113">
        <f t="shared" si="5"/>
        <v>0</v>
      </c>
      <c r="Q101" s="217">
        <f t="shared" si="6"/>
        <v>0</v>
      </c>
      <c r="R101" s="2"/>
    </row>
    <row r="102" spans="1:18" ht="22.5" customHeight="1" x14ac:dyDescent="0.5">
      <c r="A102" s="235">
        <v>47</v>
      </c>
      <c r="B102" s="257" t="s">
        <v>220</v>
      </c>
      <c r="C102" s="257" t="s">
        <v>221</v>
      </c>
      <c r="D102" s="211"/>
      <c r="E102" s="212" t="s">
        <v>559</v>
      </c>
      <c r="F102" s="213" t="s">
        <v>33</v>
      </c>
      <c r="G102" s="219">
        <v>60</v>
      </c>
      <c r="H102" s="214">
        <v>4.2</v>
      </c>
      <c r="I102" s="258">
        <v>64.2</v>
      </c>
      <c r="J102" s="38">
        <v>25152</v>
      </c>
      <c r="K102" s="39" t="s">
        <v>744</v>
      </c>
      <c r="L102" s="246">
        <v>64.2</v>
      </c>
      <c r="M102" s="239"/>
      <c r="N102" s="236"/>
      <c r="O102" s="113">
        <f t="shared" si="4"/>
        <v>0</v>
      </c>
      <c r="P102" s="113">
        <f t="shared" si="5"/>
        <v>0</v>
      </c>
      <c r="Q102" s="217">
        <f t="shared" si="6"/>
        <v>0</v>
      </c>
      <c r="R102" s="2"/>
    </row>
    <row r="103" spans="1:18" ht="22.5" customHeight="1" x14ac:dyDescent="0.5">
      <c r="A103" s="260">
        <v>48</v>
      </c>
      <c r="B103" s="261" t="s">
        <v>222</v>
      </c>
      <c r="C103" s="261" t="s">
        <v>223</v>
      </c>
      <c r="D103" s="262"/>
      <c r="E103" s="212"/>
      <c r="F103" s="213"/>
      <c r="G103" s="219">
        <v>0</v>
      </c>
      <c r="H103" s="214">
        <v>0</v>
      </c>
      <c r="I103" s="258">
        <v>0</v>
      </c>
      <c r="J103" s="38"/>
      <c r="K103" s="39"/>
      <c r="L103" s="246"/>
      <c r="M103" s="215"/>
      <c r="N103" s="216"/>
      <c r="O103" s="113">
        <f t="shared" si="4"/>
        <v>0</v>
      </c>
      <c r="P103" s="113">
        <f t="shared" si="5"/>
        <v>0</v>
      </c>
      <c r="Q103" s="217">
        <f t="shared" si="6"/>
        <v>0</v>
      </c>
      <c r="R103" s="2"/>
    </row>
    <row r="104" spans="1:18" ht="22.5" customHeight="1" x14ac:dyDescent="0.5">
      <c r="A104" s="260">
        <v>49</v>
      </c>
      <c r="B104" s="261" t="s">
        <v>224</v>
      </c>
      <c r="C104" s="261" t="s">
        <v>225</v>
      </c>
      <c r="D104" s="263">
        <v>342.4</v>
      </c>
      <c r="E104" s="212" t="s">
        <v>559</v>
      </c>
      <c r="F104" s="213" t="s">
        <v>33</v>
      </c>
      <c r="G104" s="219">
        <v>240.00000000000006</v>
      </c>
      <c r="H104" s="214">
        <v>16.800000000000004</v>
      </c>
      <c r="I104" s="258">
        <v>256.80000000000007</v>
      </c>
      <c r="J104" s="38"/>
      <c r="K104" s="245"/>
      <c r="L104" s="246"/>
      <c r="M104" s="215" t="s">
        <v>716</v>
      </c>
      <c r="N104" s="216" t="s">
        <v>115</v>
      </c>
      <c r="O104" s="113">
        <f t="shared" si="4"/>
        <v>560</v>
      </c>
      <c r="P104" s="113">
        <f t="shared" si="5"/>
        <v>39.200000000000003</v>
      </c>
      <c r="Q104" s="217">
        <f t="shared" si="6"/>
        <v>599.20000000000005</v>
      </c>
      <c r="R104" s="2"/>
    </row>
    <row r="105" spans="1:18" ht="22.5" customHeight="1" x14ac:dyDescent="0.5">
      <c r="A105" s="264">
        <v>50</v>
      </c>
      <c r="B105" s="265" t="s">
        <v>226</v>
      </c>
      <c r="C105" s="265" t="s">
        <v>227</v>
      </c>
      <c r="D105" s="266">
        <v>3038.8</v>
      </c>
      <c r="E105" s="267" t="s">
        <v>559</v>
      </c>
      <c r="F105" s="168" t="s">
        <v>33</v>
      </c>
      <c r="G105" s="255">
        <v>2540.0000000000005</v>
      </c>
      <c r="H105" s="256">
        <v>177.80000000000007</v>
      </c>
      <c r="I105" s="268">
        <v>2717.8000000000006</v>
      </c>
      <c r="J105" s="38">
        <v>25145</v>
      </c>
      <c r="K105" s="245" t="s">
        <v>747</v>
      </c>
      <c r="L105" s="246">
        <v>2717.8</v>
      </c>
      <c r="M105" s="215">
        <v>25143</v>
      </c>
      <c r="N105" s="216" t="s">
        <v>33</v>
      </c>
      <c r="O105" s="113">
        <f>SUM(Q105-P105)</f>
        <v>2840</v>
      </c>
      <c r="P105" s="113">
        <f t="shared" si="5"/>
        <v>198.8</v>
      </c>
      <c r="Q105" s="217">
        <f>SUM(D105+I105-L105)</f>
        <v>3038.8</v>
      </c>
      <c r="R105" s="2"/>
    </row>
    <row r="106" spans="1:18" ht="22.5" customHeight="1" x14ac:dyDescent="0.5">
      <c r="A106" s="264">
        <v>51</v>
      </c>
      <c r="B106" s="265" t="s">
        <v>229</v>
      </c>
      <c r="C106" s="265" t="s">
        <v>230</v>
      </c>
      <c r="D106" s="266">
        <v>8410.2000000000007</v>
      </c>
      <c r="E106" s="267"/>
      <c r="F106" s="168"/>
      <c r="G106" s="255">
        <v>0</v>
      </c>
      <c r="H106" s="256">
        <v>0</v>
      </c>
      <c r="I106" s="271">
        <v>0</v>
      </c>
      <c r="J106" s="101"/>
      <c r="K106" s="102"/>
      <c r="L106" s="272"/>
      <c r="M106" s="273">
        <v>25143</v>
      </c>
      <c r="N106" s="274" t="s">
        <v>33</v>
      </c>
      <c r="O106" s="113">
        <f t="shared" si="4"/>
        <v>7860.0000000000009</v>
      </c>
      <c r="P106" s="113">
        <f t="shared" si="5"/>
        <v>550.20000000000005</v>
      </c>
      <c r="Q106" s="217">
        <f t="shared" si="6"/>
        <v>8410.2000000000007</v>
      </c>
      <c r="R106" s="2"/>
    </row>
    <row r="107" spans="1:18" ht="22.5" customHeight="1" x14ac:dyDescent="0.5">
      <c r="A107" s="264">
        <v>52</v>
      </c>
      <c r="B107" s="265" t="s">
        <v>566</v>
      </c>
      <c r="C107" s="265" t="s">
        <v>567</v>
      </c>
      <c r="D107" s="266">
        <v>4012.5</v>
      </c>
      <c r="E107" s="267"/>
      <c r="F107" s="168"/>
      <c r="G107" s="255">
        <v>0</v>
      </c>
      <c r="H107" s="256">
        <v>0</v>
      </c>
      <c r="I107" s="268">
        <v>0</v>
      </c>
      <c r="J107" s="672">
        <v>25167</v>
      </c>
      <c r="K107" s="673" t="s">
        <v>748</v>
      </c>
      <c r="L107" s="674">
        <v>4012.5</v>
      </c>
      <c r="M107" s="675"/>
      <c r="N107" s="676"/>
      <c r="O107" s="113">
        <f t="shared" si="4"/>
        <v>0</v>
      </c>
      <c r="P107" s="113">
        <f t="shared" si="5"/>
        <v>0</v>
      </c>
      <c r="Q107" s="217">
        <f t="shared" si="6"/>
        <v>0</v>
      </c>
      <c r="R107" s="2"/>
    </row>
    <row r="108" spans="1:18" ht="22.5" customHeight="1" x14ac:dyDescent="0.5">
      <c r="A108" s="264"/>
      <c r="B108" s="265" t="s">
        <v>568</v>
      </c>
      <c r="C108" s="265" t="s">
        <v>567</v>
      </c>
      <c r="D108" s="266">
        <v>4429.8</v>
      </c>
      <c r="E108" s="267"/>
      <c r="F108" s="168"/>
      <c r="G108" s="255">
        <v>0</v>
      </c>
      <c r="H108" s="256">
        <v>0</v>
      </c>
      <c r="I108" s="677">
        <v>0</v>
      </c>
      <c r="J108" s="678">
        <v>25167</v>
      </c>
      <c r="K108" s="679" t="s">
        <v>748</v>
      </c>
      <c r="L108" s="680">
        <v>4429.8</v>
      </c>
      <c r="M108" s="681"/>
      <c r="N108" s="682"/>
      <c r="O108" s="113">
        <f t="shared" si="4"/>
        <v>0</v>
      </c>
      <c r="P108" s="113">
        <f t="shared" si="5"/>
        <v>0</v>
      </c>
      <c r="Q108" s="217">
        <f t="shared" si="6"/>
        <v>0</v>
      </c>
      <c r="R108" s="2"/>
    </row>
    <row r="109" spans="1:18" ht="22.5" customHeight="1" x14ac:dyDescent="0.5">
      <c r="A109" s="269">
        <v>53</v>
      </c>
      <c r="B109" s="265" t="s">
        <v>705</v>
      </c>
      <c r="C109" s="794"/>
      <c r="D109" s="266">
        <v>909.5</v>
      </c>
      <c r="E109" s="267"/>
      <c r="F109" s="168"/>
      <c r="G109" s="255"/>
      <c r="H109" s="256"/>
      <c r="I109" s="268"/>
      <c r="J109" s="672">
        <v>25163</v>
      </c>
      <c r="K109" s="673" t="s">
        <v>749</v>
      </c>
      <c r="L109" s="674">
        <v>909.5</v>
      </c>
      <c r="M109" s="675"/>
      <c r="N109" s="776"/>
      <c r="O109" s="276"/>
      <c r="P109" s="276"/>
      <c r="Q109" s="277"/>
      <c r="R109" s="2"/>
    </row>
    <row r="110" spans="1:18" s="60" customFormat="1" ht="22.5" customHeight="1" thickBot="1" x14ac:dyDescent="0.35">
      <c r="A110" s="278"/>
      <c r="B110" s="278" t="s">
        <v>15</v>
      </c>
      <c r="C110" s="279"/>
      <c r="D110" s="280">
        <f>SUM(D44:D109)</f>
        <v>312140.39999999997</v>
      </c>
      <c r="E110" s="281"/>
      <c r="F110" s="282"/>
      <c r="G110" s="280">
        <f>SUM(G44:G109)</f>
        <v>153068.41121495326</v>
      </c>
      <c r="H110" s="280">
        <f>SUM(H44:H109)</f>
        <v>10714.788785046729</v>
      </c>
      <c r="I110" s="280">
        <f>SUM(I44:I109)</f>
        <v>163783.19999999998</v>
      </c>
      <c r="J110" s="280"/>
      <c r="K110" s="280">
        <f>SUM(K44:K108)</f>
        <v>0</v>
      </c>
      <c r="L110" s="280">
        <f>SUM(L44:L109)</f>
        <v>273310.09999999998</v>
      </c>
      <c r="M110" s="280"/>
      <c r="N110" s="280">
        <f>SUM(N44:N108)</f>
        <v>0</v>
      </c>
      <c r="O110" s="280">
        <f>SUM(O44:O109)</f>
        <v>189358.41121495326</v>
      </c>
      <c r="P110" s="280">
        <f>SUM(P44:P109)</f>
        <v>13255.08878504673</v>
      </c>
      <c r="Q110" s="280">
        <f>SUM(Q44:Q109)</f>
        <v>202613.50000000006</v>
      </c>
      <c r="R110" s="59"/>
    </row>
    <row r="111" spans="1:18" ht="22.5" customHeight="1" thickTop="1" x14ac:dyDescent="0.3">
      <c r="A111" s="61"/>
      <c r="B111" s="121" t="s">
        <v>232</v>
      </c>
      <c r="C111" s="63"/>
      <c r="D111" s="64"/>
      <c r="E111" s="65"/>
      <c r="F111" s="66"/>
      <c r="G111" s="67"/>
      <c r="H111" s="67"/>
      <c r="I111" s="67"/>
      <c r="J111" s="286"/>
      <c r="K111" s="287"/>
      <c r="L111" s="288"/>
      <c r="M111" s="69"/>
      <c r="N111" s="70"/>
      <c r="O111" s="71"/>
      <c r="P111" s="71"/>
      <c r="Q111" s="289"/>
      <c r="R111" s="2"/>
    </row>
    <row r="112" spans="1:18" ht="22.5" customHeight="1" x14ac:dyDescent="0.5">
      <c r="A112" s="290"/>
      <c r="B112" s="291" t="s">
        <v>233</v>
      </c>
      <c r="C112" s="292"/>
      <c r="D112" s="293"/>
      <c r="E112" s="212"/>
      <c r="F112" s="213"/>
      <c r="G112" s="219"/>
      <c r="H112" s="219"/>
      <c r="I112" s="219"/>
      <c r="J112" s="294"/>
      <c r="K112" s="295"/>
      <c r="L112" s="296"/>
      <c r="M112" s="41"/>
      <c r="N112" s="34"/>
      <c r="O112" s="114"/>
      <c r="P112" s="114"/>
      <c r="Q112" s="36"/>
      <c r="R112" s="2"/>
    </row>
    <row r="113" spans="1:18" ht="22.5" customHeight="1" x14ac:dyDescent="0.5">
      <c r="A113" s="23">
        <v>1</v>
      </c>
      <c r="B113" s="73" t="s">
        <v>234</v>
      </c>
      <c r="C113" s="25" t="s">
        <v>235</v>
      </c>
      <c r="D113" s="43">
        <v>9450</v>
      </c>
      <c r="E113" s="212"/>
      <c r="F113" s="213"/>
      <c r="G113" s="219">
        <v>0</v>
      </c>
      <c r="H113" s="219">
        <v>0</v>
      </c>
      <c r="I113" s="219">
        <v>0</v>
      </c>
      <c r="J113" s="30">
        <v>25169</v>
      </c>
      <c r="K113" s="31" t="s">
        <v>752</v>
      </c>
      <c r="L113" s="32">
        <v>9450</v>
      </c>
      <c r="M113" s="215"/>
      <c r="N113" s="216"/>
      <c r="O113" s="114">
        <f>SUM(D113+I113-L113)</f>
        <v>0</v>
      </c>
      <c r="P113" s="114">
        <v>0</v>
      </c>
      <c r="Q113" s="36">
        <f>SUM(O113)</f>
        <v>0</v>
      </c>
      <c r="R113" s="2"/>
    </row>
    <row r="114" spans="1:18" ht="22.5" customHeight="1" x14ac:dyDescent="0.5">
      <c r="A114" s="23">
        <v>2</v>
      </c>
      <c r="B114" s="73" t="s">
        <v>237</v>
      </c>
      <c r="C114" s="25" t="s">
        <v>238</v>
      </c>
      <c r="D114" s="43">
        <v>3150</v>
      </c>
      <c r="E114" s="212"/>
      <c r="F114" s="213"/>
      <c r="G114" s="219">
        <v>0</v>
      </c>
      <c r="H114" s="219">
        <v>0</v>
      </c>
      <c r="I114" s="219">
        <v>0</v>
      </c>
      <c r="J114" s="30">
        <v>25169</v>
      </c>
      <c r="K114" s="31" t="s">
        <v>753</v>
      </c>
      <c r="L114" s="32">
        <v>3150</v>
      </c>
      <c r="M114" s="215"/>
      <c r="N114" s="216"/>
      <c r="O114" s="114">
        <f t="shared" ref="O114:O153" si="7">SUM(D114+I114-L114)</f>
        <v>0</v>
      </c>
      <c r="P114" s="114">
        <v>0</v>
      </c>
      <c r="Q114" s="36">
        <f t="shared" ref="Q114:Q153" si="8">SUM(O114)</f>
        <v>0</v>
      </c>
      <c r="R114" s="2"/>
    </row>
    <row r="115" spans="1:18" ht="22.5" customHeight="1" x14ac:dyDescent="0.5">
      <c r="A115" s="23">
        <v>3</v>
      </c>
      <c r="B115" s="73" t="s">
        <v>240</v>
      </c>
      <c r="C115" s="25" t="s">
        <v>241</v>
      </c>
      <c r="D115" s="43">
        <v>15750</v>
      </c>
      <c r="E115" s="212" t="s">
        <v>559</v>
      </c>
      <c r="F115" s="213" t="s">
        <v>33</v>
      </c>
      <c r="G115" s="219">
        <v>15750</v>
      </c>
      <c r="H115" s="219">
        <v>0</v>
      </c>
      <c r="I115" s="219">
        <v>15750</v>
      </c>
      <c r="J115" s="30"/>
      <c r="K115" s="31"/>
      <c r="L115" s="32"/>
      <c r="M115" s="297" t="s">
        <v>716</v>
      </c>
      <c r="N115" s="216" t="s">
        <v>115</v>
      </c>
      <c r="O115" s="114">
        <f t="shared" si="7"/>
        <v>31500</v>
      </c>
      <c r="P115" s="114">
        <v>0</v>
      </c>
      <c r="Q115" s="36">
        <f t="shared" si="8"/>
        <v>31500</v>
      </c>
      <c r="R115" s="2"/>
    </row>
    <row r="116" spans="1:18" ht="22.5" customHeight="1" x14ac:dyDescent="0.5">
      <c r="A116" s="23">
        <v>4</v>
      </c>
      <c r="B116" s="73" t="s">
        <v>240</v>
      </c>
      <c r="C116" s="25" t="s">
        <v>242</v>
      </c>
      <c r="D116" s="43">
        <v>6300</v>
      </c>
      <c r="E116" s="212" t="s">
        <v>559</v>
      </c>
      <c r="F116" s="213" t="s">
        <v>33</v>
      </c>
      <c r="G116" s="219">
        <v>6300</v>
      </c>
      <c r="H116" s="219">
        <v>0</v>
      </c>
      <c r="I116" s="219">
        <v>6300</v>
      </c>
      <c r="J116" s="30"/>
      <c r="K116" s="31"/>
      <c r="L116" s="32"/>
      <c r="M116" s="297" t="s">
        <v>716</v>
      </c>
      <c r="N116" s="216" t="s">
        <v>115</v>
      </c>
      <c r="O116" s="114">
        <f t="shared" si="7"/>
        <v>12600</v>
      </c>
      <c r="P116" s="114">
        <v>0</v>
      </c>
      <c r="Q116" s="36">
        <f t="shared" si="8"/>
        <v>12600</v>
      </c>
      <c r="R116" s="2"/>
    </row>
    <row r="117" spans="1:18" ht="22.5" customHeight="1" x14ac:dyDescent="0.5">
      <c r="A117" s="23">
        <v>5</v>
      </c>
      <c r="B117" s="73" t="s">
        <v>198</v>
      </c>
      <c r="C117" s="25" t="s">
        <v>243</v>
      </c>
      <c r="D117" s="43">
        <v>22050</v>
      </c>
      <c r="E117" s="212"/>
      <c r="F117" s="213"/>
      <c r="G117" s="219">
        <v>0</v>
      </c>
      <c r="H117" s="219">
        <v>0</v>
      </c>
      <c r="I117" s="219">
        <v>0</v>
      </c>
      <c r="J117" s="30">
        <v>25153</v>
      </c>
      <c r="K117" s="31" t="s">
        <v>754</v>
      </c>
      <c r="L117" s="32">
        <v>22050</v>
      </c>
      <c r="M117" s="297"/>
      <c r="N117" s="216"/>
      <c r="O117" s="114">
        <f t="shared" si="7"/>
        <v>0</v>
      </c>
      <c r="P117" s="114">
        <v>0</v>
      </c>
      <c r="Q117" s="36">
        <f t="shared" si="8"/>
        <v>0</v>
      </c>
      <c r="R117" s="2"/>
    </row>
    <row r="118" spans="1:18" ht="22.5" customHeight="1" x14ac:dyDescent="0.5">
      <c r="A118" s="23">
        <v>6</v>
      </c>
      <c r="B118" s="73" t="s">
        <v>245</v>
      </c>
      <c r="C118" s="25" t="s">
        <v>246</v>
      </c>
      <c r="D118" s="43">
        <v>9450</v>
      </c>
      <c r="E118" s="212"/>
      <c r="F118" s="213"/>
      <c r="G118" s="219">
        <v>0</v>
      </c>
      <c r="H118" s="219">
        <v>0</v>
      </c>
      <c r="I118" s="219">
        <v>0</v>
      </c>
      <c r="J118" s="30">
        <v>25147</v>
      </c>
      <c r="K118" s="31" t="s">
        <v>755</v>
      </c>
      <c r="L118" s="32">
        <v>9450</v>
      </c>
      <c r="M118" s="297"/>
      <c r="N118" s="216"/>
      <c r="O118" s="114">
        <f t="shared" si="7"/>
        <v>0</v>
      </c>
      <c r="P118" s="114">
        <v>0</v>
      </c>
      <c r="Q118" s="36">
        <f t="shared" si="8"/>
        <v>0</v>
      </c>
      <c r="R118" s="2"/>
    </row>
    <row r="119" spans="1:18" ht="22.5" customHeight="1" x14ac:dyDescent="0.5">
      <c r="A119" s="23">
        <v>7</v>
      </c>
      <c r="B119" s="73" t="s">
        <v>248</v>
      </c>
      <c r="C119" s="25" t="s">
        <v>249</v>
      </c>
      <c r="D119" s="43">
        <v>6300</v>
      </c>
      <c r="E119" s="212"/>
      <c r="F119" s="213"/>
      <c r="G119" s="219">
        <v>0</v>
      </c>
      <c r="H119" s="219">
        <v>0</v>
      </c>
      <c r="I119" s="219">
        <v>0</v>
      </c>
      <c r="J119" s="30"/>
      <c r="K119" s="31"/>
      <c r="L119" s="32"/>
      <c r="M119" s="215">
        <v>25143</v>
      </c>
      <c r="N119" s="216" t="s">
        <v>33</v>
      </c>
      <c r="O119" s="114">
        <f t="shared" si="7"/>
        <v>6300</v>
      </c>
      <c r="P119" s="114">
        <v>0</v>
      </c>
      <c r="Q119" s="36">
        <f t="shared" si="8"/>
        <v>6300</v>
      </c>
      <c r="R119" s="2"/>
    </row>
    <row r="120" spans="1:18" ht="22.5" customHeight="1" x14ac:dyDescent="0.5">
      <c r="A120" s="208">
        <v>8</v>
      </c>
      <c r="B120" s="209" t="s">
        <v>250</v>
      </c>
      <c r="C120" s="210" t="s">
        <v>251</v>
      </c>
      <c r="D120" s="298">
        <v>6300</v>
      </c>
      <c r="E120" s="299" t="s">
        <v>559</v>
      </c>
      <c r="F120" s="300" t="s">
        <v>33</v>
      </c>
      <c r="G120" s="214">
        <v>6300</v>
      </c>
      <c r="H120" s="219">
        <v>0</v>
      </c>
      <c r="I120" s="219">
        <v>6300</v>
      </c>
      <c r="J120" s="30">
        <v>25152</v>
      </c>
      <c r="K120" s="31" t="s">
        <v>756</v>
      </c>
      <c r="L120" s="32">
        <v>6300</v>
      </c>
      <c r="M120" s="215">
        <v>25143</v>
      </c>
      <c r="N120" s="216" t="s">
        <v>33</v>
      </c>
      <c r="O120" s="114">
        <f t="shared" si="7"/>
        <v>6300</v>
      </c>
      <c r="P120" s="114">
        <v>0</v>
      </c>
      <c r="Q120" s="36">
        <f t="shared" si="8"/>
        <v>6300</v>
      </c>
      <c r="R120" s="218"/>
    </row>
    <row r="121" spans="1:18" ht="22.5" customHeight="1" x14ac:dyDescent="0.5">
      <c r="A121" s="23">
        <v>9</v>
      </c>
      <c r="B121" s="73" t="s">
        <v>253</v>
      </c>
      <c r="C121" s="25" t="s">
        <v>254</v>
      </c>
      <c r="D121" s="43">
        <v>9450</v>
      </c>
      <c r="E121" s="212" t="s">
        <v>559</v>
      </c>
      <c r="F121" s="213" t="s">
        <v>33</v>
      </c>
      <c r="G121" s="219">
        <v>9450</v>
      </c>
      <c r="H121" s="219">
        <v>0</v>
      </c>
      <c r="I121" s="219">
        <v>9450</v>
      </c>
      <c r="J121" s="30" t="s">
        <v>757</v>
      </c>
      <c r="K121" s="31" t="s">
        <v>758</v>
      </c>
      <c r="L121" s="32">
        <v>18900</v>
      </c>
      <c r="M121" s="215"/>
      <c r="N121" s="216"/>
      <c r="O121" s="114">
        <f t="shared" si="7"/>
        <v>0</v>
      </c>
      <c r="P121" s="114">
        <v>0</v>
      </c>
      <c r="Q121" s="36">
        <f t="shared" si="8"/>
        <v>0</v>
      </c>
    </row>
    <row r="122" spans="1:18" ht="22.5" customHeight="1" x14ac:dyDescent="0.5">
      <c r="A122" s="23"/>
      <c r="B122" s="301" t="s">
        <v>256</v>
      </c>
      <c r="C122" s="25"/>
      <c r="D122" s="43"/>
      <c r="E122" s="302"/>
      <c r="F122" s="303"/>
      <c r="G122" s="304">
        <v>0</v>
      </c>
      <c r="H122" s="304">
        <v>0</v>
      </c>
      <c r="I122" s="304">
        <v>0</v>
      </c>
      <c r="J122" s="30"/>
      <c r="K122" s="31"/>
      <c r="L122" s="32"/>
      <c r="M122" s="297"/>
      <c r="N122" s="216"/>
      <c r="O122" s="114">
        <f t="shared" si="7"/>
        <v>0</v>
      </c>
      <c r="P122" s="114">
        <v>0</v>
      </c>
      <c r="Q122" s="36">
        <f t="shared" si="8"/>
        <v>0</v>
      </c>
    </row>
    <row r="123" spans="1:18" ht="22.5" customHeight="1" x14ac:dyDescent="0.5">
      <c r="A123" s="23">
        <v>10</v>
      </c>
      <c r="B123" s="73" t="s">
        <v>257</v>
      </c>
      <c r="C123" s="25" t="s">
        <v>258</v>
      </c>
      <c r="D123" s="43">
        <v>5600</v>
      </c>
      <c r="E123" s="212"/>
      <c r="F123" s="213"/>
      <c r="G123" s="219">
        <v>0</v>
      </c>
      <c r="H123" s="219">
        <v>0</v>
      </c>
      <c r="I123" s="219">
        <v>0</v>
      </c>
      <c r="J123" s="30">
        <v>25147</v>
      </c>
      <c r="K123" s="31" t="s">
        <v>759</v>
      </c>
      <c r="L123" s="32">
        <v>5600</v>
      </c>
      <c r="M123" s="297"/>
      <c r="N123" s="216"/>
      <c r="O123" s="114">
        <f t="shared" si="7"/>
        <v>0</v>
      </c>
      <c r="P123" s="114">
        <v>0</v>
      </c>
      <c r="Q123" s="36">
        <f t="shared" si="8"/>
        <v>0</v>
      </c>
    </row>
    <row r="124" spans="1:18" ht="22.5" customHeight="1" x14ac:dyDescent="0.5">
      <c r="A124" s="23">
        <v>11</v>
      </c>
      <c r="B124" s="73" t="s">
        <v>198</v>
      </c>
      <c r="C124" s="25" t="s">
        <v>260</v>
      </c>
      <c r="D124" s="43">
        <v>2800</v>
      </c>
      <c r="E124" s="212"/>
      <c r="F124" s="213"/>
      <c r="G124" s="219">
        <v>0</v>
      </c>
      <c r="H124" s="219">
        <v>0</v>
      </c>
      <c r="I124" s="219">
        <v>0</v>
      </c>
      <c r="J124" s="30">
        <v>25153</v>
      </c>
      <c r="K124" s="31" t="s">
        <v>754</v>
      </c>
      <c r="L124" s="32">
        <v>2800</v>
      </c>
      <c r="M124" s="297"/>
      <c r="N124" s="216"/>
      <c r="O124" s="114">
        <f t="shared" si="7"/>
        <v>0</v>
      </c>
      <c r="P124" s="114">
        <v>0</v>
      </c>
      <c r="Q124" s="36">
        <f t="shared" si="8"/>
        <v>0</v>
      </c>
    </row>
    <row r="125" spans="1:18" ht="22.5" customHeight="1" x14ac:dyDescent="0.5">
      <c r="A125" s="23">
        <v>12</v>
      </c>
      <c r="B125" s="73" t="s">
        <v>261</v>
      </c>
      <c r="C125" s="25" t="s">
        <v>262</v>
      </c>
      <c r="D125" s="43">
        <v>5600</v>
      </c>
      <c r="E125" s="212"/>
      <c r="F125" s="213"/>
      <c r="G125" s="219">
        <v>0</v>
      </c>
      <c r="H125" s="219">
        <v>0</v>
      </c>
      <c r="I125" s="219">
        <v>0</v>
      </c>
      <c r="J125" s="30">
        <v>25162</v>
      </c>
      <c r="K125" s="31" t="s">
        <v>760</v>
      </c>
      <c r="L125" s="32">
        <v>5600</v>
      </c>
      <c r="M125" s="215"/>
      <c r="N125" s="216"/>
      <c r="O125" s="114">
        <f t="shared" si="7"/>
        <v>0</v>
      </c>
      <c r="P125" s="114">
        <v>0</v>
      </c>
      <c r="Q125" s="36">
        <f t="shared" si="8"/>
        <v>0</v>
      </c>
    </row>
    <row r="126" spans="1:18" ht="22.5" customHeight="1" x14ac:dyDescent="0.5">
      <c r="A126" s="23">
        <v>13</v>
      </c>
      <c r="B126" s="73" t="s">
        <v>264</v>
      </c>
      <c r="C126" s="25" t="s">
        <v>265</v>
      </c>
      <c r="D126" s="43">
        <v>5600</v>
      </c>
      <c r="E126" s="212"/>
      <c r="F126" s="213"/>
      <c r="G126" s="219">
        <v>0</v>
      </c>
      <c r="H126" s="219">
        <v>0</v>
      </c>
      <c r="I126" s="219">
        <v>0</v>
      </c>
      <c r="J126" s="30">
        <v>25162</v>
      </c>
      <c r="K126" s="31" t="s">
        <v>760</v>
      </c>
      <c r="L126" s="32">
        <v>5600</v>
      </c>
      <c r="M126" s="215"/>
      <c r="N126" s="216"/>
      <c r="O126" s="114">
        <f t="shared" si="7"/>
        <v>0</v>
      </c>
      <c r="P126" s="114">
        <v>0</v>
      </c>
      <c r="Q126" s="36">
        <f t="shared" si="8"/>
        <v>0</v>
      </c>
    </row>
    <row r="127" spans="1:18" ht="22.5" customHeight="1" x14ac:dyDescent="0.5">
      <c r="A127" s="23">
        <v>14</v>
      </c>
      <c r="B127" s="73" t="s">
        <v>266</v>
      </c>
      <c r="C127" s="25" t="s">
        <v>267</v>
      </c>
      <c r="D127" s="43">
        <v>5600</v>
      </c>
      <c r="E127" s="212"/>
      <c r="F127" s="213"/>
      <c r="G127" s="219">
        <v>0</v>
      </c>
      <c r="H127" s="219">
        <v>0</v>
      </c>
      <c r="I127" s="219">
        <v>0</v>
      </c>
      <c r="J127" s="30">
        <v>25147</v>
      </c>
      <c r="K127" s="31" t="s">
        <v>761</v>
      </c>
      <c r="L127" s="32">
        <v>5600</v>
      </c>
      <c r="M127" s="297"/>
      <c r="N127" s="216"/>
      <c r="O127" s="114">
        <f t="shared" si="7"/>
        <v>0</v>
      </c>
      <c r="P127" s="114">
        <v>0</v>
      </c>
      <c r="Q127" s="36">
        <f t="shared" si="8"/>
        <v>0</v>
      </c>
    </row>
    <row r="128" spans="1:18" ht="22.5" customHeight="1" x14ac:dyDescent="0.5">
      <c r="A128" s="23"/>
      <c r="B128" s="301" t="s">
        <v>269</v>
      </c>
      <c r="C128" s="25"/>
      <c r="D128" s="43"/>
      <c r="E128" s="302"/>
      <c r="F128" s="303"/>
      <c r="G128" s="304">
        <v>0</v>
      </c>
      <c r="H128" s="304">
        <v>0</v>
      </c>
      <c r="I128" s="304">
        <v>0</v>
      </c>
      <c r="J128" s="30"/>
      <c r="K128" s="31"/>
      <c r="L128" s="32"/>
      <c r="M128" s="297"/>
      <c r="N128" s="216"/>
      <c r="O128" s="114">
        <f t="shared" si="7"/>
        <v>0</v>
      </c>
      <c r="P128" s="114">
        <v>0</v>
      </c>
      <c r="Q128" s="36">
        <f t="shared" si="8"/>
        <v>0</v>
      </c>
    </row>
    <row r="129" spans="1:19" ht="22.5" customHeight="1" x14ac:dyDescent="0.5">
      <c r="A129" s="23">
        <v>1</v>
      </c>
      <c r="B129" s="73" t="s">
        <v>270</v>
      </c>
      <c r="C129" s="25" t="s">
        <v>271</v>
      </c>
      <c r="D129" s="43">
        <v>9450</v>
      </c>
      <c r="E129" s="212"/>
      <c r="F129" s="213"/>
      <c r="G129" s="219">
        <v>0</v>
      </c>
      <c r="H129" s="219">
        <v>0</v>
      </c>
      <c r="I129" s="219">
        <v>0</v>
      </c>
      <c r="J129" s="30">
        <v>25146</v>
      </c>
      <c r="K129" s="31" t="s">
        <v>762</v>
      </c>
      <c r="L129" s="32">
        <v>9450</v>
      </c>
      <c r="M129" s="307"/>
      <c r="N129" s="308"/>
      <c r="O129" s="114">
        <f t="shared" si="7"/>
        <v>0</v>
      </c>
      <c r="P129" s="114">
        <v>0</v>
      </c>
      <c r="Q129" s="36">
        <f t="shared" si="8"/>
        <v>0</v>
      </c>
    </row>
    <row r="130" spans="1:19" ht="22.5" customHeight="1" x14ac:dyDescent="0.5">
      <c r="A130" s="23">
        <v>2</v>
      </c>
      <c r="B130" s="73" t="s">
        <v>261</v>
      </c>
      <c r="C130" s="25" t="s">
        <v>273</v>
      </c>
      <c r="D130" s="43">
        <v>9450</v>
      </c>
      <c r="E130" s="212"/>
      <c r="F130" s="213"/>
      <c r="G130" s="219">
        <v>0</v>
      </c>
      <c r="H130" s="219">
        <v>0</v>
      </c>
      <c r="I130" s="219">
        <v>0</v>
      </c>
      <c r="J130" s="30">
        <v>25162</v>
      </c>
      <c r="K130" s="31" t="s">
        <v>760</v>
      </c>
      <c r="L130" s="32">
        <v>9450</v>
      </c>
      <c r="M130" s="215"/>
      <c r="N130" s="216"/>
      <c r="O130" s="114">
        <f t="shared" si="7"/>
        <v>0</v>
      </c>
      <c r="P130" s="114">
        <v>0</v>
      </c>
      <c r="Q130" s="36">
        <f t="shared" si="8"/>
        <v>0</v>
      </c>
    </row>
    <row r="131" spans="1:19" ht="22.5" customHeight="1" x14ac:dyDescent="0.5">
      <c r="A131" s="23">
        <v>3</v>
      </c>
      <c r="B131" s="73" t="s">
        <v>274</v>
      </c>
      <c r="C131" s="25" t="s">
        <v>275</v>
      </c>
      <c r="D131" s="43">
        <v>3150</v>
      </c>
      <c r="E131" s="212"/>
      <c r="F131" s="213"/>
      <c r="G131" s="219">
        <v>0</v>
      </c>
      <c r="H131" s="219">
        <v>0</v>
      </c>
      <c r="I131" s="219">
        <v>0</v>
      </c>
      <c r="J131" s="30">
        <v>25149</v>
      </c>
      <c r="K131" s="31" t="s">
        <v>763</v>
      </c>
      <c r="L131" s="32">
        <v>3150</v>
      </c>
      <c r="M131" s="297"/>
      <c r="N131" s="216"/>
      <c r="O131" s="114">
        <f t="shared" si="7"/>
        <v>0</v>
      </c>
      <c r="P131" s="114">
        <v>0</v>
      </c>
      <c r="Q131" s="36">
        <f t="shared" si="8"/>
        <v>0</v>
      </c>
      <c r="R131" s="2"/>
    </row>
    <row r="132" spans="1:19" ht="22.5" customHeight="1" x14ac:dyDescent="0.5">
      <c r="A132" s="23">
        <v>4</v>
      </c>
      <c r="B132" s="73" t="s">
        <v>277</v>
      </c>
      <c r="C132" s="25" t="s">
        <v>278</v>
      </c>
      <c r="D132" s="43">
        <v>6300</v>
      </c>
      <c r="E132" s="212"/>
      <c r="F132" s="213"/>
      <c r="G132" s="219">
        <v>0</v>
      </c>
      <c r="H132" s="219">
        <v>0</v>
      </c>
      <c r="I132" s="219">
        <v>0</v>
      </c>
      <c r="J132" s="30">
        <v>25145</v>
      </c>
      <c r="K132" s="31" t="s">
        <v>764</v>
      </c>
      <c r="L132" s="32">
        <v>6300</v>
      </c>
      <c r="M132" s="297"/>
      <c r="N132" s="216"/>
      <c r="O132" s="114">
        <f t="shared" si="7"/>
        <v>0</v>
      </c>
      <c r="P132" s="114">
        <v>0</v>
      </c>
      <c r="Q132" s="36">
        <f t="shared" si="8"/>
        <v>0</v>
      </c>
      <c r="R132" s="2"/>
    </row>
    <row r="133" spans="1:19" ht="22.5" customHeight="1" x14ac:dyDescent="0.5">
      <c r="A133" s="23"/>
      <c r="B133" s="301" t="s">
        <v>280</v>
      </c>
      <c r="C133" s="25"/>
      <c r="D133" s="43"/>
      <c r="E133" s="302"/>
      <c r="F133" s="303"/>
      <c r="G133" s="304">
        <v>0</v>
      </c>
      <c r="H133" s="304">
        <v>0</v>
      </c>
      <c r="I133" s="304">
        <v>0</v>
      </c>
      <c r="J133" s="30"/>
      <c r="K133" s="31"/>
      <c r="L133" s="32"/>
      <c r="M133" s="297"/>
      <c r="N133" s="216"/>
      <c r="O133" s="114">
        <f t="shared" si="7"/>
        <v>0</v>
      </c>
      <c r="P133" s="114">
        <v>0</v>
      </c>
      <c r="Q133" s="36">
        <f t="shared" si="8"/>
        <v>0</v>
      </c>
      <c r="R133" s="2"/>
    </row>
    <row r="134" spans="1:19" ht="22.5" customHeight="1" x14ac:dyDescent="0.5">
      <c r="A134" s="23">
        <v>1</v>
      </c>
      <c r="B134" s="73" t="s">
        <v>281</v>
      </c>
      <c r="C134" s="25" t="s">
        <v>282</v>
      </c>
      <c r="D134" s="43">
        <v>5600</v>
      </c>
      <c r="E134" s="212">
        <v>25112</v>
      </c>
      <c r="F134" s="213" t="s">
        <v>33</v>
      </c>
      <c r="G134" s="219">
        <v>5600</v>
      </c>
      <c r="H134" s="219">
        <v>0</v>
      </c>
      <c r="I134" s="219">
        <v>5600</v>
      </c>
      <c r="J134" s="30"/>
      <c r="K134" s="31"/>
      <c r="L134" s="32"/>
      <c r="M134" s="215" t="s">
        <v>716</v>
      </c>
      <c r="N134" s="216" t="s">
        <v>115</v>
      </c>
      <c r="O134" s="114">
        <f t="shared" si="7"/>
        <v>11200</v>
      </c>
      <c r="P134" s="114">
        <v>0</v>
      </c>
      <c r="Q134" s="36">
        <f t="shared" si="8"/>
        <v>11200</v>
      </c>
      <c r="R134" s="2"/>
    </row>
    <row r="135" spans="1:19" ht="22.5" customHeight="1" x14ac:dyDescent="0.5">
      <c r="A135" s="23">
        <v>2</v>
      </c>
      <c r="B135" s="73" t="s">
        <v>287</v>
      </c>
      <c r="C135" s="25" t="s">
        <v>288</v>
      </c>
      <c r="D135" s="43">
        <v>5600</v>
      </c>
      <c r="E135" s="212"/>
      <c r="F135" s="213"/>
      <c r="G135" s="219">
        <v>0</v>
      </c>
      <c r="H135" s="219">
        <v>0</v>
      </c>
      <c r="I135" s="219">
        <v>0</v>
      </c>
      <c r="J135" s="30"/>
      <c r="K135" s="31"/>
      <c r="L135" s="32"/>
      <c r="M135" s="215">
        <v>25143</v>
      </c>
      <c r="N135" s="216" t="s">
        <v>33</v>
      </c>
      <c r="O135" s="114">
        <f t="shared" si="7"/>
        <v>5600</v>
      </c>
      <c r="P135" s="114">
        <v>0</v>
      </c>
      <c r="Q135" s="36">
        <f t="shared" si="8"/>
        <v>5600</v>
      </c>
      <c r="R135" s="2"/>
    </row>
    <row r="136" spans="1:19" ht="22.5" customHeight="1" x14ac:dyDescent="0.5">
      <c r="A136" s="23">
        <v>3</v>
      </c>
      <c r="B136" s="73" t="s">
        <v>290</v>
      </c>
      <c r="C136" s="25" t="s">
        <v>291</v>
      </c>
      <c r="D136" s="43">
        <v>5600</v>
      </c>
      <c r="E136" s="212"/>
      <c r="F136" s="213"/>
      <c r="G136" s="219">
        <v>0</v>
      </c>
      <c r="H136" s="219">
        <v>0</v>
      </c>
      <c r="I136" s="219">
        <v>0</v>
      </c>
      <c r="J136" s="30">
        <v>25146</v>
      </c>
      <c r="K136" s="31" t="s">
        <v>764</v>
      </c>
      <c r="L136" s="32">
        <v>5600</v>
      </c>
      <c r="M136" s="215"/>
      <c r="N136" s="216"/>
      <c r="O136" s="114">
        <f t="shared" si="7"/>
        <v>0</v>
      </c>
      <c r="P136" s="114">
        <v>0</v>
      </c>
      <c r="Q136" s="36">
        <f t="shared" si="8"/>
        <v>0</v>
      </c>
      <c r="R136" s="2"/>
    </row>
    <row r="137" spans="1:19" ht="22.5" customHeight="1" x14ac:dyDescent="0.5">
      <c r="A137" s="23">
        <v>4</v>
      </c>
      <c r="B137" s="73" t="s">
        <v>293</v>
      </c>
      <c r="C137" s="25" t="s">
        <v>294</v>
      </c>
      <c r="D137" s="43">
        <v>2800</v>
      </c>
      <c r="E137" s="212"/>
      <c r="F137" s="213"/>
      <c r="G137" s="219">
        <v>0</v>
      </c>
      <c r="H137" s="219">
        <v>0</v>
      </c>
      <c r="I137" s="219">
        <v>0</v>
      </c>
      <c r="J137" s="30">
        <v>25147</v>
      </c>
      <c r="K137" s="31" t="s">
        <v>765</v>
      </c>
      <c r="L137" s="32">
        <v>2800</v>
      </c>
      <c r="M137" s="215"/>
      <c r="N137" s="216"/>
      <c r="O137" s="114">
        <f t="shared" si="7"/>
        <v>0</v>
      </c>
      <c r="P137" s="114">
        <v>0</v>
      </c>
      <c r="Q137" s="36">
        <f t="shared" si="8"/>
        <v>0</v>
      </c>
      <c r="R137" s="2"/>
    </row>
    <row r="138" spans="1:19" ht="22.5" customHeight="1" x14ac:dyDescent="0.5">
      <c r="A138" s="23">
        <v>5</v>
      </c>
      <c r="B138" s="73" t="s">
        <v>296</v>
      </c>
      <c r="C138" s="25" t="s">
        <v>297</v>
      </c>
      <c r="D138" s="43">
        <v>5600</v>
      </c>
      <c r="E138" s="212"/>
      <c r="F138" s="213"/>
      <c r="G138" s="219">
        <v>0</v>
      </c>
      <c r="H138" s="219">
        <v>0</v>
      </c>
      <c r="I138" s="219">
        <v>0</v>
      </c>
      <c r="J138" s="30">
        <v>25166</v>
      </c>
      <c r="K138" s="31" t="s">
        <v>766</v>
      </c>
      <c r="L138" s="32">
        <v>5600</v>
      </c>
      <c r="M138" s="297"/>
      <c r="N138" s="216"/>
      <c r="O138" s="114">
        <f t="shared" si="7"/>
        <v>0</v>
      </c>
      <c r="P138" s="114">
        <v>0</v>
      </c>
      <c r="Q138" s="36">
        <f t="shared" si="8"/>
        <v>0</v>
      </c>
      <c r="R138" s="2"/>
      <c r="S138" s="3">
        <v>700</v>
      </c>
    </row>
    <row r="139" spans="1:19" ht="22.5" customHeight="1" x14ac:dyDescent="0.5">
      <c r="A139" s="23"/>
      <c r="B139" s="301" t="s">
        <v>299</v>
      </c>
      <c r="C139" s="25"/>
      <c r="D139" s="43"/>
      <c r="E139" s="302"/>
      <c r="F139" s="303"/>
      <c r="G139" s="304">
        <v>0</v>
      </c>
      <c r="H139" s="304">
        <v>0</v>
      </c>
      <c r="I139" s="304">
        <v>0</v>
      </c>
      <c r="J139" s="30"/>
      <c r="K139" s="31"/>
      <c r="L139" s="32"/>
      <c r="M139" s="297"/>
      <c r="N139" s="216"/>
      <c r="O139" s="114">
        <f t="shared" si="7"/>
        <v>0</v>
      </c>
      <c r="P139" s="114">
        <v>0</v>
      </c>
      <c r="Q139" s="36">
        <f t="shared" si="8"/>
        <v>0</v>
      </c>
      <c r="R139" s="2"/>
    </row>
    <row r="140" spans="1:19" ht="22.5" customHeight="1" x14ac:dyDescent="0.5">
      <c r="A140" s="208">
        <v>1</v>
      </c>
      <c r="B140" s="209" t="s">
        <v>300</v>
      </c>
      <c r="C140" s="210" t="s">
        <v>301</v>
      </c>
      <c r="D140" s="298">
        <v>5600</v>
      </c>
      <c r="E140" s="299">
        <v>25112</v>
      </c>
      <c r="F140" s="300" t="s">
        <v>33</v>
      </c>
      <c r="G140" s="214">
        <v>5600</v>
      </c>
      <c r="H140" s="214">
        <v>0</v>
      </c>
      <c r="I140" s="214">
        <v>5600</v>
      </c>
      <c r="J140" s="30">
        <v>25162</v>
      </c>
      <c r="K140" s="31" t="s">
        <v>767</v>
      </c>
      <c r="L140" s="32">
        <v>5600</v>
      </c>
      <c r="M140" s="215">
        <v>25143</v>
      </c>
      <c r="N140" s="216" t="s">
        <v>33</v>
      </c>
      <c r="O140" s="114">
        <f t="shared" si="7"/>
        <v>5600</v>
      </c>
      <c r="P140" s="114">
        <v>0</v>
      </c>
      <c r="Q140" s="36">
        <f t="shared" si="8"/>
        <v>5600</v>
      </c>
      <c r="R140" s="2"/>
    </row>
    <row r="141" spans="1:19" ht="22.5" customHeight="1" x14ac:dyDescent="0.5">
      <c r="A141" s="208">
        <v>2</v>
      </c>
      <c r="B141" s="209" t="s">
        <v>303</v>
      </c>
      <c r="C141" s="210" t="s">
        <v>304</v>
      </c>
      <c r="D141" s="298">
        <v>2800</v>
      </c>
      <c r="E141" s="299">
        <v>25112</v>
      </c>
      <c r="F141" s="300" t="s">
        <v>33</v>
      </c>
      <c r="G141" s="214">
        <v>2800</v>
      </c>
      <c r="H141" s="214">
        <v>0</v>
      </c>
      <c r="I141" s="214">
        <v>2800</v>
      </c>
      <c r="J141" s="30" t="s">
        <v>768</v>
      </c>
      <c r="K141" s="249" t="s">
        <v>769</v>
      </c>
      <c r="L141" s="221">
        <v>5600</v>
      </c>
      <c r="M141" s="215"/>
      <c r="N141" s="216"/>
      <c r="O141" s="114">
        <f t="shared" si="7"/>
        <v>0</v>
      </c>
      <c r="P141" s="114">
        <v>0</v>
      </c>
      <c r="Q141" s="36">
        <f t="shared" si="8"/>
        <v>0</v>
      </c>
      <c r="R141" s="2"/>
    </row>
    <row r="142" spans="1:19" ht="22.5" customHeight="1" x14ac:dyDescent="0.5">
      <c r="A142" s="208">
        <v>3</v>
      </c>
      <c r="B142" s="209" t="s">
        <v>306</v>
      </c>
      <c r="C142" s="210" t="s">
        <v>307</v>
      </c>
      <c r="D142" s="298">
        <v>5600</v>
      </c>
      <c r="E142" s="299"/>
      <c r="F142" s="300"/>
      <c r="G142" s="214">
        <v>0</v>
      </c>
      <c r="H142" s="214">
        <v>0</v>
      </c>
      <c r="I142" s="214">
        <v>0</v>
      </c>
      <c r="J142" s="30">
        <v>25166</v>
      </c>
      <c r="K142" s="31" t="s">
        <v>766</v>
      </c>
      <c r="L142" s="32">
        <v>5600</v>
      </c>
      <c r="M142" s="215"/>
      <c r="N142" s="216"/>
      <c r="O142" s="114">
        <f t="shared" si="7"/>
        <v>0</v>
      </c>
      <c r="P142" s="114">
        <v>0</v>
      </c>
      <c r="Q142" s="36">
        <f t="shared" si="8"/>
        <v>0</v>
      </c>
      <c r="R142" s="218"/>
      <c r="S142" s="309"/>
    </row>
    <row r="143" spans="1:19" ht="22.5" customHeight="1" x14ac:dyDescent="0.5">
      <c r="A143" s="208">
        <v>4</v>
      </c>
      <c r="B143" s="73" t="s">
        <v>308</v>
      </c>
      <c r="C143" s="25" t="s">
        <v>309</v>
      </c>
      <c r="D143" s="43">
        <v>8400</v>
      </c>
      <c r="E143" s="212">
        <v>25112</v>
      </c>
      <c r="F143" s="213" t="s">
        <v>33</v>
      </c>
      <c r="G143" s="219">
        <v>8400</v>
      </c>
      <c r="H143" s="219">
        <v>0</v>
      </c>
      <c r="I143" s="219">
        <v>8400</v>
      </c>
      <c r="J143" s="30" t="s">
        <v>770</v>
      </c>
      <c r="K143" s="31" t="s">
        <v>771</v>
      </c>
      <c r="L143" s="32">
        <v>16800</v>
      </c>
      <c r="M143" s="215"/>
      <c r="N143" s="216"/>
      <c r="O143" s="114">
        <f t="shared" si="7"/>
        <v>0</v>
      </c>
      <c r="P143" s="114">
        <v>0</v>
      </c>
      <c r="Q143" s="36">
        <f t="shared" si="8"/>
        <v>0</v>
      </c>
    </row>
    <row r="144" spans="1:19" ht="22.5" customHeight="1" x14ac:dyDescent="0.5">
      <c r="A144" s="208">
        <v>5</v>
      </c>
      <c r="B144" s="73" t="s">
        <v>261</v>
      </c>
      <c r="C144" s="25" t="s">
        <v>311</v>
      </c>
      <c r="D144" s="43">
        <v>2800</v>
      </c>
      <c r="E144" s="212"/>
      <c r="F144" s="213"/>
      <c r="G144" s="219">
        <v>0</v>
      </c>
      <c r="H144" s="219">
        <v>0</v>
      </c>
      <c r="I144" s="219">
        <v>0</v>
      </c>
      <c r="J144" s="30">
        <v>25162</v>
      </c>
      <c r="K144" s="31" t="s">
        <v>760</v>
      </c>
      <c r="L144" s="32">
        <v>2800</v>
      </c>
      <c r="M144" s="215"/>
      <c r="N144" s="216"/>
      <c r="O144" s="114">
        <f t="shared" si="7"/>
        <v>0</v>
      </c>
      <c r="P144" s="114">
        <v>0</v>
      </c>
      <c r="Q144" s="36">
        <f t="shared" si="8"/>
        <v>0</v>
      </c>
    </row>
    <row r="145" spans="1:17" ht="22.5" customHeight="1" x14ac:dyDescent="0.5">
      <c r="A145" s="148">
        <v>6</v>
      </c>
      <c r="B145" s="310" t="s">
        <v>261</v>
      </c>
      <c r="C145" s="311" t="s">
        <v>312</v>
      </c>
      <c r="D145" s="312">
        <v>2800</v>
      </c>
      <c r="E145" s="27"/>
      <c r="F145" s="75"/>
      <c r="G145" s="76">
        <v>0</v>
      </c>
      <c r="H145" s="76">
        <v>0</v>
      </c>
      <c r="I145" s="76">
        <v>0</v>
      </c>
      <c r="J145" s="30">
        <v>25162</v>
      </c>
      <c r="K145" s="31" t="s">
        <v>760</v>
      </c>
      <c r="L145" s="32">
        <v>2800</v>
      </c>
      <c r="M145" s="215"/>
      <c r="N145" s="216"/>
      <c r="O145" s="114">
        <f t="shared" si="7"/>
        <v>0</v>
      </c>
      <c r="P145" s="114">
        <v>0</v>
      </c>
      <c r="Q145" s="36">
        <f t="shared" si="8"/>
        <v>0</v>
      </c>
    </row>
    <row r="146" spans="1:17" ht="22.5" customHeight="1" x14ac:dyDescent="0.5">
      <c r="A146" s="208">
        <v>7</v>
      </c>
      <c r="B146" s="73" t="s">
        <v>313</v>
      </c>
      <c r="C146" s="25" t="s">
        <v>314</v>
      </c>
      <c r="D146" s="43">
        <v>2800</v>
      </c>
      <c r="E146" s="212">
        <v>25112</v>
      </c>
      <c r="F146" s="213" t="s">
        <v>33</v>
      </c>
      <c r="G146" s="219">
        <v>2800</v>
      </c>
      <c r="H146" s="219">
        <v>0</v>
      </c>
      <c r="I146" s="219">
        <v>2800</v>
      </c>
      <c r="J146" s="30" t="s">
        <v>757</v>
      </c>
      <c r="K146" s="31" t="s">
        <v>758</v>
      </c>
      <c r="L146" s="32">
        <v>5600</v>
      </c>
      <c r="M146" s="215"/>
      <c r="N146" s="216"/>
      <c r="O146" s="114">
        <f t="shared" si="7"/>
        <v>0</v>
      </c>
      <c r="P146" s="114">
        <v>0</v>
      </c>
      <c r="Q146" s="36">
        <f t="shared" si="8"/>
        <v>0</v>
      </c>
    </row>
    <row r="147" spans="1:17" ht="22.5" customHeight="1" x14ac:dyDescent="0.5">
      <c r="A147" s="23"/>
      <c r="B147" s="301" t="s">
        <v>315</v>
      </c>
      <c r="C147" s="25"/>
      <c r="D147" s="43"/>
      <c r="E147" s="302"/>
      <c r="F147" s="303"/>
      <c r="G147" s="304">
        <v>0</v>
      </c>
      <c r="H147" s="304">
        <v>0</v>
      </c>
      <c r="I147" s="304">
        <v>0</v>
      </c>
      <c r="J147" s="30"/>
      <c r="K147" s="31"/>
      <c r="L147" s="32"/>
      <c r="M147" s="297"/>
      <c r="N147" s="216"/>
      <c r="O147" s="114">
        <f t="shared" si="7"/>
        <v>0</v>
      </c>
      <c r="P147" s="114">
        <v>0</v>
      </c>
      <c r="Q147" s="36">
        <f t="shared" si="8"/>
        <v>0</v>
      </c>
    </row>
    <row r="148" spans="1:17" ht="22.5" customHeight="1" x14ac:dyDescent="0.5">
      <c r="A148" s="23">
        <v>1</v>
      </c>
      <c r="B148" s="73" t="s">
        <v>261</v>
      </c>
      <c r="C148" s="25" t="s">
        <v>316</v>
      </c>
      <c r="D148" s="43">
        <v>2800</v>
      </c>
      <c r="E148" s="212"/>
      <c r="F148" s="213"/>
      <c r="G148" s="219">
        <v>0</v>
      </c>
      <c r="H148" s="219">
        <v>0</v>
      </c>
      <c r="I148" s="219">
        <v>0</v>
      </c>
      <c r="J148" s="30">
        <v>25162</v>
      </c>
      <c r="K148" s="31" t="s">
        <v>760</v>
      </c>
      <c r="L148" s="32">
        <v>2800</v>
      </c>
      <c r="M148" s="215"/>
      <c r="N148" s="216"/>
      <c r="O148" s="114">
        <f t="shared" si="7"/>
        <v>0</v>
      </c>
      <c r="P148" s="114">
        <v>0</v>
      </c>
      <c r="Q148" s="36">
        <f t="shared" si="8"/>
        <v>0</v>
      </c>
    </row>
    <row r="149" spans="1:17" ht="22.5" customHeight="1" x14ac:dyDescent="0.5">
      <c r="A149" s="23">
        <v>2</v>
      </c>
      <c r="B149" s="73" t="s">
        <v>317</v>
      </c>
      <c r="C149" s="25" t="s">
        <v>318</v>
      </c>
      <c r="D149" s="43">
        <v>2800</v>
      </c>
      <c r="E149" s="212"/>
      <c r="F149" s="213"/>
      <c r="G149" s="313">
        <v>0</v>
      </c>
      <c r="H149" s="219">
        <v>0</v>
      </c>
      <c r="I149" s="313">
        <v>0</v>
      </c>
      <c r="J149" s="30">
        <v>25146</v>
      </c>
      <c r="K149" s="31" t="s">
        <v>772</v>
      </c>
      <c r="L149" s="32">
        <v>2800</v>
      </c>
      <c r="M149" s="307"/>
      <c r="N149" s="307"/>
      <c r="O149" s="114">
        <f t="shared" si="7"/>
        <v>0</v>
      </c>
      <c r="P149" s="114">
        <v>0</v>
      </c>
      <c r="Q149" s="36">
        <f t="shared" si="8"/>
        <v>0</v>
      </c>
    </row>
    <row r="150" spans="1:17" ht="22.5" customHeight="1" x14ac:dyDescent="0.5">
      <c r="A150" s="23">
        <v>3</v>
      </c>
      <c r="B150" s="73" t="s">
        <v>320</v>
      </c>
      <c r="C150" s="25" t="s">
        <v>321</v>
      </c>
      <c r="D150" s="43">
        <v>2800</v>
      </c>
      <c r="E150" s="212"/>
      <c r="F150" s="213"/>
      <c r="G150" s="219">
        <v>0</v>
      </c>
      <c r="H150" s="219">
        <v>0</v>
      </c>
      <c r="I150" s="219">
        <v>0</v>
      </c>
      <c r="J150" s="30">
        <v>25166</v>
      </c>
      <c r="K150" s="31" t="s">
        <v>773</v>
      </c>
      <c r="L150" s="32">
        <v>2800</v>
      </c>
      <c r="M150" s="307"/>
      <c r="N150" s="308"/>
      <c r="O150" s="114">
        <f t="shared" si="7"/>
        <v>0</v>
      </c>
      <c r="P150" s="114">
        <v>0</v>
      </c>
      <c r="Q150" s="36">
        <f t="shared" si="8"/>
        <v>0</v>
      </c>
    </row>
    <row r="151" spans="1:17" ht="22.5" customHeight="1" x14ac:dyDescent="0.5">
      <c r="A151" s="23">
        <v>4</v>
      </c>
      <c r="B151" s="73" t="s">
        <v>322</v>
      </c>
      <c r="C151" s="25" t="s">
        <v>323</v>
      </c>
      <c r="D151" s="43">
        <v>5600</v>
      </c>
      <c r="E151" s="212" t="s">
        <v>618</v>
      </c>
      <c r="F151" s="213"/>
      <c r="G151" s="219">
        <v>-11200</v>
      </c>
      <c r="H151" s="219">
        <v>0</v>
      </c>
      <c r="I151" s="219">
        <v>-11200</v>
      </c>
      <c r="J151" s="30">
        <v>25170</v>
      </c>
      <c r="K151" s="31" t="s">
        <v>774</v>
      </c>
      <c r="L151" s="32">
        <v>5600</v>
      </c>
      <c r="M151" s="314"/>
      <c r="N151" s="315"/>
      <c r="O151" s="114">
        <f t="shared" si="7"/>
        <v>-11200</v>
      </c>
      <c r="P151" s="114">
        <v>0</v>
      </c>
      <c r="Q151" s="36">
        <f t="shared" si="8"/>
        <v>-11200</v>
      </c>
    </row>
    <row r="152" spans="1:17" ht="22.5" customHeight="1" x14ac:dyDescent="0.5">
      <c r="A152" s="23">
        <v>5</v>
      </c>
      <c r="B152" s="73" t="s">
        <v>293</v>
      </c>
      <c r="C152" s="25" t="s">
        <v>326</v>
      </c>
      <c r="D152" s="43">
        <v>5600</v>
      </c>
      <c r="E152" s="212"/>
      <c r="F152" s="213"/>
      <c r="G152" s="219">
        <v>0</v>
      </c>
      <c r="H152" s="219">
        <v>0</v>
      </c>
      <c r="I152" s="219">
        <v>0</v>
      </c>
      <c r="J152" s="30">
        <v>25147</v>
      </c>
      <c r="K152" s="31" t="s">
        <v>765</v>
      </c>
      <c r="L152" s="32">
        <v>5600</v>
      </c>
      <c r="M152" s="215"/>
      <c r="N152" s="216"/>
      <c r="O152" s="114">
        <f t="shared" si="7"/>
        <v>0</v>
      </c>
      <c r="P152" s="114">
        <v>0</v>
      </c>
      <c r="Q152" s="36">
        <f t="shared" si="8"/>
        <v>0</v>
      </c>
    </row>
    <row r="153" spans="1:17" ht="22.5" customHeight="1" x14ac:dyDescent="0.5">
      <c r="A153" s="23">
        <v>6</v>
      </c>
      <c r="B153" s="73" t="s">
        <v>293</v>
      </c>
      <c r="C153" s="25" t="s">
        <v>327</v>
      </c>
      <c r="D153" s="43">
        <v>5600</v>
      </c>
      <c r="E153" s="212"/>
      <c r="F153" s="213"/>
      <c r="G153" s="219">
        <v>0</v>
      </c>
      <c r="H153" s="219">
        <v>0</v>
      </c>
      <c r="I153" s="219">
        <v>0</v>
      </c>
      <c r="J153" s="30">
        <v>25147</v>
      </c>
      <c r="K153" s="31" t="s">
        <v>765</v>
      </c>
      <c r="L153" s="32">
        <v>5600</v>
      </c>
      <c r="M153" s="215"/>
      <c r="N153" s="216"/>
      <c r="O153" s="114">
        <f t="shared" si="7"/>
        <v>0</v>
      </c>
      <c r="P153" s="114">
        <v>0</v>
      </c>
      <c r="Q153" s="36">
        <f t="shared" si="8"/>
        <v>0</v>
      </c>
    </row>
    <row r="154" spans="1:17" s="60" customFormat="1" ht="22.5" customHeight="1" thickBot="1" x14ac:dyDescent="0.35">
      <c r="A154" s="317"/>
      <c r="B154" s="317" t="s">
        <v>15</v>
      </c>
      <c r="C154" s="318"/>
      <c r="D154" s="319">
        <f>SUM(D113:D153)</f>
        <v>222950</v>
      </c>
      <c r="E154" s="320"/>
      <c r="F154" s="321"/>
      <c r="G154" s="319">
        <f>SUM(G113:G153)-G151</f>
        <v>63000</v>
      </c>
      <c r="H154" s="319">
        <f>SUM(H113:H153)-H151</f>
        <v>0</v>
      </c>
      <c r="I154" s="319">
        <f>SUM(I113:I153)-I151</f>
        <v>63000</v>
      </c>
      <c r="J154" s="322"/>
      <c r="K154" s="322"/>
      <c r="L154" s="323">
        <f>SUM(L113:L153)</f>
        <v>206850</v>
      </c>
      <c r="M154" s="324"/>
      <c r="N154" s="325"/>
      <c r="O154" s="323">
        <f>SUM(O113:O153)-O151</f>
        <v>79100</v>
      </c>
      <c r="P154" s="323">
        <f>SUM(P113:P153)-P151</f>
        <v>0</v>
      </c>
      <c r="Q154" s="323">
        <f>SUM(Q113:Q153)-Q151</f>
        <v>79100</v>
      </c>
    </row>
    <row r="155" spans="1:17" ht="22.5" customHeight="1" thickTop="1" x14ac:dyDescent="0.5">
      <c r="A155" s="61"/>
      <c r="B155" s="327" t="s">
        <v>328</v>
      </c>
      <c r="C155" s="63"/>
      <c r="D155" s="64"/>
      <c r="E155" s="65"/>
      <c r="F155" s="66"/>
      <c r="G155" s="67"/>
      <c r="H155" s="67"/>
      <c r="I155" s="67"/>
      <c r="J155" s="286"/>
      <c r="K155" s="286"/>
      <c r="L155" s="328"/>
      <c r="M155" s="69"/>
      <c r="N155" s="70"/>
      <c r="O155" s="71"/>
      <c r="P155" s="71"/>
      <c r="Q155" s="72"/>
    </row>
    <row r="156" spans="1:17" ht="22.5" customHeight="1" x14ac:dyDescent="0.5">
      <c r="A156" s="23">
        <v>1</v>
      </c>
      <c r="B156" s="24" t="s">
        <v>329</v>
      </c>
      <c r="C156" s="25" t="s">
        <v>330</v>
      </c>
      <c r="D156" s="43">
        <v>130536.37</v>
      </c>
      <c r="E156" s="212"/>
      <c r="F156" s="213"/>
      <c r="G156" s="219">
        <v>0</v>
      </c>
      <c r="H156" s="329">
        <v>0</v>
      </c>
      <c r="I156" s="329">
        <v>0</v>
      </c>
      <c r="J156" s="30">
        <v>24797</v>
      </c>
      <c r="K156" s="31" t="s">
        <v>775</v>
      </c>
      <c r="L156" s="32">
        <v>130536.37</v>
      </c>
      <c r="M156" s="41"/>
      <c r="N156" s="34"/>
      <c r="O156" s="330">
        <f>SUM(D156+I156-L156)</f>
        <v>0</v>
      </c>
      <c r="P156" s="330">
        <v>0</v>
      </c>
      <c r="Q156" s="36">
        <f>SUM(D156+I156-L156)</f>
        <v>0</v>
      </c>
    </row>
    <row r="157" spans="1:17" ht="22.5" customHeight="1" x14ac:dyDescent="0.5">
      <c r="A157" s="23">
        <v>2</v>
      </c>
      <c r="B157" s="24" t="s">
        <v>329</v>
      </c>
      <c r="C157" s="25" t="s">
        <v>331</v>
      </c>
      <c r="D157" s="64">
        <v>96520.67</v>
      </c>
      <c r="E157" s="212"/>
      <c r="F157" s="213"/>
      <c r="G157" s="219">
        <v>0</v>
      </c>
      <c r="H157" s="329">
        <v>0</v>
      </c>
      <c r="I157" s="329">
        <v>0</v>
      </c>
      <c r="J157" s="30">
        <v>25163</v>
      </c>
      <c r="K157" s="31" t="s">
        <v>776</v>
      </c>
      <c r="L157" s="32">
        <v>96520.67</v>
      </c>
      <c r="M157" s="41"/>
      <c r="N157" s="34"/>
      <c r="O157" s="330">
        <f t="shared" ref="O157:O163" si="9">SUM(D157+I157-L157)</f>
        <v>0</v>
      </c>
      <c r="P157" s="330">
        <v>0</v>
      </c>
      <c r="Q157" s="36">
        <f t="shared" ref="Q157:Q163" si="10">SUM(D157+I157-L157)</f>
        <v>0</v>
      </c>
    </row>
    <row r="158" spans="1:17" ht="22.5" customHeight="1" x14ac:dyDescent="0.5">
      <c r="A158" s="23">
        <v>3</v>
      </c>
      <c r="B158" s="24" t="s">
        <v>332</v>
      </c>
      <c r="C158" s="25" t="s">
        <v>333</v>
      </c>
      <c r="D158" s="43">
        <v>63810</v>
      </c>
      <c r="E158" s="212"/>
      <c r="F158" s="213"/>
      <c r="G158" s="329">
        <v>0</v>
      </c>
      <c r="H158" s="329">
        <v>0</v>
      </c>
      <c r="I158" s="329">
        <v>0</v>
      </c>
      <c r="J158" s="30">
        <v>25147</v>
      </c>
      <c r="K158" s="31" t="s">
        <v>777</v>
      </c>
      <c r="L158" s="32">
        <v>63810</v>
      </c>
      <c r="M158" s="41"/>
      <c r="N158" s="34"/>
      <c r="O158" s="330">
        <f t="shared" si="9"/>
        <v>0</v>
      </c>
      <c r="P158" s="330">
        <v>0</v>
      </c>
      <c r="Q158" s="36">
        <f t="shared" si="10"/>
        <v>0</v>
      </c>
    </row>
    <row r="159" spans="1:17" ht="22.5" customHeight="1" x14ac:dyDescent="0.5">
      <c r="A159" s="331">
        <v>4</v>
      </c>
      <c r="B159" s="332" t="s">
        <v>335</v>
      </c>
      <c r="C159" s="81" t="s">
        <v>336</v>
      </c>
      <c r="D159" s="333">
        <v>60170</v>
      </c>
      <c r="E159" s="234"/>
      <c r="F159" s="228"/>
      <c r="G159" s="334">
        <v>0</v>
      </c>
      <c r="H159" s="334">
        <v>0</v>
      </c>
      <c r="I159" s="334">
        <v>0</v>
      </c>
      <c r="J159" s="335">
        <v>25159</v>
      </c>
      <c r="K159" s="336" t="s">
        <v>778</v>
      </c>
      <c r="L159" s="337">
        <v>60170</v>
      </c>
      <c r="M159" s="338"/>
      <c r="N159" s="112"/>
      <c r="O159" s="330">
        <f t="shared" si="9"/>
        <v>0</v>
      </c>
      <c r="P159" s="339">
        <v>0</v>
      </c>
      <c r="Q159" s="36">
        <f t="shared" si="10"/>
        <v>0</v>
      </c>
    </row>
    <row r="160" spans="1:17" ht="22.5" customHeight="1" x14ac:dyDescent="0.5">
      <c r="A160" s="23">
        <v>5</v>
      </c>
      <c r="B160" s="24" t="s">
        <v>338</v>
      </c>
      <c r="C160" s="25" t="s">
        <v>339</v>
      </c>
      <c r="D160" s="341">
        <v>23527.65</v>
      </c>
      <c r="E160" s="212"/>
      <c r="F160" s="213"/>
      <c r="G160" s="219">
        <v>0</v>
      </c>
      <c r="H160" s="329">
        <v>0</v>
      </c>
      <c r="I160" s="329">
        <v>0</v>
      </c>
      <c r="J160" s="335">
        <v>25147</v>
      </c>
      <c r="K160" s="336" t="s">
        <v>778</v>
      </c>
      <c r="L160" s="342">
        <v>23527.65</v>
      </c>
      <c r="M160" s="41"/>
      <c r="N160" s="34"/>
      <c r="O160" s="330">
        <f t="shared" si="9"/>
        <v>0</v>
      </c>
      <c r="P160" s="330">
        <v>0</v>
      </c>
      <c r="Q160" s="36">
        <f t="shared" si="10"/>
        <v>0</v>
      </c>
    </row>
    <row r="161" spans="1:17" ht="22.5" customHeight="1" x14ac:dyDescent="0.5">
      <c r="A161" s="61">
        <v>6</v>
      </c>
      <c r="B161" s="343" t="s">
        <v>341</v>
      </c>
      <c r="C161" s="165" t="s">
        <v>342</v>
      </c>
      <c r="D161" s="344">
        <v>20715.32</v>
      </c>
      <c r="E161" s="167"/>
      <c r="F161" s="213"/>
      <c r="G161" s="219">
        <v>0</v>
      </c>
      <c r="H161" s="329">
        <v>0</v>
      </c>
      <c r="I161" s="329">
        <v>0</v>
      </c>
      <c r="J161" s="345">
        <v>25172</v>
      </c>
      <c r="K161" s="346" t="s">
        <v>779</v>
      </c>
      <c r="L161" s="347">
        <v>20715.32</v>
      </c>
      <c r="M161" s="41"/>
      <c r="N161" s="34"/>
      <c r="O161" s="330">
        <f t="shared" si="9"/>
        <v>0</v>
      </c>
      <c r="P161" s="330">
        <v>0</v>
      </c>
      <c r="Q161" s="36">
        <f t="shared" si="10"/>
        <v>0</v>
      </c>
    </row>
    <row r="162" spans="1:17" ht="22.5" customHeight="1" x14ac:dyDescent="0.5">
      <c r="A162" s="331">
        <v>7</v>
      </c>
      <c r="B162" s="332" t="s">
        <v>344</v>
      </c>
      <c r="C162" s="81" t="s">
        <v>345</v>
      </c>
      <c r="D162" s="348">
        <v>21986</v>
      </c>
      <c r="E162" s="349" t="s">
        <v>559</v>
      </c>
      <c r="F162" s="213" t="s">
        <v>33</v>
      </c>
      <c r="G162" s="219">
        <v>21986</v>
      </c>
      <c r="H162" s="329">
        <v>0</v>
      </c>
      <c r="I162" s="329">
        <v>21986</v>
      </c>
      <c r="J162" s="182" t="s">
        <v>685</v>
      </c>
      <c r="K162" s="350" t="s">
        <v>780</v>
      </c>
      <c r="L162" s="337">
        <v>43972</v>
      </c>
      <c r="M162" s="41"/>
      <c r="N162" s="34"/>
      <c r="O162" s="330">
        <f t="shared" si="9"/>
        <v>0</v>
      </c>
      <c r="P162" s="339">
        <v>0</v>
      </c>
      <c r="Q162" s="36">
        <f t="shared" si="10"/>
        <v>0</v>
      </c>
    </row>
    <row r="163" spans="1:17" s="356" customFormat="1" ht="22.5" customHeight="1" x14ac:dyDescent="0.5">
      <c r="A163" s="253">
        <v>8</v>
      </c>
      <c r="B163" s="24" t="s">
        <v>347</v>
      </c>
      <c r="C163" s="351" t="s">
        <v>348</v>
      </c>
      <c r="D163" s="352">
        <v>20000</v>
      </c>
      <c r="E163" s="353"/>
      <c r="F163" s="228"/>
      <c r="G163" s="329">
        <v>0</v>
      </c>
      <c r="H163" s="329">
        <v>0</v>
      </c>
      <c r="I163" s="329">
        <v>0</v>
      </c>
      <c r="J163" s="30">
        <v>25163</v>
      </c>
      <c r="K163" s="31" t="s">
        <v>781</v>
      </c>
      <c r="L163" s="32">
        <v>20000</v>
      </c>
      <c r="M163" s="354"/>
      <c r="N163" s="355"/>
      <c r="O163" s="330">
        <f t="shared" si="9"/>
        <v>0</v>
      </c>
      <c r="P163" s="330">
        <v>0</v>
      </c>
      <c r="Q163" s="36">
        <f t="shared" si="10"/>
        <v>0</v>
      </c>
    </row>
    <row r="164" spans="1:17" s="60" customFormat="1" ht="22.5" customHeight="1" thickBot="1" x14ac:dyDescent="0.35">
      <c r="A164" s="317"/>
      <c r="B164" s="317" t="s">
        <v>15</v>
      </c>
      <c r="C164" s="357"/>
      <c r="D164" s="358">
        <f>SUM(D156:D163)</f>
        <v>437266.01</v>
      </c>
      <c r="E164" s="320"/>
      <c r="F164" s="321"/>
      <c r="G164" s="359">
        <f>SUM(G156:G163)</f>
        <v>21986</v>
      </c>
      <c r="H164" s="359">
        <f>SUM(H156:H163)</f>
        <v>0</v>
      </c>
      <c r="I164" s="359">
        <f>SUM(I156:I163)</f>
        <v>21986</v>
      </c>
      <c r="J164" s="360"/>
      <c r="K164" s="361"/>
      <c r="L164" s="358">
        <f>SUM(L156:L163)</f>
        <v>459252.01</v>
      </c>
      <c r="M164" s="362"/>
      <c r="N164" s="363"/>
      <c r="O164" s="364">
        <f>SUM(O156:O163)</f>
        <v>0</v>
      </c>
      <c r="P164" s="364">
        <f>SUM(P156:P163)</f>
        <v>0</v>
      </c>
      <c r="Q164" s="364">
        <f>SUM(Q156:Q163)</f>
        <v>0</v>
      </c>
    </row>
    <row r="165" spans="1:17" ht="22.5" customHeight="1" thickTop="1" x14ac:dyDescent="0.3">
      <c r="A165" s="115"/>
      <c r="B165" s="164" t="s">
        <v>350</v>
      </c>
      <c r="C165" s="366"/>
      <c r="D165" s="86"/>
      <c r="E165" s="167"/>
      <c r="F165" s="168"/>
      <c r="G165" s="255"/>
      <c r="H165" s="255"/>
      <c r="I165" s="255"/>
      <c r="J165" s="367"/>
      <c r="K165" s="368"/>
      <c r="L165" s="369"/>
      <c r="M165" s="117"/>
      <c r="N165" s="118"/>
      <c r="O165" s="172"/>
      <c r="P165" s="172"/>
      <c r="Q165" s="370"/>
    </row>
    <row r="166" spans="1:17" ht="22.5" customHeight="1" x14ac:dyDescent="0.5">
      <c r="A166" s="23">
        <v>1</v>
      </c>
      <c r="B166" s="290" t="s">
        <v>147</v>
      </c>
      <c r="C166" s="371" t="s">
        <v>351</v>
      </c>
      <c r="D166" s="43">
        <v>1400</v>
      </c>
      <c r="E166" s="212"/>
      <c r="F166" s="213"/>
      <c r="G166" s="219">
        <v>0</v>
      </c>
      <c r="H166" s="219">
        <v>0</v>
      </c>
      <c r="I166" s="219">
        <v>0</v>
      </c>
      <c r="J166" s="30">
        <v>25149</v>
      </c>
      <c r="K166" s="220" t="s">
        <v>782</v>
      </c>
      <c r="L166" s="221">
        <v>1400</v>
      </c>
      <c r="M166" s="372"/>
      <c r="N166" s="373"/>
      <c r="O166" s="114">
        <f t="shared" ref="O166:O171" si="11">SUM(D166+I166-L166)</f>
        <v>0</v>
      </c>
      <c r="P166" s="114">
        <v>0</v>
      </c>
      <c r="Q166" s="36">
        <f t="shared" ref="Q166:Q171" si="12">SUM(O166)</f>
        <v>0</v>
      </c>
    </row>
    <row r="167" spans="1:17" ht="22.5" customHeight="1" x14ac:dyDescent="0.5">
      <c r="A167" s="23">
        <v>2</v>
      </c>
      <c r="B167" s="290" t="s">
        <v>353</v>
      </c>
      <c r="C167" s="371" t="s">
        <v>354</v>
      </c>
      <c r="D167" s="43">
        <v>11000</v>
      </c>
      <c r="E167" s="212" t="s">
        <v>559</v>
      </c>
      <c r="F167" s="213" t="s">
        <v>33</v>
      </c>
      <c r="G167" s="219">
        <v>11000</v>
      </c>
      <c r="H167" s="219">
        <v>1</v>
      </c>
      <c r="I167" s="219">
        <v>11000</v>
      </c>
      <c r="J167" s="30">
        <v>25145</v>
      </c>
      <c r="K167" s="220" t="s">
        <v>783</v>
      </c>
      <c r="L167" s="221">
        <v>22000</v>
      </c>
      <c r="M167" s="215"/>
      <c r="N167" s="216"/>
      <c r="O167" s="114">
        <f t="shared" si="11"/>
        <v>0</v>
      </c>
      <c r="P167" s="114">
        <v>1</v>
      </c>
      <c r="Q167" s="36">
        <f t="shared" si="12"/>
        <v>0</v>
      </c>
    </row>
    <row r="168" spans="1:17" ht="22.5" customHeight="1" x14ac:dyDescent="0.5">
      <c r="A168" s="23">
        <v>3</v>
      </c>
      <c r="B168" s="290" t="s">
        <v>355</v>
      </c>
      <c r="C168" s="371" t="s">
        <v>356</v>
      </c>
      <c r="D168" s="43">
        <v>9400</v>
      </c>
      <c r="E168" s="212" t="s">
        <v>559</v>
      </c>
      <c r="F168" s="213" t="s">
        <v>33</v>
      </c>
      <c r="G168" s="219">
        <v>9400</v>
      </c>
      <c r="H168" s="219">
        <v>2</v>
      </c>
      <c r="I168" s="219">
        <v>9400</v>
      </c>
      <c r="J168" s="30">
        <v>25162</v>
      </c>
      <c r="K168" s="220" t="s">
        <v>784</v>
      </c>
      <c r="L168" s="221">
        <v>9400</v>
      </c>
      <c r="M168" s="215">
        <v>25143</v>
      </c>
      <c r="N168" s="216" t="s">
        <v>33</v>
      </c>
      <c r="O168" s="114">
        <f t="shared" si="11"/>
        <v>9400</v>
      </c>
      <c r="P168" s="114">
        <v>2</v>
      </c>
      <c r="Q168" s="36">
        <f t="shared" si="12"/>
        <v>9400</v>
      </c>
    </row>
    <row r="169" spans="1:17" ht="22.5" customHeight="1" x14ac:dyDescent="0.5">
      <c r="A169" s="331">
        <v>5</v>
      </c>
      <c r="B169" s="374" t="s">
        <v>358</v>
      </c>
      <c r="C169" s="375" t="s">
        <v>356</v>
      </c>
      <c r="D169" s="79">
        <v>9810</v>
      </c>
      <c r="E169" s="234" t="s">
        <v>559</v>
      </c>
      <c r="F169" s="228" t="s">
        <v>33</v>
      </c>
      <c r="G169" s="219">
        <v>9810</v>
      </c>
      <c r="H169" s="219">
        <v>3</v>
      </c>
      <c r="I169" s="219">
        <v>9810</v>
      </c>
      <c r="J169" s="38">
        <v>25172</v>
      </c>
      <c r="K169" s="376" t="s">
        <v>785</v>
      </c>
      <c r="L169" s="246">
        <v>9810</v>
      </c>
      <c r="M169" s="215">
        <v>25143</v>
      </c>
      <c r="N169" s="216" t="s">
        <v>33</v>
      </c>
      <c r="O169" s="114">
        <f t="shared" si="11"/>
        <v>9810</v>
      </c>
      <c r="P169" s="114">
        <v>3</v>
      </c>
      <c r="Q169" s="36">
        <f t="shared" si="12"/>
        <v>9810</v>
      </c>
    </row>
    <row r="170" spans="1:17" ht="22.5" customHeight="1" x14ac:dyDescent="0.5">
      <c r="A170" s="377">
        <v>6</v>
      </c>
      <c r="B170" s="378" t="s">
        <v>359</v>
      </c>
      <c r="C170" s="311" t="s">
        <v>360</v>
      </c>
      <c r="D170" s="379">
        <v>6000</v>
      </c>
      <c r="E170" s="380"/>
      <c r="F170" s="75"/>
      <c r="G170" s="76">
        <v>0</v>
      </c>
      <c r="H170" s="219">
        <v>4</v>
      </c>
      <c r="I170" s="76">
        <v>0</v>
      </c>
      <c r="J170" s="38">
        <v>25147</v>
      </c>
      <c r="K170" s="376" t="s">
        <v>786</v>
      </c>
      <c r="L170" s="246">
        <v>6000</v>
      </c>
      <c r="M170" s="247"/>
      <c r="N170" s="248"/>
      <c r="O170" s="114">
        <f t="shared" si="11"/>
        <v>0</v>
      </c>
      <c r="P170" s="114">
        <v>4</v>
      </c>
      <c r="Q170" s="36">
        <f t="shared" si="12"/>
        <v>0</v>
      </c>
    </row>
    <row r="171" spans="1:17" ht="22.5" customHeight="1" x14ac:dyDescent="0.5">
      <c r="A171" s="381">
        <v>7</v>
      </c>
      <c r="B171" s="149" t="s">
        <v>281</v>
      </c>
      <c r="C171" s="311" t="s">
        <v>360</v>
      </c>
      <c r="D171" s="382">
        <v>3000</v>
      </c>
      <c r="E171" s="96" t="s">
        <v>552</v>
      </c>
      <c r="F171" s="97" t="s">
        <v>115</v>
      </c>
      <c r="G171" s="76">
        <v>6000</v>
      </c>
      <c r="H171" s="219">
        <v>5</v>
      </c>
      <c r="I171" s="76">
        <v>6000</v>
      </c>
      <c r="J171" s="30"/>
      <c r="K171" s="31"/>
      <c r="L171" s="32"/>
      <c r="M171" s="215" t="s">
        <v>787</v>
      </c>
      <c r="N171" s="216" t="s">
        <v>284</v>
      </c>
      <c r="O171" s="114">
        <f t="shared" si="11"/>
        <v>9000</v>
      </c>
      <c r="P171" s="114">
        <v>5</v>
      </c>
      <c r="Q171" s="36">
        <f t="shared" si="12"/>
        <v>9000</v>
      </c>
    </row>
    <row r="172" spans="1:17" s="60" customFormat="1" ht="22.5" customHeight="1" thickBot="1" x14ac:dyDescent="0.35">
      <c r="A172" s="317"/>
      <c r="B172" s="317" t="s">
        <v>15</v>
      </c>
      <c r="C172" s="357"/>
      <c r="D172" s="383">
        <f>SUM(D166:D171)</f>
        <v>40610</v>
      </c>
      <c r="E172" s="320"/>
      <c r="F172" s="321"/>
      <c r="G172" s="383">
        <f>SUM(G166:G171)</f>
        <v>36210</v>
      </c>
      <c r="H172" s="383">
        <f>SUM(H166:H171)</f>
        <v>15</v>
      </c>
      <c r="I172" s="383">
        <f>SUM(I166:I171)</f>
        <v>36210</v>
      </c>
      <c r="J172" s="384"/>
      <c r="K172" s="384"/>
      <c r="L172" s="359">
        <f>SUM(L166:L171)</f>
        <v>48610</v>
      </c>
      <c r="M172" s="317"/>
      <c r="N172" s="321"/>
      <c r="O172" s="385">
        <f>SUM(O166:O171)</f>
        <v>28210</v>
      </c>
      <c r="P172" s="385">
        <v>0</v>
      </c>
      <c r="Q172" s="386">
        <f>SUM(Q166:Q171)</f>
        <v>28210</v>
      </c>
    </row>
    <row r="173" spans="1:17" ht="22.5" customHeight="1" thickTop="1" x14ac:dyDescent="0.3">
      <c r="A173" s="61"/>
      <c r="B173" s="62" t="s">
        <v>363</v>
      </c>
      <c r="C173" s="63"/>
      <c r="D173" s="64"/>
      <c r="E173" s="65"/>
      <c r="F173" s="66"/>
      <c r="G173" s="67"/>
      <c r="H173" s="67"/>
      <c r="I173" s="67"/>
      <c r="J173" s="286"/>
      <c r="K173" s="286"/>
      <c r="L173" s="328"/>
      <c r="M173" s="69"/>
      <c r="N173" s="70"/>
      <c r="O173" s="71"/>
      <c r="P173" s="71"/>
      <c r="Q173" s="387"/>
    </row>
    <row r="174" spans="1:17" ht="22.5" customHeight="1" x14ac:dyDescent="0.5">
      <c r="A174" s="208">
        <v>1</v>
      </c>
      <c r="B174" s="73" t="s">
        <v>364</v>
      </c>
      <c r="C174" s="25" t="s">
        <v>365</v>
      </c>
      <c r="D174" s="43">
        <v>10000</v>
      </c>
      <c r="E174" s="212" t="s">
        <v>559</v>
      </c>
      <c r="F174" s="228" t="s">
        <v>33</v>
      </c>
      <c r="G174" s="219">
        <v>10000</v>
      </c>
      <c r="H174" s="219">
        <v>0</v>
      </c>
      <c r="I174" s="219">
        <v>10000</v>
      </c>
      <c r="J174" s="30" t="s">
        <v>757</v>
      </c>
      <c r="K174" s="31" t="s">
        <v>788</v>
      </c>
      <c r="L174" s="32">
        <v>20000</v>
      </c>
      <c r="M174" s="41"/>
      <c r="N174" s="34"/>
      <c r="O174" s="114">
        <f>SUM(D174+I174-L174)</f>
        <v>0</v>
      </c>
      <c r="P174" s="114">
        <v>0</v>
      </c>
      <c r="Q174" s="36">
        <f>SUM(O174)</f>
        <v>0</v>
      </c>
    </row>
    <row r="175" spans="1:17" ht="22.5" customHeight="1" x14ac:dyDescent="0.5">
      <c r="A175" s="208">
        <v>2</v>
      </c>
      <c r="B175" s="290" t="s">
        <v>367</v>
      </c>
      <c r="C175" s="25" t="s">
        <v>368</v>
      </c>
      <c r="D175" s="388">
        <v>5000</v>
      </c>
      <c r="E175" s="212"/>
      <c r="F175" s="228"/>
      <c r="G175" s="389">
        <v>0</v>
      </c>
      <c r="H175" s="219">
        <v>0</v>
      </c>
      <c r="I175" s="219">
        <v>0</v>
      </c>
      <c r="J175" s="250">
        <v>25153</v>
      </c>
      <c r="K175" s="251" t="s">
        <v>789</v>
      </c>
      <c r="L175" s="390">
        <v>5000</v>
      </c>
      <c r="M175" s="41"/>
      <c r="N175" s="34"/>
      <c r="O175" s="114">
        <f t="shared" ref="O175:O181" si="13">SUM(D175+I175-L175)</f>
        <v>0</v>
      </c>
      <c r="P175" s="114">
        <v>0</v>
      </c>
      <c r="Q175" s="36">
        <f t="shared" ref="Q175:Q181" si="14">SUM(O175)</f>
        <v>0</v>
      </c>
    </row>
    <row r="176" spans="1:17" ht="22.5" customHeight="1" x14ac:dyDescent="0.5">
      <c r="A176" s="391">
        <v>3</v>
      </c>
      <c r="B176" s="392" t="s">
        <v>370</v>
      </c>
      <c r="C176" s="63" t="s">
        <v>371</v>
      </c>
      <c r="D176" s="393">
        <v>12000</v>
      </c>
      <c r="E176" s="394"/>
      <c r="F176" s="395"/>
      <c r="G176" s="396">
        <v>0</v>
      </c>
      <c r="H176" s="397">
        <v>0</v>
      </c>
      <c r="I176" s="67">
        <v>0</v>
      </c>
      <c r="J176" s="30">
        <v>25162</v>
      </c>
      <c r="K176" s="31" t="s">
        <v>790</v>
      </c>
      <c r="L176" s="32">
        <v>12000</v>
      </c>
      <c r="M176" s="41"/>
      <c r="N176" s="34"/>
      <c r="O176" s="114">
        <f t="shared" si="13"/>
        <v>0</v>
      </c>
      <c r="P176" s="114">
        <v>0</v>
      </c>
      <c r="Q176" s="36">
        <f t="shared" si="14"/>
        <v>0</v>
      </c>
    </row>
    <row r="177" spans="1:17" ht="22.5" customHeight="1" x14ac:dyDescent="0.3">
      <c r="A177" s="253">
        <v>4</v>
      </c>
      <c r="B177" s="398" t="s">
        <v>373</v>
      </c>
      <c r="C177" s="165" t="s">
        <v>374</v>
      </c>
      <c r="D177" s="166">
        <v>4100</v>
      </c>
      <c r="E177" s="394"/>
      <c r="F177" s="395"/>
      <c r="G177" s="396">
        <v>0</v>
      </c>
      <c r="H177" s="397">
        <v>0</v>
      </c>
      <c r="I177" s="397">
        <v>0</v>
      </c>
      <c r="J177" s="399">
        <v>25145</v>
      </c>
      <c r="K177" s="400" t="s">
        <v>791</v>
      </c>
      <c r="L177" s="401">
        <v>4100</v>
      </c>
      <c r="M177" s="41"/>
      <c r="N177" s="34"/>
      <c r="O177" s="114">
        <f t="shared" si="13"/>
        <v>0</v>
      </c>
      <c r="P177" s="114">
        <v>0</v>
      </c>
      <c r="Q177" s="36">
        <f t="shared" si="14"/>
        <v>0</v>
      </c>
    </row>
    <row r="178" spans="1:17" ht="22.5" customHeight="1" x14ac:dyDescent="0.5">
      <c r="A178" s="253">
        <v>5</v>
      </c>
      <c r="B178" s="402" t="s">
        <v>376</v>
      </c>
      <c r="C178" s="403" t="s">
        <v>377</v>
      </c>
      <c r="D178" s="166">
        <v>1850</v>
      </c>
      <c r="E178" s="65"/>
      <c r="F178" s="168"/>
      <c r="G178" s="404">
        <v>0</v>
      </c>
      <c r="H178" s="67">
        <v>0</v>
      </c>
      <c r="I178" s="67">
        <v>0</v>
      </c>
      <c r="J178" s="30">
        <v>25147</v>
      </c>
      <c r="K178" s="31" t="s">
        <v>792</v>
      </c>
      <c r="L178" s="32">
        <v>1850</v>
      </c>
      <c r="M178" s="41"/>
      <c r="N178" s="34"/>
      <c r="O178" s="114">
        <f t="shared" si="13"/>
        <v>0</v>
      </c>
      <c r="P178" s="114">
        <v>0</v>
      </c>
      <c r="Q178" s="36">
        <f t="shared" si="14"/>
        <v>0</v>
      </c>
    </row>
    <row r="179" spans="1:17" ht="22.5" customHeight="1" x14ac:dyDescent="0.5">
      <c r="A179" s="253">
        <v>6</v>
      </c>
      <c r="B179" s="378" t="s">
        <v>380</v>
      </c>
      <c r="C179" s="405" t="s">
        <v>381</v>
      </c>
      <c r="D179" s="166">
        <v>0</v>
      </c>
      <c r="E179" s="65"/>
      <c r="F179" s="168"/>
      <c r="G179" s="404">
        <v>0</v>
      </c>
      <c r="H179" s="67">
        <v>0</v>
      </c>
      <c r="I179" s="67">
        <v>0</v>
      </c>
      <c r="J179" s="30"/>
      <c r="K179" s="31"/>
      <c r="L179" s="32"/>
      <c r="M179" s="41"/>
      <c r="N179" s="34"/>
      <c r="O179" s="114">
        <f t="shared" si="13"/>
        <v>0</v>
      </c>
      <c r="P179" s="114">
        <v>0</v>
      </c>
      <c r="Q179" s="36">
        <f t="shared" si="14"/>
        <v>0</v>
      </c>
    </row>
    <row r="180" spans="1:17" ht="22.5" customHeight="1" x14ac:dyDescent="0.5">
      <c r="A180" s="253"/>
      <c r="B180" s="406" t="s">
        <v>382</v>
      </c>
      <c r="C180" s="405"/>
      <c r="D180" s="166"/>
      <c r="E180" s="65"/>
      <c r="F180" s="168"/>
      <c r="G180" s="404">
        <v>0</v>
      </c>
      <c r="H180" s="67"/>
      <c r="I180" s="67">
        <v>0</v>
      </c>
      <c r="J180" s="30"/>
      <c r="K180" s="31"/>
      <c r="L180" s="32"/>
      <c r="M180" s="41"/>
      <c r="N180" s="34"/>
      <c r="O180" s="114">
        <f t="shared" si="13"/>
        <v>0</v>
      </c>
      <c r="P180" s="114"/>
      <c r="Q180" s="36">
        <f t="shared" si="14"/>
        <v>0</v>
      </c>
    </row>
    <row r="181" spans="1:17" ht="22.5" customHeight="1" x14ac:dyDescent="0.5">
      <c r="A181" s="208">
        <v>7</v>
      </c>
      <c r="B181" s="149" t="s">
        <v>383</v>
      </c>
      <c r="C181" s="311" t="s">
        <v>384</v>
      </c>
      <c r="D181" s="166">
        <v>5400</v>
      </c>
      <c r="E181" s="65"/>
      <c r="F181" s="168"/>
      <c r="G181" s="404">
        <v>0</v>
      </c>
      <c r="H181" s="67">
        <v>0</v>
      </c>
      <c r="I181" s="67">
        <v>0</v>
      </c>
      <c r="J181" s="250">
        <v>25145</v>
      </c>
      <c r="K181" s="251" t="s">
        <v>791</v>
      </c>
      <c r="L181" s="390">
        <v>5400</v>
      </c>
      <c r="M181" s="41"/>
      <c r="N181" s="34"/>
      <c r="O181" s="114">
        <f t="shared" si="13"/>
        <v>0</v>
      </c>
      <c r="P181" s="114">
        <v>0</v>
      </c>
      <c r="Q181" s="36">
        <f t="shared" si="14"/>
        <v>0</v>
      </c>
    </row>
    <row r="182" spans="1:17" s="60" customFormat="1" ht="22.5" customHeight="1" thickBot="1" x14ac:dyDescent="0.35">
      <c r="A182" s="317"/>
      <c r="B182" s="317" t="s">
        <v>15</v>
      </c>
      <c r="C182" s="318"/>
      <c r="D182" s="383">
        <v>38350</v>
      </c>
      <c r="E182" s="320"/>
      <c r="F182" s="321"/>
      <c r="G182" s="358">
        <f>SUM(G177:G181)</f>
        <v>0</v>
      </c>
      <c r="H182" s="358">
        <f>SUM(H177:H181)</f>
        <v>0</v>
      </c>
      <c r="I182" s="358">
        <f>SUM(I177:I181)</f>
        <v>0</v>
      </c>
      <c r="J182" s="383"/>
      <c r="K182" s="383">
        <v>0</v>
      </c>
      <c r="L182" s="383">
        <f>SUM(L174:L181)</f>
        <v>48350</v>
      </c>
      <c r="M182" s="407"/>
      <c r="N182" s="321"/>
      <c r="O182" s="323">
        <f>SUM(O174:O181)</f>
        <v>0</v>
      </c>
      <c r="P182" s="323">
        <f>SUM(P174:P181)</f>
        <v>0</v>
      </c>
      <c r="Q182" s="323">
        <f>SUM(Q174:Q181)</f>
        <v>0</v>
      </c>
    </row>
    <row r="183" spans="1:17" ht="22.5" customHeight="1" thickTop="1" x14ac:dyDescent="0.3">
      <c r="A183" s="61"/>
      <c r="B183" s="62" t="s">
        <v>386</v>
      </c>
      <c r="C183" s="63"/>
      <c r="D183" s="64"/>
      <c r="E183" s="65"/>
      <c r="F183" s="66"/>
      <c r="G183" s="67"/>
      <c r="H183" s="67"/>
      <c r="I183" s="67"/>
      <c r="J183" s="68"/>
      <c r="K183" s="68"/>
      <c r="L183" s="64"/>
      <c r="M183" s="69"/>
      <c r="N183" s="70"/>
      <c r="O183" s="71"/>
      <c r="P183" s="71"/>
      <c r="Q183" s="387"/>
    </row>
    <row r="184" spans="1:17" ht="22.5" customHeight="1" x14ac:dyDescent="0.3">
      <c r="A184" s="208">
        <v>1</v>
      </c>
      <c r="B184" s="73" t="s">
        <v>387</v>
      </c>
      <c r="C184" s="25" t="s">
        <v>388</v>
      </c>
      <c r="D184" s="43">
        <v>0</v>
      </c>
      <c r="E184" s="212"/>
      <c r="F184" s="213"/>
      <c r="G184" s="219">
        <v>0</v>
      </c>
      <c r="H184" s="219">
        <v>0</v>
      </c>
      <c r="I184" s="219">
        <v>0</v>
      </c>
      <c r="J184" s="408"/>
      <c r="K184" s="408"/>
      <c r="L184" s="43"/>
      <c r="M184" s="41"/>
      <c r="N184" s="34"/>
      <c r="O184" s="114">
        <v>0</v>
      </c>
      <c r="P184" s="114">
        <v>0</v>
      </c>
      <c r="Q184" s="409">
        <v>0</v>
      </c>
    </row>
    <row r="185" spans="1:17" ht="22.5" customHeight="1" x14ac:dyDescent="0.5">
      <c r="A185" s="208">
        <v>2</v>
      </c>
      <c r="B185" s="290" t="s">
        <v>389</v>
      </c>
      <c r="C185" s="25" t="s">
        <v>390</v>
      </c>
      <c r="D185" s="388">
        <v>3150</v>
      </c>
      <c r="E185" s="212" t="s">
        <v>559</v>
      </c>
      <c r="F185" s="228" t="s">
        <v>33</v>
      </c>
      <c r="G185" s="666">
        <v>3150</v>
      </c>
      <c r="H185" s="219">
        <v>0</v>
      </c>
      <c r="I185" s="219">
        <v>3150</v>
      </c>
      <c r="J185" s="335">
        <v>25145</v>
      </c>
      <c r="K185" s="410" t="s">
        <v>793</v>
      </c>
      <c r="L185" s="411">
        <v>3150</v>
      </c>
      <c r="M185" s="215">
        <v>25143</v>
      </c>
      <c r="N185" s="216" t="s">
        <v>33</v>
      </c>
      <c r="O185" s="114">
        <f>SUM(G185+D185-L185)</f>
        <v>3150</v>
      </c>
      <c r="P185" s="114">
        <v>0</v>
      </c>
      <c r="Q185" s="409">
        <f>SUM(O185)</f>
        <v>3150</v>
      </c>
    </row>
    <row r="186" spans="1:17" s="60" customFormat="1" ht="22.5" customHeight="1" thickBot="1" x14ac:dyDescent="0.35">
      <c r="A186" s="317"/>
      <c r="B186" s="317" t="s">
        <v>15</v>
      </c>
      <c r="C186" s="318"/>
      <c r="D186" s="383">
        <f>SUM(D184:D185)</f>
        <v>3150</v>
      </c>
      <c r="E186" s="320"/>
      <c r="F186" s="321"/>
      <c r="G186" s="358">
        <f>SUM(G184:G185)</f>
        <v>3150</v>
      </c>
      <c r="H186" s="358">
        <f>SUM(H184:H185)</f>
        <v>0</v>
      </c>
      <c r="I186" s="358">
        <f>SUM(I184:I185)</f>
        <v>3150</v>
      </c>
      <c r="J186" s="383"/>
      <c r="K186" s="383">
        <v>0</v>
      </c>
      <c r="L186" s="383">
        <f>SUM(L184:L185)</f>
        <v>3150</v>
      </c>
      <c r="M186" s="407"/>
      <c r="N186" s="321"/>
      <c r="O186" s="323">
        <f>SUM(O184:O185)</f>
        <v>3150</v>
      </c>
      <c r="P186" s="323">
        <v>0</v>
      </c>
      <c r="Q186" s="386">
        <f>SUM(Q184:Q185)</f>
        <v>3150</v>
      </c>
    </row>
    <row r="187" spans="1:17" ht="22.5" customHeight="1" thickTop="1" x14ac:dyDescent="0.3">
      <c r="A187" s="61"/>
      <c r="B187" s="62" t="s">
        <v>392</v>
      </c>
      <c r="C187" s="63" t="s">
        <v>393</v>
      </c>
      <c r="D187" s="64"/>
      <c r="E187" s="65"/>
      <c r="F187" s="66"/>
      <c r="G187" s="67"/>
      <c r="H187" s="67"/>
      <c r="I187" s="67"/>
      <c r="J187" s="68"/>
      <c r="K187" s="68"/>
      <c r="L187" s="64"/>
      <c r="M187" s="69"/>
      <c r="N187" s="70"/>
      <c r="O187" s="71"/>
      <c r="P187" s="71"/>
      <c r="Q187" s="72"/>
    </row>
    <row r="188" spans="1:17" ht="22.5" customHeight="1" x14ac:dyDescent="0.3">
      <c r="A188" s="208"/>
      <c r="B188" s="290" t="s">
        <v>394</v>
      </c>
      <c r="C188" s="25"/>
      <c r="D188" s="388"/>
      <c r="E188" s="212"/>
      <c r="F188" s="228"/>
      <c r="G188" s="389"/>
      <c r="H188" s="219"/>
      <c r="I188" s="219"/>
      <c r="J188" s="303"/>
      <c r="K188" s="303"/>
      <c r="L188" s="388"/>
      <c r="M188" s="33"/>
      <c r="N188" s="112"/>
      <c r="O188" s="114"/>
      <c r="P188" s="114"/>
      <c r="Q188" s="409"/>
    </row>
    <row r="189" spans="1:17" s="60" customFormat="1" ht="22.5" customHeight="1" thickBot="1" x14ac:dyDescent="0.35">
      <c r="A189" s="317"/>
      <c r="B189" s="317" t="s">
        <v>15</v>
      </c>
      <c r="C189" s="318"/>
      <c r="D189" s="383">
        <v>0</v>
      </c>
      <c r="E189" s="320"/>
      <c r="F189" s="321"/>
      <c r="G189" s="358">
        <v>0</v>
      </c>
      <c r="H189" s="358">
        <v>0</v>
      </c>
      <c r="I189" s="358">
        <v>0</v>
      </c>
      <c r="J189" s="383">
        <v>0</v>
      </c>
      <c r="K189" s="383">
        <v>0</v>
      </c>
      <c r="L189" s="383">
        <v>0</v>
      </c>
      <c r="M189" s="407"/>
      <c r="N189" s="321"/>
      <c r="O189" s="323">
        <v>0</v>
      </c>
      <c r="P189" s="323">
        <v>0</v>
      </c>
      <c r="Q189" s="386">
        <v>0</v>
      </c>
    </row>
    <row r="190" spans="1:17" ht="22.5" customHeight="1" thickTop="1" x14ac:dyDescent="0.3">
      <c r="A190" s="115"/>
      <c r="B190" s="412" t="s">
        <v>395</v>
      </c>
      <c r="C190" s="165"/>
      <c r="D190" s="86"/>
      <c r="E190" s="413"/>
      <c r="F190" s="414"/>
      <c r="G190" s="415"/>
      <c r="H190" s="415"/>
      <c r="I190" s="415"/>
      <c r="J190" s="170"/>
      <c r="K190" s="171"/>
      <c r="L190" s="86"/>
      <c r="M190" s="115"/>
      <c r="N190" s="414"/>
      <c r="O190" s="416"/>
      <c r="P190" s="416"/>
      <c r="Q190" s="417"/>
    </row>
    <row r="191" spans="1:17" ht="22.5" customHeight="1" x14ac:dyDescent="0.3">
      <c r="A191" s="115"/>
      <c r="B191" s="412"/>
      <c r="C191" s="165"/>
      <c r="D191" s="86"/>
      <c r="E191" s="413"/>
      <c r="F191" s="414"/>
      <c r="G191" s="415"/>
      <c r="H191" s="415"/>
      <c r="I191" s="415"/>
      <c r="J191" s="170"/>
      <c r="K191" s="171"/>
      <c r="L191" s="86"/>
      <c r="M191" s="115"/>
      <c r="N191" s="414"/>
      <c r="O191" s="416"/>
      <c r="P191" s="416"/>
      <c r="Q191" s="417"/>
    </row>
    <row r="192" spans="1:17" ht="22.5" customHeight="1" x14ac:dyDescent="0.3">
      <c r="A192" s="115"/>
      <c r="B192" s="412"/>
      <c r="C192" s="165"/>
      <c r="D192" s="86"/>
      <c r="E192" s="413"/>
      <c r="F192" s="414"/>
      <c r="G192" s="415"/>
      <c r="H192" s="415"/>
      <c r="I192" s="415"/>
      <c r="J192" s="170"/>
      <c r="K192" s="171"/>
      <c r="L192" s="86"/>
      <c r="M192" s="115"/>
      <c r="N192" s="414"/>
      <c r="O192" s="416"/>
      <c r="P192" s="416"/>
      <c r="Q192" s="417"/>
    </row>
    <row r="193" spans="1:17" s="60" customFormat="1" ht="22.2" customHeight="1" thickBot="1" x14ac:dyDescent="0.35">
      <c r="A193" s="418"/>
      <c r="B193" s="419" t="s">
        <v>15</v>
      </c>
      <c r="C193" s="420"/>
      <c r="D193" s="421">
        <v>0</v>
      </c>
      <c r="E193" s="422"/>
      <c r="F193" s="423"/>
      <c r="G193" s="424"/>
      <c r="H193" s="424"/>
      <c r="I193" s="424"/>
      <c r="J193" s="425"/>
      <c r="K193" s="426"/>
      <c r="L193" s="421">
        <v>0</v>
      </c>
      <c r="M193" s="418"/>
      <c r="N193" s="423"/>
      <c r="O193" s="427">
        <v>0</v>
      </c>
      <c r="P193" s="427">
        <v>0</v>
      </c>
      <c r="Q193" s="428">
        <v>0</v>
      </c>
    </row>
    <row r="194" spans="1:17" ht="22.5" customHeight="1" thickTop="1" x14ac:dyDescent="0.3">
      <c r="A194" s="429"/>
      <c r="B194" s="430"/>
      <c r="C194" s="431"/>
      <c r="D194" s="432"/>
      <c r="E194" s="433"/>
      <c r="F194" s="434"/>
      <c r="G194" s="435"/>
      <c r="H194" s="435"/>
      <c r="I194" s="435"/>
      <c r="J194" s="436"/>
      <c r="K194" s="437"/>
      <c r="L194" s="438"/>
      <c r="M194" s="439"/>
      <c r="N194" s="440"/>
      <c r="O194" s="441"/>
      <c r="P194" s="441"/>
      <c r="Q194" s="442"/>
    </row>
    <row r="195" spans="1:17" ht="22.5" customHeight="1" x14ac:dyDescent="0.3">
      <c r="A195" s="61"/>
      <c r="B195" s="4" t="s">
        <v>396</v>
      </c>
      <c r="C195" s="63"/>
      <c r="D195" s="382"/>
      <c r="E195" s="443"/>
      <c r="F195" s="66"/>
      <c r="G195" s="444"/>
      <c r="H195" s="444"/>
      <c r="I195" s="444"/>
      <c r="J195" s="68"/>
      <c r="K195" s="445"/>
      <c r="L195" s="64"/>
      <c r="M195" s="69"/>
      <c r="N195" s="70"/>
      <c r="O195" s="71"/>
      <c r="P195" s="71"/>
      <c r="Q195" s="387"/>
    </row>
    <row r="196" spans="1:17" ht="22.5" customHeight="1" x14ac:dyDescent="0.5">
      <c r="A196" s="446">
        <v>1</v>
      </c>
      <c r="B196" s="447" t="s">
        <v>398</v>
      </c>
      <c r="C196" s="63"/>
      <c r="D196" s="382"/>
      <c r="E196" s="443" t="s">
        <v>794</v>
      </c>
      <c r="F196" s="66"/>
      <c r="G196" s="448">
        <v>2591.5100000000002</v>
      </c>
      <c r="H196" s="448">
        <v>0</v>
      </c>
      <c r="I196" s="448">
        <v>2591.5100000000002</v>
      </c>
      <c r="J196" s="449"/>
      <c r="K196" s="450"/>
      <c r="L196" s="451"/>
      <c r="M196" s="69" t="s">
        <v>794</v>
      </c>
      <c r="N196" s="70"/>
      <c r="O196" s="71">
        <f>SUM(Q196)</f>
        <v>2591.5100000000002</v>
      </c>
      <c r="P196" s="71">
        <v>0</v>
      </c>
      <c r="Q196" s="387">
        <f>SUM(D196+I196-L196)</f>
        <v>2591.5100000000002</v>
      </c>
    </row>
    <row r="197" spans="1:17" ht="22.5" customHeight="1" x14ac:dyDescent="0.3">
      <c r="A197" s="61"/>
      <c r="B197" s="164" t="s">
        <v>399</v>
      </c>
      <c r="C197" s="63"/>
      <c r="D197" s="382"/>
      <c r="E197" s="443"/>
      <c r="F197" s="66"/>
      <c r="G197" s="444">
        <v>0</v>
      </c>
      <c r="H197" s="444">
        <v>0</v>
      </c>
      <c r="I197" s="444">
        <v>0</v>
      </c>
      <c r="J197" s="68"/>
      <c r="K197" s="445"/>
      <c r="L197" s="64"/>
      <c r="M197" s="69"/>
      <c r="N197" s="70"/>
      <c r="O197" s="71"/>
      <c r="P197" s="71"/>
      <c r="Q197" s="387"/>
    </row>
    <row r="198" spans="1:17" ht="22.5" customHeight="1" x14ac:dyDescent="0.5">
      <c r="A198" s="61">
        <v>1</v>
      </c>
      <c r="B198" s="290" t="s">
        <v>400</v>
      </c>
      <c r="C198" s="25" t="s">
        <v>333</v>
      </c>
      <c r="D198" s="452"/>
      <c r="E198" s="443"/>
      <c r="F198" s="66"/>
      <c r="G198" s="67">
        <v>0</v>
      </c>
      <c r="H198" s="67">
        <v>0</v>
      </c>
      <c r="I198" s="67">
        <v>0</v>
      </c>
      <c r="J198" s="449"/>
      <c r="K198" s="450"/>
      <c r="L198" s="451"/>
      <c r="M198" s="69"/>
      <c r="N198" s="70"/>
      <c r="O198" s="71">
        <f t="shared" ref="O198:O247" si="15">SUM(Q198)</f>
        <v>0</v>
      </c>
      <c r="P198" s="71">
        <v>0</v>
      </c>
      <c r="Q198" s="387">
        <f t="shared" ref="Q198:Q247" si="16">SUM(D198+I198-L198)</f>
        <v>0</v>
      </c>
    </row>
    <row r="199" spans="1:17" ht="22.5" customHeight="1" x14ac:dyDescent="0.5">
      <c r="A199" s="61">
        <v>2</v>
      </c>
      <c r="B199" s="290" t="s">
        <v>401</v>
      </c>
      <c r="C199" s="81" t="s">
        <v>336</v>
      </c>
      <c r="D199" s="452"/>
      <c r="E199" s="443"/>
      <c r="F199" s="66"/>
      <c r="G199" s="67">
        <v>0</v>
      </c>
      <c r="H199" s="67">
        <v>0</v>
      </c>
      <c r="I199" s="67">
        <v>0</v>
      </c>
      <c r="J199" s="449"/>
      <c r="K199" s="450"/>
      <c r="L199" s="451"/>
      <c r="M199" s="69"/>
      <c r="N199" s="70"/>
      <c r="O199" s="71">
        <f t="shared" si="15"/>
        <v>0</v>
      </c>
      <c r="P199" s="71">
        <v>0</v>
      </c>
      <c r="Q199" s="387">
        <f t="shared" si="16"/>
        <v>0</v>
      </c>
    </row>
    <row r="200" spans="1:17" ht="22.5" customHeight="1" x14ac:dyDescent="0.5">
      <c r="A200" s="61">
        <v>3</v>
      </c>
      <c r="B200" s="290" t="s">
        <v>403</v>
      </c>
      <c r="C200" s="25" t="s">
        <v>339</v>
      </c>
      <c r="D200" s="452"/>
      <c r="E200" s="443"/>
      <c r="F200" s="66"/>
      <c r="G200" s="67">
        <v>0</v>
      </c>
      <c r="H200" s="67">
        <v>0</v>
      </c>
      <c r="I200" s="67">
        <v>0</v>
      </c>
      <c r="J200" s="449"/>
      <c r="K200" s="450"/>
      <c r="L200" s="451"/>
      <c r="M200" s="69"/>
      <c r="N200" s="70"/>
      <c r="O200" s="71">
        <f t="shared" si="15"/>
        <v>0</v>
      </c>
      <c r="P200" s="71">
        <v>0</v>
      </c>
      <c r="Q200" s="387">
        <f t="shared" si="16"/>
        <v>0</v>
      </c>
    </row>
    <row r="201" spans="1:17" ht="22.5" customHeight="1" x14ac:dyDescent="0.5">
      <c r="A201" s="61">
        <v>4</v>
      </c>
      <c r="B201" s="290" t="s">
        <v>405</v>
      </c>
      <c r="C201" s="25" t="s">
        <v>406</v>
      </c>
      <c r="D201" s="452"/>
      <c r="E201" s="443"/>
      <c r="F201" s="66"/>
      <c r="G201" s="67">
        <v>0</v>
      </c>
      <c r="H201" s="67">
        <v>0</v>
      </c>
      <c r="I201" s="67">
        <v>0</v>
      </c>
      <c r="J201" s="449"/>
      <c r="K201" s="450"/>
      <c r="L201" s="451"/>
      <c r="M201" s="69"/>
      <c r="N201" s="70"/>
      <c r="O201" s="71">
        <f t="shared" si="15"/>
        <v>0</v>
      </c>
      <c r="P201" s="71">
        <v>0</v>
      </c>
      <c r="Q201" s="387">
        <f t="shared" si="16"/>
        <v>0</v>
      </c>
    </row>
    <row r="202" spans="1:17" ht="22.5" customHeight="1" x14ac:dyDescent="0.5">
      <c r="A202" s="61">
        <v>5</v>
      </c>
      <c r="B202" s="290" t="s">
        <v>407</v>
      </c>
      <c r="C202" s="63" t="s">
        <v>331</v>
      </c>
      <c r="D202" s="452"/>
      <c r="E202" s="443"/>
      <c r="F202" s="66"/>
      <c r="G202" s="67">
        <v>0</v>
      </c>
      <c r="H202" s="67">
        <v>0</v>
      </c>
      <c r="I202" s="67">
        <v>0</v>
      </c>
      <c r="J202" s="449"/>
      <c r="K202" s="450"/>
      <c r="L202" s="451"/>
      <c r="M202" s="69"/>
      <c r="N202" s="70"/>
      <c r="O202" s="71">
        <f t="shared" si="15"/>
        <v>0</v>
      </c>
      <c r="P202" s="71">
        <v>0</v>
      </c>
      <c r="Q202" s="387">
        <f t="shared" si="16"/>
        <v>0</v>
      </c>
    </row>
    <row r="203" spans="1:17" ht="22.5" customHeight="1" x14ac:dyDescent="0.5">
      <c r="A203" s="61">
        <v>6</v>
      </c>
      <c r="B203" s="290" t="s">
        <v>408</v>
      </c>
      <c r="C203" s="63" t="s">
        <v>331</v>
      </c>
      <c r="D203" s="452"/>
      <c r="E203" s="443"/>
      <c r="F203" s="66"/>
      <c r="G203" s="67">
        <v>0</v>
      </c>
      <c r="H203" s="67">
        <v>0</v>
      </c>
      <c r="I203" s="67">
        <v>0</v>
      </c>
      <c r="J203" s="449"/>
      <c r="K203" s="450"/>
      <c r="L203" s="451"/>
      <c r="M203" s="69"/>
      <c r="N203" s="70"/>
      <c r="O203" s="71">
        <f t="shared" si="15"/>
        <v>0</v>
      </c>
      <c r="P203" s="71">
        <v>0</v>
      </c>
      <c r="Q203" s="387">
        <f t="shared" si="16"/>
        <v>0</v>
      </c>
    </row>
    <row r="204" spans="1:17" ht="22.5" customHeight="1" x14ac:dyDescent="0.5">
      <c r="A204" s="61">
        <v>7</v>
      </c>
      <c r="B204" s="290" t="s">
        <v>410</v>
      </c>
      <c r="C204" s="63" t="s">
        <v>411</v>
      </c>
      <c r="D204" s="452"/>
      <c r="E204" s="443"/>
      <c r="F204" s="66"/>
      <c r="G204" s="67">
        <v>0</v>
      </c>
      <c r="H204" s="67">
        <v>0</v>
      </c>
      <c r="I204" s="67">
        <v>0</v>
      </c>
      <c r="J204" s="449"/>
      <c r="K204" s="450"/>
      <c r="L204" s="451"/>
      <c r="M204" s="69"/>
      <c r="N204" s="70"/>
      <c r="O204" s="71">
        <f t="shared" si="15"/>
        <v>0</v>
      </c>
      <c r="P204" s="71">
        <v>0</v>
      </c>
      <c r="Q204" s="387">
        <f t="shared" si="16"/>
        <v>0</v>
      </c>
    </row>
    <row r="205" spans="1:17" ht="22.5" customHeight="1" x14ac:dyDescent="0.5">
      <c r="A205" s="61">
        <v>8</v>
      </c>
      <c r="B205" s="290" t="s">
        <v>413</v>
      </c>
      <c r="C205" s="63"/>
      <c r="D205" s="452"/>
      <c r="E205" s="443"/>
      <c r="F205" s="66"/>
      <c r="G205" s="67">
        <v>0</v>
      </c>
      <c r="H205" s="67">
        <v>0</v>
      </c>
      <c r="I205" s="67">
        <v>0</v>
      </c>
      <c r="J205" s="449"/>
      <c r="K205" s="450"/>
      <c r="L205" s="451"/>
      <c r="M205" s="69"/>
      <c r="N205" s="70"/>
      <c r="O205" s="71">
        <f t="shared" si="15"/>
        <v>0</v>
      </c>
      <c r="P205" s="71">
        <v>0</v>
      </c>
      <c r="Q205" s="387">
        <f t="shared" si="16"/>
        <v>0</v>
      </c>
    </row>
    <row r="206" spans="1:17" ht="22.5" customHeight="1" x14ac:dyDescent="0.5">
      <c r="A206" s="61">
        <v>9</v>
      </c>
      <c r="B206" s="290" t="s">
        <v>414</v>
      </c>
      <c r="C206" s="63" t="s">
        <v>415</v>
      </c>
      <c r="D206" s="452"/>
      <c r="E206" s="443"/>
      <c r="F206" s="66"/>
      <c r="G206" s="67">
        <v>0</v>
      </c>
      <c r="H206" s="67">
        <v>0</v>
      </c>
      <c r="I206" s="67">
        <v>0</v>
      </c>
      <c r="J206" s="449"/>
      <c r="K206" s="450"/>
      <c r="L206" s="451"/>
      <c r="M206" s="69"/>
      <c r="N206" s="70"/>
      <c r="O206" s="71">
        <f t="shared" si="15"/>
        <v>0</v>
      </c>
      <c r="P206" s="71">
        <v>0</v>
      </c>
      <c r="Q206" s="387">
        <f t="shared" si="16"/>
        <v>0</v>
      </c>
    </row>
    <row r="207" spans="1:17" ht="22.5" customHeight="1" x14ac:dyDescent="0.5">
      <c r="A207" s="61">
        <v>10</v>
      </c>
      <c r="B207" s="290" t="s">
        <v>359</v>
      </c>
      <c r="C207" s="63" t="s">
        <v>417</v>
      </c>
      <c r="D207" s="452"/>
      <c r="E207" s="443"/>
      <c r="F207" s="66"/>
      <c r="G207" s="67">
        <v>0</v>
      </c>
      <c r="H207" s="67">
        <v>0</v>
      </c>
      <c r="I207" s="67">
        <v>0</v>
      </c>
      <c r="J207" s="449"/>
      <c r="K207" s="450"/>
      <c r="L207" s="451"/>
      <c r="M207" s="69"/>
      <c r="N207" s="70"/>
      <c r="O207" s="71">
        <f t="shared" si="15"/>
        <v>0</v>
      </c>
      <c r="P207" s="71">
        <v>0</v>
      </c>
      <c r="Q207" s="387">
        <f t="shared" si="16"/>
        <v>0</v>
      </c>
    </row>
    <row r="208" spans="1:17" ht="22.5" customHeight="1" x14ac:dyDescent="0.5">
      <c r="A208" s="61">
        <v>11</v>
      </c>
      <c r="B208" s="290" t="s">
        <v>397</v>
      </c>
      <c r="C208" s="63" t="s">
        <v>417</v>
      </c>
      <c r="D208" s="452"/>
      <c r="E208" s="443" t="s">
        <v>795</v>
      </c>
      <c r="F208" s="66"/>
      <c r="G208" s="67">
        <v>8604.76</v>
      </c>
      <c r="H208" s="67">
        <v>0</v>
      </c>
      <c r="I208" s="67">
        <v>8604.76</v>
      </c>
      <c r="J208" s="449"/>
      <c r="K208" s="450"/>
      <c r="L208" s="451"/>
      <c r="M208" s="69" t="s">
        <v>795</v>
      </c>
      <c r="N208" s="70"/>
      <c r="O208" s="71">
        <f t="shared" si="15"/>
        <v>8604.76</v>
      </c>
      <c r="P208" s="71">
        <v>0</v>
      </c>
      <c r="Q208" s="387">
        <f t="shared" si="16"/>
        <v>8604.76</v>
      </c>
    </row>
    <row r="209" spans="1:18" ht="22.5" customHeight="1" x14ac:dyDescent="0.5">
      <c r="A209" s="61">
        <v>12</v>
      </c>
      <c r="B209" s="290" t="s">
        <v>358</v>
      </c>
      <c r="C209" s="63" t="s">
        <v>417</v>
      </c>
      <c r="D209" s="452"/>
      <c r="E209" s="443" t="s">
        <v>795</v>
      </c>
      <c r="F209" s="66"/>
      <c r="G209" s="67">
        <v>9651.43</v>
      </c>
      <c r="H209" s="67">
        <v>0</v>
      </c>
      <c r="I209" s="67">
        <v>9651.43</v>
      </c>
      <c r="J209" s="449"/>
      <c r="K209" s="450"/>
      <c r="L209" s="451"/>
      <c r="M209" s="69" t="s">
        <v>795</v>
      </c>
      <c r="N209" s="70"/>
      <c r="O209" s="71">
        <f t="shared" si="15"/>
        <v>9651.43</v>
      </c>
      <c r="P209" s="71">
        <v>0</v>
      </c>
      <c r="Q209" s="387">
        <f t="shared" si="16"/>
        <v>9651.43</v>
      </c>
    </row>
    <row r="210" spans="1:18" ht="22.5" customHeight="1" x14ac:dyDescent="0.5">
      <c r="A210" s="61">
        <v>13</v>
      </c>
      <c r="B210" s="290" t="s">
        <v>419</v>
      </c>
      <c r="C210" s="63" t="s">
        <v>417</v>
      </c>
      <c r="D210" s="452"/>
      <c r="E210" s="443"/>
      <c r="F210" s="66"/>
      <c r="G210" s="67">
        <v>0</v>
      </c>
      <c r="H210" s="67">
        <v>0</v>
      </c>
      <c r="I210" s="67">
        <v>0</v>
      </c>
      <c r="J210" s="30"/>
      <c r="K210" s="249"/>
      <c r="L210" s="451"/>
      <c r="M210" s="69"/>
      <c r="N210" s="70"/>
      <c r="O210" s="71">
        <f t="shared" si="15"/>
        <v>0</v>
      </c>
      <c r="P210" s="71">
        <v>0</v>
      </c>
      <c r="Q210" s="387">
        <f t="shared" si="16"/>
        <v>0</v>
      </c>
      <c r="R210" s="3" t="s">
        <v>420</v>
      </c>
    </row>
    <row r="211" spans="1:18" ht="22.5" customHeight="1" x14ac:dyDescent="0.5">
      <c r="A211" s="61">
        <v>14</v>
      </c>
      <c r="B211" s="290" t="s">
        <v>353</v>
      </c>
      <c r="C211" s="63" t="s">
        <v>417</v>
      </c>
      <c r="D211" s="452"/>
      <c r="E211" s="443"/>
      <c r="F211" s="66"/>
      <c r="G211" s="67">
        <v>0</v>
      </c>
      <c r="H211" s="67">
        <v>0</v>
      </c>
      <c r="I211" s="67">
        <v>0</v>
      </c>
      <c r="J211" s="449"/>
      <c r="K211" s="450"/>
      <c r="L211" s="451"/>
      <c r="M211" s="69"/>
      <c r="N211" s="70"/>
      <c r="O211" s="71">
        <f t="shared" si="15"/>
        <v>0</v>
      </c>
      <c r="P211" s="71">
        <v>0</v>
      </c>
      <c r="Q211" s="387">
        <f t="shared" si="16"/>
        <v>0</v>
      </c>
    </row>
    <row r="212" spans="1:18" ht="22.5" customHeight="1" x14ac:dyDescent="0.5">
      <c r="A212" s="61">
        <v>15</v>
      </c>
      <c r="B212" s="290" t="s">
        <v>398</v>
      </c>
      <c r="C212" s="63" t="s">
        <v>417</v>
      </c>
      <c r="D212" s="452"/>
      <c r="E212" s="443" t="s">
        <v>795</v>
      </c>
      <c r="F212" s="66"/>
      <c r="G212" s="67">
        <v>3283.84</v>
      </c>
      <c r="H212" s="67">
        <v>0</v>
      </c>
      <c r="I212" s="67">
        <v>3283.84</v>
      </c>
      <c r="J212" s="449"/>
      <c r="K212" s="450"/>
      <c r="L212" s="451"/>
      <c r="M212" s="69" t="s">
        <v>795</v>
      </c>
      <c r="N212" s="70"/>
      <c r="O212" s="71">
        <f t="shared" si="15"/>
        <v>3283.84</v>
      </c>
      <c r="P212" s="71">
        <v>0</v>
      </c>
      <c r="Q212" s="387">
        <f t="shared" si="16"/>
        <v>3283.84</v>
      </c>
    </row>
    <row r="213" spans="1:18" ht="22.5" customHeight="1" x14ac:dyDescent="0.5">
      <c r="A213" s="61">
        <v>16</v>
      </c>
      <c r="B213" s="290" t="s">
        <v>421</v>
      </c>
      <c r="C213" s="63" t="s">
        <v>422</v>
      </c>
      <c r="D213" s="452"/>
      <c r="E213" s="443"/>
      <c r="F213" s="66"/>
      <c r="G213" s="67">
        <v>0</v>
      </c>
      <c r="H213" s="67">
        <v>0</v>
      </c>
      <c r="I213" s="67">
        <v>0</v>
      </c>
      <c r="J213" s="449"/>
      <c r="K213" s="450"/>
      <c r="L213" s="451"/>
      <c r="M213" s="69"/>
      <c r="N213" s="70"/>
      <c r="O213" s="71">
        <f t="shared" si="15"/>
        <v>0</v>
      </c>
      <c r="P213" s="71">
        <v>0</v>
      </c>
      <c r="Q213" s="387">
        <f t="shared" si="16"/>
        <v>0</v>
      </c>
    </row>
    <row r="214" spans="1:18" ht="22.5" customHeight="1" x14ac:dyDescent="0.5">
      <c r="A214" s="61">
        <v>17</v>
      </c>
      <c r="B214" s="290" t="s">
        <v>423</v>
      </c>
      <c r="C214" s="63" t="s">
        <v>424</v>
      </c>
      <c r="D214" s="452"/>
      <c r="E214" s="443"/>
      <c r="F214" s="66"/>
      <c r="G214" s="67">
        <v>0</v>
      </c>
      <c r="H214" s="67">
        <v>0</v>
      </c>
      <c r="I214" s="67">
        <v>0</v>
      </c>
      <c r="J214" s="449"/>
      <c r="K214" s="450"/>
      <c r="L214" s="451"/>
      <c r="M214" s="69"/>
      <c r="N214" s="70"/>
      <c r="O214" s="71">
        <f t="shared" si="15"/>
        <v>0</v>
      </c>
      <c r="P214" s="71">
        <v>0</v>
      </c>
      <c r="Q214" s="387">
        <f t="shared" si="16"/>
        <v>0</v>
      </c>
    </row>
    <row r="215" spans="1:18" ht="22.5" customHeight="1" x14ac:dyDescent="0.5">
      <c r="A215" s="61">
        <v>18</v>
      </c>
      <c r="B215" s="290" t="s">
        <v>425</v>
      </c>
      <c r="C215" s="63" t="s">
        <v>426</v>
      </c>
      <c r="D215" s="452"/>
      <c r="E215" s="443"/>
      <c r="F215" s="66"/>
      <c r="G215" s="67">
        <v>0</v>
      </c>
      <c r="H215" s="67">
        <v>0</v>
      </c>
      <c r="I215" s="67">
        <v>0</v>
      </c>
      <c r="J215" s="449"/>
      <c r="K215" s="450"/>
      <c r="L215" s="451"/>
      <c r="M215" s="69"/>
      <c r="N215" s="70"/>
      <c r="O215" s="71">
        <f t="shared" si="15"/>
        <v>0</v>
      </c>
      <c r="P215" s="71">
        <v>0</v>
      </c>
      <c r="Q215" s="387">
        <f t="shared" si="16"/>
        <v>0</v>
      </c>
    </row>
    <row r="216" spans="1:18" ht="22.5" customHeight="1" x14ac:dyDescent="0.5">
      <c r="A216" s="61">
        <v>19</v>
      </c>
      <c r="B216" s="290" t="s">
        <v>428</v>
      </c>
      <c r="C216" s="63" t="s">
        <v>429</v>
      </c>
      <c r="D216" s="452"/>
      <c r="E216" s="443"/>
      <c r="F216" s="66"/>
      <c r="G216" s="67">
        <v>0</v>
      </c>
      <c r="H216" s="67">
        <v>0</v>
      </c>
      <c r="I216" s="67">
        <v>0</v>
      </c>
      <c r="J216" s="449"/>
      <c r="K216" s="450"/>
      <c r="L216" s="451"/>
      <c r="M216" s="69"/>
      <c r="N216" s="70"/>
      <c r="O216" s="71">
        <f t="shared" si="15"/>
        <v>0</v>
      </c>
      <c r="P216" s="71">
        <v>0</v>
      </c>
      <c r="Q216" s="387">
        <f t="shared" si="16"/>
        <v>0</v>
      </c>
    </row>
    <row r="217" spans="1:18" ht="22.5" customHeight="1" x14ac:dyDescent="0.5">
      <c r="A217" s="61">
        <v>20</v>
      </c>
      <c r="B217" s="290" t="s">
        <v>431</v>
      </c>
      <c r="C217" s="63" t="s">
        <v>432</v>
      </c>
      <c r="D217" s="452"/>
      <c r="E217" s="443"/>
      <c r="F217" s="66"/>
      <c r="G217" s="67">
        <v>0</v>
      </c>
      <c r="H217" s="67">
        <v>0</v>
      </c>
      <c r="I217" s="67">
        <v>0</v>
      </c>
      <c r="J217" s="449"/>
      <c r="K217" s="450"/>
      <c r="L217" s="451"/>
      <c r="M217" s="69"/>
      <c r="N217" s="70"/>
      <c r="O217" s="71">
        <f t="shared" si="15"/>
        <v>0</v>
      </c>
      <c r="P217" s="71">
        <v>0</v>
      </c>
      <c r="Q217" s="387">
        <f t="shared" si="16"/>
        <v>0</v>
      </c>
    </row>
    <row r="218" spans="1:18" ht="22.5" customHeight="1" x14ac:dyDescent="0.5">
      <c r="A218" s="61">
        <v>21</v>
      </c>
      <c r="B218" s="290" t="s">
        <v>433</v>
      </c>
      <c r="C218" s="63" t="s">
        <v>434</v>
      </c>
      <c r="D218" s="452"/>
      <c r="E218" s="443"/>
      <c r="F218" s="66"/>
      <c r="G218" s="67">
        <v>0</v>
      </c>
      <c r="H218" s="67">
        <v>0</v>
      </c>
      <c r="I218" s="67">
        <v>0</v>
      </c>
      <c r="J218" s="449"/>
      <c r="K218" s="450"/>
      <c r="L218" s="451"/>
      <c r="M218" s="69"/>
      <c r="N218" s="70"/>
      <c r="O218" s="71">
        <f t="shared" si="15"/>
        <v>0</v>
      </c>
      <c r="P218" s="71">
        <v>0</v>
      </c>
      <c r="Q218" s="387">
        <f t="shared" si="16"/>
        <v>0</v>
      </c>
    </row>
    <row r="219" spans="1:18" ht="22.5" customHeight="1" x14ac:dyDescent="0.5">
      <c r="A219" s="61">
        <v>22</v>
      </c>
      <c r="B219" s="290" t="s">
        <v>435</v>
      </c>
      <c r="C219" s="63" t="s">
        <v>436</v>
      </c>
      <c r="D219" s="452"/>
      <c r="E219" s="443"/>
      <c r="F219" s="66"/>
      <c r="G219" s="67">
        <v>0</v>
      </c>
      <c r="H219" s="67">
        <v>0</v>
      </c>
      <c r="I219" s="67">
        <v>0</v>
      </c>
      <c r="J219" s="449"/>
      <c r="K219" s="450"/>
      <c r="L219" s="451"/>
      <c r="M219" s="69"/>
      <c r="N219" s="70"/>
      <c r="O219" s="71">
        <f t="shared" si="15"/>
        <v>0</v>
      </c>
      <c r="P219" s="71">
        <v>0</v>
      </c>
      <c r="Q219" s="387">
        <f t="shared" si="16"/>
        <v>0</v>
      </c>
    </row>
    <row r="220" spans="1:18" ht="22.5" customHeight="1" x14ac:dyDescent="0.5">
      <c r="A220" s="61">
        <v>23</v>
      </c>
      <c r="B220" s="290" t="s">
        <v>437</v>
      </c>
      <c r="C220" s="63" t="s">
        <v>438</v>
      </c>
      <c r="D220" s="452"/>
      <c r="E220" s="443"/>
      <c r="F220" s="66"/>
      <c r="G220" s="67">
        <v>0</v>
      </c>
      <c r="H220" s="67">
        <v>0</v>
      </c>
      <c r="I220" s="67">
        <v>0</v>
      </c>
      <c r="J220" s="449"/>
      <c r="K220" s="450"/>
      <c r="L220" s="451"/>
      <c r="M220" s="69"/>
      <c r="N220" s="70"/>
      <c r="O220" s="71">
        <f t="shared" si="15"/>
        <v>0</v>
      </c>
      <c r="P220" s="71">
        <v>0</v>
      </c>
      <c r="Q220" s="387">
        <f t="shared" si="16"/>
        <v>0</v>
      </c>
    </row>
    <row r="221" spans="1:18" ht="22.5" customHeight="1" x14ac:dyDescent="0.5">
      <c r="A221" s="61">
        <v>24</v>
      </c>
      <c r="B221" s="290" t="s">
        <v>439</v>
      </c>
      <c r="C221" s="63" t="s">
        <v>440</v>
      </c>
      <c r="D221" s="452"/>
      <c r="E221" s="443"/>
      <c r="F221" s="66"/>
      <c r="G221" s="67">
        <v>0</v>
      </c>
      <c r="H221" s="67">
        <v>0</v>
      </c>
      <c r="I221" s="67">
        <v>0</v>
      </c>
      <c r="J221" s="449"/>
      <c r="K221" s="450"/>
      <c r="L221" s="451"/>
      <c r="M221" s="69"/>
      <c r="N221" s="70"/>
      <c r="O221" s="71">
        <f t="shared" si="15"/>
        <v>0</v>
      </c>
      <c r="P221" s="71">
        <v>0</v>
      </c>
      <c r="Q221" s="387">
        <f t="shared" si="16"/>
        <v>0</v>
      </c>
    </row>
    <row r="222" spans="1:18" ht="22.5" customHeight="1" x14ac:dyDescent="0.5">
      <c r="A222" s="61">
        <v>25</v>
      </c>
      <c r="B222" s="453" t="s">
        <v>441</v>
      </c>
      <c r="C222" s="63" t="s">
        <v>442</v>
      </c>
      <c r="D222" s="452"/>
      <c r="E222" s="443"/>
      <c r="F222" s="66"/>
      <c r="G222" s="67">
        <v>0</v>
      </c>
      <c r="H222" s="67">
        <v>0</v>
      </c>
      <c r="I222" s="67">
        <v>0</v>
      </c>
      <c r="J222" s="449"/>
      <c r="K222" s="450"/>
      <c r="L222" s="451"/>
      <c r="M222" s="69"/>
      <c r="N222" s="70"/>
      <c r="O222" s="71">
        <f t="shared" si="15"/>
        <v>0</v>
      </c>
      <c r="P222" s="71">
        <v>0</v>
      </c>
      <c r="Q222" s="387">
        <f t="shared" si="16"/>
        <v>0</v>
      </c>
    </row>
    <row r="223" spans="1:18" ht="22.5" customHeight="1" x14ac:dyDescent="0.5">
      <c r="A223" s="61">
        <v>26</v>
      </c>
      <c r="B223" s="290" t="s">
        <v>443</v>
      </c>
      <c r="C223" s="63" t="s">
        <v>444</v>
      </c>
      <c r="D223" s="452"/>
      <c r="E223" s="443"/>
      <c r="F223" s="66"/>
      <c r="G223" s="67">
        <v>0</v>
      </c>
      <c r="H223" s="67">
        <v>0</v>
      </c>
      <c r="I223" s="67">
        <v>0</v>
      </c>
      <c r="J223" s="449"/>
      <c r="K223" s="450"/>
      <c r="L223" s="451"/>
      <c r="M223" s="69"/>
      <c r="N223" s="70"/>
      <c r="O223" s="71">
        <f t="shared" si="15"/>
        <v>0</v>
      </c>
      <c r="P223" s="71">
        <v>0</v>
      </c>
      <c r="Q223" s="387">
        <f t="shared" si="16"/>
        <v>0</v>
      </c>
    </row>
    <row r="224" spans="1:18" ht="22.5" customHeight="1" x14ac:dyDescent="0.5">
      <c r="A224" s="61">
        <v>27</v>
      </c>
      <c r="B224" s="290" t="s">
        <v>445</v>
      </c>
      <c r="C224" s="63" t="s">
        <v>446</v>
      </c>
      <c r="D224" s="452"/>
      <c r="E224" s="443"/>
      <c r="F224" s="66"/>
      <c r="G224" s="67">
        <v>0</v>
      </c>
      <c r="H224" s="67">
        <v>0</v>
      </c>
      <c r="I224" s="67">
        <v>0</v>
      </c>
      <c r="J224" s="449"/>
      <c r="K224" s="450"/>
      <c r="L224" s="451"/>
      <c r="M224" s="69"/>
      <c r="N224" s="70"/>
      <c r="O224" s="71">
        <f t="shared" si="15"/>
        <v>0</v>
      </c>
      <c r="P224" s="71">
        <v>0</v>
      </c>
      <c r="Q224" s="387">
        <f t="shared" si="16"/>
        <v>0</v>
      </c>
    </row>
    <row r="225" spans="1:17" ht="22.5" customHeight="1" x14ac:dyDescent="0.5">
      <c r="A225" s="61">
        <v>28</v>
      </c>
      <c r="B225" s="290" t="s">
        <v>447</v>
      </c>
      <c r="C225" s="63" t="s">
        <v>448</v>
      </c>
      <c r="D225" s="452"/>
      <c r="E225" s="443"/>
      <c r="F225" s="66"/>
      <c r="G225" s="67">
        <v>0</v>
      </c>
      <c r="H225" s="67">
        <v>0</v>
      </c>
      <c r="I225" s="67">
        <v>0</v>
      </c>
      <c r="J225" s="449"/>
      <c r="K225" s="450"/>
      <c r="L225" s="451"/>
      <c r="M225" s="69"/>
      <c r="N225" s="70"/>
      <c r="O225" s="71">
        <f t="shared" si="15"/>
        <v>0</v>
      </c>
      <c r="P225" s="71">
        <v>0</v>
      </c>
      <c r="Q225" s="387">
        <f t="shared" si="16"/>
        <v>0</v>
      </c>
    </row>
    <row r="226" spans="1:17" ht="22.5" customHeight="1" x14ac:dyDescent="0.5">
      <c r="A226" s="61">
        <v>29</v>
      </c>
      <c r="B226" s="290" t="s">
        <v>449</v>
      </c>
      <c r="C226" s="63" t="s">
        <v>450</v>
      </c>
      <c r="D226" s="452"/>
      <c r="E226" s="443"/>
      <c r="F226" s="66"/>
      <c r="G226" s="67">
        <v>0</v>
      </c>
      <c r="H226" s="67">
        <v>0</v>
      </c>
      <c r="I226" s="67">
        <v>0</v>
      </c>
      <c r="J226" s="449"/>
      <c r="K226" s="450"/>
      <c r="L226" s="451"/>
      <c r="M226" s="69"/>
      <c r="N226" s="70"/>
      <c r="O226" s="71">
        <f t="shared" si="15"/>
        <v>0</v>
      </c>
      <c r="P226" s="71">
        <v>0</v>
      </c>
      <c r="Q226" s="387">
        <f t="shared" si="16"/>
        <v>0</v>
      </c>
    </row>
    <row r="227" spans="1:17" ht="22.5" customHeight="1" x14ac:dyDescent="0.5">
      <c r="A227" s="61">
        <v>30</v>
      </c>
      <c r="B227" s="290" t="s">
        <v>451</v>
      </c>
      <c r="C227" s="63" t="s">
        <v>452</v>
      </c>
      <c r="D227" s="452"/>
      <c r="E227" s="443"/>
      <c r="F227" s="66"/>
      <c r="G227" s="67">
        <v>0</v>
      </c>
      <c r="H227" s="67">
        <v>0</v>
      </c>
      <c r="I227" s="67">
        <v>0</v>
      </c>
      <c r="J227" s="449"/>
      <c r="K227" s="450"/>
      <c r="L227" s="451"/>
      <c r="M227" s="69"/>
      <c r="N227" s="70"/>
      <c r="O227" s="71">
        <f t="shared" si="15"/>
        <v>0</v>
      </c>
      <c r="P227" s="71">
        <v>0</v>
      </c>
      <c r="Q227" s="387">
        <f t="shared" si="16"/>
        <v>0</v>
      </c>
    </row>
    <row r="228" spans="1:17" ht="22.5" customHeight="1" x14ac:dyDescent="0.5">
      <c r="A228" s="61">
        <v>31</v>
      </c>
      <c r="B228" s="290" t="s">
        <v>454</v>
      </c>
      <c r="C228" s="63" t="s">
        <v>455</v>
      </c>
      <c r="D228" s="452"/>
      <c r="E228" s="443"/>
      <c r="F228" s="66"/>
      <c r="G228" s="67">
        <v>0</v>
      </c>
      <c r="H228" s="67">
        <v>0</v>
      </c>
      <c r="I228" s="67">
        <v>0</v>
      </c>
      <c r="J228" s="449"/>
      <c r="K228" s="450"/>
      <c r="L228" s="451"/>
      <c r="M228" s="69"/>
      <c r="N228" s="70"/>
      <c r="O228" s="71">
        <f t="shared" si="15"/>
        <v>0</v>
      </c>
      <c r="P228" s="71">
        <v>0</v>
      </c>
      <c r="Q228" s="387">
        <f t="shared" si="16"/>
        <v>0</v>
      </c>
    </row>
    <row r="229" spans="1:17" ht="22.5" customHeight="1" x14ac:dyDescent="0.5">
      <c r="A229" s="61">
        <v>32</v>
      </c>
      <c r="B229" s="290" t="s">
        <v>456</v>
      </c>
      <c r="C229" s="63" t="s">
        <v>457</v>
      </c>
      <c r="D229" s="452"/>
      <c r="E229" s="443" t="s">
        <v>795</v>
      </c>
      <c r="F229" s="66"/>
      <c r="G229" s="67">
        <v>1064.44</v>
      </c>
      <c r="H229" s="67">
        <v>0</v>
      </c>
      <c r="I229" s="67">
        <v>1064.44</v>
      </c>
      <c r="J229" s="449"/>
      <c r="K229" s="450"/>
      <c r="L229" s="451"/>
      <c r="M229" s="69" t="s">
        <v>795</v>
      </c>
      <c r="N229" s="70"/>
      <c r="O229" s="71">
        <f t="shared" si="15"/>
        <v>1064.44</v>
      </c>
      <c r="P229" s="71">
        <v>0</v>
      </c>
      <c r="Q229" s="387">
        <f t="shared" si="16"/>
        <v>1064.44</v>
      </c>
    </row>
    <row r="230" spans="1:17" ht="22.5" customHeight="1" x14ac:dyDescent="0.5">
      <c r="A230" s="61">
        <v>33</v>
      </c>
      <c r="B230" s="290" t="s">
        <v>458</v>
      </c>
      <c r="C230" s="63" t="s">
        <v>459</v>
      </c>
      <c r="D230" s="452"/>
      <c r="E230" s="443"/>
      <c r="F230" s="66"/>
      <c r="G230" s="67">
        <v>0</v>
      </c>
      <c r="H230" s="67">
        <v>0</v>
      </c>
      <c r="I230" s="67">
        <v>0</v>
      </c>
      <c r="J230" s="449"/>
      <c r="K230" s="450"/>
      <c r="L230" s="451"/>
      <c r="M230" s="69"/>
      <c r="N230" s="70"/>
      <c r="O230" s="71">
        <f t="shared" si="15"/>
        <v>0</v>
      </c>
      <c r="P230" s="71">
        <v>0</v>
      </c>
      <c r="Q230" s="387">
        <f t="shared" si="16"/>
        <v>0</v>
      </c>
    </row>
    <row r="231" spans="1:17" ht="22.5" customHeight="1" x14ac:dyDescent="0.5">
      <c r="A231" s="61">
        <v>34</v>
      </c>
      <c r="B231" s="290" t="s">
        <v>460</v>
      </c>
      <c r="C231" s="63" t="s">
        <v>461</v>
      </c>
      <c r="D231" s="452"/>
      <c r="E231" s="443"/>
      <c r="F231" s="66"/>
      <c r="G231" s="67">
        <v>0</v>
      </c>
      <c r="H231" s="67">
        <v>0</v>
      </c>
      <c r="I231" s="67">
        <v>0</v>
      </c>
      <c r="J231" s="449"/>
      <c r="K231" s="450"/>
      <c r="L231" s="451"/>
      <c r="M231" s="69"/>
      <c r="N231" s="70"/>
      <c r="O231" s="71">
        <f t="shared" si="15"/>
        <v>0</v>
      </c>
      <c r="P231" s="71">
        <v>0</v>
      </c>
      <c r="Q231" s="387">
        <f t="shared" si="16"/>
        <v>0</v>
      </c>
    </row>
    <row r="232" spans="1:17" ht="22.5" customHeight="1" x14ac:dyDescent="0.5">
      <c r="A232" s="61">
        <v>35</v>
      </c>
      <c r="B232" s="290" t="s">
        <v>463</v>
      </c>
      <c r="C232" s="63" t="s">
        <v>464</v>
      </c>
      <c r="D232" s="452"/>
      <c r="E232" s="443" t="s">
        <v>795</v>
      </c>
      <c r="F232" s="66"/>
      <c r="G232" s="67">
        <v>1064.44</v>
      </c>
      <c r="H232" s="67">
        <v>0</v>
      </c>
      <c r="I232" s="67">
        <v>1064.44</v>
      </c>
      <c r="J232" s="449"/>
      <c r="K232" s="450"/>
      <c r="L232" s="451"/>
      <c r="M232" s="69" t="s">
        <v>795</v>
      </c>
      <c r="N232" s="70"/>
      <c r="O232" s="71">
        <f t="shared" si="15"/>
        <v>1064.44</v>
      </c>
      <c r="P232" s="71">
        <v>0</v>
      </c>
      <c r="Q232" s="387">
        <f t="shared" si="16"/>
        <v>1064.44</v>
      </c>
    </row>
    <row r="233" spans="1:17" ht="22.5" customHeight="1" x14ac:dyDescent="0.5">
      <c r="A233" s="61">
        <v>36</v>
      </c>
      <c r="B233" s="290" t="s">
        <v>465</v>
      </c>
      <c r="C233" s="63" t="s">
        <v>466</v>
      </c>
      <c r="D233" s="452"/>
      <c r="E233" s="443"/>
      <c r="F233" s="66"/>
      <c r="G233" s="67">
        <v>0</v>
      </c>
      <c r="H233" s="67">
        <v>0</v>
      </c>
      <c r="I233" s="67">
        <v>0</v>
      </c>
      <c r="J233" s="449"/>
      <c r="K233" s="450"/>
      <c r="L233" s="451"/>
      <c r="M233" s="69"/>
      <c r="N233" s="70"/>
      <c r="O233" s="71">
        <f t="shared" si="15"/>
        <v>0</v>
      </c>
      <c r="P233" s="71">
        <v>0</v>
      </c>
      <c r="Q233" s="387">
        <f t="shared" si="16"/>
        <v>0</v>
      </c>
    </row>
    <row r="234" spans="1:17" ht="22.5" customHeight="1" x14ac:dyDescent="0.5">
      <c r="A234" s="61">
        <v>37</v>
      </c>
      <c r="B234" s="290" t="s">
        <v>467</v>
      </c>
      <c r="C234" s="63" t="s">
        <v>468</v>
      </c>
      <c r="D234" s="452"/>
      <c r="E234" s="443"/>
      <c r="F234" s="66"/>
      <c r="G234" s="67">
        <v>0</v>
      </c>
      <c r="H234" s="67">
        <v>0</v>
      </c>
      <c r="I234" s="67">
        <v>0</v>
      </c>
      <c r="J234" s="449"/>
      <c r="K234" s="450"/>
      <c r="L234" s="451"/>
      <c r="M234" s="69"/>
      <c r="N234" s="70"/>
      <c r="O234" s="71">
        <f t="shared" si="15"/>
        <v>0</v>
      </c>
      <c r="P234" s="71">
        <v>0</v>
      </c>
      <c r="Q234" s="387">
        <f t="shared" si="16"/>
        <v>0</v>
      </c>
    </row>
    <row r="235" spans="1:17" ht="22.5" customHeight="1" x14ac:dyDescent="0.5">
      <c r="A235" s="61">
        <v>38</v>
      </c>
      <c r="B235" s="290" t="s">
        <v>469</v>
      </c>
      <c r="C235" s="63" t="s">
        <v>470</v>
      </c>
      <c r="D235" s="452"/>
      <c r="E235" s="443"/>
      <c r="F235" s="66"/>
      <c r="G235" s="67">
        <v>0</v>
      </c>
      <c r="H235" s="67">
        <v>0</v>
      </c>
      <c r="I235" s="67">
        <v>0</v>
      </c>
      <c r="J235" s="449"/>
      <c r="K235" s="450"/>
      <c r="L235" s="451"/>
      <c r="M235" s="69"/>
      <c r="N235" s="70"/>
      <c r="O235" s="71">
        <f t="shared" si="15"/>
        <v>0</v>
      </c>
      <c r="P235" s="71">
        <v>0</v>
      </c>
      <c r="Q235" s="387">
        <f t="shared" si="16"/>
        <v>0</v>
      </c>
    </row>
    <row r="236" spans="1:17" ht="22.5" customHeight="1" x14ac:dyDescent="0.5">
      <c r="A236" s="61">
        <v>39</v>
      </c>
      <c r="B236" s="290" t="s">
        <v>471</v>
      </c>
      <c r="C236" s="63" t="s">
        <v>472</v>
      </c>
      <c r="D236" s="452"/>
      <c r="E236" s="443"/>
      <c r="F236" s="66"/>
      <c r="G236" s="67">
        <v>0</v>
      </c>
      <c r="H236" s="67">
        <v>0</v>
      </c>
      <c r="I236" s="67">
        <v>0</v>
      </c>
      <c r="J236" s="449"/>
      <c r="K236" s="450"/>
      <c r="L236" s="451"/>
      <c r="M236" s="69"/>
      <c r="N236" s="70"/>
      <c r="O236" s="71">
        <f t="shared" si="15"/>
        <v>0</v>
      </c>
      <c r="P236" s="71">
        <v>0</v>
      </c>
      <c r="Q236" s="387">
        <f t="shared" si="16"/>
        <v>0</v>
      </c>
    </row>
    <row r="237" spans="1:17" ht="22.5" customHeight="1" x14ac:dyDescent="0.5">
      <c r="A237" s="61">
        <v>40</v>
      </c>
      <c r="B237" s="290" t="s">
        <v>473</v>
      </c>
      <c r="C237" s="63" t="s">
        <v>474</v>
      </c>
      <c r="D237" s="452"/>
      <c r="E237" s="443"/>
      <c r="F237" s="66"/>
      <c r="G237" s="67">
        <v>0</v>
      </c>
      <c r="H237" s="67">
        <v>0</v>
      </c>
      <c r="I237" s="67">
        <v>0</v>
      </c>
      <c r="J237" s="449"/>
      <c r="K237" s="450"/>
      <c r="L237" s="451"/>
      <c r="M237" s="69"/>
      <c r="N237" s="70"/>
      <c r="O237" s="71">
        <f t="shared" si="15"/>
        <v>0</v>
      </c>
      <c r="P237" s="71">
        <v>0</v>
      </c>
      <c r="Q237" s="387">
        <f t="shared" si="16"/>
        <v>0</v>
      </c>
    </row>
    <row r="238" spans="1:17" ht="22.5" customHeight="1" x14ac:dyDescent="0.5">
      <c r="A238" s="61">
        <v>41</v>
      </c>
      <c r="B238" s="290" t="s">
        <v>475</v>
      </c>
      <c r="C238" s="63" t="s">
        <v>476</v>
      </c>
      <c r="D238" s="452"/>
      <c r="E238" s="443"/>
      <c r="F238" s="66"/>
      <c r="G238" s="67">
        <v>0</v>
      </c>
      <c r="H238" s="67">
        <v>0</v>
      </c>
      <c r="I238" s="67">
        <v>0</v>
      </c>
      <c r="J238" s="449"/>
      <c r="K238" s="450"/>
      <c r="L238" s="451"/>
      <c r="M238" s="69"/>
      <c r="N238" s="70"/>
      <c r="O238" s="71">
        <f t="shared" si="15"/>
        <v>0</v>
      </c>
      <c r="P238" s="71">
        <v>0</v>
      </c>
      <c r="Q238" s="387">
        <f t="shared" si="16"/>
        <v>0</v>
      </c>
    </row>
    <row r="239" spans="1:17" ht="22.5" customHeight="1" x14ac:dyDescent="0.5">
      <c r="A239" s="61">
        <v>42</v>
      </c>
      <c r="B239" s="290" t="s">
        <v>477</v>
      </c>
      <c r="C239" s="63" t="s">
        <v>478</v>
      </c>
      <c r="D239" s="452"/>
      <c r="E239" s="443"/>
      <c r="F239" s="66"/>
      <c r="G239" s="67">
        <v>0</v>
      </c>
      <c r="H239" s="67">
        <v>0</v>
      </c>
      <c r="I239" s="67">
        <v>0</v>
      </c>
      <c r="J239" s="449"/>
      <c r="K239" s="450"/>
      <c r="L239" s="451"/>
      <c r="M239" s="69"/>
      <c r="N239" s="70"/>
      <c r="O239" s="71">
        <f t="shared" si="15"/>
        <v>0</v>
      </c>
      <c r="P239" s="71">
        <v>0</v>
      </c>
      <c r="Q239" s="387">
        <f t="shared" si="16"/>
        <v>0</v>
      </c>
    </row>
    <row r="240" spans="1:17" ht="22.5" customHeight="1" x14ac:dyDescent="0.5">
      <c r="A240" s="61">
        <v>43</v>
      </c>
      <c r="B240" s="290" t="s">
        <v>479</v>
      </c>
      <c r="C240" s="63" t="s">
        <v>480</v>
      </c>
      <c r="D240" s="452"/>
      <c r="E240" s="443"/>
      <c r="F240" s="66"/>
      <c r="G240" s="67">
        <v>0</v>
      </c>
      <c r="H240" s="67">
        <v>0</v>
      </c>
      <c r="I240" s="67">
        <v>0</v>
      </c>
      <c r="J240" s="449"/>
      <c r="K240" s="450"/>
      <c r="L240" s="451"/>
      <c r="M240" s="69"/>
      <c r="N240" s="70"/>
      <c r="O240" s="71">
        <f t="shared" si="15"/>
        <v>0</v>
      </c>
      <c r="P240" s="71">
        <v>0</v>
      </c>
      <c r="Q240" s="387">
        <f t="shared" si="16"/>
        <v>0</v>
      </c>
    </row>
    <row r="241" spans="1:18" ht="22.5" customHeight="1" x14ac:dyDescent="0.5">
      <c r="A241" s="61">
        <v>44</v>
      </c>
      <c r="B241" s="290" t="s">
        <v>482</v>
      </c>
      <c r="C241" s="63" t="s">
        <v>483</v>
      </c>
      <c r="D241" s="452"/>
      <c r="E241" s="443"/>
      <c r="F241" s="66"/>
      <c r="G241" s="67">
        <v>0</v>
      </c>
      <c r="H241" s="67">
        <v>0</v>
      </c>
      <c r="I241" s="67">
        <v>0</v>
      </c>
      <c r="J241" s="449"/>
      <c r="K241" s="450"/>
      <c r="L241" s="451"/>
      <c r="M241" s="69"/>
      <c r="N241" s="70"/>
      <c r="O241" s="71">
        <f t="shared" si="15"/>
        <v>0</v>
      </c>
      <c r="P241" s="71">
        <v>0</v>
      </c>
      <c r="Q241" s="387">
        <f t="shared" si="16"/>
        <v>0</v>
      </c>
    </row>
    <row r="242" spans="1:18" ht="22.5" customHeight="1" x14ac:dyDescent="0.5">
      <c r="A242" s="61">
        <v>45</v>
      </c>
      <c r="B242" s="290" t="s">
        <v>484</v>
      </c>
      <c r="C242" s="63" t="s">
        <v>485</v>
      </c>
      <c r="D242" s="452"/>
      <c r="E242" s="443"/>
      <c r="F242" s="66"/>
      <c r="G242" s="67">
        <v>0</v>
      </c>
      <c r="H242" s="67">
        <v>0</v>
      </c>
      <c r="I242" s="67">
        <v>0</v>
      </c>
      <c r="J242" s="449"/>
      <c r="K242" s="450"/>
      <c r="L242" s="451"/>
      <c r="M242" s="69"/>
      <c r="N242" s="70"/>
      <c r="O242" s="71">
        <f t="shared" si="15"/>
        <v>0</v>
      </c>
      <c r="P242" s="71">
        <v>0</v>
      </c>
      <c r="Q242" s="387">
        <f t="shared" si="16"/>
        <v>0</v>
      </c>
    </row>
    <row r="243" spans="1:18" ht="22.5" customHeight="1" x14ac:dyDescent="0.5">
      <c r="A243" s="23">
        <v>46</v>
      </c>
      <c r="B243" s="290" t="s">
        <v>486</v>
      </c>
      <c r="C243" s="25" t="s">
        <v>487</v>
      </c>
      <c r="D243" s="452"/>
      <c r="E243" s="454"/>
      <c r="F243" s="213"/>
      <c r="G243" s="219">
        <v>0</v>
      </c>
      <c r="H243" s="219">
        <v>0</v>
      </c>
      <c r="I243" s="219">
        <v>0</v>
      </c>
      <c r="J243" s="449"/>
      <c r="K243" s="450"/>
      <c r="L243" s="451"/>
      <c r="M243" s="41"/>
      <c r="N243" s="34"/>
      <c r="O243" s="71">
        <f t="shared" si="15"/>
        <v>0</v>
      </c>
      <c r="P243" s="71">
        <v>0</v>
      </c>
      <c r="Q243" s="387">
        <f t="shared" si="16"/>
        <v>0</v>
      </c>
    </row>
    <row r="244" spans="1:18" ht="22.5" customHeight="1" x14ac:dyDescent="0.5">
      <c r="A244" s="61">
        <v>47</v>
      </c>
      <c r="B244" s="392" t="s">
        <v>489</v>
      </c>
      <c r="C244" s="63" t="s">
        <v>490</v>
      </c>
      <c r="D244" s="452"/>
      <c r="E244" s="443"/>
      <c r="F244" s="66"/>
      <c r="G244" s="67">
        <v>0</v>
      </c>
      <c r="H244" s="67">
        <v>0</v>
      </c>
      <c r="I244" s="67">
        <v>0</v>
      </c>
      <c r="J244" s="449"/>
      <c r="K244" s="450"/>
      <c r="L244" s="451"/>
      <c r="M244" s="69"/>
      <c r="N244" s="70"/>
      <c r="O244" s="71">
        <f t="shared" si="15"/>
        <v>0</v>
      </c>
      <c r="P244" s="71">
        <v>0</v>
      </c>
      <c r="Q244" s="387">
        <f t="shared" si="16"/>
        <v>0</v>
      </c>
    </row>
    <row r="245" spans="1:18" ht="22.5" customHeight="1" x14ac:dyDescent="0.5">
      <c r="A245" s="23">
        <v>48</v>
      </c>
      <c r="B245" s="290" t="s">
        <v>491</v>
      </c>
      <c r="C245" s="25" t="s">
        <v>492</v>
      </c>
      <c r="D245" s="452"/>
      <c r="E245" s="454"/>
      <c r="F245" s="213"/>
      <c r="G245" s="219">
        <v>0</v>
      </c>
      <c r="H245" s="219">
        <v>0</v>
      </c>
      <c r="I245" s="219">
        <v>0</v>
      </c>
      <c r="J245" s="449"/>
      <c r="K245" s="450"/>
      <c r="L245" s="451"/>
      <c r="M245" s="41"/>
      <c r="N245" s="34"/>
      <c r="O245" s="71">
        <f t="shared" si="15"/>
        <v>0</v>
      </c>
      <c r="P245" s="71">
        <v>0</v>
      </c>
      <c r="Q245" s="387">
        <f t="shared" si="16"/>
        <v>0</v>
      </c>
    </row>
    <row r="246" spans="1:18" ht="22.5" customHeight="1" x14ac:dyDescent="0.5">
      <c r="A246" s="23">
        <v>49</v>
      </c>
      <c r="B246" s="290" t="s">
        <v>493</v>
      </c>
      <c r="C246" s="25" t="s">
        <v>494</v>
      </c>
      <c r="D246" s="452"/>
      <c r="E246" s="454" t="s">
        <v>795</v>
      </c>
      <c r="F246" s="213"/>
      <c r="G246" s="219">
        <v>2061.84</v>
      </c>
      <c r="H246" s="219">
        <v>0</v>
      </c>
      <c r="I246" s="219">
        <v>2061.84</v>
      </c>
      <c r="J246" s="449"/>
      <c r="K246" s="450"/>
      <c r="L246" s="451"/>
      <c r="M246" s="41" t="s">
        <v>795</v>
      </c>
      <c r="N246" s="34"/>
      <c r="O246" s="71">
        <f t="shared" si="15"/>
        <v>2061.84</v>
      </c>
      <c r="P246" s="71">
        <v>0</v>
      </c>
      <c r="Q246" s="387">
        <f t="shared" si="16"/>
        <v>2061.84</v>
      </c>
    </row>
    <row r="247" spans="1:18" ht="22.5" customHeight="1" x14ac:dyDescent="0.5">
      <c r="A247" s="23">
        <v>50</v>
      </c>
      <c r="B247" s="290" t="s">
        <v>495</v>
      </c>
      <c r="C247" s="25" t="s">
        <v>496</v>
      </c>
      <c r="D247" s="452"/>
      <c r="E247" s="454" t="s">
        <v>795</v>
      </c>
      <c r="F247" s="213"/>
      <c r="G247" s="219">
        <v>20595.900000000001</v>
      </c>
      <c r="H247" s="219">
        <v>0</v>
      </c>
      <c r="I247" s="219">
        <v>20595.900000000001</v>
      </c>
      <c r="J247" s="449"/>
      <c r="K247" s="450"/>
      <c r="L247" s="451"/>
      <c r="M247" s="41" t="s">
        <v>795</v>
      </c>
      <c r="N247" s="34"/>
      <c r="O247" s="71">
        <f t="shared" si="15"/>
        <v>20595.900000000001</v>
      </c>
      <c r="P247" s="71">
        <v>0</v>
      </c>
      <c r="Q247" s="387">
        <f t="shared" si="16"/>
        <v>20595.900000000001</v>
      </c>
    </row>
    <row r="248" spans="1:18" s="60" customFormat="1" ht="22.5" customHeight="1" thickBot="1" x14ac:dyDescent="0.35">
      <c r="A248" s="362"/>
      <c r="B248" s="362" t="s">
        <v>15</v>
      </c>
      <c r="C248" s="455"/>
      <c r="D248" s="456">
        <v>0</v>
      </c>
      <c r="E248" s="362"/>
      <c r="F248" s="363"/>
      <c r="G248" s="456">
        <f>SUM(G196:G247)</f>
        <v>48918.16</v>
      </c>
      <c r="H248" s="456">
        <f>SUM(H196:H247)</f>
        <v>0</v>
      </c>
      <c r="I248" s="456">
        <f>SUM(I196:I247)</f>
        <v>48918.16</v>
      </c>
      <c r="J248" s="457"/>
      <c r="K248" s="458"/>
      <c r="L248" s="458">
        <f>SUM(L196:L247)</f>
        <v>0</v>
      </c>
      <c r="M248" s="362"/>
      <c r="N248" s="363"/>
      <c r="O248" s="364">
        <f>SUM(O196:O247)</f>
        <v>48918.16</v>
      </c>
      <c r="P248" s="364">
        <f>SUM(P196:P247)</f>
        <v>0</v>
      </c>
      <c r="Q248" s="364">
        <f>SUM(Q196:Q247)</f>
        <v>48918.16</v>
      </c>
    </row>
    <row r="249" spans="1:18" s="60" customFormat="1" ht="22.5" customHeight="1" thickTop="1" thickBot="1" x14ac:dyDescent="0.35">
      <c r="A249" s="459"/>
      <c r="B249" s="460" t="s">
        <v>497</v>
      </c>
      <c r="C249" s="461"/>
      <c r="D249" s="462">
        <f t="shared" ref="D249:P249" si="17">SUM(D12+D27+D31+D35+D38+D42+D110+D154+D164+D172+D182+D186+D189+D193+D248)</f>
        <v>1164066.73</v>
      </c>
      <c r="E249" s="462">
        <f t="shared" si="17"/>
        <v>0</v>
      </c>
      <c r="F249" s="462">
        <f t="shared" si="17"/>
        <v>0</v>
      </c>
      <c r="G249" s="462">
        <f t="shared" si="17"/>
        <v>339739.35121495323</v>
      </c>
      <c r="H249" s="462">
        <f t="shared" si="17"/>
        <v>11668.256385046729</v>
      </c>
      <c r="I249" s="462">
        <f t="shared" si="17"/>
        <v>351392.60759999999</v>
      </c>
      <c r="J249" s="462">
        <f t="shared" si="17"/>
        <v>0</v>
      </c>
      <c r="K249" s="462">
        <f t="shared" si="17"/>
        <v>0</v>
      </c>
      <c r="L249" s="462">
        <f t="shared" si="17"/>
        <v>1160947.83</v>
      </c>
      <c r="M249" s="462">
        <f t="shared" si="17"/>
        <v>0</v>
      </c>
      <c r="N249" s="462">
        <f t="shared" si="17"/>
        <v>0</v>
      </c>
      <c r="O249" s="462">
        <f t="shared" si="17"/>
        <v>351091.56897196267</v>
      </c>
      <c r="P249" s="462">
        <f t="shared" si="17"/>
        <v>13419.938628037384</v>
      </c>
      <c r="Q249" s="462">
        <f>SUM(Q12+Q27+Q31+Q35+Q38+Q42+Q110+Q154+Q164+Q172+Q182+Q186+Q189+Q193+Q248)</f>
        <v>364511.50760000013</v>
      </c>
    </row>
    <row r="250" spans="1:18" ht="22.5" customHeight="1" thickTop="1" x14ac:dyDescent="0.3">
      <c r="E250" s="469"/>
      <c r="F250" s="470"/>
      <c r="G250" s="3"/>
      <c r="H250" s="3"/>
      <c r="I250" s="3"/>
      <c r="M250" s="3"/>
      <c r="N250" s="470"/>
      <c r="O250" s="471"/>
      <c r="P250" s="471"/>
      <c r="Q250" s="472"/>
    </row>
    <row r="251" spans="1:18" ht="22.5" customHeight="1" x14ac:dyDescent="0.3">
      <c r="A251" s="1123" t="s">
        <v>498</v>
      </c>
      <c r="B251" s="1124"/>
      <c r="C251" s="1124"/>
      <c r="D251" s="1124"/>
      <c r="E251" s="1124"/>
      <c r="F251" s="1124"/>
      <c r="G251" s="1124"/>
      <c r="H251" s="1124"/>
      <c r="I251" s="1124"/>
      <c r="J251" s="1124"/>
      <c r="K251" s="1124"/>
      <c r="L251" s="1124"/>
      <c r="M251" s="1124"/>
      <c r="N251" s="1124"/>
      <c r="O251" s="1124"/>
      <c r="P251" s="1124"/>
      <c r="Q251" s="1125"/>
      <c r="R251" s="2"/>
    </row>
    <row r="252" spans="1:18" ht="22.5" customHeight="1" x14ac:dyDescent="0.3">
      <c r="A252" s="115"/>
      <c r="B252" s="164" t="s">
        <v>499</v>
      </c>
      <c r="C252" s="165"/>
      <c r="D252" s="86"/>
      <c r="E252" s="167"/>
      <c r="F252" s="168"/>
      <c r="G252" s="473"/>
      <c r="H252" s="473"/>
      <c r="I252" s="473"/>
      <c r="J252" s="170"/>
      <c r="K252" s="171"/>
      <c r="L252" s="86"/>
      <c r="M252" s="117"/>
      <c r="N252" s="118"/>
      <c r="O252" s="474"/>
      <c r="P252" s="474"/>
      <c r="Q252" s="370"/>
      <c r="R252" s="2"/>
    </row>
    <row r="253" spans="1:18" ht="22.5" customHeight="1" x14ac:dyDescent="0.3">
      <c r="A253" s="475">
        <v>1</v>
      </c>
      <c r="B253" s="476" t="s">
        <v>500</v>
      </c>
      <c r="C253" s="477" t="s">
        <v>501</v>
      </c>
      <c r="D253" s="478">
        <v>0</v>
      </c>
      <c r="E253" s="479"/>
      <c r="F253" s="480"/>
      <c r="G253" s="481">
        <v>325409.68</v>
      </c>
      <c r="H253" s="482"/>
      <c r="I253" s="481">
        <v>325409.68</v>
      </c>
      <c r="J253" s="303"/>
      <c r="K253" s="303"/>
      <c r="L253" s="483"/>
      <c r="M253" s="484"/>
      <c r="N253" s="485"/>
      <c r="O253" s="486">
        <v>325409.68</v>
      </c>
      <c r="P253" s="486"/>
      <c r="Q253" s="487">
        <v>325409.68</v>
      </c>
      <c r="R253" s="2" t="s">
        <v>502</v>
      </c>
    </row>
    <row r="254" spans="1:18" ht="22.5" customHeight="1" x14ac:dyDescent="0.3">
      <c r="A254" s="488"/>
      <c r="B254" s="489" t="s">
        <v>503</v>
      </c>
      <c r="C254" s="490"/>
      <c r="D254" s="491"/>
      <c r="E254" s="479"/>
      <c r="F254" s="480"/>
      <c r="G254" s="481"/>
      <c r="H254" s="482"/>
      <c r="I254" s="481"/>
      <c r="J254" s="492"/>
      <c r="K254" s="492"/>
      <c r="L254" s="493"/>
      <c r="M254" s="484"/>
      <c r="N254" s="494"/>
      <c r="O254" s="495"/>
      <c r="P254" s="486"/>
      <c r="Q254" s="487"/>
      <c r="R254" s="2"/>
    </row>
    <row r="255" spans="1:18" ht="22.5" customHeight="1" x14ac:dyDescent="0.3">
      <c r="A255" s="475">
        <v>2</v>
      </c>
      <c r="B255" s="476" t="s">
        <v>504</v>
      </c>
      <c r="C255" s="477" t="s">
        <v>415</v>
      </c>
      <c r="D255" s="478">
        <v>0</v>
      </c>
      <c r="E255" s="479"/>
      <c r="F255" s="480"/>
      <c r="G255" s="481">
        <v>74600.88</v>
      </c>
      <c r="H255" s="482">
        <v>0</v>
      </c>
      <c r="I255" s="481">
        <v>74600.88</v>
      </c>
      <c r="J255" s="492"/>
      <c r="K255" s="492"/>
      <c r="L255" s="493"/>
      <c r="M255" s="484"/>
      <c r="N255" s="494"/>
      <c r="O255" s="495">
        <v>74600.88</v>
      </c>
      <c r="P255" s="496">
        <v>0</v>
      </c>
      <c r="Q255" s="497">
        <v>74600.88</v>
      </c>
      <c r="R255" s="2"/>
    </row>
    <row r="256" spans="1:18" ht="22.5" customHeight="1" x14ac:dyDescent="0.3">
      <c r="A256" s="475"/>
      <c r="B256" s="489" t="s">
        <v>505</v>
      </c>
      <c r="C256" s="498"/>
      <c r="D256" s="499"/>
      <c r="E256" s="500"/>
      <c r="F256" s="501"/>
      <c r="G256" s="481"/>
      <c r="H256" s="482"/>
      <c r="I256" s="481"/>
      <c r="J256" s="492"/>
      <c r="K256" s="492"/>
      <c r="L256" s="493"/>
      <c r="M256" s="484"/>
      <c r="N256" s="494"/>
      <c r="O256" s="495"/>
      <c r="P256" s="496"/>
      <c r="Q256" s="497"/>
      <c r="R256" s="2"/>
    </row>
    <row r="257" spans="1:20" ht="22.5" customHeight="1" x14ac:dyDescent="0.3">
      <c r="A257" s="502">
        <v>3</v>
      </c>
      <c r="B257" s="503" t="s">
        <v>506</v>
      </c>
      <c r="C257" s="504" t="s">
        <v>507</v>
      </c>
      <c r="D257" s="505">
        <v>0</v>
      </c>
      <c r="E257" s="506"/>
      <c r="F257" s="507"/>
      <c r="G257" s="508">
        <v>32500</v>
      </c>
      <c r="H257" s="508">
        <v>0</v>
      </c>
      <c r="I257" s="508">
        <v>32500</v>
      </c>
      <c r="J257" s="492"/>
      <c r="K257" s="492"/>
      <c r="L257" s="298"/>
      <c r="M257" s="509"/>
      <c r="N257" s="510"/>
      <c r="O257" s="511">
        <v>32500</v>
      </c>
      <c r="P257" s="512">
        <v>0</v>
      </c>
      <c r="Q257" s="513">
        <v>32500</v>
      </c>
      <c r="R257" s="2"/>
    </row>
    <row r="258" spans="1:20" ht="22.5" customHeight="1" x14ac:dyDescent="0.3">
      <c r="A258" s="488"/>
      <c r="B258" s="489" t="s">
        <v>508</v>
      </c>
      <c r="C258" s="514"/>
      <c r="D258" s="515"/>
      <c r="E258" s="516"/>
      <c r="F258" s="517"/>
      <c r="G258" s="518"/>
      <c r="H258" s="519"/>
      <c r="I258" s="518"/>
      <c r="J258" s="492"/>
      <c r="K258" s="492"/>
      <c r="L258" s="493"/>
      <c r="M258" s="520"/>
      <c r="N258" s="521"/>
      <c r="O258" s="522"/>
      <c r="P258" s="523"/>
      <c r="Q258" s="524"/>
    </row>
    <row r="259" spans="1:20" ht="22.5" customHeight="1" x14ac:dyDescent="0.3">
      <c r="A259" s="488">
        <v>4</v>
      </c>
      <c r="B259" s="525" t="s">
        <v>509</v>
      </c>
      <c r="C259" s="526" t="s">
        <v>510</v>
      </c>
      <c r="D259" s="515"/>
      <c r="E259" s="527"/>
      <c r="F259" s="517"/>
      <c r="G259" s="528">
        <v>796450.4</v>
      </c>
      <c r="H259" s="519"/>
      <c r="I259" s="528">
        <v>796450.4</v>
      </c>
      <c r="J259" s="515"/>
      <c r="K259" s="492"/>
      <c r="L259" s="493"/>
      <c r="M259" s="521"/>
      <c r="N259" s="529"/>
      <c r="O259" s="530">
        <v>796450.4</v>
      </c>
      <c r="P259" s="531"/>
      <c r="Q259" s="532">
        <v>796450.4</v>
      </c>
    </row>
    <row r="260" spans="1:20" ht="22.5" customHeight="1" x14ac:dyDescent="0.3">
      <c r="A260" s="533"/>
      <c r="B260" s="534" t="s">
        <v>509</v>
      </c>
      <c r="C260" s="535" t="s">
        <v>511</v>
      </c>
      <c r="D260" s="536"/>
      <c r="E260" s="537"/>
      <c r="F260" s="538"/>
      <c r="G260" s="539">
        <v>93330</v>
      </c>
      <c r="H260" s="540"/>
      <c r="I260" s="539">
        <v>93330</v>
      </c>
      <c r="J260" s="536"/>
      <c r="K260" s="541"/>
      <c r="L260" s="542"/>
      <c r="M260" s="543"/>
      <c r="N260" s="544"/>
      <c r="O260" s="545">
        <v>93330</v>
      </c>
      <c r="P260" s="546"/>
      <c r="Q260" s="547">
        <v>93330</v>
      </c>
    </row>
    <row r="261" spans="1:20" s="60" customFormat="1" ht="22.5" customHeight="1" thickBot="1" x14ac:dyDescent="0.35">
      <c r="A261" s="548"/>
      <c r="B261" s="548" t="s">
        <v>15</v>
      </c>
      <c r="C261" s="549"/>
      <c r="D261" s="550">
        <v>0</v>
      </c>
      <c r="E261" s="551"/>
      <c r="F261" s="552"/>
      <c r="G261" s="553">
        <v>1322290.96</v>
      </c>
      <c r="H261" s="553">
        <v>0</v>
      </c>
      <c r="I261" s="553">
        <v>1322290.96</v>
      </c>
      <c r="J261" s="554"/>
      <c r="K261" s="554"/>
      <c r="L261" s="550">
        <v>0</v>
      </c>
      <c r="M261" s="555"/>
      <c r="N261" s="556"/>
      <c r="O261" s="557">
        <v>1322290.96</v>
      </c>
      <c r="P261" s="557">
        <v>0</v>
      </c>
      <c r="Q261" s="558">
        <v>1322290.96</v>
      </c>
      <c r="R261" s="59"/>
    </row>
    <row r="262" spans="1:20" ht="22.5" customHeight="1" thickTop="1" x14ac:dyDescent="0.3">
      <c r="A262" s="559"/>
      <c r="B262" s="560" t="s">
        <v>92</v>
      </c>
      <c r="C262" s="561"/>
      <c r="D262" s="562"/>
      <c r="E262" s="563"/>
      <c r="F262" s="564"/>
      <c r="G262" s="565"/>
      <c r="H262" s="565"/>
      <c r="I262" s="565"/>
      <c r="J262" s="566"/>
      <c r="K262" s="566"/>
      <c r="L262" s="562"/>
      <c r="M262" s="567"/>
      <c r="N262" s="568"/>
      <c r="O262" s="569"/>
      <c r="P262" s="569"/>
      <c r="Q262" s="570"/>
      <c r="R262" s="2"/>
    </row>
    <row r="263" spans="1:20" ht="22.5" customHeight="1" x14ac:dyDescent="0.3">
      <c r="A263" s="23">
        <v>1</v>
      </c>
      <c r="B263" s="73" t="s">
        <v>512</v>
      </c>
      <c r="C263" s="25" t="s">
        <v>97</v>
      </c>
      <c r="D263" s="43">
        <v>0</v>
      </c>
      <c r="E263" s="212" t="s">
        <v>513</v>
      </c>
      <c r="F263" s="213" t="s">
        <v>514</v>
      </c>
      <c r="G263" s="219">
        <v>9813.08</v>
      </c>
      <c r="H263" s="219">
        <v>686.91560000000004</v>
      </c>
      <c r="I263" s="219">
        <v>10499.9956</v>
      </c>
      <c r="J263" s="408"/>
      <c r="K263" s="408"/>
      <c r="L263" s="43"/>
      <c r="M263" s="41" t="s">
        <v>513</v>
      </c>
      <c r="N263" s="34" t="s">
        <v>514</v>
      </c>
      <c r="O263" s="114">
        <v>9813.08</v>
      </c>
      <c r="P263" s="114">
        <v>686.91560000000004</v>
      </c>
      <c r="Q263" s="36">
        <v>10499.9956</v>
      </c>
      <c r="R263" s="2"/>
    </row>
    <row r="264" spans="1:20" s="60" customFormat="1" ht="22.5" customHeight="1" thickBot="1" x14ac:dyDescent="0.35">
      <c r="A264" s="548"/>
      <c r="B264" s="548" t="s">
        <v>15</v>
      </c>
      <c r="C264" s="549"/>
      <c r="D264" s="550"/>
      <c r="E264" s="571"/>
      <c r="F264" s="552"/>
      <c r="G264" s="553">
        <v>9813.08</v>
      </c>
      <c r="H264" s="553">
        <v>686.91560000000004</v>
      </c>
      <c r="I264" s="553">
        <v>10499.9956</v>
      </c>
      <c r="J264" s="554"/>
      <c r="K264" s="554"/>
      <c r="L264" s="550"/>
      <c r="M264" s="548"/>
      <c r="N264" s="552"/>
      <c r="O264" s="557">
        <v>9813.08</v>
      </c>
      <c r="P264" s="557">
        <v>686.91560000000004</v>
      </c>
      <c r="Q264" s="558">
        <v>10499.9956</v>
      </c>
      <c r="R264" s="59"/>
    </row>
    <row r="265" spans="1:20" s="60" customFormat="1" ht="22.5" customHeight="1" thickTop="1" thickBot="1" x14ac:dyDescent="0.35">
      <c r="A265" s="572"/>
      <c r="B265" s="572" t="s">
        <v>515</v>
      </c>
      <c r="C265" s="573"/>
      <c r="D265" s="574"/>
      <c r="E265" s="575"/>
      <c r="F265" s="576"/>
      <c r="G265" s="577">
        <v>1332104.04</v>
      </c>
      <c r="H265" s="577">
        <v>686.91560000000004</v>
      </c>
      <c r="I265" s="577">
        <v>1332790.9556</v>
      </c>
      <c r="J265" s="578"/>
      <c r="K265" s="578"/>
      <c r="L265" s="579">
        <v>0</v>
      </c>
      <c r="M265" s="580"/>
      <c r="N265" s="581"/>
      <c r="O265" s="582">
        <v>1332104.04</v>
      </c>
      <c r="P265" s="582">
        <v>686.91560000000004</v>
      </c>
      <c r="Q265" s="583">
        <v>1332790.9556</v>
      </c>
      <c r="R265" s="59"/>
    </row>
    <row r="266" spans="1:20" ht="22.5" customHeight="1" thickTop="1" x14ac:dyDescent="0.3">
      <c r="E266" s="469"/>
      <c r="F266" s="470"/>
      <c r="G266" s="3"/>
      <c r="H266" s="3"/>
      <c r="I266" s="3"/>
      <c r="J266" s="584"/>
      <c r="K266" s="585"/>
      <c r="M266" s="470"/>
      <c r="N266" s="586"/>
      <c r="O266" s="471"/>
      <c r="P266" s="471"/>
      <c r="Q266" s="472"/>
      <c r="R266" s="2"/>
    </row>
    <row r="267" spans="1:20" s="589" customFormat="1" ht="20.399999999999999" x14ac:dyDescent="0.5">
      <c r="A267" s="1126" t="s">
        <v>516</v>
      </c>
      <c r="B267" s="1127"/>
      <c r="C267" s="1127"/>
      <c r="D267" s="1127"/>
      <c r="E267" s="1127"/>
      <c r="F267" s="1127"/>
      <c r="G267" s="1127"/>
      <c r="H267" s="1127"/>
      <c r="I267" s="1127"/>
      <c r="J267" s="1127"/>
      <c r="K267" s="1127"/>
      <c r="L267" s="1127"/>
      <c r="M267" s="1127"/>
      <c r="N267" s="1127"/>
      <c r="O267" s="1127"/>
      <c r="P267" s="1127"/>
      <c r="Q267" s="1127"/>
      <c r="R267" s="587"/>
      <c r="S267" s="587"/>
      <c r="T267" s="588"/>
    </row>
    <row r="268" spans="1:20" s="599" customFormat="1" x14ac:dyDescent="0.6">
      <c r="A268" s="590">
        <v>1</v>
      </c>
      <c r="B268" s="591" t="s">
        <v>517</v>
      </c>
      <c r="C268" s="591" t="s">
        <v>518</v>
      </c>
      <c r="D268" s="592">
        <v>0</v>
      </c>
      <c r="E268" s="593"/>
      <c r="F268" s="594"/>
      <c r="G268" s="595">
        <v>0</v>
      </c>
      <c r="H268" s="595">
        <v>0</v>
      </c>
      <c r="I268" s="595">
        <v>0</v>
      </c>
      <c r="J268" s="596"/>
      <c r="K268" s="596"/>
      <c r="L268" s="597"/>
      <c r="M268" s="598"/>
      <c r="N268" s="594"/>
      <c r="O268" s="595">
        <v>0</v>
      </c>
      <c r="P268" s="595">
        <v>0</v>
      </c>
      <c r="Q268" s="595">
        <v>0</v>
      </c>
      <c r="T268" s="600"/>
    </row>
    <row r="269" spans="1:20" s="599" customFormat="1" x14ac:dyDescent="0.6">
      <c r="A269" s="601">
        <v>2</v>
      </c>
      <c r="B269" s="602" t="s">
        <v>519</v>
      </c>
      <c r="C269" s="602" t="s">
        <v>520</v>
      </c>
      <c r="D269" s="603">
        <v>0</v>
      </c>
      <c r="E269" s="604"/>
      <c r="F269" s="605"/>
      <c r="G269" s="606">
        <v>54000</v>
      </c>
      <c r="H269" s="606">
        <v>0</v>
      </c>
      <c r="I269" s="606">
        <v>54000</v>
      </c>
      <c r="J269" s="607"/>
      <c r="K269" s="607"/>
      <c r="L269" s="608"/>
      <c r="M269" s="604"/>
      <c r="N269" s="605"/>
      <c r="O269" s="609">
        <v>54000</v>
      </c>
      <c r="P269" s="609">
        <v>0</v>
      </c>
      <c r="Q269" s="609">
        <v>54000</v>
      </c>
      <c r="T269" s="600"/>
    </row>
    <row r="270" spans="1:20" s="599" customFormat="1" x14ac:dyDescent="0.6">
      <c r="A270" s="610">
        <v>3</v>
      </c>
      <c r="B270" s="611" t="s">
        <v>521</v>
      </c>
      <c r="C270" s="611" t="s">
        <v>522</v>
      </c>
      <c r="D270" s="612">
        <v>0</v>
      </c>
      <c r="E270" s="613"/>
      <c r="F270" s="614"/>
      <c r="G270" s="615">
        <v>0</v>
      </c>
      <c r="H270" s="615">
        <v>0</v>
      </c>
      <c r="I270" s="615">
        <v>0</v>
      </c>
      <c r="J270" s="616"/>
      <c r="K270" s="616"/>
      <c r="L270" s="617"/>
      <c r="M270" s="618"/>
      <c r="N270" s="614"/>
      <c r="O270" s="609">
        <v>0</v>
      </c>
      <c r="P270" s="609">
        <v>0</v>
      </c>
      <c r="Q270" s="609">
        <v>0</v>
      </c>
      <c r="T270" s="600"/>
    </row>
    <row r="271" spans="1:20" s="599" customFormat="1" ht="24" thickBot="1" x14ac:dyDescent="0.65">
      <c r="A271" s="619"/>
      <c r="B271" s="620" t="s">
        <v>523</v>
      </c>
      <c r="C271" s="621"/>
      <c r="D271" s="622">
        <v>0</v>
      </c>
      <c r="E271" s="623"/>
      <c r="F271" s="624"/>
      <c r="G271" s="625">
        <v>54000</v>
      </c>
      <c r="H271" s="625">
        <v>0</v>
      </c>
      <c r="I271" s="625">
        <v>54000</v>
      </c>
      <c r="J271" s="624"/>
      <c r="K271" s="624"/>
      <c r="L271" s="622">
        <v>0</v>
      </c>
      <c r="M271" s="623"/>
      <c r="N271" s="624"/>
      <c r="O271" s="626">
        <v>54000</v>
      </c>
      <c r="P271" s="626">
        <v>0</v>
      </c>
      <c r="Q271" s="626">
        <v>54000</v>
      </c>
      <c r="R271" s="627">
        <v>2034140.3755999999</v>
      </c>
      <c r="T271" s="600"/>
    </row>
    <row r="272" spans="1:20" s="636" customFormat="1" ht="24" thickTop="1" x14ac:dyDescent="0.6">
      <c r="A272" s="628"/>
      <c r="B272" s="629"/>
      <c r="C272" s="630"/>
      <c r="D272" s="631"/>
      <c r="E272" s="632"/>
      <c r="F272" s="633"/>
      <c r="G272" s="634"/>
      <c r="H272" s="634"/>
      <c r="I272" s="634"/>
      <c r="J272" s="633"/>
      <c r="K272" s="633"/>
      <c r="L272" s="631"/>
      <c r="M272" s="632"/>
      <c r="N272" s="633"/>
      <c r="O272" s="635"/>
      <c r="P272" s="635"/>
      <c r="Q272" s="635"/>
      <c r="T272" s="637"/>
    </row>
    <row r="273" spans="1:20" s="636" customFormat="1" x14ac:dyDescent="0.6">
      <c r="A273" s="1128" t="s">
        <v>524</v>
      </c>
      <c r="B273" s="1128"/>
      <c r="C273" s="1128"/>
      <c r="D273" s="1128"/>
      <c r="E273" s="1128"/>
      <c r="F273" s="1128"/>
      <c r="G273" s="1128"/>
      <c r="H273" s="1128"/>
      <c r="I273" s="1128"/>
      <c r="J273" s="1128"/>
      <c r="K273" s="1128"/>
      <c r="L273" s="1128"/>
      <c r="M273" s="1128"/>
      <c r="N273" s="1128"/>
      <c r="O273" s="1128"/>
      <c r="P273" s="1128"/>
      <c r="Q273" s="1128"/>
      <c r="T273" s="637"/>
    </row>
    <row r="274" spans="1:20" s="599" customFormat="1" x14ac:dyDescent="0.6">
      <c r="A274" s="638">
        <v>1</v>
      </c>
      <c r="B274" s="639" t="s">
        <v>519</v>
      </c>
      <c r="C274" s="639" t="s">
        <v>518</v>
      </c>
      <c r="D274" s="640">
        <v>5600</v>
      </c>
      <c r="E274" s="641" t="s">
        <v>527</v>
      </c>
      <c r="F274" s="642" t="s">
        <v>528</v>
      </c>
      <c r="G274" s="643">
        <v>61600</v>
      </c>
      <c r="H274" s="643">
        <v>0</v>
      </c>
      <c r="I274" s="643">
        <v>61600</v>
      </c>
      <c r="J274" s="644"/>
      <c r="K274" s="644"/>
      <c r="L274" s="645"/>
      <c r="M274" s="641" t="s">
        <v>803</v>
      </c>
      <c r="N274" s="642" t="s">
        <v>802</v>
      </c>
      <c r="O274" s="643">
        <f>SUM(D274+I274-L274)</f>
        <v>67200</v>
      </c>
      <c r="P274" s="643">
        <v>0</v>
      </c>
      <c r="Q274" s="643">
        <f>SUM(D274+I274-L274)</f>
        <v>67200</v>
      </c>
      <c r="T274" s="600"/>
    </row>
    <row r="275" spans="1:20" s="599" customFormat="1" x14ac:dyDescent="0.6">
      <c r="A275" s="646">
        <v>2</v>
      </c>
      <c r="B275" s="647" t="s">
        <v>521</v>
      </c>
      <c r="C275" s="647" t="s">
        <v>522</v>
      </c>
      <c r="D275" s="648">
        <v>8400</v>
      </c>
      <c r="E275" s="649" t="s">
        <v>618</v>
      </c>
      <c r="F275" s="650"/>
      <c r="G275" s="651">
        <v>-1482.3499999999985</v>
      </c>
      <c r="H275" s="615">
        <v>0</v>
      </c>
      <c r="I275" s="615">
        <v>-1482.3499999999985</v>
      </c>
      <c r="J275" s="30"/>
      <c r="K275" s="249"/>
      <c r="L275" s="221"/>
      <c r="M275" s="652"/>
      <c r="N275" s="373"/>
      <c r="O275" s="643">
        <f>SUM(D275+I275-L275)</f>
        <v>6917.6500000000015</v>
      </c>
      <c r="P275" s="606">
        <v>0</v>
      </c>
      <c r="Q275" s="643">
        <f>SUM(D275+I275-L275)</f>
        <v>6917.6500000000015</v>
      </c>
      <c r="T275" s="600"/>
    </row>
    <row r="276" spans="1:20" s="599" customFormat="1" x14ac:dyDescent="0.6">
      <c r="A276" s="646"/>
      <c r="B276" s="653" t="s">
        <v>534</v>
      </c>
      <c r="C276" s="647"/>
      <c r="D276" s="648"/>
      <c r="E276" s="649"/>
      <c r="F276" s="650"/>
      <c r="G276" s="651"/>
      <c r="H276" s="651"/>
      <c r="I276" s="651"/>
      <c r="J276" s="250"/>
      <c r="K276" s="654"/>
      <c r="L276" s="252"/>
      <c r="M276" s="655"/>
      <c r="N276" s="656"/>
      <c r="O276" s="651"/>
      <c r="P276" s="651"/>
      <c r="Q276" s="651"/>
      <c r="T276" s="600"/>
    </row>
    <row r="277" spans="1:20" s="599" customFormat="1" ht="24" thickBot="1" x14ac:dyDescent="0.65">
      <c r="A277" s="619"/>
      <c r="B277" s="620" t="s">
        <v>535</v>
      </c>
      <c r="C277" s="621"/>
      <c r="D277" s="622">
        <v>14000</v>
      </c>
      <c r="E277" s="623"/>
      <c r="F277" s="624"/>
      <c r="G277" s="625">
        <f>SUM(G274:G276)-G275</f>
        <v>61600</v>
      </c>
      <c r="H277" s="625">
        <f>SUM(H274:H276)-H275</f>
        <v>0</v>
      </c>
      <c r="I277" s="625">
        <f>SUM(I274:I276)-I275</f>
        <v>61600</v>
      </c>
      <c r="J277" s="625"/>
      <c r="K277" s="625"/>
      <c r="L277" s="625">
        <f>SUM(L274:L276)</f>
        <v>0</v>
      </c>
      <c r="M277" s="625"/>
      <c r="N277" s="625"/>
      <c r="O277" s="625">
        <f>SUM(O274:O276)</f>
        <v>74117.649999999994</v>
      </c>
      <c r="P277" s="625">
        <f>SUM(P274:P276)</f>
        <v>0</v>
      </c>
      <c r="Q277" s="625">
        <f>SUM(Q274:Q276)</f>
        <v>74117.649999999994</v>
      </c>
      <c r="T277" s="600"/>
    </row>
    <row r="278" spans="1:20" ht="22.5" customHeight="1" thickTop="1" x14ac:dyDescent="0.3">
      <c r="E278" s="469"/>
      <c r="F278" s="470"/>
      <c r="G278" s="3"/>
      <c r="H278" s="3"/>
      <c r="I278" s="3"/>
      <c r="J278" s="584"/>
      <c r="K278" s="585"/>
      <c r="M278" s="470"/>
      <c r="N278" s="586"/>
      <c r="O278" s="471"/>
      <c r="P278" s="471"/>
      <c r="Q278" s="472"/>
      <c r="R278" s="2"/>
    </row>
    <row r="279" spans="1:20" ht="22.5" customHeight="1" thickBot="1" x14ac:dyDescent="0.35">
      <c r="E279" s="469"/>
      <c r="F279" s="470"/>
      <c r="G279" s="3"/>
      <c r="H279" s="3"/>
      <c r="I279" s="3"/>
      <c r="J279" s="584"/>
      <c r="K279" s="585"/>
      <c r="L279" s="657">
        <f>SUM(L249+L265+L271+L277)</f>
        <v>1160947.83</v>
      </c>
      <c r="M279" s="470"/>
      <c r="N279" s="586"/>
      <c r="O279" s="1148" t="s">
        <v>536</v>
      </c>
      <c r="P279" s="1148"/>
      <c r="Q279" s="658">
        <f>SUM(Q249+Q265+Q271+Q277)</f>
        <v>1825420.1132</v>
      </c>
      <c r="R279" s="2"/>
    </row>
    <row r="280" spans="1:20" ht="22.5" customHeight="1" thickTop="1" x14ac:dyDescent="0.5">
      <c r="B280" s="587" t="s">
        <v>537</v>
      </c>
      <c r="C280" s="587"/>
      <c r="D280" s="587"/>
      <c r="E280" s="587"/>
      <c r="F280" s="587"/>
      <c r="G280" s="587"/>
      <c r="H280" s="587"/>
      <c r="I280" s="587"/>
      <c r="J280" s="587"/>
      <c r="M280" s="3"/>
      <c r="N280" s="470"/>
      <c r="O280" s="471"/>
      <c r="P280" s="471"/>
      <c r="Q280" s="472"/>
    </row>
    <row r="281" spans="1:20" x14ac:dyDescent="0.5">
      <c r="B281" s="1129" t="s">
        <v>538</v>
      </c>
      <c r="C281" s="1129"/>
      <c r="D281" s="1129"/>
      <c r="E281" s="1129"/>
      <c r="F281" s="1129"/>
      <c r="G281" s="1129"/>
      <c r="H281" s="1129"/>
      <c r="I281" s="1129"/>
      <c r="J281" s="1129"/>
      <c r="M281" s="3"/>
      <c r="N281" s="470"/>
      <c r="O281" s="471"/>
      <c r="P281" s="471"/>
      <c r="Q281" s="472"/>
    </row>
    <row r="282" spans="1:20" x14ac:dyDescent="0.5">
      <c r="B282" s="1129" t="s">
        <v>539</v>
      </c>
      <c r="C282" s="1129"/>
      <c r="D282" s="1129"/>
      <c r="E282" s="1129"/>
      <c r="F282" s="1129"/>
      <c r="G282" s="1129"/>
      <c r="H282" s="1129"/>
      <c r="I282" s="1129"/>
      <c r="J282" s="1129"/>
      <c r="M282" s="3"/>
      <c r="N282" s="470"/>
      <c r="O282" s="471"/>
      <c r="P282" s="471"/>
      <c r="Q282" s="472"/>
    </row>
    <row r="283" spans="1:20" x14ac:dyDescent="0.3">
      <c r="E283" s="469"/>
      <c r="F283" s="470"/>
      <c r="G283" s="3"/>
      <c r="H283" s="3"/>
      <c r="I283" s="3"/>
      <c r="M283" s="3"/>
      <c r="N283" s="470"/>
      <c r="O283" s="471"/>
      <c r="P283" s="471"/>
      <c r="Q283" s="472"/>
    </row>
    <row r="284" spans="1:20" x14ac:dyDescent="0.3">
      <c r="E284" s="469"/>
      <c r="F284" s="470"/>
      <c r="G284" s="3"/>
      <c r="H284" s="3"/>
      <c r="I284" s="3"/>
      <c r="M284" s="3"/>
      <c r="N284" s="470"/>
      <c r="O284" s="471"/>
      <c r="P284" s="471"/>
      <c r="Q284" s="472"/>
    </row>
    <row r="285" spans="1:20" x14ac:dyDescent="0.3">
      <c r="E285" s="469"/>
      <c r="F285" s="470"/>
      <c r="G285" s="3"/>
      <c r="H285" s="3"/>
      <c r="I285" s="3"/>
      <c r="M285" s="3"/>
      <c r="N285" s="470"/>
      <c r="O285" s="471"/>
      <c r="P285" s="471"/>
      <c r="Q285" s="472"/>
    </row>
    <row r="286" spans="1:20" x14ac:dyDescent="0.3">
      <c r="E286" s="469"/>
      <c r="F286" s="470"/>
      <c r="G286" s="3"/>
      <c r="H286" s="3"/>
      <c r="I286" s="3"/>
      <c r="M286" s="3"/>
      <c r="N286" s="470"/>
      <c r="O286" s="471"/>
      <c r="P286" s="471"/>
      <c r="Q286" s="472"/>
    </row>
    <row r="287" spans="1:20" x14ac:dyDescent="0.3">
      <c r="E287" s="469"/>
      <c r="F287" s="470"/>
      <c r="G287" s="3"/>
      <c r="H287" s="3"/>
      <c r="I287" s="3"/>
      <c r="M287" s="3"/>
      <c r="N287" s="470"/>
      <c r="O287" s="471"/>
      <c r="P287" s="471"/>
      <c r="Q287" s="472"/>
    </row>
    <row r="288" spans="1:20" x14ac:dyDescent="0.3">
      <c r="E288" s="469"/>
      <c r="F288" s="470"/>
      <c r="G288" s="3"/>
      <c r="H288" s="3"/>
      <c r="I288" s="3"/>
      <c r="M288" s="3"/>
      <c r="N288" s="470"/>
      <c r="O288" s="471"/>
      <c r="P288" s="471"/>
      <c r="Q288" s="472"/>
    </row>
    <row r="289" spans="5:17" x14ac:dyDescent="0.3">
      <c r="E289" s="469"/>
      <c r="F289" s="470"/>
      <c r="G289" s="3"/>
      <c r="H289" s="3"/>
      <c r="I289" s="3"/>
      <c r="M289" s="3"/>
      <c r="N289" s="470"/>
      <c r="O289" s="471"/>
      <c r="P289" s="471"/>
      <c r="Q289" s="472"/>
    </row>
  </sheetData>
  <mergeCells count="22">
    <mergeCell ref="A1:Q1"/>
    <mergeCell ref="A2:Q2"/>
    <mergeCell ref="A3:Q3"/>
    <mergeCell ref="A4:A6"/>
    <mergeCell ref="B4:B6"/>
    <mergeCell ref="C4:C6"/>
    <mergeCell ref="D4:D6"/>
    <mergeCell ref="E4:I4"/>
    <mergeCell ref="J4:L4"/>
    <mergeCell ref="M4:Q4"/>
    <mergeCell ref="B282:J282"/>
    <mergeCell ref="E5:E6"/>
    <mergeCell ref="F5:F6"/>
    <mergeCell ref="G5:I5"/>
    <mergeCell ref="M5:M6"/>
    <mergeCell ref="A251:Q251"/>
    <mergeCell ref="A267:Q267"/>
    <mergeCell ref="A273:Q273"/>
    <mergeCell ref="O279:P279"/>
    <mergeCell ref="B281:J281"/>
    <mergeCell ref="N5:N6"/>
    <mergeCell ref="O5:Q5"/>
  </mergeCells>
  <phoneticPr fontId="2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3C75-B62A-46D4-98F7-9377CEED2D06}">
  <sheetPr>
    <tabColor rgb="FF92D050"/>
  </sheetPr>
  <dimension ref="A1:AB147"/>
  <sheetViews>
    <sheetView zoomScale="75" zoomScaleNormal="75" workbookViewId="0">
      <pane ySplit="6" topLeftCell="A133" activePane="bottomLeft" state="frozen"/>
      <selection pane="bottomLeft" activeCell="D136" sqref="D136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2.44140625" style="88" customWidth="1"/>
    <col min="5" max="5" width="18.6640625" style="88" customWidth="1"/>
    <col min="6" max="6" width="16.33203125" style="88" customWidth="1"/>
    <col min="7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7" ht="22.5" customHeight="1" x14ac:dyDescent="0.3">
      <c r="A3" s="1110" t="s">
        <v>680</v>
      </c>
      <c r="B3" s="1111"/>
      <c r="C3" s="1111"/>
      <c r="D3" s="1111"/>
      <c r="E3" s="1111"/>
      <c r="F3" s="1111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7" ht="22.5" customHeight="1" x14ac:dyDescent="0.3">
      <c r="A5" s="1113"/>
      <c r="B5" s="1113"/>
      <c r="C5" s="1116"/>
      <c r="D5" s="5"/>
      <c r="E5" s="6"/>
      <c r="F5" s="6"/>
    </row>
    <row r="6" spans="1:7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7" ht="22.5" customHeight="1" x14ac:dyDescent="0.3">
      <c r="A7" s="11"/>
      <c r="B7" s="12" t="s">
        <v>19</v>
      </c>
      <c r="C7" s="13"/>
      <c r="D7" s="18"/>
      <c r="E7" s="18"/>
      <c r="F7" s="14"/>
    </row>
    <row r="8" spans="1:7" ht="22.5" customHeight="1" x14ac:dyDescent="0.5">
      <c r="A8" s="23">
        <v>1</v>
      </c>
      <c r="B8" s="24" t="s">
        <v>20</v>
      </c>
      <c r="C8" s="25" t="s">
        <v>21</v>
      </c>
      <c r="D8" s="30">
        <v>25166</v>
      </c>
      <c r="E8" s="31" t="s">
        <v>682</v>
      </c>
      <c r="F8" s="32">
        <v>990.93</v>
      </c>
    </row>
    <row r="9" spans="1:7" ht="22.5" customHeight="1" x14ac:dyDescent="0.5">
      <c r="A9" s="23">
        <v>2</v>
      </c>
      <c r="B9" s="24" t="s">
        <v>24</v>
      </c>
      <c r="C9" s="25" t="s">
        <v>25</v>
      </c>
      <c r="D9" s="30" t="s">
        <v>683</v>
      </c>
      <c r="E9" s="31" t="s">
        <v>684</v>
      </c>
      <c r="F9" s="32">
        <v>720.51</v>
      </c>
    </row>
    <row r="10" spans="1:7" ht="22.5" customHeight="1" x14ac:dyDescent="0.5">
      <c r="A10" s="23">
        <v>3</v>
      </c>
      <c r="B10" s="24" t="s">
        <v>27</v>
      </c>
      <c r="C10" s="25" t="s">
        <v>28</v>
      </c>
      <c r="D10" s="38" t="s">
        <v>685</v>
      </c>
      <c r="E10" s="39" t="s">
        <v>686</v>
      </c>
      <c r="F10" s="40">
        <v>1605</v>
      </c>
    </row>
    <row r="11" spans="1:7" ht="22.5" customHeight="1" x14ac:dyDescent="0.5">
      <c r="A11" s="23">
        <v>4</v>
      </c>
      <c r="B11" s="24" t="s">
        <v>30</v>
      </c>
      <c r="C11" s="25" t="s">
        <v>31</v>
      </c>
      <c r="D11" s="30">
        <v>25147</v>
      </c>
      <c r="E11" s="31" t="s">
        <v>687</v>
      </c>
      <c r="F11" s="32">
        <v>1348.2</v>
      </c>
    </row>
    <row r="12" spans="1:7" s="60" customFormat="1" ht="22.5" customHeight="1" thickBot="1" x14ac:dyDescent="0.35">
      <c r="A12" s="48"/>
      <c r="B12" s="48" t="s">
        <v>15</v>
      </c>
      <c r="C12" s="49"/>
      <c r="D12" s="54"/>
      <c r="E12" s="55"/>
      <c r="F12" s="50">
        <v>4664.6400000000003</v>
      </c>
      <c r="G12" s="683">
        <f>SUM(F8:F11)</f>
        <v>4664.6400000000003</v>
      </c>
    </row>
    <row r="13" spans="1:7" ht="22.5" customHeight="1" thickTop="1" x14ac:dyDescent="0.3">
      <c r="A13" s="61"/>
      <c r="B13" s="62" t="s">
        <v>37</v>
      </c>
      <c r="C13" s="63"/>
      <c r="D13" s="68"/>
      <c r="E13" s="68"/>
      <c r="F13" s="64"/>
    </row>
    <row r="14" spans="1:7" ht="22.5" customHeight="1" x14ac:dyDescent="0.5">
      <c r="A14" s="23">
        <v>1</v>
      </c>
      <c r="B14" s="73" t="s">
        <v>38</v>
      </c>
      <c r="C14" s="25" t="s">
        <v>39</v>
      </c>
      <c r="D14" s="30">
        <v>25146</v>
      </c>
      <c r="E14" s="31" t="s">
        <v>688</v>
      </c>
      <c r="F14" s="32">
        <v>1284</v>
      </c>
    </row>
    <row r="15" spans="1:7" ht="22.5" customHeight="1" x14ac:dyDescent="0.5">
      <c r="A15" s="23">
        <v>2</v>
      </c>
      <c r="B15" s="73" t="s">
        <v>42</v>
      </c>
      <c r="C15" s="25" t="s">
        <v>43</v>
      </c>
      <c r="D15" s="30">
        <v>25172</v>
      </c>
      <c r="E15" s="31" t="s">
        <v>689</v>
      </c>
      <c r="F15" s="32">
        <v>1605</v>
      </c>
    </row>
    <row r="16" spans="1:7" ht="22.5" customHeight="1" x14ac:dyDescent="0.5">
      <c r="A16" s="23">
        <v>3</v>
      </c>
      <c r="B16" s="73" t="s">
        <v>45</v>
      </c>
      <c r="C16" s="25" t="s">
        <v>46</v>
      </c>
      <c r="D16" s="30">
        <v>25153</v>
      </c>
      <c r="E16" s="31" t="s">
        <v>690</v>
      </c>
      <c r="F16" s="32">
        <v>1155.5999999999999</v>
      </c>
    </row>
    <row r="17" spans="1:28" ht="22.5" customHeight="1" x14ac:dyDescent="0.5">
      <c r="A17" s="23">
        <v>4</v>
      </c>
      <c r="B17" s="73" t="s">
        <v>48</v>
      </c>
      <c r="C17" s="25" t="s">
        <v>49</v>
      </c>
      <c r="D17" s="30">
        <v>25156</v>
      </c>
      <c r="E17" s="31" t="s">
        <v>691</v>
      </c>
      <c r="F17" s="32">
        <v>3177.9</v>
      </c>
    </row>
    <row r="18" spans="1:28" ht="22.5" customHeight="1" x14ac:dyDescent="0.5">
      <c r="A18" s="23">
        <v>5</v>
      </c>
      <c r="B18" s="73" t="s">
        <v>51</v>
      </c>
      <c r="C18" s="25" t="s">
        <v>52</v>
      </c>
      <c r="D18" s="30">
        <v>25172</v>
      </c>
      <c r="E18" s="31" t="s">
        <v>692</v>
      </c>
      <c r="F18" s="32">
        <v>4237.2</v>
      </c>
    </row>
    <row r="19" spans="1:28" ht="22.5" customHeight="1" x14ac:dyDescent="0.5">
      <c r="A19" s="23">
        <v>6</v>
      </c>
      <c r="B19" s="73" t="s">
        <v>30</v>
      </c>
      <c r="C19" s="25" t="s">
        <v>31</v>
      </c>
      <c r="D19" s="30">
        <v>25147</v>
      </c>
      <c r="E19" s="31" t="s">
        <v>693</v>
      </c>
      <c r="F19" s="32">
        <v>6420</v>
      </c>
    </row>
    <row r="20" spans="1:28" ht="22.5" customHeight="1" x14ac:dyDescent="0.5">
      <c r="A20" s="23">
        <v>7</v>
      </c>
      <c r="B20" s="78" t="s">
        <v>54</v>
      </c>
      <c r="C20" s="25" t="s">
        <v>55</v>
      </c>
      <c r="D20" s="38">
        <v>25168</v>
      </c>
      <c r="E20" s="39" t="s">
        <v>694</v>
      </c>
      <c r="F20" s="40">
        <v>6307.65</v>
      </c>
    </row>
    <row r="21" spans="1:28" ht="22.5" customHeight="1" x14ac:dyDescent="0.5">
      <c r="A21" s="23">
        <v>8</v>
      </c>
      <c r="B21" s="78" t="s">
        <v>59</v>
      </c>
      <c r="C21" s="83" t="s">
        <v>60</v>
      </c>
      <c r="D21" s="38">
        <v>25163</v>
      </c>
      <c r="E21" s="39" t="s">
        <v>695</v>
      </c>
      <c r="F21" s="40">
        <v>21400</v>
      </c>
    </row>
    <row r="22" spans="1:28" s="88" customFormat="1" ht="22.5" customHeight="1" x14ac:dyDescent="0.5">
      <c r="A22" s="23">
        <v>9</v>
      </c>
      <c r="B22" s="84" t="s">
        <v>62</v>
      </c>
      <c r="C22" s="85" t="s">
        <v>28</v>
      </c>
      <c r="D22" s="38" t="s">
        <v>685</v>
      </c>
      <c r="E22" s="39" t="s">
        <v>696</v>
      </c>
      <c r="F22" s="40">
        <v>1712</v>
      </c>
    </row>
    <row r="23" spans="1:28" ht="22.5" customHeight="1" x14ac:dyDescent="0.5">
      <c r="A23" s="23">
        <v>10</v>
      </c>
      <c r="B23" s="89" t="s">
        <v>64</v>
      </c>
      <c r="C23" s="90" t="s">
        <v>65</v>
      </c>
      <c r="D23" s="38">
        <v>25163</v>
      </c>
      <c r="E23" s="39" t="s">
        <v>697</v>
      </c>
      <c r="F23" s="40">
        <v>21400</v>
      </c>
    </row>
    <row r="24" spans="1:28" ht="22.5" customHeight="1" x14ac:dyDescent="0.5">
      <c r="A24" s="23">
        <v>11</v>
      </c>
      <c r="B24" s="94" t="s">
        <v>67</v>
      </c>
      <c r="C24" s="95" t="s">
        <v>68</v>
      </c>
      <c r="D24" s="38">
        <v>25166</v>
      </c>
      <c r="E24" s="39" t="s">
        <v>698</v>
      </c>
      <c r="F24" s="40">
        <v>3210</v>
      </c>
    </row>
    <row r="25" spans="1:28" ht="22.5" customHeight="1" x14ac:dyDescent="0.5">
      <c r="A25" s="23">
        <v>12</v>
      </c>
      <c r="B25" s="99" t="s">
        <v>70</v>
      </c>
      <c r="C25" s="100" t="s">
        <v>60</v>
      </c>
      <c r="D25" s="101">
        <v>25163</v>
      </c>
      <c r="E25" s="102" t="s">
        <v>699</v>
      </c>
      <c r="F25" s="103">
        <v>3210</v>
      </c>
    </row>
    <row r="26" spans="1:28" s="60" customFormat="1" ht="22.5" customHeight="1" thickBot="1" x14ac:dyDescent="0.35">
      <c r="A26" s="48"/>
      <c r="B26" s="48" t="s">
        <v>15</v>
      </c>
      <c r="C26" s="49"/>
      <c r="D26" s="104"/>
      <c r="E26" s="104"/>
      <c r="F26" s="104">
        <v>75119.350000000006</v>
      </c>
      <c r="G26" s="683">
        <f>SUM(F14:F25)</f>
        <v>75119.350000000006</v>
      </c>
    </row>
    <row r="27" spans="1:28" ht="22.5" customHeight="1" thickTop="1" x14ac:dyDescent="0.3">
      <c r="A27" s="61"/>
      <c r="B27" s="62" t="s">
        <v>71</v>
      </c>
      <c r="C27" s="63"/>
      <c r="D27" s="68"/>
      <c r="E27" s="68"/>
      <c r="F27" s="64"/>
    </row>
    <row r="28" spans="1:28" ht="22.5" customHeight="1" x14ac:dyDescent="0.5">
      <c r="A28" s="23">
        <v>1</v>
      </c>
      <c r="B28" s="73" t="s">
        <v>72</v>
      </c>
      <c r="C28" s="25" t="s">
        <v>73</v>
      </c>
      <c r="D28" s="38">
        <v>25170</v>
      </c>
      <c r="E28" s="39" t="s">
        <v>700</v>
      </c>
      <c r="F28" s="32">
        <v>4261.28</v>
      </c>
    </row>
    <row r="29" spans="1:28" ht="22.5" customHeight="1" x14ac:dyDescent="0.5">
      <c r="A29" s="115">
        <v>2</v>
      </c>
      <c r="B29" s="4" t="s">
        <v>75</v>
      </c>
      <c r="C29" s="25" t="s">
        <v>76</v>
      </c>
      <c r="D29" s="101">
        <v>25153</v>
      </c>
      <c r="E29" s="102" t="s">
        <v>701</v>
      </c>
      <c r="F29" s="103">
        <v>14445</v>
      </c>
    </row>
    <row r="30" spans="1:28" s="60" customFormat="1" ht="22.5" customHeight="1" thickBot="1" x14ac:dyDescent="0.35">
      <c r="A30" s="48"/>
      <c r="B30" s="48" t="s">
        <v>15</v>
      </c>
      <c r="C30" s="49"/>
      <c r="D30" s="50"/>
      <c r="E30" s="50">
        <v>0</v>
      </c>
      <c r="F30" s="50">
        <v>18706.28</v>
      </c>
      <c r="G30" s="683">
        <f>SUM(F28:F29)</f>
        <v>18706.28</v>
      </c>
    </row>
    <row r="31" spans="1:28" ht="22.5" customHeight="1" thickTop="1" x14ac:dyDescent="0.3">
      <c r="A31" s="61"/>
      <c r="B31" s="121" t="s">
        <v>78</v>
      </c>
      <c r="C31" s="63"/>
      <c r="D31" s="68"/>
      <c r="E31" s="68"/>
      <c r="F31" s="64"/>
    </row>
    <row r="32" spans="1:28" s="134" customFormat="1" ht="22.5" customHeight="1" x14ac:dyDescent="0.6">
      <c r="A32" s="122">
        <v>1</v>
      </c>
      <c r="B32" s="123" t="s">
        <v>79</v>
      </c>
      <c r="C32" s="124" t="s">
        <v>60</v>
      </c>
      <c r="D32" s="38">
        <v>25163</v>
      </c>
      <c r="E32" s="39" t="s">
        <v>702</v>
      </c>
      <c r="F32" s="40">
        <v>5350</v>
      </c>
      <c r="G32" s="131"/>
      <c r="H32" s="132"/>
      <c r="I32" s="131"/>
      <c r="J32" s="132"/>
      <c r="K32" s="132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</row>
    <row r="33" spans="1:28" s="134" customFormat="1" ht="22.5" customHeight="1" x14ac:dyDescent="0.6">
      <c r="A33" s="122">
        <v>2</v>
      </c>
      <c r="B33" s="123" t="s">
        <v>80</v>
      </c>
      <c r="C33" s="124" t="s">
        <v>65</v>
      </c>
      <c r="D33" s="38">
        <v>25163</v>
      </c>
      <c r="E33" s="39" t="s">
        <v>703</v>
      </c>
      <c r="F33" s="40">
        <v>5350</v>
      </c>
      <c r="G33" s="131"/>
      <c r="H33" s="132"/>
      <c r="I33" s="131"/>
      <c r="J33" s="132"/>
      <c r="K33" s="132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</row>
    <row r="34" spans="1:28" s="60" customFormat="1" ht="22.5" customHeight="1" thickBot="1" x14ac:dyDescent="0.35">
      <c r="A34" s="48"/>
      <c r="B34" s="48" t="s">
        <v>15</v>
      </c>
      <c r="C34" s="49"/>
      <c r="D34" s="109"/>
      <c r="E34" s="109"/>
      <c r="F34" s="138">
        <v>10700</v>
      </c>
      <c r="G34" s="683">
        <f>SUM(F32:F33)</f>
        <v>10700</v>
      </c>
    </row>
    <row r="35" spans="1:28" ht="22.5" customHeight="1" thickTop="1" x14ac:dyDescent="0.3">
      <c r="A35" s="139"/>
      <c r="B35" s="140" t="s">
        <v>81</v>
      </c>
      <c r="C35" s="141"/>
      <c r="D35" s="68"/>
      <c r="E35" s="68"/>
      <c r="F35" s="64"/>
    </row>
    <row r="36" spans="1:28" ht="22.5" customHeight="1" x14ac:dyDescent="0.5">
      <c r="A36" s="148">
        <v>1</v>
      </c>
      <c r="B36" s="149" t="s">
        <v>82</v>
      </c>
      <c r="C36" s="90" t="s">
        <v>83</v>
      </c>
      <c r="D36" s="30">
        <v>25153</v>
      </c>
      <c r="E36" s="31" t="s">
        <v>704</v>
      </c>
      <c r="F36" s="32">
        <v>6955</v>
      </c>
    </row>
    <row r="37" spans="1:28" s="60" customFormat="1" ht="22.5" customHeight="1" thickBot="1" x14ac:dyDescent="0.35">
      <c r="A37" s="158"/>
      <c r="B37" s="158" t="s">
        <v>15</v>
      </c>
      <c r="C37" s="159"/>
      <c r="D37" s="161"/>
      <c r="E37" s="161"/>
      <c r="F37" s="162">
        <v>6955</v>
      </c>
      <c r="G37" s="683">
        <f>SUM(F36)</f>
        <v>6955</v>
      </c>
    </row>
    <row r="38" spans="1:28" ht="22.5" customHeight="1" thickTop="1" x14ac:dyDescent="0.3">
      <c r="A38" s="115"/>
      <c r="B38" s="164" t="s">
        <v>85</v>
      </c>
      <c r="C38" s="165"/>
      <c r="D38" s="170"/>
      <c r="E38" s="170"/>
      <c r="F38" s="171"/>
    </row>
    <row r="39" spans="1:28" ht="22.5" customHeight="1" x14ac:dyDescent="0.3">
      <c r="A39" s="174">
        <v>1</v>
      </c>
      <c r="B39" s="175" t="s">
        <v>86</v>
      </c>
      <c r="C39" s="176" t="s">
        <v>87</v>
      </c>
      <c r="D39" s="182" t="s">
        <v>685</v>
      </c>
      <c r="E39" s="183" t="s">
        <v>750</v>
      </c>
      <c r="F39" s="184">
        <v>2070.4499999999998</v>
      </c>
    </row>
    <row r="40" spans="1:28" ht="22.5" customHeight="1" x14ac:dyDescent="0.5">
      <c r="A40" s="174">
        <v>2</v>
      </c>
      <c r="B40" s="189" t="s">
        <v>89</v>
      </c>
      <c r="C40" s="190" t="s">
        <v>90</v>
      </c>
      <c r="D40" s="38">
        <v>25162</v>
      </c>
      <c r="E40" s="39" t="s">
        <v>796</v>
      </c>
      <c r="F40" s="40">
        <v>3210</v>
      </c>
    </row>
    <row r="41" spans="1:28" s="60" customFormat="1" ht="22.5" customHeight="1" thickBot="1" x14ac:dyDescent="0.35">
      <c r="A41" s="194"/>
      <c r="B41" s="194" t="s">
        <v>15</v>
      </c>
      <c r="C41" s="195"/>
      <c r="D41" s="198"/>
      <c r="E41" s="199"/>
      <c r="F41" s="200">
        <v>5280.45</v>
      </c>
      <c r="G41" s="683">
        <f>SUM(F39:F40)</f>
        <v>5280.45</v>
      </c>
    </row>
    <row r="42" spans="1:28" ht="22.5" customHeight="1" thickTop="1" x14ac:dyDescent="0.3">
      <c r="A42" s="61"/>
      <c r="B42" s="62" t="s">
        <v>92</v>
      </c>
      <c r="C42" s="63"/>
      <c r="D42" s="68"/>
      <c r="E42" s="68"/>
      <c r="F42" s="64"/>
    </row>
    <row r="43" spans="1:28" ht="22.5" customHeight="1" x14ac:dyDescent="0.5">
      <c r="A43" s="208">
        <v>1</v>
      </c>
      <c r="B43" s="209" t="s">
        <v>93</v>
      </c>
      <c r="C43" s="210" t="s">
        <v>43</v>
      </c>
      <c r="D43" s="30">
        <v>25172</v>
      </c>
      <c r="E43" s="31" t="s">
        <v>706</v>
      </c>
      <c r="F43" s="32">
        <v>4825.7</v>
      </c>
    </row>
    <row r="44" spans="1:28" ht="22.5" customHeight="1" x14ac:dyDescent="0.5">
      <c r="A44" s="208">
        <v>2</v>
      </c>
      <c r="B44" s="209" t="s">
        <v>95</v>
      </c>
      <c r="C44" s="210" t="s">
        <v>43</v>
      </c>
      <c r="D44" s="30">
        <v>25172</v>
      </c>
      <c r="E44" s="31" t="s">
        <v>706</v>
      </c>
      <c r="F44" s="32">
        <v>12818.6</v>
      </c>
    </row>
    <row r="45" spans="1:28" ht="22.5" customHeight="1" x14ac:dyDescent="0.5">
      <c r="A45" s="208">
        <v>3</v>
      </c>
      <c r="B45" s="73" t="s">
        <v>96</v>
      </c>
      <c r="C45" s="25" t="s">
        <v>97</v>
      </c>
      <c r="D45" s="30">
        <v>25162</v>
      </c>
      <c r="E45" s="220" t="s">
        <v>707</v>
      </c>
      <c r="F45" s="221">
        <v>3862.7</v>
      </c>
    </row>
    <row r="46" spans="1:28" ht="22.5" customHeight="1" x14ac:dyDescent="0.5">
      <c r="A46" s="208">
        <v>4</v>
      </c>
      <c r="B46" s="73" t="s">
        <v>103</v>
      </c>
      <c r="C46" s="25" t="s">
        <v>97</v>
      </c>
      <c r="D46" s="30">
        <v>25172</v>
      </c>
      <c r="E46" s="31" t="s">
        <v>708</v>
      </c>
      <c r="F46" s="32">
        <v>5917.1</v>
      </c>
    </row>
    <row r="47" spans="1:28" ht="22.5" customHeight="1" x14ac:dyDescent="0.5">
      <c r="A47" s="208">
        <v>5</v>
      </c>
      <c r="B47" s="73" t="s">
        <v>104</v>
      </c>
      <c r="C47" s="25" t="s">
        <v>97</v>
      </c>
      <c r="D47" s="30">
        <v>25172</v>
      </c>
      <c r="E47" s="31" t="s">
        <v>708</v>
      </c>
      <c r="F47" s="32">
        <v>15536.4</v>
      </c>
    </row>
    <row r="48" spans="1:28" ht="22.5" customHeight="1" x14ac:dyDescent="0.5">
      <c r="A48" s="208">
        <v>6</v>
      </c>
      <c r="B48" s="73" t="s">
        <v>105</v>
      </c>
      <c r="C48" s="25" t="s">
        <v>97</v>
      </c>
      <c r="D48" s="30">
        <v>25156</v>
      </c>
      <c r="E48" s="31" t="s">
        <v>709</v>
      </c>
      <c r="F48" s="32">
        <v>13300.1</v>
      </c>
    </row>
    <row r="49" spans="1:6" ht="22.5" customHeight="1" x14ac:dyDescent="0.5">
      <c r="A49" s="208">
        <v>7</v>
      </c>
      <c r="B49" s="73" t="s">
        <v>107</v>
      </c>
      <c r="C49" s="25" t="s">
        <v>97</v>
      </c>
      <c r="D49" s="30">
        <v>25145</v>
      </c>
      <c r="E49" s="31" t="s">
        <v>710</v>
      </c>
      <c r="F49" s="32">
        <v>535</v>
      </c>
    </row>
    <row r="50" spans="1:6" ht="22.5" customHeight="1" x14ac:dyDescent="0.5">
      <c r="A50" s="208">
        <v>8</v>
      </c>
      <c r="B50" s="73" t="s">
        <v>110</v>
      </c>
      <c r="C50" s="25" t="s">
        <v>87</v>
      </c>
      <c r="D50" s="30" t="s">
        <v>685</v>
      </c>
      <c r="E50" s="31" t="s">
        <v>711</v>
      </c>
      <c r="F50" s="32">
        <v>17087.900000000001</v>
      </c>
    </row>
    <row r="51" spans="1:6" ht="22.5" customHeight="1" x14ac:dyDescent="0.5">
      <c r="A51" s="208">
        <v>9</v>
      </c>
      <c r="B51" s="73" t="s">
        <v>112</v>
      </c>
      <c r="C51" s="25" t="s">
        <v>113</v>
      </c>
      <c r="D51" s="30">
        <v>25145</v>
      </c>
      <c r="E51" s="31" t="s">
        <v>712</v>
      </c>
      <c r="F51" s="32">
        <v>2963.8999999999996</v>
      </c>
    </row>
    <row r="52" spans="1:6" ht="22.5" customHeight="1" x14ac:dyDescent="0.5">
      <c r="A52" s="208">
        <v>10</v>
      </c>
      <c r="B52" s="73" t="s">
        <v>116</v>
      </c>
      <c r="C52" s="25" t="s">
        <v>113</v>
      </c>
      <c r="D52" s="30" t="s">
        <v>713</v>
      </c>
      <c r="E52" s="31" t="s">
        <v>714</v>
      </c>
      <c r="F52" s="32">
        <v>3616.6000000000004</v>
      </c>
    </row>
    <row r="53" spans="1:6" ht="22.5" customHeight="1" x14ac:dyDescent="0.5">
      <c r="A53" s="208">
        <v>11</v>
      </c>
      <c r="B53" s="73" t="s">
        <v>121</v>
      </c>
      <c r="C53" s="83" t="s">
        <v>122</v>
      </c>
      <c r="D53" s="30">
        <v>25163</v>
      </c>
      <c r="E53" s="31" t="s">
        <v>715</v>
      </c>
      <c r="F53" s="32">
        <v>14102.6</v>
      </c>
    </row>
    <row r="54" spans="1:6" ht="22.5" customHeight="1" x14ac:dyDescent="0.5">
      <c r="A54" s="208">
        <v>12</v>
      </c>
      <c r="B54" s="73" t="s">
        <v>121</v>
      </c>
      <c r="C54" s="83" t="s">
        <v>122</v>
      </c>
      <c r="D54" s="30">
        <v>25163</v>
      </c>
      <c r="E54" s="31" t="s">
        <v>715</v>
      </c>
      <c r="F54" s="32">
        <v>1166.3</v>
      </c>
    </row>
    <row r="55" spans="1:6" ht="22.5" customHeight="1" x14ac:dyDescent="0.5">
      <c r="A55" s="208">
        <v>13</v>
      </c>
      <c r="B55" s="78" t="s">
        <v>132</v>
      </c>
      <c r="C55" s="210" t="s">
        <v>130</v>
      </c>
      <c r="D55" s="30" t="s">
        <v>717</v>
      </c>
      <c r="E55" s="31" t="s">
        <v>718</v>
      </c>
      <c r="F55" s="32">
        <v>41505.300000000003</v>
      </c>
    </row>
    <row r="56" spans="1:6" ht="22.5" customHeight="1" x14ac:dyDescent="0.5">
      <c r="A56" s="208">
        <v>14</v>
      </c>
      <c r="B56" s="78" t="s">
        <v>134</v>
      </c>
      <c r="C56" s="165" t="s">
        <v>135</v>
      </c>
      <c r="D56" s="38">
        <v>25145</v>
      </c>
      <c r="E56" s="39" t="s">
        <v>720</v>
      </c>
      <c r="F56" s="40">
        <v>5531.9</v>
      </c>
    </row>
    <row r="57" spans="1:6" s="229" customFormat="1" ht="22.5" customHeight="1" x14ac:dyDescent="0.5">
      <c r="A57" s="208">
        <v>15</v>
      </c>
      <c r="B57" s="226" t="s">
        <v>137</v>
      </c>
      <c r="C57" s="227"/>
      <c r="D57" s="38">
        <v>25149</v>
      </c>
      <c r="E57" s="39" t="s">
        <v>721</v>
      </c>
      <c r="F57" s="40">
        <v>2610.8000000000002</v>
      </c>
    </row>
    <row r="58" spans="1:6" ht="22.5" customHeight="1" x14ac:dyDescent="0.5">
      <c r="A58" s="208">
        <v>16</v>
      </c>
      <c r="B58" s="78" t="s">
        <v>54</v>
      </c>
      <c r="C58" s="81" t="s">
        <v>55</v>
      </c>
      <c r="D58" s="38">
        <v>25168</v>
      </c>
      <c r="E58" s="39" t="s">
        <v>722</v>
      </c>
      <c r="F58" s="40">
        <v>30462.9</v>
      </c>
    </row>
    <row r="59" spans="1:6" ht="22.5" customHeight="1" x14ac:dyDescent="0.5">
      <c r="A59" s="208">
        <v>17</v>
      </c>
      <c r="B59" s="78" t="s">
        <v>141</v>
      </c>
      <c r="C59" s="81" t="s">
        <v>142</v>
      </c>
      <c r="D59" s="38">
        <v>25166</v>
      </c>
      <c r="E59" s="39" t="s">
        <v>723</v>
      </c>
      <c r="F59" s="40">
        <v>5093.2</v>
      </c>
    </row>
    <row r="60" spans="1:6" ht="22.5" customHeight="1" x14ac:dyDescent="0.5">
      <c r="A60" s="208">
        <v>18</v>
      </c>
      <c r="B60" s="78" t="s">
        <v>144</v>
      </c>
      <c r="C60" s="81" t="s">
        <v>145</v>
      </c>
      <c r="D60" s="38">
        <v>25166</v>
      </c>
      <c r="E60" s="39" t="s">
        <v>724</v>
      </c>
      <c r="F60" s="40">
        <v>920.2</v>
      </c>
    </row>
    <row r="61" spans="1:6" ht="22.5" customHeight="1" x14ac:dyDescent="0.5">
      <c r="A61" s="208">
        <v>19</v>
      </c>
      <c r="B61" s="237" t="s">
        <v>149</v>
      </c>
      <c r="C61" s="238" t="s">
        <v>150</v>
      </c>
      <c r="D61" s="38">
        <v>25163</v>
      </c>
      <c r="E61" s="39" t="s">
        <v>725</v>
      </c>
      <c r="F61" s="40">
        <v>1519.4</v>
      </c>
    </row>
    <row r="62" spans="1:6" ht="22.5" customHeight="1" x14ac:dyDescent="0.5">
      <c r="A62" s="208">
        <v>20</v>
      </c>
      <c r="B62" s="240" t="s">
        <v>569</v>
      </c>
      <c r="C62" s="83" t="s">
        <v>153</v>
      </c>
      <c r="D62" s="38">
        <v>25167</v>
      </c>
      <c r="E62" s="39" t="s">
        <v>726</v>
      </c>
      <c r="F62" s="40">
        <v>4729.3999999999996</v>
      </c>
    </row>
    <row r="63" spans="1:6" ht="22.5" customHeight="1" x14ac:dyDescent="0.5">
      <c r="A63" s="208">
        <v>21</v>
      </c>
      <c r="B63" s="240" t="s">
        <v>569</v>
      </c>
      <c r="C63" s="83"/>
      <c r="D63" s="38">
        <v>25167</v>
      </c>
      <c r="E63" s="39" t="s">
        <v>726</v>
      </c>
      <c r="F63" s="40">
        <v>14851.6</v>
      </c>
    </row>
    <row r="64" spans="1:6" ht="22.5" customHeight="1" x14ac:dyDescent="0.5">
      <c r="A64" s="208">
        <v>22</v>
      </c>
      <c r="B64" s="240" t="s">
        <v>157</v>
      </c>
      <c r="C64" s="83" t="s">
        <v>158</v>
      </c>
      <c r="D64" s="38">
        <v>25169</v>
      </c>
      <c r="E64" s="39" t="s">
        <v>727</v>
      </c>
      <c r="F64" s="40">
        <v>2343.3000000000002</v>
      </c>
    </row>
    <row r="65" spans="1:6" ht="22.5" customHeight="1" x14ac:dyDescent="0.5">
      <c r="A65" s="208">
        <v>23</v>
      </c>
      <c r="B65" s="240" t="s">
        <v>162</v>
      </c>
      <c r="C65" s="83" t="s">
        <v>163</v>
      </c>
      <c r="D65" s="38">
        <v>25155</v>
      </c>
      <c r="E65" s="39" t="s">
        <v>728</v>
      </c>
      <c r="F65" s="40">
        <v>2236.3000000000002</v>
      </c>
    </row>
    <row r="66" spans="1:6" ht="22.5" customHeight="1" x14ac:dyDescent="0.5">
      <c r="A66" s="208">
        <v>24</v>
      </c>
      <c r="B66" s="209" t="s">
        <v>165</v>
      </c>
      <c r="C66" s="210" t="s">
        <v>166</v>
      </c>
      <c r="D66" s="38">
        <v>25146</v>
      </c>
      <c r="E66" s="39" t="s">
        <v>729</v>
      </c>
      <c r="F66" s="40">
        <v>96.3</v>
      </c>
    </row>
    <row r="67" spans="1:6" ht="22.5" customHeight="1" x14ac:dyDescent="0.5">
      <c r="A67" s="208">
        <v>25</v>
      </c>
      <c r="B67" s="209" t="s">
        <v>171</v>
      </c>
      <c r="C67" s="210"/>
      <c r="D67" s="38">
        <v>25163</v>
      </c>
      <c r="E67" s="39" t="s">
        <v>730</v>
      </c>
      <c r="F67" s="40">
        <v>1070</v>
      </c>
    </row>
    <row r="68" spans="1:6" ht="22.5" customHeight="1" x14ac:dyDescent="0.5">
      <c r="A68" s="208">
        <v>26</v>
      </c>
      <c r="B68" s="209" t="s">
        <v>175</v>
      </c>
      <c r="C68" s="210" t="s">
        <v>176</v>
      </c>
      <c r="D68" s="30">
        <v>25160</v>
      </c>
      <c r="E68" s="31" t="s">
        <v>731</v>
      </c>
      <c r="F68" s="32">
        <v>609.9</v>
      </c>
    </row>
    <row r="69" spans="1:6" ht="22.5" customHeight="1" x14ac:dyDescent="0.5">
      <c r="A69" s="208">
        <v>27</v>
      </c>
      <c r="B69" s="209" t="s">
        <v>178</v>
      </c>
      <c r="C69" s="210" t="s">
        <v>179</v>
      </c>
      <c r="D69" s="38">
        <v>25172</v>
      </c>
      <c r="E69" s="39" t="s">
        <v>732</v>
      </c>
      <c r="F69" s="40">
        <v>930.9</v>
      </c>
    </row>
    <row r="70" spans="1:6" ht="22.5" customHeight="1" x14ac:dyDescent="0.5">
      <c r="A70" s="208">
        <v>28</v>
      </c>
      <c r="B70" s="209" t="s">
        <v>181</v>
      </c>
      <c r="C70" s="210" t="s">
        <v>182</v>
      </c>
      <c r="D70" s="38" t="s">
        <v>733</v>
      </c>
      <c r="E70" s="39" t="s">
        <v>734</v>
      </c>
      <c r="F70" s="40">
        <v>1198.4000000000001</v>
      </c>
    </row>
    <row r="71" spans="1:6" ht="22.5" customHeight="1" x14ac:dyDescent="0.5">
      <c r="A71" s="208">
        <v>29</v>
      </c>
      <c r="B71" s="209" t="s">
        <v>64</v>
      </c>
      <c r="C71" s="210" t="s">
        <v>184</v>
      </c>
      <c r="D71" s="38">
        <v>25163</v>
      </c>
      <c r="E71" s="245" t="s">
        <v>735</v>
      </c>
      <c r="F71" s="246">
        <v>5285.8</v>
      </c>
    </row>
    <row r="72" spans="1:6" ht="22.5" customHeight="1" x14ac:dyDescent="0.5">
      <c r="A72" s="208">
        <v>30</v>
      </c>
      <c r="B72" s="209" t="s">
        <v>64</v>
      </c>
      <c r="C72" s="210" t="s">
        <v>184</v>
      </c>
      <c r="D72" s="38">
        <v>25163</v>
      </c>
      <c r="E72" s="245" t="s">
        <v>735</v>
      </c>
      <c r="F72" s="246">
        <v>3188.6</v>
      </c>
    </row>
    <row r="73" spans="1:6" ht="22.5" customHeight="1" x14ac:dyDescent="0.5">
      <c r="A73" s="208">
        <v>31</v>
      </c>
      <c r="B73" s="209" t="s">
        <v>186</v>
      </c>
      <c r="C73" s="210" t="s">
        <v>187</v>
      </c>
      <c r="D73" s="38">
        <v>25163</v>
      </c>
      <c r="E73" s="39" t="s">
        <v>736</v>
      </c>
      <c r="F73" s="246">
        <v>310.3</v>
      </c>
    </row>
    <row r="74" spans="1:6" ht="22.5" customHeight="1" x14ac:dyDescent="0.5">
      <c r="A74" s="208">
        <v>32</v>
      </c>
      <c r="B74" s="209" t="s">
        <v>191</v>
      </c>
      <c r="C74" s="210" t="s">
        <v>190</v>
      </c>
      <c r="D74" s="38">
        <v>25159</v>
      </c>
      <c r="E74" s="39" t="s">
        <v>737</v>
      </c>
      <c r="F74" s="246">
        <v>8613.5</v>
      </c>
    </row>
    <row r="75" spans="1:6" ht="22.5" customHeight="1" x14ac:dyDescent="0.5">
      <c r="A75" s="208">
        <v>33</v>
      </c>
      <c r="B75" s="209" t="s">
        <v>193</v>
      </c>
      <c r="C75" s="210" t="s">
        <v>194</v>
      </c>
      <c r="D75" s="38">
        <v>25145</v>
      </c>
      <c r="E75" s="39" t="s">
        <v>738</v>
      </c>
      <c r="F75" s="246">
        <v>2321.9</v>
      </c>
    </row>
    <row r="76" spans="1:6" ht="22.5" customHeight="1" x14ac:dyDescent="0.5">
      <c r="A76" s="208">
        <v>34</v>
      </c>
      <c r="B76" s="209" t="s">
        <v>195</v>
      </c>
      <c r="C76" s="210" t="s">
        <v>196</v>
      </c>
      <c r="D76" s="38">
        <v>25166</v>
      </c>
      <c r="E76" s="245" t="s">
        <v>739</v>
      </c>
      <c r="F76" s="246">
        <v>941.6</v>
      </c>
    </row>
    <row r="77" spans="1:6" ht="22.5" customHeight="1" x14ac:dyDescent="0.5">
      <c r="A77" s="208">
        <v>35</v>
      </c>
      <c r="B77" s="209" t="s">
        <v>198</v>
      </c>
      <c r="C77" s="210" t="s">
        <v>46</v>
      </c>
      <c r="D77" s="38">
        <v>25153</v>
      </c>
      <c r="E77" s="245" t="s">
        <v>740</v>
      </c>
      <c r="F77" s="246">
        <v>374.5</v>
      </c>
    </row>
    <row r="78" spans="1:6" ht="22.5" customHeight="1" x14ac:dyDescent="0.5">
      <c r="A78" s="208">
        <v>36</v>
      </c>
      <c r="B78" s="209" t="s">
        <v>198</v>
      </c>
      <c r="C78" s="210" t="s">
        <v>567</v>
      </c>
      <c r="D78" s="38">
        <v>25153</v>
      </c>
      <c r="E78" s="245" t="s">
        <v>741</v>
      </c>
      <c r="F78" s="246">
        <v>973.7</v>
      </c>
    </row>
    <row r="79" spans="1:6" ht="22.5" customHeight="1" x14ac:dyDescent="0.5">
      <c r="A79" s="208">
        <v>37</v>
      </c>
      <c r="B79" s="209" t="s">
        <v>200</v>
      </c>
      <c r="C79" s="210" t="s">
        <v>201</v>
      </c>
      <c r="D79" s="38">
        <v>25170</v>
      </c>
      <c r="E79" s="245" t="s">
        <v>742</v>
      </c>
      <c r="F79" s="246">
        <v>5114.6000000000004</v>
      </c>
    </row>
    <row r="80" spans="1:6" ht="22.5" customHeight="1" x14ac:dyDescent="0.5">
      <c r="A80" s="208">
        <v>38</v>
      </c>
      <c r="B80" s="209" t="s">
        <v>205</v>
      </c>
      <c r="C80" s="210" t="s">
        <v>206</v>
      </c>
      <c r="D80" s="30">
        <v>25163</v>
      </c>
      <c r="E80" s="249" t="s">
        <v>743</v>
      </c>
      <c r="F80" s="221">
        <v>1284</v>
      </c>
    </row>
    <row r="81" spans="1:7" ht="22.5" customHeight="1" x14ac:dyDescent="0.5">
      <c r="A81" s="208">
        <v>39</v>
      </c>
      <c r="B81" s="209" t="s">
        <v>210</v>
      </c>
      <c r="C81" s="210" t="s">
        <v>211</v>
      </c>
      <c r="D81" s="38">
        <v>25161</v>
      </c>
      <c r="E81" s="39" t="s">
        <v>744</v>
      </c>
      <c r="F81" s="246">
        <v>8089.2</v>
      </c>
    </row>
    <row r="82" spans="1:7" ht="22.5" customHeight="1" x14ac:dyDescent="0.5">
      <c r="A82" s="208">
        <v>40</v>
      </c>
      <c r="B82" s="209" t="s">
        <v>214</v>
      </c>
      <c r="C82" s="210" t="s">
        <v>215</v>
      </c>
      <c r="D82" s="38">
        <v>25166</v>
      </c>
      <c r="E82" s="39" t="s">
        <v>745</v>
      </c>
      <c r="F82" s="246">
        <v>11641.6</v>
      </c>
    </row>
    <row r="83" spans="1:7" ht="22.5" customHeight="1" x14ac:dyDescent="0.5">
      <c r="A83" s="208">
        <v>41</v>
      </c>
      <c r="B83" s="254" t="s">
        <v>217</v>
      </c>
      <c r="C83" s="238" t="s">
        <v>218</v>
      </c>
      <c r="D83" s="38">
        <v>25163</v>
      </c>
      <c r="E83" s="245" t="s">
        <v>746</v>
      </c>
      <c r="F83" s="246">
        <v>1594.3</v>
      </c>
    </row>
    <row r="84" spans="1:7" ht="22.5" customHeight="1" x14ac:dyDescent="0.5">
      <c r="A84" s="208">
        <v>42</v>
      </c>
      <c r="B84" s="257" t="s">
        <v>220</v>
      </c>
      <c r="C84" s="257" t="s">
        <v>221</v>
      </c>
      <c r="D84" s="38">
        <v>25152</v>
      </c>
      <c r="E84" s="39" t="s">
        <v>744</v>
      </c>
      <c r="F84" s="246">
        <v>64.2</v>
      </c>
    </row>
    <row r="85" spans="1:7" ht="22.5" customHeight="1" x14ac:dyDescent="0.5">
      <c r="A85" s="208">
        <v>43</v>
      </c>
      <c r="B85" s="265" t="s">
        <v>226</v>
      </c>
      <c r="C85" s="265" t="s">
        <v>227</v>
      </c>
      <c r="D85" s="38">
        <v>25145</v>
      </c>
      <c r="E85" s="245" t="s">
        <v>747</v>
      </c>
      <c r="F85" s="246">
        <v>2717.8</v>
      </c>
    </row>
    <row r="86" spans="1:7" ht="22.5" customHeight="1" x14ac:dyDescent="0.5">
      <c r="A86" s="208">
        <v>44</v>
      </c>
      <c r="B86" s="265" t="s">
        <v>566</v>
      </c>
      <c r="C86" s="265" t="s">
        <v>567</v>
      </c>
      <c r="D86" s="672">
        <v>25167</v>
      </c>
      <c r="E86" s="673" t="s">
        <v>748</v>
      </c>
      <c r="F86" s="674">
        <v>4012.5</v>
      </c>
    </row>
    <row r="87" spans="1:7" ht="22.5" customHeight="1" x14ac:dyDescent="0.5">
      <c r="A87" s="208">
        <v>45</v>
      </c>
      <c r="B87" s="265" t="s">
        <v>568</v>
      </c>
      <c r="C87" s="265" t="s">
        <v>567</v>
      </c>
      <c r="D87" s="678">
        <v>25167</v>
      </c>
      <c r="E87" s="679" t="s">
        <v>748</v>
      </c>
      <c r="F87" s="680">
        <v>4429.8</v>
      </c>
    </row>
    <row r="88" spans="1:7" ht="22.5" customHeight="1" x14ac:dyDescent="0.5">
      <c r="A88" s="208">
        <v>46</v>
      </c>
      <c r="B88" s="265" t="s">
        <v>705</v>
      </c>
      <c r="C88" s="794"/>
      <c r="D88" s="672">
        <v>25163</v>
      </c>
      <c r="E88" s="673" t="s">
        <v>749</v>
      </c>
      <c r="F88" s="674">
        <v>909.5</v>
      </c>
    </row>
    <row r="89" spans="1:7" s="60" customFormat="1" ht="22.5" customHeight="1" thickBot="1" x14ac:dyDescent="0.35">
      <c r="A89" s="278"/>
      <c r="B89" s="278" t="s">
        <v>15</v>
      </c>
      <c r="C89" s="279"/>
      <c r="D89" s="280"/>
      <c r="E89" s="280">
        <v>0</v>
      </c>
      <c r="F89" s="280">
        <v>273310.09999999998</v>
      </c>
      <c r="G89" s="683">
        <f>SUM(F43:F88)</f>
        <v>273310.09999999998</v>
      </c>
    </row>
    <row r="90" spans="1:7" ht="22.5" customHeight="1" thickTop="1" x14ac:dyDescent="0.3">
      <c r="A90" s="61"/>
      <c r="B90" s="121" t="s">
        <v>232</v>
      </c>
      <c r="C90" s="63"/>
      <c r="D90" s="286"/>
      <c r="E90" s="287"/>
      <c r="F90" s="288"/>
    </row>
    <row r="91" spans="1:7" ht="22.5" customHeight="1" x14ac:dyDescent="0.5">
      <c r="A91" s="23">
        <v>1</v>
      </c>
      <c r="B91" s="73" t="s">
        <v>234</v>
      </c>
      <c r="C91" s="25" t="s">
        <v>235</v>
      </c>
      <c r="D91" s="30">
        <v>25169</v>
      </c>
      <c r="E91" s="31" t="s">
        <v>752</v>
      </c>
      <c r="F91" s="32">
        <v>9450</v>
      </c>
    </row>
    <row r="92" spans="1:7" ht="22.5" customHeight="1" x14ac:dyDescent="0.5">
      <c r="A92" s="23">
        <v>2</v>
      </c>
      <c r="B92" s="73" t="s">
        <v>237</v>
      </c>
      <c r="C92" s="25" t="s">
        <v>238</v>
      </c>
      <c r="D92" s="30">
        <v>25169</v>
      </c>
      <c r="E92" s="31" t="s">
        <v>753</v>
      </c>
      <c r="F92" s="32">
        <v>3150</v>
      </c>
    </row>
    <row r="93" spans="1:7" ht="22.5" customHeight="1" x14ac:dyDescent="0.5">
      <c r="A93" s="23">
        <v>3</v>
      </c>
      <c r="B93" s="73" t="s">
        <v>198</v>
      </c>
      <c r="C93" s="25" t="s">
        <v>243</v>
      </c>
      <c r="D93" s="30">
        <v>25153</v>
      </c>
      <c r="E93" s="31" t="s">
        <v>754</v>
      </c>
      <c r="F93" s="32">
        <v>22050</v>
      </c>
    </row>
    <row r="94" spans="1:7" ht="22.5" customHeight="1" x14ac:dyDescent="0.5">
      <c r="A94" s="23">
        <v>4</v>
      </c>
      <c r="B94" s="73" t="s">
        <v>245</v>
      </c>
      <c r="C94" s="25" t="s">
        <v>246</v>
      </c>
      <c r="D94" s="30">
        <v>25147</v>
      </c>
      <c r="E94" s="31" t="s">
        <v>755</v>
      </c>
      <c r="F94" s="32">
        <v>9450</v>
      </c>
    </row>
    <row r="95" spans="1:7" ht="22.5" customHeight="1" x14ac:dyDescent="0.5">
      <c r="A95" s="23">
        <v>5</v>
      </c>
      <c r="B95" s="209" t="s">
        <v>250</v>
      </c>
      <c r="C95" s="210" t="s">
        <v>251</v>
      </c>
      <c r="D95" s="30">
        <v>25152</v>
      </c>
      <c r="E95" s="31" t="s">
        <v>756</v>
      </c>
      <c r="F95" s="32">
        <v>6300</v>
      </c>
    </row>
    <row r="96" spans="1:7" ht="22.5" customHeight="1" x14ac:dyDescent="0.5">
      <c r="A96" s="23">
        <v>6</v>
      </c>
      <c r="B96" s="73" t="s">
        <v>253</v>
      </c>
      <c r="C96" s="25" t="s">
        <v>254</v>
      </c>
      <c r="D96" s="30" t="s">
        <v>757</v>
      </c>
      <c r="E96" s="31" t="s">
        <v>758</v>
      </c>
      <c r="F96" s="32">
        <v>18900</v>
      </c>
    </row>
    <row r="97" spans="1:6" ht="22.5" customHeight="1" x14ac:dyDescent="0.5">
      <c r="A97" s="23">
        <v>7</v>
      </c>
      <c r="B97" s="73" t="s">
        <v>257</v>
      </c>
      <c r="C97" s="25" t="s">
        <v>258</v>
      </c>
      <c r="D97" s="30">
        <v>25147</v>
      </c>
      <c r="E97" s="31" t="s">
        <v>759</v>
      </c>
      <c r="F97" s="32">
        <v>5600</v>
      </c>
    </row>
    <row r="98" spans="1:6" ht="22.5" customHeight="1" x14ac:dyDescent="0.5">
      <c r="A98" s="23">
        <v>8</v>
      </c>
      <c r="B98" s="73" t="s">
        <v>198</v>
      </c>
      <c r="C98" s="25" t="s">
        <v>260</v>
      </c>
      <c r="D98" s="30">
        <v>25153</v>
      </c>
      <c r="E98" s="31" t="s">
        <v>754</v>
      </c>
      <c r="F98" s="32">
        <v>2800</v>
      </c>
    </row>
    <row r="99" spans="1:6" ht="22.5" customHeight="1" x14ac:dyDescent="0.5">
      <c r="A99" s="23">
        <v>9</v>
      </c>
      <c r="B99" s="73" t="s">
        <v>261</v>
      </c>
      <c r="C99" s="25" t="s">
        <v>262</v>
      </c>
      <c r="D99" s="30">
        <v>25162</v>
      </c>
      <c r="E99" s="31" t="s">
        <v>760</v>
      </c>
      <c r="F99" s="32">
        <v>5600</v>
      </c>
    </row>
    <row r="100" spans="1:6" ht="22.5" customHeight="1" x14ac:dyDescent="0.5">
      <c r="A100" s="23">
        <v>10</v>
      </c>
      <c r="B100" s="73" t="s">
        <v>264</v>
      </c>
      <c r="C100" s="25" t="s">
        <v>265</v>
      </c>
      <c r="D100" s="30">
        <v>25162</v>
      </c>
      <c r="E100" s="31" t="s">
        <v>760</v>
      </c>
      <c r="F100" s="32">
        <v>5600</v>
      </c>
    </row>
    <row r="101" spans="1:6" ht="22.5" customHeight="1" x14ac:dyDescent="0.5">
      <c r="A101" s="23">
        <v>11</v>
      </c>
      <c r="B101" s="73" t="s">
        <v>266</v>
      </c>
      <c r="C101" s="25" t="s">
        <v>267</v>
      </c>
      <c r="D101" s="30">
        <v>25147</v>
      </c>
      <c r="E101" s="31" t="s">
        <v>761</v>
      </c>
      <c r="F101" s="32">
        <v>5600</v>
      </c>
    </row>
    <row r="102" spans="1:6" ht="22.5" customHeight="1" x14ac:dyDescent="0.5">
      <c r="A102" s="23">
        <v>12</v>
      </c>
      <c r="B102" s="73" t="s">
        <v>270</v>
      </c>
      <c r="C102" s="25" t="s">
        <v>271</v>
      </c>
      <c r="D102" s="30">
        <v>25146</v>
      </c>
      <c r="E102" s="31" t="s">
        <v>762</v>
      </c>
      <c r="F102" s="32">
        <v>9450</v>
      </c>
    </row>
    <row r="103" spans="1:6" ht="22.5" customHeight="1" x14ac:dyDescent="0.5">
      <c r="A103" s="23">
        <v>13</v>
      </c>
      <c r="B103" s="73" t="s">
        <v>261</v>
      </c>
      <c r="C103" s="25" t="s">
        <v>273</v>
      </c>
      <c r="D103" s="30">
        <v>25162</v>
      </c>
      <c r="E103" s="31" t="s">
        <v>760</v>
      </c>
      <c r="F103" s="32">
        <v>9450</v>
      </c>
    </row>
    <row r="104" spans="1:6" ht="22.5" customHeight="1" x14ac:dyDescent="0.5">
      <c r="A104" s="23">
        <v>14</v>
      </c>
      <c r="B104" s="73" t="s">
        <v>274</v>
      </c>
      <c r="C104" s="25" t="s">
        <v>275</v>
      </c>
      <c r="D104" s="30">
        <v>25149</v>
      </c>
      <c r="E104" s="31" t="s">
        <v>763</v>
      </c>
      <c r="F104" s="32">
        <v>3150</v>
      </c>
    </row>
    <row r="105" spans="1:6" ht="22.5" customHeight="1" x14ac:dyDescent="0.5">
      <c r="A105" s="23">
        <v>15</v>
      </c>
      <c r="B105" s="73" t="s">
        <v>277</v>
      </c>
      <c r="C105" s="25" t="s">
        <v>278</v>
      </c>
      <c r="D105" s="30">
        <v>25145</v>
      </c>
      <c r="E105" s="31" t="s">
        <v>764</v>
      </c>
      <c r="F105" s="32">
        <v>6300</v>
      </c>
    </row>
    <row r="106" spans="1:6" ht="22.5" customHeight="1" x14ac:dyDescent="0.5">
      <c r="A106" s="23">
        <v>16</v>
      </c>
      <c r="B106" s="73" t="s">
        <v>290</v>
      </c>
      <c r="C106" s="25" t="s">
        <v>291</v>
      </c>
      <c r="D106" s="30">
        <v>25146</v>
      </c>
      <c r="E106" s="31" t="s">
        <v>764</v>
      </c>
      <c r="F106" s="32">
        <v>5600</v>
      </c>
    </row>
    <row r="107" spans="1:6" ht="22.5" customHeight="1" x14ac:dyDescent="0.5">
      <c r="A107" s="23">
        <v>17</v>
      </c>
      <c r="B107" s="73" t="s">
        <v>293</v>
      </c>
      <c r="C107" s="25" t="s">
        <v>294</v>
      </c>
      <c r="D107" s="30">
        <v>25147</v>
      </c>
      <c r="E107" s="31" t="s">
        <v>765</v>
      </c>
      <c r="F107" s="32">
        <v>2800</v>
      </c>
    </row>
    <row r="108" spans="1:6" ht="22.5" customHeight="1" x14ac:dyDescent="0.5">
      <c r="A108" s="23">
        <v>18</v>
      </c>
      <c r="B108" s="73" t="s">
        <v>296</v>
      </c>
      <c r="C108" s="25" t="s">
        <v>297</v>
      </c>
      <c r="D108" s="30">
        <v>25166</v>
      </c>
      <c r="E108" s="31" t="s">
        <v>766</v>
      </c>
      <c r="F108" s="32">
        <v>5600</v>
      </c>
    </row>
    <row r="109" spans="1:6" ht="22.5" customHeight="1" x14ac:dyDescent="0.5">
      <c r="A109" s="23">
        <v>19</v>
      </c>
      <c r="B109" s="209" t="s">
        <v>300</v>
      </c>
      <c r="C109" s="210" t="s">
        <v>301</v>
      </c>
      <c r="D109" s="30">
        <v>25162</v>
      </c>
      <c r="E109" s="31" t="s">
        <v>767</v>
      </c>
      <c r="F109" s="32">
        <v>5600</v>
      </c>
    </row>
    <row r="110" spans="1:6" ht="22.5" customHeight="1" x14ac:dyDescent="0.5">
      <c r="A110" s="23">
        <v>20</v>
      </c>
      <c r="B110" s="209" t="s">
        <v>303</v>
      </c>
      <c r="C110" s="210" t="s">
        <v>304</v>
      </c>
      <c r="D110" s="30" t="s">
        <v>768</v>
      </c>
      <c r="E110" s="249" t="s">
        <v>769</v>
      </c>
      <c r="F110" s="221">
        <v>5600</v>
      </c>
    </row>
    <row r="111" spans="1:6" ht="22.5" customHeight="1" x14ac:dyDescent="0.5">
      <c r="A111" s="23">
        <v>21</v>
      </c>
      <c r="B111" s="209" t="s">
        <v>306</v>
      </c>
      <c r="C111" s="210" t="s">
        <v>307</v>
      </c>
      <c r="D111" s="30">
        <v>25166</v>
      </c>
      <c r="E111" s="31" t="s">
        <v>766</v>
      </c>
      <c r="F111" s="32">
        <v>5600</v>
      </c>
    </row>
    <row r="112" spans="1:6" ht="22.5" customHeight="1" x14ac:dyDescent="0.5">
      <c r="A112" s="23">
        <v>22</v>
      </c>
      <c r="B112" s="73" t="s">
        <v>308</v>
      </c>
      <c r="C112" s="25" t="s">
        <v>309</v>
      </c>
      <c r="D112" s="30" t="s">
        <v>770</v>
      </c>
      <c r="E112" s="31" t="s">
        <v>771</v>
      </c>
      <c r="F112" s="32">
        <v>16800</v>
      </c>
    </row>
    <row r="113" spans="1:6" ht="22.5" customHeight="1" x14ac:dyDescent="0.5">
      <c r="A113" s="23">
        <v>23</v>
      </c>
      <c r="B113" s="73" t="s">
        <v>261</v>
      </c>
      <c r="C113" s="25" t="s">
        <v>311</v>
      </c>
      <c r="D113" s="30">
        <v>25162</v>
      </c>
      <c r="E113" s="31" t="s">
        <v>760</v>
      </c>
      <c r="F113" s="32">
        <v>2800</v>
      </c>
    </row>
    <row r="114" spans="1:6" ht="22.5" customHeight="1" x14ac:dyDescent="0.5">
      <c r="A114" s="23">
        <v>24</v>
      </c>
      <c r="B114" s="310" t="s">
        <v>261</v>
      </c>
      <c r="C114" s="311" t="s">
        <v>312</v>
      </c>
      <c r="D114" s="30">
        <v>25162</v>
      </c>
      <c r="E114" s="31" t="s">
        <v>760</v>
      </c>
      <c r="F114" s="32">
        <v>2800</v>
      </c>
    </row>
    <row r="115" spans="1:6" ht="22.5" customHeight="1" x14ac:dyDescent="0.5">
      <c r="A115" s="23">
        <v>25</v>
      </c>
      <c r="B115" s="73" t="s">
        <v>313</v>
      </c>
      <c r="C115" s="25" t="s">
        <v>314</v>
      </c>
      <c r="D115" s="30" t="s">
        <v>757</v>
      </c>
      <c r="E115" s="31" t="s">
        <v>758</v>
      </c>
      <c r="F115" s="32">
        <v>5600</v>
      </c>
    </row>
    <row r="116" spans="1:6" ht="22.5" customHeight="1" x14ac:dyDescent="0.5">
      <c r="A116" s="23">
        <v>26</v>
      </c>
      <c r="B116" s="73" t="s">
        <v>261</v>
      </c>
      <c r="C116" s="25" t="s">
        <v>316</v>
      </c>
      <c r="D116" s="30">
        <v>25162</v>
      </c>
      <c r="E116" s="31" t="s">
        <v>760</v>
      </c>
      <c r="F116" s="32">
        <v>2800</v>
      </c>
    </row>
    <row r="117" spans="1:6" ht="22.5" customHeight="1" x14ac:dyDescent="0.5">
      <c r="A117" s="23">
        <v>27</v>
      </c>
      <c r="B117" s="73" t="s">
        <v>317</v>
      </c>
      <c r="C117" s="25" t="s">
        <v>318</v>
      </c>
      <c r="D117" s="30">
        <v>25146</v>
      </c>
      <c r="E117" s="31" t="s">
        <v>772</v>
      </c>
      <c r="F117" s="32">
        <v>2800</v>
      </c>
    </row>
    <row r="118" spans="1:6" ht="22.5" customHeight="1" x14ac:dyDescent="0.5">
      <c r="A118" s="23">
        <v>28</v>
      </c>
      <c r="B118" s="73" t="s">
        <v>320</v>
      </c>
      <c r="C118" s="25" t="s">
        <v>321</v>
      </c>
      <c r="D118" s="30">
        <v>25166</v>
      </c>
      <c r="E118" s="31" t="s">
        <v>773</v>
      </c>
      <c r="F118" s="32">
        <v>2800</v>
      </c>
    </row>
    <row r="119" spans="1:6" ht="22.5" customHeight="1" x14ac:dyDescent="0.5">
      <c r="A119" s="23">
        <v>29</v>
      </c>
      <c r="B119" s="73" t="s">
        <v>322</v>
      </c>
      <c r="C119" s="25" t="s">
        <v>323</v>
      </c>
      <c r="D119" s="30">
        <v>25170</v>
      </c>
      <c r="E119" s="31" t="s">
        <v>774</v>
      </c>
      <c r="F119" s="32">
        <v>5600</v>
      </c>
    </row>
    <row r="120" spans="1:6" ht="22.5" customHeight="1" x14ac:dyDescent="0.5">
      <c r="A120" s="23">
        <v>30</v>
      </c>
      <c r="B120" s="73" t="s">
        <v>293</v>
      </c>
      <c r="C120" s="25" t="s">
        <v>326</v>
      </c>
      <c r="D120" s="30">
        <v>25147</v>
      </c>
      <c r="E120" s="31" t="s">
        <v>765</v>
      </c>
      <c r="F120" s="32">
        <v>5600</v>
      </c>
    </row>
    <row r="121" spans="1:6" ht="22.5" customHeight="1" x14ac:dyDescent="0.5">
      <c r="A121" s="23">
        <v>31</v>
      </c>
      <c r="B121" s="73" t="s">
        <v>293</v>
      </c>
      <c r="C121" s="25" t="s">
        <v>327</v>
      </c>
      <c r="D121" s="30">
        <v>25147</v>
      </c>
      <c r="E121" s="31" t="s">
        <v>765</v>
      </c>
      <c r="F121" s="32">
        <v>5600</v>
      </c>
    </row>
    <row r="122" spans="1:6" ht="22.5" customHeight="1" x14ac:dyDescent="0.5">
      <c r="A122" s="23">
        <v>1</v>
      </c>
      <c r="B122" s="24" t="s">
        <v>329</v>
      </c>
      <c r="C122" s="25" t="s">
        <v>330</v>
      </c>
      <c r="D122" s="30">
        <v>24797</v>
      </c>
      <c r="E122" s="31" t="s">
        <v>775</v>
      </c>
      <c r="F122" s="32">
        <v>130536.37</v>
      </c>
    </row>
    <row r="123" spans="1:6" ht="22.5" customHeight="1" x14ac:dyDescent="0.5">
      <c r="A123" s="23">
        <v>2</v>
      </c>
      <c r="B123" s="24" t="s">
        <v>329</v>
      </c>
      <c r="C123" s="25" t="s">
        <v>331</v>
      </c>
      <c r="D123" s="30">
        <v>25163</v>
      </c>
      <c r="E123" s="31" t="s">
        <v>776</v>
      </c>
      <c r="F123" s="32">
        <v>96520.67</v>
      </c>
    </row>
    <row r="124" spans="1:6" ht="22.5" customHeight="1" x14ac:dyDescent="0.5">
      <c r="A124" s="23">
        <v>3</v>
      </c>
      <c r="B124" s="24" t="s">
        <v>332</v>
      </c>
      <c r="C124" s="25" t="s">
        <v>333</v>
      </c>
      <c r="D124" s="30">
        <v>25147</v>
      </c>
      <c r="E124" s="31" t="s">
        <v>777</v>
      </c>
      <c r="F124" s="32">
        <v>63810</v>
      </c>
    </row>
    <row r="125" spans="1:6" ht="22.5" customHeight="1" x14ac:dyDescent="0.5">
      <c r="A125" s="331">
        <v>4</v>
      </c>
      <c r="B125" s="332" t="s">
        <v>335</v>
      </c>
      <c r="C125" s="81" t="s">
        <v>336</v>
      </c>
      <c r="D125" s="335">
        <v>25159</v>
      </c>
      <c r="E125" s="336" t="s">
        <v>778</v>
      </c>
      <c r="F125" s="337">
        <v>60170</v>
      </c>
    </row>
    <row r="126" spans="1:6" ht="22.5" customHeight="1" x14ac:dyDescent="0.5">
      <c r="A126" s="23">
        <v>5</v>
      </c>
      <c r="B126" s="24" t="s">
        <v>338</v>
      </c>
      <c r="C126" s="25" t="s">
        <v>339</v>
      </c>
      <c r="D126" s="335">
        <v>25147</v>
      </c>
      <c r="E126" s="336" t="s">
        <v>778</v>
      </c>
      <c r="F126" s="342">
        <v>23527.65</v>
      </c>
    </row>
    <row r="127" spans="1:6" ht="22.5" customHeight="1" x14ac:dyDescent="0.5">
      <c r="A127" s="61">
        <v>6</v>
      </c>
      <c r="B127" s="343" t="s">
        <v>341</v>
      </c>
      <c r="C127" s="165" t="s">
        <v>342</v>
      </c>
      <c r="D127" s="345">
        <v>25172</v>
      </c>
      <c r="E127" s="346" t="s">
        <v>779</v>
      </c>
      <c r="F127" s="347">
        <v>20715.32</v>
      </c>
    </row>
    <row r="128" spans="1:6" ht="22.5" customHeight="1" x14ac:dyDescent="0.5">
      <c r="A128" s="331">
        <v>7</v>
      </c>
      <c r="B128" s="332" t="s">
        <v>344</v>
      </c>
      <c r="C128" s="81" t="s">
        <v>345</v>
      </c>
      <c r="D128" s="182" t="s">
        <v>685</v>
      </c>
      <c r="E128" s="350" t="s">
        <v>780</v>
      </c>
      <c r="F128" s="337">
        <v>43972</v>
      </c>
    </row>
    <row r="129" spans="1:7" s="356" customFormat="1" ht="22.5" customHeight="1" x14ac:dyDescent="0.5">
      <c r="A129" s="253">
        <v>8</v>
      </c>
      <c r="B129" s="24" t="s">
        <v>347</v>
      </c>
      <c r="C129" s="351" t="s">
        <v>348</v>
      </c>
      <c r="D129" s="30">
        <v>25163</v>
      </c>
      <c r="E129" s="31" t="s">
        <v>781</v>
      </c>
      <c r="F129" s="32">
        <v>20000</v>
      </c>
    </row>
    <row r="130" spans="1:7" ht="22.5" customHeight="1" x14ac:dyDescent="0.5">
      <c r="A130" s="23">
        <v>1</v>
      </c>
      <c r="B130" s="290" t="s">
        <v>147</v>
      </c>
      <c r="C130" s="371" t="s">
        <v>351</v>
      </c>
      <c r="D130" s="30">
        <v>25149</v>
      </c>
      <c r="E130" s="220" t="s">
        <v>782</v>
      </c>
      <c r="F130" s="221">
        <v>1400</v>
      </c>
    </row>
    <row r="131" spans="1:7" ht="22.5" customHeight="1" x14ac:dyDescent="0.5">
      <c r="A131" s="23">
        <v>2</v>
      </c>
      <c r="B131" s="290" t="s">
        <v>353</v>
      </c>
      <c r="C131" s="371" t="s">
        <v>354</v>
      </c>
      <c r="D131" s="30">
        <v>25145</v>
      </c>
      <c r="E131" s="220" t="s">
        <v>783</v>
      </c>
      <c r="F131" s="221">
        <v>22000</v>
      </c>
    </row>
    <row r="132" spans="1:7" ht="22.5" customHeight="1" x14ac:dyDescent="0.5">
      <c r="A132" s="23">
        <v>3</v>
      </c>
      <c r="B132" s="290" t="s">
        <v>355</v>
      </c>
      <c r="C132" s="371" t="s">
        <v>356</v>
      </c>
      <c r="D132" s="30">
        <v>25162</v>
      </c>
      <c r="E132" s="220" t="s">
        <v>784</v>
      </c>
      <c r="F132" s="221">
        <v>9400</v>
      </c>
    </row>
    <row r="133" spans="1:7" ht="22.5" customHeight="1" x14ac:dyDescent="0.5">
      <c r="A133" s="331">
        <v>5</v>
      </c>
      <c r="B133" s="374" t="s">
        <v>358</v>
      </c>
      <c r="C133" s="375" t="s">
        <v>356</v>
      </c>
      <c r="D133" s="38">
        <v>25172</v>
      </c>
      <c r="E133" s="376" t="s">
        <v>785</v>
      </c>
      <c r="F133" s="246">
        <v>9810</v>
      </c>
    </row>
    <row r="134" spans="1:7" ht="22.5" customHeight="1" x14ac:dyDescent="0.5">
      <c r="A134" s="377">
        <v>6</v>
      </c>
      <c r="B134" s="378" t="s">
        <v>359</v>
      </c>
      <c r="C134" s="311" t="s">
        <v>360</v>
      </c>
      <c r="D134" s="38">
        <v>25147</v>
      </c>
      <c r="E134" s="376" t="s">
        <v>786</v>
      </c>
      <c r="F134" s="246">
        <v>6000</v>
      </c>
    </row>
    <row r="135" spans="1:7" ht="22.5" customHeight="1" x14ac:dyDescent="0.5">
      <c r="A135" s="208">
        <v>1</v>
      </c>
      <c r="B135" s="73" t="s">
        <v>364</v>
      </c>
      <c r="C135" s="25" t="s">
        <v>365</v>
      </c>
      <c r="D135" s="30" t="s">
        <v>757</v>
      </c>
      <c r="E135" s="31" t="s">
        <v>788</v>
      </c>
      <c r="F135" s="32">
        <v>20000</v>
      </c>
    </row>
    <row r="136" spans="1:7" ht="22.5" customHeight="1" x14ac:dyDescent="0.5">
      <c r="A136" s="208">
        <v>2</v>
      </c>
      <c r="B136" s="290" t="s">
        <v>367</v>
      </c>
      <c r="C136" s="25" t="s">
        <v>368</v>
      </c>
      <c r="D136" s="250">
        <v>25153</v>
      </c>
      <c r="E136" s="251" t="s">
        <v>789</v>
      </c>
      <c r="F136" s="390">
        <v>5000</v>
      </c>
    </row>
    <row r="137" spans="1:7" ht="22.5" customHeight="1" x14ac:dyDescent="0.5">
      <c r="A137" s="391">
        <v>3</v>
      </c>
      <c r="B137" s="392" t="s">
        <v>370</v>
      </c>
      <c r="C137" s="63" t="s">
        <v>371</v>
      </c>
      <c r="D137" s="30">
        <v>25162</v>
      </c>
      <c r="E137" s="31" t="s">
        <v>790</v>
      </c>
      <c r="F137" s="32">
        <v>12000</v>
      </c>
    </row>
    <row r="138" spans="1:7" ht="22.5" customHeight="1" x14ac:dyDescent="0.3">
      <c r="A138" s="253">
        <v>4</v>
      </c>
      <c r="B138" s="398" t="s">
        <v>373</v>
      </c>
      <c r="C138" s="165" t="s">
        <v>374</v>
      </c>
      <c r="D138" s="399">
        <v>25145</v>
      </c>
      <c r="E138" s="400" t="s">
        <v>791</v>
      </c>
      <c r="F138" s="401">
        <v>4100</v>
      </c>
    </row>
    <row r="139" spans="1:7" ht="22.5" customHeight="1" x14ac:dyDescent="0.5">
      <c r="A139" s="253">
        <v>5</v>
      </c>
      <c r="B139" s="402" t="s">
        <v>376</v>
      </c>
      <c r="C139" s="403" t="s">
        <v>377</v>
      </c>
      <c r="D139" s="30">
        <v>25147</v>
      </c>
      <c r="E139" s="31" t="s">
        <v>792</v>
      </c>
      <c r="F139" s="32">
        <v>1850</v>
      </c>
    </row>
    <row r="140" spans="1:7" ht="22.5" customHeight="1" x14ac:dyDescent="0.5">
      <c r="A140" s="208">
        <v>7</v>
      </c>
      <c r="B140" s="149" t="s">
        <v>383</v>
      </c>
      <c r="C140" s="311" t="s">
        <v>384</v>
      </c>
      <c r="D140" s="250">
        <v>25145</v>
      </c>
      <c r="E140" s="251" t="s">
        <v>791</v>
      </c>
      <c r="F140" s="390">
        <v>5400</v>
      </c>
    </row>
    <row r="141" spans="1:7" s="60" customFormat="1" ht="22.5" customHeight="1" thickBot="1" x14ac:dyDescent="0.35">
      <c r="A141" s="317"/>
      <c r="B141" s="317" t="s">
        <v>15</v>
      </c>
      <c r="C141" s="318"/>
      <c r="D141" s="383"/>
      <c r="E141" s="383">
        <v>0</v>
      </c>
      <c r="F141" s="383">
        <f>SUM(F91:F140)</f>
        <v>763062.01</v>
      </c>
      <c r="G141" s="683">
        <f>SUM(F91:F140)</f>
        <v>763062.01</v>
      </c>
    </row>
    <row r="142" spans="1:7" ht="22.5" customHeight="1" thickTop="1" x14ac:dyDescent="0.3">
      <c r="A142" s="61"/>
      <c r="B142" s="62" t="s">
        <v>386</v>
      </c>
      <c r="C142" s="63"/>
      <c r="D142" s="68"/>
      <c r="E142" s="68"/>
      <c r="F142" s="64"/>
    </row>
    <row r="143" spans="1:7" ht="22.5" customHeight="1" x14ac:dyDescent="0.3">
      <c r="A143" s="208">
        <v>1</v>
      </c>
      <c r="B143" s="290" t="s">
        <v>389</v>
      </c>
      <c r="C143" s="25" t="s">
        <v>390</v>
      </c>
      <c r="D143" s="335">
        <v>25145</v>
      </c>
      <c r="E143" s="410" t="s">
        <v>793</v>
      </c>
      <c r="F143" s="411">
        <v>3150</v>
      </c>
    </row>
    <row r="144" spans="1:7" s="60" customFormat="1" ht="22.5" customHeight="1" thickBot="1" x14ac:dyDescent="0.35">
      <c r="A144" s="317"/>
      <c r="B144" s="317" t="s">
        <v>15</v>
      </c>
      <c r="C144" s="318"/>
      <c r="D144" s="383"/>
      <c r="E144" s="383">
        <v>0</v>
      </c>
      <c r="F144" s="383">
        <v>3150</v>
      </c>
      <c r="G144" s="683">
        <f>SUM(F143)</f>
        <v>3150</v>
      </c>
    </row>
    <row r="145" spans="1:7" ht="22.5" customHeight="1" thickTop="1" thickBot="1" x14ac:dyDescent="0.35">
      <c r="A145" s="429"/>
      <c r="B145" s="430"/>
      <c r="C145" s="431"/>
      <c r="D145" s="436"/>
      <c r="E145" s="437"/>
      <c r="F145" s="438"/>
    </row>
    <row r="146" spans="1:7" s="60" customFormat="1" ht="22.5" customHeight="1" thickTop="1" thickBot="1" x14ac:dyDescent="0.35">
      <c r="A146" s="459"/>
      <c r="B146" s="460" t="s">
        <v>497</v>
      </c>
      <c r="C146" s="461"/>
      <c r="D146" s="462">
        <v>0</v>
      </c>
      <c r="E146" s="462">
        <v>0</v>
      </c>
      <c r="F146" s="462">
        <v>1160947.83</v>
      </c>
      <c r="G146" s="795">
        <f>SUM(G12:G144)</f>
        <v>1160947.83</v>
      </c>
    </row>
    <row r="147" spans="1:7" ht="22.5" customHeight="1" thickTop="1" x14ac:dyDescent="0.3"/>
  </sheetData>
  <mergeCells count="7"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8B5D-2857-4341-A785-883928F5E5EE}">
  <sheetPr>
    <tabColor rgb="FF92D050"/>
  </sheetPr>
  <dimension ref="A1:K102"/>
  <sheetViews>
    <sheetView zoomScale="75" zoomScaleNormal="75" workbookViewId="0">
      <pane ySplit="6" topLeftCell="A71" activePane="bottomLeft" state="frozen"/>
      <selection pane="bottomLeft" activeCell="K86" sqref="K86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26.33203125" style="696" customWidth="1"/>
    <col min="5" max="5" width="14.5546875" style="662" customWidth="1"/>
    <col min="6" max="6" width="8" style="663" customWidth="1"/>
    <col min="7" max="7" width="16.5546875" style="665" customWidth="1"/>
    <col min="8" max="16384" width="27.109375" style="3"/>
  </cols>
  <sheetData>
    <row r="1" spans="1:8" ht="22.5" customHeight="1" x14ac:dyDescent="0.3">
      <c r="A1" s="1108" t="s">
        <v>0</v>
      </c>
      <c r="B1" s="1109"/>
      <c r="C1" s="1109"/>
      <c r="D1" s="1109"/>
      <c r="E1" s="1109"/>
      <c r="F1" s="1109"/>
      <c r="G1" s="1109"/>
    </row>
    <row r="2" spans="1:8" ht="22.5" customHeight="1" x14ac:dyDescent="0.3">
      <c r="A2" s="1108" t="s">
        <v>1</v>
      </c>
      <c r="B2" s="1109"/>
      <c r="C2" s="1109"/>
      <c r="D2" s="1109"/>
      <c r="E2" s="1109"/>
      <c r="F2" s="1109"/>
      <c r="G2" s="1109"/>
    </row>
    <row r="3" spans="1:8" ht="22.5" customHeight="1" x14ac:dyDescent="0.3">
      <c r="A3" s="1110" t="s">
        <v>680</v>
      </c>
      <c r="B3" s="1111"/>
      <c r="C3" s="1111"/>
      <c r="D3" s="1111"/>
      <c r="E3" s="1111"/>
      <c r="F3" s="1111"/>
      <c r="G3" s="1111"/>
    </row>
    <row r="4" spans="1:8" ht="22.5" customHeight="1" x14ac:dyDescent="0.3">
      <c r="A4" s="1112" t="s">
        <v>3</v>
      </c>
      <c r="B4" s="1112" t="s">
        <v>4</v>
      </c>
      <c r="C4" s="1115" t="s">
        <v>5</v>
      </c>
      <c r="D4" s="796"/>
      <c r="E4" s="1118" t="s">
        <v>9</v>
      </c>
      <c r="F4" s="1140"/>
      <c r="G4" s="1120"/>
    </row>
    <row r="5" spans="1:8" ht="22.5" customHeight="1" x14ac:dyDescent="0.3">
      <c r="A5" s="1113"/>
      <c r="B5" s="1113"/>
      <c r="C5" s="1116"/>
      <c r="D5" s="797" t="s">
        <v>618</v>
      </c>
      <c r="E5" s="1121" t="s">
        <v>10</v>
      </c>
      <c r="F5" s="1138" t="s">
        <v>11</v>
      </c>
      <c r="G5" s="667"/>
    </row>
    <row r="6" spans="1:8" ht="22.5" customHeight="1" x14ac:dyDescent="0.3">
      <c r="A6" s="1114"/>
      <c r="B6" s="1114"/>
      <c r="C6" s="1117"/>
      <c r="D6" s="695"/>
      <c r="E6" s="1122"/>
      <c r="F6" s="1139"/>
      <c r="G6" s="10" t="s">
        <v>15</v>
      </c>
    </row>
    <row r="7" spans="1:8" ht="22.5" customHeight="1" x14ac:dyDescent="0.3">
      <c r="A7" s="61"/>
      <c r="B7" s="62" t="s">
        <v>37</v>
      </c>
      <c r="C7" s="63"/>
      <c r="D7" s="798"/>
      <c r="E7" s="69"/>
      <c r="F7" s="70"/>
      <c r="G7" s="72"/>
    </row>
    <row r="8" spans="1:8" ht="22.5" customHeight="1" x14ac:dyDescent="0.3">
      <c r="A8" s="23">
        <v>1</v>
      </c>
      <c r="B8" s="73" t="s">
        <v>45</v>
      </c>
      <c r="C8" s="25" t="s">
        <v>46</v>
      </c>
      <c r="D8" s="799"/>
      <c r="E8" s="33">
        <v>25143</v>
      </c>
      <c r="F8" s="70" t="s">
        <v>33</v>
      </c>
      <c r="G8" s="36">
        <v>834.59999999999991</v>
      </c>
    </row>
    <row r="9" spans="1:8" ht="22.5" customHeight="1" x14ac:dyDescent="0.3">
      <c r="A9" s="23">
        <v>2</v>
      </c>
      <c r="B9" s="73" t="s">
        <v>48</v>
      </c>
      <c r="C9" s="25" t="s">
        <v>49</v>
      </c>
      <c r="D9" s="799"/>
      <c r="E9" s="33">
        <v>25143</v>
      </c>
      <c r="F9" s="70" t="s">
        <v>33</v>
      </c>
      <c r="G9" s="36">
        <v>1685.2499999999986</v>
      </c>
    </row>
    <row r="10" spans="1:8" s="60" customFormat="1" ht="22.5" customHeight="1" thickBot="1" x14ac:dyDescent="0.35">
      <c r="A10" s="48"/>
      <c r="B10" s="48" t="s">
        <v>15</v>
      </c>
      <c r="C10" s="49"/>
      <c r="D10" s="800"/>
      <c r="E10" s="107"/>
      <c r="F10" s="108"/>
      <c r="G10" s="110">
        <v>2519.8500000000017</v>
      </c>
      <c r="H10" s="683">
        <f>SUM(G8:G9)</f>
        <v>2519.8499999999985</v>
      </c>
    </row>
    <row r="11" spans="1:8" ht="22.5" customHeight="1" thickTop="1" x14ac:dyDescent="0.3">
      <c r="A11" s="61"/>
      <c r="B11" s="62" t="s">
        <v>92</v>
      </c>
      <c r="C11" s="63"/>
      <c r="D11" s="798"/>
      <c r="E11" s="61"/>
      <c r="F11" s="204"/>
      <c r="G11" s="207"/>
    </row>
    <row r="12" spans="1:8" ht="22.5" customHeight="1" x14ac:dyDescent="0.5">
      <c r="A12" s="208">
        <v>1</v>
      </c>
      <c r="B12" s="73" t="s">
        <v>96</v>
      </c>
      <c r="C12" s="25" t="s">
        <v>97</v>
      </c>
      <c r="D12" s="801"/>
      <c r="E12" s="215">
        <v>25143</v>
      </c>
      <c r="F12" s="216" t="s">
        <v>33</v>
      </c>
      <c r="G12" s="217">
        <v>4408.3999999999951</v>
      </c>
    </row>
    <row r="13" spans="1:8" ht="22.5" customHeight="1" x14ac:dyDescent="0.5">
      <c r="A13" s="208">
        <v>2</v>
      </c>
      <c r="B13" s="73" t="s">
        <v>99</v>
      </c>
      <c r="C13" s="25" t="s">
        <v>100</v>
      </c>
      <c r="D13" s="801"/>
      <c r="E13" s="215">
        <v>25143</v>
      </c>
      <c r="F13" s="216" t="s">
        <v>33</v>
      </c>
      <c r="G13" s="217">
        <v>3145.7999999999993</v>
      </c>
    </row>
    <row r="14" spans="1:8" ht="22.5" customHeight="1" x14ac:dyDescent="0.5">
      <c r="A14" s="208">
        <v>3</v>
      </c>
      <c r="B14" s="24" t="s">
        <v>102</v>
      </c>
      <c r="C14" s="222" t="s">
        <v>100</v>
      </c>
      <c r="D14" s="802"/>
      <c r="E14" s="215">
        <v>25143</v>
      </c>
      <c r="F14" s="216" t="s">
        <v>33</v>
      </c>
      <c r="G14" s="217">
        <v>214</v>
      </c>
    </row>
    <row r="15" spans="1:8" ht="22.5" customHeight="1" x14ac:dyDescent="0.5">
      <c r="A15" s="208">
        <v>4</v>
      </c>
      <c r="B15" s="73" t="s">
        <v>105</v>
      </c>
      <c r="C15" s="25" t="s">
        <v>97</v>
      </c>
      <c r="D15" s="801"/>
      <c r="E15" s="215">
        <v>25143</v>
      </c>
      <c r="F15" s="216" t="s">
        <v>33</v>
      </c>
      <c r="G15" s="217">
        <v>19302.800000000003</v>
      </c>
    </row>
    <row r="16" spans="1:8" ht="22.5" customHeight="1" x14ac:dyDescent="0.5">
      <c r="A16" s="208">
        <v>5</v>
      </c>
      <c r="B16" s="209" t="s">
        <v>109</v>
      </c>
      <c r="C16" s="210" t="s">
        <v>97</v>
      </c>
      <c r="D16" s="803"/>
      <c r="E16" s="215">
        <v>25143</v>
      </c>
      <c r="F16" s="216" t="s">
        <v>33</v>
      </c>
      <c r="G16" s="217">
        <v>40970.300000000003</v>
      </c>
    </row>
    <row r="17" spans="1:7" ht="22.5" customHeight="1" x14ac:dyDescent="0.5">
      <c r="A17" s="208">
        <v>6</v>
      </c>
      <c r="B17" s="73" t="s">
        <v>117</v>
      </c>
      <c r="C17" s="25" t="s">
        <v>118</v>
      </c>
      <c r="D17" s="801"/>
      <c r="E17" s="215">
        <v>25143</v>
      </c>
      <c r="F17" s="216" t="s">
        <v>33</v>
      </c>
      <c r="G17" s="217">
        <v>1401.7</v>
      </c>
    </row>
    <row r="18" spans="1:7" ht="22.5" customHeight="1" x14ac:dyDescent="0.5">
      <c r="A18" s="208">
        <v>7</v>
      </c>
      <c r="B18" s="73" t="s">
        <v>120</v>
      </c>
      <c r="C18" s="25" t="s">
        <v>118</v>
      </c>
      <c r="D18" s="801"/>
      <c r="E18" s="215">
        <v>25143</v>
      </c>
      <c r="F18" s="216" t="s">
        <v>33</v>
      </c>
      <c r="G18" s="217">
        <v>3488.2</v>
      </c>
    </row>
    <row r="19" spans="1:7" ht="22.5" customHeight="1" x14ac:dyDescent="0.5">
      <c r="A19" s="208">
        <v>8</v>
      </c>
      <c r="B19" s="73" t="s">
        <v>124</v>
      </c>
      <c r="C19" s="83" t="s">
        <v>125</v>
      </c>
      <c r="D19" s="803"/>
      <c r="E19" s="215">
        <v>25143</v>
      </c>
      <c r="F19" s="216" t="s">
        <v>33</v>
      </c>
      <c r="G19" s="217">
        <v>7843.1</v>
      </c>
    </row>
    <row r="20" spans="1:7" ht="22.5" customHeight="1" x14ac:dyDescent="0.5">
      <c r="A20" s="208">
        <v>9</v>
      </c>
      <c r="B20" s="78" t="s">
        <v>129</v>
      </c>
      <c r="C20" s="210" t="s">
        <v>130</v>
      </c>
      <c r="D20" s="803"/>
      <c r="E20" s="215" t="s">
        <v>716</v>
      </c>
      <c r="F20" s="216" t="s">
        <v>115</v>
      </c>
      <c r="G20" s="217">
        <v>22577</v>
      </c>
    </row>
    <row r="21" spans="1:7" ht="22.5" customHeight="1" x14ac:dyDescent="0.5">
      <c r="A21" s="208">
        <v>10</v>
      </c>
      <c r="B21" s="78" t="s">
        <v>132</v>
      </c>
      <c r="C21" s="210" t="s">
        <v>130</v>
      </c>
      <c r="D21" s="803"/>
      <c r="E21" s="215" t="s">
        <v>719</v>
      </c>
      <c r="F21" s="216" t="s">
        <v>115</v>
      </c>
      <c r="G21" s="217">
        <v>34270.399999999994</v>
      </c>
    </row>
    <row r="22" spans="1:7" ht="22.5" customHeight="1" x14ac:dyDescent="0.5">
      <c r="A22" s="208">
        <v>11</v>
      </c>
      <c r="B22" s="78" t="s">
        <v>134</v>
      </c>
      <c r="C22" s="165" t="s">
        <v>135</v>
      </c>
      <c r="D22" s="801"/>
      <c r="E22" s="215">
        <v>25143</v>
      </c>
      <c r="F22" s="216" t="s">
        <v>33</v>
      </c>
      <c r="G22" s="217">
        <v>5467.6999999999989</v>
      </c>
    </row>
    <row r="23" spans="1:7" s="229" customFormat="1" ht="22.5" customHeight="1" x14ac:dyDescent="0.5">
      <c r="A23" s="208">
        <v>12</v>
      </c>
      <c r="B23" s="226" t="s">
        <v>137</v>
      </c>
      <c r="C23" s="227"/>
      <c r="D23" s="804"/>
      <c r="E23" s="215">
        <v>25143</v>
      </c>
      <c r="F23" s="216" t="s">
        <v>33</v>
      </c>
      <c r="G23" s="217">
        <v>2621.5000000000009</v>
      </c>
    </row>
    <row r="24" spans="1:7" ht="22.5" customHeight="1" x14ac:dyDescent="0.5">
      <c r="A24" s="208">
        <v>13</v>
      </c>
      <c r="B24" s="240" t="s">
        <v>162</v>
      </c>
      <c r="C24" s="83" t="s">
        <v>163</v>
      </c>
      <c r="D24" s="803"/>
      <c r="E24" s="215">
        <v>25143</v>
      </c>
      <c r="F24" s="216" t="s">
        <v>33</v>
      </c>
      <c r="G24" s="217">
        <v>4986.1999999999971</v>
      </c>
    </row>
    <row r="25" spans="1:7" ht="22.5" customHeight="1" x14ac:dyDescent="0.5">
      <c r="A25" s="208">
        <v>14</v>
      </c>
      <c r="B25" s="209" t="s">
        <v>165</v>
      </c>
      <c r="C25" s="210" t="s">
        <v>166</v>
      </c>
      <c r="D25" s="803"/>
      <c r="E25" s="215">
        <v>25143</v>
      </c>
      <c r="F25" s="216" t="s">
        <v>33</v>
      </c>
      <c r="G25" s="217">
        <v>492.20000000000033</v>
      </c>
    </row>
    <row r="26" spans="1:7" ht="22.5" customHeight="1" x14ac:dyDescent="0.5">
      <c r="A26" s="208">
        <v>15</v>
      </c>
      <c r="B26" s="243" t="s">
        <v>168</v>
      </c>
      <c r="C26" s="244" t="s">
        <v>169</v>
      </c>
      <c r="D26" s="803"/>
      <c r="E26" s="215" t="s">
        <v>170</v>
      </c>
      <c r="F26" s="216" t="s">
        <v>115</v>
      </c>
      <c r="G26" s="217">
        <v>11374.100000000002</v>
      </c>
    </row>
    <row r="27" spans="1:7" ht="22.5" customHeight="1" x14ac:dyDescent="0.5">
      <c r="A27" s="208">
        <v>16</v>
      </c>
      <c r="B27" s="209" t="s">
        <v>175</v>
      </c>
      <c r="C27" s="210" t="s">
        <v>176</v>
      </c>
      <c r="D27" s="803"/>
      <c r="E27" s="215">
        <v>25143</v>
      </c>
      <c r="F27" s="216" t="s">
        <v>33</v>
      </c>
      <c r="G27" s="217">
        <v>674.09999999999911</v>
      </c>
    </row>
    <row r="28" spans="1:7" ht="22.5" customHeight="1" x14ac:dyDescent="0.5">
      <c r="A28" s="208">
        <v>17</v>
      </c>
      <c r="B28" s="209" t="s">
        <v>191</v>
      </c>
      <c r="C28" s="210" t="s">
        <v>190</v>
      </c>
      <c r="D28" s="803"/>
      <c r="E28" s="215">
        <v>25143</v>
      </c>
      <c r="F28" s="216" t="s">
        <v>33</v>
      </c>
      <c r="G28" s="217">
        <v>8335.2999999999993</v>
      </c>
    </row>
    <row r="29" spans="1:7" ht="22.5" customHeight="1" x14ac:dyDescent="0.5">
      <c r="A29" s="208">
        <v>18</v>
      </c>
      <c r="B29" s="209" t="s">
        <v>193</v>
      </c>
      <c r="C29" s="210" t="s">
        <v>194</v>
      </c>
      <c r="D29" s="803"/>
      <c r="E29" s="215">
        <v>25143</v>
      </c>
      <c r="F29" s="216" t="s">
        <v>33</v>
      </c>
      <c r="G29" s="217">
        <v>1872.4999999999995</v>
      </c>
    </row>
    <row r="30" spans="1:7" ht="22.5" customHeight="1" x14ac:dyDescent="0.5">
      <c r="A30" s="208">
        <v>19</v>
      </c>
      <c r="B30" s="209" t="s">
        <v>198</v>
      </c>
      <c r="C30" s="210" t="s">
        <v>46</v>
      </c>
      <c r="D30" s="803"/>
      <c r="E30" s="215">
        <v>25143</v>
      </c>
      <c r="F30" s="216" t="s">
        <v>33</v>
      </c>
      <c r="G30" s="217">
        <v>42.799999999999329</v>
      </c>
    </row>
    <row r="31" spans="1:7" ht="22.5" customHeight="1" x14ac:dyDescent="0.5">
      <c r="A31" s="208">
        <v>20</v>
      </c>
      <c r="B31" s="209" t="s">
        <v>198</v>
      </c>
      <c r="C31" s="210" t="s">
        <v>567</v>
      </c>
      <c r="D31" s="803"/>
      <c r="E31" s="215">
        <v>25143</v>
      </c>
      <c r="F31" s="216" t="s">
        <v>33</v>
      </c>
      <c r="G31" s="217">
        <v>888.10000000000014</v>
      </c>
    </row>
    <row r="32" spans="1:7" ht="22.5" customHeight="1" x14ac:dyDescent="0.5">
      <c r="A32" s="208">
        <v>21</v>
      </c>
      <c r="B32" s="209" t="s">
        <v>200</v>
      </c>
      <c r="C32" s="210" t="s">
        <v>201</v>
      </c>
      <c r="D32" s="803"/>
      <c r="E32" s="215">
        <v>25143</v>
      </c>
      <c r="F32" s="216" t="s">
        <v>33</v>
      </c>
      <c r="G32" s="217">
        <v>6248.7999999999975</v>
      </c>
    </row>
    <row r="33" spans="1:8" ht="22.5" customHeight="1" x14ac:dyDescent="0.5">
      <c r="A33" s="208">
        <v>22</v>
      </c>
      <c r="B33" s="209" t="s">
        <v>208</v>
      </c>
      <c r="C33" s="210"/>
      <c r="D33" s="803"/>
      <c r="E33" s="215">
        <v>25143</v>
      </c>
      <c r="F33" s="216" t="s">
        <v>33</v>
      </c>
      <c r="G33" s="217">
        <v>5863.5999999999976</v>
      </c>
    </row>
    <row r="34" spans="1:8" ht="22.5" customHeight="1" x14ac:dyDescent="0.5">
      <c r="A34" s="208">
        <v>23</v>
      </c>
      <c r="B34" s="209" t="s">
        <v>210</v>
      </c>
      <c r="C34" s="210" t="s">
        <v>211</v>
      </c>
      <c r="D34" s="803"/>
      <c r="E34" s="239">
        <v>25143</v>
      </c>
      <c r="F34" s="236" t="s">
        <v>33</v>
      </c>
      <c r="G34" s="217">
        <v>4076.7000000000016</v>
      </c>
    </row>
    <row r="35" spans="1:8" ht="22.5" customHeight="1" x14ac:dyDescent="0.5">
      <c r="A35" s="208">
        <v>24</v>
      </c>
      <c r="B35" s="261" t="s">
        <v>224</v>
      </c>
      <c r="C35" s="261" t="s">
        <v>225</v>
      </c>
      <c r="D35" s="805"/>
      <c r="E35" s="215" t="s">
        <v>716</v>
      </c>
      <c r="F35" s="216" t="s">
        <v>115</v>
      </c>
      <c r="G35" s="217">
        <v>599.20000000000005</v>
      </c>
    </row>
    <row r="36" spans="1:8" ht="22.5" customHeight="1" x14ac:dyDescent="0.5">
      <c r="A36" s="208">
        <v>25</v>
      </c>
      <c r="B36" s="265" t="s">
        <v>226</v>
      </c>
      <c r="C36" s="265" t="s">
        <v>227</v>
      </c>
      <c r="D36" s="806"/>
      <c r="E36" s="215">
        <v>25143</v>
      </c>
      <c r="F36" s="216" t="s">
        <v>33</v>
      </c>
      <c r="G36" s="217">
        <v>3038.8</v>
      </c>
    </row>
    <row r="37" spans="1:8" ht="22.5" customHeight="1" x14ac:dyDescent="0.5">
      <c r="A37" s="208">
        <v>26</v>
      </c>
      <c r="B37" s="265" t="s">
        <v>229</v>
      </c>
      <c r="C37" s="265" t="s">
        <v>230</v>
      </c>
      <c r="D37" s="807"/>
      <c r="E37" s="273">
        <v>25143</v>
      </c>
      <c r="F37" s="274" t="s">
        <v>33</v>
      </c>
      <c r="G37" s="217">
        <v>8410.2000000000007</v>
      </c>
    </row>
    <row r="38" spans="1:8" s="60" customFormat="1" ht="22.5" customHeight="1" thickBot="1" x14ac:dyDescent="0.35">
      <c r="A38" s="278"/>
      <c r="B38" s="278" t="s">
        <v>15</v>
      </c>
      <c r="C38" s="279"/>
      <c r="D38" s="808"/>
      <c r="E38" s="280">
        <v>553146</v>
      </c>
      <c r="F38" s="280">
        <v>0</v>
      </c>
      <c r="G38" s="280">
        <v>202613.50000000006</v>
      </c>
      <c r="H38" s="683">
        <f>SUM(G12:G37)</f>
        <v>202613.50000000006</v>
      </c>
    </row>
    <row r="39" spans="1:8" ht="22.5" customHeight="1" thickTop="1" x14ac:dyDescent="0.3">
      <c r="A39" s="61"/>
      <c r="B39" s="121" t="s">
        <v>232</v>
      </c>
      <c r="C39" s="63"/>
      <c r="D39" s="798"/>
      <c r="E39" s="69"/>
      <c r="F39" s="70"/>
      <c r="G39" s="289"/>
    </row>
    <row r="40" spans="1:8" ht="22.5" customHeight="1" x14ac:dyDescent="0.5">
      <c r="A40" s="23">
        <v>3</v>
      </c>
      <c r="B40" s="73" t="s">
        <v>240</v>
      </c>
      <c r="C40" s="25" t="s">
        <v>241</v>
      </c>
      <c r="D40" s="801"/>
      <c r="E40" s="297" t="s">
        <v>716</v>
      </c>
      <c r="F40" s="216" t="s">
        <v>115</v>
      </c>
      <c r="G40" s="36">
        <v>31500</v>
      </c>
    </row>
    <row r="41" spans="1:8" ht="22.5" customHeight="1" x14ac:dyDescent="0.5">
      <c r="A41" s="23">
        <v>4</v>
      </c>
      <c r="B41" s="73" t="s">
        <v>240</v>
      </c>
      <c r="C41" s="25" t="s">
        <v>242</v>
      </c>
      <c r="D41" s="801"/>
      <c r="E41" s="297" t="s">
        <v>716</v>
      </c>
      <c r="F41" s="216" t="s">
        <v>115</v>
      </c>
      <c r="G41" s="36">
        <v>12600</v>
      </c>
    </row>
    <row r="42" spans="1:8" ht="22.5" customHeight="1" x14ac:dyDescent="0.5">
      <c r="A42" s="23">
        <v>7</v>
      </c>
      <c r="B42" s="73" t="s">
        <v>248</v>
      </c>
      <c r="C42" s="25" t="s">
        <v>249</v>
      </c>
      <c r="D42" s="801"/>
      <c r="E42" s="215">
        <v>25143</v>
      </c>
      <c r="F42" s="216" t="s">
        <v>33</v>
      </c>
      <c r="G42" s="36">
        <v>6300</v>
      </c>
    </row>
    <row r="43" spans="1:8" ht="22.5" customHeight="1" x14ac:dyDescent="0.5">
      <c r="A43" s="208">
        <v>8</v>
      </c>
      <c r="B43" s="209" t="s">
        <v>250</v>
      </c>
      <c r="C43" s="210" t="s">
        <v>251</v>
      </c>
      <c r="D43" s="803"/>
      <c r="E43" s="215">
        <v>25143</v>
      </c>
      <c r="F43" s="216" t="s">
        <v>33</v>
      </c>
      <c r="G43" s="36">
        <v>6300</v>
      </c>
    </row>
    <row r="44" spans="1:8" ht="22.5" customHeight="1" x14ac:dyDescent="0.5">
      <c r="A44" s="23">
        <v>1</v>
      </c>
      <c r="B44" s="73" t="s">
        <v>281</v>
      </c>
      <c r="C44" s="25" t="s">
        <v>282</v>
      </c>
      <c r="D44" s="801"/>
      <c r="E44" s="215" t="s">
        <v>716</v>
      </c>
      <c r="F44" s="216" t="s">
        <v>115</v>
      </c>
      <c r="G44" s="36">
        <v>11200</v>
      </c>
    </row>
    <row r="45" spans="1:8" ht="22.5" customHeight="1" x14ac:dyDescent="0.5">
      <c r="A45" s="23">
        <v>2</v>
      </c>
      <c r="B45" s="73" t="s">
        <v>287</v>
      </c>
      <c r="C45" s="25" t="s">
        <v>288</v>
      </c>
      <c r="D45" s="801"/>
      <c r="E45" s="215">
        <v>25143</v>
      </c>
      <c r="F45" s="216" t="s">
        <v>33</v>
      </c>
      <c r="G45" s="36">
        <v>5600</v>
      </c>
    </row>
    <row r="46" spans="1:8" ht="22.5" customHeight="1" x14ac:dyDescent="0.5">
      <c r="A46" s="208">
        <v>1</v>
      </c>
      <c r="B46" s="209" t="s">
        <v>300</v>
      </c>
      <c r="C46" s="210" t="s">
        <v>301</v>
      </c>
      <c r="D46" s="803"/>
      <c r="E46" s="215">
        <v>25143</v>
      </c>
      <c r="F46" s="216" t="s">
        <v>33</v>
      </c>
      <c r="G46" s="36">
        <v>5600</v>
      </c>
    </row>
    <row r="47" spans="1:8" ht="22.5" customHeight="1" x14ac:dyDescent="0.3">
      <c r="A47" s="23">
        <v>4</v>
      </c>
      <c r="B47" s="73" t="s">
        <v>322</v>
      </c>
      <c r="C47" s="25" t="s">
        <v>323</v>
      </c>
      <c r="D47" s="801">
        <v>11200</v>
      </c>
      <c r="E47" s="314"/>
      <c r="F47" s="315"/>
      <c r="G47" s="36"/>
    </row>
    <row r="48" spans="1:8" ht="22.5" customHeight="1" x14ac:dyDescent="0.5">
      <c r="A48" s="23">
        <v>3</v>
      </c>
      <c r="B48" s="290" t="s">
        <v>355</v>
      </c>
      <c r="C48" s="371" t="s">
        <v>356</v>
      </c>
      <c r="D48" s="801"/>
      <c r="E48" s="215">
        <v>25143</v>
      </c>
      <c r="F48" s="216" t="s">
        <v>33</v>
      </c>
      <c r="G48" s="36">
        <v>9400</v>
      </c>
    </row>
    <row r="49" spans="1:8" ht="22.5" customHeight="1" x14ac:dyDescent="0.5">
      <c r="A49" s="331">
        <v>5</v>
      </c>
      <c r="B49" s="374" t="s">
        <v>358</v>
      </c>
      <c r="C49" s="375" t="s">
        <v>356</v>
      </c>
      <c r="D49" s="801"/>
      <c r="E49" s="215">
        <v>25143</v>
      </c>
      <c r="F49" s="216" t="s">
        <v>33</v>
      </c>
      <c r="G49" s="36">
        <v>9810</v>
      </c>
    </row>
    <row r="50" spans="1:8" ht="22.5" customHeight="1" x14ac:dyDescent="0.5">
      <c r="A50" s="381">
        <v>7</v>
      </c>
      <c r="B50" s="149" t="s">
        <v>281</v>
      </c>
      <c r="C50" s="311" t="s">
        <v>360</v>
      </c>
      <c r="D50" s="811"/>
      <c r="E50" s="215" t="s">
        <v>787</v>
      </c>
      <c r="F50" s="216" t="s">
        <v>284</v>
      </c>
      <c r="G50" s="36">
        <v>9000</v>
      </c>
    </row>
    <row r="51" spans="1:8" s="60" customFormat="1" ht="22.5" customHeight="1" thickBot="1" x14ac:dyDescent="0.35">
      <c r="A51" s="317"/>
      <c r="B51" s="317" t="s">
        <v>15</v>
      </c>
      <c r="C51" s="318"/>
      <c r="D51" s="809"/>
      <c r="E51" s="407"/>
      <c r="F51" s="321"/>
      <c r="G51" s="323">
        <f>SUM(G40:G50)</f>
        <v>107310</v>
      </c>
      <c r="H51" s="683">
        <f>SUM(G40:G50)</f>
        <v>107310</v>
      </c>
    </row>
    <row r="52" spans="1:8" ht="22.5" customHeight="1" thickTop="1" x14ac:dyDescent="0.3">
      <c r="A52" s="61"/>
      <c r="B52" s="62" t="s">
        <v>386</v>
      </c>
      <c r="C52" s="63"/>
      <c r="D52" s="798"/>
      <c r="E52" s="69"/>
      <c r="F52" s="70"/>
      <c r="G52" s="387"/>
    </row>
    <row r="53" spans="1:8" ht="22.5" customHeight="1" x14ac:dyDescent="0.5">
      <c r="A53" s="208">
        <v>2</v>
      </c>
      <c r="B53" s="290" t="s">
        <v>389</v>
      </c>
      <c r="C53" s="25" t="s">
        <v>390</v>
      </c>
      <c r="D53" s="801"/>
      <c r="E53" s="215">
        <v>25143</v>
      </c>
      <c r="F53" s="216" t="s">
        <v>33</v>
      </c>
      <c r="G53" s="409">
        <v>3150</v>
      </c>
    </row>
    <row r="54" spans="1:8" s="60" customFormat="1" ht="22.5" customHeight="1" thickBot="1" x14ac:dyDescent="0.35">
      <c r="A54" s="317"/>
      <c r="B54" s="317" t="s">
        <v>15</v>
      </c>
      <c r="C54" s="318"/>
      <c r="D54" s="809"/>
      <c r="E54" s="407"/>
      <c r="F54" s="321"/>
      <c r="G54" s="386">
        <v>3150</v>
      </c>
      <c r="H54" s="683">
        <f>SUM(G53)</f>
        <v>3150</v>
      </c>
    </row>
    <row r="55" spans="1:8" ht="22.5" customHeight="1" thickTop="1" x14ac:dyDescent="0.3">
      <c r="A55" s="61"/>
      <c r="B55" s="4" t="s">
        <v>665</v>
      </c>
      <c r="C55" s="63"/>
      <c r="D55" s="798"/>
      <c r="E55" s="69"/>
      <c r="F55" s="70"/>
      <c r="G55" s="387"/>
    </row>
    <row r="56" spans="1:8" ht="22.5" customHeight="1" x14ac:dyDescent="0.5">
      <c r="A56" s="446">
        <v>1</v>
      </c>
      <c r="B56" s="447" t="s">
        <v>398</v>
      </c>
      <c r="C56" s="63"/>
      <c r="D56" s="798"/>
      <c r="E56" s="69" t="s">
        <v>794</v>
      </c>
      <c r="F56" s="70"/>
      <c r="G56" s="387">
        <v>2591.5100000000002</v>
      </c>
    </row>
    <row r="57" spans="1:8" ht="22.5" customHeight="1" x14ac:dyDescent="0.3">
      <c r="A57" s="61">
        <v>11</v>
      </c>
      <c r="B57" s="290" t="s">
        <v>397</v>
      </c>
      <c r="C57" s="63" t="s">
        <v>417</v>
      </c>
      <c r="D57" s="798"/>
      <c r="E57" s="69" t="s">
        <v>795</v>
      </c>
      <c r="F57" s="70"/>
      <c r="G57" s="387">
        <v>8604.76</v>
      </c>
    </row>
    <row r="58" spans="1:8" ht="22.5" customHeight="1" x14ac:dyDescent="0.3">
      <c r="A58" s="61">
        <v>12</v>
      </c>
      <c r="B58" s="290" t="s">
        <v>358</v>
      </c>
      <c r="C58" s="63" t="s">
        <v>417</v>
      </c>
      <c r="D58" s="798"/>
      <c r="E58" s="69" t="s">
        <v>795</v>
      </c>
      <c r="F58" s="70"/>
      <c r="G58" s="387">
        <v>9651.43</v>
      </c>
    </row>
    <row r="59" spans="1:8" ht="22.5" customHeight="1" x14ac:dyDescent="0.3">
      <c r="A59" s="61">
        <v>15</v>
      </c>
      <c r="B59" s="290" t="s">
        <v>398</v>
      </c>
      <c r="C59" s="63" t="s">
        <v>417</v>
      </c>
      <c r="D59" s="798"/>
      <c r="E59" s="69" t="s">
        <v>795</v>
      </c>
      <c r="F59" s="70"/>
      <c r="G59" s="387">
        <v>3283.84</v>
      </c>
    </row>
    <row r="60" spans="1:8" ht="22.5" customHeight="1" x14ac:dyDescent="0.3">
      <c r="A60" s="61">
        <v>32</v>
      </c>
      <c r="B60" s="290" t="s">
        <v>456</v>
      </c>
      <c r="C60" s="63" t="s">
        <v>457</v>
      </c>
      <c r="D60" s="798"/>
      <c r="E60" s="69" t="s">
        <v>795</v>
      </c>
      <c r="F60" s="70"/>
      <c r="G60" s="387">
        <v>1064.44</v>
      </c>
    </row>
    <row r="61" spans="1:8" ht="22.5" customHeight="1" x14ac:dyDescent="0.3">
      <c r="A61" s="61">
        <v>35</v>
      </c>
      <c r="B61" s="290" t="s">
        <v>463</v>
      </c>
      <c r="C61" s="63" t="s">
        <v>464</v>
      </c>
      <c r="D61" s="798"/>
      <c r="E61" s="69" t="s">
        <v>795</v>
      </c>
      <c r="F61" s="70"/>
      <c r="G61" s="387">
        <v>1064.44</v>
      </c>
    </row>
    <row r="62" spans="1:8" ht="22.5" customHeight="1" x14ac:dyDescent="0.3">
      <c r="A62" s="23">
        <v>49</v>
      </c>
      <c r="B62" s="290" t="s">
        <v>493</v>
      </c>
      <c r="C62" s="25" t="s">
        <v>494</v>
      </c>
      <c r="D62" s="799"/>
      <c r="E62" s="41" t="s">
        <v>795</v>
      </c>
      <c r="F62" s="34"/>
      <c r="G62" s="387">
        <v>2061.84</v>
      </c>
    </row>
    <row r="63" spans="1:8" ht="22.5" customHeight="1" x14ac:dyDescent="0.3">
      <c r="A63" s="23">
        <v>50</v>
      </c>
      <c r="B63" s="290" t="s">
        <v>495</v>
      </c>
      <c r="C63" s="25" t="s">
        <v>496</v>
      </c>
      <c r="D63" s="799"/>
      <c r="E63" s="41" t="s">
        <v>795</v>
      </c>
      <c r="F63" s="34"/>
      <c r="G63" s="387">
        <v>20595.900000000001</v>
      </c>
    </row>
    <row r="64" spans="1:8" s="60" customFormat="1" ht="22.5" customHeight="1" thickBot="1" x14ac:dyDescent="0.35">
      <c r="A64" s="362"/>
      <c r="B64" s="362" t="s">
        <v>15</v>
      </c>
      <c r="C64" s="455"/>
      <c r="D64" s="812"/>
      <c r="E64" s="362"/>
      <c r="F64" s="363"/>
      <c r="G64" s="364">
        <v>48918.16</v>
      </c>
      <c r="H64" s="683">
        <f>SUM(G56:G63)</f>
        <v>48918.16</v>
      </c>
    </row>
    <row r="65" spans="1:9" s="60" customFormat="1" ht="22.5" customHeight="1" thickTop="1" thickBot="1" x14ac:dyDescent="0.35">
      <c r="A65" s="459"/>
      <c r="B65" s="460" t="s">
        <v>497</v>
      </c>
      <c r="C65" s="461"/>
      <c r="D65" s="813"/>
      <c r="E65" s="462">
        <v>553146</v>
      </c>
      <c r="F65" s="462">
        <v>0</v>
      </c>
      <c r="G65" s="462">
        <v>364511.50760000013</v>
      </c>
      <c r="I65" s="730">
        <f>SUM(H10:H64)</f>
        <v>364511.51000000013</v>
      </c>
    </row>
    <row r="66" spans="1:9" ht="22.5" customHeight="1" thickTop="1" x14ac:dyDescent="0.3">
      <c r="E66" s="3"/>
      <c r="F66" s="470"/>
      <c r="G66" s="472"/>
    </row>
    <row r="67" spans="1:9" ht="22.5" customHeight="1" x14ac:dyDescent="0.3">
      <c r="A67" s="1123" t="s">
        <v>498</v>
      </c>
      <c r="B67" s="1124"/>
      <c r="C67" s="1124"/>
      <c r="D67" s="1124"/>
      <c r="E67" s="1124"/>
      <c r="F67" s="1124"/>
      <c r="G67" s="1125"/>
    </row>
    <row r="68" spans="1:9" ht="22.5" customHeight="1" x14ac:dyDescent="0.3">
      <c r="A68" s="115"/>
      <c r="B68" s="164" t="s">
        <v>499</v>
      </c>
      <c r="C68" s="165"/>
      <c r="D68" s="810"/>
      <c r="E68" s="117"/>
      <c r="F68" s="118"/>
      <c r="G68" s="370"/>
    </row>
    <row r="69" spans="1:9" ht="22.5" customHeight="1" x14ac:dyDescent="0.3">
      <c r="A69" s="475">
        <v>1</v>
      </c>
      <c r="B69" s="476" t="s">
        <v>500</v>
      </c>
      <c r="C69" s="477" t="s">
        <v>501</v>
      </c>
      <c r="D69" s="814"/>
      <c r="E69" s="484"/>
      <c r="F69" s="485"/>
      <c r="G69" s="487">
        <v>325409.68</v>
      </c>
    </row>
    <row r="70" spans="1:9" ht="22.5" customHeight="1" x14ac:dyDescent="0.3">
      <c r="A70" s="488"/>
      <c r="B70" s="489" t="s">
        <v>503</v>
      </c>
      <c r="C70" s="490"/>
      <c r="D70" s="697"/>
      <c r="E70" s="484"/>
      <c r="F70" s="494"/>
      <c r="G70" s="487"/>
    </row>
    <row r="71" spans="1:9" ht="22.5" customHeight="1" x14ac:dyDescent="0.3">
      <c r="A71" s="475">
        <v>2</v>
      </c>
      <c r="B71" s="476" t="s">
        <v>504</v>
      </c>
      <c r="C71" s="477" t="s">
        <v>415</v>
      </c>
      <c r="D71" s="814"/>
      <c r="E71" s="484"/>
      <c r="F71" s="494"/>
      <c r="G71" s="497">
        <v>74600.88</v>
      </c>
    </row>
    <row r="72" spans="1:9" ht="22.5" customHeight="1" x14ac:dyDescent="0.3">
      <c r="A72" s="475"/>
      <c r="B72" s="489" t="s">
        <v>505</v>
      </c>
      <c r="C72" s="498"/>
      <c r="D72" s="698"/>
      <c r="E72" s="484"/>
      <c r="F72" s="494"/>
      <c r="G72" s="497"/>
    </row>
    <row r="73" spans="1:9" ht="22.5" customHeight="1" x14ac:dyDescent="0.3">
      <c r="A73" s="502">
        <v>3</v>
      </c>
      <c r="B73" s="503" t="s">
        <v>506</v>
      </c>
      <c r="C73" s="504" t="s">
        <v>507</v>
      </c>
      <c r="D73" s="815"/>
      <c r="E73" s="509"/>
      <c r="F73" s="510"/>
      <c r="G73" s="513">
        <v>32500</v>
      </c>
    </row>
    <row r="74" spans="1:9" ht="22.5" customHeight="1" x14ac:dyDescent="0.3">
      <c r="A74" s="488"/>
      <c r="B74" s="489" t="s">
        <v>508</v>
      </c>
      <c r="C74" s="514"/>
      <c r="D74" s="699"/>
      <c r="E74" s="520"/>
      <c r="F74" s="521"/>
      <c r="G74" s="524"/>
    </row>
    <row r="75" spans="1:9" ht="22.5" customHeight="1" x14ac:dyDescent="0.3">
      <c r="A75" s="488">
        <v>4</v>
      </c>
      <c r="B75" s="525" t="s">
        <v>509</v>
      </c>
      <c r="C75" s="526" t="s">
        <v>510</v>
      </c>
      <c r="D75" s="816"/>
      <c r="E75" s="521"/>
      <c r="F75" s="529"/>
      <c r="G75" s="532">
        <v>796450.4</v>
      </c>
    </row>
    <row r="76" spans="1:9" ht="22.5" customHeight="1" x14ac:dyDescent="0.3">
      <c r="A76" s="533"/>
      <c r="B76" s="534" t="s">
        <v>509</v>
      </c>
      <c r="C76" s="535" t="s">
        <v>511</v>
      </c>
      <c r="D76" s="817"/>
      <c r="E76" s="543"/>
      <c r="F76" s="544"/>
      <c r="G76" s="547">
        <v>93330</v>
      </c>
    </row>
    <row r="77" spans="1:9" s="60" customFormat="1" ht="22.5" customHeight="1" thickBot="1" x14ac:dyDescent="0.35">
      <c r="A77" s="548"/>
      <c r="B77" s="548" t="s">
        <v>15</v>
      </c>
      <c r="C77" s="549"/>
      <c r="D77" s="818"/>
      <c r="E77" s="555"/>
      <c r="F77" s="556"/>
      <c r="G77" s="558">
        <v>1322290.96</v>
      </c>
      <c r="H77" s="683">
        <f>SUM(G69:G76)</f>
        <v>1322290.96</v>
      </c>
    </row>
    <row r="78" spans="1:9" ht="22.5" customHeight="1" thickTop="1" x14ac:dyDescent="0.3">
      <c r="A78" s="559"/>
      <c r="B78" s="560" t="s">
        <v>92</v>
      </c>
      <c r="C78" s="561"/>
      <c r="D78" s="819"/>
      <c r="E78" s="567"/>
      <c r="F78" s="568"/>
      <c r="G78" s="570"/>
    </row>
    <row r="79" spans="1:9" ht="22.5" customHeight="1" x14ac:dyDescent="0.3">
      <c r="A79" s="23">
        <v>1</v>
      </c>
      <c r="B79" s="73" t="s">
        <v>512</v>
      </c>
      <c r="C79" s="25" t="s">
        <v>97</v>
      </c>
      <c r="D79" s="799"/>
      <c r="E79" s="41" t="s">
        <v>513</v>
      </c>
      <c r="F79" s="34" t="s">
        <v>514</v>
      </c>
      <c r="G79" s="36">
        <v>10499.9956</v>
      </c>
    </row>
    <row r="80" spans="1:9" s="60" customFormat="1" ht="22.5" customHeight="1" thickBot="1" x14ac:dyDescent="0.35">
      <c r="A80" s="548"/>
      <c r="B80" s="548" t="s">
        <v>15</v>
      </c>
      <c r="C80" s="549"/>
      <c r="D80" s="818"/>
      <c r="E80" s="548"/>
      <c r="F80" s="552"/>
      <c r="G80" s="558">
        <v>10499.9956</v>
      </c>
      <c r="H80" s="683">
        <f>SUM(G79)</f>
        <v>10499.9956</v>
      </c>
    </row>
    <row r="81" spans="1:11" s="60" customFormat="1" ht="22.5" customHeight="1" thickTop="1" thickBot="1" x14ac:dyDescent="0.35">
      <c r="A81" s="572"/>
      <c r="B81" s="572" t="s">
        <v>515</v>
      </c>
      <c r="C81" s="573"/>
      <c r="D81" s="820"/>
      <c r="E81" s="580"/>
      <c r="F81" s="581"/>
      <c r="G81" s="583">
        <v>1332790.9556</v>
      </c>
      <c r="I81" s="730">
        <f>SUM(H77:H80)</f>
        <v>1332790.9556</v>
      </c>
    </row>
    <row r="82" spans="1:11" ht="22.5" customHeight="1" thickTop="1" x14ac:dyDescent="0.3">
      <c r="E82" s="470"/>
      <c r="F82" s="586"/>
      <c r="G82" s="472"/>
    </row>
    <row r="83" spans="1:11" s="589" customFormat="1" ht="20.399999999999999" x14ac:dyDescent="0.5">
      <c r="A83" s="1126" t="s">
        <v>516</v>
      </c>
      <c r="B83" s="1127"/>
      <c r="C83" s="1127"/>
      <c r="D83" s="1127"/>
      <c r="E83" s="1127"/>
      <c r="F83" s="1127"/>
      <c r="G83" s="1127"/>
      <c r="H83" s="587"/>
      <c r="I83" s="588"/>
    </row>
    <row r="84" spans="1:11" s="599" customFormat="1" x14ac:dyDescent="0.6">
      <c r="A84" s="601">
        <v>2</v>
      </c>
      <c r="B84" s="602" t="s">
        <v>519</v>
      </c>
      <c r="C84" s="602" t="s">
        <v>520</v>
      </c>
      <c r="D84" s="821"/>
      <c r="E84" s="604"/>
      <c r="F84" s="605"/>
      <c r="G84" s="609">
        <v>54000</v>
      </c>
      <c r="I84" s="600"/>
    </row>
    <row r="85" spans="1:11" s="599" customFormat="1" ht="24" thickBot="1" x14ac:dyDescent="0.65">
      <c r="A85" s="619"/>
      <c r="B85" s="620" t="s">
        <v>523</v>
      </c>
      <c r="C85" s="621"/>
      <c r="D85" s="822"/>
      <c r="E85" s="623"/>
      <c r="F85" s="624"/>
      <c r="G85" s="626">
        <v>54000</v>
      </c>
      <c r="H85" s="731">
        <f>SUM(G84)</f>
        <v>54000</v>
      </c>
      <c r="I85" s="692">
        <f>SUM(H85)</f>
        <v>54000</v>
      </c>
      <c r="J85" s="828">
        <f>SUM(I65:I85)</f>
        <v>1751302.4656000002</v>
      </c>
      <c r="K85" s="599" t="s">
        <v>798</v>
      </c>
    </row>
    <row r="86" spans="1:11" s="636" customFormat="1" ht="24" thickTop="1" x14ac:dyDescent="0.6">
      <c r="A86" s="628"/>
      <c r="B86" s="629"/>
      <c r="C86" s="630"/>
      <c r="D86" s="823"/>
      <c r="E86" s="632"/>
      <c r="F86" s="633"/>
      <c r="G86" s="635"/>
      <c r="I86" s="637"/>
    </row>
    <row r="87" spans="1:11" s="636" customFormat="1" x14ac:dyDescent="0.6">
      <c r="A87" s="1128" t="s">
        <v>524</v>
      </c>
      <c r="B87" s="1128"/>
      <c r="C87" s="1128"/>
      <c r="D87" s="1128"/>
      <c r="E87" s="1128"/>
      <c r="F87" s="1128"/>
      <c r="G87" s="1128"/>
      <c r="I87" s="637"/>
    </row>
    <row r="88" spans="1:11" s="599" customFormat="1" x14ac:dyDescent="0.6">
      <c r="A88" s="638">
        <v>1</v>
      </c>
      <c r="B88" s="639" t="s">
        <v>519</v>
      </c>
      <c r="C88" s="639" t="s">
        <v>518</v>
      </c>
      <c r="D88" s="824"/>
      <c r="E88" s="641" t="s">
        <v>527</v>
      </c>
      <c r="F88" s="642" t="s">
        <v>528</v>
      </c>
      <c r="G88" s="643">
        <v>67200</v>
      </c>
      <c r="I88" s="600"/>
    </row>
    <row r="89" spans="1:11" s="599" customFormat="1" x14ac:dyDescent="0.6">
      <c r="A89" s="646">
        <v>2</v>
      </c>
      <c r="B89" s="647" t="s">
        <v>521</v>
      </c>
      <c r="C89" s="647" t="s">
        <v>522</v>
      </c>
      <c r="D89" s="825"/>
      <c r="E89" s="652"/>
      <c r="F89" s="373"/>
      <c r="G89" s="643">
        <v>6917.6500000000015</v>
      </c>
      <c r="I89" s="600"/>
    </row>
    <row r="90" spans="1:11" s="599" customFormat="1" ht="24" thickBot="1" x14ac:dyDescent="0.65">
      <c r="A90" s="619"/>
      <c r="B90" s="620" t="s">
        <v>535</v>
      </c>
      <c r="C90" s="621"/>
      <c r="D90" s="822"/>
      <c r="E90" s="625"/>
      <c r="F90" s="625"/>
      <c r="G90" s="625">
        <v>74117.649999999994</v>
      </c>
      <c r="H90" s="731">
        <f>SUM(G88:G89)</f>
        <v>74117.649999999994</v>
      </c>
      <c r="I90" s="692">
        <f>SUM(H90)</f>
        <v>74117.649999999994</v>
      </c>
    </row>
    <row r="91" spans="1:11" ht="22.5" customHeight="1" thickTop="1" x14ac:dyDescent="0.3">
      <c r="E91" s="470"/>
      <c r="F91" s="586"/>
      <c r="G91" s="472"/>
    </row>
    <row r="92" spans="1:11" ht="22.5" customHeight="1" thickBot="1" x14ac:dyDescent="0.35">
      <c r="E92" s="470"/>
      <c r="F92" s="586"/>
      <c r="G92" s="658">
        <v>1825420.1132</v>
      </c>
      <c r="I92" s="732">
        <f>SUM(I65:I90)</f>
        <v>1825420.1156000001</v>
      </c>
      <c r="J92" s="3" t="s">
        <v>797</v>
      </c>
    </row>
    <row r="93" spans="1:11" ht="22.5" customHeight="1" thickTop="1" x14ac:dyDescent="0.5">
      <c r="B93" s="587" t="s">
        <v>537</v>
      </c>
      <c r="C93" s="587"/>
      <c r="D93" s="826"/>
      <c r="E93" s="3"/>
      <c r="F93" s="470"/>
      <c r="G93" s="472"/>
    </row>
    <row r="94" spans="1:11" x14ac:dyDescent="0.5">
      <c r="B94" s="1129" t="s">
        <v>538</v>
      </c>
      <c r="C94" s="1129"/>
      <c r="D94" s="827"/>
      <c r="E94" s="3"/>
      <c r="F94" s="470"/>
      <c r="G94" s="472"/>
    </row>
    <row r="95" spans="1:11" x14ac:dyDescent="0.5">
      <c r="B95" s="1129" t="s">
        <v>539</v>
      </c>
      <c r="C95" s="1129"/>
      <c r="D95" s="827"/>
      <c r="E95" s="3"/>
      <c r="F95" s="470"/>
      <c r="G95" s="472"/>
    </row>
    <row r="96" spans="1:11" x14ac:dyDescent="0.3">
      <c r="E96" s="3"/>
      <c r="F96" s="470"/>
      <c r="G96" s="472"/>
    </row>
    <row r="97" spans="5:7" x14ac:dyDescent="0.3">
      <c r="E97" s="3"/>
      <c r="F97" s="470"/>
      <c r="G97" s="472"/>
    </row>
    <row r="98" spans="5:7" x14ac:dyDescent="0.3">
      <c r="E98" s="3"/>
      <c r="F98" s="470"/>
      <c r="G98" s="472"/>
    </row>
    <row r="99" spans="5:7" x14ac:dyDescent="0.3">
      <c r="E99" s="3"/>
      <c r="F99" s="470"/>
      <c r="G99" s="472"/>
    </row>
    <row r="100" spans="5:7" x14ac:dyDescent="0.3">
      <c r="E100" s="3"/>
      <c r="F100" s="470"/>
      <c r="G100" s="472"/>
    </row>
    <row r="101" spans="5:7" x14ac:dyDescent="0.3">
      <c r="E101" s="3"/>
      <c r="F101" s="470"/>
      <c r="G101" s="472"/>
    </row>
    <row r="102" spans="5:7" x14ac:dyDescent="0.3">
      <c r="E102" s="3"/>
      <c r="F102" s="470"/>
      <c r="G102" s="472"/>
    </row>
  </sheetData>
  <mergeCells count="14">
    <mergeCell ref="E5:E6"/>
    <mergeCell ref="F5:F6"/>
    <mergeCell ref="A1:G1"/>
    <mergeCell ref="A2:G2"/>
    <mergeCell ref="A3:G3"/>
    <mergeCell ref="A4:A6"/>
    <mergeCell ref="B4:B6"/>
    <mergeCell ref="C4:C6"/>
    <mergeCell ref="E4:G4"/>
    <mergeCell ref="A67:G67"/>
    <mergeCell ref="A83:G83"/>
    <mergeCell ref="A87:G87"/>
    <mergeCell ref="B94:C94"/>
    <mergeCell ref="B95:C9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D04A-66B8-419F-B85A-0E0D91FE6BF0}">
  <sheetPr>
    <tabColor rgb="FF92D050"/>
  </sheetPr>
  <dimension ref="A1:J102"/>
  <sheetViews>
    <sheetView zoomScale="75" zoomScaleNormal="75" workbookViewId="0">
      <pane ySplit="6" topLeftCell="A43" activePane="bottomLeft" state="frozen"/>
      <selection pane="bottomLeft" activeCell="H75" sqref="H75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5546875" style="662" customWidth="1"/>
    <col min="5" max="5" width="8" style="663" customWidth="1"/>
    <col min="6" max="6" width="16.5546875" style="665" customWidth="1"/>
    <col min="7" max="16384" width="27.109375" style="3"/>
  </cols>
  <sheetData>
    <row r="1" spans="1:6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6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6" ht="22.5" customHeight="1" x14ac:dyDescent="0.3">
      <c r="A3" s="1110" t="s">
        <v>680</v>
      </c>
      <c r="B3" s="1111"/>
      <c r="C3" s="1111"/>
      <c r="D3" s="1111"/>
      <c r="E3" s="1111"/>
      <c r="F3" s="1111"/>
    </row>
    <row r="4" spans="1:6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40"/>
      <c r="F4" s="1120"/>
    </row>
    <row r="5" spans="1:6" ht="22.5" customHeight="1" x14ac:dyDescent="0.3">
      <c r="A5" s="1113"/>
      <c r="B5" s="1113"/>
      <c r="C5" s="1116"/>
      <c r="D5" s="1121" t="s">
        <v>10</v>
      </c>
      <c r="E5" s="1138" t="s">
        <v>11</v>
      </c>
      <c r="F5" s="667"/>
    </row>
    <row r="6" spans="1:6" ht="22.5" customHeight="1" x14ac:dyDescent="0.3">
      <c r="A6" s="1114"/>
      <c r="B6" s="1114"/>
      <c r="C6" s="1117"/>
      <c r="D6" s="1122"/>
      <c r="E6" s="1139"/>
      <c r="F6" s="10" t="s">
        <v>15</v>
      </c>
    </row>
    <row r="7" spans="1:6" ht="22.5" customHeight="1" x14ac:dyDescent="0.3">
      <c r="A7" s="4"/>
      <c r="B7" s="412" t="s">
        <v>799</v>
      </c>
      <c r="C7" s="668"/>
      <c r="D7" s="784"/>
      <c r="E7" s="117"/>
      <c r="F7" s="173"/>
    </row>
    <row r="8" spans="1:6" ht="22.5" customHeight="1" x14ac:dyDescent="0.3">
      <c r="A8" s="23">
        <v>1</v>
      </c>
      <c r="B8" s="73" t="s">
        <v>45</v>
      </c>
      <c r="C8" s="25" t="s">
        <v>46</v>
      </c>
      <c r="D8" s="33">
        <v>25143</v>
      </c>
      <c r="E8" s="70" t="s">
        <v>33</v>
      </c>
      <c r="F8" s="36">
        <v>834.59999999999991</v>
      </c>
    </row>
    <row r="9" spans="1:6" ht="22.5" customHeight="1" x14ac:dyDescent="0.3">
      <c r="A9" s="23">
        <v>2</v>
      </c>
      <c r="B9" s="73" t="s">
        <v>48</v>
      </c>
      <c r="C9" s="25" t="s">
        <v>49</v>
      </c>
      <c r="D9" s="33">
        <v>25143</v>
      </c>
      <c r="E9" s="70" t="s">
        <v>33</v>
      </c>
      <c r="F9" s="36">
        <v>1685.2499999999986</v>
      </c>
    </row>
    <row r="10" spans="1:6" ht="22.5" customHeight="1" x14ac:dyDescent="0.5">
      <c r="A10" s="23">
        <v>3</v>
      </c>
      <c r="B10" s="73" t="s">
        <v>96</v>
      </c>
      <c r="C10" s="25" t="s">
        <v>97</v>
      </c>
      <c r="D10" s="215">
        <v>25143</v>
      </c>
      <c r="E10" s="216" t="s">
        <v>33</v>
      </c>
      <c r="F10" s="217">
        <v>4408.3999999999951</v>
      </c>
    </row>
    <row r="11" spans="1:6" ht="22.5" customHeight="1" x14ac:dyDescent="0.5">
      <c r="A11" s="23">
        <v>4</v>
      </c>
      <c r="B11" s="73" t="s">
        <v>99</v>
      </c>
      <c r="C11" s="25" t="s">
        <v>100</v>
      </c>
      <c r="D11" s="215">
        <v>25143</v>
      </c>
      <c r="E11" s="216" t="s">
        <v>33</v>
      </c>
      <c r="F11" s="217">
        <v>3145.7999999999993</v>
      </c>
    </row>
    <row r="12" spans="1:6" ht="22.5" customHeight="1" x14ac:dyDescent="0.5">
      <c r="A12" s="23">
        <v>5</v>
      </c>
      <c r="B12" s="24" t="s">
        <v>102</v>
      </c>
      <c r="C12" s="222" t="s">
        <v>100</v>
      </c>
      <c r="D12" s="215">
        <v>25143</v>
      </c>
      <c r="E12" s="216" t="s">
        <v>33</v>
      </c>
      <c r="F12" s="217">
        <v>214</v>
      </c>
    </row>
    <row r="13" spans="1:6" ht="22.5" customHeight="1" x14ac:dyDescent="0.5">
      <c r="A13" s="23">
        <v>6</v>
      </c>
      <c r="B13" s="73" t="s">
        <v>105</v>
      </c>
      <c r="C13" s="25" t="s">
        <v>97</v>
      </c>
      <c r="D13" s="215">
        <v>25143</v>
      </c>
      <c r="E13" s="216" t="s">
        <v>33</v>
      </c>
      <c r="F13" s="217">
        <v>19302.800000000003</v>
      </c>
    </row>
    <row r="14" spans="1:6" ht="22.5" customHeight="1" x14ac:dyDescent="0.5">
      <c r="A14" s="23">
        <v>7</v>
      </c>
      <c r="B14" s="209" t="s">
        <v>109</v>
      </c>
      <c r="C14" s="210" t="s">
        <v>97</v>
      </c>
      <c r="D14" s="215">
        <v>25143</v>
      </c>
      <c r="E14" s="216" t="s">
        <v>33</v>
      </c>
      <c r="F14" s="217">
        <v>40970.300000000003</v>
      </c>
    </row>
    <row r="15" spans="1:6" ht="22.5" customHeight="1" x14ac:dyDescent="0.5">
      <c r="A15" s="23">
        <v>8</v>
      </c>
      <c r="B15" s="73" t="s">
        <v>117</v>
      </c>
      <c r="C15" s="25" t="s">
        <v>118</v>
      </c>
      <c r="D15" s="215">
        <v>25143</v>
      </c>
      <c r="E15" s="216" t="s">
        <v>33</v>
      </c>
      <c r="F15" s="217">
        <v>1401.7</v>
      </c>
    </row>
    <row r="16" spans="1:6" ht="22.5" customHeight="1" x14ac:dyDescent="0.5">
      <c r="A16" s="23">
        <v>9</v>
      </c>
      <c r="B16" s="73" t="s">
        <v>120</v>
      </c>
      <c r="C16" s="25" t="s">
        <v>118</v>
      </c>
      <c r="D16" s="215">
        <v>25143</v>
      </c>
      <c r="E16" s="216" t="s">
        <v>33</v>
      </c>
      <c r="F16" s="217">
        <v>3488.2</v>
      </c>
    </row>
    <row r="17" spans="1:6" ht="22.5" customHeight="1" x14ac:dyDescent="0.5">
      <c r="A17" s="23">
        <v>10</v>
      </c>
      <c r="B17" s="73" t="s">
        <v>124</v>
      </c>
      <c r="C17" s="83" t="s">
        <v>125</v>
      </c>
      <c r="D17" s="215">
        <v>25143</v>
      </c>
      <c r="E17" s="216" t="s">
        <v>33</v>
      </c>
      <c r="F17" s="217">
        <v>7843.1</v>
      </c>
    </row>
    <row r="18" spans="1:6" ht="22.5" customHeight="1" x14ac:dyDescent="0.5">
      <c r="A18" s="23">
        <v>11</v>
      </c>
      <c r="B18" s="78" t="s">
        <v>134</v>
      </c>
      <c r="C18" s="25" t="s">
        <v>135</v>
      </c>
      <c r="D18" s="215">
        <v>25143</v>
      </c>
      <c r="E18" s="216" t="s">
        <v>33</v>
      </c>
      <c r="F18" s="217">
        <v>5467.6999999999989</v>
      </c>
    </row>
    <row r="19" spans="1:6" ht="22.5" customHeight="1" x14ac:dyDescent="0.5">
      <c r="A19" s="23">
        <v>12</v>
      </c>
      <c r="B19" s="226" t="s">
        <v>137</v>
      </c>
      <c r="C19" s="741"/>
      <c r="D19" s="215">
        <v>25143</v>
      </c>
      <c r="E19" s="216" t="s">
        <v>33</v>
      </c>
      <c r="F19" s="217">
        <v>2621.5000000000009</v>
      </c>
    </row>
    <row r="20" spans="1:6" ht="22.5" customHeight="1" x14ac:dyDescent="0.5">
      <c r="A20" s="23">
        <v>13</v>
      </c>
      <c r="B20" s="240" t="s">
        <v>162</v>
      </c>
      <c r="C20" s="238" t="s">
        <v>163</v>
      </c>
      <c r="D20" s="215">
        <v>25143</v>
      </c>
      <c r="E20" s="216" t="s">
        <v>33</v>
      </c>
      <c r="F20" s="217">
        <v>4986.1999999999971</v>
      </c>
    </row>
    <row r="21" spans="1:6" s="229" customFormat="1" ht="22.5" customHeight="1" x14ac:dyDescent="0.5">
      <c r="A21" s="23">
        <v>14</v>
      </c>
      <c r="B21" s="240" t="s">
        <v>165</v>
      </c>
      <c r="C21" s="83" t="s">
        <v>166</v>
      </c>
      <c r="D21" s="215">
        <v>25143</v>
      </c>
      <c r="E21" s="216" t="s">
        <v>33</v>
      </c>
      <c r="F21" s="217">
        <v>492.20000000000033</v>
      </c>
    </row>
    <row r="22" spans="1:6" ht="22.5" customHeight="1" x14ac:dyDescent="0.5">
      <c r="A22" s="23">
        <v>15</v>
      </c>
      <c r="B22" s="240" t="s">
        <v>175</v>
      </c>
      <c r="C22" s="83" t="s">
        <v>176</v>
      </c>
      <c r="D22" s="215">
        <v>25143</v>
      </c>
      <c r="E22" s="216" t="s">
        <v>33</v>
      </c>
      <c r="F22" s="217">
        <v>674.09999999999911</v>
      </c>
    </row>
    <row r="23" spans="1:6" ht="22.5" customHeight="1" x14ac:dyDescent="0.5">
      <c r="A23" s="23">
        <v>16</v>
      </c>
      <c r="B23" s="209" t="s">
        <v>191</v>
      </c>
      <c r="C23" s="210" t="s">
        <v>190</v>
      </c>
      <c r="D23" s="215">
        <v>25143</v>
      </c>
      <c r="E23" s="216" t="s">
        <v>33</v>
      </c>
      <c r="F23" s="217">
        <v>8335.2999999999993</v>
      </c>
    </row>
    <row r="24" spans="1:6" ht="22.5" customHeight="1" x14ac:dyDescent="0.5">
      <c r="A24" s="23">
        <v>17</v>
      </c>
      <c r="B24" s="243" t="s">
        <v>193</v>
      </c>
      <c r="C24" s="244" t="s">
        <v>194</v>
      </c>
      <c r="D24" s="215">
        <v>25143</v>
      </c>
      <c r="E24" s="216" t="s">
        <v>33</v>
      </c>
      <c r="F24" s="217">
        <v>1872.4999999999995</v>
      </c>
    </row>
    <row r="25" spans="1:6" ht="22.5" customHeight="1" x14ac:dyDescent="0.5">
      <c r="A25" s="23">
        <v>18</v>
      </c>
      <c r="B25" s="209" t="s">
        <v>198</v>
      </c>
      <c r="C25" s="210" t="s">
        <v>46</v>
      </c>
      <c r="D25" s="215">
        <v>25143</v>
      </c>
      <c r="E25" s="216" t="s">
        <v>33</v>
      </c>
      <c r="F25" s="217">
        <v>42.799999999999329</v>
      </c>
    </row>
    <row r="26" spans="1:6" ht="22.5" customHeight="1" x14ac:dyDescent="0.5">
      <c r="A26" s="23">
        <v>19</v>
      </c>
      <c r="B26" s="209" t="s">
        <v>198</v>
      </c>
      <c r="C26" s="210" t="s">
        <v>567</v>
      </c>
      <c r="D26" s="215">
        <v>25143</v>
      </c>
      <c r="E26" s="216" t="s">
        <v>33</v>
      </c>
      <c r="F26" s="217">
        <v>888.10000000000014</v>
      </c>
    </row>
    <row r="27" spans="1:6" ht="22.5" customHeight="1" x14ac:dyDescent="0.5">
      <c r="A27" s="23">
        <v>20</v>
      </c>
      <c r="B27" s="209" t="s">
        <v>200</v>
      </c>
      <c r="C27" s="210" t="s">
        <v>201</v>
      </c>
      <c r="D27" s="215">
        <v>25143</v>
      </c>
      <c r="E27" s="216" t="s">
        <v>33</v>
      </c>
      <c r="F27" s="217">
        <v>6248.7999999999975</v>
      </c>
    </row>
    <row r="28" spans="1:6" ht="22.5" customHeight="1" x14ac:dyDescent="0.5">
      <c r="A28" s="23">
        <v>21</v>
      </c>
      <c r="B28" s="209" t="s">
        <v>208</v>
      </c>
      <c r="C28" s="210"/>
      <c r="D28" s="215">
        <v>25143</v>
      </c>
      <c r="E28" s="216" t="s">
        <v>33</v>
      </c>
      <c r="F28" s="217">
        <v>5863.5999999999976</v>
      </c>
    </row>
    <row r="29" spans="1:6" ht="22.5" customHeight="1" x14ac:dyDescent="0.5">
      <c r="A29" s="23">
        <v>22</v>
      </c>
      <c r="B29" s="209" t="s">
        <v>210</v>
      </c>
      <c r="C29" s="210" t="s">
        <v>211</v>
      </c>
      <c r="D29" s="215">
        <v>25143</v>
      </c>
      <c r="E29" s="216" t="s">
        <v>33</v>
      </c>
      <c r="F29" s="217">
        <v>4076.7000000000016</v>
      </c>
    </row>
    <row r="30" spans="1:6" ht="22.5" customHeight="1" x14ac:dyDescent="0.5">
      <c r="A30" s="23">
        <v>23</v>
      </c>
      <c r="B30" s="736" t="s">
        <v>226</v>
      </c>
      <c r="C30" s="736" t="s">
        <v>227</v>
      </c>
      <c r="D30" s="215">
        <v>25143</v>
      </c>
      <c r="E30" s="216" t="s">
        <v>33</v>
      </c>
      <c r="F30" s="217">
        <v>3038.8</v>
      </c>
    </row>
    <row r="31" spans="1:6" ht="22.5" customHeight="1" x14ac:dyDescent="0.5">
      <c r="A31" s="23">
        <v>24</v>
      </c>
      <c r="B31" s="736" t="s">
        <v>229</v>
      </c>
      <c r="C31" s="736" t="s">
        <v>230</v>
      </c>
      <c r="D31" s="215">
        <v>25143</v>
      </c>
      <c r="E31" s="216" t="s">
        <v>33</v>
      </c>
      <c r="F31" s="217">
        <v>8410.2000000000007</v>
      </c>
    </row>
    <row r="32" spans="1:6" ht="22.5" customHeight="1" x14ac:dyDescent="0.5">
      <c r="A32" s="23">
        <v>25</v>
      </c>
      <c r="B32" s="73" t="s">
        <v>248</v>
      </c>
      <c r="C32" s="25" t="s">
        <v>249</v>
      </c>
      <c r="D32" s="239">
        <v>25143</v>
      </c>
      <c r="E32" s="236" t="s">
        <v>33</v>
      </c>
      <c r="F32" s="36">
        <v>6300</v>
      </c>
    </row>
    <row r="33" spans="1:6" ht="22.5" customHeight="1" x14ac:dyDescent="0.5">
      <c r="A33" s="23">
        <v>26</v>
      </c>
      <c r="B33" s="755" t="s">
        <v>250</v>
      </c>
      <c r="C33" s="758" t="s">
        <v>251</v>
      </c>
      <c r="D33" s="215">
        <v>25143</v>
      </c>
      <c r="E33" s="216" t="s">
        <v>33</v>
      </c>
      <c r="F33" s="36">
        <v>6300</v>
      </c>
    </row>
    <row r="34" spans="1:6" ht="22.5" customHeight="1" x14ac:dyDescent="0.5">
      <c r="A34" s="23">
        <v>27</v>
      </c>
      <c r="B34" s="189" t="s">
        <v>287</v>
      </c>
      <c r="C34" s="176" t="s">
        <v>288</v>
      </c>
      <c r="D34" s="215">
        <v>25143</v>
      </c>
      <c r="E34" s="216" t="s">
        <v>33</v>
      </c>
      <c r="F34" s="36">
        <v>5600</v>
      </c>
    </row>
    <row r="35" spans="1:6" ht="22.5" customHeight="1" x14ac:dyDescent="0.5">
      <c r="A35" s="23">
        <v>28</v>
      </c>
      <c r="B35" s="753" t="s">
        <v>300</v>
      </c>
      <c r="C35" s="757" t="s">
        <v>301</v>
      </c>
      <c r="D35" s="273">
        <v>25143</v>
      </c>
      <c r="E35" s="274" t="s">
        <v>33</v>
      </c>
      <c r="F35" s="36">
        <v>5600</v>
      </c>
    </row>
    <row r="36" spans="1:6" ht="22.5" customHeight="1" x14ac:dyDescent="0.5">
      <c r="A36" s="23">
        <v>29</v>
      </c>
      <c r="B36" s="290" t="s">
        <v>355</v>
      </c>
      <c r="C36" s="371" t="s">
        <v>356</v>
      </c>
      <c r="D36" s="215">
        <v>25143</v>
      </c>
      <c r="E36" s="216" t="s">
        <v>33</v>
      </c>
      <c r="F36" s="36">
        <v>9400</v>
      </c>
    </row>
    <row r="37" spans="1:6" ht="22.5" customHeight="1" x14ac:dyDescent="0.5">
      <c r="A37" s="23">
        <v>30</v>
      </c>
      <c r="B37" s="290" t="s">
        <v>358</v>
      </c>
      <c r="C37" s="371" t="s">
        <v>356</v>
      </c>
      <c r="D37" s="215">
        <v>25143</v>
      </c>
      <c r="E37" s="216" t="s">
        <v>33</v>
      </c>
      <c r="F37" s="36">
        <v>9810</v>
      </c>
    </row>
    <row r="38" spans="1:6" ht="22.5" customHeight="1" x14ac:dyDescent="0.5">
      <c r="A38" s="331">
        <v>31</v>
      </c>
      <c r="B38" s="374" t="s">
        <v>389</v>
      </c>
      <c r="C38" s="81" t="s">
        <v>390</v>
      </c>
      <c r="D38" s="239">
        <v>25143</v>
      </c>
      <c r="E38" s="236" t="s">
        <v>33</v>
      </c>
      <c r="F38" s="830">
        <v>3150</v>
      </c>
    </row>
    <row r="39" spans="1:6" ht="22.5" customHeight="1" thickBot="1" x14ac:dyDescent="0.55000000000000004">
      <c r="A39" s="833"/>
      <c r="B39" s="834"/>
      <c r="C39" s="835"/>
      <c r="D39" s="781"/>
      <c r="E39" s="782"/>
      <c r="F39" s="836">
        <f>SUM(F8:F38)</f>
        <v>182472.65</v>
      </c>
    </row>
    <row r="40" spans="1:6" ht="22.5" customHeight="1" thickTop="1" x14ac:dyDescent="0.5">
      <c r="A40" s="391"/>
      <c r="B40" s="61" t="s">
        <v>800</v>
      </c>
      <c r="C40" s="63"/>
      <c r="D40" s="831"/>
      <c r="E40" s="832"/>
      <c r="F40" s="387"/>
    </row>
    <row r="41" spans="1:6" ht="22.5" customHeight="1" x14ac:dyDescent="0.5">
      <c r="A41" s="208">
        <v>1</v>
      </c>
      <c r="B41" s="73" t="s">
        <v>129</v>
      </c>
      <c r="C41" s="210" t="s">
        <v>130</v>
      </c>
      <c r="D41" s="215" t="s">
        <v>716</v>
      </c>
      <c r="E41" s="216" t="s">
        <v>115</v>
      </c>
      <c r="F41" s="217">
        <v>22577</v>
      </c>
    </row>
    <row r="42" spans="1:6" ht="22.5" customHeight="1" x14ac:dyDescent="0.5">
      <c r="A42" s="208">
        <v>2</v>
      </c>
      <c r="B42" s="73" t="s">
        <v>132</v>
      </c>
      <c r="C42" s="210" t="s">
        <v>130</v>
      </c>
      <c r="D42" s="215" t="s">
        <v>719</v>
      </c>
      <c r="E42" s="216" t="s">
        <v>115</v>
      </c>
      <c r="F42" s="217">
        <v>34270.399999999994</v>
      </c>
    </row>
    <row r="43" spans="1:6" ht="22.5" customHeight="1" x14ac:dyDescent="0.5">
      <c r="A43" s="208">
        <v>3</v>
      </c>
      <c r="B43" s="209" t="s">
        <v>168</v>
      </c>
      <c r="C43" s="210" t="s">
        <v>169</v>
      </c>
      <c r="D43" s="215" t="s">
        <v>170</v>
      </c>
      <c r="E43" s="216" t="s">
        <v>115</v>
      </c>
      <c r="F43" s="217">
        <v>11374.100000000002</v>
      </c>
    </row>
    <row r="44" spans="1:6" ht="22.5" customHeight="1" x14ac:dyDescent="0.5">
      <c r="A44" s="208">
        <v>4</v>
      </c>
      <c r="B44" s="736" t="s">
        <v>224</v>
      </c>
      <c r="C44" s="736" t="s">
        <v>225</v>
      </c>
      <c r="D44" s="215" t="s">
        <v>716</v>
      </c>
      <c r="E44" s="216" t="s">
        <v>115</v>
      </c>
      <c r="F44" s="217">
        <v>599.20000000000005</v>
      </c>
    </row>
    <row r="45" spans="1:6" ht="22.5" customHeight="1" x14ac:dyDescent="0.5">
      <c r="A45" s="208">
        <v>5</v>
      </c>
      <c r="B45" s="73" t="s">
        <v>240</v>
      </c>
      <c r="C45" s="25" t="s">
        <v>241</v>
      </c>
      <c r="D45" s="297" t="s">
        <v>716</v>
      </c>
      <c r="E45" s="216" t="s">
        <v>115</v>
      </c>
      <c r="F45" s="36">
        <v>31500</v>
      </c>
    </row>
    <row r="46" spans="1:6" ht="22.5" customHeight="1" x14ac:dyDescent="0.5">
      <c r="A46" s="208">
        <v>6</v>
      </c>
      <c r="B46" s="78" t="s">
        <v>240</v>
      </c>
      <c r="C46" s="81" t="s">
        <v>242</v>
      </c>
      <c r="D46" s="297" t="s">
        <v>716</v>
      </c>
      <c r="E46" s="216" t="s">
        <v>115</v>
      </c>
      <c r="F46" s="36">
        <v>12600</v>
      </c>
    </row>
    <row r="47" spans="1:6" ht="22.5" customHeight="1" x14ac:dyDescent="0.5">
      <c r="A47" s="837">
        <v>7</v>
      </c>
      <c r="B47" s="78" t="s">
        <v>281</v>
      </c>
      <c r="C47" s="81" t="s">
        <v>282</v>
      </c>
      <c r="D47" s="239" t="s">
        <v>716</v>
      </c>
      <c r="E47" s="236" t="s">
        <v>115</v>
      </c>
      <c r="F47" s="340">
        <v>11200</v>
      </c>
    </row>
    <row r="48" spans="1:6" ht="22.5" customHeight="1" thickBot="1" x14ac:dyDescent="0.55000000000000004">
      <c r="A48" s="833"/>
      <c r="B48" s="839"/>
      <c r="C48" s="835"/>
      <c r="D48" s="781"/>
      <c r="E48" s="782"/>
      <c r="F48" s="840">
        <f>SUM(F41:F47)</f>
        <v>124120.7</v>
      </c>
    </row>
    <row r="49" spans="1:6" ht="22.5" customHeight="1" thickTop="1" x14ac:dyDescent="0.5">
      <c r="A49" s="115"/>
      <c r="B49" s="838" t="s">
        <v>801</v>
      </c>
      <c r="C49" s="63"/>
      <c r="D49" s="831"/>
      <c r="E49" s="832"/>
      <c r="F49" s="72"/>
    </row>
    <row r="50" spans="1:6" ht="22.5" customHeight="1" x14ac:dyDescent="0.5">
      <c r="A50" s="841">
        <v>1</v>
      </c>
      <c r="B50" s="842" t="s">
        <v>281</v>
      </c>
      <c r="C50" s="843" t="s">
        <v>360</v>
      </c>
      <c r="D50" s="239" t="s">
        <v>787</v>
      </c>
      <c r="E50" s="236" t="s">
        <v>284</v>
      </c>
      <c r="F50" s="340">
        <v>9000</v>
      </c>
    </row>
    <row r="51" spans="1:6" ht="22.5" customHeight="1" thickBot="1" x14ac:dyDescent="0.55000000000000004">
      <c r="A51" s="844"/>
      <c r="B51" s="845"/>
      <c r="C51" s="846"/>
      <c r="D51" s="847"/>
      <c r="E51" s="848"/>
      <c r="F51" s="840">
        <f>SUM(F50)</f>
        <v>9000</v>
      </c>
    </row>
    <row r="52" spans="1:6" ht="22.5" customHeight="1" thickTop="1" x14ac:dyDescent="0.5">
      <c r="A52" s="585"/>
      <c r="B52" s="829"/>
      <c r="C52" s="141"/>
      <c r="D52" s="675"/>
      <c r="E52" s="776"/>
      <c r="F52" s="72"/>
    </row>
    <row r="53" spans="1:6" ht="19.2" customHeight="1" x14ac:dyDescent="0.3">
      <c r="B53" s="3" t="s">
        <v>678</v>
      </c>
      <c r="C53" s="3"/>
      <c r="D53" s="3"/>
      <c r="E53" s="3"/>
      <c r="F53" s="3"/>
    </row>
    <row r="54" spans="1:6" ht="22.5" customHeight="1" x14ac:dyDescent="0.3">
      <c r="A54" s="61">
        <v>1</v>
      </c>
      <c r="B54" s="290" t="s">
        <v>397</v>
      </c>
      <c r="C54" s="63" t="s">
        <v>417</v>
      </c>
      <c r="D54" s="69" t="s">
        <v>795</v>
      </c>
      <c r="E54" s="70" t="s">
        <v>675</v>
      </c>
      <c r="F54" s="387">
        <v>8604.76</v>
      </c>
    </row>
    <row r="55" spans="1:6" ht="22.5" customHeight="1" x14ac:dyDescent="0.3">
      <c r="A55" s="61">
        <v>2</v>
      </c>
      <c r="B55" s="290" t="s">
        <v>358</v>
      </c>
      <c r="C55" s="63" t="s">
        <v>417</v>
      </c>
      <c r="D55" s="69" t="s">
        <v>795</v>
      </c>
      <c r="E55" s="70" t="s">
        <v>675</v>
      </c>
      <c r="F55" s="387">
        <v>9651.43</v>
      </c>
    </row>
    <row r="56" spans="1:6" ht="22.5" customHeight="1" x14ac:dyDescent="0.3">
      <c r="A56" s="61">
        <v>3</v>
      </c>
      <c r="B56" s="290" t="s">
        <v>398</v>
      </c>
      <c r="C56" s="63" t="s">
        <v>417</v>
      </c>
      <c r="D56" s="69" t="s">
        <v>795</v>
      </c>
      <c r="E56" s="70" t="s">
        <v>675</v>
      </c>
      <c r="F56" s="387">
        <v>3283.84</v>
      </c>
    </row>
    <row r="57" spans="1:6" ht="22.5" customHeight="1" x14ac:dyDescent="0.3">
      <c r="A57" s="61">
        <v>4</v>
      </c>
      <c r="B57" s="290" t="s">
        <v>456</v>
      </c>
      <c r="C57" s="63" t="s">
        <v>457</v>
      </c>
      <c r="D57" s="69" t="s">
        <v>795</v>
      </c>
      <c r="E57" s="70" t="s">
        <v>675</v>
      </c>
      <c r="F57" s="387">
        <v>1064.44</v>
      </c>
    </row>
    <row r="58" spans="1:6" ht="22.5" customHeight="1" x14ac:dyDescent="0.3">
      <c r="A58" s="61">
        <v>5</v>
      </c>
      <c r="B58" s="290" t="s">
        <v>463</v>
      </c>
      <c r="C58" s="63" t="s">
        <v>464</v>
      </c>
      <c r="D58" s="69" t="s">
        <v>795</v>
      </c>
      <c r="E58" s="70" t="s">
        <v>675</v>
      </c>
      <c r="F58" s="387">
        <v>1064.44</v>
      </c>
    </row>
    <row r="59" spans="1:6" ht="22.5" customHeight="1" x14ac:dyDescent="0.3">
      <c r="A59" s="23">
        <v>6</v>
      </c>
      <c r="B59" s="290" t="s">
        <v>493</v>
      </c>
      <c r="C59" s="25" t="s">
        <v>494</v>
      </c>
      <c r="D59" s="41" t="s">
        <v>795</v>
      </c>
      <c r="E59" s="70" t="s">
        <v>675</v>
      </c>
      <c r="F59" s="387">
        <v>2061.84</v>
      </c>
    </row>
    <row r="60" spans="1:6" ht="22.5" customHeight="1" x14ac:dyDescent="0.3">
      <c r="A60" s="331">
        <v>7</v>
      </c>
      <c r="B60" s="374" t="s">
        <v>495</v>
      </c>
      <c r="C60" s="81" t="s">
        <v>496</v>
      </c>
      <c r="D60" s="338" t="s">
        <v>795</v>
      </c>
      <c r="E60" s="118" t="s">
        <v>675</v>
      </c>
      <c r="F60" s="849">
        <v>20595.900000000001</v>
      </c>
    </row>
    <row r="61" spans="1:6" ht="22.5" customHeight="1" thickBot="1" x14ac:dyDescent="0.35">
      <c r="A61" s="860"/>
      <c r="B61" s="861"/>
      <c r="C61" s="835"/>
      <c r="D61" s="862"/>
      <c r="E61" s="863"/>
      <c r="F61" s="836">
        <f>SUM(F54:F60)</f>
        <v>46326.65</v>
      </c>
    </row>
    <row r="62" spans="1:6" ht="22.5" customHeight="1" thickTop="1" x14ac:dyDescent="0.3">
      <c r="A62" s="470"/>
      <c r="B62" s="859" t="s">
        <v>679</v>
      </c>
      <c r="C62" s="165"/>
      <c r="D62" s="117"/>
      <c r="E62" s="118"/>
      <c r="F62" s="849"/>
    </row>
    <row r="63" spans="1:6" ht="22.5" customHeight="1" x14ac:dyDescent="0.5">
      <c r="A63" s="264">
        <v>1</v>
      </c>
      <c r="B63" s="265" t="s">
        <v>398</v>
      </c>
      <c r="C63" s="176"/>
      <c r="D63" s="185" t="s">
        <v>794</v>
      </c>
      <c r="E63" s="186" t="s">
        <v>674</v>
      </c>
      <c r="F63" s="793">
        <v>2591.5100000000002</v>
      </c>
    </row>
    <row r="64" spans="1:6" ht="22.5" customHeight="1" thickBot="1" x14ac:dyDescent="0.55000000000000004">
      <c r="A64" s="854"/>
      <c r="B64" s="855"/>
      <c r="C64" s="856"/>
      <c r="D64" s="766"/>
      <c r="E64" s="857"/>
      <c r="F64" s="858">
        <f>SUM(F63)</f>
        <v>2591.5100000000002</v>
      </c>
    </row>
    <row r="65" spans="1:8" s="60" customFormat="1" ht="22.5" customHeight="1" thickTop="1" thickBot="1" x14ac:dyDescent="0.35">
      <c r="A65" s="850"/>
      <c r="B65" s="851" t="s">
        <v>497</v>
      </c>
      <c r="C65" s="852"/>
      <c r="D65" s="853"/>
      <c r="E65" s="853">
        <v>0</v>
      </c>
      <c r="F65" s="853">
        <v>364511.50760000013</v>
      </c>
      <c r="G65" s="683"/>
      <c r="H65" s="730">
        <f>SUM(F39+F48+F51+F61+F64)</f>
        <v>364511.51</v>
      </c>
    </row>
    <row r="66" spans="1:8" ht="22.5" customHeight="1" thickTop="1" x14ac:dyDescent="0.3">
      <c r="D66" s="3"/>
      <c r="E66" s="470"/>
      <c r="F66" s="472"/>
    </row>
    <row r="67" spans="1:8" ht="22.5" customHeight="1" x14ac:dyDescent="0.3">
      <c r="A67" s="1123" t="s">
        <v>498</v>
      </c>
      <c r="B67" s="1124"/>
      <c r="C67" s="1124"/>
      <c r="D67" s="1124"/>
      <c r="E67" s="1124"/>
      <c r="F67" s="1125"/>
    </row>
    <row r="68" spans="1:8" ht="22.5" customHeight="1" x14ac:dyDescent="0.3">
      <c r="A68" s="115"/>
      <c r="B68" s="164" t="s">
        <v>499</v>
      </c>
      <c r="C68" s="165"/>
      <c r="D68" s="117"/>
      <c r="E68" s="118"/>
      <c r="F68" s="370"/>
    </row>
    <row r="69" spans="1:8" ht="22.5" customHeight="1" x14ac:dyDescent="0.3">
      <c r="A69" s="475">
        <v>1</v>
      </c>
      <c r="B69" s="476" t="s">
        <v>500</v>
      </c>
      <c r="C69" s="477" t="s">
        <v>501</v>
      </c>
      <c r="D69" s="484"/>
      <c r="E69" s="485"/>
      <c r="F69" s="487">
        <v>325409.68</v>
      </c>
    </row>
    <row r="70" spans="1:8" ht="22.5" customHeight="1" x14ac:dyDescent="0.3">
      <c r="A70" s="488"/>
      <c r="B70" s="489" t="s">
        <v>503</v>
      </c>
      <c r="C70" s="490"/>
      <c r="D70" s="484"/>
      <c r="E70" s="494"/>
      <c r="F70" s="487"/>
    </row>
    <row r="71" spans="1:8" ht="22.5" customHeight="1" x14ac:dyDescent="0.3">
      <c r="A71" s="475">
        <v>2</v>
      </c>
      <c r="B71" s="476" t="s">
        <v>504</v>
      </c>
      <c r="C71" s="477" t="s">
        <v>415</v>
      </c>
      <c r="D71" s="484"/>
      <c r="E71" s="494"/>
      <c r="F71" s="497">
        <v>74600.88</v>
      </c>
    </row>
    <row r="72" spans="1:8" ht="22.5" customHeight="1" x14ac:dyDescent="0.3">
      <c r="A72" s="475"/>
      <c r="B72" s="489" t="s">
        <v>505</v>
      </c>
      <c r="C72" s="498"/>
      <c r="D72" s="484"/>
      <c r="E72" s="494"/>
      <c r="F72" s="497"/>
    </row>
    <row r="73" spans="1:8" ht="22.5" customHeight="1" x14ac:dyDescent="0.3">
      <c r="A73" s="502">
        <v>3</v>
      </c>
      <c r="B73" s="503" t="s">
        <v>506</v>
      </c>
      <c r="C73" s="504" t="s">
        <v>507</v>
      </c>
      <c r="D73" s="509"/>
      <c r="E73" s="510"/>
      <c r="F73" s="513">
        <v>32500</v>
      </c>
    </row>
    <row r="74" spans="1:8" ht="22.5" customHeight="1" x14ac:dyDescent="0.3">
      <c r="A74" s="488"/>
      <c r="B74" s="489" t="s">
        <v>508</v>
      </c>
      <c r="C74" s="514"/>
      <c r="D74" s="520"/>
      <c r="E74" s="521"/>
      <c r="F74" s="524"/>
    </row>
    <row r="75" spans="1:8" ht="22.5" customHeight="1" x14ac:dyDescent="0.3">
      <c r="A75" s="488">
        <v>4</v>
      </c>
      <c r="B75" s="525" t="s">
        <v>509</v>
      </c>
      <c r="C75" s="526" t="s">
        <v>510</v>
      </c>
      <c r="D75" s="521"/>
      <c r="E75" s="529"/>
      <c r="F75" s="532">
        <v>796450.4</v>
      </c>
    </row>
    <row r="76" spans="1:8" ht="22.5" customHeight="1" x14ac:dyDescent="0.3">
      <c r="A76" s="533"/>
      <c r="B76" s="534" t="s">
        <v>509</v>
      </c>
      <c r="C76" s="535" t="s">
        <v>511</v>
      </c>
      <c r="D76" s="543"/>
      <c r="E76" s="544"/>
      <c r="F76" s="547">
        <v>93330</v>
      </c>
    </row>
    <row r="77" spans="1:8" s="60" customFormat="1" ht="22.5" customHeight="1" thickBot="1" x14ac:dyDescent="0.35">
      <c r="A77" s="548"/>
      <c r="B77" s="548" t="s">
        <v>15</v>
      </c>
      <c r="C77" s="549"/>
      <c r="D77" s="555"/>
      <c r="E77" s="556"/>
      <c r="F77" s="558">
        <v>1322290.96</v>
      </c>
      <c r="G77" s="683">
        <v>1322290.96</v>
      </c>
    </row>
    <row r="78" spans="1:8" ht="22.5" customHeight="1" thickTop="1" x14ac:dyDescent="0.3">
      <c r="A78" s="559"/>
      <c r="B78" s="560" t="s">
        <v>92</v>
      </c>
      <c r="C78" s="561"/>
      <c r="D78" s="567"/>
      <c r="E78" s="568"/>
      <c r="F78" s="570"/>
    </row>
    <row r="79" spans="1:8" ht="22.5" customHeight="1" x14ac:dyDescent="0.3">
      <c r="A79" s="23">
        <v>1</v>
      </c>
      <c r="B79" s="73" t="s">
        <v>512</v>
      </c>
      <c r="C79" s="25" t="s">
        <v>97</v>
      </c>
      <c r="D79" s="41" t="s">
        <v>513</v>
      </c>
      <c r="E79" s="34" t="s">
        <v>514</v>
      </c>
      <c r="F79" s="36">
        <v>10499.9956</v>
      </c>
    </row>
    <row r="80" spans="1:8" s="60" customFormat="1" ht="22.5" customHeight="1" thickBot="1" x14ac:dyDescent="0.35">
      <c r="A80" s="548"/>
      <c r="B80" s="548" t="s">
        <v>15</v>
      </c>
      <c r="C80" s="549"/>
      <c r="D80" s="548"/>
      <c r="E80" s="552"/>
      <c r="F80" s="558">
        <v>10499.9956</v>
      </c>
      <c r="G80" s="683">
        <v>10499.9956</v>
      </c>
    </row>
    <row r="81" spans="1:10" s="60" customFormat="1" ht="22.5" customHeight="1" thickTop="1" thickBot="1" x14ac:dyDescent="0.35">
      <c r="A81" s="572"/>
      <c r="B81" s="572" t="s">
        <v>515</v>
      </c>
      <c r="C81" s="573"/>
      <c r="D81" s="580"/>
      <c r="E81" s="581"/>
      <c r="F81" s="583">
        <v>1332790.9556</v>
      </c>
      <c r="H81" s="730">
        <v>1332790.9556</v>
      </c>
    </row>
    <row r="82" spans="1:10" ht="22.5" customHeight="1" thickTop="1" x14ac:dyDescent="0.3">
      <c r="D82" s="470"/>
      <c r="E82" s="586"/>
      <c r="F82" s="472"/>
    </row>
    <row r="83" spans="1:10" s="589" customFormat="1" ht="20.399999999999999" x14ac:dyDescent="0.5">
      <c r="A83" s="1126" t="s">
        <v>516</v>
      </c>
      <c r="B83" s="1127"/>
      <c r="C83" s="1127"/>
      <c r="D83" s="1127"/>
      <c r="E83" s="1127"/>
      <c r="F83" s="1127"/>
      <c r="G83" s="587"/>
      <c r="H83" s="588"/>
    </row>
    <row r="84" spans="1:10" s="599" customFormat="1" x14ac:dyDescent="0.6">
      <c r="A84" s="601">
        <v>2</v>
      </c>
      <c r="B84" s="602" t="s">
        <v>519</v>
      </c>
      <c r="C84" s="602" t="s">
        <v>520</v>
      </c>
      <c r="D84" s="604"/>
      <c r="E84" s="605"/>
      <c r="F84" s="609">
        <v>54000</v>
      </c>
      <c r="H84" s="600"/>
    </row>
    <row r="85" spans="1:10" s="599" customFormat="1" ht="24" thickBot="1" x14ac:dyDescent="0.65">
      <c r="A85" s="619"/>
      <c r="B85" s="620" t="s">
        <v>523</v>
      </c>
      <c r="C85" s="621"/>
      <c r="D85" s="623"/>
      <c r="E85" s="624"/>
      <c r="F85" s="626">
        <v>54000</v>
      </c>
      <c r="G85" s="731">
        <v>54000</v>
      </c>
      <c r="H85" s="692">
        <v>54000</v>
      </c>
      <c r="I85" s="828">
        <v>1751302.4656000002</v>
      </c>
      <c r="J85" s="599" t="s">
        <v>798</v>
      </c>
    </row>
    <row r="86" spans="1:10" s="636" customFormat="1" ht="24" thickTop="1" x14ac:dyDescent="0.6">
      <c r="A86" s="628"/>
      <c r="B86" s="629"/>
      <c r="C86" s="630"/>
      <c r="D86" s="632"/>
      <c r="E86" s="633"/>
      <c r="F86" s="635"/>
      <c r="H86" s="637"/>
    </row>
    <row r="87" spans="1:10" s="636" customFormat="1" x14ac:dyDescent="0.6">
      <c r="A87" s="1128" t="s">
        <v>524</v>
      </c>
      <c r="B87" s="1128"/>
      <c r="C87" s="1128"/>
      <c r="D87" s="1128"/>
      <c r="E87" s="1128"/>
      <c r="F87" s="1128"/>
      <c r="H87" s="637"/>
    </row>
    <row r="88" spans="1:10" s="599" customFormat="1" x14ac:dyDescent="0.6">
      <c r="A88" s="638">
        <v>1</v>
      </c>
      <c r="B88" s="639" t="s">
        <v>519</v>
      </c>
      <c r="C88" s="639" t="s">
        <v>518</v>
      </c>
      <c r="D88" s="641" t="s">
        <v>527</v>
      </c>
      <c r="E88" s="642" t="s">
        <v>528</v>
      </c>
      <c r="F88" s="643">
        <v>67200</v>
      </c>
      <c r="H88" s="600"/>
    </row>
    <row r="89" spans="1:10" s="599" customFormat="1" x14ac:dyDescent="0.6">
      <c r="A89" s="646">
        <v>2</v>
      </c>
      <c r="B89" s="647" t="s">
        <v>521</v>
      </c>
      <c r="C89" s="647" t="s">
        <v>522</v>
      </c>
      <c r="D89" s="652"/>
      <c r="E89" s="373"/>
      <c r="F89" s="643">
        <v>6917.6500000000015</v>
      </c>
      <c r="H89" s="600"/>
    </row>
    <row r="90" spans="1:10" s="599" customFormat="1" ht="24" thickBot="1" x14ac:dyDescent="0.65">
      <c r="A90" s="619"/>
      <c r="B90" s="620" t="s">
        <v>535</v>
      </c>
      <c r="C90" s="621"/>
      <c r="D90" s="625"/>
      <c r="E90" s="625"/>
      <c r="F90" s="625">
        <v>74117.649999999994</v>
      </c>
      <c r="G90" s="731">
        <v>74117.649999999994</v>
      </c>
      <c r="H90" s="692">
        <v>74117.649999999994</v>
      </c>
    </row>
    <row r="91" spans="1:10" ht="22.5" customHeight="1" thickTop="1" x14ac:dyDescent="0.3">
      <c r="D91" s="470"/>
      <c r="E91" s="586"/>
      <c r="F91" s="472"/>
    </row>
    <row r="92" spans="1:10" ht="22.5" customHeight="1" thickBot="1" x14ac:dyDescent="0.35">
      <c r="D92" s="470"/>
      <c r="E92" s="586"/>
      <c r="F92" s="658">
        <v>1825420.1132</v>
      </c>
      <c r="H92" s="732">
        <v>1825420.1156000001</v>
      </c>
      <c r="I92" s="3" t="s">
        <v>797</v>
      </c>
    </row>
    <row r="93" spans="1:10" ht="22.5" customHeight="1" thickTop="1" x14ac:dyDescent="0.5">
      <c r="B93" s="587" t="s">
        <v>537</v>
      </c>
      <c r="C93" s="587"/>
      <c r="D93" s="3"/>
      <c r="E93" s="470"/>
      <c r="F93" s="472"/>
    </row>
    <row r="94" spans="1:10" x14ac:dyDescent="0.5">
      <c r="B94" s="1129" t="s">
        <v>538</v>
      </c>
      <c r="C94" s="1129"/>
      <c r="D94" s="3"/>
      <c r="E94" s="470"/>
      <c r="F94" s="472"/>
    </row>
    <row r="95" spans="1:10" x14ac:dyDescent="0.5">
      <c r="B95" s="1129" t="s">
        <v>539</v>
      </c>
      <c r="C95" s="1129"/>
      <c r="D95" s="3"/>
      <c r="E95" s="470"/>
      <c r="F95" s="472"/>
    </row>
    <row r="96" spans="1:10" x14ac:dyDescent="0.3">
      <c r="D96" s="3"/>
      <c r="E96" s="470"/>
      <c r="F96" s="472"/>
    </row>
    <row r="97" spans="4:6" x14ac:dyDescent="0.3">
      <c r="D97" s="3"/>
      <c r="E97" s="470"/>
      <c r="F97" s="472"/>
    </row>
    <row r="98" spans="4:6" x14ac:dyDescent="0.3">
      <c r="D98" s="3"/>
      <c r="E98" s="470"/>
      <c r="F98" s="472"/>
    </row>
    <row r="99" spans="4:6" x14ac:dyDescent="0.3">
      <c r="D99" s="3"/>
      <c r="E99" s="470"/>
      <c r="F99" s="472"/>
    </row>
    <row r="100" spans="4:6" x14ac:dyDescent="0.3">
      <c r="D100" s="3"/>
      <c r="E100" s="470"/>
      <c r="F100" s="472"/>
    </row>
    <row r="101" spans="4:6" x14ac:dyDescent="0.3">
      <c r="D101" s="3"/>
      <c r="E101" s="470"/>
      <c r="F101" s="472"/>
    </row>
    <row r="102" spans="4:6" x14ac:dyDescent="0.3">
      <c r="D102" s="3"/>
      <c r="E102" s="470"/>
      <c r="F102" s="472"/>
    </row>
  </sheetData>
  <sortState xmlns:xlrd2="http://schemas.microsoft.com/office/spreadsheetml/2017/richdata2" ref="A8:F50">
    <sortCondition ref="E8:E50"/>
  </sortState>
  <mergeCells count="14"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A67:F67"/>
    <mergeCell ref="A83:F83"/>
    <mergeCell ref="A87:F87"/>
    <mergeCell ref="B94:C94"/>
    <mergeCell ref="B95:C95"/>
  </mergeCells>
  <phoneticPr fontId="2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0A91-380C-4B3E-8994-E1A2D2EBE618}">
  <sheetPr codeName="Sheet1">
    <tabColor rgb="FF92D050"/>
  </sheetPr>
  <dimension ref="A1:AO288"/>
  <sheetViews>
    <sheetView zoomScale="70" zoomScaleNormal="70" workbookViewId="0">
      <pane ySplit="6" topLeftCell="A268" activePane="bottomLeft" state="frozen"/>
      <selection pane="bottomLeft" activeCell="D287" sqref="D287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88671875" style="88" customWidth="1"/>
    <col min="5" max="5" width="13.33203125" style="659" customWidth="1"/>
    <col min="6" max="6" width="7.88671875" style="660" customWidth="1"/>
    <col min="7" max="7" width="14.88671875" style="661" customWidth="1"/>
    <col min="8" max="8" width="14.6640625" style="661" customWidth="1"/>
    <col min="9" max="9" width="14.44140625" style="661" customWidth="1"/>
    <col min="10" max="10" width="12.44140625" style="88" customWidth="1"/>
    <col min="11" max="11" width="18.6640625" style="88" customWidth="1"/>
    <col min="12" max="12" width="16.33203125" style="88" customWidth="1"/>
    <col min="13" max="13" width="14.5546875" style="662" customWidth="1"/>
    <col min="14" max="14" width="8" style="663" customWidth="1"/>
    <col min="15" max="15" width="16.33203125" style="664" customWidth="1"/>
    <col min="16" max="16" width="13.88671875" style="664" customWidth="1"/>
    <col min="17" max="17" width="16.5546875" style="665" customWidth="1"/>
    <col min="18" max="16384" width="27.109375" style="3"/>
  </cols>
  <sheetData>
    <row r="1" spans="1:18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2"/>
    </row>
    <row r="2" spans="1:18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2"/>
    </row>
    <row r="3" spans="1:18" ht="22.5" customHeight="1" x14ac:dyDescent="0.3">
      <c r="A3" s="1110" t="s">
        <v>540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2"/>
    </row>
    <row r="4" spans="1:18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35"/>
      <c r="G4" s="1135"/>
      <c r="H4" s="1135"/>
      <c r="I4" s="1136"/>
      <c r="J4" s="1145" t="s">
        <v>8</v>
      </c>
      <c r="K4" s="1146"/>
      <c r="L4" s="1147"/>
      <c r="M4" s="1118" t="s">
        <v>9</v>
      </c>
      <c r="N4" s="1140"/>
      <c r="O4" s="1140"/>
      <c r="P4" s="1140"/>
      <c r="Q4" s="1120"/>
      <c r="R4" s="2"/>
    </row>
    <row r="5" spans="1:18" ht="22.5" customHeight="1" x14ac:dyDescent="0.3">
      <c r="A5" s="1113"/>
      <c r="B5" s="1113"/>
      <c r="C5" s="1116"/>
      <c r="D5" s="1142"/>
      <c r="E5" s="1130" t="s">
        <v>10</v>
      </c>
      <c r="F5" s="1132" t="s">
        <v>11</v>
      </c>
      <c r="G5" s="1134" t="s">
        <v>12</v>
      </c>
      <c r="H5" s="1135"/>
      <c r="I5" s="1136"/>
      <c r="J5" s="5"/>
      <c r="K5" s="6"/>
      <c r="L5" s="6"/>
      <c r="M5" s="1121" t="s">
        <v>10</v>
      </c>
      <c r="N5" s="1138" t="s">
        <v>11</v>
      </c>
      <c r="O5" s="1118" t="s">
        <v>12</v>
      </c>
      <c r="P5" s="1140"/>
      <c r="Q5" s="1120"/>
      <c r="R5" s="2"/>
    </row>
    <row r="6" spans="1:18" ht="22.5" customHeight="1" x14ac:dyDescent="0.3">
      <c r="A6" s="1114"/>
      <c r="B6" s="1114"/>
      <c r="C6" s="1117"/>
      <c r="D6" s="1143"/>
      <c r="E6" s="1131"/>
      <c r="F6" s="1133"/>
      <c r="G6" s="7" t="s">
        <v>13</v>
      </c>
      <c r="H6" s="7" t="s">
        <v>14</v>
      </c>
      <c r="I6" s="7" t="s">
        <v>15</v>
      </c>
      <c r="J6" s="5" t="s">
        <v>16</v>
      </c>
      <c r="K6" s="8" t="s">
        <v>17</v>
      </c>
      <c r="L6" s="6" t="s">
        <v>13</v>
      </c>
      <c r="M6" s="1122"/>
      <c r="N6" s="1139"/>
      <c r="O6" s="9" t="s">
        <v>18</v>
      </c>
      <c r="P6" s="9" t="s">
        <v>14</v>
      </c>
      <c r="Q6" s="10" t="s">
        <v>15</v>
      </c>
      <c r="R6" s="2"/>
    </row>
    <row r="7" spans="1:18" ht="22.5" customHeight="1" x14ac:dyDescent="0.3">
      <c r="A7" s="11"/>
      <c r="B7" s="12" t="s">
        <v>19</v>
      </c>
      <c r="C7" s="13"/>
      <c r="D7" s="14"/>
      <c r="E7" s="15"/>
      <c r="F7" s="16"/>
      <c r="G7" s="7"/>
      <c r="H7" s="17"/>
      <c r="I7" s="17"/>
      <c r="J7" s="18"/>
      <c r="K7" s="18"/>
      <c r="L7" s="14"/>
      <c r="M7" s="19"/>
      <c r="N7" s="20"/>
      <c r="O7" s="21"/>
      <c r="P7" s="21"/>
      <c r="Q7" s="22"/>
      <c r="R7" s="2"/>
    </row>
    <row r="8" spans="1:18" ht="22.5" customHeight="1" x14ac:dyDescent="0.6">
      <c r="A8" s="23">
        <v>1</v>
      </c>
      <c r="B8" s="24" t="s">
        <v>20</v>
      </c>
      <c r="C8" s="25" t="s">
        <v>21</v>
      </c>
      <c r="D8" s="26">
        <v>272.44</v>
      </c>
      <c r="E8" s="27"/>
      <c r="F8" s="28"/>
      <c r="G8" s="29">
        <v>0</v>
      </c>
      <c r="H8" s="29">
        <v>0</v>
      </c>
      <c r="I8" s="29">
        <v>0</v>
      </c>
      <c r="J8" s="30">
        <v>25142</v>
      </c>
      <c r="K8" s="31" t="s">
        <v>541</v>
      </c>
      <c r="L8" s="32">
        <v>272.44</v>
      </c>
      <c r="M8" s="33"/>
      <c r="N8" s="34"/>
      <c r="O8" s="35">
        <f>SUM(Q8-P8)</f>
        <v>0</v>
      </c>
      <c r="P8" s="35">
        <f>SUM(Q8*7/107)</f>
        <v>0</v>
      </c>
      <c r="Q8" s="36">
        <f>SUM(D8+I8-L8)</f>
        <v>0</v>
      </c>
      <c r="R8" s="2"/>
    </row>
    <row r="9" spans="1:18" ht="22.5" customHeight="1" x14ac:dyDescent="0.6">
      <c r="A9" s="23">
        <v>2</v>
      </c>
      <c r="B9" s="24" t="s">
        <v>24</v>
      </c>
      <c r="C9" s="25" t="s">
        <v>25</v>
      </c>
      <c r="D9" s="26">
        <v>947.87</v>
      </c>
      <c r="E9" s="27"/>
      <c r="F9" s="28"/>
      <c r="G9" s="29">
        <v>0</v>
      </c>
      <c r="H9" s="29">
        <v>0</v>
      </c>
      <c r="I9" s="29">
        <v>0</v>
      </c>
      <c r="J9" s="30">
        <v>25140</v>
      </c>
      <c r="K9" s="31" t="s">
        <v>542</v>
      </c>
      <c r="L9" s="32">
        <v>947.87</v>
      </c>
      <c r="M9" s="33"/>
      <c r="N9" s="34"/>
      <c r="O9" s="35">
        <f>SUM(Q9-P9)</f>
        <v>0</v>
      </c>
      <c r="P9" s="35">
        <f>SUM(Q9*7/107)</f>
        <v>0</v>
      </c>
      <c r="Q9" s="36">
        <f>SUM(D9+I9-L9)</f>
        <v>0</v>
      </c>
      <c r="R9" s="2"/>
    </row>
    <row r="10" spans="1:18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8"/>
      <c r="G10" s="29">
        <v>0</v>
      </c>
      <c r="H10" s="29">
        <v>0</v>
      </c>
      <c r="I10" s="29">
        <v>0</v>
      </c>
      <c r="J10" s="38"/>
      <c r="K10" s="39"/>
      <c r="L10" s="40"/>
      <c r="M10" s="41">
        <v>25112</v>
      </c>
      <c r="N10" s="34" t="s">
        <v>33</v>
      </c>
      <c r="O10" s="35">
        <f>SUM(Q10-P10)</f>
        <v>750</v>
      </c>
      <c r="P10" s="35">
        <f>SUM(Q10*7/107)</f>
        <v>52.5</v>
      </c>
      <c r="Q10" s="36">
        <f>SUM(D10+I10-L10)</f>
        <v>802.5</v>
      </c>
      <c r="R10" s="2"/>
    </row>
    <row r="11" spans="1:18" ht="22.5" customHeight="1" x14ac:dyDescent="0.5">
      <c r="A11" s="23">
        <v>4</v>
      </c>
      <c r="B11" s="24" t="s">
        <v>30</v>
      </c>
      <c r="C11" s="25" t="s">
        <v>31</v>
      </c>
      <c r="D11" s="43">
        <v>1348.2</v>
      </c>
      <c r="E11" s="44">
        <v>25082</v>
      </c>
      <c r="F11" s="45" t="s">
        <v>35</v>
      </c>
      <c r="G11" s="46">
        <v>1260</v>
      </c>
      <c r="H11" s="46">
        <v>88.2</v>
      </c>
      <c r="I11" s="46">
        <v>1348.2</v>
      </c>
      <c r="J11" s="30">
        <v>25118</v>
      </c>
      <c r="K11" s="31" t="s">
        <v>543</v>
      </c>
      <c r="L11" s="32">
        <v>1348.2</v>
      </c>
      <c r="M11" s="33">
        <v>25112</v>
      </c>
      <c r="N11" s="34" t="s">
        <v>33</v>
      </c>
      <c r="O11" s="669">
        <f>SUM(Q11-P11)</f>
        <v>1260</v>
      </c>
      <c r="P11" s="669">
        <f>SUM(Q11*7/107)</f>
        <v>88.2</v>
      </c>
      <c r="Q11" s="340">
        <f>SUM(D11+I11-L11)</f>
        <v>1348.2</v>
      </c>
      <c r="R11" s="47" t="s">
        <v>36</v>
      </c>
    </row>
    <row r="12" spans="1:18" s="60" customFormat="1" ht="22.5" customHeight="1" thickBot="1" x14ac:dyDescent="0.35">
      <c r="A12" s="48"/>
      <c r="B12" s="48" t="s">
        <v>15</v>
      </c>
      <c r="C12" s="49"/>
      <c r="D12" s="50">
        <f>SUM(D8:D11)</f>
        <v>3371.01</v>
      </c>
      <c r="E12" s="51"/>
      <c r="F12" s="52"/>
      <c r="G12" s="53">
        <f>SUM(G8:G11)</f>
        <v>1260</v>
      </c>
      <c r="H12" s="53">
        <f>SUM(H8:H11)</f>
        <v>88.2</v>
      </c>
      <c r="I12" s="53">
        <f>SUM(I8:I11)</f>
        <v>1348.2</v>
      </c>
      <c r="J12" s="54"/>
      <c r="K12" s="55"/>
      <c r="L12" s="50">
        <f>SUM(L8:L11)</f>
        <v>2568.5100000000002</v>
      </c>
      <c r="M12" s="48"/>
      <c r="N12" s="56"/>
      <c r="O12" s="670">
        <f>SUM(Q12-P12)</f>
        <v>2009.9999999999998</v>
      </c>
      <c r="P12" s="670">
        <f>SUM(Q12*7/107)</f>
        <v>140.69999999999999</v>
      </c>
      <c r="Q12" s="671">
        <f>SUM(D12+I12-L12)</f>
        <v>2150.6999999999998</v>
      </c>
      <c r="R12" s="59"/>
    </row>
    <row r="13" spans="1:18" ht="22.5" customHeight="1" thickTop="1" x14ac:dyDescent="0.3">
      <c r="A13" s="61"/>
      <c r="B13" s="62" t="s">
        <v>37</v>
      </c>
      <c r="C13" s="63"/>
      <c r="D13" s="64"/>
      <c r="E13" s="65"/>
      <c r="F13" s="66"/>
      <c r="G13" s="67"/>
      <c r="H13" s="67"/>
      <c r="I13" s="67"/>
      <c r="J13" s="68"/>
      <c r="K13" s="68"/>
      <c r="L13" s="64"/>
      <c r="M13" s="69"/>
      <c r="N13" s="70"/>
      <c r="O13" s="71"/>
      <c r="P13" s="71"/>
      <c r="Q13" s="72"/>
      <c r="R13" s="2"/>
    </row>
    <row r="14" spans="1:18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5"/>
      <c r="G14" s="76">
        <v>0</v>
      </c>
      <c r="H14" s="76">
        <v>0</v>
      </c>
      <c r="I14" s="76">
        <v>0</v>
      </c>
      <c r="J14" s="30">
        <v>25112</v>
      </c>
      <c r="K14" s="31" t="s">
        <v>544</v>
      </c>
      <c r="L14" s="32">
        <v>1284</v>
      </c>
      <c r="M14" s="69"/>
      <c r="N14" s="70"/>
      <c r="O14" s="35">
        <f>SUM(Q14-P14)</f>
        <v>0</v>
      </c>
      <c r="P14" s="42">
        <f>SUM(Q14*7/107)</f>
        <v>0</v>
      </c>
      <c r="Q14" s="36">
        <f>SUM(D14+I14-L14)</f>
        <v>0</v>
      </c>
      <c r="R14" s="2"/>
    </row>
    <row r="15" spans="1:18" ht="22.5" customHeight="1" x14ac:dyDescent="0.5">
      <c r="A15" s="23">
        <v>2</v>
      </c>
      <c r="B15" s="73" t="s">
        <v>42</v>
      </c>
      <c r="C15" s="25" t="s">
        <v>43</v>
      </c>
      <c r="D15" s="43">
        <v>1797.6</v>
      </c>
      <c r="E15" s="74"/>
      <c r="F15" s="77"/>
      <c r="G15" s="76">
        <v>-4.2499752419295712E-13</v>
      </c>
      <c r="H15" s="76">
        <v>-2.9749826693506995E-14</v>
      </c>
      <c r="I15" s="76">
        <v>-4.5474735088646412E-13</v>
      </c>
      <c r="J15" s="30">
        <v>25136</v>
      </c>
      <c r="K15" s="31" t="s">
        <v>545</v>
      </c>
      <c r="L15" s="32">
        <v>1797.6</v>
      </c>
      <c r="M15" s="33"/>
      <c r="N15" s="70"/>
      <c r="O15" s="35">
        <f t="shared" ref="O15:O26" si="0">SUM(Q15-P15)</f>
        <v>-4.2499752419295712E-13</v>
      </c>
      <c r="P15" s="42">
        <f t="shared" ref="P15:P26" si="1">SUM(Q15*7/107)</f>
        <v>-2.9749826693506995E-14</v>
      </c>
      <c r="Q15" s="36">
        <f t="shared" ref="Q15:Q26" si="2">SUM(D15+I15-L15)</f>
        <v>-4.5474735088646412E-13</v>
      </c>
      <c r="R15" s="2"/>
    </row>
    <row r="16" spans="1:18" ht="22.5" customHeight="1" x14ac:dyDescent="0.5">
      <c r="A16" s="23">
        <v>3</v>
      </c>
      <c r="B16" s="73" t="s">
        <v>45</v>
      </c>
      <c r="C16" s="25" t="s">
        <v>46</v>
      </c>
      <c r="D16" s="43">
        <v>1155.5999999999999</v>
      </c>
      <c r="E16" s="74">
        <v>25082</v>
      </c>
      <c r="F16" s="77" t="s">
        <v>35</v>
      </c>
      <c r="G16" s="76">
        <v>1230</v>
      </c>
      <c r="H16" s="76">
        <v>86.1</v>
      </c>
      <c r="I16" s="76">
        <v>1316.1</v>
      </c>
      <c r="J16" s="30">
        <v>25121</v>
      </c>
      <c r="K16" s="31" t="s">
        <v>546</v>
      </c>
      <c r="L16" s="32">
        <v>1316.1</v>
      </c>
      <c r="M16" s="33">
        <v>25112</v>
      </c>
      <c r="N16" s="70" t="s">
        <v>33</v>
      </c>
      <c r="O16" s="35">
        <f t="shared" si="0"/>
        <v>1080</v>
      </c>
      <c r="P16" s="42">
        <f t="shared" si="1"/>
        <v>75.599999999999994</v>
      </c>
      <c r="Q16" s="36">
        <f t="shared" si="2"/>
        <v>1155.5999999999999</v>
      </c>
      <c r="R16" s="2"/>
    </row>
    <row r="17" spans="1:18" ht="22.5" customHeight="1" x14ac:dyDescent="0.5">
      <c r="A17" s="23">
        <v>4</v>
      </c>
      <c r="B17" s="73" t="s">
        <v>48</v>
      </c>
      <c r="C17" s="25" t="s">
        <v>49</v>
      </c>
      <c r="D17" s="43">
        <v>3177.9</v>
      </c>
      <c r="E17" s="74">
        <v>25082</v>
      </c>
      <c r="F17" s="77" t="s">
        <v>35</v>
      </c>
      <c r="G17" s="76">
        <v>2339.9999999999991</v>
      </c>
      <c r="H17" s="76">
        <v>163.79999999999993</v>
      </c>
      <c r="I17" s="76">
        <v>2503.7999999999988</v>
      </c>
      <c r="J17" s="30" t="s">
        <v>547</v>
      </c>
      <c r="K17" s="31" t="s">
        <v>548</v>
      </c>
      <c r="L17" s="32">
        <v>2503.8000000000002</v>
      </c>
      <c r="M17" s="33">
        <v>25112</v>
      </c>
      <c r="N17" s="70" t="s">
        <v>33</v>
      </c>
      <c r="O17" s="35">
        <f t="shared" si="0"/>
        <v>2969.9999999999986</v>
      </c>
      <c r="P17" s="42">
        <f t="shared" si="1"/>
        <v>207.89999999999992</v>
      </c>
      <c r="Q17" s="36">
        <f t="shared" si="2"/>
        <v>3177.8999999999987</v>
      </c>
      <c r="R17" s="2"/>
    </row>
    <row r="18" spans="1:18" ht="22.5" customHeight="1" x14ac:dyDescent="0.5">
      <c r="A18" s="23">
        <v>5</v>
      </c>
      <c r="B18" s="73" t="s">
        <v>51</v>
      </c>
      <c r="C18" s="25" t="s">
        <v>52</v>
      </c>
      <c r="D18" s="43">
        <v>5007.6000000000004</v>
      </c>
      <c r="E18" s="74">
        <v>25082</v>
      </c>
      <c r="F18" s="77" t="s">
        <v>35</v>
      </c>
      <c r="G18" s="76">
        <v>5040.0000000000027</v>
      </c>
      <c r="H18" s="76">
        <v>352.80000000000018</v>
      </c>
      <c r="I18" s="76">
        <v>5392.8000000000029</v>
      </c>
      <c r="J18" s="30" t="s">
        <v>549</v>
      </c>
      <c r="K18" s="31" t="s">
        <v>550</v>
      </c>
      <c r="L18" s="32">
        <v>10400.4</v>
      </c>
      <c r="M18" s="33"/>
      <c r="N18" s="70"/>
      <c r="O18" s="35">
        <f t="shared" si="0"/>
        <v>3.3999801935436569E-12</v>
      </c>
      <c r="P18" s="42">
        <f t="shared" si="1"/>
        <v>2.3799861354805596E-13</v>
      </c>
      <c r="Q18" s="36">
        <f t="shared" si="2"/>
        <v>3.637978807091713E-12</v>
      </c>
      <c r="R18" s="2"/>
    </row>
    <row r="19" spans="1:18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5"/>
      <c r="G19" s="76">
        <v>0</v>
      </c>
      <c r="H19" s="76">
        <v>0</v>
      </c>
      <c r="I19" s="76">
        <v>0</v>
      </c>
      <c r="J19" s="30">
        <v>25118</v>
      </c>
      <c r="K19" s="31" t="s">
        <v>551</v>
      </c>
      <c r="L19" s="32">
        <v>6420</v>
      </c>
      <c r="M19" s="69"/>
      <c r="N19" s="70"/>
      <c r="O19" s="35">
        <f t="shared" si="0"/>
        <v>0</v>
      </c>
      <c r="P19" s="42">
        <f t="shared" si="1"/>
        <v>0</v>
      </c>
      <c r="Q19" s="36">
        <f t="shared" si="2"/>
        <v>0</v>
      </c>
      <c r="R19" s="2"/>
    </row>
    <row r="20" spans="1:18" ht="22.5" customHeight="1" x14ac:dyDescent="0.5">
      <c r="A20" s="23">
        <v>7</v>
      </c>
      <c r="B20" s="78" t="s">
        <v>54</v>
      </c>
      <c r="C20" s="25" t="s">
        <v>55</v>
      </c>
      <c r="D20" s="79">
        <v>2166.75</v>
      </c>
      <c r="E20" s="80">
        <v>25082</v>
      </c>
      <c r="F20" s="77" t="s">
        <v>35</v>
      </c>
      <c r="G20" s="76">
        <v>1889.9999999999995</v>
      </c>
      <c r="H20" s="76">
        <v>132.29999999999998</v>
      </c>
      <c r="I20" s="76">
        <v>2022.2999999999995</v>
      </c>
      <c r="J20" s="38"/>
      <c r="K20" s="39"/>
      <c r="L20" s="40"/>
      <c r="M20" s="33" t="s">
        <v>552</v>
      </c>
      <c r="N20" s="70" t="s">
        <v>115</v>
      </c>
      <c r="O20" s="35">
        <f t="shared" si="0"/>
        <v>3914.9999999999991</v>
      </c>
      <c r="P20" s="42">
        <f t="shared" si="1"/>
        <v>274.04999999999995</v>
      </c>
      <c r="Q20" s="36">
        <f t="shared" si="2"/>
        <v>4189.0499999999993</v>
      </c>
      <c r="R20" s="2"/>
    </row>
    <row r="21" spans="1:18" ht="22.5" customHeight="1" x14ac:dyDescent="0.5">
      <c r="A21" s="23">
        <v>8</v>
      </c>
      <c r="B21" s="78" t="s">
        <v>56</v>
      </c>
      <c r="C21" s="81" t="s">
        <v>57</v>
      </c>
      <c r="D21" s="79">
        <v>0</v>
      </c>
      <c r="E21" s="74"/>
      <c r="F21" s="77"/>
      <c r="G21" s="82">
        <v>0</v>
      </c>
      <c r="H21" s="82">
        <v>0</v>
      </c>
      <c r="I21" s="82">
        <v>0</v>
      </c>
      <c r="J21" s="38"/>
      <c r="K21" s="39"/>
      <c r="L21" s="40"/>
      <c r="M21" s="33"/>
      <c r="N21" s="70"/>
      <c r="O21" s="35">
        <f t="shared" si="0"/>
        <v>0</v>
      </c>
      <c r="P21" s="42">
        <f t="shared" si="1"/>
        <v>0</v>
      </c>
      <c r="Q21" s="36">
        <f t="shared" si="2"/>
        <v>0</v>
      </c>
      <c r="R21" s="2"/>
    </row>
    <row r="22" spans="1:18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 t="s">
        <v>61</v>
      </c>
      <c r="F22" s="75" t="s">
        <v>35</v>
      </c>
      <c r="G22" s="76">
        <v>20000</v>
      </c>
      <c r="H22" s="76">
        <v>1400</v>
      </c>
      <c r="I22" s="76">
        <v>21400</v>
      </c>
      <c r="J22" s="38" t="s">
        <v>553</v>
      </c>
      <c r="K22" s="39" t="s">
        <v>554</v>
      </c>
      <c r="L22" s="40">
        <v>42800</v>
      </c>
      <c r="M22" s="69"/>
      <c r="N22" s="70"/>
      <c r="O22" s="35">
        <f t="shared" si="0"/>
        <v>0</v>
      </c>
      <c r="P22" s="42">
        <f t="shared" si="1"/>
        <v>0</v>
      </c>
      <c r="Q22" s="36">
        <f t="shared" si="2"/>
        <v>0</v>
      </c>
      <c r="R22" s="2"/>
    </row>
    <row r="23" spans="1:18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5"/>
      <c r="G23" s="76">
        <v>0</v>
      </c>
      <c r="H23" s="76">
        <v>0</v>
      </c>
      <c r="I23" s="76">
        <v>0</v>
      </c>
      <c r="J23" s="38"/>
      <c r="K23" s="39"/>
      <c r="L23" s="40"/>
      <c r="M23" s="69" t="s">
        <v>559</v>
      </c>
      <c r="N23" s="70" t="s">
        <v>33</v>
      </c>
      <c r="O23" s="35">
        <f t="shared" si="0"/>
        <v>800</v>
      </c>
      <c r="P23" s="42">
        <f t="shared" si="1"/>
        <v>56</v>
      </c>
      <c r="Q23" s="36">
        <f t="shared" si="2"/>
        <v>856</v>
      </c>
      <c r="R23" s="87"/>
    </row>
    <row r="24" spans="1:18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92"/>
      <c r="G24" s="76">
        <v>0</v>
      </c>
      <c r="H24" s="76">
        <v>0</v>
      </c>
      <c r="I24" s="76">
        <v>0</v>
      </c>
      <c r="J24" s="38">
        <v>25132</v>
      </c>
      <c r="K24" s="39" t="s">
        <v>555</v>
      </c>
      <c r="L24" s="40">
        <v>21400</v>
      </c>
      <c r="M24" s="69"/>
      <c r="N24" s="70"/>
      <c r="O24" s="35">
        <f t="shared" si="0"/>
        <v>0</v>
      </c>
      <c r="P24" s="42">
        <f t="shared" si="1"/>
        <v>0</v>
      </c>
      <c r="Q24" s="36">
        <f t="shared" si="2"/>
        <v>0</v>
      </c>
      <c r="R24" s="93"/>
    </row>
    <row r="25" spans="1:18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7"/>
      <c r="G25" s="98">
        <v>0</v>
      </c>
      <c r="H25" s="98">
        <v>0</v>
      </c>
      <c r="I25" s="98">
        <v>0</v>
      </c>
      <c r="J25" s="38">
        <v>25131</v>
      </c>
      <c r="K25" s="39" t="s">
        <v>556</v>
      </c>
      <c r="L25" s="40">
        <v>3210</v>
      </c>
      <c r="M25" s="69"/>
      <c r="N25" s="70"/>
      <c r="O25" s="35">
        <f t="shared" si="0"/>
        <v>0</v>
      </c>
      <c r="P25" s="42">
        <f t="shared" si="1"/>
        <v>0</v>
      </c>
      <c r="Q25" s="36">
        <f t="shared" si="2"/>
        <v>0</v>
      </c>
    </row>
    <row r="26" spans="1:18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 t="s">
        <v>61</v>
      </c>
      <c r="F26" s="97" t="s">
        <v>35</v>
      </c>
      <c r="G26" s="98">
        <v>3000</v>
      </c>
      <c r="H26" s="98">
        <v>210</v>
      </c>
      <c r="I26" s="98">
        <v>3210</v>
      </c>
      <c r="J26" s="101" t="s">
        <v>557</v>
      </c>
      <c r="K26" s="102" t="s">
        <v>558</v>
      </c>
      <c r="L26" s="103">
        <v>6420</v>
      </c>
      <c r="M26" s="69"/>
      <c r="N26" s="70"/>
      <c r="O26" s="35">
        <f t="shared" si="0"/>
        <v>0</v>
      </c>
      <c r="P26" s="42">
        <f t="shared" si="1"/>
        <v>0</v>
      </c>
      <c r="Q26" s="36">
        <f t="shared" si="2"/>
        <v>0</v>
      </c>
      <c r="R26" s="93"/>
    </row>
    <row r="27" spans="1:18" s="60" customFormat="1" ht="22.5" customHeight="1" thickBot="1" x14ac:dyDescent="0.35">
      <c r="A27" s="48"/>
      <c r="B27" s="48" t="s">
        <v>15</v>
      </c>
      <c r="C27" s="49"/>
      <c r="D27" s="104">
        <f>SUM(D14:D26)</f>
        <v>71085.45</v>
      </c>
      <c r="E27" s="105"/>
      <c r="F27" s="56"/>
      <c r="G27" s="106">
        <f>SUM(G14:G26)</f>
        <v>33500</v>
      </c>
      <c r="H27" s="106">
        <f>SUM(H14:H26)</f>
        <v>2345</v>
      </c>
      <c r="I27" s="106">
        <f>SUM(I14:I26)</f>
        <v>35845</v>
      </c>
      <c r="J27" s="104"/>
      <c r="K27" s="104"/>
      <c r="L27" s="104">
        <f>SUM(L14:L26)</f>
        <v>97551.9</v>
      </c>
      <c r="M27" s="107"/>
      <c r="N27" s="108"/>
      <c r="O27" s="109">
        <f>SUM(O14:O26)</f>
        <v>8765</v>
      </c>
      <c r="P27" s="109">
        <f>SUM(P14:P26)</f>
        <v>613.55000000000007</v>
      </c>
      <c r="Q27" s="110">
        <f>SUM(Q14:Q26)</f>
        <v>9378.5500000000011</v>
      </c>
    </row>
    <row r="28" spans="1:18" ht="22.5" customHeight="1" thickTop="1" x14ac:dyDescent="0.3">
      <c r="A28" s="61"/>
      <c r="B28" s="62" t="s">
        <v>71</v>
      </c>
      <c r="C28" s="63"/>
      <c r="D28" s="64"/>
      <c r="E28" s="65"/>
      <c r="F28" s="66"/>
      <c r="G28" s="67"/>
      <c r="H28" s="67"/>
      <c r="I28" s="67"/>
      <c r="J28" s="68"/>
      <c r="K28" s="68"/>
      <c r="L28" s="64"/>
      <c r="M28" s="69"/>
      <c r="N28" s="70"/>
      <c r="O28" s="71"/>
      <c r="P28" s="71"/>
      <c r="Q28" s="72"/>
    </row>
    <row r="29" spans="1:18" ht="22.5" customHeight="1" x14ac:dyDescent="0.5">
      <c r="A29" s="23">
        <v>1</v>
      </c>
      <c r="B29" s="73" t="s">
        <v>72</v>
      </c>
      <c r="C29" s="25" t="s">
        <v>73</v>
      </c>
      <c r="D29" s="43">
        <v>4999.58</v>
      </c>
      <c r="E29" s="74"/>
      <c r="F29" s="77"/>
      <c r="G29" s="76">
        <v>0</v>
      </c>
      <c r="H29" s="76">
        <v>0</v>
      </c>
      <c r="I29" s="76">
        <v>0</v>
      </c>
      <c r="J29" s="38">
        <v>25142</v>
      </c>
      <c r="K29" s="39" t="s">
        <v>560</v>
      </c>
      <c r="L29" s="32">
        <v>4999.58</v>
      </c>
      <c r="M29" s="111"/>
      <c r="N29" s="112"/>
      <c r="O29" s="113">
        <v>0</v>
      </c>
      <c r="P29" s="114">
        <v>0</v>
      </c>
      <c r="Q29" s="36">
        <v>0</v>
      </c>
    </row>
    <row r="30" spans="1:18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97"/>
      <c r="G30" s="76">
        <v>0</v>
      </c>
      <c r="H30" s="76">
        <v>0</v>
      </c>
      <c r="I30" s="76">
        <v>0</v>
      </c>
      <c r="J30" s="101">
        <v>25134</v>
      </c>
      <c r="K30" s="102" t="s">
        <v>561</v>
      </c>
      <c r="L30" s="103">
        <v>14445</v>
      </c>
      <c r="M30" s="117"/>
      <c r="N30" s="118"/>
      <c r="O30" s="113">
        <v>0</v>
      </c>
      <c r="P30" s="114">
        <v>0</v>
      </c>
      <c r="Q30" s="36">
        <v>0</v>
      </c>
    </row>
    <row r="31" spans="1:18" s="60" customFormat="1" ht="22.5" customHeight="1" thickBot="1" x14ac:dyDescent="0.35">
      <c r="A31" s="48"/>
      <c r="B31" s="48" t="s">
        <v>15</v>
      </c>
      <c r="C31" s="49"/>
      <c r="D31" s="50">
        <f>SUM(D29:D30)</f>
        <v>19444.580000000002</v>
      </c>
      <c r="E31" s="50">
        <f t="shared" ref="E31:Q31" si="3">SUM(E29:E30)</f>
        <v>0</v>
      </c>
      <c r="F31" s="50">
        <f t="shared" si="3"/>
        <v>0</v>
      </c>
      <c r="G31" s="50">
        <f t="shared" si="3"/>
        <v>0</v>
      </c>
      <c r="H31" s="50">
        <f t="shared" si="3"/>
        <v>0</v>
      </c>
      <c r="I31" s="50">
        <f t="shared" si="3"/>
        <v>0</v>
      </c>
      <c r="J31" s="50"/>
      <c r="K31" s="50">
        <f t="shared" si="3"/>
        <v>0</v>
      </c>
      <c r="L31" s="50">
        <f t="shared" si="3"/>
        <v>19444.580000000002</v>
      </c>
      <c r="M31" s="50">
        <f t="shared" si="3"/>
        <v>0</v>
      </c>
      <c r="N31" s="50">
        <f t="shared" si="3"/>
        <v>0</v>
      </c>
      <c r="O31" s="50">
        <f t="shared" si="3"/>
        <v>0</v>
      </c>
      <c r="P31" s="50">
        <f t="shared" si="3"/>
        <v>0</v>
      </c>
      <c r="Q31" s="50">
        <f t="shared" si="3"/>
        <v>0</v>
      </c>
    </row>
    <row r="32" spans="1:18" ht="22.5" customHeight="1" thickTop="1" x14ac:dyDescent="0.3">
      <c r="A32" s="61"/>
      <c r="B32" s="121" t="s">
        <v>78</v>
      </c>
      <c r="C32" s="63"/>
      <c r="D32" s="64"/>
      <c r="E32" s="65"/>
      <c r="F32" s="66"/>
      <c r="G32" s="67"/>
      <c r="H32" s="67"/>
      <c r="I32" s="67"/>
      <c r="J32" s="68"/>
      <c r="K32" s="68"/>
      <c r="L32" s="64"/>
      <c r="M32" s="69"/>
      <c r="N32" s="70"/>
      <c r="O32" s="71"/>
      <c r="P32" s="71"/>
      <c r="Q32" s="72"/>
    </row>
    <row r="33" spans="1:41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 t="s">
        <v>61</v>
      </c>
      <c r="F33" s="126" t="s">
        <v>35</v>
      </c>
      <c r="G33" s="76">
        <v>5000</v>
      </c>
      <c r="H33" s="127">
        <v>350</v>
      </c>
      <c r="I33" s="76">
        <v>5350</v>
      </c>
      <c r="J33" s="38" t="s">
        <v>553</v>
      </c>
      <c r="K33" s="39" t="s">
        <v>562</v>
      </c>
      <c r="L33" s="40">
        <v>10700</v>
      </c>
      <c r="M33" s="128"/>
      <c r="N33" s="129"/>
      <c r="O33" s="113">
        <f>SUM(Q33-P33)</f>
        <v>0</v>
      </c>
      <c r="P33" s="114">
        <f>SUM(Q33*7/107)</f>
        <v>0</v>
      </c>
      <c r="Q33" s="36">
        <f>SUM(D33+I33-L33)</f>
        <v>0</v>
      </c>
      <c r="R33" s="130"/>
      <c r="S33" s="130"/>
      <c r="T33" s="131"/>
      <c r="U33" s="132"/>
      <c r="V33" s="131"/>
      <c r="W33" s="132"/>
      <c r="X33" s="132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</row>
    <row r="34" spans="1:41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6"/>
      <c r="G34" s="127">
        <v>0</v>
      </c>
      <c r="H34" s="127">
        <v>0</v>
      </c>
      <c r="I34" s="98">
        <v>0</v>
      </c>
      <c r="J34" s="38">
        <v>25132</v>
      </c>
      <c r="K34" s="39" t="s">
        <v>563</v>
      </c>
      <c r="L34" s="40">
        <v>5350</v>
      </c>
      <c r="M34" s="137"/>
      <c r="N34" s="137"/>
      <c r="O34" s="113">
        <v>0</v>
      </c>
      <c r="P34" s="114">
        <v>0</v>
      </c>
      <c r="Q34" s="36">
        <v>0</v>
      </c>
      <c r="R34" s="130"/>
      <c r="S34" s="130"/>
      <c r="T34" s="131"/>
      <c r="U34" s="132"/>
      <c r="V34" s="131"/>
      <c r="W34" s="132"/>
      <c r="X34" s="132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</row>
    <row r="35" spans="1:41" s="60" customFormat="1" ht="22.5" customHeight="1" thickBot="1" x14ac:dyDescent="0.35">
      <c r="A35" s="48"/>
      <c r="B35" s="48" t="s">
        <v>15</v>
      </c>
      <c r="C35" s="49"/>
      <c r="D35" s="109">
        <v>10700</v>
      </c>
      <c r="E35" s="105"/>
      <c r="F35" s="56"/>
      <c r="G35" s="109">
        <f>SUM(G33:G34)</f>
        <v>5000</v>
      </c>
      <c r="H35" s="109">
        <f>SUM(H33:H34)</f>
        <v>350</v>
      </c>
      <c r="I35" s="109">
        <f>SUM(I33:I34)</f>
        <v>5350</v>
      </c>
      <c r="J35" s="109"/>
      <c r="K35" s="109"/>
      <c r="L35" s="138">
        <f>SUM(L33:L34)</f>
        <v>16050</v>
      </c>
      <c r="M35" s="119"/>
      <c r="N35" s="108"/>
      <c r="O35" s="109">
        <f>SUM(O33:O34)</f>
        <v>0</v>
      </c>
      <c r="P35" s="109">
        <f>SUM(P33:P34)</f>
        <v>0</v>
      </c>
      <c r="Q35" s="138">
        <f>SUM(Q33:Q34)</f>
        <v>0</v>
      </c>
    </row>
    <row r="36" spans="1:41" ht="22.5" customHeight="1" thickTop="1" x14ac:dyDescent="0.3">
      <c r="A36" s="139"/>
      <c r="B36" s="140" t="s">
        <v>81</v>
      </c>
      <c r="C36" s="141"/>
      <c r="D36" s="91"/>
      <c r="E36" s="142"/>
      <c r="F36" s="92"/>
      <c r="G36" s="143"/>
      <c r="H36" s="143"/>
      <c r="I36" s="143"/>
      <c r="J36" s="68"/>
      <c r="K36" s="68"/>
      <c r="L36" s="64"/>
      <c r="M36" s="144"/>
      <c r="N36" s="145"/>
      <c r="O36" s="146"/>
      <c r="P36" s="146"/>
      <c r="Q36" s="147"/>
    </row>
    <row r="37" spans="1:41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2"/>
      <c r="G37" s="153">
        <v>0</v>
      </c>
      <c r="H37" s="153">
        <v>0</v>
      </c>
      <c r="I37" s="153">
        <v>0</v>
      </c>
      <c r="J37" s="30">
        <v>25125</v>
      </c>
      <c r="K37" s="31" t="s">
        <v>564</v>
      </c>
      <c r="L37" s="32">
        <v>6955</v>
      </c>
      <c r="M37" s="154"/>
      <c r="N37" s="155"/>
      <c r="O37" s="156">
        <v>0</v>
      </c>
      <c r="P37" s="156">
        <v>0</v>
      </c>
      <c r="Q37" s="157">
        <v>0</v>
      </c>
    </row>
    <row r="38" spans="1:41" s="60" customFormat="1" ht="22.5" customHeight="1" thickBot="1" x14ac:dyDescent="0.35">
      <c r="A38" s="158"/>
      <c r="B38" s="158" t="s">
        <v>15</v>
      </c>
      <c r="C38" s="159"/>
      <c r="D38" s="160">
        <v>6955</v>
      </c>
      <c r="E38" s="161"/>
      <c r="F38" s="161"/>
      <c r="G38" s="162">
        <f>SUM(G37)</f>
        <v>0</v>
      </c>
      <c r="H38" s="162">
        <f>SUM(H37)</f>
        <v>0</v>
      </c>
      <c r="I38" s="162">
        <f>SUM(I37)</f>
        <v>0</v>
      </c>
      <c r="J38" s="161"/>
      <c r="K38" s="161"/>
      <c r="L38" s="162">
        <f>SUM(L37)</f>
        <v>6955</v>
      </c>
      <c r="M38" s="158"/>
      <c r="N38" s="161"/>
      <c r="O38" s="162">
        <f>SUM(O37)</f>
        <v>0</v>
      </c>
      <c r="P38" s="162">
        <f>SUM(P37)</f>
        <v>0</v>
      </c>
      <c r="Q38" s="163">
        <f>SUM(Q37)</f>
        <v>0</v>
      </c>
    </row>
    <row r="39" spans="1:41" ht="22.5" customHeight="1" thickTop="1" x14ac:dyDescent="0.3">
      <c r="A39" s="115"/>
      <c r="B39" s="164" t="s">
        <v>85</v>
      </c>
      <c r="C39" s="165"/>
      <c r="D39" s="166"/>
      <c r="E39" s="167"/>
      <c r="F39" s="168"/>
      <c r="G39" s="169"/>
      <c r="H39" s="169"/>
      <c r="I39" s="169"/>
      <c r="J39" s="170"/>
      <c r="K39" s="170"/>
      <c r="L39" s="171"/>
      <c r="M39" s="117"/>
      <c r="N39" s="118"/>
      <c r="O39" s="172"/>
      <c r="P39" s="172"/>
      <c r="Q39" s="173"/>
    </row>
    <row r="40" spans="1:41" ht="22.5" customHeight="1" x14ac:dyDescent="0.3">
      <c r="A40" s="174">
        <v>1</v>
      </c>
      <c r="B40" s="175" t="s">
        <v>86</v>
      </c>
      <c r="C40" s="176" t="s">
        <v>87</v>
      </c>
      <c r="D40" s="177">
        <v>0</v>
      </c>
      <c r="E40" s="178"/>
      <c r="F40" s="179"/>
      <c r="G40" s="180">
        <v>0</v>
      </c>
      <c r="H40" s="180">
        <v>0</v>
      </c>
      <c r="I40" s="181">
        <v>0</v>
      </c>
      <c r="J40" s="182"/>
      <c r="K40" s="183"/>
      <c r="L40" s="184"/>
      <c r="M40" s="185"/>
      <c r="N40" s="186"/>
      <c r="O40" s="187">
        <v>0</v>
      </c>
      <c r="P40" s="187">
        <v>0</v>
      </c>
      <c r="Q40" s="188">
        <v>0</v>
      </c>
    </row>
    <row r="41" spans="1:41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92"/>
      <c r="G41" s="180">
        <v>0</v>
      </c>
      <c r="H41" s="180">
        <v>0</v>
      </c>
      <c r="I41" s="181">
        <v>0</v>
      </c>
      <c r="J41" s="38">
        <v>25131</v>
      </c>
      <c r="K41" s="39" t="s">
        <v>565</v>
      </c>
      <c r="L41" s="40">
        <v>3210</v>
      </c>
      <c r="M41" s="111"/>
      <c r="N41" s="193"/>
      <c r="O41" s="187">
        <v>0</v>
      </c>
      <c r="P41" s="187">
        <v>0</v>
      </c>
      <c r="Q41" s="188">
        <v>0</v>
      </c>
    </row>
    <row r="42" spans="1:41" s="60" customFormat="1" ht="22.5" customHeight="1" thickBot="1" x14ac:dyDescent="0.35">
      <c r="A42" s="194"/>
      <c r="B42" s="194" t="s">
        <v>15</v>
      </c>
      <c r="C42" s="195"/>
      <c r="D42" s="53">
        <f>SUM(D40:D41)</f>
        <v>3210</v>
      </c>
      <c r="E42" s="196"/>
      <c r="F42" s="197"/>
      <c r="G42" s="109">
        <f>SUM(G40:G41)</f>
        <v>0</v>
      </c>
      <c r="H42" s="109">
        <f>SUM(H40:H41)</f>
        <v>0</v>
      </c>
      <c r="I42" s="109">
        <f>SUM(I40:I41)</f>
        <v>0</v>
      </c>
      <c r="J42" s="198"/>
      <c r="K42" s="199"/>
      <c r="L42" s="200">
        <f>SUM(L40:L41)</f>
        <v>3210</v>
      </c>
      <c r="M42" s="201"/>
      <c r="N42" s="202"/>
      <c r="O42" s="162">
        <f>SUM(O40:O41)</f>
        <v>0</v>
      </c>
      <c r="P42" s="162">
        <f>SUM(P40:P41)</f>
        <v>0</v>
      </c>
      <c r="Q42" s="162">
        <f>SUM(Q40:Q41)</f>
        <v>0</v>
      </c>
      <c r="R42" s="59"/>
    </row>
    <row r="43" spans="1:41" ht="22.5" customHeight="1" thickTop="1" x14ac:dyDescent="0.3">
      <c r="A43" s="61"/>
      <c r="B43" s="62" t="s">
        <v>92</v>
      </c>
      <c r="C43" s="63"/>
      <c r="D43" s="64"/>
      <c r="E43" s="203"/>
      <c r="F43" s="204"/>
      <c r="G43" s="205"/>
      <c r="H43" s="205"/>
      <c r="I43" s="205"/>
      <c r="J43" s="68"/>
      <c r="K43" s="68"/>
      <c r="L43" s="64"/>
      <c r="M43" s="61"/>
      <c r="N43" s="204"/>
      <c r="O43" s="206"/>
      <c r="P43" s="206"/>
      <c r="Q43" s="207"/>
      <c r="R43" s="2"/>
    </row>
    <row r="44" spans="1:41" ht="22.5" customHeight="1" x14ac:dyDescent="0.5">
      <c r="A44" s="208">
        <v>1</v>
      </c>
      <c r="B44" s="209" t="s">
        <v>93</v>
      </c>
      <c r="C44" s="210" t="s">
        <v>43</v>
      </c>
      <c r="D44" s="211">
        <v>4729.3999999999996</v>
      </c>
      <c r="E44" s="212"/>
      <c r="F44" s="213"/>
      <c r="G44" s="214">
        <v>0</v>
      </c>
      <c r="H44" s="214">
        <v>0</v>
      </c>
      <c r="I44" s="214">
        <v>0</v>
      </c>
      <c r="J44" s="30">
        <v>25136</v>
      </c>
      <c r="K44" s="31" t="s">
        <v>570</v>
      </c>
      <c r="L44" s="32">
        <v>4729.3999999999996</v>
      </c>
      <c r="M44" s="215"/>
      <c r="N44" s="216"/>
      <c r="O44" s="113">
        <f>SUM(Q44-P44)</f>
        <v>0</v>
      </c>
      <c r="P44" s="113">
        <f>SUM(Q44*7/107)</f>
        <v>0</v>
      </c>
      <c r="Q44" s="217">
        <f>SUM(D44+I44-L44)</f>
        <v>0</v>
      </c>
      <c r="R44" s="218"/>
    </row>
    <row r="45" spans="1:41" ht="22.5" customHeight="1" x14ac:dyDescent="0.5">
      <c r="A45" s="208"/>
      <c r="B45" s="209" t="s">
        <v>95</v>
      </c>
      <c r="C45" s="210" t="s">
        <v>43</v>
      </c>
      <c r="D45" s="211">
        <v>6045.5</v>
      </c>
      <c r="E45" s="212"/>
      <c r="F45" s="213"/>
      <c r="G45" s="214">
        <v>0</v>
      </c>
      <c r="H45" s="214">
        <v>0</v>
      </c>
      <c r="I45" s="214">
        <v>0</v>
      </c>
      <c r="J45" s="30">
        <v>25136</v>
      </c>
      <c r="K45" s="31" t="s">
        <v>570</v>
      </c>
      <c r="L45" s="32">
        <v>6045.5</v>
      </c>
      <c r="M45" s="215"/>
      <c r="N45" s="216"/>
      <c r="O45" s="113">
        <f t="shared" ref="O45:O108" si="4">SUM(Q45-P45)</f>
        <v>0</v>
      </c>
      <c r="P45" s="113">
        <f t="shared" ref="P45:P108" si="5">SUM(Q45*7/107)</f>
        <v>0</v>
      </c>
      <c r="Q45" s="217">
        <f t="shared" ref="Q45:Q108" si="6">SUM(D45+I45-L45)</f>
        <v>0</v>
      </c>
      <c r="R45" s="218"/>
    </row>
    <row r="46" spans="1:41" ht="22.5" customHeight="1" x14ac:dyDescent="0.5">
      <c r="A46" s="208">
        <v>2</v>
      </c>
      <c r="B46" s="73" t="s">
        <v>96</v>
      </c>
      <c r="C46" s="25" t="s">
        <v>97</v>
      </c>
      <c r="D46" s="211">
        <v>3862.7</v>
      </c>
      <c r="E46" s="212">
        <v>25082</v>
      </c>
      <c r="F46" s="213" t="s">
        <v>35</v>
      </c>
      <c r="G46" s="219">
        <v>6839.9999999999973</v>
      </c>
      <c r="H46" s="214">
        <v>478.79999999999984</v>
      </c>
      <c r="I46" s="219">
        <v>7318.7999999999975</v>
      </c>
      <c r="J46" s="30">
        <v>25128</v>
      </c>
      <c r="K46" s="220" t="s">
        <v>571</v>
      </c>
      <c r="L46" s="221">
        <v>7318.8</v>
      </c>
      <c r="M46" s="215">
        <v>25112</v>
      </c>
      <c r="N46" s="216" t="s">
        <v>33</v>
      </c>
      <c r="O46" s="113">
        <f t="shared" si="4"/>
        <v>3609.9999999999964</v>
      </c>
      <c r="P46" s="113">
        <f t="shared" si="5"/>
        <v>252.69999999999973</v>
      </c>
      <c r="Q46" s="217">
        <f t="shared" si="6"/>
        <v>3862.6999999999962</v>
      </c>
      <c r="R46" s="2"/>
    </row>
    <row r="47" spans="1:41" ht="22.5" customHeight="1" x14ac:dyDescent="0.5">
      <c r="A47" s="208">
        <v>3</v>
      </c>
      <c r="B47" s="73" t="s">
        <v>99</v>
      </c>
      <c r="C47" s="25" t="s">
        <v>100</v>
      </c>
      <c r="D47" s="211">
        <v>3584.5</v>
      </c>
      <c r="E47" s="212"/>
      <c r="F47" s="213"/>
      <c r="G47" s="219">
        <v>-8.4999504838591423E-13</v>
      </c>
      <c r="H47" s="214">
        <v>-5.9499653387013991E-14</v>
      </c>
      <c r="I47" s="219">
        <v>-9.0949470177292824E-13</v>
      </c>
      <c r="J47" s="30">
        <v>25140</v>
      </c>
      <c r="K47" s="31" t="s">
        <v>572</v>
      </c>
      <c r="L47" s="32">
        <v>3584.5</v>
      </c>
      <c r="M47" s="215"/>
      <c r="N47" s="216"/>
      <c r="O47" s="113">
        <f t="shared" si="4"/>
        <v>-8.4999504838591423E-13</v>
      </c>
      <c r="P47" s="113">
        <f t="shared" si="5"/>
        <v>-5.9499653387013991E-14</v>
      </c>
      <c r="Q47" s="217">
        <f t="shared" si="6"/>
        <v>-9.0949470177292824E-13</v>
      </c>
      <c r="R47" s="2"/>
    </row>
    <row r="48" spans="1:41" ht="22.5" customHeight="1" x14ac:dyDescent="0.5">
      <c r="A48" s="208"/>
      <c r="B48" s="24" t="s">
        <v>102</v>
      </c>
      <c r="C48" s="222" t="s">
        <v>100</v>
      </c>
      <c r="D48" s="211">
        <v>203.3</v>
      </c>
      <c r="E48" s="212"/>
      <c r="F48" s="213"/>
      <c r="G48" s="219"/>
      <c r="H48" s="214"/>
      <c r="I48" s="219"/>
      <c r="J48" s="30">
        <v>25140</v>
      </c>
      <c r="K48" s="31" t="s">
        <v>572</v>
      </c>
      <c r="L48" s="32">
        <v>203.3</v>
      </c>
      <c r="M48" s="215"/>
      <c r="N48" s="216"/>
      <c r="O48" s="113">
        <f t="shared" si="4"/>
        <v>0</v>
      </c>
      <c r="P48" s="113">
        <f t="shared" si="5"/>
        <v>0</v>
      </c>
      <c r="Q48" s="217">
        <f t="shared" si="6"/>
        <v>0</v>
      </c>
      <c r="R48" s="2"/>
    </row>
    <row r="49" spans="1:18" ht="22.5" customHeight="1" x14ac:dyDescent="0.5">
      <c r="A49" s="208">
        <v>4</v>
      </c>
      <c r="B49" s="73" t="s">
        <v>103</v>
      </c>
      <c r="C49" s="25" t="s">
        <v>97</v>
      </c>
      <c r="D49" s="211">
        <v>3916.2</v>
      </c>
      <c r="E49" s="212">
        <v>25082</v>
      </c>
      <c r="F49" s="213" t="s">
        <v>35</v>
      </c>
      <c r="G49" s="219">
        <v>4460</v>
      </c>
      <c r="H49" s="214">
        <v>312.2</v>
      </c>
      <c r="I49" s="219">
        <v>4772.2</v>
      </c>
      <c r="J49" s="30" t="s">
        <v>549</v>
      </c>
      <c r="K49" s="31" t="s">
        <v>573</v>
      </c>
      <c r="L49" s="32">
        <v>8688.4</v>
      </c>
      <c r="M49" s="215"/>
      <c r="N49" s="216"/>
      <c r="O49" s="113">
        <f t="shared" si="4"/>
        <v>0</v>
      </c>
      <c r="P49" s="113">
        <f t="shared" si="5"/>
        <v>0</v>
      </c>
      <c r="Q49" s="217">
        <f t="shared" si="6"/>
        <v>0</v>
      </c>
      <c r="R49" s="2"/>
    </row>
    <row r="50" spans="1:18" ht="22.5" customHeight="1" x14ac:dyDescent="0.5">
      <c r="A50" s="208"/>
      <c r="B50" s="73" t="s">
        <v>104</v>
      </c>
      <c r="C50" s="25" t="s">
        <v>97</v>
      </c>
      <c r="D50" s="211">
        <v>12016.1</v>
      </c>
      <c r="E50" s="212">
        <v>25082</v>
      </c>
      <c r="F50" s="213" t="s">
        <v>35</v>
      </c>
      <c r="G50" s="219">
        <v>17290</v>
      </c>
      <c r="H50" s="214">
        <v>1210.3</v>
      </c>
      <c r="I50" s="219">
        <v>18500.3</v>
      </c>
      <c r="J50" s="30" t="s">
        <v>549</v>
      </c>
      <c r="K50" s="31" t="s">
        <v>573</v>
      </c>
      <c r="L50" s="32">
        <v>30516.400000000001</v>
      </c>
      <c r="M50" s="215"/>
      <c r="N50" s="216"/>
      <c r="O50" s="113">
        <f t="shared" si="4"/>
        <v>0</v>
      </c>
      <c r="P50" s="113">
        <f t="shared" si="5"/>
        <v>0</v>
      </c>
      <c r="Q50" s="217">
        <f t="shared" si="6"/>
        <v>0</v>
      </c>
      <c r="R50" s="2"/>
    </row>
    <row r="51" spans="1:18" ht="22.5" customHeight="1" x14ac:dyDescent="0.5">
      <c r="A51" s="208">
        <v>5</v>
      </c>
      <c r="B51" s="73" t="s">
        <v>105</v>
      </c>
      <c r="C51" s="25" t="s">
        <v>97</v>
      </c>
      <c r="D51" s="211">
        <v>13300.099999999999</v>
      </c>
      <c r="E51" s="212">
        <v>25082</v>
      </c>
      <c r="F51" s="213" t="s">
        <v>35</v>
      </c>
      <c r="G51" s="219">
        <v>13120</v>
      </c>
      <c r="H51" s="214">
        <v>918.4</v>
      </c>
      <c r="I51" s="219">
        <v>14038.4</v>
      </c>
      <c r="J51" s="30">
        <v>25113</v>
      </c>
      <c r="K51" s="31" t="s">
        <v>574</v>
      </c>
      <c r="L51" s="32">
        <v>14038.4</v>
      </c>
      <c r="M51" s="215">
        <v>25112</v>
      </c>
      <c r="N51" s="216" t="s">
        <v>33</v>
      </c>
      <c r="O51" s="113">
        <f t="shared" si="4"/>
        <v>12430</v>
      </c>
      <c r="P51" s="113">
        <f t="shared" si="5"/>
        <v>870.1</v>
      </c>
      <c r="Q51" s="217">
        <f t="shared" si="6"/>
        <v>13300.1</v>
      </c>
      <c r="R51" s="2"/>
    </row>
    <row r="52" spans="1:18" ht="22.5" customHeight="1" x14ac:dyDescent="0.5">
      <c r="A52" s="208">
        <v>6</v>
      </c>
      <c r="B52" s="73" t="s">
        <v>107</v>
      </c>
      <c r="C52" s="25" t="s">
        <v>97</v>
      </c>
      <c r="D52" s="211">
        <v>535</v>
      </c>
      <c r="E52" s="212">
        <v>25082</v>
      </c>
      <c r="F52" s="213" t="s">
        <v>35</v>
      </c>
      <c r="G52" s="219">
        <v>500</v>
      </c>
      <c r="H52" s="214">
        <v>35</v>
      </c>
      <c r="I52" s="219">
        <v>535</v>
      </c>
      <c r="J52" s="30">
        <v>25113</v>
      </c>
      <c r="K52" s="31" t="s">
        <v>575</v>
      </c>
      <c r="L52" s="32">
        <v>535</v>
      </c>
      <c r="M52" s="215">
        <v>25112</v>
      </c>
      <c r="N52" s="216" t="s">
        <v>33</v>
      </c>
      <c r="O52" s="113">
        <f t="shared" si="4"/>
        <v>500</v>
      </c>
      <c r="P52" s="113">
        <f t="shared" si="5"/>
        <v>35</v>
      </c>
      <c r="Q52" s="217">
        <f t="shared" si="6"/>
        <v>535</v>
      </c>
      <c r="R52" s="2"/>
    </row>
    <row r="53" spans="1:18" ht="22.5" customHeight="1" x14ac:dyDescent="0.5">
      <c r="A53" s="208">
        <v>7</v>
      </c>
      <c r="B53" s="209" t="s">
        <v>109</v>
      </c>
      <c r="C53" s="210" t="s">
        <v>97</v>
      </c>
      <c r="D53" s="211">
        <v>36594</v>
      </c>
      <c r="E53" s="212">
        <v>25082</v>
      </c>
      <c r="F53" s="213" t="s">
        <v>35</v>
      </c>
      <c r="G53" s="214">
        <v>34290</v>
      </c>
      <c r="H53" s="214">
        <v>2400.3000000000002</v>
      </c>
      <c r="I53" s="214">
        <v>36690.300000000003</v>
      </c>
      <c r="J53" s="30" t="s">
        <v>576</v>
      </c>
      <c r="K53" s="31" t="s">
        <v>577</v>
      </c>
      <c r="L53" s="32">
        <v>73284.3</v>
      </c>
      <c r="M53" s="215"/>
      <c r="N53" s="216"/>
      <c r="O53" s="113">
        <f t="shared" si="4"/>
        <v>0</v>
      </c>
      <c r="P53" s="113">
        <f t="shared" si="5"/>
        <v>0</v>
      </c>
      <c r="Q53" s="217">
        <f t="shared" si="6"/>
        <v>0</v>
      </c>
      <c r="R53" s="218"/>
    </row>
    <row r="54" spans="1:18" ht="22.5" customHeight="1" x14ac:dyDescent="0.5">
      <c r="A54" s="208">
        <v>8</v>
      </c>
      <c r="B54" s="73" t="s">
        <v>110</v>
      </c>
      <c r="C54" s="25" t="s">
        <v>87</v>
      </c>
      <c r="D54" s="211">
        <v>9469.5</v>
      </c>
      <c r="E54" s="212"/>
      <c r="F54" s="213"/>
      <c r="G54" s="219">
        <v>0</v>
      </c>
      <c r="H54" s="214">
        <v>0</v>
      </c>
      <c r="I54" s="219">
        <v>0</v>
      </c>
      <c r="J54" s="30"/>
      <c r="K54" s="31"/>
      <c r="L54" s="32"/>
      <c r="M54" s="215">
        <v>25112</v>
      </c>
      <c r="N54" s="216" t="s">
        <v>33</v>
      </c>
      <c r="O54" s="113">
        <f t="shared" si="4"/>
        <v>8850</v>
      </c>
      <c r="P54" s="113">
        <f t="shared" si="5"/>
        <v>619.5</v>
      </c>
      <c r="Q54" s="217">
        <f t="shared" si="6"/>
        <v>9469.5</v>
      </c>
      <c r="R54" s="2"/>
    </row>
    <row r="55" spans="1:18" ht="22.5" customHeight="1" x14ac:dyDescent="0.5">
      <c r="A55" s="208">
        <v>9</v>
      </c>
      <c r="B55" s="73" t="s">
        <v>112</v>
      </c>
      <c r="C55" s="25" t="s">
        <v>113</v>
      </c>
      <c r="D55" s="211">
        <v>1048.5999999999999</v>
      </c>
      <c r="E55" s="212" t="s">
        <v>114</v>
      </c>
      <c r="F55" s="213" t="s">
        <v>115</v>
      </c>
      <c r="G55" s="219">
        <v>6300</v>
      </c>
      <c r="H55" s="214">
        <v>441</v>
      </c>
      <c r="I55" s="219">
        <v>6741</v>
      </c>
      <c r="J55" s="30" t="s">
        <v>578</v>
      </c>
      <c r="K55" s="31" t="s">
        <v>579</v>
      </c>
      <c r="L55" s="32">
        <v>6741</v>
      </c>
      <c r="M55" s="215">
        <v>25112</v>
      </c>
      <c r="N55" s="216" t="s">
        <v>33</v>
      </c>
      <c r="O55" s="113">
        <f t="shared" si="4"/>
        <v>980.00000000000034</v>
      </c>
      <c r="P55" s="113">
        <f t="shared" si="5"/>
        <v>68.600000000000023</v>
      </c>
      <c r="Q55" s="217">
        <f t="shared" si="6"/>
        <v>1048.6000000000004</v>
      </c>
      <c r="R55" s="2"/>
    </row>
    <row r="56" spans="1:18" ht="22.5" customHeight="1" x14ac:dyDescent="0.5">
      <c r="A56" s="208"/>
      <c r="B56" s="73" t="s">
        <v>116</v>
      </c>
      <c r="C56" s="25" t="s">
        <v>113</v>
      </c>
      <c r="D56" s="211">
        <v>1059.3</v>
      </c>
      <c r="E56" s="212" t="s">
        <v>114</v>
      </c>
      <c r="F56" s="213" t="s">
        <v>115</v>
      </c>
      <c r="G56" s="219">
        <v>2930.0000000000018</v>
      </c>
      <c r="H56" s="214">
        <v>205.10000000000011</v>
      </c>
      <c r="I56" s="219">
        <v>3135.1000000000017</v>
      </c>
      <c r="J56" s="30">
        <v>25112</v>
      </c>
      <c r="K56" s="31" t="s">
        <v>579</v>
      </c>
      <c r="L56" s="32">
        <v>3135.1</v>
      </c>
      <c r="M56" s="215">
        <v>25112</v>
      </c>
      <c r="N56" s="216" t="s">
        <v>33</v>
      </c>
      <c r="O56" s="113">
        <f t="shared" si="4"/>
        <v>990.00000000000148</v>
      </c>
      <c r="P56" s="113">
        <f t="shared" si="5"/>
        <v>69.300000000000111</v>
      </c>
      <c r="Q56" s="217">
        <f t="shared" si="6"/>
        <v>1059.3000000000015</v>
      </c>
      <c r="R56" s="2"/>
    </row>
    <row r="57" spans="1:18" ht="22.5" customHeight="1" x14ac:dyDescent="0.5">
      <c r="A57" s="208">
        <v>10</v>
      </c>
      <c r="B57" s="73" t="s">
        <v>117</v>
      </c>
      <c r="C57" s="25" t="s">
        <v>118</v>
      </c>
      <c r="D57" s="211">
        <v>1786.9</v>
      </c>
      <c r="E57" s="212"/>
      <c r="F57" s="213"/>
      <c r="G57" s="219">
        <v>0</v>
      </c>
      <c r="H57" s="214">
        <v>0</v>
      </c>
      <c r="I57" s="219">
        <v>0</v>
      </c>
      <c r="J57" s="30">
        <v>25141</v>
      </c>
      <c r="K57" s="31" t="s">
        <v>580</v>
      </c>
      <c r="L57" s="32">
        <v>1786.9</v>
      </c>
      <c r="M57" s="215"/>
      <c r="N57" s="216"/>
      <c r="O57" s="113">
        <f t="shared" si="4"/>
        <v>0</v>
      </c>
      <c r="P57" s="113">
        <f t="shared" si="5"/>
        <v>0</v>
      </c>
      <c r="Q57" s="217">
        <f t="shared" si="6"/>
        <v>0</v>
      </c>
      <c r="R57" s="2"/>
    </row>
    <row r="58" spans="1:18" ht="22.5" customHeight="1" x14ac:dyDescent="0.5">
      <c r="A58" s="208"/>
      <c r="B58" s="73" t="s">
        <v>120</v>
      </c>
      <c r="C58" s="25" t="s">
        <v>118</v>
      </c>
      <c r="D58" s="211">
        <v>3028.1</v>
      </c>
      <c r="E58" s="212"/>
      <c r="F58" s="213"/>
      <c r="G58" s="219">
        <v>0</v>
      </c>
      <c r="H58" s="214">
        <v>0</v>
      </c>
      <c r="I58" s="219">
        <v>0</v>
      </c>
      <c r="J58" s="30">
        <v>25141</v>
      </c>
      <c r="K58" s="31" t="s">
        <v>580</v>
      </c>
      <c r="L58" s="32">
        <v>3028.1</v>
      </c>
      <c r="M58" s="215"/>
      <c r="N58" s="216"/>
      <c r="O58" s="113">
        <f t="shared" si="4"/>
        <v>0</v>
      </c>
      <c r="P58" s="113">
        <f t="shared" si="5"/>
        <v>0</v>
      </c>
      <c r="Q58" s="217">
        <f t="shared" si="6"/>
        <v>0</v>
      </c>
      <c r="R58" s="2"/>
    </row>
    <row r="59" spans="1:18" ht="22.5" customHeight="1" x14ac:dyDescent="0.5">
      <c r="A59" s="208">
        <v>11</v>
      </c>
      <c r="B59" s="73" t="s">
        <v>121</v>
      </c>
      <c r="C59" s="83" t="s">
        <v>122</v>
      </c>
      <c r="D59" s="211">
        <v>9052.2000000000007</v>
      </c>
      <c r="E59" s="212"/>
      <c r="F59" s="213"/>
      <c r="G59" s="219">
        <v>0</v>
      </c>
      <c r="H59" s="214">
        <v>0</v>
      </c>
      <c r="I59" s="219">
        <v>0</v>
      </c>
      <c r="J59" s="30">
        <v>25134</v>
      </c>
      <c r="K59" s="31" t="s">
        <v>581</v>
      </c>
      <c r="L59" s="32">
        <v>9052.2000000000007</v>
      </c>
      <c r="M59" s="215"/>
      <c r="N59" s="216"/>
      <c r="O59" s="113">
        <f t="shared" si="4"/>
        <v>0</v>
      </c>
      <c r="P59" s="113">
        <f t="shared" si="5"/>
        <v>0</v>
      </c>
      <c r="Q59" s="217">
        <f t="shared" si="6"/>
        <v>0</v>
      </c>
      <c r="R59" s="223"/>
    </row>
    <row r="60" spans="1:18" ht="22.5" customHeight="1" x14ac:dyDescent="0.5">
      <c r="A60" s="208"/>
      <c r="B60" s="73" t="s">
        <v>121</v>
      </c>
      <c r="C60" s="83" t="s">
        <v>122</v>
      </c>
      <c r="D60" s="211">
        <v>5350</v>
      </c>
      <c r="E60" s="212"/>
      <c r="F60" s="213"/>
      <c r="G60" s="219">
        <v>0</v>
      </c>
      <c r="H60" s="214">
        <v>0</v>
      </c>
      <c r="I60" s="219">
        <v>0</v>
      </c>
      <c r="J60" s="30">
        <v>25134</v>
      </c>
      <c r="K60" s="31" t="s">
        <v>581</v>
      </c>
      <c r="L60" s="32">
        <v>5350</v>
      </c>
      <c r="M60" s="215"/>
      <c r="N60" s="216"/>
      <c r="O60" s="113">
        <f t="shared" si="4"/>
        <v>0</v>
      </c>
      <c r="P60" s="113">
        <f t="shared" si="5"/>
        <v>0</v>
      </c>
      <c r="Q60" s="217">
        <f t="shared" si="6"/>
        <v>0</v>
      </c>
      <c r="R60" s="223"/>
    </row>
    <row r="61" spans="1:18" ht="22.5" customHeight="1" x14ac:dyDescent="0.5">
      <c r="A61" s="208">
        <v>12</v>
      </c>
      <c r="B61" s="73" t="s">
        <v>124</v>
      </c>
      <c r="C61" s="83" t="s">
        <v>125</v>
      </c>
      <c r="D61" s="211">
        <v>8517.2000000000007</v>
      </c>
      <c r="E61" s="212"/>
      <c r="F61" s="213"/>
      <c r="G61" s="219">
        <v>0</v>
      </c>
      <c r="H61" s="214">
        <v>0</v>
      </c>
      <c r="I61" s="219">
        <v>0</v>
      </c>
      <c r="J61" s="30">
        <v>25141</v>
      </c>
      <c r="K61" s="31" t="s">
        <v>582</v>
      </c>
      <c r="L61" s="32">
        <v>8517.2000000000007</v>
      </c>
      <c r="M61" s="215"/>
      <c r="N61" s="216"/>
      <c r="O61" s="113">
        <f t="shared" si="4"/>
        <v>0</v>
      </c>
      <c r="P61" s="113">
        <f t="shared" si="5"/>
        <v>0</v>
      </c>
      <c r="Q61" s="217">
        <f t="shared" si="6"/>
        <v>0</v>
      </c>
      <c r="R61" s="2"/>
    </row>
    <row r="62" spans="1:18" ht="22.5" customHeight="1" x14ac:dyDescent="0.5">
      <c r="A62" s="208">
        <v>13</v>
      </c>
      <c r="B62" s="78" t="s">
        <v>127</v>
      </c>
      <c r="C62" s="25" t="s">
        <v>128</v>
      </c>
      <c r="D62" s="211">
        <v>0</v>
      </c>
      <c r="E62" s="212"/>
      <c r="F62" s="213"/>
      <c r="G62" s="224">
        <v>0</v>
      </c>
      <c r="H62" s="214">
        <v>0</v>
      </c>
      <c r="I62" s="219">
        <v>0</v>
      </c>
      <c r="J62" s="38"/>
      <c r="K62" s="39"/>
      <c r="L62" s="40"/>
      <c r="M62" s="215"/>
      <c r="N62" s="216"/>
      <c r="O62" s="113">
        <f t="shared" si="4"/>
        <v>0</v>
      </c>
      <c r="P62" s="113">
        <f t="shared" si="5"/>
        <v>0</v>
      </c>
      <c r="Q62" s="217">
        <f t="shared" si="6"/>
        <v>0</v>
      </c>
      <c r="R62" s="2"/>
    </row>
    <row r="63" spans="1:18" ht="22.5" customHeight="1" x14ac:dyDescent="0.5">
      <c r="A63" s="208">
        <v>14</v>
      </c>
      <c r="B63" s="78" t="s">
        <v>129</v>
      </c>
      <c r="C63" s="210" t="s">
        <v>130</v>
      </c>
      <c r="D63" s="211">
        <v>10860.5</v>
      </c>
      <c r="E63" s="212">
        <v>25082</v>
      </c>
      <c r="F63" s="213" t="s">
        <v>35</v>
      </c>
      <c r="G63" s="224">
        <v>11879.999999999998</v>
      </c>
      <c r="H63" s="214">
        <v>831.5999999999998</v>
      </c>
      <c r="I63" s="219">
        <v>12711.599999999999</v>
      </c>
      <c r="J63" s="30">
        <v>25125</v>
      </c>
      <c r="K63" s="31" t="s">
        <v>583</v>
      </c>
      <c r="L63" s="32">
        <v>12711.6</v>
      </c>
      <c r="M63" s="215">
        <v>25112</v>
      </c>
      <c r="N63" s="216" t="s">
        <v>33</v>
      </c>
      <c r="O63" s="113">
        <f t="shared" si="4"/>
        <v>10149.999999999998</v>
      </c>
      <c r="P63" s="113">
        <f t="shared" si="5"/>
        <v>710.49999999999989</v>
      </c>
      <c r="Q63" s="217">
        <f t="shared" si="6"/>
        <v>10860.499999999998</v>
      </c>
      <c r="R63" s="2"/>
    </row>
    <row r="64" spans="1:18" ht="22.5" customHeight="1" x14ac:dyDescent="0.5">
      <c r="A64" s="208"/>
      <c r="B64" s="78" t="s">
        <v>132</v>
      </c>
      <c r="C64" s="210" t="s">
        <v>130</v>
      </c>
      <c r="D64" s="211">
        <v>28954.2</v>
      </c>
      <c r="E64" s="212">
        <v>25082</v>
      </c>
      <c r="F64" s="213" t="s">
        <v>35</v>
      </c>
      <c r="G64" s="224">
        <v>26909.999999999993</v>
      </c>
      <c r="H64" s="214">
        <v>1883.6999999999996</v>
      </c>
      <c r="I64" s="219">
        <v>28793.699999999993</v>
      </c>
      <c r="J64" s="30">
        <v>25125</v>
      </c>
      <c r="K64" s="31" t="s">
        <v>583</v>
      </c>
      <c r="L64" s="32">
        <v>7288.4</v>
      </c>
      <c r="M64" s="215">
        <v>25112</v>
      </c>
      <c r="N64" s="216" t="s">
        <v>33</v>
      </c>
      <c r="O64" s="113">
        <f t="shared" si="4"/>
        <v>47158.411214953267</v>
      </c>
      <c r="P64" s="113">
        <f t="shared" si="5"/>
        <v>3301.0887850467284</v>
      </c>
      <c r="Q64" s="217">
        <f t="shared" si="6"/>
        <v>50459.499999999993</v>
      </c>
      <c r="R64" s="2"/>
    </row>
    <row r="65" spans="1:18" ht="22.5" customHeight="1" x14ac:dyDescent="0.5">
      <c r="A65" s="208">
        <v>15</v>
      </c>
      <c r="B65" s="78" t="s">
        <v>134</v>
      </c>
      <c r="C65" s="165" t="s">
        <v>135</v>
      </c>
      <c r="D65" s="211">
        <v>5531.9</v>
      </c>
      <c r="E65" s="212">
        <v>25082</v>
      </c>
      <c r="F65" s="213" t="s">
        <v>35</v>
      </c>
      <c r="G65" s="224">
        <v>6030</v>
      </c>
      <c r="H65" s="214">
        <v>422.1</v>
      </c>
      <c r="I65" s="219">
        <v>6452.1</v>
      </c>
      <c r="J65" s="38">
        <v>25117</v>
      </c>
      <c r="K65" s="39" t="s">
        <v>584</v>
      </c>
      <c r="L65" s="40">
        <v>6452.1</v>
      </c>
      <c r="M65" s="215">
        <v>25112</v>
      </c>
      <c r="N65" s="216" t="s">
        <v>33</v>
      </c>
      <c r="O65" s="113">
        <f t="shared" si="4"/>
        <v>5170</v>
      </c>
      <c r="P65" s="113">
        <f t="shared" si="5"/>
        <v>361.9</v>
      </c>
      <c r="Q65" s="217">
        <f t="shared" si="6"/>
        <v>5531.9</v>
      </c>
      <c r="R65" s="2"/>
    </row>
    <row r="66" spans="1:18" s="229" customFormat="1" ht="22.5" customHeight="1" x14ac:dyDescent="0.5">
      <c r="A66" s="225">
        <v>16</v>
      </c>
      <c r="B66" s="226" t="s">
        <v>137</v>
      </c>
      <c r="C66" s="227"/>
      <c r="D66" s="211">
        <v>2610.8000000000002</v>
      </c>
      <c r="E66" s="212">
        <v>25082</v>
      </c>
      <c r="F66" s="228" t="s">
        <v>35</v>
      </c>
      <c r="G66" s="224">
        <v>2270.0000000000005</v>
      </c>
      <c r="H66" s="214">
        <v>158.90000000000003</v>
      </c>
      <c r="I66" s="224">
        <v>2428.9000000000005</v>
      </c>
      <c r="J66" s="38">
        <v>25117</v>
      </c>
      <c r="K66" s="39" t="s">
        <v>585</v>
      </c>
      <c r="L66" s="40">
        <v>2428.9</v>
      </c>
      <c r="M66" s="215">
        <v>25112</v>
      </c>
      <c r="N66" s="216" t="s">
        <v>33</v>
      </c>
      <c r="O66" s="113">
        <f t="shared" si="4"/>
        <v>2440.0000000000005</v>
      </c>
      <c r="P66" s="113">
        <f t="shared" si="5"/>
        <v>170.80000000000007</v>
      </c>
      <c r="Q66" s="217">
        <f t="shared" si="6"/>
        <v>2610.8000000000006</v>
      </c>
      <c r="R66" s="47"/>
    </row>
    <row r="67" spans="1:18" s="229" customFormat="1" ht="22.5" customHeight="1" x14ac:dyDescent="0.5">
      <c r="A67" s="225"/>
      <c r="B67" s="226" t="s">
        <v>139</v>
      </c>
      <c r="C67" s="227" t="s">
        <v>140</v>
      </c>
      <c r="D67" s="211">
        <v>0</v>
      </c>
      <c r="E67" s="230"/>
      <c r="F67" s="231"/>
      <c r="G67" s="232">
        <v>0</v>
      </c>
      <c r="H67" s="233">
        <v>0</v>
      </c>
      <c r="I67" s="232">
        <v>0</v>
      </c>
      <c r="J67" s="38"/>
      <c r="K67" s="39"/>
      <c r="L67" s="40"/>
      <c r="M67" s="215"/>
      <c r="N67" s="216"/>
      <c r="O67" s="113">
        <f t="shared" si="4"/>
        <v>0</v>
      </c>
      <c r="P67" s="113">
        <f t="shared" si="5"/>
        <v>0</v>
      </c>
      <c r="Q67" s="217">
        <f t="shared" si="6"/>
        <v>0</v>
      </c>
      <c r="R67" s="47"/>
    </row>
    <row r="68" spans="1:18" ht="22.5" customHeight="1" x14ac:dyDescent="0.5">
      <c r="A68" s="208">
        <v>17</v>
      </c>
      <c r="B68" s="78" t="s">
        <v>54</v>
      </c>
      <c r="C68" s="81" t="s">
        <v>55</v>
      </c>
      <c r="D68" s="211">
        <v>10389.700000000001</v>
      </c>
      <c r="E68" s="212">
        <v>25082</v>
      </c>
      <c r="F68" s="228" t="s">
        <v>35</v>
      </c>
      <c r="G68" s="224">
        <v>10340</v>
      </c>
      <c r="H68" s="214">
        <v>723.8</v>
      </c>
      <c r="I68" s="224">
        <v>11063.8</v>
      </c>
      <c r="J68" s="38"/>
      <c r="K68" s="39"/>
      <c r="L68" s="40"/>
      <c r="M68" s="215" t="s">
        <v>552</v>
      </c>
      <c r="N68" s="216" t="s">
        <v>115</v>
      </c>
      <c r="O68" s="113">
        <f t="shared" si="4"/>
        <v>20050</v>
      </c>
      <c r="P68" s="113">
        <f t="shared" si="5"/>
        <v>1403.5</v>
      </c>
      <c r="Q68" s="217">
        <f t="shared" si="6"/>
        <v>21453.5</v>
      </c>
      <c r="R68" s="2"/>
    </row>
    <row r="69" spans="1:18" ht="22.5" customHeight="1" x14ac:dyDescent="0.5">
      <c r="A69" s="208">
        <v>18</v>
      </c>
      <c r="B69" s="78" t="s">
        <v>141</v>
      </c>
      <c r="C69" s="81" t="s">
        <v>142</v>
      </c>
      <c r="D69" s="211">
        <v>4761.5</v>
      </c>
      <c r="E69" s="234"/>
      <c r="F69" s="228"/>
      <c r="G69" s="224">
        <v>0</v>
      </c>
      <c r="H69" s="214">
        <v>0</v>
      </c>
      <c r="I69" s="224">
        <v>0</v>
      </c>
      <c r="J69" s="38">
        <v>25138</v>
      </c>
      <c r="K69" s="39" t="s">
        <v>586</v>
      </c>
      <c r="L69" s="40">
        <v>4761.5</v>
      </c>
      <c r="M69" s="235"/>
      <c r="N69" s="236"/>
      <c r="O69" s="113">
        <f t="shared" si="4"/>
        <v>0</v>
      </c>
      <c r="P69" s="113">
        <f t="shared" si="5"/>
        <v>0</v>
      </c>
      <c r="Q69" s="217">
        <f t="shared" si="6"/>
        <v>0</v>
      </c>
      <c r="R69" s="2"/>
    </row>
    <row r="70" spans="1:18" ht="22.5" customHeight="1" x14ac:dyDescent="0.5">
      <c r="A70" s="208">
        <v>19</v>
      </c>
      <c r="B70" s="78" t="s">
        <v>144</v>
      </c>
      <c r="C70" s="81" t="s">
        <v>145</v>
      </c>
      <c r="D70" s="211">
        <v>963</v>
      </c>
      <c r="E70" s="212"/>
      <c r="F70" s="213"/>
      <c r="G70" s="224">
        <v>-4.2499752419295712E-13</v>
      </c>
      <c r="H70" s="214">
        <v>-2.9749826693506995E-14</v>
      </c>
      <c r="I70" s="224">
        <v>-4.5474735088646412E-13</v>
      </c>
      <c r="J70" s="38">
        <v>25142</v>
      </c>
      <c r="K70" s="39" t="s">
        <v>587</v>
      </c>
      <c r="L70" s="40">
        <v>963</v>
      </c>
      <c r="M70" s="215"/>
      <c r="N70" s="216"/>
      <c r="O70" s="113">
        <f t="shared" si="4"/>
        <v>-4.2499752419295712E-13</v>
      </c>
      <c r="P70" s="113">
        <f t="shared" si="5"/>
        <v>-2.9749826693506995E-14</v>
      </c>
      <c r="Q70" s="217">
        <f t="shared" si="6"/>
        <v>-4.5474735088646412E-13</v>
      </c>
      <c r="R70" s="2"/>
    </row>
    <row r="71" spans="1:18" ht="22.5" customHeight="1" x14ac:dyDescent="0.5">
      <c r="A71" s="208">
        <v>20</v>
      </c>
      <c r="B71" s="73" t="s">
        <v>147</v>
      </c>
      <c r="C71" s="25" t="s">
        <v>148</v>
      </c>
      <c r="D71" s="211">
        <v>0</v>
      </c>
      <c r="E71" s="234"/>
      <c r="F71" s="228"/>
      <c r="G71" s="224">
        <v>2.656234526205982E-14</v>
      </c>
      <c r="H71" s="214">
        <v>1.8593641683441872E-15</v>
      </c>
      <c r="I71" s="224">
        <v>2.8421709430404007E-14</v>
      </c>
      <c r="J71" s="38"/>
      <c r="K71" s="39"/>
      <c r="L71" s="40"/>
      <c r="M71" s="215"/>
      <c r="N71" s="216"/>
      <c r="O71" s="113">
        <f t="shared" si="4"/>
        <v>2.656234526205982E-14</v>
      </c>
      <c r="P71" s="113">
        <f t="shared" si="5"/>
        <v>1.8593641683441872E-15</v>
      </c>
      <c r="Q71" s="217">
        <f t="shared" si="6"/>
        <v>2.8421709430404007E-14</v>
      </c>
      <c r="R71" s="2"/>
    </row>
    <row r="72" spans="1:18" ht="22.5" customHeight="1" x14ac:dyDescent="0.5">
      <c r="A72" s="208">
        <v>21</v>
      </c>
      <c r="B72" s="237" t="s">
        <v>149</v>
      </c>
      <c r="C72" s="238" t="s">
        <v>150</v>
      </c>
      <c r="D72" s="211">
        <v>1123.5</v>
      </c>
      <c r="E72" s="234"/>
      <c r="F72" s="228"/>
      <c r="G72" s="224">
        <v>0</v>
      </c>
      <c r="H72" s="214">
        <v>0</v>
      </c>
      <c r="I72" s="224">
        <v>0</v>
      </c>
      <c r="J72" s="38">
        <v>25134</v>
      </c>
      <c r="K72" s="39" t="s">
        <v>588</v>
      </c>
      <c r="L72" s="40">
        <v>1123.5</v>
      </c>
      <c r="M72" s="239"/>
      <c r="N72" s="236"/>
      <c r="O72" s="113">
        <f t="shared" si="4"/>
        <v>0</v>
      </c>
      <c r="P72" s="113">
        <f t="shared" si="5"/>
        <v>0</v>
      </c>
      <c r="Q72" s="217">
        <f t="shared" si="6"/>
        <v>0</v>
      </c>
      <c r="R72" s="2"/>
    </row>
    <row r="73" spans="1:18" ht="22.5" customHeight="1" x14ac:dyDescent="0.5">
      <c r="A73" s="208">
        <v>22</v>
      </c>
      <c r="B73" s="240" t="s">
        <v>569</v>
      </c>
      <c r="C73" s="83" t="s">
        <v>153</v>
      </c>
      <c r="D73" s="211">
        <v>12850.7</v>
      </c>
      <c r="E73" s="234"/>
      <c r="F73" s="228"/>
      <c r="G73" s="224">
        <v>-3.3999801935436569E-12</v>
      </c>
      <c r="H73" s="214">
        <v>-2.3799861354805596E-13</v>
      </c>
      <c r="I73" s="224">
        <v>-3.637978807091713E-12</v>
      </c>
      <c r="J73" s="38">
        <v>25140</v>
      </c>
      <c r="K73" s="39" t="s">
        <v>589</v>
      </c>
      <c r="L73" s="40">
        <v>12850.7</v>
      </c>
      <c r="M73" s="215"/>
      <c r="N73" s="216"/>
      <c r="O73" s="113">
        <f t="shared" si="4"/>
        <v>-3.3999801935436569E-12</v>
      </c>
      <c r="P73" s="113">
        <f t="shared" si="5"/>
        <v>-2.3799861354805596E-13</v>
      </c>
      <c r="Q73" s="217">
        <f t="shared" si="6"/>
        <v>-3.637978807091713E-12</v>
      </c>
      <c r="R73" s="2"/>
    </row>
    <row r="74" spans="1:18" ht="22.5" customHeight="1" x14ac:dyDescent="0.5">
      <c r="A74" s="208"/>
      <c r="B74" s="240" t="s">
        <v>569</v>
      </c>
      <c r="C74" s="83"/>
      <c r="D74" s="211">
        <v>4387</v>
      </c>
      <c r="E74" s="234"/>
      <c r="F74" s="228"/>
      <c r="G74" s="224">
        <v>0</v>
      </c>
      <c r="H74" s="241">
        <v>0</v>
      </c>
      <c r="I74" s="224">
        <v>0</v>
      </c>
      <c r="J74" s="38">
        <v>25140</v>
      </c>
      <c r="K74" s="39" t="s">
        <v>589</v>
      </c>
      <c r="L74" s="40">
        <v>4387</v>
      </c>
      <c r="M74" s="215"/>
      <c r="N74" s="216"/>
      <c r="O74" s="113">
        <f t="shared" si="4"/>
        <v>0</v>
      </c>
      <c r="P74" s="113">
        <f t="shared" si="5"/>
        <v>0</v>
      </c>
      <c r="Q74" s="217">
        <f t="shared" si="6"/>
        <v>0</v>
      </c>
      <c r="R74" s="2"/>
    </row>
    <row r="75" spans="1:18" ht="22.5" customHeight="1" x14ac:dyDescent="0.5">
      <c r="A75" s="208">
        <v>23</v>
      </c>
      <c r="B75" s="240" t="s">
        <v>157</v>
      </c>
      <c r="C75" s="83" t="s">
        <v>158</v>
      </c>
      <c r="D75" s="211">
        <v>2375.4</v>
      </c>
      <c r="E75" s="234"/>
      <c r="F75" s="228"/>
      <c r="G75" s="224">
        <v>0</v>
      </c>
      <c r="H75" s="241">
        <v>0</v>
      </c>
      <c r="I75" s="224">
        <v>0</v>
      </c>
      <c r="J75" s="38">
        <v>25139</v>
      </c>
      <c r="K75" s="39" t="s">
        <v>590</v>
      </c>
      <c r="L75" s="40">
        <v>2375.4</v>
      </c>
      <c r="M75" s="239"/>
      <c r="N75" s="236"/>
      <c r="O75" s="113">
        <f t="shared" si="4"/>
        <v>0</v>
      </c>
      <c r="P75" s="113">
        <f t="shared" si="5"/>
        <v>0</v>
      </c>
      <c r="Q75" s="217">
        <f t="shared" si="6"/>
        <v>0</v>
      </c>
      <c r="R75" s="2"/>
    </row>
    <row r="76" spans="1:18" ht="22.5" customHeight="1" x14ac:dyDescent="0.5">
      <c r="A76" s="208">
        <v>24</v>
      </c>
      <c r="B76" s="240" t="s">
        <v>160</v>
      </c>
      <c r="C76" s="83" t="s">
        <v>161</v>
      </c>
      <c r="D76" s="211">
        <v>0</v>
      </c>
      <c r="E76" s="212"/>
      <c r="F76" s="228"/>
      <c r="G76" s="224">
        <v>0</v>
      </c>
      <c r="H76" s="241">
        <v>0</v>
      </c>
      <c r="I76" s="224">
        <v>0</v>
      </c>
      <c r="J76" s="38"/>
      <c r="K76" s="39"/>
      <c r="L76" s="40"/>
      <c r="M76" s="215"/>
      <c r="N76" s="216"/>
      <c r="O76" s="113">
        <f t="shared" si="4"/>
        <v>0</v>
      </c>
      <c r="P76" s="113">
        <f t="shared" si="5"/>
        <v>0</v>
      </c>
      <c r="Q76" s="217">
        <f t="shared" si="6"/>
        <v>0</v>
      </c>
      <c r="R76" s="2"/>
    </row>
    <row r="77" spans="1:18" ht="22.5" customHeight="1" x14ac:dyDescent="0.5">
      <c r="A77" s="208">
        <v>25</v>
      </c>
      <c r="B77" s="240" t="s">
        <v>162</v>
      </c>
      <c r="C77" s="83" t="s">
        <v>163</v>
      </c>
      <c r="D77" s="211">
        <v>2236.3000000000002</v>
      </c>
      <c r="E77" s="212">
        <v>25082</v>
      </c>
      <c r="F77" s="228" t="s">
        <v>35</v>
      </c>
      <c r="G77" s="224">
        <v>3149.9999999999973</v>
      </c>
      <c r="H77" s="241">
        <v>220.49999999999983</v>
      </c>
      <c r="I77" s="224">
        <v>3370.4999999999973</v>
      </c>
      <c r="J77" s="38">
        <v>25125</v>
      </c>
      <c r="K77" s="39" t="s">
        <v>591</v>
      </c>
      <c r="L77" s="40">
        <v>3370.5</v>
      </c>
      <c r="M77" s="215">
        <v>25112</v>
      </c>
      <c r="N77" s="216" t="s">
        <v>33</v>
      </c>
      <c r="O77" s="113">
        <f t="shared" si="4"/>
        <v>2089.9999999999977</v>
      </c>
      <c r="P77" s="113">
        <f t="shared" si="5"/>
        <v>146.29999999999984</v>
      </c>
      <c r="Q77" s="217">
        <f t="shared" si="6"/>
        <v>2236.2999999999975</v>
      </c>
      <c r="R77" s="2"/>
    </row>
    <row r="78" spans="1:18" ht="22.5" customHeight="1" x14ac:dyDescent="0.5">
      <c r="A78" s="208">
        <v>26</v>
      </c>
      <c r="B78" s="209" t="s">
        <v>165</v>
      </c>
      <c r="C78" s="210" t="s">
        <v>166</v>
      </c>
      <c r="D78" s="211">
        <v>96.3</v>
      </c>
      <c r="E78" s="212">
        <v>25082</v>
      </c>
      <c r="F78" s="213" t="s">
        <v>35</v>
      </c>
      <c r="G78" s="219">
        <v>190.00000000000037</v>
      </c>
      <c r="H78" s="214">
        <v>13.300000000000024</v>
      </c>
      <c r="I78" s="219">
        <v>203.30000000000038</v>
      </c>
      <c r="J78" s="38">
        <v>25118</v>
      </c>
      <c r="K78" s="39" t="s">
        <v>592</v>
      </c>
      <c r="L78" s="40">
        <v>203.3</v>
      </c>
      <c r="M78" s="215">
        <v>25112</v>
      </c>
      <c r="N78" s="216" t="s">
        <v>33</v>
      </c>
      <c r="O78" s="113">
        <f t="shared" si="4"/>
        <v>90.000000000000327</v>
      </c>
      <c r="P78" s="113">
        <f t="shared" si="5"/>
        <v>6.3000000000000229</v>
      </c>
      <c r="Q78" s="217">
        <f t="shared" si="6"/>
        <v>96.300000000000352</v>
      </c>
      <c r="R78" s="2"/>
    </row>
    <row r="79" spans="1:18" ht="22.5" customHeight="1" x14ac:dyDescent="0.5">
      <c r="A79" s="242">
        <v>27</v>
      </c>
      <c r="B79" s="243" t="s">
        <v>168</v>
      </c>
      <c r="C79" s="244" t="s">
        <v>169</v>
      </c>
      <c r="D79" s="211">
        <v>0</v>
      </c>
      <c r="E79" s="212" t="s">
        <v>170</v>
      </c>
      <c r="F79" s="213" t="s">
        <v>115</v>
      </c>
      <c r="G79" s="219">
        <v>10630.000000000002</v>
      </c>
      <c r="H79" s="214">
        <v>744.10000000000014</v>
      </c>
      <c r="I79" s="219">
        <v>11374.100000000002</v>
      </c>
      <c r="J79" s="30"/>
      <c r="K79" s="31"/>
      <c r="L79" s="32"/>
      <c r="M79" s="215" t="s">
        <v>170</v>
      </c>
      <c r="N79" s="216" t="s">
        <v>115</v>
      </c>
      <c r="O79" s="113">
        <f t="shared" si="4"/>
        <v>10630.000000000002</v>
      </c>
      <c r="P79" s="113">
        <f t="shared" si="5"/>
        <v>744.10000000000014</v>
      </c>
      <c r="Q79" s="217">
        <f t="shared" si="6"/>
        <v>11374.100000000002</v>
      </c>
      <c r="R79" s="2"/>
    </row>
    <row r="80" spans="1:18" ht="22.5" customHeight="1" x14ac:dyDescent="0.5">
      <c r="A80" s="208">
        <v>28</v>
      </c>
      <c r="B80" s="209" t="s">
        <v>171</v>
      </c>
      <c r="C80" s="210"/>
      <c r="D80" s="211">
        <v>502.9</v>
      </c>
      <c r="E80" s="212"/>
      <c r="F80" s="213"/>
      <c r="G80" s="219">
        <v>0</v>
      </c>
      <c r="H80" s="214">
        <v>0</v>
      </c>
      <c r="I80" s="219">
        <v>0</v>
      </c>
      <c r="J80" s="38">
        <v>25133</v>
      </c>
      <c r="K80" s="39" t="s">
        <v>593</v>
      </c>
      <c r="L80" s="40">
        <v>502.9</v>
      </c>
      <c r="M80" s="239"/>
      <c r="N80" s="236"/>
      <c r="O80" s="113">
        <f t="shared" si="4"/>
        <v>0</v>
      </c>
      <c r="P80" s="113">
        <f t="shared" si="5"/>
        <v>0</v>
      </c>
      <c r="Q80" s="217">
        <f t="shared" si="6"/>
        <v>0</v>
      </c>
      <c r="R80" s="2"/>
    </row>
    <row r="81" spans="1:18" ht="22.5" customHeight="1" x14ac:dyDescent="0.5">
      <c r="A81" s="208">
        <v>29</v>
      </c>
      <c r="B81" s="209" t="s">
        <v>173</v>
      </c>
      <c r="C81" s="210" t="s">
        <v>174</v>
      </c>
      <c r="D81" s="211">
        <v>0</v>
      </c>
      <c r="E81" s="212"/>
      <c r="F81" s="213"/>
      <c r="G81" s="219">
        <v>0</v>
      </c>
      <c r="H81" s="214">
        <v>0</v>
      </c>
      <c r="I81" s="219">
        <v>0</v>
      </c>
      <c r="J81" s="38"/>
      <c r="K81" s="39"/>
      <c r="L81" s="40"/>
      <c r="M81" s="215"/>
      <c r="N81" s="216"/>
      <c r="O81" s="113">
        <f t="shared" si="4"/>
        <v>0</v>
      </c>
      <c r="P81" s="113">
        <f t="shared" si="5"/>
        <v>0</v>
      </c>
      <c r="Q81" s="217">
        <f t="shared" si="6"/>
        <v>0</v>
      </c>
      <c r="R81" s="2"/>
    </row>
    <row r="82" spans="1:18" ht="22.5" customHeight="1" x14ac:dyDescent="0.5">
      <c r="A82" s="208">
        <v>30</v>
      </c>
      <c r="B82" s="209" t="s">
        <v>175</v>
      </c>
      <c r="C82" s="210" t="s">
        <v>176</v>
      </c>
      <c r="D82" s="211">
        <v>609.9</v>
      </c>
      <c r="E82" s="212"/>
      <c r="F82" s="213"/>
      <c r="G82" s="219">
        <v>-8.4999504838591423E-13</v>
      </c>
      <c r="H82" s="214">
        <v>-5.9499653387013991E-14</v>
      </c>
      <c r="I82" s="219">
        <v>-9.0949470177292824E-13</v>
      </c>
      <c r="J82" s="30"/>
      <c r="K82" s="31"/>
      <c r="L82" s="32"/>
      <c r="M82" s="215">
        <v>25112</v>
      </c>
      <c r="N82" s="216" t="s">
        <v>33</v>
      </c>
      <c r="O82" s="113">
        <f t="shared" si="4"/>
        <v>569.99999999999909</v>
      </c>
      <c r="P82" s="113">
        <f t="shared" si="5"/>
        <v>39.899999999999942</v>
      </c>
      <c r="Q82" s="217">
        <f t="shared" si="6"/>
        <v>609.89999999999907</v>
      </c>
      <c r="R82" s="2"/>
    </row>
    <row r="83" spans="1:18" ht="22.5" customHeight="1" x14ac:dyDescent="0.5">
      <c r="A83" s="208">
        <v>31</v>
      </c>
      <c r="B83" s="209" t="s">
        <v>178</v>
      </c>
      <c r="C83" s="210" t="s">
        <v>179</v>
      </c>
      <c r="D83" s="211">
        <v>1348.2</v>
      </c>
      <c r="E83" s="212"/>
      <c r="F83" s="213"/>
      <c r="G83" s="219">
        <v>0</v>
      </c>
      <c r="H83" s="214">
        <v>0</v>
      </c>
      <c r="I83" s="219">
        <v>0</v>
      </c>
      <c r="J83" s="38">
        <v>25138</v>
      </c>
      <c r="K83" s="39" t="s">
        <v>594</v>
      </c>
      <c r="L83" s="40">
        <v>1348.2</v>
      </c>
      <c r="M83" s="215"/>
      <c r="N83" s="216"/>
      <c r="O83" s="113">
        <f t="shared" si="4"/>
        <v>0</v>
      </c>
      <c r="P83" s="113">
        <f t="shared" si="5"/>
        <v>0</v>
      </c>
      <c r="Q83" s="217">
        <f t="shared" si="6"/>
        <v>0</v>
      </c>
      <c r="R83" s="2"/>
    </row>
    <row r="84" spans="1:18" ht="22.5" customHeight="1" x14ac:dyDescent="0.5">
      <c r="A84" s="208">
        <v>32</v>
      </c>
      <c r="B84" s="209" t="s">
        <v>181</v>
      </c>
      <c r="C84" s="210" t="s">
        <v>182</v>
      </c>
      <c r="D84" s="211">
        <v>749</v>
      </c>
      <c r="E84" s="212"/>
      <c r="F84" s="213"/>
      <c r="G84" s="219">
        <v>0</v>
      </c>
      <c r="H84" s="214">
        <v>0</v>
      </c>
      <c r="I84" s="219">
        <v>0</v>
      </c>
      <c r="J84" s="38"/>
      <c r="K84" s="39"/>
      <c r="L84" s="40"/>
      <c r="M84" s="215">
        <v>25112</v>
      </c>
      <c r="N84" s="216" t="s">
        <v>33</v>
      </c>
      <c r="O84" s="113">
        <f t="shared" si="4"/>
        <v>700</v>
      </c>
      <c r="P84" s="113">
        <f t="shared" si="5"/>
        <v>49</v>
      </c>
      <c r="Q84" s="217">
        <f t="shared" si="6"/>
        <v>749</v>
      </c>
      <c r="R84" s="2"/>
    </row>
    <row r="85" spans="1:18" ht="22.5" customHeight="1" x14ac:dyDescent="0.5">
      <c r="A85" s="208">
        <v>33</v>
      </c>
      <c r="B85" s="209" t="s">
        <v>64</v>
      </c>
      <c r="C85" s="210" t="s">
        <v>184</v>
      </c>
      <c r="D85" s="211">
        <v>2289.8000000000002</v>
      </c>
      <c r="E85" s="212"/>
      <c r="F85" s="213"/>
      <c r="G85" s="219">
        <v>0</v>
      </c>
      <c r="H85" s="214">
        <v>0</v>
      </c>
      <c r="I85" s="219">
        <v>0</v>
      </c>
      <c r="J85" s="38">
        <v>25132</v>
      </c>
      <c r="K85" s="245" t="s">
        <v>595</v>
      </c>
      <c r="L85" s="246">
        <v>2289.8000000000002</v>
      </c>
      <c r="M85" s="215"/>
      <c r="N85" s="216"/>
      <c r="O85" s="113">
        <f t="shared" si="4"/>
        <v>0</v>
      </c>
      <c r="P85" s="113">
        <f t="shared" si="5"/>
        <v>0</v>
      </c>
      <c r="Q85" s="217">
        <f t="shared" si="6"/>
        <v>0</v>
      </c>
      <c r="R85" s="2"/>
    </row>
    <row r="86" spans="1:18" ht="22.5" customHeight="1" x14ac:dyDescent="0.5">
      <c r="A86" s="208"/>
      <c r="B86" s="209" t="s">
        <v>64</v>
      </c>
      <c r="C86" s="210" t="s">
        <v>184</v>
      </c>
      <c r="D86" s="211">
        <v>3424</v>
      </c>
      <c r="E86" s="212"/>
      <c r="F86" s="213"/>
      <c r="G86" s="219">
        <v>0</v>
      </c>
      <c r="H86" s="214">
        <v>0</v>
      </c>
      <c r="I86" s="219">
        <v>0</v>
      </c>
      <c r="J86" s="38">
        <v>25132</v>
      </c>
      <c r="K86" s="245" t="s">
        <v>595</v>
      </c>
      <c r="L86" s="246">
        <v>3424</v>
      </c>
      <c r="M86" s="215"/>
      <c r="N86" s="216"/>
      <c r="O86" s="113">
        <f t="shared" si="4"/>
        <v>0</v>
      </c>
      <c r="P86" s="113">
        <f t="shared" si="5"/>
        <v>0</v>
      </c>
      <c r="Q86" s="217">
        <f t="shared" si="6"/>
        <v>0</v>
      </c>
      <c r="R86" s="2"/>
    </row>
    <row r="87" spans="1:18" ht="22.5" customHeight="1" x14ac:dyDescent="0.5">
      <c r="A87" s="208">
        <v>34</v>
      </c>
      <c r="B87" s="209" t="s">
        <v>186</v>
      </c>
      <c r="C87" s="210" t="s">
        <v>187</v>
      </c>
      <c r="D87" s="211">
        <v>1316.1</v>
      </c>
      <c r="E87" s="212"/>
      <c r="F87" s="213"/>
      <c r="G87" s="219">
        <v>0</v>
      </c>
      <c r="H87" s="214">
        <v>0</v>
      </c>
      <c r="I87" s="219">
        <v>0</v>
      </c>
      <c r="J87" s="38">
        <v>25138</v>
      </c>
      <c r="K87" s="39" t="s">
        <v>596</v>
      </c>
      <c r="L87" s="246">
        <v>1316.1</v>
      </c>
      <c r="M87" s="247"/>
      <c r="N87" s="248"/>
      <c r="O87" s="113">
        <f t="shared" si="4"/>
        <v>0</v>
      </c>
      <c r="P87" s="113">
        <f t="shared" si="5"/>
        <v>0</v>
      </c>
      <c r="Q87" s="217">
        <f t="shared" si="6"/>
        <v>0</v>
      </c>
      <c r="R87" s="2"/>
    </row>
    <row r="88" spans="1:18" ht="22.5" customHeight="1" x14ac:dyDescent="0.5">
      <c r="A88" s="208">
        <v>35</v>
      </c>
      <c r="B88" s="209" t="s">
        <v>189</v>
      </c>
      <c r="C88" s="210" t="s">
        <v>190</v>
      </c>
      <c r="D88" s="211">
        <v>0</v>
      </c>
      <c r="E88" s="212"/>
      <c r="F88" s="213"/>
      <c r="G88" s="219">
        <v>0</v>
      </c>
      <c r="H88" s="214">
        <v>0</v>
      </c>
      <c r="I88" s="219">
        <v>0</v>
      </c>
      <c r="J88" s="38"/>
      <c r="K88" s="39"/>
      <c r="L88" s="246"/>
      <c r="M88" s="215"/>
      <c r="N88" s="216"/>
      <c r="O88" s="113">
        <f t="shared" si="4"/>
        <v>0</v>
      </c>
      <c r="P88" s="113">
        <f t="shared" si="5"/>
        <v>0</v>
      </c>
      <c r="Q88" s="217">
        <f t="shared" si="6"/>
        <v>0</v>
      </c>
      <c r="R88" s="2"/>
    </row>
    <row r="89" spans="1:18" ht="22.5" customHeight="1" x14ac:dyDescent="0.5">
      <c r="A89" s="208"/>
      <c r="B89" s="209" t="s">
        <v>191</v>
      </c>
      <c r="C89" s="210" t="s">
        <v>190</v>
      </c>
      <c r="D89" s="211">
        <v>8613.5</v>
      </c>
      <c r="E89" s="212">
        <v>25082</v>
      </c>
      <c r="F89" s="213" t="s">
        <v>35</v>
      </c>
      <c r="G89" s="219">
        <v>7240.0000000000009</v>
      </c>
      <c r="H89" s="214">
        <v>506.80000000000007</v>
      </c>
      <c r="I89" s="219">
        <v>7746.8000000000011</v>
      </c>
      <c r="J89" s="38">
        <v>25125</v>
      </c>
      <c r="K89" s="39" t="s">
        <v>597</v>
      </c>
      <c r="L89" s="246">
        <v>7746.8</v>
      </c>
      <c r="M89" s="215">
        <v>25112</v>
      </c>
      <c r="N89" s="216" t="s">
        <v>33</v>
      </c>
      <c r="O89" s="113">
        <f t="shared" si="4"/>
        <v>8050</v>
      </c>
      <c r="P89" s="113">
        <f t="shared" si="5"/>
        <v>563.5</v>
      </c>
      <c r="Q89" s="217">
        <f t="shared" si="6"/>
        <v>8613.5</v>
      </c>
      <c r="R89" s="2"/>
    </row>
    <row r="90" spans="1:18" ht="22.5" customHeight="1" x14ac:dyDescent="0.5">
      <c r="A90" s="208">
        <v>36</v>
      </c>
      <c r="B90" s="209" t="s">
        <v>193</v>
      </c>
      <c r="C90" s="210" t="s">
        <v>194</v>
      </c>
      <c r="D90" s="211">
        <v>2321.9</v>
      </c>
      <c r="E90" s="212">
        <v>25082</v>
      </c>
      <c r="F90" s="213" t="s">
        <v>35</v>
      </c>
      <c r="G90" s="219">
        <v>2150</v>
      </c>
      <c r="H90" s="214">
        <v>150.5</v>
      </c>
      <c r="I90" s="219">
        <v>2300.5</v>
      </c>
      <c r="J90" s="38">
        <v>25112</v>
      </c>
      <c r="K90" s="39" t="s">
        <v>598</v>
      </c>
      <c r="L90" s="246">
        <v>2300.5</v>
      </c>
      <c r="M90" s="215">
        <v>25112</v>
      </c>
      <c r="N90" s="216" t="s">
        <v>33</v>
      </c>
      <c r="O90" s="113">
        <f t="shared" si="4"/>
        <v>2169.9999999999995</v>
      </c>
      <c r="P90" s="113">
        <f t="shared" si="5"/>
        <v>151.89999999999998</v>
      </c>
      <c r="Q90" s="217">
        <f t="shared" si="6"/>
        <v>2321.8999999999996</v>
      </c>
      <c r="R90" s="2"/>
    </row>
    <row r="91" spans="1:18" ht="22.5" customHeight="1" x14ac:dyDescent="0.5">
      <c r="A91" s="208">
        <v>37</v>
      </c>
      <c r="B91" s="209" t="s">
        <v>195</v>
      </c>
      <c r="C91" s="210" t="s">
        <v>196</v>
      </c>
      <c r="D91" s="211">
        <v>652.70000000000005</v>
      </c>
      <c r="E91" s="212"/>
      <c r="F91" s="213"/>
      <c r="G91" s="219">
        <v>0</v>
      </c>
      <c r="H91" s="214">
        <v>0</v>
      </c>
      <c r="I91" s="219">
        <v>0</v>
      </c>
      <c r="J91" s="38">
        <v>25132</v>
      </c>
      <c r="K91" s="245" t="s">
        <v>599</v>
      </c>
      <c r="L91" s="246">
        <v>652.70000000000005</v>
      </c>
      <c r="M91" s="247"/>
      <c r="N91" s="248"/>
      <c r="O91" s="113">
        <f t="shared" si="4"/>
        <v>0</v>
      </c>
      <c r="P91" s="113">
        <f t="shared" si="5"/>
        <v>0</v>
      </c>
      <c r="Q91" s="217">
        <f t="shared" si="6"/>
        <v>0</v>
      </c>
      <c r="R91" s="2"/>
    </row>
    <row r="92" spans="1:18" ht="22.5" customHeight="1" x14ac:dyDescent="0.5">
      <c r="A92" s="208">
        <v>38</v>
      </c>
      <c r="B92" s="209" t="s">
        <v>198</v>
      </c>
      <c r="C92" s="210" t="s">
        <v>46</v>
      </c>
      <c r="D92" s="211">
        <v>374.5</v>
      </c>
      <c r="E92" s="212">
        <v>25082</v>
      </c>
      <c r="F92" s="213" t="s">
        <v>35</v>
      </c>
      <c r="G92" s="219">
        <v>849.99999999999932</v>
      </c>
      <c r="H92" s="214">
        <v>59.499999999999957</v>
      </c>
      <c r="I92" s="219">
        <v>909.49999999999932</v>
      </c>
      <c r="J92" s="38">
        <v>25121</v>
      </c>
      <c r="K92" s="245" t="s">
        <v>600</v>
      </c>
      <c r="L92" s="246">
        <v>909.5</v>
      </c>
      <c r="M92" s="215">
        <v>25112</v>
      </c>
      <c r="N92" s="216" t="s">
        <v>33</v>
      </c>
      <c r="O92" s="113">
        <f t="shared" si="4"/>
        <v>349.99999999999937</v>
      </c>
      <c r="P92" s="113">
        <f t="shared" si="5"/>
        <v>24.499999999999957</v>
      </c>
      <c r="Q92" s="217">
        <f t="shared" si="6"/>
        <v>374.49999999999932</v>
      </c>
      <c r="R92" s="2"/>
    </row>
    <row r="93" spans="1:18" ht="22.5" customHeight="1" x14ac:dyDescent="0.5">
      <c r="A93" s="208"/>
      <c r="B93" s="209" t="s">
        <v>198</v>
      </c>
      <c r="C93" s="210" t="s">
        <v>567</v>
      </c>
      <c r="D93" s="211">
        <v>973.7</v>
      </c>
      <c r="E93" s="212"/>
      <c r="F93" s="213"/>
      <c r="G93" s="219"/>
      <c r="H93" s="214"/>
      <c r="I93" s="219"/>
      <c r="J93" s="38"/>
      <c r="K93" s="245"/>
      <c r="L93" s="246"/>
      <c r="M93" s="215">
        <v>25112</v>
      </c>
      <c r="N93" s="216" t="s">
        <v>33</v>
      </c>
      <c r="O93" s="113">
        <f t="shared" si="4"/>
        <v>910</v>
      </c>
      <c r="P93" s="113">
        <f t="shared" si="5"/>
        <v>63.7</v>
      </c>
      <c r="Q93" s="217">
        <f t="shared" si="6"/>
        <v>973.7</v>
      </c>
      <c r="R93" s="2"/>
    </row>
    <row r="94" spans="1:18" ht="22.5" customHeight="1" x14ac:dyDescent="0.5">
      <c r="A94" s="208">
        <v>39</v>
      </c>
      <c r="B94" s="209" t="s">
        <v>200</v>
      </c>
      <c r="C94" s="210" t="s">
        <v>201</v>
      </c>
      <c r="D94" s="211">
        <v>5114.6000000000004</v>
      </c>
      <c r="E94" s="212">
        <v>25082</v>
      </c>
      <c r="F94" s="213" t="s">
        <v>35</v>
      </c>
      <c r="G94" s="219">
        <v>5779.9999999999982</v>
      </c>
      <c r="H94" s="214">
        <v>404.59999999999991</v>
      </c>
      <c r="I94" s="219">
        <v>6184.5999999999985</v>
      </c>
      <c r="J94" s="38">
        <v>25119</v>
      </c>
      <c r="K94" s="245" t="s">
        <v>601</v>
      </c>
      <c r="L94" s="246">
        <v>6184.6</v>
      </c>
      <c r="M94" s="215">
        <v>25112</v>
      </c>
      <c r="N94" s="216" t="s">
        <v>33</v>
      </c>
      <c r="O94" s="113">
        <f t="shared" si="4"/>
        <v>4779.9999999999982</v>
      </c>
      <c r="P94" s="113">
        <f t="shared" si="5"/>
        <v>334.59999999999991</v>
      </c>
      <c r="Q94" s="217">
        <f t="shared" si="6"/>
        <v>5114.5999999999985</v>
      </c>
      <c r="R94" s="2"/>
    </row>
    <row r="95" spans="1:18" ht="22.5" customHeight="1" x14ac:dyDescent="0.5">
      <c r="A95" s="208">
        <v>40</v>
      </c>
      <c r="B95" s="209" t="s">
        <v>203</v>
      </c>
      <c r="C95" s="210" t="s">
        <v>204</v>
      </c>
      <c r="D95" s="211">
        <v>0</v>
      </c>
      <c r="E95" s="212"/>
      <c r="F95" s="213"/>
      <c r="G95" s="219">
        <v>0</v>
      </c>
      <c r="H95" s="214">
        <v>0</v>
      </c>
      <c r="I95" s="219">
        <v>0</v>
      </c>
      <c r="J95" s="30"/>
      <c r="K95" s="31"/>
      <c r="L95" s="221"/>
      <c r="M95" s="215"/>
      <c r="N95" s="216"/>
      <c r="O95" s="113">
        <f t="shared" si="4"/>
        <v>0</v>
      </c>
      <c r="P95" s="113">
        <f t="shared" si="5"/>
        <v>0</v>
      </c>
      <c r="Q95" s="217">
        <f t="shared" si="6"/>
        <v>0</v>
      </c>
      <c r="R95" s="2"/>
    </row>
    <row r="96" spans="1:18" ht="22.5" customHeight="1" x14ac:dyDescent="0.5">
      <c r="A96" s="208">
        <v>41</v>
      </c>
      <c r="B96" s="209" t="s">
        <v>205</v>
      </c>
      <c r="C96" s="210" t="s">
        <v>206</v>
      </c>
      <c r="D96" s="211">
        <v>1177</v>
      </c>
      <c r="E96" s="212"/>
      <c r="F96" s="213"/>
      <c r="G96" s="219">
        <v>0</v>
      </c>
      <c r="H96" s="214">
        <v>0</v>
      </c>
      <c r="I96" s="219">
        <v>0</v>
      </c>
      <c r="J96" s="30">
        <v>25133</v>
      </c>
      <c r="K96" s="249" t="s">
        <v>602</v>
      </c>
      <c r="L96" s="221">
        <v>1177</v>
      </c>
      <c r="M96" s="215"/>
      <c r="N96" s="216"/>
      <c r="O96" s="113">
        <f t="shared" si="4"/>
        <v>0</v>
      </c>
      <c r="P96" s="113">
        <f t="shared" si="5"/>
        <v>0</v>
      </c>
      <c r="Q96" s="217">
        <f t="shared" si="6"/>
        <v>0</v>
      </c>
      <c r="R96" s="2"/>
    </row>
    <row r="97" spans="1:18" ht="22.5" customHeight="1" x14ac:dyDescent="0.5">
      <c r="A97" s="208">
        <v>42</v>
      </c>
      <c r="B97" s="209" t="s">
        <v>208</v>
      </c>
      <c r="C97" s="210"/>
      <c r="D97" s="211">
        <v>0</v>
      </c>
      <c r="E97" s="212"/>
      <c r="F97" s="213"/>
      <c r="G97" s="219">
        <v>-2.3374863830612643E-12</v>
      </c>
      <c r="H97" s="214">
        <v>-1.6362404681428848E-13</v>
      </c>
      <c r="I97" s="219">
        <v>-2.5011104298755527E-12</v>
      </c>
      <c r="J97" s="250"/>
      <c r="K97" s="251"/>
      <c r="L97" s="252"/>
      <c r="M97" s="215"/>
      <c r="N97" s="216"/>
      <c r="O97" s="113">
        <f t="shared" si="4"/>
        <v>-2.3374863830612643E-12</v>
      </c>
      <c r="P97" s="113">
        <f t="shared" si="5"/>
        <v>-1.6362404681428848E-13</v>
      </c>
      <c r="Q97" s="217">
        <f t="shared" si="6"/>
        <v>-2.5011104298755527E-12</v>
      </c>
      <c r="R97" s="2"/>
    </row>
    <row r="98" spans="1:18" ht="22.5" customHeight="1" x14ac:dyDescent="0.5">
      <c r="A98" s="208">
        <v>43</v>
      </c>
      <c r="B98" s="209" t="s">
        <v>210</v>
      </c>
      <c r="C98" s="210" t="s">
        <v>211</v>
      </c>
      <c r="D98" s="211">
        <v>8089.2</v>
      </c>
      <c r="E98" s="212">
        <v>25082</v>
      </c>
      <c r="F98" s="213" t="s">
        <v>35</v>
      </c>
      <c r="G98" s="219">
        <v>7550</v>
      </c>
      <c r="H98" s="214">
        <v>528.5</v>
      </c>
      <c r="I98" s="219">
        <v>8078.5</v>
      </c>
      <c r="J98" s="38">
        <v>25117</v>
      </c>
      <c r="K98" s="39" t="s">
        <v>603</v>
      </c>
      <c r="L98" s="246">
        <v>8078.5</v>
      </c>
      <c r="M98" s="239">
        <v>25112</v>
      </c>
      <c r="N98" s="236" t="s">
        <v>33</v>
      </c>
      <c r="O98" s="113">
        <f t="shared" si="4"/>
        <v>7560.0000000000009</v>
      </c>
      <c r="P98" s="113">
        <f t="shared" si="5"/>
        <v>529.20000000000005</v>
      </c>
      <c r="Q98" s="217">
        <f t="shared" si="6"/>
        <v>8089.2000000000007</v>
      </c>
      <c r="R98" s="2"/>
    </row>
    <row r="99" spans="1:18" ht="22.5" customHeight="1" x14ac:dyDescent="0.5">
      <c r="A99" s="208">
        <v>44</v>
      </c>
      <c r="B99" s="209" t="s">
        <v>212</v>
      </c>
      <c r="C99" s="210" t="s">
        <v>213</v>
      </c>
      <c r="D99" s="211">
        <v>0</v>
      </c>
      <c r="E99" s="212"/>
      <c r="F99" s="213"/>
      <c r="G99" s="219">
        <v>0</v>
      </c>
      <c r="H99" s="214">
        <v>0</v>
      </c>
      <c r="I99" s="219">
        <v>0</v>
      </c>
      <c r="J99" s="38"/>
      <c r="K99" s="39"/>
      <c r="L99" s="246"/>
      <c r="M99" s="239"/>
      <c r="N99" s="236"/>
      <c r="O99" s="113">
        <f t="shared" si="4"/>
        <v>0</v>
      </c>
      <c r="P99" s="113">
        <f t="shared" si="5"/>
        <v>0</v>
      </c>
      <c r="Q99" s="217">
        <f t="shared" si="6"/>
        <v>0</v>
      </c>
      <c r="R99" s="2"/>
    </row>
    <row r="100" spans="1:18" ht="22.5" customHeight="1" x14ac:dyDescent="0.5">
      <c r="A100" s="208">
        <v>45</v>
      </c>
      <c r="B100" s="209" t="s">
        <v>214</v>
      </c>
      <c r="C100" s="210" t="s">
        <v>215</v>
      </c>
      <c r="D100" s="211">
        <v>6173.9</v>
      </c>
      <c r="E100" s="212"/>
      <c r="F100" s="213"/>
      <c r="G100" s="219">
        <v>0</v>
      </c>
      <c r="H100" s="214">
        <v>0</v>
      </c>
      <c r="I100" s="219">
        <v>0</v>
      </c>
      <c r="J100" s="38">
        <v>25138</v>
      </c>
      <c r="K100" s="39" t="s">
        <v>604</v>
      </c>
      <c r="L100" s="246">
        <v>6173.9</v>
      </c>
      <c r="M100" s="239"/>
      <c r="N100" s="236"/>
      <c r="O100" s="113">
        <f t="shared" si="4"/>
        <v>0</v>
      </c>
      <c r="P100" s="113">
        <f t="shared" si="5"/>
        <v>0</v>
      </c>
      <c r="Q100" s="217">
        <f t="shared" si="6"/>
        <v>0</v>
      </c>
      <c r="R100" s="2"/>
    </row>
    <row r="101" spans="1:18" ht="22.5" customHeight="1" x14ac:dyDescent="0.5">
      <c r="A101" s="253">
        <v>46</v>
      </c>
      <c r="B101" s="254" t="s">
        <v>217</v>
      </c>
      <c r="C101" s="238" t="s">
        <v>218</v>
      </c>
      <c r="D101" s="211">
        <v>2022.3</v>
      </c>
      <c r="E101" s="167"/>
      <c r="F101" s="168"/>
      <c r="G101" s="255">
        <v>0</v>
      </c>
      <c r="H101" s="256">
        <v>0</v>
      </c>
      <c r="I101" s="255">
        <v>0</v>
      </c>
      <c r="J101" s="38">
        <v>25133</v>
      </c>
      <c r="K101" s="245" t="s">
        <v>605</v>
      </c>
      <c r="L101" s="246">
        <v>2022.3</v>
      </c>
      <c r="M101" s="239"/>
      <c r="N101" s="236"/>
      <c r="O101" s="113">
        <f t="shared" si="4"/>
        <v>0</v>
      </c>
      <c r="P101" s="113">
        <f t="shared" si="5"/>
        <v>0</v>
      </c>
      <c r="Q101" s="217">
        <f t="shared" si="6"/>
        <v>0</v>
      </c>
      <c r="R101" s="2"/>
    </row>
    <row r="102" spans="1:18" ht="22.5" customHeight="1" x14ac:dyDescent="0.5">
      <c r="A102" s="235">
        <v>47</v>
      </c>
      <c r="B102" s="257" t="s">
        <v>220</v>
      </c>
      <c r="C102" s="257" t="s">
        <v>221</v>
      </c>
      <c r="D102" s="211">
        <v>64.2</v>
      </c>
      <c r="E102" s="212"/>
      <c r="F102" s="213"/>
      <c r="G102" s="219">
        <v>0</v>
      </c>
      <c r="H102" s="214">
        <v>0</v>
      </c>
      <c r="I102" s="258">
        <v>0</v>
      </c>
      <c r="J102" s="38"/>
      <c r="K102" s="39"/>
      <c r="L102" s="246"/>
      <c r="M102" s="239">
        <v>25112</v>
      </c>
      <c r="N102" s="236" t="s">
        <v>33</v>
      </c>
      <c r="O102" s="113">
        <f t="shared" si="4"/>
        <v>60</v>
      </c>
      <c r="P102" s="113">
        <f t="shared" si="5"/>
        <v>4.2</v>
      </c>
      <c r="Q102" s="217">
        <f t="shared" si="6"/>
        <v>64.2</v>
      </c>
      <c r="R102" s="2"/>
    </row>
    <row r="103" spans="1:18" ht="22.5" customHeight="1" x14ac:dyDescent="0.5">
      <c r="A103" s="260">
        <v>48</v>
      </c>
      <c r="B103" s="261" t="s">
        <v>222</v>
      </c>
      <c r="C103" s="261" t="s">
        <v>223</v>
      </c>
      <c r="D103" s="262">
        <v>0</v>
      </c>
      <c r="E103" s="212"/>
      <c r="F103" s="213"/>
      <c r="G103" s="219">
        <v>0</v>
      </c>
      <c r="H103" s="214">
        <v>0</v>
      </c>
      <c r="I103" s="258">
        <v>0</v>
      </c>
      <c r="J103" s="38"/>
      <c r="K103" s="39"/>
      <c r="L103" s="246"/>
      <c r="M103" s="215"/>
      <c r="N103" s="216"/>
      <c r="O103" s="113">
        <f t="shared" si="4"/>
        <v>0</v>
      </c>
      <c r="P103" s="113">
        <f t="shared" si="5"/>
        <v>0</v>
      </c>
      <c r="Q103" s="217">
        <f t="shared" si="6"/>
        <v>0</v>
      </c>
      <c r="R103" s="2"/>
    </row>
    <row r="104" spans="1:18" ht="22.5" customHeight="1" x14ac:dyDescent="0.5">
      <c r="A104" s="260">
        <v>49</v>
      </c>
      <c r="B104" s="261" t="s">
        <v>224</v>
      </c>
      <c r="C104" s="261" t="s">
        <v>225</v>
      </c>
      <c r="D104" s="263">
        <v>256.8</v>
      </c>
      <c r="E104" s="212">
        <v>25082</v>
      </c>
      <c r="F104" s="213" t="s">
        <v>35</v>
      </c>
      <c r="G104" s="219">
        <v>320.00000000000011</v>
      </c>
      <c r="H104" s="214">
        <v>22.400000000000006</v>
      </c>
      <c r="I104" s="258">
        <v>342.40000000000009</v>
      </c>
      <c r="J104" s="38">
        <v>25118</v>
      </c>
      <c r="K104" s="245" t="s">
        <v>606</v>
      </c>
      <c r="L104" s="246">
        <v>342.4</v>
      </c>
      <c r="M104" s="215">
        <v>25112</v>
      </c>
      <c r="N104" s="216" t="s">
        <v>33</v>
      </c>
      <c r="O104" s="113">
        <f t="shared" si="4"/>
        <v>240.00000000000006</v>
      </c>
      <c r="P104" s="113">
        <f t="shared" si="5"/>
        <v>16.800000000000004</v>
      </c>
      <c r="Q104" s="217">
        <f t="shared" si="6"/>
        <v>256.80000000000007</v>
      </c>
      <c r="R104" s="2"/>
    </row>
    <row r="105" spans="1:18" ht="22.5" customHeight="1" x14ac:dyDescent="0.5">
      <c r="A105" s="264">
        <v>50</v>
      </c>
      <c r="B105" s="265" t="s">
        <v>226</v>
      </c>
      <c r="C105" s="265" t="s">
        <v>227</v>
      </c>
      <c r="D105" s="266">
        <v>2717.8</v>
      </c>
      <c r="E105" s="267">
        <v>25082</v>
      </c>
      <c r="F105" s="168" t="s">
        <v>35</v>
      </c>
      <c r="G105" s="255">
        <v>1630.0000000000005</v>
      </c>
      <c r="H105" s="256">
        <v>114.10000000000002</v>
      </c>
      <c r="I105" s="268">
        <v>1744.1000000000004</v>
      </c>
      <c r="J105" s="38">
        <v>25128</v>
      </c>
      <c r="K105" s="245" t="s">
        <v>607</v>
      </c>
      <c r="L105" s="246">
        <v>1744.1</v>
      </c>
      <c r="M105" s="215">
        <v>25112</v>
      </c>
      <c r="N105" s="216" t="s">
        <v>33</v>
      </c>
      <c r="O105" s="113">
        <f>SUM(Q105-P105)</f>
        <v>2540.0000000000005</v>
      </c>
      <c r="P105" s="113">
        <f t="shared" si="5"/>
        <v>177.80000000000007</v>
      </c>
      <c r="Q105" s="217">
        <f>SUM(D105+I105-L105)</f>
        <v>2717.8000000000006</v>
      </c>
      <c r="R105" s="2"/>
    </row>
    <row r="106" spans="1:18" ht="22.5" customHeight="1" x14ac:dyDescent="0.5">
      <c r="A106" s="264">
        <v>51</v>
      </c>
      <c r="B106" s="265" t="s">
        <v>229</v>
      </c>
      <c r="C106" s="265" t="s">
        <v>230</v>
      </c>
      <c r="D106" s="266">
        <v>8410.2000000000007</v>
      </c>
      <c r="E106" s="267"/>
      <c r="F106" s="168"/>
      <c r="G106" s="255"/>
      <c r="H106" s="256"/>
      <c r="I106" s="271"/>
      <c r="J106" s="101">
        <v>25140</v>
      </c>
      <c r="K106" s="102" t="s">
        <v>608</v>
      </c>
      <c r="L106" s="272">
        <v>8410.2000000000007</v>
      </c>
      <c r="M106" s="273"/>
      <c r="N106" s="274"/>
      <c r="O106" s="113">
        <f t="shared" si="4"/>
        <v>0</v>
      </c>
      <c r="P106" s="113">
        <f t="shared" si="5"/>
        <v>0</v>
      </c>
      <c r="Q106" s="217">
        <f t="shared" si="6"/>
        <v>0</v>
      </c>
      <c r="R106" s="2"/>
    </row>
    <row r="107" spans="1:18" ht="22.5" customHeight="1" x14ac:dyDescent="0.5">
      <c r="A107" s="264">
        <v>52</v>
      </c>
      <c r="B107" s="265" t="s">
        <v>566</v>
      </c>
      <c r="C107" s="265" t="s">
        <v>567</v>
      </c>
      <c r="D107" s="266">
        <v>2846.2</v>
      </c>
      <c r="E107" s="267"/>
      <c r="F107" s="168"/>
      <c r="G107" s="255"/>
      <c r="H107" s="256"/>
      <c r="I107" s="268"/>
      <c r="J107" s="672">
        <v>25140</v>
      </c>
      <c r="K107" s="673" t="s">
        <v>609</v>
      </c>
      <c r="L107" s="674">
        <v>2846.2</v>
      </c>
      <c r="M107" s="675"/>
      <c r="N107" s="676"/>
      <c r="O107" s="113">
        <f t="shared" si="4"/>
        <v>0</v>
      </c>
      <c r="P107" s="113">
        <f t="shared" si="5"/>
        <v>0</v>
      </c>
      <c r="Q107" s="217">
        <f t="shared" si="6"/>
        <v>0</v>
      </c>
      <c r="R107" s="2"/>
    </row>
    <row r="108" spans="1:18" ht="22.5" customHeight="1" x14ac:dyDescent="0.5">
      <c r="A108" s="264"/>
      <c r="B108" s="265" t="s">
        <v>568</v>
      </c>
      <c r="C108" s="265" t="s">
        <v>567</v>
      </c>
      <c r="D108" s="266">
        <v>2867.6</v>
      </c>
      <c r="E108" s="267"/>
      <c r="F108" s="168"/>
      <c r="G108" s="255"/>
      <c r="H108" s="256"/>
      <c r="I108" s="677"/>
      <c r="J108" s="678">
        <v>25140</v>
      </c>
      <c r="K108" s="679" t="s">
        <v>609</v>
      </c>
      <c r="L108" s="680">
        <v>2867.6</v>
      </c>
      <c r="M108" s="681"/>
      <c r="N108" s="682"/>
      <c r="O108" s="113">
        <f t="shared" si="4"/>
        <v>0</v>
      </c>
      <c r="P108" s="113">
        <f t="shared" si="5"/>
        <v>0</v>
      </c>
      <c r="Q108" s="217">
        <f t="shared" si="6"/>
        <v>0</v>
      </c>
      <c r="R108" s="2"/>
    </row>
    <row r="109" spans="1:18" s="60" customFormat="1" ht="22.5" customHeight="1" thickBot="1" x14ac:dyDescent="0.35">
      <c r="A109" s="278"/>
      <c r="B109" s="278" t="s">
        <v>15</v>
      </c>
      <c r="C109" s="279"/>
      <c r="D109" s="280">
        <f>SUM(D44:D108)</f>
        <v>274155.39999999997</v>
      </c>
      <c r="E109" s="281"/>
      <c r="F109" s="282"/>
      <c r="G109" s="280">
        <f>SUM(G44:G108)</f>
        <v>182650</v>
      </c>
      <c r="H109" s="280">
        <f t="shared" ref="H109:Q109" si="7">SUM(H44:H108)</f>
        <v>12785.499999999998</v>
      </c>
      <c r="I109" s="280">
        <f t="shared" si="7"/>
        <v>195435.49999999997</v>
      </c>
      <c r="J109" s="280"/>
      <c r="K109" s="280">
        <f t="shared" si="7"/>
        <v>0</v>
      </c>
      <c r="L109" s="280">
        <f>SUM(L44:L108)</f>
        <v>305807.7</v>
      </c>
      <c r="M109" s="280">
        <f t="shared" si="7"/>
        <v>577576</v>
      </c>
      <c r="N109" s="280">
        <f t="shared" si="7"/>
        <v>0</v>
      </c>
      <c r="O109" s="280">
        <f>SUM(O44:O108)</f>
        <v>153068.41121495326</v>
      </c>
      <c r="P109" s="280">
        <f t="shared" si="7"/>
        <v>10714.788785046729</v>
      </c>
      <c r="Q109" s="280">
        <f t="shared" si="7"/>
        <v>163783.19999999998</v>
      </c>
      <c r="R109" s="59"/>
    </row>
    <row r="110" spans="1:18" ht="22.5" customHeight="1" thickTop="1" x14ac:dyDescent="0.3">
      <c r="A110" s="61"/>
      <c r="B110" s="121" t="s">
        <v>232</v>
      </c>
      <c r="C110" s="63"/>
      <c r="D110" s="64"/>
      <c r="E110" s="65"/>
      <c r="F110" s="66"/>
      <c r="G110" s="67"/>
      <c r="H110" s="67"/>
      <c r="I110" s="67"/>
      <c r="J110" s="286"/>
      <c r="K110" s="287"/>
      <c r="L110" s="288"/>
      <c r="M110" s="69"/>
      <c r="N110" s="70"/>
      <c r="O110" s="71"/>
      <c r="P110" s="71"/>
      <c r="Q110" s="289"/>
      <c r="R110" s="2"/>
    </row>
    <row r="111" spans="1:18" ht="22.5" customHeight="1" x14ac:dyDescent="0.5">
      <c r="A111" s="290"/>
      <c r="B111" s="291" t="s">
        <v>233</v>
      </c>
      <c r="C111" s="292"/>
      <c r="D111" s="293"/>
      <c r="E111" s="212"/>
      <c r="F111" s="213"/>
      <c r="G111" s="219"/>
      <c r="H111" s="219"/>
      <c r="I111" s="219"/>
      <c r="J111" s="294"/>
      <c r="K111" s="295"/>
      <c r="L111" s="296"/>
      <c r="M111" s="41"/>
      <c r="N111" s="34"/>
      <c r="O111" s="114"/>
      <c r="P111" s="114"/>
      <c r="Q111" s="36"/>
      <c r="R111" s="2"/>
    </row>
    <row r="112" spans="1:18" ht="22.5" customHeight="1" x14ac:dyDescent="0.5">
      <c r="A112" s="23">
        <v>1</v>
      </c>
      <c r="B112" s="73" t="s">
        <v>234</v>
      </c>
      <c r="C112" s="25" t="s">
        <v>235</v>
      </c>
      <c r="D112" s="43">
        <v>9450</v>
      </c>
      <c r="E112" s="212"/>
      <c r="F112" s="213"/>
      <c r="G112" s="219">
        <v>0</v>
      </c>
      <c r="H112" s="219">
        <v>0</v>
      </c>
      <c r="I112" s="219">
        <v>0</v>
      </c>
      <c r="J112" s="30">
        <v>25129</v>
      </c>
      <c r="K112" s="31" t="s">
        <v>620</v>
      </c>
      <c r="L112" s="32">
        <v>9450</v>
      </c>
      <c r="M112" s="215"/>
      <c r="N112" s="216"/>
      <c r="O112" s="114">
        <f>SUM(D112+I112-L112)</f>
        <v>0</v>
      </c>
      <c r="P112" s="114">
        <v>0</v>
      </c>
      <c r="Q112" s="36">
        <f>SUM(O112)</f>
        <v>0</v>
      </c>
      <c r="R112" s="2"/>
    </row>
    <row r="113" spans="1:18" ht="22.5" customHeight="1" x14ac:dyDescent="0.5">
      <c r="A113" s="23">
        <v>2</v>
      </c>
      <c r="B113" s="73" t="s">
        <v>237</v>
      </c>
      <c r="C113" s="25" t="s">
        <v>238</v>
      </c>
      <c r="D113" s="43">
        <v>3150</v>
      </c>
      <c r="E113" s="212"/>
      <c r="F113" s="213"/>
      <c r="G113" s="219">
        <v>0</v>
      </c>
      <c r="H113" s="219">
        <v>0</v>
      </c>
      <c r="I113" s="219">
        <v>0</v>
      </c>
      <c r="J113" s="30">
        <v>25129</v>
      </c>
      <c r="K113" s="31" t="s">
        <v>621</v>
      </c>
      <c r="L113" s="32">
        <v>3150</v>
      </c>
      <c r="M113" s="215"/>
      <c r="N113" s="216"/>
      <c r="O113" s="114">
        <f t="shared" ref="O113:O152" si="8">SUM(D113+I113-L113)</f>
        <v>0</v>
      </c>
      <c r="P113" s="114">
        <v>0</v>
      </c>
      <c r="Q113" s="36">
        <f t="shared" ref="Q113:Q152" si="9">SUM(O113)</f>
        <v>0</v>
      </c>
      <c r="R113" s="2"/>
    </row>
    <row r="114" spans="1:18" ht="22.5" customHeight="1" x14ac:dyDescent="0.5">
      <c r="A114" s="23">
        <v>3</v>
      </c>
      <c r="B114" s="73" t="s">
        <v>240</v>
      </c>
      <c r="C114" s="25" t="s">
        <v>241</v>
      </c>
      <c r="D114" s="43">
        <v>15750</v>
      </c>
      <c r="E114" s="212" t="s">
        <v>61</v>
      </c>
      <c r="F114" s="213" t="s">
        <v>35</v>
      </c>
      <c r="G114" s="219">
        <v>15750</v>
      </c>
      <c r="H114" s="219">
        <v>0</v>
      </c>
      <c r="I114" s="219">
        <v>15750</v>
      </c>
      <c r="J114" s="30">
        <v>25128</v>
      </c>
      <c r="K114" s="31" t="s">
        <v>622</v>
      </c>
      <c r="L114" s="32">
        <v>15750</v>
      </c>
      <c r="M114" s="297" t="s">
        <v>559</v>
      </c>
      <c r="N114" s="216" t="s">
        <v>33</v>
      </c>
      <c r="O114" s="114">
        <f t="shared" si="8"/>
        <v>15750</v>
      </c>
      <c r="P114" s="114">
        <v>0</v>
      </c>
      <c r="Q114" s="36">
        <f t="shared" si="9"/>
        <v>15750</v>
      </c>
      <c r="R114" s="2"/>
    </row>
    <row r="115" spans="1:18" ht="22.5" customHeight="1" x14ac:dyDescent="0.5">
      <c r="A115" s="23">
        <v>4</v>
      </c>
      <c r="B115" s="73" t="s">
        <v>240</v>
      </c>
      <c r="C115" s="25" t="s">
        <v>242</v>
      </c>
      <c r="D115" s="43">
        <v>6300</v>
      </c>
      <c r="E115" s="212" t="s">
        <v>61</v>
      </c>
      <c r="F115" s="213" t="s">
        <v>35</v>
      </c>
      <c r="G115" s="219">
        <v>6300</v>
      </c>
      <c r="H115" s="219">
        <v>0</v>
      </c>
      <c r="I115" s="219">
        <v>6300</v>
      </c>
      <c r="J115" s="30">
        <v>25128</v>
      </c>
      <c r="K115" s="31" t="s">
        <v>622</v>
      </c>
      <c r="L115" s="32">
        <v>6300</v>
      </c>
      <c r="M115" s="297" t="s">
        <v>559</v>
      </c>
      <c r="N115" s="216" t="s">
        <v>33</v>
      </c>
      <c r="O115" s="114">
        <f t="shared" si="8"/>
        <v>6300</v>
      </c>
      <c r="P115" s="114">
        <v>0</v>
      </c>
      <c r="Q115" s="36">
        <f t="shared" si="9"/>
        <v>6300</v>
      </c>
      <c r="R115" s="2"/>
    </row>
    <row r="116" spans="1:18" ht="22.5" customHeight="1" x14ac:dyDescent="0.5">
      <c r="A116" s="23">
        <v>5</v>
      </c>
      <c r="B116" s="73" t="s">
        <v>198</v>
      </c>
      <c r="C116" s="25" t="s">
        <v>243</v>
      </c>
      <c r="D116" s="43">
        <v>22050</v>
      </c>
      <c r="E116" s="212"/>
      <c r="F116" s="213"/>
      <c r="G116" s="219">
        <v>0</v>
      </c>
      <c r="H116" s="219">
        <v>0</v>
      </c>
      <c r="I116" s="219">
        <v>0</v>
      </c>
      <c r="J116" s="30">
        <v>25121</v>
      </c>
      <c r="K116" s="31" t="s">
        <v>623</v>
      </c>
      <c r="L116" s="32">
        <v>22050</v>
      </c>
      <c r="M116" s="297"/>
      <c r="N116" s="216"/>
      <c r="O116" s="114">
        <f t="shared" si="8"/>
        <v>0</v>
      </c>
      <c r="P116" s="114">
        <v>0</v>
      </c>
      <c r="Q116" s="36">
        <f t="shared" si="9"/>
        <v>0</v>
      </c>
      <c r="R116" s="2"/>
    </row>
    <row r="117" spans="1:18" ht="22.5" customHeight="1" x14ac:dyDescent="0.5">
      <c r="A117" s="23">
        <v>6</v>
      </c>
      <c r="B117" s="73" t="s">
        <v>245</v>
      </c>
      <c r="C117" s="25" t="s">
        <v>246</v>
      </c>
      <c r="D117" s="43">
        <v>9450</v>
      </c>
      <c r="E117" s="212"/>
      <c r="F117" s="213"/>
      <c r="G117" s="219">
        <v>0</v>
      </c>
      <c r="H117" s="219">
        <v>0</v>
      </c>
      <c r="I117" s="219">
        <v>0</v>
      </c>
      <c r="J117" s="30">
        <v>25118</v>
      </c>
      <c r="K117" s="31" t="s">
        <v>624</v>
      </c>
      <c r="L117" s="32">
        <v>9450</v>
      </c>
      <c r="M117" s="297"/>
      <c r="N117" s="216"/>
      <c r="O117" s="114">
        <f t="shared" si="8"/>
        <v>0</v>
      </c>
      <c r="P117" s="114">
        <v>0</v>
      </c>
      <c r="Q117" s="36">
        <f t="shared" si="9"/>
        <v>0</v>
      </c>
      <c r="R117" s="2"/>
    </row>
    <row r="118" spans="1:18" ht="22.5" customHeight="1" x14ac:dyDescent="0.5">
      <c r="A118" s="23">
        <v>7</v>
      </c>
      <c r="B118" s="73" t="s">
        <v>248</v>
      </c>
      <c r="C118" s="25" t="s">
        <v>249</v>
      </c>
      <c r="D118" s="43">
        <v>6300</v>
      </c>
      <c r="E118" s="212" t="s">
        <v>61</v>
      </c>
      <c r="F118" s="213" t="s">
        <v>35</v>
      </c>
      <c r="G118" s="219">
        <v>6300</v>
      </c>
      <c r="H118" s="219">
        <v>0</v>
      </c>
      <c r="I118" s="219">
        <v>6300</v>
      </c>
      <c r="J118" s="30">
        <v>25117</v>
      </c>
      <c r="K118" s="31" t="s">
        <v>625</v>
      </c>
      <c r="L118" s="32">
        <v>12600</v>
      </c>
      <c r="M118" s="215"/>
      <c r="N118" s="216"/>
      <c r="O118" s="114">
        <f t="shared" si="8"/>
        <v>0</v>
      </c>
      <c r="P118" s="114">
        <v>0</v>
      </c>
      <c r="Q118" s="36">
        <f t="shared" si="9"/>
        <v>0</v>
      </c>
      <c r="R118" s="2"/>
    </row>
    <row r="119" spans="1:18" ht="22.5" customHeight="1" x14ac:dyDescent="0.5">
      <c r="A119" s="208">
        <v>8</v>
      </c>
      <c r="B119" s="209" t="s">
        <v>250</v>
      </c>
      <c r="C119" s="210" t="s">
        <v>251</v>
      </c>
      <c r="D119" s="298">
        <v>6300</v>
      </c>
      <c r="E119" s="299" t="s">
        <v>61</v>
      </c>
      <c r="F119" s="300" t="s">
        <v>35</v>
      </c>
      <c r="G119" s="214">
        <v>6300</v>
      </c>
      <c r="H119" s="219">
        <v>0</v>
      </c>
      <c r="I119" s="219">
        <v>6300</v>
      </c>
      <c r="J119" s="30">
        <v>25119</v>
      </c>
      <c r="K119" s="31" t="s">
        <v>626</v>
      </c>
      <c r="L119" s="32">
        <v>6300</v>
      </c>
      <c r="M119" s="215" t="s">
        <v>559</v>
      </c>
      <c r="N119" s="216" t="s">
        <v>33</v>
      </c>
      <c r="O119" s="114">
        <f t="shared" si="8"/>
        <v>6300</v>
      </c>
      <c r="P119" s="114">
        <v>0</v>
      </c>
      <c r="Q119" s="36">
        <f t="shared" si="9"/>
        <v>6300</v>
      </c>
      <c r="R119" s="218"/>
    </row>
    <row r="120" spans="1:18" ht="22.5" customHeight="1" x14ac:dyDescent="0.5">
      <c r="A120" s="23">
        <v>9</v>
      </c>
      <c r="B120" s="73" t="s">
        <v>253</v>
      </c>
      <c r="C120" s="25" t="s">
        <v>254</v>
      </c>
      <c r="D120" s="43">
        <v>9450</v>
      </c>
      <c r="E120" s="212"/>
      <c r="F120" s="213"/>
      <c r="G120" s="219">
        <v>0</v>
      </c>
      <c r="H120" s="219">
        <v>0</v>
      </c>
      <c r="I120" s="219">
        <v>0</v>
      </c>
      <c r="J120" s="30"/>
      <c r="K120" s="31"/>
      <c r="L120" s="32"/>
      <c r="M120" s="215" t="s">
        <v>559</v>
      </c>
      <c r="N120" s="216" t="s">
        <v>33</v>
      </c>
      <c r="O120" s="114">
        <f t="shared" si="8"/>
        <v>9450</v>
      </c>
      <c r="P120" s="114">
        <v>0</v>
      </c>
      <c r="Q120" s="36">
        <f t="shared" si="9"/>
        <v>9450</v>
      </c>
    </row>
    <row r="121" spans="1:18" ht="22.5" customHeight="1" x14ac:dyDescent="0.5">
      <c r="A121" s="23"/>
      <c r="B121" s="301" t="s">
        <v>256</v>
      </c>
      <c r="C121" s="25"/>
      <c r="D121" s="43"/>
      <c r="E121" s="302"/>
      <c r="F121" s="303"/>
      <c r="G121" s="304"/>
      <c r="H121" s="304"/>
      <c r="I121" s="304"/>
      <c r="J121" s="30"/>
      <c r="K121" s="31"/>
      <c r="L121" s="32"/>
      <c r="M121" s="297"/>
      <c r="N121" s="216"/>
      <c r="O121" s="114">
        <f t="shared" si="8"/>
        <v>0</v>
      </c>
      <c r="P121" s="114">
        <v>0</v>
      </c>
      <c r="Q121" s="36">
        <f t="shared" si="9"/>
        <v>0</v>
      </c>
    </row>
    <row r="122" spans="1:18" ht="22.5" customHeight="1" x14ac:dyDescent="0.5">
      <c r="A122" s="23">
        <v>10</v>
      </c>
      <c r="B122" s="73" t="s">
        <v>257</v>
      </c>
      <c r="C122" s="25" t="s">
        <v>258</v>
      </c>
      <c r="D122" s="43">
        <v>5600</v>
      </c>
      <c r="E122" s="212"/>
      <c r="F122" s="213"/>
      <c r="G122" s="219">
        <v>0</v>
      </c>
      <c r="H122" s="219">
        <v>0</v>
      </c>
      <c r="I122" s="219">
        <v>0</v>
      </c>
      <c r="J122" s="30">
        <v>25118</v>
      </c>
      <c r="K122" s="31" t="s">
        <v>627</v>
      </c>
      <c r="L122" s="32">
        <v>5600</v>
      </c>
      <c r="M122" s="297"/>
      <c r="N122" s="216"/>
      <c r="O122" s="114">
        <f t="shared" si="8"/>
        <v>0</v>
      </c>
      <c r="P122" s="114">
        <v>0</v>
      </c>
      <c r="Q122" s="36">
        <f t="shared" si="9"/>
        <v>0</v>
      </c>
    </row>
    <row r="123" spans="1:18" ht="22.5" customHeight="1" x14ac:dyDescent="0.5">
      <c r="A123" s="23">
        <v>11</v>
      </c>
      <c r="B123" s="73" t="s">
        <v>198</v>
      </c>
      <c r="C123" s="25" t="s">
        <v>260</v>
      </c>
      <c r="D123" s="43">
        <v>2800</v>
      </c>
      <c r="E123" s="212"/>
      <c r="F123" s="213"/>
      <c r="G123" s="219">
        <v>0</v>
      </c>
      <c r="H123" s="219">
        <v>0</v>
      </c>
      <c r="I123" s="219">
        <v>0</v>
      </c>
      <c r="J123" s="30">
        <v>25121</v>
      </c>
      <c r="K123" s="31" t="s">
        <v>623</v>
      </c>
      <c r="L123" s="32">
        <v>2800</v>
      </c>
      <c r="M123" s="297"/>
      <c r="N123" s="216"/>
      <c r="O123" s="114">
        <f t="shared" si="8"/>
        <v>0</v>
      </c>
      <c r="P123" s="114">
        <v>0</v>
      </c>
      <c r="Q123" s="36">
        <f t="shared" si="9"/>
        <v>0</v>
      </c>
    </row>
    <row r="124" spans="1:18" ht="22.5" customHeight="1" x14ac:dyDescent="0.5">
      <c r="A124" s="23">
        <v>12</v>
      </c>
      <c r="B124" s="73" t="s">
        <v>261</v>
      </c>
      <c r="C124" s="25" t="s">
        <v>262</v>
      </c>
      <c r="D124" s="43">
        <v>5600</v>
      </c>
      <c r="E124" s="212"/>
      <c r="F124" s="213"/>
      <c r="G124" s="219">
        <v>0</v>
      </c>
      <c r="H124" s="219">
        <v>0</v>
      </c>
      <c r="I124" s="219">
        <v>0</v>
      </c>
      <c r="J124" s="30">
        <v>25125</v>
      </c>
      <c r="K124" s="31" t="s">
        <v>628</v>
      </c>
      <c r="L124" s="32">
        <v>5600</v>
      </c>
      <c r="M124" s="215"/>
      <c r="N124" s="216"/>
      <c r="O124" s="114">
        <f t="shared" si="8"/>
        <v>0</v>
      </c>
      <c r="P124" s="114">
        <v>0</v>
      </c>
      <c r="Q124" s="36">
        <f t="shared" si="9"/>
        <v>0</v>
      </c>
    </row>
    <row r="125" spans="1:18" ht="22.5" customHeight="1" x14ac:dyDescent="0.5">
      <c r="A125" s="23">
        <v>13</v>
      </c>
      <c r="B125" s="73" t="s">
        <v>264</v>
      </c>
      <c r="C125" s="25" t="s">
        <v>265</v>
      </c>
      <c r="D125" s="43">
        <v>5600</v>
      </c>
      <c r="E125" s="212"/>
      <c r="F125" s="213"/>
      <c r="G125" s="219">
        <v>0</v>
      </c>
      <c r="H125" s="219">
        <v>0</v>
      </c>
      <c r="I125" s="219">
        <v>0</v>
      </c>
      <c r="J125" s="30">
        <v>25125</v>
      </c>
      <c r="K125" s="31" t="s">
        <v>628</v>
      </c>
      <c r="L125" s="32">
        <v>5600</v>
      </c>
      <c r="M125" s="215"/>
      <c r="N125" s="216"/>
      <c r="O125" s="114">
        <f t="shared" si="8"/>
        <v>0</v>
      </c>
      <c r="P125" s="114">
        <v>0</v>
      </c>
      <c r="Q125" s="36">
        <f t="shared" si="9"/>
        <v>0</v>
      </c>
    </row>
    <row r="126" spans="1:18" ht="22.5" customHeight="1" x14ac:dyDescent="0.5">
      <c r="A126" s="23">
        <v>14</v>
      </c>
      <c r="B126" s="73" t="s">
        <v>266</v>
      </c>
      <c r="C126" s="25" t="s">
        <v>267</v>
      </c>
      <c r="D126" s="43">
        <v>5600</v>
      </c>
      <c r="E126" s="212"/>
      <c r="F126" s="213"/>
      <c r="G126" s="219">
        <v>0</v>
      </c>
      <c r="H126" s="219">
        <v>0</v>
      </c>
      <c r="I126" s="219">
        <v>0</v>
      </c>
      <c r="J126" s="30">
        <v>25117</v>
      </c>
      <c r="K126" s="31" t="s">
        <v>629</v>
      </c>
      <c r="L126" s="32">
        <v>5600</v>
      </c>
      <c r="M126" s="297"/>
      <c r="N126" s="216"/>
      <c r="O126" s="114">
        <f t="shared" si="8"/>
        <v>0</v>
      </c>
      <c r="P126" s="114">
        <v>0</v>
      </c>
      <c r="Q126" s="36">
        <f t="shared" si="9"/>
        <v>0</v>
      </c>
    </row>
    <row r="127" spans="1:18" ht="22.5" customHeight="1" x14ac:dyDescent="0.5">
      <c r="A127" s="23"/>
      <c r="B127" s="301" t="s">
        <v>269</v>
      </c>
      <c r="C127" s="25"/>
      <c r="D127" s="43"/>
      <c r="E127" s="302"/>
      <c r="F127" s="303"/>
      <c r="G127" s="304"/>
      <c r="H127" s="304"/>
      <c r="I127" s="304"/>
      <c r="J127" s="30"/>
      <c r="K127" s="31"/>
      <c r="L127" s="32"/>
      <c r="M127" s="297"/>
      <c r="N127" s="216"/>
      <c r="O127" s="114">
        <f t="shared" si="8"/>
        <v>0</v>
      </c>
      <c r="P127" s="114">
        <v>0</v>
      </c>
      <c r="Q127" s="36">
        <f t="shared" si="9"/>
        <v>0</v>
      </c>
    </row>
    <row r="128" spans="1:18" ht="22.5" customHeight="1" x14ac:dyDescent="0.5">
      <c r="A128" s="23">
        <v>1</v>
      </c>
      <c r="B128" s="73" t="s">
        <v>270</v>
      </c>
      <c r="C128" s="25" t="s">
        <v>271</v>
      </c>
      <c r="D128" s="43">
        <v>9450</v>
      </c>
      <c r="E128" s="212"/>
      <c r="F128" s="213"/>
      <c r="G128" s="219">
        <v>0</v>
      </c>
      <c r="H128" s="219">
        <v>0</v>
      </c>
      <c r="I128" s="219">
        <v>0</v>
      </c>
      <c r="J128" s="30">
        <v>25117</v>
      </c>
      <c r="K128" s="31" t="s">
        <v>630</v>
      </c>
      <c r="L128" s="32">
        <v>9450</v>
      </c>
      <c r="M128" s="307"/>
      <c r="N128" s="308"/>
      <c r="O128" s="114">
        <f t="shared" si="8"/>
        <v>0</v>
      </c>
      <c r="P128" s="114">
        <v>0</v>
      </c>
      <c r="Q128" s="36">
        <f t="shared" si="9"/>
        <v>0</v>
      </c>
    </row>
    <row r="129" spans="1:19" ht="22.5" customHeight="1" x14ac:dyDescent="0.5">
      <c r="A129" s="23">
        <v>2</v>
      </c>
      <c r="B129" s="73" t="s">
        <v>261</v>
      </c>
      <c r="C129" s="25" t="s">
        <v>273</v>
      </c>
      <c r="D129" s="43">
        <v>9450</v>
      </c>
      <c r="E129" s="212"/>
      <c r="F129" s="213"/>
      <c r="G129" s="219">
        <v>0</v>
      </c>
      <c r="H129" s="219">
        <v>0</v>
      </c>
      <c r="I129" s="219">
        <v>0</v>
      </c>
      <c r="J129" s="30" t="s">
        <v>663</v>
      </c>
      <c r="K129" s="31" t="s">
        <v>664</v>
      </c>
      <c r="L129" s="32">
        <v>9450</v>
      </c>
      <c r="M129" s="215"/>
      <c r="N129" s="216"/>
      <c r="O129" s="114">
        <f t="shared" si="8"/>
        <v>0</v>
      </c>
      <c r="P129" s="114">
        <v>0</v>
      </c>
      <c r="Q129" s="36">
        <f t="shared" si="9"/>
        <v>0</v>
      </c>
    </row>
    <row r="130" spans="1:19" ht="22.5" customHeight="1" x14ac:dyDescent="0.5">
      <c r="A130" s="23">
        <v>3</v>
      </c>
      <c r="B130" s="73" t="s">
        <v>274</v>
      </c>
      <c r="C130" s="25" t="s">
        <v>275</v>
      </c>
      <c r="D130" s="43">
        <v>3150</v>
      </c>
      <c r="E130" s="212"/>
      <c r="F130" s="213"/>
      <c r="G130" s="219">
        <v>0</v>
      </c>
      <c r="H130" s="219">
        <v>0</v>
      </c>
      <c r="I130" s="219">
        <v>0</v>
      </c>
      <c r="J130" s="30">
        <v>25125</v>
      </c>
      <c r="K130" s="31" t="s">
        <v>631</v>
      </c>
      <c r="L130" s="32">
        <v>3150</v>
      </c>
      <c r="M130" s="297"/>
      <c r="N130" s="216"/>
      <c r="O130" s="114">
        <f t="shared" si="8"/>
        <v>0</v>
      </c>
      <c r="P130" s="114">
        <v>0</v>
      </c>
      <c r="Q130" s="36">
        <f t="shared" si="9"/>
        <v>0</v>
      </c>
      <c r="R130" s="2"/>
    </row>
    <row r="131" spans="1:19" ht="22.5" customHeight="1" x14ac:dyDescent="0.5">
      <c r="A131" s="23">
        <v>4</v>
      </c>
      <c r="B131" s="73" t="s">
        <v>277</v>
      </c>
      <c r="C131" s="25" t="s">
        <v>278</v>
      </c>
      <c r="D131" s="43">
        <v>6300</v>
      </c>
      <c r="E131" s="212"/>
      <c r="F131" s="213"/>
      <c r="G131" s="219">
        <v>0</v>
      </c>
      <c r="H131" s="219">
        <v>0</v>
      </c>
      <c r="I131" s="219">
        <v>0</v>
      </c>
      <c r="J131" s="30">
        <v>25113</v>
      </c>
      <c r="K131" s="31" t="s">
        <v>632</v>
      </c>
      <c r="L131" s="32">
        <v>6300</v>
      </c>
      <c r="M131" s="297"/>
      <c r="N131" s="216"/>
      <c r="O131" s="114">
        <f t="shared" si="8"/>
        <v>0</v>
      </c>
      <c r="P131" s="114">
        <v>0</v>
      </c>
      <c r="Q131" s="36">
        <f t="shared" si="9"/>
        <v>0</v>
      </c>
      <c r="R131" s="2"/>
    </row>
    <row r="132" spans="1:19" ht="22.5" customHeight="1" x14ac:dyDescent="0.5">
      <c r="A132" s="23"/>
      <c r="B132" s="301" t="s">
        <v>280</v>
      </c>
      <c r="C132" s="25"/>
      <c r="D132" s="43"/>
      <c r="E132" s="302"/>
      <c r="F132" s="303"/>
      <c r="G132" s="304"/>
      <c r="H132" s="304"/>
      <c r="I132" s="304"/>
      <c r="J132" s="30"/>
      <c r="K132" s="31"/>
      <c r="L132" s="32"/>
      <c r="M132" s="297"/>
      <c r="N132" s="216"/>
      <c r="O132" s="114">
        <f t="shared" si="8"/>
        <v>0</v>
      </c>
      <c r="P132" s="114">
        <v>0</v>
      </c>
      <c r="Q132" s="36">
        <f t="shared" si="9"/>
        <v>0</v>
      </c>
      <c r="R132" s="2"/>
    </row>
    <row r="133" spans="1:19" ht="22.5" customHeight="1" x14ac:dyDescent="0.5">
      <c r="A133" s="23">
        <v>1</v>
      </c>
      <c r="B133" s="73" t="s">
        <v>281</v>
      </c>
      <c r="C133" s="25" t="s">
        <v>282</v>
      </c>
      <c r="D133" s="43">
        <v>5600</v>
      </c>
      <c r="E133" s="212" t="s">
        <v>285</v>
      </c>
      <c r="F133" s="213" t="s">
        <v>286</v>
      </c>
      <c r="G133" s="219">
        <v>22400</v>
      </c>
      <c r="H133" s="219">
        <v>0</v>
      </c>
      <c r="I133" s="219">
        <v>22400</v>
      </c>
      <c r="J133" s="30" t="s">
        <v>633</v>
      </c>
      <c r="K133" s="31" t="s">
        <v>634</v>
      </c>
      <c r="L133" s="32">
        <v>22400</v>
      </c>
      <c r="M133" s="215">
        <v>25112</v>
      </c>
      <c r="N133" s="216" t="s">
        <v>33</v>
      </c>
      <c r="O133" s="114">
        <f t="shared" si="8"/>
        <v>5600</v>
      </c>
      <c r="P133" s="114">
        <v>0</v>
      </c>
      <c r="Q133" s="36">
        <f t="shared" si="9"/>
        <v>5600</v>
      </c>
      <c r="R133" s="2"/>
    </row>
    <row r="134" spans="1:19" ht="22.5" customHeight="1" x14ac:dyDescent="0.5">
      <c r="A134" s="23">
        <v>2</v>
      </c>
      <c r="B134" s="73" t="s">
        <v>287</v>
      </c>
      <c r="C134" s="25" t="s">
        <v>288</v>
      </c>
      <c r="D134" s="43">
        <v>5600</v>
      </c>
      <c r="E134" s="212"/>
      <c r="F134" s="213"/>
      <c r="G134" s="219">
        <v>0</v>
      </c>
      <c r="H134" s="219">
        <v>0</v>
      </c>
      <c r="I134" s="219">
        <v>0</v>
      </c>
      <c r="J134" s="30">
        <v>25141</v>
      </c>
      <c r="K134" s="31" t="s">
        <v>635</v>
      </c>
      <c r="L134" s="32">
        <v>5600</v>
      </c>
      <c r="M134" s="215"/>
      <c r="N134" s="216"/>
      <c r="O134" s="114">
        <f t="shared" si="8"/>
        <v>0</v>
      </c>
      <c r="P134" s="114">
        <v>0</v>
      </c>
      <c r="Q134" s="36">
        <f t="shared" si="9"/>
        <v>0</v>
      </c>
      <c r="R134" s="2"/>
    </row>
    <row r="135" spans="1:19" ht="22.5" customHeight="1" x14ac:dyDescent="0.5">
      <c r="A135" s="23">
        <v>3</v>
      </c>
      <c r="B135" s="73" t="s">
        <v>290</v>
      </c>
      <c r="C135" s="25" t="s">
        <v>291</v>
      </c>
      <c r="D135" s="43">
        <v>5600</v>
      </c>
      <c r="E135" s="212"/>
      <c r="F135" s="213"/>
      <c r="G135" s="219">
        <v>0</v>
      </c>
      <c r="H135" s="219">
        <v>0</v>
      </c>
      <c r="I135" s="219">
        <v>0</v>
      </c>
      <c r="J135" s="30">
        <v>25112</v>
      </c>
      <c r="K135" s="31" t="s">
        <v>636</v>
      </c>
      <c r="L135" s="32">
        <v>5600</v>
      </c>
      <c r="M135" s="215"/>
      <c r="N135" s="216"/>
      <c r="O135" s="114">
        <f t="shared" si="8"/>
        <v>0</v>
      </c>
      <c r="P135" s="114">
        <v>0</v>
      </c>
      <c r="Q135" s="36">
        <f t="shared" si="9"/>
        <v>0</v>
      </c>
      <c r="R135" s="2"/>
    </row>
    <row r="136" spans="1:19" ht="22.5" customHeight="1" x14ac:dyDescent="0.5">
      <c r="A136" s="23">
        <v>4</v>
      </c>
      <c r="B136" s="73" t="s">
        <v>293</v>
      </c>
      <c r="C136" s="25" t="s">
        <v>294</v>
      </c>
      <c r="D136" s="43">
        <v>2800</v>
      </c>
      <c r="E136" s="212"/>
      <c r="F136" s="213"/>
      <c r="G136" s="219">
        <v>0</v>
      </c>
      <c r="H136" s="219">
        <v>0</v>
      </c>
      <c r="I136" s="219">
        <v>0</v>
      </c>
      <c r="J136" s="30">
        <v>25118</v>
      </c>
      <c r="K136" s="31" t="s">
        <v>637</v>
      </c>
      <c r="L136" s="32">
        <v>2800</v>
      </c>
      <c r="M136" s="215"/>
      <c r="N136" s="216"/>
      <c r="O136" s="114">
        <f t="shared" si="8"/>
        <v>0</v>
      </c>
      <c r="P136" s="114">
        <v>0</v>
      </c>
      <c r="Q136" s="36">
        <f t="shared" si="9"/>
        <v>0</v>
      </c>
      <c r="R136" s="2"/>
    </row>
    <row r="137" spans="1:19" ht="22.5" customHeight="1" x14ac:dyDescent="0.5">
      <c r="A137" s="23">
        <v>5</v>
      </c>
      <c r="B137" s="73" t="s">
        <v>296</v>
      </c>
      <c r="C137" s="25" t="s">
        <v>297</v>
      </c>
      <c r="D137" s="43">
        <v>5600</v>
      </c>
      <c r="E137" s="212"/>
      <c r="F137" s="213"/>
      <c r="G137" s="219">
        <v>0</v>
      </c>
      <c r="H137" s="219">
        <v>0</v>
      </c>
      <c r="I137" s="219">
        <v>0</v>
      </c>
      <c r="J137" s="30">
        <v>25141</v>
      </c>
      <c r="K137" s="31" t="s">
        <v>638</v>
      </c>
      <c r="L137" s="32">
        <v>5600</v>
      </c>
      <c r="M137" s="297"/>
      <c r="N137" s="216"/>
      <c r="O137" s="114">
        <f t="shared" si="8"/>
        <v>0</v>
      </c>
      <c r="P137" s="114">
        <v>0</v>
      </c>
      <c r="Q137" s="36">
        <f t="shared" si="9"/>
        <v>0</v>
      </c>
      <c r="R137" s="2"/>
      <c r="S137" s="3">
        <v>700</v>
      </c>
    </row>
    <row r="138" spans="1:19" ht="22.5" customHeight="1" x14ac:dyDescent="0.5">
      <c r="A138" s="23"/>
      <c r="B138" s="301" t="s">
        <v>299</v>
      </c>
      <c r="C138" s="25"/>
      <c r="D138" s="43"/>
      <c r="E138" s="302"/>
      <c r="F138" s="303"/>
      <c r="G138" s="304"/>
      <c r="H138" s="304"/>
      <c r="I138" s="304"/>
      <c r="J138" s="30"/>
      <c r="K138" s="31"/>
      <c r="L138" s="32"/>
      <c r="M138" s="297"/>
      <c r="N138" s="216"/>
      <c r="O138" s="114">
        <f t="shared" si="8"/>
        <v>0</v>
      </c>
      <c r="P138" s="114">
        <v>0</v>
      </c>
      <c r="Q138" s="36">
        <f t="shared" si="9"/>
        <v>0</v>
      </c>
      <c r="R138" s="2"/>
    </row>
    <row r="139" spans="1:19" ht="22.5" customHeight="1" x14ac:dyDescent="0.5">
      <c r="A139" s="208">
        <v>1</v>
      </c>
      <c r="B139" s="209" t="s">
        <v>300</v>
      </c>
      <c r="C139" s="210" t="s">
        <v>301</v>
      </c>
      <c r="D139" s="298">
        <v>5600</v>
      </c>
      <c r="E139" s="299" t="s">
        <v>61</v>
      </c>
      <c r="F139" s="300" t="s">
        <v>35</v>
      </c>
      <c r="G139" s="214">
        <v>5600</v>
      </c>
      <c r="H139" s="214">
        <v>0</v>
      </c>
      <c r="I139" s="214">
        <v>5600</v>
      </c>
      <c r="J139" s="30">
        <v>25120</v>
      </c>
      <c r="K139" s="31" t="s">
        <v>639</v>
      </c>
      <c r="L139" s="32">
        <v>5600</v>
      </c>
      <c r="M139" s="215">
        <v>25112</v>
      </c>
      <c r="N139" s="216" t="s">
        <v>33</v>
      </c>
      <c r="O139" s="114">
        <f t="shared" si="8"/>
        <v>5600</v>
      </c>
      <c r="P139" s="114">
        <v>0</v>
      </c>
      <c r="Q139" s="36">
        <f t="shared" si="9"/>
        <v>5600</v>
      </c>
      <c r="R139" s="2"/>
    </row>
    <row r="140" spans="1:19" ht="22.5" customHeight="1" x14ac:dyDescent="0.5">
      <c r="A140" s="208">
        <v>2</v>
      </c>
      <c r="B140" s="209" t="s">
        <v>303</v>
      </c>
      <c r="C140" s="210" t="s">
        <v>304</v>
      </c>
      <c r="D140" s="298">
        <v>2800</v>
      </c>
      <c r="E140" s="299"/>
      <c r="F140" s="300"/>
      <c r="G140" s="214">
        <v>0</v>
      </c>
      <c r="H140" s="214">
        <v>0</v>
      </c>
      <c r="I140" s="214">
        <v>0</v>
      </c>
      <c r="J140" s="30"/>
      <c r="K140" s="249"/>
      <c r="L140" s="221"/>
      <c r="M140" s="215">
        <v>25112</v>
      </c>
      <c r="N140" s="216" t="s">
        <v>33</v>
      </c>
      <c r="O140" s="114">
        <f t="shared" si="8"/>
        <v>2800</v>
      </c>
      <c r="P140" s="114">
        <v>0</v>
      </c>
      <c r="Q140" s="36">
        <f t="shared" si="9"/>
        <v>2800</v>
      </c>
      <c r="R140" s="2"/>
    </row>
    <row r="141" spans="1:19" ht="22.5" customHeight="1" x14ac:dyDescent="0.5">
      <c r="A141" s="208">
        <v>3</v>
      </c>
      <c r="B141" s="209" t="s">
        <v>306</v>
      </c>
      <c r="C141" s="210" t="s">
        <v>307</v>
      </c>
      <c r="D141" s="298">
        <v>5600</v>
      </c>
      <c r="E141" s="299"/>
      <c r="F141" s="300"/>
      <c r="G141" s="214">
        <v>0</v>
      </c>
      <c r="H141" s="214">
        <v>0</v>
      </c>
      <c r="I141" s="214">
        <v>0</v>
      </c>
      <c r="J141" s="30">
        <v>25141</v>
      </c>
      <c r="K141" s="31" t="s">
        <v>638</v>
      </c>
      <c r="L141" s="32">
        <v>5600</v>
      </c>
      <c r="M141" s="215"/>
      <c r="N141" s="216"/>
      <c r="O141" s="114">
        <f t="shared" si="8"/>
        <v>0</v>
      </c>
      <c r="P141" s="114">
        <v>0</v>
      </c>
      <c r="Q141" s="36">
        <f t="shared" si="9"/>
        <v>0</v>
      </c>
      <c r="R141" s="218"/>
      <c r="S141" s="309"/>
    </row>
    <row r="142" spans="1:19" ht="22.5" customHeight="1" x14ac:dyDescent="0.5">
      <c r="A142" s="208">
        <v>4</v>
      </c>
      <c r="B142" s="73" t="s">
        <v>308</v>
      </c>
      <c r="C142" s="25" t="s">
        <v>309</v>
      </c>
      <c r="D142" s="43">
        <v>8400</v>
      </c>
      <c r="E142" s="212"/>
      <c r="F142" s="213"/>
      <c r="G142" s="219">
        <v>0</v>
      </c>
      <c r="H142" s="219">
        <v>0</v>
      </c>
      <c r="I142" s="219">
        <v>0</v>
      </c>
      <c r="J142" s="30"/>
      <c r="K142" s="31"/>
      <c r="L142" s="32"/>
      <c r="M142" s="215">
        <v>25112</v>
      </c>
      <c r="N142" s="216" t="s">
        <v>33</v>
      </c>
      <c r="O142" s="114">
        <f t="shared" si="8"/>
        <v>8400</v>
      </c>
      <c r="P142" s="114">
        <v>0</v>
      </c>
      <c r="Q142" s="36">
        <f t="shared" si="9"/>
        <v>8400</v>
      </c>
    </row>
    <row r="143" spans="1:19" ht="22.5" customHeight="1" x14ac:dyDescent="0.5">
      <c r="A143" s="208">
        <v>5</v>
      </c>
      <c r="B143" s="73" t="s">
        <v>261</v>
      </c>
      <c r="C143" s="25" t="s">
        <v>311</v>
      </c>
      <c r="D143" s="43">
        <v>2800</v>
      </c>
      <c r="E143" s="212"/>
      <c r="F143" s="213"/>
      <c r="G143" s="219">
        <v>0</v>
      </c>
      <c r="H143" s="219">
        <v>0</v>
      </c>
      <c r="I143" s="219">
        <v>0</v>
      </c>
      <c r="J143" s="30">
        <v>25125</v>
      </c>
      <c r="K143" s="31" t="s">
        <v>628</v>
      </c>
      <c r="L143" s="32">
        <v>2800</v>
      </c>
      <c r="M143" s="215"/>
      <c r="N143" s="216"/>
      <c r="O143" s="114">
        <f t="shared" si="8"/>
        <v>0</v>
      </c>
      <c r="P143" s="114">
        <v>0</v>
      </c>
      <c r="Q143" s="36">
        <f t="shared" si="9"/>
        <v>0</v>
      </c>
    </row>
    <row r="144" spans="1:19" ht="22.5" customHeight="1" x14ac:dyDescent="0.5">
      <c r="A144" s="148">
        <v>6</v>
      </c>
      <c r="B144" s="310" t="s">
        <v>261</v>
      </c>
      <c r="C144" s="311" t="s">
        <v>312</v>
      </c>
      <c r="D144" s="312">
        <v>2800</v>
      </c>
      <c r="E144" s="27"/>
      <c r="F144" s="75"/>
      <c r="G144" s="76">
        <v>0</v>
      </c>
      <c r="H144" s="76">
        <v>0</v>
      </c>
      <c r="I144" s="76">
        <v>0</v>
      </c>
      <c r="J144" s="30">
        <v>25125</v>
      </c>
      <c r="K144" s="31" t="s">
        <v>628</v>
      </c>
      <c r="L144" s="32">
        <v>2800</v>
      </c>
      <c r="M144" s="215"/>
      <c r="N144" s="216"/>
      <c r="O144" s="114">
        <f t="shared" si="8"/>
        <v>0</v>
      </c>
      <c r="P144" s="114">
        <v>0</v>
      </c>
      <c r="Q144" s="36">
        <f t="shared" si="9"/>
        <v>0</v>
      </c>
    </row>
    <row r="145" spans="1:17" ht="22.5" customHeight="1" x14ac:dyDescent="0.5">
      <c r="A145" s="208">
        <v>7</v>
      </c>
      <c r="B145" s="73" t="s">
        <v>313</v>
      </c>
      <c r="C145" s="25" t="s">
        <v>314</v>
      </c>
      <c r="D145" s="43">
        <v>2800</v>
      </c>
      <c r="E145" s="212"/>
      <c r="F145" s="213"/>
      <c r="G145" s="219">
        <v>0</v>
      </c>
      <c r="H145" s="219">
        <v>0</v>
      </c>
      <c r="I145" s="219">
        <v>0</v>
      </c>
      <c r="J145" s="30"/>
      <c r="K145" s="31"/>
      <c r="L145" s="32"/>
      <c r="M145" s="215">
        <v>25112</v>
      </c>
      <c r="N145" s="216" t="s">
        <v>33</v>
      </c>
      <c r="O145" s="114">
        <f t="shared" si="8"/>
        <v>2800</v>
      </c>
      <c r="P145" s="114">
        <v>0</v>
      </c>
      <c r="Q145" s="36">
        <f t="shared" si="9"/>
        <v>2800</v>
      </c>
    </row>
    <row r="146" spans="1:17" ht="22.5" customHeight="1" x14ac:dyDescent="0.5">
      <c r="A146" s="23"/>
      <c r="B146" s="301" t="s">
        <v>315</v>
      </c>
      <c r="C146" s="25"/>
      <c r="D146" s="43"/>
      <c r="E146" s="302"/>
      <c r="F146" s="303"/>
      <c r="G146" s="304"/>
      <c r="H146" s="304"/>
      <c r="I146" s="304">
        <v>0</v>
      </c>
      <c r="J146" s="30"/>
      <c r="K146" s="31"/>
      <c r="L146" s="32"/>
      <c r="M146" s="297"/>
      <c r="N146" s="216"/>
      <c r="O146" s="114">
        <f t="shared" si="8"/>
        <v>0</v>
      </c>
      <c r="P146" s="114">
        <v>0</v>
      </c>
      <c r="Q146" s="36">
        <f t="shared" si="9"/>
        <v>0</v>
      </c>
    </row>
    <row r="147" spans="1:17" ht="22.5" customHeight="1" x14ac:dyDescent="0.5">
      <c r="A147" s="23">
        <v>1</v>
      </c>
      <c r="B147" s="73" t="s">
        <v>261</v>
      </c>
      <c r="C147" s="25" t="s">
        <v>316</v>
      </c>
      <c r="D147" s="43">
        <v>2800</v>
      </c>
      <c r="E147" s="212"/>
      <c r="F147" s="213"/>
      <c r="G147" s="219">
        <v>0</v>
      </c>
      <c r="H147" s="219">
        <v>0</v>
      </c>
      <c r="I147" s="219">
        <v>0</v>
      </c>
      <c r="J147" s="30">
        <v>25125</v>
      </c>
      <c r="K147" s="31" t="s">
        <v>628</v>
      </c>
      <c r="L147" s="32">
        <v>2800</v>
      </c>
      <c r="M147" s="215"/>
      <c r="N147" s="216"/>
      <c r="O147" s="114">
        <f t="shared" si="8"/>
        <v>0</v>
      </c>
      <c r="P147" s="114">
        <v>0</v>
      </c>
      <c r="Q147" s="36">
        <f t="shared" si="9"/>
        <v>0</v>
      </c>
    </row>
    <row r="148" spans="1:17" ht="22.5" customHeight="1" x14ac:dyDescent="0.5">
      <c r="A148" s="23">
        <v>2</v>
      </c>
      <c r="B148" s="73" t="s">
        <v>317</v>
      </c>
      <c r="C148" s="25" t="s">
        <v>318</v>
      </c>
      <c r="D148" s="43">
        <v>2800</v>
      </c>
      <c r="E148" s="212"/>
      <c r="F148" s="213"/>
      <c r="G148" s="313">
        <v>0</v>
      </c>
      <c r="H148" s="219">
        <v>0</v>
      </c>
      <c r="I148" s="313">
        <v>0</v>
      </c>
      <c r="J148" s="30">
        <v>25113</v>
      </c>
      <c r="K148" s="31" t="s">
        <v>640</v>
      </c>
      <c r="L148" s="32">
        <v>2800</v>
      </c>
      <c r="M148" s="307"/>
      <c r="N148" s="307"/>
      <c r="O148" s="114">
        <f t="shared" si="8"/>
        <v>0</v>
      </c>
      <c r="P148" s="114">
        <v>0</v>
      </c>
      <c r="Q148" s="36">
        <f t="shared" si="9"/>
        <v>0</v>
      </c>
    </row>
    <row r="149" spans="1:17" ht="22.5" customHeight="1" x14ac:dyDescent="0.5">
      <c r="A149" s="23">
        <v>3</v>
      </c>
      <c r="B149" s="73" t="s">
        <v>320</v>
      </c>
      <c r="C149" s="25" t="s">
        <v>321</v>
      </c>
      <c r="D149" s="43">
        <v>2800</v>
      </c>
      <c r="E149" s="212" t="s">
        <v>61</v>
      </c>
      <c r="F149" s="213" t="s">
        <v>35</v>
      </c>
      <c r="G149" s="219">
        <v>2800</v>
      </c>
      <c r="H149" s="219">
        <v>0</v>
      </c>
      <c r="I149" s="219">
        <v>2800</v>
      </c>
      <c r="J149" s="30" t="s">
        <v>641</v>
      </c>
      <c r="K149" s="31" t="s">
        <v>642</v>
      </c>
      <c r="L149" s="32">
        <v>5600</v>
      </c>
      <c r="M149" s="307"/>
      <c r="N149" s="308"/>
      <c r="O149" s="114">
        <f t="shared" si="8"/>
        <v>0</v>
      </c>
      <c r="P149" s="114">
        <v>0</v>
      </c>
      <c r="Q149" s="36">
        <f t="shared" si="9"/>
        <v>0</v>
      </c>
    </row>
    <row r="150" spans="1:17" ht="22.5" customHeight="1" x14ac:dyDescent="0.5">
      <c r="A150" s="23">
        <v>4</v>
      </c>
      <c r="B150" s="73" t="s">
        <v>322</v>
      </c>
      <c r="C150" s="25" t="s">
        <v>323</v>
      </c>
      <c r="D150" s="43">
        <v>5600</v>
      </c>
      <c r="E150" s="212"/>
      <c r="F150" s="213"/>
      <c r="G150" s="219">
        <v>-11200</v>
      </c>
      <c r="H150" s="219">
        <v>0</v>
      </c>
      <c r="I150" s="219">
        <v>-11200</v>
      </c>
      <c r="J150" s="30">
        <v>25139</v>
      </c>
      <c r="K150" s="31" t="s">
        <v>643</v>
      </c>
      <c r="L150" s="32">
        <v>5600</v>
      </c>
      <c r="M150" s="314" t="s">
        <v>618</v>
      </c>
      <c r="N150" s="315"/>
      <c r="O150" s="114">
        <f t="shared" si="8"/>
        <v>-11200</v>
      </c>
      <c r="P150" s="114">
        <v>0</v>
      </c>
      <c r="Q150" s="36">
        <f t="shared" si="9"/>
        <v>-11200</v>
      </c>
    </row>
    <row r="151" spans="1:17" ht="22.5" customHeight="1" x14ac:dyDescent="0.5">
      <c r="A151" s="23">
        <v>5</v>
      </c>
      <c r="B151" s="73" t="s">
        <v>293</v>
      </c>
      <c r="C151" s="25" t="s">
        <v>326</v>
      </c>
      <c r="D151" s="43">
        <v>5600</v>
      </c>
      <c r="E151" s="212"/>
      <c r="F151" s="213"/>
      <c r="G151" s="219">
        <v>0</v>
      </c>
      <c r="H151" s="219">
        <v>0</v>
      </c>
      <c r="I151" s="219">
        <v>0</v>
      </c>
      <c r="J151" s="30">
        <v>25118</v>
      </c>
      <c r="K151" s="31" t="s">
        <v>637</v>
      </c>
      <c r="L151" s="32">
        <v>5600</v>
      </c>
      <c r="M151" s="215"/>
      <c r="N151" s="216"/>
      <c r="O151" s="114">
        <f t="shared" si="8"/>
        <v>0</v>
      </c>
      <c r="P151" s="114">
        <v>0</v>
      </c>
      <c r="Q151" s="36">
        <f t="shared" si="9"/>
        <v>0</v>
      </c>
    </row>
    <row r="152" spans="1:17" ht="22.5" customHeight="1" x14ac:dyDescent="0.5">
      <c r="A152" s="23">
        <v>6</v>
      </c>
      <c r="B152" s="73" t="s">
        <v>293</v>
      </c>
      <c r="C152" s="25" t="s">
        <v>327</v>
      </c>
      <c r="D152" s="43">
        <v>5600</v>
      </c>
      <c r="E152" s="212"/>
      <c r="F152" s="213"/>
      <c r="G152" s="219">
        <v>0</v>
      </c>
      <c r="H152" s="219">
        <v>0</v>
      </c>
      <c r="I152" s="219">
        <v>0</v>
      </c>
      <c r="J152" s="30">
        <v>25118</v>
      </c>
      <c r="K152" s="31" t="s">
        <v>637</v>
      </c>
      <c r="L152" s="32">
        <v>5600</v>
      </c>
      <c r="M152" s="215"/>
      <c r="N152" s="216"/>
      <c r="O152" s="114">
        <f t="shared" si="8"/>
        <v>0</v>
      </c>
      <c r="P152" s="114">
        <v>0</v>
      </c>
      <c r="Q152" s="36">
        <f t="shared" si="9"/>
        <v>0</v>
      </c>
    </row>
    <row r="153" spans="1:17" s="60" customFormat="1" ht="22.5" customHeight="1" thickBot="1" x14ac:dyDescent="0.35">
      <c r="A153" s="317"/>
      <c r="B153" s="317" t="s">
        <v>15</v>
      </c>
      <c r="C153" s="318"/>
      <c r="D153" s="319">
        <f>SUM(D112:D152)</f>
        <v>222950</v>
      </c>
      <c r="E153" s="320"/>
      <c r="F153" s="321"/>
      <c r="G153" s="319">
        <f>SUM(G112:G152)-G150</f>
        <v>65450</v>
      </c>
      <c r="H153" s="319">
        <f>SUM(H112:H152)-H150</f>
        <v>0</v>
      </c>
      <c r="I153" s="319">
        <f>SUM(I112:I152)-I150</f>
        <v>65450</v>
      </c>
      <c r="J153" s="322"/>
      <c r="K153" s="322"/>
      <c r="L153" s="323">
        <f>SUM(L112:L152)</f>
        <v>225400</v>
      </c>
      <c r="M153" s="324"/>
      <c r="N153" s="325"/>
      <c r="O153" s="323">
        <f>SUM(O112:O152)-O150</f>
        <v>63000</v>
      </c>
      <c r="P153" s="323">
        <f>SUM(P112:P152)-P150</f>
        <v>0</v>
      </c>
      <c r="Q153" s="323">
        <f>SUM(Q112:Q152)-Q150</f>
        <v>63000</v>
      </c>
    </row>
    <row r="154" spans="1:17" ht="22.5" customHeight="1" thickTop="1" x14ac:dyDescent="0.5">
      <c r="A154" s="61"/>
      <c r="B154" s="327" t="s">
        <v>328</v>
      </c>
      <c r="C154" s="63"/>
      <c r="D154" s="64"/>
      <c r="E154" s="65"/>
      <c r="F154" s="66"/>
      <c r="G154" s="67"/>
      <c r="H154" s="67"/>
      <c r="I154" s="67"/>
      <c r="J154" s="286"/>
      <c r="K154" s="286"/>
      <c r="L154" s="328"/>
      <c r="M154" s="69"/>
      <c r="N154" s="70"/>
      <c r="O154" s="71"/>
      <c r="P154" s="71"/>
      <c r="Q154" s="72"/>
    </row>
    <row r="155" spans="1:17" ht="22.5" customHeight="1" x14ac:dyDescent="0.5">
      <c r="A155" s="23">
        <v>1</v>
      </c>
      <c r="B155" s="24" t="s">
        <v>329</v>
      </c>
      <c r="C155" s="25" t="s">
        <v>330</v>
      </c>
      <c r="D155" s="43">
        <v>130536.37</v>
      </c>
      <c r="E155" s="212" t="s">
        <v>61</v>
      </c>
      <c r="F155" s="213" t="s">
        <v>35</v>
      </c>
      <c r="G155" s="219">
        <v>130536.37</v>
      </c>
      <c r="H155" s="329">
        <v>0</v>
      </c>
      <c r="I155" s="329">
        <v>130536.37</v>
      </c>
      <c r="J155" s="30" t="s">
        <v>553</v>
      </c>
      <c r="K155" s="31" t="s">
        <v>644</v>
      </c>
      <c r="L155" s="32">
        <v>261072.74</v>
      </c>
      <c r="M155" s="41"/>
      <c r="N155" s="34"/>
      <c r="O155" s="330">
        <f>SUM(D155+I155-L155)</f>
        <v>0</v>
      </c>
      <c r="P155" s="330">
        <v>0</v>
      </c>
      <c r="Q155" s="36">
        <f>SUM(D155+I155-L155)</f>
        <v>0</v>
      </c>
    </row>
    <row r="156" spans="1:17" ht="22.5" customHeight="1" x14ac:dyDescent="0.5">
      <c r="A156" s="23">
        <v>2</v>
      </c>
      <c r="B156" s="24" t="s">
        <v>329</v>
      </c>
      <c r="C156" s="25" t="s">
        <v>331</v>
      </c>
      <c r="D156" s="64">
        <v>96520.67</v>
      </c>
      <c r="E156" s="212" t="s">
        <v>61</v>
      </c>
      <c r="F156" s="213" t="s">
        <v>35</v>
      </c>
      <c r="G156" s="219">
        <v>96520.67</v>
      </c>
      <c r="H156" s="329">
        <v>0</v>
      </c>
      <c r="I156" s="329">
        <v>96520.67</v>
      </c>
      <c r="J156" s="30" t="s">
        <v>553</v>
      </c>
      <c r="K156" s="31" t="s">
        <v>645</v>
      </c>
      <c r="L156" s="32">
        <v>193041.34</v>
      </c>
      <c r="M156" s="41"/>
      <c r="N156" s="34"/>
      <c r="O156" s="330">
        <f t="shared" ref="O156:O162" si="10">SUM(D156+I156-L156)</f>
        <v>0</v>
      </c>
      <c r="P156" s="330">
        <v>0</v>
      </c>
      <c r="Q156" s="36">
        <f t="shared" ref="Q156:Q162" si="11">SUM(D156+I156-L156)</f>
        <v>0</v>
      </c>
    </row>
    <row r="157" spans="1:17" ht="22.5" customHeight="1" x14ac:dyDescent="0.5">
      <c r="A157" s="23">
        <v>3</v>
      </c>
      <c r="B157" s="24" t="s">
        <v>332</v>
      </c>
      <c r="C157" s="25" t="s">
        <v>333</v>
      </c>
      <c r="D157" s="43">
        <v>63810</v>
      </c>
      <c r="E157" s="212"/>
      <c r="F157" s="213"/>
      <c r="G157" s="329">
        <v>0</v>
      </c>
      <c r="H157" s="329">
        <v>0</v>
      </c>
      <c r="I157" s="329">
        <v>0</v>
      </c>
      <c r="J157" s="30">
        <v>25113</v>
      </c>
      <c r="K157" s="31" t="s">
        <v>646</v>
      </c>
      <c r="L157" s="32">
        <v>63810</v>
      </c>
      <c r="M157" s="41"/>
      <c r="N157" s="34"/>
      <c r="O157" s="330">
        <f t="shared" si="10"/>
        <v>0</v>
      </c>
      <c r="P157" s="330">
        <v>0</v>
      </c>
      <c r="Q157" s="36">
        <f t="shared" si="11"/>
        <v>0</v>
      </c>
    </row>
    <row r="158" spans="1:17" ht="22.5" customHeight="1" x14ac:dyDescent="0.5">
      <c r="A158" s="331">
        <v>4</v>
      </c>
      <c r="B158" s="332" t="s">
        <v>335</v>
      </c>
      <c r="C158" s="81" t="s">
        <v>336</v>
      </c>
      <c r="D158" s="333">
        <v>60170</v>
      </c>
      <c r="E158" s="234"/>
      <c r="F158" s="228"/>
      <c r="G158" s="334">
        <v>0</v>
      </c>
      <c r="H158" s="334">
        <v>0</v>
      </c>
      <c r="I158" s="334">
        <v>0</v>
      </c>
      <c r="J158" s="335">
        <v>25127</v>
      </c>
      <c r="K158" s="336" t="s">
        <v>647</v>
      </c>
      <c r="L158" s="337">
        <v>60170</v>
      </c>
      <c r="M158" s="338"/>
      <c r="N158" s="112"/>
      <c r="O158" s="330">
        <f t="shared" si="10"/>
        <v>0</v>
      </c>
      <c r="P158" s="339">
        <v>0</v>
      </c>
      <c r="Q158" s="36">
        <f t="shared" si="11"/>
        <v>0</v>
      </c>
    </row>
    <row r="159" spans="1:17" ht="22.5" customHeight="1" x14ac:dyDescent="0.5">
      <c r="A159" s="23">
        <v>5</v>
      </c>
      <c r="B159" s="24" t="s">
        <v>338</v>
      </c>
      <c r="C159" s="25" t="s">
        <v>339</v>
      </c>
      <c r="D159" s="341">
        <v>23527.65</v>
      </c>
      <c r="E159" s="212"/>
      <c r="F159" s="213"/>
      <c r="G159" s="219">
        <v>0</v>
      </c>
      <c r="H159" s="329">
        <v>0</v>
      </c>
      <c r="I159" s="329">
        <v>0</v>
      </c>
      <c r="J159" s="335">
        <v>25118</v>
      </c>
      <c r="K159" s="336" t="s">
        <v>648</v>
      </c>
      <c r="L159" s="342">
        <v>23527.65</v>
      </c>
      <c r="M159" s="41"/>
      <c r="N159" s="34"/>
      <c r="O159" s="330">
        <f t="shared" si="10"/>
        <v>0</v>
      </c>
      <c r="P159" s="330">
        <v>0</v>
      </c>
      <c r="Q159" s="36">
        <f t="shared" si="11"/>
        <v>0</v>
      </c>
    </row>
    <row r="160" spans="1:17" ht="22.5" customHeight="1" x14ac:dyDescent="0.5">
      <c r="A160" s="61">
        <v>6</v>
      </c>
      <c r="B160" s="343" t="s">
        <v>341</v>
      </c>
      <c r="C160" s="165" t="s">
        <v>342</v>
      </c>
      <c r="D160" s="344">
        <v>20715.32</v>
      </c>
      <c r="E160" s="167"/>
      <c r="F160" s="213"/>
      <c r="G160" s="219">
        <v>0</v>
      </c>
      <c r="H160" s="329">
        <v>0</v>
      </c>
      <c r="I160" s="329">
        <v>0</v>
      </c>
      <c r="J160" s="345">
        <v>25136</v>
      </c>
      <c r="K160" s="346" t="s">
        <v>649</v>
      </c>
      <c r="L160" s="347">
        <v>20715.32</v>
      </c>
      <c r="M160" s="41"/>
      <c r="N160" s="34"/>
      <c r="O160" s="330">
        <f t="shared" si="10"/>
        <v>0</v>
      </c>
      <c r="P160" s="330">
        <v>0</v>
      </c>
      <c r="Q160" s="36">
        <f t="shared" si="11"/>
        <v>0</v>
      </c>
    </row>
    <row r="161" spans="1:17" ht="22.5" customHeight="1" x14ac:dyDescent="0.5">
      <c r="A161" s="331">
        <v>7</v>
      </c>
      <c r="B161" s="332" t="s">
        <v>344</v>
      </c>
      <c r="C161" s="81" t="s">
        <v>345</v>
      </c>
      <c r="D161" s="348">
        <v>21986</v>
      </c>
      <c r="E161" s="349"/>
      <c r="F161" s="213"/>
      <c r="G161" s="219">
        <v>0</v>
      </c>
      <c r="H161" s="329">
        <v>0</v>
      </c>
      <c r="I161" s="329">
        <v>0</v>
      </c>
      <c r="J161" s="182"/>
      <c r="K161" s="350"/>
      <c r="L161" s="337"/>
      <c r="M161" s="41" t="s">
        <v>559</v>
      </c>
      <c r="N161" s="34" t="s">
        <v>33</v>
      </c>
      <c r="O161" s="330">
        <f t="shared" si="10"/>
        <v>21986</v>
      </c>
      <c r="P161" s="339">
        <v>0</v>
      </c>
      <c r="Q161" s="36">
        <f t="shared" si="11"/>
        <v>21986</v>
      </c>
    </row>
    <row r="162" spans="1:17" s="356" customFormat="1" ht="22.5" customHeight="1" x14ac:dyDescent="0.5">
      <c r="A162" s="253">
        <v>8</v>
      </c>
      <c r="B162" s="24" t="s">
        <v>347</v>
      </c>
      <c r="C162" s="351" t="s">
        <v>348</v>
      </c>
      <c r="D162" s="352">
        <v>20000</v>
      </c>
      <c r="E162" s="353"/>
      <c r="F162" s="228"/>
      <c r="G162" s="329">
        <v>0</v>
      </c>
      <c r="H162" s="329">
        <v>0</v>
      </c>
      <c r="I162" s="329">
        <v>0</v>
      </c>
      <c r="J162" s="30">
        <v>25132</v>
      </c>
      <c r="K162" s="31" t="s">
        <v>650</v>
      </c>
      <c r="L162" s="32">
        <v>20000</v>
      </c>
      <c r="M162" s="354"/>
      <c r="N162" s="355"/>
      <c r="O162" s="330">
        <f t="shared" si="10"/>
        <v>0</v>
      </c>
      <c r="P162" s="330">
        <v>0</v>
      </c>
      <c r="Q162" s="36">
        <f t="shared" si="11"/>
        <v>0</v>
      </c>
    </row>
    <row r="163" spans="1:17" s="60" customFormat="1" ht="22.5" customHeight="1" thickBot="1" x14ac:dyDescent="0.35">
      <c r="A163" s="317"/>
      <c r="B163" s="317" t="s">
        <v>15</v>
      </c>
      <c r="C163" s="357"/>
      <c r="D163" s="358">
        <f>SUM(D155:D162)</f>
        <v>437266.01</v>
      </c>
      <c r="E163" s="320"/>
      <c r="F163" s="321"/>
      <c r="G163" s="359">
        <f>SUM(G155:G162)</f>
        <v>227057.03999999998</v>
      </c>
      <c r="H163" s="359">
        <f>SUM(H155:H162)</f>
        <v>0</v>
      </c>
      <c r="I163" s="359">
        <f>SUM(I155:I162)</f>
        <v>227057.03999999998</v>
      </c>
      <c r="J163" s="360"/>
      <c r="K163" s="361"/>
      <c r="L163" s="358">
        <f>SUM(L155:L162)</f>
        <v>642337.04999999993</v>
      </c>
      <c r="M163" s="362"/>
      <c r="N163" s="363"/>
      <c r="O163" s="364">
        <f>SUM(O155:O162)</f>
        <v>21986</v>
      </c>
      <c r="P163" s="364">
        <f>SUM(P155:P162)</f>
        <v>0</v>
      </c>
      <c r="Q163" s="364">
        <f>SUM(Q155:Q162)</f>
        <v>21986</v>
      </c>
    </row>
    <row r="164" spans="1:17" ht="22.5" customHeight="1" thickTop="1" x14ac:dyDescent="0.3">
      <c r="A164" s="115"/>
      <c r="B164" s="164" t="s">
        <v>350</v>
      </c>
      <c r="C164" s="366"/>
      <c r="D164" s="86"/>
      <c r="E164" s="167"/>
      <c r="F164" s="168"/>
      <c r="G164" s="255"/>
      <c r="H164" s="255"/>
      <c r="I164" s="255"/>
      <c r="J164" s="367"/>
      <c r="K164" s="368"/>
      <c r="L164" s="369"/>
      <c r="M164" s="117"/>
      <c r="N164" s="118"/>
      <c r="O164" s="172"/>
      <c r="P164" s="172"/>
      <c r="Q164" s="370"/>
    </row>
    <row r="165" spans="1:17" ht="22.5" customHeight="1" x14ac:dyDescent="0.5">
      <c r="A165" s="23">
        <v>1</v>
      </c>
      <c r="B165" s="290" t="s">
        <v>147</v>
      </c>
      <c r="C165" s="371" t="s">
        <v>351</v>
      </c>
      <c r="D165" s="43">
        <v>1400</v>
      </c>
      <c r="E165" s="212"/>
      <c r="F165" s="213"/>
      <c r="G165" s="219">
        <v>0</v>
      </c>
      <c r="H165" s="219">
        <v>0</v>
      </c>
      <c r="I165" s="219">
        <v>0</v>
      </c>
      <c r="J165" s="30">
        <v>25120</v>
      </c>
      <c r="K165" s="220" t="s">
        <v>656</v>
      </c>
      <c r="L165" s="221">
        <v>1400</v>
      </c>
      <c r="M165" s="372"/>
      <c r="N165" s="373"/>
      <c r="O165" s="114">
        <f t="shared" ref="O165:O170" si="12">SUM(D165+I165-L165)</f>
        <v>0</v>
      </c>
      <c r="P165" s="114">
        <v>0</v>
      </c>
      <c r="Q165" s="36">
        <f t="shared" ref="Q165:Q170" si="13">SUM(O165)</f>
        <v>0</v>
      </c>
    </row>
    <row r="166" spans="1:17" ht="22.5" customHeight="1" x14ac:dyDescent="0.5">
      <c r="A166" s="23">
        <v>2</v>
      </c>
      <c r="B166" s="290" t="s">
        <v>353</v>
      </c>
      <c r="C166" s="371" t="s">
        <v>354</v>
      </c>
      <c r="D166" s="43">
        <v>11000</v>
      </c>
      <c r="E166" s="212" t="s">
        <v>114</v>
      </c>
      <c r="F166" s="213" t="s">
        <v>115</v>
      </c>
      <c r="G166" s="219">
        <v>22000</v>
      </c>
      <c r="H166" s="219">
        <v>0</v>
      </c>
      <c r="I166" s="219">
        <v>22000</v>
      </c>
      <c r="J166" s="30" t="s">
        <v>578</v>
      </c>
      <c r="K166" s="220" t="s">
        <v>657</v>
      </c>
      <c r="L166" s="221">
        <v>22000</v>
      </c>
      <c r="M166" s="215">
        <v>25112</v>
      </c>
      <c r="N166" s="216" t="s">
        <v>33</v>
      </c>
      <c r="O166" s="114">
        <f t="shared" si="12"/>
        <v>11000</v>
      </c>
      <c r="P166" s="114">
        <v>1</v>
      </c>
      <c r="Q166" s="36">
        <f t="shared" si="13"/>
        <v>11000</v>
      </c>
    </row>
    <row r="167" spans="1:17" ht="22.5" customHeight="1" x14ac:dyDescent="0.5">
      <c r="A167" s="23">
        <v>3</v>
      </c>
      <c r="B167" s="290" t="s">
        <v>355</v>
      </c>
      <c r="C167" s="371" t="s">
        <v>356</v>
      </c>
      <c r="D167" s="43">
        <v>9400</v>
      </c>
      <c r="E167" s="212" t="s">
        <v>61</v>
      </c>
      <c r="F167" s="213" t="s">
        <v>35</v>
      </c>
      <c r="G167" s="219">
        <v>9400</v>
      </c>
      <c r="H167" s="219">
        <v>0</v>
      </c>
      <c r="I167" s="219">
        <v>9400</v>
      </c>
      <c r="J167" s="30">
        <v>25128</v>
      </c>
      <c r="K167" s="220" t="s">
        <v>658</v>
      </c>
      <c r="L167" s="221">
        <v>9400</v>
      </c>
      <c r="M167" s="215">
        <v>25112</v>
      </c>
      <c r="N167" s="216" t="s">
        <v>33</v>
      </c>
      <c r="O167" s="114">
        <f t="shared" si="12"/>
        <v>9400</v>
      </c>
      <c r="P167" s="114">
        <v>2</v>
      </c>
      <c r="Q167" s="36">
        <f t="shared" si="13"/>
        <v>9400</v>
      </c>
    </row>
    <row r="168" spans="1:17" ht="22.5" customHeight="1" x14ac:dyDescent="0.5">
      <c r="A168" s="331">
        <v>5</v>
      </c>
      <c r="B168" s="374" t="s">
        <v>358</v>
      </c>
      <c r="C168" s="375" t="s">
        <v>356</v>
      </c>
      <c r="D168" s="79">
        <v>9810</v>
      </c>
      <c r="E168" s="234" t="s">
        <v>61</v>
      </c>
      <c r="F168" s="228" t="s">
        <v>35</v>
      </c>
      <c r="G168" s="219">
        <v>9810</v>
      </c>
      <c r="H168" s="219">
        <v>0</v>
      </c>
      <c r="I168" s="219">
        <v>9810</v>
      </c>
      <c r="J168" s="38">
        <v>25142</v>
      </c>
      <c r="K168" s="376" t="s">
        <v>659</v>
      </c>
      <c r="L168" s="246">
        <v>9810</v>
      </c>
      <c r="M168" s="215">
        <v>25112</v>
      </c>
      <c r="N168" s="216" t="s">
        <v>33</v>
      </c>
      <c r="O168" s="114">
        <f t="shared" si="12"/>
        <v>9810</v>
      </c>
      <c r="P168" s="114">
        <v>3</v>
      </c>
      <c r="Q168" s="36">
        <f t="shared" si="13"/>
        <v>9810</v>
      </c>
    </row>
    <row r="169" spans="1:17" ht="22.5" customHeight="1" x14ac:dyDescent="0.5">
      <c r="A169" s="377">
        <v>6</v>
      </c>
      <c r="B169" s="378" t="s">
        <v>359</v>
      </c>
      <c r="C169" s="311" t="s">
        <v>360</v>
      </c>
      <c r="D169" s="379">
        <v>6000</v>
      </c>
      <c r="E169" s="380"/>
      <c r="F169" s="75"/>
      <c r="G169" s="76">
        <v>0</v>
      </c>
      <c r="H169" s="219">
        <v>0</v>
      </c>
      <c r="I169" s="76">
        <v>0</v>
      </c>
      <c r="J169" s="38">
        <v>25117</v>
      </c>
      <c r="K169" s="376" t="s">
        <v>660</v>
      </c>
      <c r="L169" s="246">
        <v>6000</v>
      </c>
      <c r="M169" s="247"/>
      <c r="N169" s="248"/>
      <c r="O169" s="114">
        <f t="shared" si="12"/>
        <v>0</v>
      </c>
      <c r="P169" s="114">
        <v>4</v>
      </c>
      <c r="Q169" s="36">
        <f t="shared" si="13"/>
        <v>0</v>
      </c>
    </row>
    <row r="170" spans="1:17" ht="22.5" customHeight="1" x14ac:dyDescent="0.5">
      <c r="A170" s="381">
        <v>7</v>
      </c>
      <c r="B170" s="149" t="s">
        <v>281</v>
      </c>
      <c r="C170" s="311" t="s">
        <v>360</v>
      </c>
      <c r="D170" s="382">
        <v>3000</v>
      </c>
      <c r="E170" s="96" t="s">
        <v>362</v>
      </c>
      <c r="F170" s="97" t="s">
        <v>284</v>
      </c>
      <c r="G170" s="76">
        <v>9000</v>
      </c>
      <c r="H170" s="219">
        <v>0</v>
      </c>
      <c r="I170" s="76">
        <v>9000</v>
      </c>
      <c r="J170" s="30" t="s">
        <v>661</v>
      </c>
      <c r="K170" s="31" t="s">
        <v>662</v>
      </c>
      <c r="L170" s="32">
        <v>6000</v>
      </c>
      <c r="M170" s="215" t="s">
        <v>552</v>
      </c>
      <c r="N170" s="216" t="s">
        <v>115</v>
      </c>
      <c r="O170" s="114">
        <f t="shared" si="12"/>
        <v>6000</v>
      </c>
      <c r="P170" s="114">
        <v>5</v>
      </c>
      <c r="Q170" s="36">
        <f t="shared" si="13"/>
        <v>6000</v>
      </c>
    </row>
    <row r="171" spans="1:17" s="60" customFormat="1" ht="22.5" customHeight="1" thickBot="1" x14ac:dyDescent="0.35">
      <c r="A171" s="317"/>
      <c r="B171" s="317" t="s">
        <v>15</v>
      </c>
      <c r="C171" s="357"/>
      <c r="D171" s="383">
        <f>SUM(D165:D170)</f>
        <v>40610</v>
      </c>
      <c r="E171" s="320"/>
      <c r="F171" s="321"/>
      <c r="G171" s="383">
        <f>SUM(G165:G170)</f>
        <v>50210</v>
      </c>
      <c r="H171" s="383">
        <f>SUM(H165:H170)</f>
        <v>0</v>
      </c>
      <c r="I171" s="383">
        <f>SUM(I165:I170)</f>
        <v>50210</v>
      </c>
      <c r="J171" s="384"/>
      <c r="K171" s="384"/>
      <c r="L171" s="359">
        <f>SUM(L165:L170)</f>
        <v>54610</v>
      </c>
      <c r="M171" s="317"/>
      <c r="N171" s="321"/>
      <c r="O171" s="385">
        <f>SUM(O165:O170)</f>
        <v>36210</v>
      </c>
      <c r="P171" s="385">
        <v>0</v>
      </c>
      <c r="Q171" s="386">
        <f>SUM(Q165:Q170)</f>
        <v>36210</v>
      </c>
    </row>
    <row r="172" spans="1:17" ht="22.5" customHeight="1" thickTop="1" x14ac:dyDescent="0.3">
      <c r="A172" s="61"/>
      <c r="B172" s="62" t="s">
        <v>363</v>
      </c>
      <c r="C172" s="63"/>
      <c r="D172" s="64"/>
      <c r="E172" s="65"/>
      <c r="F172" s="66"/>
      <c r="G172" s="67"/>
      <c r="H172" s="67"/>
      <c r="I172" s="67"/>
      <c r="J172" s="286"/>
      <c r="K172" s="286"/>
      <c r="L172" s="328"/>
      <c r="M172" s="69"/>
      <c r="N172" s="70"/>
      <c r="O172" s="71"/>
      <c r="P172" s="71"/>
      <c r="Q172" s="387"/>
    </row>
    <row r="173" spans="1:17" ht="22.5" customHeight="1" x14ac:dyDescent="0.5">
      <c r="A173" s="208">
        <v>1</v>
      </c>
      <c r="B173" s="73" t="s">
        <v>364</v>
      </c>
      <c r="C173" s="25" t="s">
        <v>365</v>
      </c>
      <c r="D173" s="43">
        <v>10000</v>
      </c>
      <c r="E173" s="212"/>
      <c r="F173" s="228"/>
      <c r="G173" s="219">
        <v>0</v>
      </c>
      <c r="H173" s="219">
        <v>0</v>
      </c>
      <c r="I173" s="219">
        <v>0</v>
      </c>
      <c r="J173" s="30"/>
      <c r="K173" s="31"/>
      <c r="L173" s="32"/>
      <c r="M173" s="41" t="s">
        <v>559</v>
      </c>
      <c r="N173" s="34" t="s">
        <v>33</v>
      </c>
      <c r="O173" s="114">
        <f>SUM(D173+I173-L173)</f>
        <v>10000</v>
      </c>
      <c r="P173" s="114">
        <v>0</v>
      </c>
      <c r="Q173" s="36">
        <f>SUM(O173)</f>
        <v>10000</v>
      </c>
    </row>
    <row r="174" spans="1:17" ht="22.5" customHeight="1" x14ac:dyDescent="0.5">
      <c r="A174" s="208">
        <v>2</v>
      </c>
      <c r="B174" s="290" t="s">
        <v>367</v>
      </c>
      <c r="C174" s="25" t="s">
        <v>368</v>
      </c>
      <c r="D174" s="388">
        <v>5000</v>
      </c>
      <c r="E174" s="212"/>
      <c r="F174" s="228"/>
      <c r="G174" s="389">
        <v>0</v>
      </c>
      <c r="H174" s="219">
        <v>0</v>
      </c>
      <c r="I174" s="219">
        <v>0</v>
      </c>
      <c r="J174" s="250">
        <v>25121</v>
      </c>
      <c r="K174" s="251" t="s">
        <v>651</v>
      </c>
      <c r="L174" s="390">
        <v>5000</v>
      </c>
      <c r="M174" s="41"/>
      <c r="N174" s="34"/>
      <c r="O174" s="114">
        <f t="shared" ref="O174:O180" si="14">SUM(D174+I174-L174)</f>
        <v>0</v>
      </c>
      <c r="P174" s="114">
        <v>0</v>
      </c>
      <c r="Q174" s="36">
        <f t="shared" ref="Q174:Q180" si="15">SUM(O174)</f>
        <v>0</v>
      </c>
    </row>
    <row r="175" spans="1:17" ht="22.5" customHeight="1" x14ac:dyDescent="0.5">
      <c r="A175" s="391">
        <v>3</v>
      </c>
      <c r="B175" s="392" t="s">
        <v>370</v>
      </c>
      <c r="C175" s="63" t="s">
        <v>371</v>
      </c>
      <c r="D175" s="393">
        <v>12000</v>
      </c>
      <c r="E175" s="394"/>
      <c r="F175" s="395"/>
      <c r="G175" s="396">
        <v>0</v>
      </c>
      <c r="H175" s="397">
        <v>0</v>
      </c>
      <c r="I175" s="67">
        <v>0</v>
      </c>
      <c r="J175" s="30">
        <v>25131</v>
      </c>
      <c r="K175" s="31" t="s">
        <v>652</v>
      </c>
      <c r="L175" s="32">
        <v>12000</v>
      </c>
      <c r="M175" s="41"/>
      <c r="N175" s="34"/>
      <c r="O175" s="114">
        <f t="shared" si="14"/>
        <v>0</v>
      </c>
      <c r="P175" s="114">
        <v>0</v>
      </c>
      <c r="Q175" s="36">
        <f t="shared" si="15"/>
        <v>0</v>
      </c>
    </row>
    <row r="176" spans="1:17" ht="22.5" customHeight="1" x14ac:dyDescent="0.3">
      <c r="A176" s="253">
        <v>4</v>
      </c>
      <c r="B176" s="398" t="s">
        <v>373</v>
      </c>
      <c r="C176" s="165" t="s">
        <v>374</v>
      </c>
      <c r="D176" s="166">
        <v>4100</v>
      </c>
      <c r="E176" s="394"/>
      <c r="F176" s="395"/>
      <c r="G176" s="396">
        <v>0</v>
      </c>
      <c r="H176" s="397">
        <v>0</v>
      </c>
      <c r="I176" s="397">
        <v>0</v>
      </c>
      <c r="J176" s="399" t="s">
        <v>578</v>
      </c>
      <c r="K176" s="400" t="s">
        <v>653</v>
      </c>
      <c r="L176" s="401">
        <v>4100</v>
      </c>
      <c r="M176" s="41"/>
      <c r="N176" s="34"/>
      <c r="O176" s="114">
        <f t="shared" si="14"/>
        <v>0</v>
      </c>
      <c r="P176" s="114">
        <v>0</v>
      </c>
      <c r="Q176" s="36">
        <f t="shared" si="15"/>
        <v>0</v>
      </c>
    </row>
    <row r="177" spans="1:17" ht="22.5" customHeight="1" x14ac:dyDescent="0.5">
      <c r="A177" s="253">
        <v>5</v>
      </c>
      <c r="B177" s="402" t="s">
        <v>376</v>
      </c>
      <c r="C177" s="403" t="s">
        <v>377</v>
      </c>
      <c r="D177" s="166">
        <v>1850</v>
      </c>
      <c r="E177" s="65"/>
      <c r="F177" s="168"/>
      <c r="G177" s="404">
        <v>0</v>
      </c>
      <c r="H177" s="67">
        <v>0</v>
      </c>
      <c r="I177" s="67">
        <v>0</v>
      </c>
      <c r="J177" s="30">
        <v>25117</v>
      </c>
      <c r="K177" s="31" t="s">
        <v>654</v>
      </c>
      <c r="L177" s="32">
        <v>1850</v>
      </c>
      <c r="M177" s="41"/>
      <c r="N177" s="34"/>
      <c r="O177" s="114">
        <f t="shared" si="14"/>
        <v>0</v>
      </c>
      <c r="P177" s="114">
        <v>0</v>
      </c>
      <c r="Q177" s="36">
        <f t="shared" si="15"/>
        <v>0</v>
      </c>
    </row>
    <row r="178" spans="1:17" ht="22.5" customHeight="1" x14ac:dyDescent="0.5">
      <c r="A178" s="253">
        <v>6</v>
      </c>
      <c r="B178" s="378" t="s">
        <v>380</v>
      </c>
      <c r="C178" s="405" t="s">
        <v>381</v>
      </c>
      <c r="D178" s="166">
        <v>0</v>
      </c>
      <c r="E178" s="65"/>
      <c r="F178" s="168"/>
      <c r="G178" s="404">
        <v>0</v>
      </c>
      <c r="H178" s="67">
        <v>0</v>
      </c>
      <c r="I178" s="67">
        <v>0</v>
      </c>
      <c r="J178" s="30"/>
      <c r="K178" s="31"/>
      <c r="L178" s="32"/>
      <c r="M178" s="41"/>
      <c r="N178" s="34"/>
      <c r="O178" s="114">
        <f t="shared" si="14"/>
        <v>0</v>
      </c>
      <c r="P178" s="114">
        <v>0</v>
      </c>
      <c r="Q178" s="36">
        <f t="shared" si="15"/>
        <v>0</v>
      </c>
    </row>
    <row r="179" spans="1:17" ht="22.5" customHeight="1" x14ac:dyDescent="0.5">
      <c r="A179" s="253"/>
      <c r="B179" s="406" t="s">
        <v>382</v>
      </c>
      <c r="C179" s="405"/>
      <c r="D179" s="166"/>
      <c r="E179" s="65"/>
      <c r="F179" s="168"/>
      <c r="G179" s="404"/>
      <c r="H179" s="67"/>
      <c r="I179" s="67"/>
      <c r="J179" s="30"/>
      <c r="K179" s="31"/>
      <c r="L179" s="32"/>
      <c r="M179" s="41"/>
      <c r="N179" s="34"/>
      <c r="O179" s="114">
        <f t="shared" si="14"/>
        <v>0</v>
      </c>
      <c r="P179" s="114"/>
      <c r="Q179" s="36">
        <f t="shared" si="15"/>
        <v>0</v>
      </c>
    </row>
    <row r="180" spans="1:17" ht="22.5" customHeight="1" x14ac:dyDescent="0.5">
      <c r="A180" s="208">
        <v>7</v>
      </c>
      <c r="B180" s="149" t="s">
        <v>383</v>
      </c>
      <c r="C180" s="311" t="s">
        <v>384</v>
      </c>
      <c r="D180" s="166">
        <v>5400</v>
      </c>
      <c r="E180" s="65"/>
      <c r="F180" s="168"/>
      <c r="G180" s="404">
        <v>0</v>
      </c>
      <c r="H180" s="67">
        <v>0</v>
      </c>
      <c r="I180" s="67">
        <v>0</v>
      </c>
      <c r="J180" s="250">
        <v>25113</v>
      </c>
      <c r="K180" s="251" t="s">
        <v>655</v>
      </c>
      <c r="L180" s="390">
        <v>5400</v>
      </c>
      <c r="M180" s="41"/>
      <c r="N180" s="34"/>
      <c r="O180" s="114">
        <f t="shared" si="14"/>
        <v>0</v>
      </c>
      <c r="P180" s="114">
        <v>0</v>
      </c>
      <c r="Q180" s="36">
        <f t="shared" si="15"/>
        <v>0</v>
      </c>
    </row>
    <row r="181" spans="1:17" s="60" customFormat="1" ht="22.5" customHeight="1" thickBot="1" x14ac:dyDescent="0.35">
      <c r="A181" s="317"/>
      <c r="B181" s="317" t="s">
        <v>15</v>
      </c>
      <c r="C181" s="318"/>
      <c r="D181" s="383">
        <v>38350</v>
      </c>
      <c r="E181" s="320"/>
      <c r="F181" s="321"/>
      <c r="G181" s="358">
        <f>SUM(G176:G180)</f>
        <v>0</v>
      </c>
      <c r="H181" s="358">
        <f>SUM(H176:H180)</f>
        <v>0</v>
      </c>
      <c r="I181" s="358">
        <f>SUM(I176:I180)</f>
        <v>0</v>
      </c>
      <c r="J181" s="383"/>
      <c r="K181" s="383">
        <v>0</v>
      </c>
      <c r="L181" s="383">
        <f>SUM(L173:L180)</f>
        <v>28350</v>
      </c>
      <c r="M181" s="407"/>
      <c r="N181" s="321"/>
      <c r="O181" s="323">
        <f>SUM(O173:O180)</f>
        <v>10000</v>
      </c>
      <c r="P181" s="323">
        <f>SUM(P173:P180)</f>
        <v>0</v>
      </c>
      <c r="Q181" s="323">
        <f>SUM(Q173:Q180)</f>
        <v>10000</v>
      </c>
    </row>
    <row r="182" spans="1:17" ht="22.5" customHeight="1" thickTop="1" x14ac:dyDescent="0.3">
      <c r="A182" s="61"/>
      <c r="B182" s="62" t="s">
        <v>386</v>
      </c>
      <c r="C182" s="63"/>
      <c r="D182" s="64"/>
      <c r="E182" s="65"/>
      <c r="F182" s="66"/>
      <c r="G182" s="67"/>
      <c r="H182" s="67"/>
      <c r="I182" s="67"/>
      <c r="J182" s="68"/>
      <c r="K182" s="68"/>
      <c r="L182" s="64"/>
      <c r="M182" s="69"/>
      <c r="N182" s="70"/>
      <c r="O182" s="71"/>
      <c r="P182" s="71"/>
      <c r="Q182" s="387"/>
    </row>
    <row r="183" spans="1:17" ht="22.5" customHeight="1" x14ac:dyDescent="0.3">
      <c r="A183" s="208">
        <v>1</v>
      </c>
      <c r="B183" s="73" t="s">
        <v>387</v>
      </c>
      <c r="C183" s="25" t="s">
        <v>388</v>
      </c>
      <c r="D183" s="43">
        <v>0</v>
      </c>
      <c r="E183" s="212"/>
      <c r="F183" s="213"/>
      <c r="G183" s="219">
        <v>0</v>
      </c>
      <c r="H183" s="219">
        <v>0</v>
      </c>
      <c r="I183" s="219">
        <v>0</v>
      </c>
      <c r="J183" s="408"/>
      <c r="K183" s="408"/>
      <c r="L183" s="43"/>
      <c r="M183" s="41"/>
      <c r="N183" s="34"/>
      <c r="O183" s="114">
        <v>0</v>
      </c>
      <c r="P183" s="114">
        <v>0</v>
      </c>
      <c r="Q183" s="409">
        <v>0</v>
      </c>
    </row>
    <row r="184" spans="1:17" ht="22.5" customHeight="1" x14ac:dyDescent="0.5">
      <c r="A184" s="208">
        <v>2</v>
      </c>
      <c r="B184" s="290" t="s">
        <v>389</v>
      </c>
      <c r="C184" s="25" t="s">
        <v>390</v>
      </c>
      <c r="D184" s="388">
        <v>3150</v>
      </c>
      <c r="E184" s="212" t="s">
        <v>61</v>
      </c>
      <c r="F184" s="228" t="s">
        <v>35</v>
      </c>
      <c r="G184" s="666">
        <v>3150</v>
      </c>
      <c r="H184" s="219">
        <v>0</v>
      </c>
      <c r="I184" s="219">
        <v>3150</v>
      </c>
      <c r="J184" s="335">
        <v>25113</v>
      </c>
      <c r="K184" s="410" t="s">
        <v>619</v>
      </c>
      <c r="L184" s="411">
        <v>3150</v>
      </c>
      <c r="M184" s="215">
        <v>25112</v>
      </c>
      <c r="N184" s="216" t="s">
        <v>33</v>
      </c>
      <c r="O184" s="114">
        <f>SUM(G184+D184-L184)</f>
        <v>3150</v>
      </c>
      <c r="P184" s="114">
        <v>0</v>
      </c>
      <c r="Q184" s="409">
        <f>SUM(O184)</f>
        <v>3150</v>
      </c>
    </row>
    <row r="185" spans="1:17" s="60" customFormat="1" ht="22.5" customHeight="1" thickBot="1" x14ac:dyDescent="0.35">
      <c r="A185" s="317"/>
      <c r="B185" s="317" t="s">
        <v>15</v>
      </c>
      <c r="C185" s="318"/>
      <c r="D185" s="383">
        <f>SUM(D183:D184)</f>
        <v>3150</v>
      </c>
      <c r="E185" s="320"/>
      <c r="F185" s="321"/>
      <c r="G185" s="358">
        <f>SUM(G183:G184)</f>
        <v>3150</v>
      </c>
      <c r="H185" s="358">
        <f>SUM(H183:H184)</f>
        <v>0</v>
      </c>
      <c r="I185" s="358">
        <f>SUM(I183:I184)</f>
        <v>3150</v>
      </c>
      <c r="J185" s="383"/>
      <c r="K185" s="383">
        <v>0</v>
      </c>
      <c r="L185" s="383">
        <f>SUM(L183:L184)</f>
        <v>3150</v>
      </c>
      <c r="M185" s="407"/>
      <c r="N185" s="321"/>
      <c r="O185" s="323">
        <f>SUM(O183:O184)</f>
        <v>3150</v>
      </c>
      <c r="P185" s="323">
        <v>0</v>
      </c>
      <c r="Q185" s="386">
        <f>SUM(Q183:Q184)</f>
        <v>3150</v>
      </c>
    </row>
    <row r="186" spans="1:17" ht="22.5" customHeight="1" thickTop="1" x14ac:dyDescent="0.3">
      <c r="A186" s="61"/>
      <c r="B186" s="62" t="s">
        <v>392</v>
      </c>
      <c r="C186" s="63" t="s">
        <v>393</v>
      </c>
      <c r="D186" s="64"/>
      <c r="E186" s="65"/>
      <c r="F186" s="66"/>
      <c r="G186" s="67"/>
      <c r="H186" s="67"/>
      <c r="I186" s="67"/>
      <c r="J186" s="68"/>
      <c r="K186" s="68"/>
      <c r="L186" s="64"/>
      <c r="M186" s="69"/>
      <c r="N186" s="70"/>
      <c r="O186" s="71"/>
      <c r="P186" s="71"/>
      <c r="Q186" s="72"/>
    </row>
    <row r="187" spans="1:17" ht="22.5" customHeight="1" x14ac:dyDescent="0.3">
      <c r="A187" s="208"/>
      <c r="B187" s="290" t="s">
        <v>394</v>
      </c>
      <c r="C187" s="25"/>
      <c r="D187" s="388"/>
      <c r="E187" s="212"/>
      <c r="F187" s="228"/>
      <c r="G187" s="389"/>
      <c r="H187" s="219"/>
      <c r="I187" s="219"/>
      <c r="J187" s="303"/>
      <c r="K187" s="303"/>
      <c r="L187" s="388"/>
      <c r="M187" s="33"/>
      <c r="N187" s="112"/>
      <c r="O187" s="114"/>
      <c r="P187" s="114"/>
      <c r="Q187" s="409"/>
    </row>
    <row r="188" spans="1:17" s="60" customFormat="1" ht="22.5" customHeight="1" thickBot="1" x14ac:dyDescent="0.35">
      <c r="A188" s="317"/>
      <c r="B188" s="317" t="s">
        <v>15</v>
      </c>
      <c r="C188" s="318"/>
      <c r="D188" s="383">
        <v>0</v>
      </c>
      <c r="E188" s="320"/>
      <c r="F188" s="321"/>
      <c r="G188" s="358">
        <v>0</v>
      </c>
      <c r="H188" s="358">
        <v>0</v>
      </c>
      <c r="I188" s="358">
        <v>0</v>
      </c>
      <c r="J188" s="383">
        <v>0</v>
      </c>
      <c r="K188" s="383">
        <v>0</v>
      </c>
      <c r="L188" s="383">
        <v>0</v>
      </c>
      <c r="M188" s="407"/>
      <c r="N188" s="321"/>
      <c r="O188" s="323">
        <v>0</v>
      </c>
      <c r="P188" s="323">
        <v>0</v>
      </c>
      <c r="Q188" s="386">
        <v>0</v>
      </c>
    </row>
    <row r="189" spans="1:17" ht="22.5" customHeight="1" thickTop="1" x14ac:dyDescent="0.3">
      <c r="A189" s="115"/>
      <c r="B189" s="412" t="s">
        <v>395</v>
      </c>
      <c r="C189" s="165"/>
      <c r="D189" s="86"/>
      <c r="E189" s="413"/>
      <c r="F189" s="414"/>
      <c r="G189" s="415"/>
      <c r="H189" s="415"/>
      <c r="I189" s="415"/>
      <c r="J189" s="170"/>
      <c r="K189" s="171"/>
      <c r="L189" s="86"/>
      <c r="M189" s="115"/>
      <c r="N189" s="414"/>
      <c r="O189" s="416"/>
      <c r="P189" s="416"/>
      <c r="Q189" s="417"/>
    </row>
    <row r="190" spans="1:17" ht="22.5" customHeight="1" x14ac:dyDescent="0.3">
      <c r="A190" s="115"/>
      <c r="B190" s="412"/>
      <c r="C190" s="165"/>
      <c r="D190" s="86"/>
      <c r="E190" s="413"/>
      <c r="F190" s="414"/>
      <c r="G190" s="415"/>
      <c r="H190" s="415"/>
      <c r="I190" s="415"/>
      <c r="J190" s="170"/>
      <c r="K190" s="171"/>
      <c r="L190" s="86"/>
      <c r="M190" s="115"/>
      <c r="N190" s="414"/>
      <c r="O190" s="416"/>
      <c r="P190" s="416"/>
      <c r="Q190" s="417"/>
    </row>
    <row r="191" spans="1:17" ht="22.5" customHeight="1" x14ac:dyDescent="0.3">
      <c r="A191" s="115"/>
      <c r="B191" s="412"/>
      <c r="C191" s="165"/>
      <c r="D191" s="86"/>
      <c r="E191" s="413"/>
      <c r="F191" s="414"/>
      <c r="G191" s="415"/>
      <c r="H191" s="415"/>
      <c r="I191" s="415"/>
      <c r="J191" s="170"/>
      <c r="K191" s="171"/>
      <c r="L191" s="86"/>
      <c r="M191" s="115"/>
      <c r="N191" s="414"/>
      <c r="O191" s="416"/>
      <c r="P191" s="416"/>
      <c r="Q191" s="417"/>
    </row>
    <row r="192" spans="1:17" s="60" customFormat="1" ht="22.2" customHeight="1" thickBot="1" x14ac:dyDescent="0.35">
      <c r="A192" s="418"/>
      <c r="B192" s="419" t="s">
        <v>15</v>
      </c>
      <c r="C192" s="420"/>
      <c r="D192" s="421">
        <v>0</v>
      </c>
      <c r="E192" s="422"/>
      <c r="F192" s="423"/>
      <c r="G192" s="424"/>
      <c r="H192" s="424"/>
      <c r="I192" s="424"/>
      <c r="J192" s="425"/>
      <c r="K192" s="426"/>
      <c r="L192" s="421">
        <v>0</v>
      </c>
      <c r="M192" s="418"/>
      <c r="N192" s="423"/>
      <c r="O192" s="427">
        <v>0</v>
      </c>
      <c r="P192" s="427">
        <v>0</v>
      </c>
      <c r="Q192" s="428">
        <v>0</v>
      </c>
    </row>
    <row r="193" spans="1:17" ht="22.5" customHeight="1" thickTop="1" x14ac:dyDescent="0.3">
      <c r="A193" s="429"/>
      <c r="B193" s="430"/>
      <c r="C193" s="431"/>
      <c r="D193" s="432"/>
      <c r="E193" s="433"/>
      <c r="F193" s="434"/>
      <c r="G193" s="435"/>
      <c r="H193" s="435"/>
      <c r="I193" s="435"/>
      <c r="J193" s="436"/>
      <c r="K193" s="437"/>
      <c r="L193" s="438"/>
      <c r="M193" s="439"/>
      <c r="N193" s="440"/>
      <c r="O193" s="441"/>
      <c r="P193" s="441"/>
      <c r="Q193" s="442"/>
    </row>
    <row r="194" spans="1:17" ht="22.5" customHeight="1" x14ac:dyDescent="0.3">
      <c r="A194" s="61"/>
      <c r="B194" s="4" t="s">
        <v>396</v>
      </c>
      <c r="C194" s="63"/>
      <c r="D194" s="382"/>
      <c r="E194" s="443"/>
      <c r="F194" s="66"/>
      <c r="G194" s="444"/>
      <c r="H194" s="444"/>
      <c r="I194" s="444"/>
      <c r="J194" s="68"/>
      <c r="K194" s="445"/>
      <c r="L194" s="64"/>
      <c r="M194" s="69"/>
      <c r="N194" s="70"/>
      <c r="O194" s="71"/>
      <c r="P194" s="71"/>
      <c r="Q194" s="387"/>
    </row>
    <row r="195" spans="1:17" ht="22.5" customHeight="1" x14ac:dyDescent="0.5">
      <c r="A195" s="446">
        <v>1</v>
      </c>
      <c r="B195" s="447" t="s">
        <v>398</v>
      </c>
      <c r="C195" s="63"/>
      <c r="D195" s="382"/>
      <c r="E195" s="443"/>
      <c r="F195" s="66"/>
      <c r="G195" s="448">
        <v>6591.51</v>
      </c>
      <c r="H195" s="448">
        <v>0</v>
      </c>
      <c r="I195" s="448">
        <v>6591.51</v>
      </c>
      <c r="J195" s="449">
        <v>25131</v>
      </c>
      <c r="K195" s="450" t="s">
        <v>610</v>
      </c>
      <c r="L195" s="451">
        <v>4000</v>
      </c>
      <c r="M195" s="69"/>
      <c r="N195" s="70"/>
      <c r="O195" s="71">
        <f>SUM(Q195)</f>
        <v>2591.5100000000002</v>
      </c>
      <c r="P195" s="71">
        <v>0</v>
      </c>
      <c r="Q195" s="387">
        <f>SUM(D195+I195-L195)</f>
        <v>2591.5100000000002</v>
      </c>
    </row>
    <row r="196" spans="1:17" ht="22.5" customHeight="1" x14ac:dyDescent="0.3">
      <c r="A196" s="61"/>
      <c r="B196" s="164" t="s">
        <v>399</v>
      </c>
      <c r="C196" s="63"/>
      <c r="D196" s="382"/>
      <c r="E196" s="443"/>
      <c r="F196" s="66"/>
      <c r="G196" s="444">
        <v>0</v>
      </c>
      <c r="H196" s="444">
        <v>0</v>
      </c>
      <c r="I196" s="444">
        <v>0</v>
      </c>
      <c r="J196" s="68"/>
      <c r="K196" s="445"/>
      <c r="L196" s="64"/>
      <c r="M196" s="69"/>
      <c r="N196" s="70"/>
      <c r="O196" s="71"/>
      <c r="P196" s="71"/>
      <c r="Q196" s="387"/>
    </row>
    <row r="197" spans="1:17" ht="22.5" customHeight="1" x14ac:dyDescent="0.5">
      <c r="A197" s="61">
        <v>1</v>
      </c>
      <c r="B197" s="290" t="s">
        <v>400</v>
      </c>
      <c r="C197" s="25" t="s">
        <v>333</v>
      </c>
      <c r="D197" s="452"/>
      <c r="E197" s="443"/>
      <c r="F197" s="66"/>
      <c r="G197" s="67">
        <v>0</v>
      </c>
      <c r="H197" s="67">
        <v>0</v>
      </c>
      <c r="I197" s="67">
        <v>0</v>
      </c>
      <c r="J197" s="449"/>
      <c r="K197" s="450"/>
      <c r="L197" s="451"/>
      <c r="M197" s="69"/>
      <c r="N197" s="70"/>
      <c r="O197" s="71">
        <f t="shared" ref="O197:O246" si="16">SUM(Q197)</f>
        <v>0</v>
      </c>
      <c r="P197" s="71">
        <v>0</v>
      </c>
      <c r="Q197" s="387">
        <f t="shared" ref="Q197:Q246" si="17">SUM(D197+I197-L197)</f>
        <v>0</v>
      </c>
    </row>
    <row r="198" spans="1:17" ht="22.5" customHeight="1" x14ac:dyDescent="0.5">
      <c r="A198" s="61">
        <v>2</v>
      </c>
      <c r="B198" s="290" t="s">
        <v>401</v>
      </c>
      <c r="C198" s="81" t="s">
        <v>336</v>
      </c>
      <c r="D198" s="452"/>
      <c r="E198" s="443"/>
      <c r="F198" s="66"/>
      <c r="G198" s="67">
        <v>0</v>
      </c>
      <c r="H198" s="67">
        <v>0</v>
      </c>
      <c r="I198" s="67">
        <v>0</v>
      </c>
      <c r="J198" s="449"/>
      <c r="K198" s="450"/>
      <c r="L198" s="451"/>
      <c r="M198" s="69"/>
      <c r="N198" s="70"/>
      <c r="O198" s="71">
        <f t="shared" si="16"/>
        <v>0</v>
      </c>
      <c r="P198" s="71">
        <v>0</v>
      </c>
      <c r="Q198" s="387">
        <f t="shared" si="17"/>
        <v>0</v>
      </c>
    </row>
    <row r="199" spans="1:17" ht="22.5" customHeight="1" x14ac:dyDescent="0.5">
      <c r="A199" s="61">
        <v>3</v>
      </c>
      <c r="B199" s="290" t="s">
        <v>403</v>
      </c>
      <c r="C199" s="25" t="s">
        <v>339</v>
      </c>
      <c r="D199" s="452"/>
      <c r="E199" s="443"/>
      <c r="F199" s="66"/>
      <c r="G199" s="67">
        <v>0</v>
      </c>
      <c r="H199" s="67">
        <v>0</v>
      </c>
      <c r="I199" s="67">
        <v>0</v>
      </c>
      <c r="J199" s="449"/>
      <c r="K199" s="450"/>
      <c r="L199" s="451"/>
      <c r="M199" s="69"/>
      <c r="N199" s="70"/>
      <c r="O199" s="71">
        <f t="shared" si="16"/>
        <v>0</v>
      </c>
      <c r="P199" s="71">
        <v>0</v>
      </c>
      <c r="Q199" s="387">
        <f t="shared" si="17"/>
        <v>0</v>
      </c>
    </row>
    <row r="200" spans="1:17" ht="22.5" customHeight="1" x14ac:dyDescent="0.5">
      <c r="A200" s="61">
        <v>4</v>
      </c>
      <c r="B200" s="290" t="s">
        <v>405</v>
      </c>
      <c r="C200" s="25" t="s">
        <v>406</v>
      </c>
      <c r="D200" s="452"/>
      <c r="E200" s="443"/>
      <c r="F200" s="66"/>
      <c r="G200" s="67">
        <v>0</v>
      </c>
      <c r="H200" s="67">
        <v>0</v>
      </c>
      <c r="I200" s="67">
        <v>0</v>
      </c>
      <c r="J200" s="449"/>
      <c r="K200" s="450"/>
      <c r="L200" s="451"/>
      <c r="M200" s="69"/>
      <c r="N200" s="70"/>
      <c r="O200" s="71">
        <f t="shared" si="16"/>
        <v>0</v>
      </c>
      <c r="P200" s="71">
        <v>0</v>
      </c>
      <c r="Q200" s="387">
        <f t="shared" si="17"/>
        <v>0</v>
      </c>
    </row>
    <row r="201" spans="1:17" ht="22.5" customHeight="1" x14ac:dyDescent="0.5">
      <c r="A201" s="61">
        <v>5</v>
      </c>
      <c r="B201" s="290" t="s">
        <v>407</v>
      </c>
      <c r="C201" s="63" t="s">
        <v>331</v>
      </c>
      <c r="D201" s="452"/>
      <c r="E201" s="443"/>
      <c r="F201" s="66"/>
      <c r="G201" s="67">
        <v>0</v>
      </c>
      <c r="H201" s="67">
        <v>0</v>
      </c>
      <c r="I201" s="67">
        <v>0</v>
      </c>
      <c r="J201" s="449"/>
      <c r="K201" s="450"/>
      <c r="L201" s="451"/>
      <c r="M201" s="69"/>
      <c r="N201" s="70"/>
      <c r="O201" s="71">
        <f t="shared" si="16"/>
        <v>0</v>
      </c>
      <c r="P201" s="71">
        <v>0</v>
      </c>
      <c r="Q201" s="387">
        <f t="shared" si="17"/>
        <v>0</v>
      </c>
    </row>
    <row r="202" spans="1:17" ht="22.5" customHeight="1" x14ac:dyDescent="0.5">
      <c r="A202" s="61">
        <v>6</v>
      </c>
      <c r="B202" s="290" t="s">
        <v>408</v>
      </c>
      <c r="C202" s="63" t="s">
        <v>331</v>
      </c>
      <c r="D202" s="452"/>
      <c r="E202" s="443"/>
      <c r="F202" s="66"/>
      <c r="G202" s="67">
        <v>0</v>
      </c>
      <c r="H202" s="67">
        <v>0</v>
      </c>
      <c r="I202" s="67">
        <v>0</v>
      </c>
      <c r="J202" s="449"/>
      <c r="K202" s="450"/>
      <c r="L202" s="451"/>
      <c r="M202" s="69"/>
      <c r="N202" s="70"/>
      <c r="O202" s="71">
        <f t="shared" si="16"/>
        <v>0</v>
      </c>
      <c r="P202" s="71">
        <v>0</v>
      </c>
      <c r="Q202" s="387">
        <f t="shared" si="17"/>
        <v>0</v>
      </c>
    </row>
    <row r="203" spans="1:17" ht="22.5" customHeight="1" x14ac:dyDescent="0.5">
      <c r="A203" s="61">
        <v>7</v>
      </c>
      <c r="B203" s="290" t="s">
        <v>410</v>
      </c>
      <c r="C203" s="63" t="s">
        <v>411</v>
      </c>
      <c r="D203" s="452"/>
      <c r="E203" s="443"/>
      <c r="F203" s="66"/>
      <c r="G203" s="67">
        <v>0</v>
      </c>
      <c r="H203" s="67">
        <v>0</v>
      </c>
      <c r="I203" s="67">
        <v>0</v>
      </c>
      <c r="J203" s="449"/>
      <c r="K203" s="450"/>
      <c r="L203" s="451"/>
      <c r="M203" s="69"/>
      <c r="N203" s="70"/>
      <c r="O203" s="71">
        <f t="shared" si="16"/>
        <v>0</v>
      </c>
      <c r="P203" s="71">
        <v>0</v>
      </c>
      <c r="Q203" s="387">
        <f t="shared" si="17"/>
        <v>0</v>
      </c>
    </row>
    <row r="204" spans="1:17" ht="22.5" customHeight="1" x14ac:dyDescent="0.5">
      <c r="A204" s="61">
        <v>8</v>
      </c>
      <c r="B204" s="290" t="s">
        <v>413</v>
      </c>
      <c r="C204" s="63"/>
      <c r="D204" s="452"/>
      <c r="E204" s="443"/>
      <c r="F204" s="66"/>
      <c r="G204" s="67">
        <v>0</v>
      </c>
      <c r="H204" s="67">
        <v>0</v>
      </c>
      <c r="I204" s="67">
        <v>0</v>
      </c>
      <c r="J204" s="449"/>
      <c r="K204" s="450"/>
      <c r="L204" s="451"/>
      <c r="M204" s="69"/>
      <c r="N204" s="70"/>
      <c r="O204" s="71">
        <f t="shared" si="16"/>
        <v>0</v>
      </c>
      <c r="P204" s="71">
        <v>0</v>
      </c>
      <c r="Q204" s="387">
        <f t="shared" si="17"/>
        <v>0</v>
      </c>
    </row>
    <row r="205" spans="1:17" ht="22.5" customHeight="1" x14ac:dyDescent="0.5">
      <c r="A205" s="61">
        <v>9</v>
      </c>
      <c r="B205" s="290" t="s">
        <v>414</v>
      </c>
      <c r="C205" s="63" t="s">
        <v>415</v>
      </c>
      <c r="D205" s="452"/>
      <c r="E205" s="443"/>
      <c r="F205" s="66"/>
      <c r="G205" s="67">
        <v>0</v>
      </c>
      <c r="H205" s="67">
        <v>0</v>
      </c>
      <c r="I205" s="67">
        <v>0</v>
      </c>
      <c r="J205" s="449"/>
      <c r="K205" s="450"/>
      <c r="L205" s="451"/>
      <c r="M205" s="69"/>
      <c r="N205" s="70"/>
      <c r="O205" s="71">
        <f t="shared" si="16"/>
        <v>0</v>
      </c>
      <c r="P205" s="71">
        <v>0</v>
      </c>
      <c r="Q205" s="387">
        <f t="shared" si="17"/>
        <v>0</v>
      </c>
    </row>
    <row r="206" spans="1:17" ht="22.5" customHeight="1" x14ac:dyDescent="0.5">
      <c r="A206" s="61">
        <v>10</v>
      </c>
      <c r="B206" s="290" t="s">
        <v>359</v>
      </c>
      <c r="C206" s="63" t="s">
        <v>417</v>
      </c>
      <c r="D206" s="452"/>
      <c r="E206" s="443"/>
      <c r="F206" s="66"/>
      <c r="G206" s="67">
        <v>0</v>
      </c>
      <c r="H206" s="67">
        <v>0</v>
      </c>
      <c r="I206" s="67">
        <v>0</v>
      </c>
      <c r="J206" s="449"/>
      <c r="K206" s="450"/>
      <c r="L206" s="451"/>
      <c r="M206" s="69"/>
      <c r="N206" s="70"/>
      <c r="O206" s="71">
        <f t="shared" si="16"/>
        <v>0</v>
      </c>
      <c r="P206" s="71">
        <v>0</v>
      </c>
      <c r="Q206" s="387">
        <f t="shared" si="17"/>
        <v>0</v>
      </c>
    </row>
    <row r="207" spans="1:17" ht="22.5" customHeight="1" x14ac:dyDescent="0.5">
      <c r="A207" s="61">
        <v>11</v>
      </c>
      <c r="B207" s="290" t="s">
        <v>397</v>
      </c>
      <c r="C207" s="63" t="s">
        <v>417</v>
      </c>
      <c r="D207" s="452"/>
      <c r="E207" s="443"/>
      <c r="F207" s="66"/>
      <c r="G207" s="67">
        <v>8604.76</v>
      </c>
      <c r="H207" s="67">
        <v>0</v>
      </c>
      <c r="I207" s="67">
        <v>8604.76</v>
      </c>
      <c r="J207" s="449"/>
      <c r="K207" s="450"/>
      <c r="L207" s="451"/>
      <c r="M207" s="69"/>
      <c r="N207" s="70"/>
      <c r="O207" s="71">
        <f t="shared" si="16"/>
        <v>8604.76</v>
      </c>
      <c r="P207" s="71">
        <v>0</v>
      </c>
      <c r="Q207" s="387">
        <f t="shared" si="17"/>
        <v>8604.76</v>
      </c>
    </row>
    <row r="208" spans="1:17" ht="22.5" customHeight="1" x14ac:dyDescent="0.5">
      <c r="A208" s="61">
        <v>12</v>
      </c>
      <c r="B208" s="290" t="s">
        <v>358</v>
      </c>
      <c r="C208" s="63" t="s">
        <v>417</v>
      </c>
      <c r="D208" s="452"/>
      <c r="E208" s="443"/>
      <c r="F208" s="66"/>
      <c r="G208" s="67">
        <v>9651.43</v>
      </c>
      <c r="H208" s="67">
        <v>0</v>
      </c>
      <c r="I208" s="67">
        <v>9651.43</v>
      </c>
      <c r="J208" s="449"/>
      <c r="K208" s="450"/>
      <c r="L208" s="451"/>
      <c r="M208" s="69"/>
      <c r="N208" s="70"/>
      <c r="O208" s="71">
        <f t="shared" si="16"/>
        <v>9651.43</v>
      </c>
      <c r="P208" s="71">
        <v>0</v>
      </c>
      <c r="Q208" s="387">
        <f t="shared" si="17"/>
        <v>9651.43</v>
      </c>
    </row>
    <row r="209" spans="1:18" ht="22.5" customHeight="1" x14ac:dyDescent="0.5">
      <c r="A209" s="61">
        <v>13</v>
      </c>
      <c r="B209" s="290" t="s">
        <v>419</v>
      </c>
      <c r="C209" s="63" t="s">
        <v>417</v>
      </c>
      <c r="D209" s="452"/>
      <c r="E209" s="443"/>
      <c r="F209" s="66"/>
      <c r="G209" s="67">
        <v>0</v>
      </c>
      <c r="H209" s="67">
        <v>0</v>
      </c>
      <c r="I209" s="67">
        <v>0</v>
      </c>
      <c r="J209" s="30"/>
      <c r="K209" s="249"/>
      <c r="L209" s="451"/>
      <c r="M209" s="69"/>
      <c r="N209" s="70"/>
      <c r="O209" s="71">
        <f t="shared" si="16"/>
        <v>0</v>
      </c>
      <c r="P209" s="71">
        <v>0</v>
      </c>
      <c r="Q209" s="387">
        <f t="shared" si="17"/>
        <v>0</v>
      </c>
      <c r="R209" s="3" t="s">
        <v>420</v>
      </c>
    </row>
    <row r="210" spans="1:18" ht="22.5" customHeight="1" x14ac:dyDescent="0.5">
      <c r="A210" s="61">
        <v>14</v>
      </c>
      <c r="B210" s="290" t="s">
        <v>353</v>
      </c>
      <c r="C210" s="63" t="s">
        <v>417</v>
      </c>
      <c r="D210" s="452"/>
      <c r="E210" s="443"/>
      <c r="F210" s="66"/>
      <c r="G210" s="67">
        <v>6424.49</v>
      </c>
      <c r="H210" s="67">
        <v>0</v>
      </c>
      <c r="I210" s="67">
        <v>6424.49</v>
      </c>
      <c r="J210" s="449">
        <v>25117</v>
      </c>
      <c r="K210" s="450" t="s">
        <v>611</v>
      </c>
      <c r="L210" s="451">
        <v>6424.49</v>
      </c>
      <c r="M210" s="69"/>
      <c r="N210" s="70"/>
      <c r="O210" s="71">
        <f t="shared" si="16"/>
        <v>0</v>
      </c>
      <c r="P210" s="71">
        <v>0</v>
      </c>
      <c r="Q210" s="387">
        <f t="shared" si="17"/>
        <v>0</v>
      </c>
    </row>
    <row r="211" spans="1:18" ht="22.5" customHeight="1" x14ac:dyDescent="0.5">
      <c r="A211" s="61">
        <v>15</v>
      </c>
      <c r="B211" s="290" t="s">
        <v>398</v>
      </c>
      <c r="C211" s="63" t="s">
        <v>417</v>
      </c>
      <c r="D211" s="452"/>
      <c r="E211" s="443"/>
      <c r="F211" s="66"/>
      <c r="G211" s="67">
        <v>3283.84</v>
      </c>
      <c r="H211" s="67">
        <v>0</v>
      </c>
      <c r="I211" s="67">
        <v>3283.84</v>
      </c>
      <c r="J211" s="449"/>
      <c r="K211" s="450"/>
      <c r="L211" s="451"/>
      <c r="M211" s="69"/>
      <c r="N211" s="70"/>
      <c r="O211" s="71">
        <f t="shared" si="16"/>
        <v>3283.84</v>
      </c>
      <c r="P211" s="71">
        <v>0</v>
      </c>
      <c r="Q211" s="387">
        <f t="shared" si="17"/>
        <v>3283.84</v>
      </c>
    </row>
    <row r="212" spans="1:18" ht="22.5" customHeight="1" x14ac:dyDescent="0.5">
      <c r="A212" s="61">
        <v>16</v>
      </c>
      <c r="B212" s="290" t="s">
        <v>421</v>
      </c>
      <c r="C212" s="63" t="s">
        <v>422</v>
      </c>
      <c r="D212" s="452"/>
      <c r="E212" s="443"/>
      <c r="F212" s="66"/>
      <c r="G212" s="67">
        <v>0</v>
      </c>
      <c r="H212" s="67">
        <v>0</v>
      </c>
      <c r="I212" s="67">
        <v>0</v>
      </c>
      <c r="J212" s="449"/>
      <c r="K212" s="450"/>
      <c r="L212" s="451"/>
      <c r="M212" s="69"/>
      <c r="N212" s="70"/>
      <c r="O212" s="71">
        <f t="shared" si="16"/>
        <v>0</v>
      </c>
      <c r="P212" s="71">
        <v>0</v>
      </c>
      <c r="Q212" s="387">
        <f t="shared" si="17"/>
        <v>0</v>
      </c>
    </row>
    <row r="213" spans="1:18" ht="22.5" customHeight="1" x14ac:dyDescent="0.5">
      <c r="A213" s="61">
        <v>17</v>
      </c>
      <c r="B213" s="290" t="s">
        <v>423</v>
      </c>
      <c r="C213" s="63" t="s">
        <v>424</v>
      </c>
      <c r="D213" s="452"/>
      <c r="E213" s="443"/>
      <c r="F213" s="66"/>
      <c r="G213" s="67">
        <v>0</v>
      </c>
      <c r="H213" s="67">
        <v>0</v>
      </c>
      <c r="I213" s="67">
        <v>0</v>
      </c>
      <c r="J213" s="449"/>
      <c r="K213" s="450"/>
      <c r="L213" s="451"/>
      <c r="M213" s="69"/>
      <c r="N213" s="70"/>
      <c r="O213" s="71">
        <f t="shared" si="16"/>
        <v>0</v>
      </c>
      <c r="P213" s="71">
        <v>0</v>
      </c>
      <c r="Q213" s="387">
        <f t="shared" si="17"/>
        <v>0</v>
      </c>
    </row>
    <row r="214" spans="1:18" ht="22.5" customHeight="1" x14ac:dyDescent="0.5">
      <c r="A214" s="61">
        <v>18</v>
      </c>
      <c r="B214" s="290" t="s">
        <v>425</v>
      </c>
      <c r="C214" s="63" t="s">
        <v>426</v>
      </c>
      <c r="D214" s="452"/>
      <c r="E214" s="443"/>
      <c r="F214" s="66"/>
      <c r="G214" s="67">
        <v>0</v>
      </c>
      <c r="H214" s="67">
        <v>0</v>
      </c>
      <c r="I214" s="67">
        <v>0</v>
      </c>
      <c r="J214" s="449"/>
      <c r="K214" s="450"/>
      <c r="L214" s="451"/>
      <c r="M214" s="69"/>
      <c r="N214" s="70"/>
      <c r="O214" s="71">
        <f t="shared" si="16"/>
        <v>0</v>
      </c>
      <c r="P214" s="71">
        <v>0</v>
      </c>
      <c r="Q214" s="387">
        <f t="shared" si="17"/>
        <v>0</v>
      </c>
    </row>
    <row r="215" spans="1:18" ht="22.5" customHeight="1" x14ac:dyDescent="0.5">
      <c r="A215" s="61">
        <v>19</v>
      </c>
      <c r="B215" s="290" t="s">
        <v>428</v>
      </c>
      <c r="C215" s="63" t="s">
        <v>429</v>
      </c>
      <c r="D215" s="452"/>
      <c r="E215" s="443"/>
      <c r="F215" s="66"/>
      <c r="G215" s="67">
        <v>0</v>
      </c>
      <c r="H215" s="67">
        <v>0</v>
      </c>
      <c r="I215" s="67">
        <v>0</v>
      </c>
      <c r="J215" s="449"/>
      <c r="K215" s="450"/>
      <c r="L215" s="451"/>
      <c r="M215" s="69"/>
      <c r="N215" s="70"/>
      <c r="O215" s="71">
        <f t="shared" si="16"/>
        <v>0</v>
      </c>
      <c r="P215" s="71">
        <v>0</v>
      </c>
      <c r="Q215" s="387">
        <f t="shared" si="17"/>
        <v>0</v>
      </c>
    </row>
    <row r="216" spans="1:18" ht="22.5" customHeight="1" x14ac:dyDescent="0.5">
      <c r="A216" s="61">
        <v>20</v>
      </c>
      <c r="B216" s="290" t="s">
        <v>431</v>
      </c>
      <c r="C216" s="63" t="s">
        <v>432</v>
      </c>
      <c r="D216" s="452"/>
      <c r="E216" s="443"/>
      <c r="F216" s="66"/>
      <c r="G216" s="67">
        <v>677.38</v>
      </c>
      <c r="H216" s="67">
        <v>0</v>
      </c>
      <c r="I216" s="67">
        <v>677.38</v>
      </c>
      <c r="J216" s="449">
        <v>25117</v>
      </c>
      <c r="K216" s="450" t="s">
        <v>612</v>
      </c>
      <c r="L216" s="451">
        <v>677.38</v>
      </c>
      <c r="M216" s="69"/>
      <c r="N216" s="70"/>
      <c r="O216" s="71">
        <f t="shared" si="16"/>
        <v>0</v>
      </c>
      <c r="P216" s="71">
        <v>0</v>
      </c>
      <c r="Q216" s="387">
        <f t="shared" si="17"/>
        <v>0</v>
      </c>
    </row>
    <row r="217" spans="1:18" ht="22.5" customHeight="1" x14ac:dyDescent="0.5">
      <c r="A217" s="61">
        <v>21</v>
      </c>
      <c r="B217" s="290" t="s">
        <v>433</v>
      </c>
      <c r="C217" s="63" t="s">
        <v>434</v>
      </c>
      <c r="D217" s="452"/>
      <c r="E217" s="443"/>
      <c r="F217" s="66"/>
      <c r="G217" s="67">
        <v>677.38</v>
      </c>
      <c r="H217" s="67">
        <v>0</v>
      </c>
      <c r="I217" s="67">
        <v>677.38</v>
      </c>
      <c r="J217" s="449">
        <v>25119</v>
      </c>
      <c r="K217" s="450" t="s">
        <v>613</v>
      </c>
      <c r="L217" s="451">
        <v>677.38</v>
      </c>
      <c r="M217" s="69"/>
      <c r="N217" s="70"/>
      <c r="O217" s="71">
        <f t="shared" si="16"/>
        <v>0</v>
      </c>
      <c r="P217" s="71">
        <v>0</v>
      </c>
      <c r="Q217" s="387">
        <f t="shared" si="17"/>
        <v>0</v>
      </c>
    </row>
    <row r="218" spans="1:18" ht="22.5" customHeight="1" x14ac:dyDescent="0.5">
      <c r="A218" s="61">
        <v>22</v>
      </c>
      <c r="B218" s="290" t="s">
        <v>435</v>
      </c>
      <c r="C218" s="63" t="s">
        <v>436</v>
      </c>
      <c r="D218" s="452"/>
      <c r="E218" s="443"/>
      <c r="F218" s="66"/>
      <c r="G218" s="67">
        <v>0</v>
      </c>
      <c r="H218" s="67">
        <v>0</v>
      </c>
      <c r="I218" s="67">
        <v>0</v>
      </c>
      <c r="J218" s="449"/>
      <c r="K218" s="450"/>
      <c r="L218" s="451"/>
      <c r="M218" s="69"/>
      <c r="N218" s="70"/>
      <c r="O218" s="71">
        <f t="shared" si="16"/>
        <v>0</v>
      </c>
      <c r="P218" s="71">
        <v>0</v>
      </c>
      <c r="Q218" s="387">
        <f t="shared" si="17"/>
        <v>0</v>
      </c>
    </row>
    <row r="219" spans="1:18" ht="22.5" customHeight="1" x14ac:dyDescent="0.5">
      <c r="A219" s="61">
        <v>23</v>
      </c>
      <c r="B219" s="290" t="s">
        <v>437</v>
      </c>
      <c r="C219" s="63" t="s">
        <v>438</v>
      </c>
      <c r="D219" s="452"/>
      <c r="E219" s="443"/>
      <c r="F219" s="66"/>
      <c r="G219" s="67">
        <v>0</v>
      </c>
      <c r="H219" s="67">
        <v>0</v>
      </c>
      <c r="I219" s="67">
        <v>0</v>
      </c>
      <c r="J219" s="449"/>
      <c r="K219" s="450"/>
      <c r="L219" s="451"/>
      <c r="M219" s="69"/>
      <c r="N219" s="70"/>
      <c r="O219" s="71">
        <f t="shared" si="16"/>
        <v>0</v>
      </c>
      <c r="P219" s="71">
        <v>0</v>
      </c>
      <c r="Q219" s="387">
        <f t="shared" si="17"/>
        <v>0</v>
      </c>
    </row>
    <row r="220" spans="1:18" ht="22.5" customHeight="1" x14ac:dyDescent="0.5">
      <c r="A220" s="61">
        <v>24</v>
      </c>
      <c r="B220" s="290" t="s">
        <v>439</v>
      </c>
      <c r="C220" s="63" t="s">
        <v>440</v>
      </c>
      <c r="D220" s="452"/>
      <c r="E220" s="443"/>
      <c r="F220" s="66"/>
      <c r="G220" s="67">
        <v>2370.81</v>
      </c>
      <c r="H220" s="67">
        <v>0</v>
      </c>
      <c r="I220" s="67">
        <v>2370.81</v>
      </c>
      <c r="J220" s="449">
        <v>25128</v>
      </c>
      <c r="K220" s="450" t="s">
        <v>614</v>
      </c>
      <c r="L220" s="451">
        <v>2370.81</v>
      </c>
      <c r="M220" s="69"/>
      <c r="N220" s="70"/>
      <c r="O220" s="71">
        <f t="shared" si="16"/>
        <v>0</v>
      </c>
      <c r="P220" s="71">
        <v>0</v>
      </c>
      <c r="Q220" s="387">
        <f t="shared" si="17"/>
        <v>0</v>
      </c>
    </row>
    <row r="221" spans="1:18" ht="22.5" customHeight="1" x14ac:dyDescent="0.5">
      <c r="A221" s="61">
        <v>25</v>
      </c>
      <c r="B221" s="453" t="s">
        <v>441</v>
      </c>
      <c r="C221" s="63" t="s">
        <v>442</v>
      </c>
      <c r="D221" s="452"/>
      <c r="E221" s="443"/>
      <c r="F221" s="66"/>
      <c r="G221" s="67">
        <v>0</v>
      </c>
      <c r="H221" s="67">
        <v>0</v>
      </c>
      <c r="I221" s="67">
        <v>0</v>
      </c>
      <c r="J221" s="449"/>
      <c r="K221" s="450"/>
      <c r="L221" s="451"/>
      <c r="M221" s="69"/>
      <c r="N221" s="70"/>
      <c r="O221" s="71">
        <f t="shared" si="16"/>
        <v>0</v>
      </c>
      <c r="P221" s="71">
        <v>0</v>
      </c>
      <c r="Q221" s="387">
        <f t="shared" si="17"/>
        <v>0</v>
      </c>
    </row>
    <row r="222" spans="1:18" ht="22.5" customHeight="1" x14ac:dyDescent="0.5">
      <c r="A222" s="61">
        <v>26</v>
      </c>
      <c r="B222" s="290" t="s">
        <v>443</v>
      </c>
      <c r="C222" s="63" t="s">
        <v>444</v>
      </c>
      <c r="D222" s="452"/>
      <c r="E222" s="443"/>
      <c r="F222" s="66"/>
      <c r="G222" s="67">
        <v>0</v>
      </c>
      <c r="H222" s="67">
        <v>0</v>
      </c>
      <c r="I222" s="67">
        <v>0</v>
      </c>
      <c r="J222" s="449"/>
      <c r="K222" s="450"/>
      <c r="L222" s="451"/>
      <c r="M222" s="69"/>
      <c r="N222" s="70"/>
      <c r="O222" s="71">
        <f t="shared" si="16"/>
        <v>0</v>
      </c>
      <c r="P222" s="71">
        <v>0</v>
      </c>
      <c r="Q222" s="387">
        <f t="shared" si="17"/>
        <v>0</v>
      </c>
    </row>
    <row r="223" spans="1:18" ht="22.5" customHeight="1" x14ac:dyDescent="0.5">
      <c r="A223" s="61">
        <v>27</v>
      </c>
      <c r="B223" s="290" t="s">
        <v>445</v>
      </c>
      <c r="C223" s="63" t="s">
        <v>446</v>
      </c>
      <c r="D223" s="452"/>
      <c r="E223" s="443"/>
      <c r="F223" s="66"/>
      <c r="G223" s="67">
        <v>0</v>
      </c>
      <c r="H223" s="67">
        <v>0</v>
      </c>
      <c r="I223" s="67">
        <v>0</v>
      </c>
      <c r="J223" s="449"/>
      <c r="K223" s="450"/>
      <c r="L223" s="451"/>
      <c r="M223" s="69"/>
      <c r="N223" s="70"/>
      <c r="O223" s="71">
        <f t="shared" si="16"/>
        <v>0</v>
      </c>
      <c r="P223" s="71">
        <v>0</v>
      </c>
      <c r="Q223" s="387">
        <f t="shared" si="17"/>
        <v>0</v>
      </c>
    </row>
    <row r="224" spans="1:18" ht="22.5" customHeight="1" x14ac:dyDescent="0.5">
      <c r="A224" s="61">
        <v>28</v>
      </c>
      <c r="B224" s="290" t="s">
        <v>447</v>
      </c>
      <c r="C224" s="63" t="s">
        <v>448</v>
      </c>
      <c r="D224" s="452"/>
      <c r="E224" s="443"/>
      <c r="F224" s="66"/>
      <c r="G224" s="67">
        <v>0</v>
      </c>
      <c r="H224" s="67">
        <v>0</v>
      </c>
      <c r="I224" s="67">
        <v>0</v>
      </c>
      <c r="J224" s="449"/>
      <c r="K224" s="450"/>
      <c r="L224" s="451"/>
      <c r="M224" s="69"/>
      <c r="N224" s="70"/>
      <c r="O224" s="71">
        <f t="shared" si="16"/>
        <v>0</v>
      </c>
      <c r="P224" s="71">
        <v>0</v>
      </c>
      <c r="Q224" s="387">
        <f t="shared" si="17"/>
        <v>0</v>
      </c>
    </row>
    <row r="225" spans="1:17" ht="22.5" customHeight="1" x14ac:dyDescent="0.5">
      <c r="A225" s="61">
        <v>29</v>
      </c>
      <c r="B225" s="290" t="s">
        <v>449</v>
      </c>
      <c r="C225" s="63" t="s">
        <v>450</v>
      </c>
      <c r="D225" s="452"/>
      <c r="E225" s="443"/>
      <c r="F225" s="66"/>
      <c r="G225" s="67">
        <v>0</v>
      </c>
      <c r="H225" s="67">
        <v>0</v>
      </c>
      <c r="I225" s="67">
        <v>0</v>
      </c>
      <c r="J225" s="449"/>
      <c r="K225" s="450"/>
      <c r="L225" s="451"/>
      <c r="M225" s="69"/>
      <c r="N225" s="70"/>
      <c r="O225" s="71">
        <f t="shared" si="16"/>
        <v>0</v>
      </c>
      <c r="P225" s="71">
        <v>0</v>
      </c>
      <c r="Q225" s="387">
        <f t="shared" si="17"/>
        <v>0</v>
      </c>
    </row>
    <row r="226" spans="1:17" ht="22.5" customHeight="1" x14ac:dyDescent="0.5">
      <c r="A226" s="61">
        <v>30</v>
      </c>
      <c r="B226" s="290" t="s">
        <v>451</v>
      </c>
      <c r="C226" s="63" t="s">
        <v>452</v>
      </c>
      <c r="D226" s="452"/>
      <c r="E226" s="443"/>
      <c r="F226" s="66"/>
      <c r="G226" s="67">
        <v>0</v>
      </c>
      <c r="H226" s="67">
        <v>0</v>
      </c>
      <c r="I226" s="67">
        <v>0</v>
      </c>
      <c r="J226" s="449"/>
      <c r="K226" s="450"/>
      <c r="L226" s="451"/>
      <c r="M226" s="69"/>
      <c r="N226" s="70"/>
      <c r="O226" s="71">
        <f t="shared" si="16"/>
        <v>0</v>
      </c>
      <c r="P226" s="71">
        <v>0</v>
      </c>
      <c r="Q226" s="387">
        <f t="shared" si="17"/>
        <v>0</v>
      </c>
    </row>
    <row r="227" spans="1:17" ht="22.5" customHeight="1" x14ac:dyDescent="0.5">
      <c r="A227" s="61">
        <v>31</v>
      </c>
      <c r="B227" s="290" t="s">
        <v>454</v>
      </c>
      <c r="C227" s="63" t="s">
        <v>455</v>
      </c>
      <c r="D227" s="452"/>
      <c r="E227" s="443"/>
      <c r="F227" s="66"/>
      <c r="G227" s="67">
        <v>0</v>
      </c>
      <c r="H227" s="67">
        <v>0</v>
      </c>
      <c r="I227" s="67">
        <v>0</v>
      </c>
      <c r="J227" s="449"/>
      <c r="K227" s="450"/>
      <c r="L227" s="451"/>
      <c r="M227" s="69"/>
      <c r="N227" s="70"/>
      <c r="O227" s="71">
        <f t="shared" si="16"/>
        <v>0</v>
      </c>
      <c r="P227" s="71">
        <v>0</v>
      </c>
      <c r="Q227" s="387">
        <f t="shared" si="17"/>
        <v>0</v>
      </c>
    </row>
    <row r="228" spans="1:17" ht="22.5" customHeight="1" x14ac:dyDescent="0.5">
      <c r="A228" s="61">
        <v>32</v>
      </c>
      <c r="B228" s="290" t="s">
        <v>456</v>
      </c>
      <c r="C228" s="63" t="s">
        <v>457</v>
      </c>
      <c r="D228" s="452"/>
      <c r="E228" s="443"/>
      <c r="F228" s="66"/>
      <c r="G228" s="67">
        <v>1064.44</v>
      </c>
      <c r="H228" s="67">
        <v>0</v>
      </c>
      <c r="I228" s="67">
        <v>1064.44</v>
      </c>
      <c r="J228" s="449"/>
      <c r="K228" s="450"/>
      <c r="L228" s="451"/>
      <c r="M228" s="69"/>
      <c r="N228" s="70"/>
      <c r="O228" s="71">
        <f t="shared" si="16"/>
        <v>1064.44</v>
      </c>
      <c r="P228" s="71">
        <v>0</v>
      </c>
      <c r="Q228" s="387">
        <f t="shared" si="17"/>
        <v>1064.44</v>
      </c>
    </row>
    <row r="229" spans="1:17" ht="22.5" customHeight="1" x14ac:dyDescent="0.5">
      <c r="A229" s="61">
        <v>33</v>
      </c>
      <c r="B229" s="290" t="s">
        <v>458</v>
      </c>
      <c r="C229" s="63" t="s">
        <v>459</v>
      </c>
      <c r="D229" s="452"/>
      <c r="E229" s="443"/>
      <c r="F229" s="66"/>
      <c r="G229" s="67">
        <v>0</v>
      </c>
      <c r="H229" s="67">
        <v>0</v>
      </c>
      <c r="I229" s="67">
        <v>0</v>
      </c>
      <c r="J229" s="449"/>
      <c r="K229" s="450"/>
      <c r="L229" s="451"/>
      <c r="M229" s="69"/>
      <c r="N229" s="70"/>
      <c r="O229" s="71">
        <f t="shared" si="16"/>
        <v>0</v>
      </c>
      <c r="P229" s="71">
        <v>0</v>
      </c>
      <c r="Q229" s="387">
        <f t="shared" si="17"/>
        <v>0</v>
      </c>
    </row>
    <row r="230" spans="1:17" ht="22.5" customHeight="1" x14ac:dyDescent="0.5">
      <c r="A230" s="61">
        <v>34</v>
      </c>
      <c r="B230" s="290" t="s">
        <v>460</v>
      </c>
      <c r="C230" s="63" t="s">
        <v>461</v>
      </c>
      <c r="D230" s="452"/>
      <c r="E230" s="443"/>
      <c r="F230" s="66"/>
      <c r="G230" s="67">
        <v>0</v>
      </c>
      <c r="H230" s="67">
        <v>0</v>
      </c>
      <c r="I230" s="67">
        <v>0</v>
      </c>
      <c r="J230" s="449"/>
      <c r="K230" s="450"/>
      <c r="L230" s="451"/>
      <c r="M230" s="69"/>
      <c r="N230" s="70"/>
      <c r="O230" s="71">
        <f t="shared" si="16"/>
        <v>0</v>
      </c>
      <c r="P230" s="71">
        <v>0</v>
      </c>
      <c r="Q230" s="387">
        <f t="shared" si="17"/>
        <v>0</v>
      </c>
    </row>
    <row r="231" spans="1:17" ht="22.5" customHeight="1" x14ac:dyDescent="0.5">
      <c r="A231" s="61">
        <v>35</v>
      </c>
      <c r="B231" s="290" t="s">
        <v>463</v>
      </c>
      <c r="C231" s="63" t="s">
        <v>464</v>
      </c>
      <c r="D231" s="452"/>
      <c r="E231" s="443"/>
      <c r="F231" s="66"/>
      <c r="G231" s="67">
        <v>1064.44</v>
      </c>
      <c r="H231" s="67">
        <v>0</v>
      </c>
      <c r="I231" s="67">
        <v>1064.44</v>
      </c>
      <c r="J231" s="449"/>
      <c r="K231" s="450"/>
      <c r="L231" s="451"/>
      <c r="M231" s="69"/>
      <c r="N231" s="70"/>
      <c r="O231" s="71">
        <f t="shared" si="16"/>
        <v>1064.44</v>
      </c>
      <c r="P231" s="71">
        <v>0</v>
      </c>
      <c r="Q231" s="387">
        <f t="shared" si="17"/>
        <v>1064.44</v>
      </c>
    </row>
    <row r="232" spans="1:17" ht="22.5" customHeight="1" x14ac:dyDescent="0.5">
      <c r="A232" s="61">
        <v>36</v>
      </c>
      <c r="B232" s="290" t="s">
        <v>465</v>
      </c>
      <c r="C232" s="63" t="s">
        <v>466</v>
      </c>
      <c r="D232" s="452"/>
      <c r="E232" s="443"/>
      <c r="F232" s="66"/>
      <c r="G232" s="67">
        <v>0</v>
      </c>
      <c r="H232" s="67">
        <v>0</v>
      </c>
      <c r="I232" s="67">
        <v>0</v>
      </c>
      <c r="J232" s="449"/>
      <c r="K232" s="450"/>
      <c r="L232" s="451"/>
      <c r="M232" s="69"/>
      <c r="N232" s="70"/>
      <c r="O232" s="71">
        <f t="shared" si="16"/>
        <v>0</v>
      </c>
      <c r="P232" s="71">
        <v>0</v>
      </c>
      <c r="Q232" s="387">
        <f t="shared" si="17"/>
        <v>0</v>
      </c>
    </row>
    <row r="233" spans="1:17" ht="22.5" customHeight="1" x14ac:dyDescent="0.5">
      <c r="A233" s="61">
        <v>37</v>
      </c>
      <c r="B233" s="290" t="s">
        <v>467</v>
      </c>
      <c r="C233" s="63" t="s">
        <v>468</v>
      </c>
      <c r="D233" s="452"/>
      <c r="E233" s="443"/>
      <c r="F233" s="66"/>
      <c r="G233" s="67">
        <v>0</v>
      </c>
      <c r="H233" s="67">
        <v>0</v>
      </c>
      <c r="I233" s="67">
        <v>0</v>
      </c>
      <c r="J233" s="449"/>
      <c r="K233" s="450"/>
      <c r="L233" s="451"/>
      <c r="M233" s="69"/>
      <c r="N233" s="70"/>
      <c r="O233" s="71">
        <f t="shared" si="16"/>
        <v>0</v>
      </c>
      <c r="P233" s="71">
        <v>0</v>
      </c>
      <c r="Q233" s="387">
        <f t="shared" si="17"/>
        <v>0</v>
      </c>
    </row>
    <row r="234" spans="1:17" ht="22.5" customHeight="1" x14ac:dyDescent="0.5">
      <c r="A234" s="61">
        <v>38</v>
      </c>
      <c r="B234" s="290" t="s">
        <v>469</v>
      </c>
      <c r="C234" s="63" t="s">
        <v>470</v>
      </c>
      <c r="D234" s="452"/>
      <c r="E234" s="443"/>
      <c r="F234" s="66"/>
      <c r="G234" s="67">
        <v>0</v>
      </c>
      <c r="H234" s="67"/>
      <c r="I234" s="67">
        <v>0</v>
      </c>
      <c r="J234" s="449"/>
      <c r="K234" s="450"/>
      <c r="L234" s="451"/>
      <c r="M234" s="69"/>
      <c r="N234" s="70"/>
      <c r="O234" s="71">
        <f t="shared" si="16"/>
        <v>0</v>
      </c>
      <c r="P234" s="71">
        <v>0</v>
      </c>
      <c r="Q234" s="387">
        <f t="shared" si="17"/>
        <v>0</v>
      </c>
    </row>
    <row r="235" spans="1:17" ht="22.5" customHeight="1" x14ac:dyDescent="0.5">
      <c r="A235" s="61">
        <v>39</v>
      </c>
      <c r="B235" s="290" t="s">
        <v>471</v>
      </c>
      <c r="C235" s="63" t="s">
        <v>472</v>
      </c>
      <c r="D235" s="452"/>
      <c r="E235" s="443"/>
      <c r="F235" s="66"/>
      <c r="G235" s="67">
        <v>0</v>
      </c>
      <c r="H235" s="67">
        <v>0</v>
      </c>
      <c r="I235" s="67">
        <v>0</v>
      </c>
      <c r="J235" s="449"/>
      <c r="K235" s="450"/>
      <c r="L235" s="451"/>
      <c r="M235" s="69"/>
      <c r="N235" s="70"/>
      <c r="O235" s="71">
        <f t="shared" si="16"/>
        <v>0</v>
      </c>
      <c r="P235" s="71">
        <v>0</v>
      </c>
      <c r="Q235" s="387">
        <f t="shared" si="17"/>
        <v>0</v>
      </c>
    </row>
    <row r="236" spans="1:17" ht="22.5" customHeight="1" x14ac:dyDescent="0.5">
      <c r="A236" s="61">
        <v>40</v>
      </c>
      <c r="B236" s="290" t="s">
        <v>473</v>
      </c>
      <c r="C236" s="63" t="s">
        <v>474</v>
      </c>
      <c r="D236" s="452"/>
      <c r="E236" s="443"/>
      <c r="F236" s="66"/>
      <c r="G236" s="67">
        <v>435.46</v>
      </c>
      <c r="H236" s="67">
        <v>0</v>
      </c>
      <c r="I236" s="67">
        <v>435.46</v>
      </c>
      <c r="J236" s="449">
        <v>25112</v>
      </c>
      <c r="K236" s="450" t="s">
        <v>615</v>
      </c>
      <c r="L236" s="451">
        <v>435.46</v>
      </c>
      <c r="M236" s="69"/>
      <c r="N236" s="70"/>
      <c r="O236" s="71">
        <f t="shared" si="16"/>
        <v>0</v>
      </c>
      <c r="P236" s="71">
        <v>0</v>
      </c>
      <c r="Q236" s="387">
        <f t="shared" si="17"/>
        <v>0</v>
      </c>
    </row>
    <row r="237" spans="1:17" ht="22.5" customHeight="1" x14ac:dyDescent="0.5">
      <c r="A237" s="61">
        <v>41</v>
      </c>
      <c r="B237" s="290" t="s">
        <v>475</v>
      </c>
      <c r="C237" s="63" t="s">
        <v>476</v>
      </c>
      <c r="D237" s="452"/>
      <c r="E237" s="443"/>
      <c r="F237" s="66"/>
      <c r="G237" s="67">
        <v>0</v>
      </c>
      <c r="H237" s="67">
        <v>0</v>
      </c>
      <c r="I237" s="67">
        <v>0</v>
      </c>
      <c r="J237" s="449"/>
      <c r="K237" s="450"/>
      <c r="L237" s="451"/>
      <c r="M237" s="69"/>
      <c r="N237" s="70"/>
      <c r="O237" s="71">
        <f t="shared" si="16"/>
        <v>0</v>
      </c>
      <c r="P237" s="71">
        <v>0</v>
      </c>
      <c r="Q237" s="387">
        <f t="shared" si="17"/>
        <v>0</v>
      </c>
    </row>
    <row r="238" spans="1:17" ht="22.5" customHeight="1" x14ac:dyDescent="0.5">
      <c r="A238" s="61">
        <v>42</v>
      </c>
      <c r="B238" s="290" t="s">
        <v>477</v>
      </c>
      <c r="C238" s="63" t="s">
        <v>478</v>
      </c>
      <c r="D238" s="452"/>
      <c r="E238" s="443"/>
      <c r="F238" s="66"/>
      <c r="G238" s="67">
        <v>0</v>
      </c>
      <c r="H238" s="67">
        <v>0</v>
      </c>
      <c r="I238" s="67">
        <v>0</v>
      </c>
      <c r="J238" s="449"/>
      <c r="K238" s="450"/>
      <c r="L238" s="451"/>
      <c r="M238" s="69"/>
      <c r="N238" s="70"/>
      <c r="O238" s="71">
        <f t="shared" si="16"/>
        <v>0</v>
      </c>
      <c r="P238" s="71">
        <v>0</v>
      </c>
      <c r="Q238" s="387">
        <f t="shared" si="17"/>
        <v>0</v>
      </c>
    </row>
    <row r="239" spans="1:17" ht="22.5" customHeight="1" x14ac:dyDescent="0.5">
      <c r="A239" s="61">
        <v>43</v>
      </c>
      <c r="B239" s="290" t="s">
        <v>479</v>
      </c>
      <c r="C239" s="63" t="s">
        <v>480</v>
      </c>
      <c r="D239" s="452"/>
      <c r="E239" s="443"/>
      <c r="F239" s="66"/>
      <c r="G239" s="67">
        <v>0</v>
      </c>
      <c r="H239" s="67">
        <v>0</v>
      </c>
      <c r="I239" s="67">
        <v>0</v>
      </c>
      <c r="J239" s="449"/>
      <c r="K239" s="450"/>
      <c r="L239" s="451"/>
      <c r="M239" s="69"/>
      <c r="N239" s="70"/>
      <c r="O239" s="71">
        <f t="shared" si="16"/>
        <v>0</v>
      </c>
      <c r="P239" s="71">
        <v>0</v>
      </c>
      <c r="Q239" s="387">
        <f t="shared" si="17"/>
        <v>0</v>
      </c>
    </row>
    <row r="240" spans="1:17" ht="22.5" customHeight="1" x14ac:dyDescent="0.5">
      <c r="A240" s="61">
        <v>44</v>
      </c>
      <c r="B240" s="290" t="s">
        <v>482</v>
      </c>
      <c r="C240" s="63" t="s">
        <v>483</v>
      </c>
      <c r="D240" s="452"/>
      <c r="E240" s="443"/>
      <c r="F240" s="66"/>
      <c r="G240" s="67">
        <v>0</v>
      </c>
      <c r="H240" s="67">
        <v>0</v>
      </c>
      <c r="I240" s="67">
        <v>0</v>
      </c>
      <c r="J240" s="449"/>
      <c r="K240" s="450"/>
      <c r="L240" s="451"/>
      <c r="M240" s="69"/>
      <c r="N240" s="70"/>
      <c r="O240" s="71">
        <f t="shared" si="16"/>
        <v>0</v>
      </c>
      <c r="P240" s="71">
        <v>0</v>
      </c>
      <c r="Q240" s="387">
        <f t="shared" si="17"/>
        <v>0</v>
      </c>
    </row>
    <row r="241" spans="1:18" ht="22.5" customHeight="1" x14ac:dyDescent="0.5">
      <c r="A241" s="61">
        <v>45</v>
      </c>
      <c r="B241" s="290" t="s">
        <v>484</v>
      </c>
      <c r="C241" s="63" t="s">
        <v>485</v>
      </c>
      <c r="D241" s="452"/>
      <c r="E241" s="443"/>
      <c r="F241" s="66"/>
      <c r="G241" s="67">
        <v>0</v>
      </c>
      <c r="H241" s="67">
        <v>0</v>
      </c>
      <c r="I241" s="67">
        <v>0</v>
      </c>
      <c r="J241" s="449"/>
      <c r="K241" s="450"/>
      <c r="L241" s="451"/>
      <c r="M241" s="69"/>
      <c r="N241" s="70"/>
      <c r="O241" s="71">
        <f t="shared" si="16"/>
        <v>0</v>
      </c>
      <c r="P241" s="71">
        <v>0</v>
      </c>
      <c r="Q241" s="387">
        <f t="shared" si="17"/>
        <v>0</v>
      </c>
    </row>
    <row r="242" spans="1:18" ht="22.5" customHeight="1" x14ac:dyDescent="0.5">
      <c r="A242" s="23">
        <v>46</v>
      </c>
      <c r="B242" s="290" t="s">
        <v>486</v>
      </c>
      <c r="C242" s="25" t="s">
        <v>487</v>
      </c>
      <c r="D242" s="452"/>
      <c r="E242" s="454"/>
      <c r="F242" s="213"/>
      <c r="G242" s="219">
        <v>0</v>
      </c>
      <c r="H242" s="219">
        <v>0</v>
      </c>
      <c r="I242" s="219">
        <v>0</v>
      </c>
      <c r="J242" s="449"/>
      <c r="K242" s="450"/>
      <c r="L242" s="451"/>
      <c r="M242" s="41"/>
      <c r="N242" s="34"/>
      <c r="O242" s="71">
        <f t="shared" si="16"/>
        <v>0</v>
      </c>
      <c r="P242" s="71">
        <v>0</v>
      </c>
      <c r="Q242" s="387">
        <f t="shared" si="17"/>
        <v>0</v>
      </c>
    </row>
    <row r="243" spans="1:18" ht="22.5" customHeight="1" x14ac:dyDescent="0.5">
      <c r="A243" s="61">
        <v>47</v>
      </c>
      <c r="B243" s="392" t="s">
        <v>489</v>
      </c>
      <c r="C243" s="63" t="s">
        <v>490</v>
      </c>
      <c r="D243" s="452"/>
      <c r="E243" s="443"/>
      <c r="F243" s="66"/>
      <c r="G243" s="67">
        <v>0</v>
      </c>
      <c r="H243" s="67">
        <v>0</v>
      </c>
      <c r="I243" s="67">
        <v>0</v>
      </c>
      <c r="J243" s="449"/>
      <c r="K243" s="450"/>
      <c r="L243" s="451"/>
      <c r="M243" s="69"/>
      <c r="N243" s="70"/>
      <c r="O243" s="71">
        <f t="shared" si="16"/>
        <v>0</v>
      </c>
      <c r="P243" s="71">
        <v>0</v>
      </c>
      <c r="Q243" s="387">
        <f t="shared" si="17"/>
        <v>0</v>
      </c>
    </row>
    <row r="244" spans="1:18" ht="22.5" customHeight="1" x14ac:dyDescent="0.5">
      <c r="A244" s="23">
        <v>48</v>
      </c>
      <c r="B244" s="290" t="s">
        <v>491</v>
      </c>
      <c r="C244" s="25" t="s">
        <v>492</v>
      </c>
      <c r="D244" s="452"/>
      <c r="E244" s="454"/>
      <c r="F244" s="213"/>
      <c r="G244" s="219">
        <v>0</v>
      </c>
      <c r="H244" s="219">
        <v>0</v>
      </c>
      <c r="I244" s="219">
        <v>0</v>
      </c>
      <c r="J244" s="449"/>
      <c r="K244" s="450"/>
      <c r="L244" s="451"/>
      <c r="M244" s="41"/>
      <c r="N244" s="34"/>
      <c r="O244" s="71">
        <f t="shared" si="16"/>
        <v>0</v>
      </c>
      <c r="P244" s="71">
        <v>0</v>
      </c>
      <c r="Q244" s="387">
        <f t="shared" si="17"/>
        <v>0</v>
      </c>
    </row>
    <row r="245" spans="1:18" ht="22.5" customHeight="1" x14ac:dyDescent="0.5">
      <c r="A245" s="23">
        <v>49</v>
      </c>
      <c r="B245" s="290" t="s">
        <v>493</v>
      </c>
      <c r="C245" s="25" t="s">
        <v>494</v>
      </c>
      <c r="D245" s="452"/>
      <c r="E245" s="454"/>
      <c r="F245" s="213"/>
      <c r="G245" s="219">
        <v>2061.84</v>
      </c>
      <c r="H245" s="219">
        <v>0</v>
      </c>
      <c r="I245" s="219">
        <v>2061.84</v>
      </c>
      <c r="J245" s="449"/>
      <c r="K245" s="450"/>
      <c r="L245" s="451"/>
      <c r="M245" s="41"/>
      <c r="N245" s="34"/>
      <c r="O245" s="71">
        <f t="shared" si="16"/>
        <v>2061.84</v>
      </c>
      <c r="P245" s="71">
        <v>0</v>
      </c>
      <c r="Q245" s="387">
        <f t="shared" si="17"/>
        <v>2061.84</v>
      </c>
    </row>
    <row r="246" spans="1:18" ht="22.5" customHeight="1" x14ac:dyDescent="0.5">
      <c r="A246" s="23">
        <v>50</v>
      </c>
      <c r="B246" s="290" t="s">
        <v>495</v>
      </c>
      <c r="C246" s="25" t="s">
        <v>496</v>
      </c>
      <c r="D246" s="452"/>
      <c r="E246" s="454"/>
      <c r="F246" s="213"/>
      <c r="G246" s="219">
        <v>20595.900000000001</v>
      </c>
      <c r="H246" s="219">
        <v>0</v>
      </c>
      <c r="I246" s="219">
        <v>20595.900000000001</v>
      </c>
      <c r="J246" s="449"/>
      <c r="K246" s="450"/>
      <c r="L246" s="451"/>
      <c r="M246" s="41"/>
      <c r="N246" s="34"/>
      <c r="O246" s="71">
        <f t="shared" si="16"/>
        <v>20595.900000000001</v>
      </c>
      <c r="P246" s="71">
        <v>0</v>
      </c>
      <c r="Q246" s="387">
        <f t="shared" si="17"/>
        <v>20595.900000000001</v>
      </c>
    </row>
    <row r="247" spans="1:18" s="60" customFormat="1" ht="22.5" customHeight="1" thickBot="1" x14ac:dyDescent="0.35">
      <c r="A247" s="362"/>
      <c r="B247" s="362" t="s">
        <v>15</v>
      </c>
      <c r="C247" s="455"/>
      <c r="D247" s="456">
        <v>0</v>
      </c>
      <c r="E247" s="362"/>
      <c r="F247" s="363"/>
      <c r="G247" s="456">
        <f>SUM(G195:G246)</f>
        <v>63503.68</v>
      </c>
      <c r="H247" s="456">
        <f>SUM(H195:H246)</f>
        <v>0</v>
      </c>
      <c r="I247" s="456">
        <f>SUM(I195:I246)</f>
        <v>63503.68</v>
      </c>
      <c r="J247" s="457"/>
      <c r="K247" s="458"/>
      <c r="L247" s="458">
        <f>SUM(L195:L246)</f>
        <v>14585.519999999997</v>
      </c>
      <c r="M247" s="362"/>
      <c r="N247" s="363"/>
      <c r="O247" s="364">
        <f>SUM(O195:O246)</f>
        <v>48918.16</v>
      </c>
      <c r="P247" s="364">
        <f>SUM(P195:P246)</f>
        <v>0</v>
      </c>
      <c r="Q247" s="364">
        <f>SUM(Q195:Q246)</f>
        <v>48918.16</v>
      </c>
    </row>
    <row r="248" spans="1:18" s="60" customFormat="1" ht="22.5" customHeight="1" thickTop="1" thickBot="1" x14ac:dyDescent="0.35">
      <c r="A248" s="459"/>
      <c r="B248" s="460" t="s">
        <v>497</v>
      </c>
      <c r="C248" s="461"/>
      <c r="D248" s="462">
        <f t="shared" ref="D248:P248" si="18">SUM(D12+D27+D31+D35+D38+D42+D109+D153+D163+D171+D181+D185+D188+D192+D247)</f>
        <v>1131247.45</v>
      </c>
      <c r="E248" s="462">
        <f t="shared" si="18"/>
        <v>0</v>
      </c>
      <c r="F248" s="462">
        <f t="shared" si="18"/>
        <v>0</v>
      </c>
      <c r="G248" s="462">
        <f t="shared" si="18"/>
        <v>631780.72000000009</v>
      </c>
      <c r="H248" s="462">
        <f t="shared" si="18"/>
        <v>15568.699999999997</v>
      </c>
      <c r="I248" s="462">
        <f t="shared" si="18"/>
        <v>647349.42000000004</v>
      </c>
      <c r="J248" s="462">
        <f t="shared" si="18"/>
        <v>0</v>
      </c>
      <c r="K248" s="462">
        <f t="shared" si="18"/>
        <v>0</v>
      </c>
      <c r="L248" s="462">
        <f t="shared" si="18"/>
        <v>1420020.2599999998</v>
      </c>
      <c r="M248" s="462">
        <f t="shared" si="18"/>
        <v>577576</v>
      </c>
      <c r="N248" s="462">
        <f t="shared" si="18"/>
        <v>0</v>
      </c>
      <c r="O248" s="462">
        <f t="shared" si="18"/>
        <v>347107.57121495332</v>
      </c>
      <c r="P248" s="462">
        <f t="shared" si="18"/>
        <v>11469.038785046729</v>
      </c>
      <c r="Q248" s="462">
        <f>SUM(Q12+Q27+Q31+Q35+Q38+Q42+Q109+Q153+Q163+Q171+Q181+Q185+Q188+Q192+Q247)</f>
        <v>358576.61</v>
      </c>
    </row>
    <row r="249" spans="1:18" ht="22.5" customHeight="1" thickTop="1" x14ac:dyDescent="0.3">
      <c r="E249" s="469"/>
      <c r="F249" s="470"/>
      <c r="G249" s="3"/>
      <c r="H249" s="3"/>
      <c r="I249" s="3"/>
      <c r="M249" s="3"/>
      <c r="N249" s="470"/>
      <c r="O249" s="471"/>
      <c r="P249" s="471"/>
      <c r="Q249" s="472"/>
    </row>
    <row r="250" spans="1:18" ht="22.5" customHeight="1" x14ac:dyDescent="0.3">
      <c r="A250" s="1123" t="s">
        <v>498</v>
      </c>
      <c r="B250" s="1124"/>
      <c r="C250" s="1124"/>
      <c r="D250" s="1124"/>
      <c r="E250" s="1124"/>
      <c r="F250" s="1124"/>
      <c r="G250" s="1124"/>
      <c r="H250" s="1124"/>
      <c r="I250" s="1124"/>
      <c r="J250" s="1124"/>
      <c r="K250" s="1124"/>
      <c r="L250" s="1124"/>
      <c r="M250" s="1124"/>
      <c r="N250" s="1124"/>
      <c r="O250" s="1124"/>
      <c r="P250" s="1124"/>
      <c r="Q250" s="1125"/>
      <c r="R250" s="2"/>
    </row>
    <row r="251" spans="1:18" ht="22.5" customHeight="1" x14ac:dyDescent="0.3">
      <c r="A251" s="115"/>
      <c r="B251" s="164" t="s">
        <v>499</v>
      </c>
      <c r="C251" s="165"/>
      <c r="D251" s="86"/>
      <c r="E251" s="167"/>
      <c r="F251" s="168"/>
      <c r="G251" s="473"/>
      <c r="H251" s="473"/>
      <c r="I251" s="473"/>
      <c r="J251" s="170"/>
      <c r="K251" s="171"/>
      <c r="L251" s="86"/>
      <c r="M251" s="117"/>
      <c r="N251" s="118"/>
      <c r="O251" s="474"/>
      <c r="P251" s="474"/>
      <c r="Q251" s="370"/>
      <c r="R251" s="2"/>
    </row>
    <row r="252" spans="1:18" ht="22.5" customHeight="1" x14ac:dyDescent="0.3">
      <c r="A252" s="475">
        <v>1</v>
      </c>
      <c r="B252" s="476" t="s">
        <v>500</v>
      </c>
      <c r="C252" s="477" t="s">
        <v>501</v>
      </c>
      <c r="D252" s="478">
        <v>0</v>
      </c>
      <c r="E252" s="479"/>
      <c r="F252" s="480"/>
      <c r="G252" s="481">
        <v>325409.68</v>
      </c>
      <c r="H252" s="482"/>
      <c r="I252" s="481">
        <v>325409.68</v>
      </c>
      <c r="J252" s="303"/>
      <c r="K252" s="303"/>
      <c r="L252" s="483"/>
      <c r="M252" s="484"/>
      <c r="N252" s="485"/>
      <c r="O252" s="486">
        <v>325409.68</v>
      </c>
      <c r="P252" s="486"/>
      <c r="Q252" s="487">
        <v>325409.68</v>
      </c>
      <c r="R252" s="2" t="s">
        <v>502</v>
      </c>
    </row>
    <row r="253" spans="1:18" ht="22.5" customHeight="1" x14ac:dyDescent="0.3">
      <c r="A253" s="488"/>
      <c r="B253" s="489" t="s">
        <v>503</v>
      </c>
      <c r="C253" s="490"/>
      <c r="D253" s="491"/>
      <c r="E253" s="479"/>
      <c r="F253" s="480"/>
      <c r="G253" s="481"/>
      <c r="H253" s="482"/>
      <c r="I253" s="481"/>
      <c r="J253" s="492"/>
      <c r="K253" s="492"/>
      <c r="L253" s="493"/>
      <c r="M253" s="484"/>
      <c r="N253" s="494"/>
      <c r="O253" s="495"/>
      <c r="P253" s="486"/>
      <c r="Q253" s="487"/>
      <c r="R253" s="2"/>
    </row>
    <row r="254" spans="1:18" ht="22.5" customHeight="1" x14ac:dyDescent="0.3">
      <c r="A254" s="475">
        <v>2</v>
      </c>
      <c r="B254" s="476" t="s">
        <v>504</v>
      </c>
      <c r="C254" s="477" t="s">
        <v>415</v>
      </c>
      <c r="D254" s="478">
        <v>0</v>
      </c>
      <c r="E254" s="479"/>
      <c r="F254" s="480"/>
      <c r="G254" s="481">
        <v>74600.88</v>
      </c>
      <c r="H254" s="482">
        <v>0</v>
      </c>
      <c r="I254" s="481">
        <v>74600.88</v>
      </c>
      <c r="J254" s="492"/>
      <c r="K254" s="492"/>
      <c r="L254" s="493"/>
      <c r="M254" s="484"/>
      <c r="N254" s="494"/>
      <c r="O254" s="495">
        <v>74600.88</v>
      </c>
      <c r="P254" s="496">
        <v>0</v>
      </c>
      <c r="Q254" s="497">
        <v>74600.88</v>
      </c>
      <c r="R254" s="2"/>
    </row>
    <row r="255" spans="1:18" ht="22.5" customHeight="1" x14ac:dyDescent="0.3">
      <c r="A255" s="475"/>
      <c r="B255" s="489" t="s">
        <v>505</v>
      </c>
      <c r="C255" s="498"/>
      <c r="D255" s="499"/>
      <c r="E255" s="500"/>
      <c r="F255" s="501"/>
      <c r="G255" s="481"/>
      <c r="H255" s="482"/>
      <c r="I255" s="481"/>
      <c r="J255" s="492"/>
      <c r="K255" s="492"/>
      <c r="L255" s="493"/>
      <c r="M255" s="484"/>
      <c r="N255" s="494"/>
      <c r="O255" s="495"/>
      <c r="P255" s="496"/>
      <c r="Q255" s="497"/>
      <c r="R255" s="2"/>
    </row>
    <row r="256" spans="1:18" ht="22.5" customHeight="1" x14ac:dyDescent="0.3">
      <c r="A256" s="502">
        <v>3</v>
      </c>
      <c r="B256" s="503" t="s">
        <v>506</v>
      </c>
      <c r="C256" s="504" t="s">
        <v>507</v>
      </c>
      <c r="D256" s="505">
        <v>0</v>
      </c>
      <c r="E256" s="506"/>
      <c r="F256" s="507"/>
      <c r="G256" s="508">
        <v>32500</v>
      </c>
      <c r="H256" s="508">
        <v>0</v>
      </c>
      <c r="I256" s="508">
        <v>32500</v>
      </c>
      <c r="J256" s="492"/>
      <c r="K256" s="492"/>
      <c r="L256" s="298"/>
      <c r="M256" s="509"/>
      <c r="N256" s="510"/>
      <c r="O256" s="511">
        <v>32500</v>
      </c>
      <c r="P256" s="512">
        <v>0</v>
      </c>
      <c r="Q256" s="513">
        <v>32500</v>
      </c>
      <c r="R256" s="2"/>
    </row>
    <row r="257" spans="1:20" ht="22.5" customHeight="1" x14ac:dyDescent="0.3">
      <c r="A257" s="488"/>
      <c r="B257" s="489" t="s">
        <v>508</v>
      </c>
      <c r="C257" s="514"/>
      <c r="D257" s="515"/>
      <c r="E257" s="516"/>
      <c r="F257" s="517"/>
      <c r="G257" s="518"/>
      <c r="H257" s="519"/>
      <c r="I257" s="518"/>
      <c r="J257" s="492"/>
      <c r="K257" s="492"/>
      <c r="L257" s="493"/>
      <c r="M257" s="520"/>
      <c r="N257" s="521"/>
      <c r="O257" s="522"/>
      <c r="P257" s="523"/>
      <c r="Q257" s="524"/>
    </row>
    <row r="258" spans="1:20" ht="22.5" customHeight="1" x14ac:dyDescent="0.3">
      <c r="A258" s="488">
        <v>4</v>
      </c>
      <c r="B258" s="525" t="s">
        <v>509</v>
      </c>
      <c r="C258" s="526" t="s">
        <v>510</v>
      </c>
      <c r="D258" s="515"/>
      <c r="E258" s="527"/>
      <c r="F258" s="517"/>
      <c r="G258" s="528">
        <v>796450.4</v>
      </c>
      <c r="H258" s="519"/>
      <c r="I258" s="528">
        <v>796450.4</v>
      </c>
      <c r="J258" s="515"/>
      <c r="K258" s="492"/>
      <c r="L258" s="493"/>
      <c r="M258" s="521"/>
      <c r="N258" s="529"/>
      <c r="O258" s="530">
        <v>796450.4</v>
      </c>
      <c r="P258" s="531"/>
      <c r="Q258" s="532">
        <v>796450.4</v>
      </c>
    </row>
    <row r="259" spans="1:20" ht="22.5" customHeight="1" x14ac:dyDescent="0.3">
      <c r="A259" s="533"/>
      <c r="B259" s="534" t="s">
        <v>509</v>
      </c>
      <c r="C259" s="535" t="s">
        <v>511</v>
      </c>
      <c r="D259" s="536"/>
      <c r="E259" s="537"/>
      <c r="F259" s="538"/>
      <c r="G259" s="539">
        <v>93330</v>
      </c>
      <c r="H259" s="540"/>
      <c r="I259" s="539">
        <v>93330</v>
      </c>
      <c r="J259" s="536"/>
      <c r="K259" s="541"/>
      <c r="L259" s="542"/>
      <c r="M259" s="543"/>
      <c r="N259" s="544"/>
      <c r="O259" s="545">
        <v>93330</v>
      </c>
      <c r="P259" s="546"/>
      <c r="Q259" s="547">
        <v>93330</v>
      </c>
    </row>
    <row r="260" spans="1:20" s="60" customFormat="1" ht="22.5" customHeight="1" thickBot="1" x14ac:dyDescent="0.35">
      <c r="A260" s="548"/>
      <c r="B260" s="548" t="s">
        <v>15</v>
      </c>
      <c r="C260" s="549"/>
      <c r="D260" s="550">
        <v>0</v>
      </c>
      <c r="E260" s="551"/>
      <c r="F260" s="552"/>
      <c r="G260" s="553">
        <v>1322290.96</v>
      </c>
      <c r="H260" s="553">
        <v>0</v>
      </c>
      <c r="I260" s="553">
        <v>1322290.96</v>
      </c>
      <c r="J260" s="554"/>
      <c r="K260" s="554"/>
      <c r="L260" s="550">
        <v>0</v>
      </c>
      <c r="M260" s="555"/>
      <c r="N260" s="556"/>
      <c r="O260" s="557">
        <v>1322290.96</v>
      </c>
      <c r="P260" s="557">
        <v>0</v>
      </c>
      <c r="Q260" s="558">
        <v>1322290.96</v>
      </c>
      <c r="R260" s="59"/>
    </row>
    <row r="261" spans="1:20" ht="22.5" customHeight="1" thickTop="1" x14ac:dyDescent="0.3">
      <c r="A261" s="559"/>
      <c r="B261" s="560" t="s">
        <v>92</v>
      </c>
      <c r="C261" s="561"/>
      <c r="D261" s="562"/>
      <c r="E261" s="563"/>
      <c r="F261" s="564"/>
      <c r="G261" s="565"/>
      <c r="H261" s="565"/>
      <c r="I261" s="565"/>
      <c r="J261" s="566"/>
      <c r="K261" s="566"/>
      <c r="L261" s="562"/>
      <c r="M261" s="567"/>
      <c r="N261" s="568"/>
      <c r="O261" s="569"/>
      <c r="P261" s="569"/>
      <c r="Q261" s="570"/>
      <c r="R261" s="2"/>
    </row>
    <row r="262" spans="1:20" ht="22.5" customHeight="1" x14ac:dyDescent="0.3">
      <c r="A262" s="23">
        <v>1</v>
      </c>
      <c r="B262" s="73" t="s">
        <v>512</v>
      </c>
      <c r="C262" s="25" t="s">
        <v>97</v>
      </c>
      <c r="D262" s="43">
        <v>0</v>
      </c>
      <c r="E262" s="212" t="s">
        <v>513</v>
      </c>
      <c r="F262" s="213" t="s">
        <v>514</v>
      </c>
      <c r="G262" s="219">
        <v>9813.08</v>
      </c>
      <c r="H262" s="219">
        <v>686.91560000000004</v>
      </c>
      <c r="I262" s="219">
        <v>10499.9956</v>
      </c>
      <c r="J262" s="408"/>
      <c r="K262" s="408"/>
      <c r="L262" s="43"/>
      <c r="M262" s="41" t="s">
        <v>513</v>
      </c>
      <c r="N262" s="34" t="s">
        <v>514</v>
      </c>
      <c r="O262" s="114">
        <v>9813.08</v>
      </c>
      <c r="P262" s="114">
        <v>686.91560000000004</v>
      </c>
      <c r="Q262" s="36">
        <v>10499.9956</v>
      </c>
      <c r="R262" s="2"/>
    </row>
    <row r="263" spans="1:20" s="60" customFormat="1" ht="22.5" customHeight="1" thickBot="1" x14ac:dyDescent="0.35">
      <c r="A263" s="548"/>
      <c r="B263" s="548" t="s">
        <v>15</v>
      </c>
      <c r="C263" s="549"/>
      <c r="D263" s="550"/>
      <c r="E263" s="571"/>
      <c r="F263" s="552"/>
      <c r="G263" s="553">
        <v>9813.08</v>
      </c>
      <c r="H263" s="553">
        <v>686.91560000000004</v>
      </c>
      <c r="I263" s="553">
        <v>10499.9956</v>
      </c>
      <c r="J263" s="554"/>
      <c r="K263" s="554"/>
      <c r="L263" s="550"/>
      <c r="M263" s="548"/>
      <c r="N263" s="552"/>
      <c r="O263" s="557">
        <v>9813.08</v>
      </c>
      <c r="P263" s="557">
        <v>686.91560000000004</v>
      </c>
      <c r="Q263" s="558">
        <v>10499.9956</v>
      </c>
      <c r="R263" s="59"/>
    </row>
    <row r="264" spans="1:20" s="60" customFormat="1" ht="22.5" customHeight="1" thickTop="1" thickBot="1" x14ac:dyDescent="0.35">
      <c r="A264" s="572"/>
      <c r="B264" s="572" t="s">
        <v>515</v>
      </c>
      <c r="C264" s="573"/>
      <c r="D264" s="574"/>
      <c r="E264" s="575"/>
      <c r="F264" s="576"/>
      <c r="G264" s="577">
        <v>1332104.04</v>
      </c>
      <c r="H264" s="577">
        <v>686.91560000000004</v>
      </c>
      <c r="I264" s="577">
        <v>1332790.9556</v>
      </c>
      <c r="J264" s="578"/>
      <c r="K264" s="578"/>
      <c r="L264" s="579">
        <v>0</v>
      </c>
      <c r="M264" s="580"/>
      <c r="N264" s="581"/>
      <c r="O264" s="582">
        <v>1332104.04</v>
      </c>
      <c r="P264" s="582">
        <v>686.91560000000004</v>
      </c>
      <c r="Q264" s="583">
        <v>1332790.9556</v>
      </c>
      <c r="R264" s="59"/>
    </row>
    <row r="265" spans="1:20" ht="22.5" customHeight="1" thickTop="1" x14ac:dyDescent="0.3">
      <c r="E265" s="469"/>
      <c r="F265" s="470"/>
      <c r="G265" s="3"/>
      <c r="H265" s="3"/>
      <c r="I265" s="3"/>
      <c r="J265" s="584"/>
      <c r="K265" s="585"/>
      <c r="M265" s="470"/>
      <c r="N265" s="586"/>
      <c r="O265" s="471"/>
      <c r="P265" s="471"/>
      <c r="Q265" s="472"/>
      <c r="R265" s="2"/>
    </row>
    <row r="266" spans="1:20" s="589" customFormat="1" ht="20.399999999999999" x14ac:dyDescent="0.5">
      <c r="A266" s="1126" t="s">
        <v>516</v>
      </c>
      <c r="B266" s="1127"/>
      <c r="C266" s="1127"/>
      <c r="D266" s="1127"/>
      <c r="E266" s="1127"/>
      <c r="F266" s="1127"/>
      <c r="G266" s="1127"/>
      <c r="H266" s="1127"/>
      <c r="I266" s="1127"/>
      <c r="J266" s="1127"/>
      <c r="K266" s="1127"/>
      <c r="L266" s="1127"/>
      <c r="M266" s="1127"/>
      <c r="N266" s="1127"/>
      <c r="O266" s="1127"/>
      <c r="P266" s="1127"/>
      <c r="Q266" s="1127"/>
      <c r="R266" s="587"/>
      <c r="S266" s="587"/>
      <c r="T266" s="588"/>
    </row>
    <row r="267" spans="1:20" s="599" customFormat="1" x14ac:dyDescent="0.6">
      <c r="A267" s="590">
        <v>1</v>
      </c>
      <c r="B267" s="591" t="s">
        <v>517</v>
      </c>
      <c r="C267" s="591" t="s">
        <v>518</v>
      </c>
      <c r="D267" s="592">
        <v>0</v>
      </c>
      <c r="E267" s="593"/>
      <c r="F267" s="594"/>
      <c r="G267" s="595">
        <v>0</v>
      </c>
      <c r="H267" s="595">
        <v>0</v>
      </c>
      <c r="I267" s="595">
        <v>0</v>
      </c>
      <c r="J267" s="596"/>
      <c r="K267" s="596"/>
      <c r="L267" s="597"/>
      <c r="M267" s="598"/>
      <c r="N267" s="594"/>
      <c r="O267" s="595">
        <v>0</v>
      </c>
      <c r="P267" s="595">
        <v>0</v>
      </c>
      <c r="Q267" s="595">
        <v>0</v>
      </c>
      <c r="T267" s="600"/>
    </row>
    <row r="268" spans="1:20" s="599" customFormat="1" x14ac:dyDescent="0.6">
      <c r="A268" s="601">
        <v>2</v>
      </c>
      <c r="B268" s="602" t="s">
        <v>519</v>
      </c>
      <c r="C268" s="602" t="s">
        <v>520</v>
      </c>
      <c r="D268" s="603">
        <v>0</v>
      </c>
      <c r="E268" s="604"/>
      <c r="F268" s="605"/>
      <c r="G268" s="606">
        <v>54000</v>
      </c>
      <c r="H268" s="606">
        <v>0</v>
      </c>
      <c r="I268" s="606">
        <v>54000</v>
      </c>
      <c r="J268" s="607"/>
      <c r="K268" s="607"/>
      <c r="L268" s="608"/>
      <c r="M268" s="604"/>
      <c r="N268" s="605"/>
      <c r="O268" s="609">
        <v>54000</v>
      </c>
      <c r="P268" s="609">
        <v>0</v>
      </c>
      <c r="Q268" s="609">
        <v>54000</v>
      </c>
      <c r="T268" s="600"/>
    </row>
    <row r="269" spans="1:20" s="599" customFormat="1" x14ac:dyDescent="0.6">
      <c r="A269" s="610">
        <v>3</v>
      </c>
      <c r="B269" s="611" t="s">
        <v>521</v>
      </c>
      <c r="C269" s="611" t="s">
        <v>522</v>
      </c>
      <c r="D269" s="612">
        <v>0</v>
      </c>
      <c r="E269" s="613"/>
      <c r="F269" s="614"/>
      <c r="G269" s="615">
        <v>0</v>
      </c>
      <c r="H269" s="615">
        <v>0</v>
      </c>
      <c r="I269" s="615">
        <v>0</v>
      </c>
      <c r="J269" s="616"/>
      <c r="K269" s="616"/>
      <c r="L269" s="617"/>
      <c r="M269" s="618"/>
      <c r="N269" s="614"/>
      <c r="O269" s="609">
        <v>0</v>
      </c>
      <c r="P269" s="609">
        <v>0</v>
      </c>
      <c r="Q269" s="609">
        <v>0</v>
      </c>
      <c r="T269" s="600"/>
    </row>
    <row r="270" spans="1:20" s="599" customFormat="1" ht="24" thickBot="1" x14ac:dyDescent="0.65">
      <c r="A270" s="619"/>
      <c r="B270" s="620" t="s">
        <v>523</v>
      </c>
      <c r="C270" s="621"/>
      <c r="D270" s="622">
        <v>0</v>
      </c>
      <c r="E270" s="623"/>
      <c r="F270" s="624"/>
      <c r="G270" s="625">
        <v>54000</v>
      </c>
      <c r="H270" s="625">
        <v>0</v>
      </c>
      <c r="I270" s="625">
        <v>54000</v>
      </c>
      <c r="J270" s="624"/>
      <c r="K270" s="624"/>
      <c r="L270" s="622">
        <v>0</v>
      </c>
      <c r="M270" s="623"/>
      <c r="N270" s="624"/>
      <c r="O270" s="626">
        <v>54000</v>
      </c>
      <c r="P270" s="626">
        <v>0</v>
      </c>
      <c r="Q270" s="626">
        <v>54000</v>
      </c>
      <c r="R270" s="627">
        <v>2034140.3755999999</v>
      </c>
      <c r="T270" s="600"/>
    </row>
    <row r="271" spans="1:20" s="636" customFormat="1" ht="24" thickTop="1" x14ac:dyDescent="0.6">
      <c r="A271" s="628"/>
      <c r="B271" s="629"/>
      <c r="C271" s="630"/>
      <c r="D271" s="631"/>
      <c r="E271" s="632"/>
      <c r="F271" s="633"/>
      <c r="G271" s="634"/>
      <c r="H271" s="634"/>
      <c r="I271" s="634"/>
      <c r="J271" s="633"/>
      <c r="K271" s="633"/>
      <c r="L271" s="631"/>
      <c r="M271" s="632"/>
      <c r="N271" s="633"/>
      <c r="O271" s="635"/>
      <c r="P271" s="635"/>
      <c r="Q271" s="635"/>
      <c r="T271" s="637"/>
    </row>
    <row r="272" spans="1:20" s="636" customFormat="1" x14ac:dyDescent="0.6">
      <c r="A272" s="1128" t="s">
        <v>524</v>
      </c>
      <c r="B272" s="1128"/>
      <c r="C272" s="1128"/>
      <c r="D272" s="1128"/>
      <c r="E272" s="1128"/>
      <c r="F272" s="1128"/>
      <c r="G272" s="1128"/>
      <c r="H272" s="1128"/>
      <c r="I272" s="1128"/>
      <c r="J272" s="1128"/>
      <c r="K272" s="1128"/>
      <c r="L272" s="1128"/>
      <c r="M272" s="1128"/>
      <c r="N272" s="1128"/>
      <c r="O272" s="1128"/>
      <c r="P272" s="1128"/>
      <c r="Q272" s="1128"/>
      <c r="T272" s="637"/>
    </row>
    <row r="273" spans="1:20" s="599" customFormat="1" x14ac:dyDescent="0.6">
      <c r="A273" s="638">
        <v>1</v>
      </c>
      <c r="B273" s="639" t="s">
        <v>519</v>
      </c>
      <c r="C273" s="639" t="s">
        <v>518</v>
      </c>
      <c r="D273" s="640">
        <v>5600</v>
      </c>
      <c r="E273" s="641" t="s">
        <v>527</v>
      </c>
      <c r="F273" s="642" t="s">
        <v>528</v>
      </c>
      <c r="G273" s="643">
        <v>56000</v>
      </c>
      <c r="H273" s="643">
        <v>0</v>
      </c>
      <c r="I273" s="643">
        <v>56000</v>
      </c>
      <c r="J273" s="644"/>
      <c r="K273" s="644"/>
      <c r="L273" s="645"/>
      <c r="M273" s="641" t="s">
        <v>527</v>
      </c>
      <c r="N273" s="642" t="s">
        <v>528</v>
      </c>
      <c r="O273" s="643">
        <f>SUM(D273+I273-L273)</f>
        <v>61600</v>
      </c>
      <c r="P273" s="643">
        <v>0</v>
      </c>
      <c r="Q273" s="643">
        <f>SUM(D273+I273-L273)</f>
        <v>61600</v>
      </c>
      <c r="T273" s="600"/>
    </row>
    <row r="274" spans="1:20" s="599" customFormat="1" x14ac:dyDescent="0.6">
      <c r="A274" s="646">
        <v>2</v>
      </c>
      <c r="B274" s="647" t="s">
        <v>521</v>
      </c>
      <c r="C274" s="647" t="s">
        <v>522</v>
      </c>
      <c r="D274" s="648">
        <v>8400</v>
      </c>
      <c r="E274" s="649" t="s">
        <v>532</v>
      </c>
      <c r="F274" s="650" t="s">
        <v>533</v>
      </c>
      <c r="G274" s="651">
        <v>10617.650000000001</v>
      </c>
      <c r="H274" s="615">
        <v>0</v>
      </c>
      <c r="I274" s="615">
        <v>10617.650000000001</v>
      </c>
      <c r="J274" s="30" t="s">
        <v>616</v>
      </c>
      <c r="K274" s="249" t="s">
        <v>617</v>
      </c>
      <c r="L274" s="221">
        <v>20500</v>
      </c>
      <c r="M274" s="652" t="s">
        <v>618</v>
      </c>
      <c r="N274" s="373"/>
      <c r="O274" s="643">
        <f>SUM(D274+I274-L274)</f>
        <v>-1482.3499999999985</v>
      </c>
      <c r="P274" s="606">
        <v>0</v>
      </c>
      <c r="Q274" s="643">
        <f>SUM(D274+I274-L274)</f>
        <v>-1482.3499999999985</v>
      </c>
      <c r="T274" s="600"/>
    </row>
    <row r="275" spans="1:20" s="599" customFormat="1" x14ac:dyDescent="0.6">
      <c r="A275" s="646"/>
      <c r="B275" s="653" t="s">
        <v>534</v>
      </c>
      <c r="C275" s="647"/>
      <c r="D275" s="648"/>
      <c r="E275" s="649"/>
      <c r="F275" s="650"/>
      <c r="G275" s="651"/>
      <c r="H275" s="651"/>
      <c r="I275" s="651"/>
      <c r="J275" s="250"/>
      <c r="K275" s="654"/>
      <c r="L275" s="252"/>
      <c r="M275" s="655"/>
      <c r="N275" s="656"/>
      <c r="O275" s="651"/>
      <c r="P275" s="651"/>
      <c r="Q275" s="651"/>
      <c r="T275" s="600"/>
    </row>
    <row r="276" spans="1:20" s="599" customFormat="1" ht="24" thickBot="1" x14ac:dyDescent="0.65">
      <c r="A276" s="619"/>
      <c r="B276" s="620" t="s">
        <v>535</v>
      </c>
      <c r="C276" s="621"/>
      <c r="D276" s="622">
        <v>14000</v>
      </c>
      <c r="E276" s="623"/>
      <c r="F276" s="624"/>
      <c r="G276" s="625">
        <v>54423.65</v>
      </c>
      <c r="H276" s="625">
        <v>0</v>
      </c>
      <c r="I276" s="625">
        <v>54423.65</v>
      </c>
      <c r="J276" s="625"/>
      <c r="K276" s="625"/>
      <c r="L276" s="625">
        <f>SUM(L274:L275)</f>
        <v>20500</v>
      </c>
      <c r="M276" s="625"/>
      <c r="N276" s="625"/>
      <c r="O276" s="625">
        <f>SUM(O273:O275)-O274</f>
        <v>61600</v>
      </c>
      <c r="P276" s="625">
        <f>SUM(P273:P275)-P274</f>
        <v>0</v>
      </c>
      <c r="Q276" s="625">
        <f>SUM(Q273:Q275)-Q274</f>
        <v>61600</v>
      </c>
      <c r="T276" s="600"/>
    </row>
    <row r="277" spans="1:20" ht="22.5" customHeight="1" thickTop="1" x14ac:dyDescent="0.3">
      <c r="E277" s="469"/>
      <c r="F277" s="470"/>
      <c r="G277" s="3"/>
      <c r="H277" s="3"/>
      <c r="I277" s="3"/>
      <c r="J277" s="584"/>
      <c r="K277" s="585"/>
      <c r="M277" s="470"/>
      <c r="N277" s="586"/>
      <c r="O277" s="471"/>
      <c r="P277" s="471"/>
      <c r="Q277" s="472"/>
      <c r="R277" s="2"/>
    </row>
    <row r="278" spans="1:20" ht="22.5" customHeight="1" thickBot="1" x14ac:dyDescent="0.35">
      <c r="E278" s="469"/>
      <c r="F278" s="470"/>
      <c r="G278" s="3"/>
      <c r="H278" s="3"/>
      <c r="I278" s="3"/>
      <c r="J278" s="584"/>
      <c r="K278" s="585"/>
      <c r="L278" s="657">
        <f>SUM(L248+L264+L270+L276)</f>
        <v>1440520.2599999998</v>
      </c>
      <c r="M278" s="470"/>
      <c r="N278" s="586"/>
      <c r="O278" s="1148" t="s">
        <v>536</v>
      </c>
      <c r="P278" s="1148"/>
      <c r="Q278" s="658">
        <f>SUM(Q248+Q264+Q270+Q276)</f>
        <v>1806967.5655999999</v>
      </c>
      <c r="R278" s="2"/>
    </row>
    <row r="279" spans="1:20" ht="22.5" customHeight="1" thickTop="1" x14ac:dyDescent="0.5">
      <c r="B279" s="587" t="s">
        <v>537</v>
      </c>
      <c r="C279" s="587"/>
      <c r="D279" s="587"/>
      <c r="E279" s="587"/>
      <c r="F279" s="587"/>
      <c r="G279" s="587"/>
      <c r="H279" s="587"/>
      <c r="I279" s="587"/>
      <c r="J279" s="587"/>
      <c r="M279" s="3"/>
      <c r="N279" s="470"/>
      <c r="O279" s="471"/>
      <c r="P279" s="471"/>
      <c r="Q279" s="472"/>
    </row>
    <row r="280" spans="1:20" x14ac:dyDescent="0.5">
      <c r="B280" s="1129" t="s">
        <v>538</v>
      </c>
      <c r="C280" s="1129"/>
      <c r="D280" s="1129"/>
      <c r="E280" s="1129"/>
      <c r="F280" s="1129"/>
      <c r="G280" s="1129"/>
      <c r="H280" s="1129"/>
      <c r="I280" s="1129"/>
      <c r="J280" s="1129"/>
      <c r="M280" s="3"/>
      <c r="N280" s="470"/>
      <c r="O280" s="471"/>
      <c r="P280" s="471"/>
      <c r="Q280" s="472"/>
    </row>
    <row r="281" spans="1:20" x14ac:dyDescent="0.5">
      <c r="B281" s="1129" t="s">
        <v>539</v>
      </c>
      <c r="C281" s="1129"/>
      <c r="D281" s="1129"/>
      <c r="E281" s="1129"/>
      <c r="F281" s="1129"/>
      <c r="G281" s="1129"/>
      <c r="H281" s="1129"/>
      <c r="I281" s="1129"/>
      <c r="J281" s="1129"/>
      <c r="M281" s="3"/>
      <c r="N281" s="470"/>
      <c r="O281" s="471"/>
      <c r="P281" s="471"/>
      <c r="Q281" s="472"/>
    </row>
    <row r="282" spans="1:20" x14ac:dyDescent="0.3">
      <c r="E282" s="469"/>
      <c r="F282" s="470"/>
      <c r="G282" s="3"/>
      <c r="H282" s="3"/>
      <c r="I282" s="3"/>
      <c r="M282" s="3"/>
      <c r="N282" s="470"/>
      <c r="O282" s="471"/>
      <c r="P282" s="471"/>
      <c r="Q282" s="472"/>
    </row>
    <row r="283" spans="1:20" x14ac:dyDescent="0.3">
      <c r="E283" s="469"/>
      <c r="F283" s="470"/>
      <c r="G283" s="3"/>
      <c r="H283" s="3"/>
      <c r="I283" s="3"/>
      <c r="M283" s="3"/>
      <c r="N283" s="470"/>
      <c r="O283" s="471"/>
      <c r="P283" s="471"/>
      <c r="Q283" s="472"/>
    </row>
    <row r="284" spans="1:20" x14ac:dyDescent="0.3">
      <c r="E284" s="469"/>
      <c r="F284" s="470"/>
      <c r="G284" s="3"/>
      <c r="H284" s="3"/>
      <c r="I284" s="3"/>
      <c r="M284" s="3"/>
      <c r="N284" s="470"/>
      <c r="O284" s="471"/>
      <c r="P284" s="471"/>
      <c r="Q284" s="472"/>
    </row>
    <row r="285" spans="1:20" x14ac:dyDescent="0.3">
      <c r="E285" s="469"/>
      <c r="F285" s="470"/>
      <c r="G285" s="3"/>
      <c r="H285" s="3"/>
      <c r="I285" s="3"/>
      <c r="M285" s="3"/>
      <c r="N285" s="470"/>
      <c r="O285" s="471"/>
      <c r="P285" s="471"/>
      <c r="Q285" s="472"/>
    </row>
    <row r="286" spans="1:20" x14ac:dyDescent="0.3">
      <c r="E286" s="469"/>
      <c r="F286" s="470"/>
      <c r="G286" s="3"/>
      <c r="H286" s="3"/>
      <c r="I286" s="3"/>
      <c r="M286" s="3"/>
      <c r="N286" s="470"/>
      <c r="O286" s="471"/>
      <c r="P286" s="471"/>
      <c r="Q286" s="472"/>
    </row>
    <row r="287" spans="1:20" x14ac:dyDescent="0.3">
      <c r="E287" s="469"/>
      <c r="F287" s="470"/>
      <c r="G287" s="3"/>
      <c r="H287" s="3"/>
      <c r="I287" s="3"/>
      <c r="M287" s="3"/>
      <c r="N287" s="470"/>
      <c r="O287" s="471"/>
      <c r="P287" s="471"/>
      <c r="Q287" s="472"/>
    </row>
    <row r="288" spans="1:20" x14ac:dyDescent="0.3">
      <c r="E288" s="469"/>
      <c r="F288" s="470"/>
      <c r="G288" s="3"/>
      <c r="H288" s="3"/>
      <c r="I288" s="3"/>
      <c r="M288" s="3"/>
      <c r="N288" s="470"/>
      <c r="O288" s="471"/>
      <c r="P288" s="471"/>
      <c r="Q288" s="472"/>
    </row>
  </sheetData>
  <mergeCells count="22">
    <mergeCell ref="A1:Q1"/>
    <mergeCell ref="A2:Q2"/>
    <mergeCell ref="A3:Q3"/>
    <mergeCell ref="A4:A6"/>
    <mergeCell ref="B4:B6"/>
    <mergeCell ref="C4:C6"/>
    <mergeCell ref="D4:D6"/>
    <mergeCell ref="E4:I4"/>
    <mergeCell ref="J4:L4"/>
    <mergeCell ref="M4:Q4"/>
    <mergeCell ref="B281:J281"/>
    <mergeCell ref="E5:E6"/>
    <mergeCell ref="F5:F6"/>
    <mergeCell ref="G5:I5"/>
    <mergeCell ref="M5:M6"/>
    <mergeCell ref="A250:Q250"/>
    <mergeCell ref="A266:Q266"/>
    <mergeCell ref="A272:Q272"/>
    <mergeCell ref="O278:P278"/>
    <mergeCell ref="B280:J280"/>
    <mergeCell ref="N5:N6"/>
    <mergeCell ref="O5:Q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AC9A-AC54-4F6A-8EAF-E4C3C59B4B02}">
  <sheetPr codeName="Sheet2">
    <tabColor rgb="FF92D050"/>
  </sheetPr>
  <dimension ref="A1:AA164"/>
  <sheetViews>
    <sheetView zoomScale="70" zoomScaleNormal="70" workbookViewId="0">
      <pane ySplit="6" topLeftCell="A134" activePane="bottomLeft" state="frozen"/>
      <selection pane="bottomLeft" activeCell="H164" sqref="H164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2.44140625" style="88" customWidth="1"/>
    <col min="5" max="5" width="18.6640625" style="88" customWidth="1"/>
    <col min="6" max="6" width="16.33203125" style="88" customWidth="1"/>
    <col min="7" max="7" width="8.44140625" style="3" customWidth="1"/>
    <col min="8" max="8" width="27.109375" style="3"/>
    <col min="9" max="9" width="27.109375" style="684"/>
    <col min="10" max="16384" width="27.109375" style="3"/>
  </cols>
  <sheetData>
    <row r="1" spans="1:9" ht="22.5" customHeight="1" x14ac:dyDescent="0.3">
      <c r="A1" s="1108" t="s">
        <v>0</v>
      </c>
      <c r="B1" s="1109"/>
      <c r="C1" s="1109"/>
      <c r="D1" s="1109"/>
      <c r="E1" s="1109"/>
      <c r="F1" s="1109"/>
    </row>
    <row r="2" spans="1:9" ht="22.5" customHeight="1" x14ac:dyDescent="0.3">
      <c r="A2" s="1108" t="s">
        <v>1</v>
      </c>
      <c r="B2" s="1109"/>
      <c r="C2" s="1109"/>
      <c r="D2" s="1109"/>
      <c r="E2" s="1109"/>
      <c r="F2" s="1109"/>
    </row>
    <row r="3" spans="1:9" ht="22.5" customHeight="1" x14ac:dyDescent="0.3">
      <c r="A3" s="1110" t="s">
        <v>540</v>
      </c>
      <c r="B3" s="1111"/>
      <c r="C3" s="1111"/>
      <c r="D3" s="1111"/>
      <c r="E3" s="1111"/>
      <c r="F3" s="1111"/>
    </row>
    <row r="4" spans="1:9" ht="22.5" customHeight="1" x14ac:dyDescent="0.3">
      <c r="A4" s="1112" t="s">
        <v>3</v>
      </c>
      <c r="B4" s="1112" t="s">
        <v>4</v>
      </c>
      <c r="C4" s="1115" t="s">
        <v>5</v>
      </c>
      <c r="D4" s="1145" t="s">
        <v>8</v>
      </c>
      <c r="E4" s="1146"/>
      <c r="F4" s="1147"/>
    </row>
    <row r="5" spans="1:9" ht="22.5" customHeight="1" x14ac:dyDescent="0.3">
      <c r="A5" s="1113"/>
      <c r="B5" s="1113"/>
      <c r="C5" s="1116"/>
      <c r="D5" s="5"/>
      <c r="E5" s="6"/>
      <c r="F5" s="6"/>
    </row>
    <row r="6" spans="1:9" ht="22.5" customHeight="1" x14ac:dyDescent="0.3">
      <c r="A6" s="1114"/>
      <c r="B6" s="1114"/>
      <c r="C6" s="1117"/>
      <c r="D6" s="5" t="s">
        <v>16</v>
      </c>
      <c r="E6" s="8" t="s">
        <v>17</v>
      </c>
      <c r="F6" s="6" t="s">
        <v>13</v>
      </c>
    </row>
    <row r="7" spans="1:9" ht="22.5" customHeight="1" x14ac:dyDescent="0.3">
      <c r="A7" s="11"/>
      <c r="B7" s="12" t="s">
        <v>19</v>
      </c>
      <c r="C7" s="13"/>
      <c r="D7" s="18"/>
      <c r="E7" s="18"/>
      <c r="F7" s="14"/>
    </row>
    <row r="8" spans="1:9" ht="22.5" customHeight="1" x14ac:dyDescent="0.5">
      <c r="A8" s="23">
        <v>1</v>
      </c>
      <c r="B8" s="24" t="s">
        <v>20</v>
      </c>
      <c r="C8" s="25" t="s">
        <v>21</v>
      </c>
      <c r="D8" s="30">
        <v>25142</v>
      </c>
      <c r="E8" s="31" t="s">
        <v>541</v>
      </c>
      <c r="F8" s="32">
        <v>272.44</v>
      </c>
    </row>
    <row r="9" spans="1:9" ht="22.5" customHeight="1" x14ac:dyDescent="0.5">
      <c r="A9" s="23">
        <v>2</v>
      </c>
      <c r="B9" s="24" t="s">
        <v>24</v>
      </c>
      <c r="C9" s="25" t="s">
        <v>25</v>
      </c>
      <c r="D9" s="30">
        <v>25140</v>
      </c>
      <c r="E9" s="31" t="s">
        <v>542</v>
      </c>
      <c r="F9" s="32">
        <v>947.87</v>
      </c>
    </row>
    <row r="10" spans="1:9" ht="22.5" customHeight="1" x14ac:dyDescent="0.5">
      <c r="A10" s="23">
        <v>3</v>
      </c>
      <c r="B10" s="24" t="s">
        <v>30</v>
      </c>
      <c r="C10" s="25" t="s">
        <v>31</v>
      </c>
      <c r="D10" s="30">
        <v>25118</v>
      </c>
      <c r="E10" s="31" t="s">
        <v>543</v>
      </c>
      <c r="F10" s="32">
        <v>1348.2</v>
      </c>
    </row>
    <row r="11" spans="1:9" s="60" customFormat="1" ht="22.5" customHeight="1" thickBot="1" x14ac:dyDescent="0.35">
      <c r="A11" s="48"/>
      <c r="B11" s="48" t="s">
        <v>15</v>
      </c>
      <c r="C11" s="49"/>
      <c r="D11" s="54"/>
      <c r="E11" s="55"/>
      <c r="F11" s="50">
        <v>2568.5100000000002</v>
      </c>
      <c r="H11" s="683">
        <f>SUM(F8:F10)</f>
        <v>2568.5100000000002</v>
      </c>
      <c r="I11" s="685"/>
    </row>
    <row r="12" spans="1:9" ht="22.5" customHeight="1" thickTop="1" x14ac:dyDescent="0.3">
      <c r="A12" s="61"/>
      <c r="B12" s="62" t="s">
        <v>37</v>
      </c>
      <c r="C12" s="63"/>
      <c r="D12" s="68"/>
      <c r="E12" s="68"/>
      <c r="F12" s="64"/>
    </row>
    <row r="13" spans="1:9" ht="22.5" customHeight="1" x14ac:dyDescent="0.5">
      <c r="A13" s="23">
        <v>1</v>
      </c>
      <c r="B13" s="73" t="s">
        <v>38</v>
      </c>
      <c r="C13" s="25" t="s">
        <v>39</v>
      </c>
      <c r="D13" s="30">
        <v>25112</v>
      </c>
      <c r="E13" s="31" t="s">
        <v>544</v>
      </c>
      <c r="F13" s="32">
        <v>1284</v>
      </c>
    </row>
    <row r="14" spans="1:9" ht="22.5" customHeight="1" x14ac:dyDescent="0.5">
      <c r="A14" s="23">
        <v>2</v>
      </c>
      <c r="B14" s="73" t="s">
        <v>42</v>
      </c>
      <c r="C14" s="25" t="s">
        <v>43</v>
      </c>
      <c r="D14" s="30">
        <v>25136</v>
      </c>
      <c r="E14" s="31" t="s">
        <v>545</v>
      </c>
      <c r="F14" s="32">
        <v>1797.6</v>
      </c>
    </row>
    <row r="15" spans="1:9" ht="22.5" customHeight="1" x14ac:dyDescent="0.5">
      <c r="A15" s="23">
        <v>3</v>
      </c>
      <c r="B15" s="73" t="s">
        <v>45</v>
      </c>
      <c r="C15" s="25" t="s">
        <v>46</v>
      </c>
      <c r="D15" s="30">
        <v>25121</v>
      </c>
      <c r="E15" s="31" t="s">
        <v>546</v>
      </c>
      <c r="F15" s="32">
        <v>1316.1</v>
      </c>
    </row>
    <row r="16" spans="1:9" ht="22.5" customHeight="1" x14ac:dyDescent="0.5">
      <c r="A16" s="23">
        <v>4</v>
      </c>
      <c r="B16" s="73" t="s">
        <v>48</v>
      </c>
      <c r="C16" s="25" t="s">
        <v>49</v>
      </c>
      <c r="D16" s="30" t="s">
        <v>547</v>
      </c>
      <c r="E16" s="31" t="s">
        <v>548</v>
      </c>
      <c r="F16" s="32">
        <v>2503.8000000000002</v>
      </c>
    </row>
    <row r="17" spans="1:27" ht="22.5" customHeight="1" x14ac:dyDescent="0.5">
      <c r="A17" s="23">
        <v>5</v>
      </c>
      <c r="B17" s="73" t="s">
        <v>51</v>
      </c>
      <c r="C17" s="25" t="s">
        <v>52</v>
      </c>
      <c r="D17" s="30" t="s">
        <v>549</v>
      </c>
      <c r="E17" s="31" t="s">
        <v>550</v>
      </c>
      <c r="F17" s="32">
        <v>10400.4</v>
      </c>
    </row>
    <row r="18" spans="1:27" ht="22.5" customHeight="1" x14ac:dyDescent="0.5">
      <c r="A18" s="23">
        <v>6</v>
      </c>
      <c r="B18" s="73" t="s">
        <v>30</v>
      </c>
      <c r="C18" s="25" t="s">
        <v>31</v>
      </c>
      <c r="D18" s="30">
        <v>25118</v>
      </c>
      <c r="E18" s="31" t="s">
        <v>551</v>
      </c>
      <c r="F18" s="32">
        <v>6420</v>
      </c>
    </row>
    <row r="19" spans="1:27" ht="22.5" customHeight="1" x14ac:dyDescent="0.5">
      <c r="A19" s="23">
        <v>7</v>
      </c>
      <c r="B19" s="78" t="s">
        <v>59</v>
      </c>
      <c r="C19" s="83" t="s">
        <v>60</v>
      </c>
      <c r="D19" s="38" t="s">
        <v>553</v>
      </c>
      <c r="E19" s="39" t="s">
        <v>554</v>
      </c>
      <c r="F19" s="40">
        <v>42800</v>
      </c>
    </row>
    <row r="20" spans="1:27" ht="22.5" customHeight="1" x14ac:dyDescent="0.5">
      <c r="A20" s="23">
        <v>8</v>
      </c>
      <c r="B20" s="89" t="s">
        <v>64</v>
      </c>
      <c r="C20" s="90" t="s">
        <v>65</v>
      </c>
      <c r="D20" s="38">
        <v>25132</v>
      </c>
      <c r="E20" s="39" t="s">
        <v>555</v>
      </c>
      <c r="F20" s="40">
        <v>21400</v>
      </c>
    </row>
    <row r="21" spans="1:27" ht="22.5" customHeight="1" x14ac:dyDescent="0.5">
      <c r="A21" s="23">
        <v>9</v>
      </c>
      <c r="B21" s="94" t="s">
        <v>67</v>
      </c>
      <c r="C21" s="95" t="s">
        <v>68</v>
      </c>
      <c r="D21" s="38">
        <v>25131</v>
      </c>
      <c r="E21" s="39" t="s">
        <v>556</v>
      </c>
      <c r="F21" s="40">
        <v>3210</v>
      </c>
    </row>
    <row r="22" spans="1:27" ht="22.5" customHeight="1" x14ac:dyDescent="0.5">
      <c r="A22" s="23">
        <v>10</v>
      </c>
      <c r="B22" s="99" t="s">
        <v>70</v>
      </c>
      <c r="C22" s="100" t="s">
        <v>60</v>
      </c>
      <c r="D22" s="101" t="s">
        <v>557</v>
      </c>
      <c r="E22" s="102" t="s">
        <v>558</v>
      </c>
      <c r="F22" s="103">
        <v>6420</v>
      </c>
    </row>
    <row r="23" spans="1:27" s="60" customFormat="1" ht="22.5" customHeight="1" thickBot="1" x14ac:dyDescent="0.35">
      <c r="A23" s="48"/>
      <c r="B23" s="48" t="s">
        <v>15</v>
      </c>
      <c r="C23" s="49"/>
      <c r="D23" s="104"/>
      <c r="E23" s="104"/>
      <c r="F23" s="104">
        <v>97551.9</v>
      </c>
      <c r="H23" s="683">
        <f>SUM(F13:F22)</f>
        <v>97551.9</v>
      </c>
      <c r="I23" s="685"/>
    </row>
    <row r="24" spans="1:27" ht="22.5" customHeight="1" thickTop="1" x14ac:dyDescent="0.3">
      <c r="A24" s="61"/>
      <c r="B24" s="62" t="s">
        <v>71</v>
      </c>
      <c r="C24" s="63"/>
      <c r="D24" s="68"/>
      <c r="E24" s="68"/>
      <c r="F24" s="64"/>
    </row>
    <row r="25" spans="1:27" ht="22.5" customHeight="1" x14ac:dyDescent="0.5">
      <c r="A25" s="23">
        <v>1</v>
      </c>
      <c r="B25" s="73" t="s">
        <v>72</v>
      </c>
      <c r="C25" s="25" t="s">
        <v>73</v>
      </c>
      <c r="D25" s="38">
        <v>25142</v>
      </c>
      <c r="E25" s="39" t="s">
        <v>560</v>
      </c>
      <c r="F25" s="32">
        <v>4999.58</v>
      </c>
    </row>
    <row r="26" spans="1:27" ht="22.5" customHeight="1" x14ac:dyDescent="0.5">
      <c r="A26" s="115">
        <v>2</v>
      </c>
      <c r="B26" s="4" t="s">
        <v>75</v>
      </c>
      <c r="C26" s="25" t="s">
        <v>76</v>
      </c>
      <c r="D26" s="101">
        <v>25134</v>
      </c>
      <c r="E26" s="102" t="s">
        <v>561</v>
      </c>
      <c r="F26" s="103">
        <v>14445</v>
      </c>
    </row>
    <row r="27" spans="1:27" s="60" customFormat="1" ht="22.5" customHeight="1" thickBot="1" x14ac:dyDescent="0.35">
      <c r="A27" s="48"/>
      <c r="B27" s="48" t="s">
        <v>15</v>
      </c>
      <c r="C27" s="49"/>
      <c r="D27" s="50"/>
      <c r="E27" s="50">
        <v>0</v>
      </c>
      <c r="F27" s="50">
        <v>19444.580000000002</v>
      </c>
      <c r="H27" s="683">
        <f>SUM(F25:F26)</f>
        <v>19444.580000000002</v>
      </c>
      <c r="I27" s="685"/>
    </row>
    <row r="28" spans="1:27" ht="22.5" customHeight="1" thickTop="1" x14ac:dyDescent="0.3">
      <c r="A28" s="61"/>
      <c r="B28" s="121" t="s">
        <v>78</v>
      </c>
      <c r="C28" s="63"/>
      <c r="D28" s="68"/>
      <c r="E28" s="68"/>
      <c r="F28" s="64"/>
    </row>
    <row r="29" spans="1:27" s="134" customFormat="1" ht="22.5" customHeight="1" x14ac:dyDescent="0.6">
      <c r="A29" s="122">
        <v>1</v>
      </c>
      <c r="B29" s="123" t="s">
        <v>79</v>
      </c>
      <c r="C29" s="124" t="s">
        <v>60</v>
      </c>
      <c r="D29" s="38" t="s">
        <v>553</v>
      </c>
      <c r="E29" s="39" t="s">
        <v>562</v>
      </c>
      <c r="F29" s="40">
        <v>10700</v>
      </c>
      <c r="G29" s="132"/>
      <c r="H29" s="131"/>
      <c r="I29" s="686"/>
      <c r="J29" s="132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</row>
    <row r="30" spans="1:27" s="134" customFormat="1" ht="22.5" customHeight="1" x14ac:dyDescent="0.6">
      <c r="A30" s="122">
        <v>2</v>
      </c>
      <c r="B30" s="123" t="s">
        <v>80</v>
      </c>
      <c r="C30" s="124" t="s">
        <v>65</v>
      </c>
      <c r="D30" s="38">
        <v>25132</v>
      </c>
      <c r="E30" s="39" t="s">
        <v>563</v>
      </c>
      <c r="F30" s="40">
        <v>5350</v>
      </c>
      <c r="G30" s="132"/>
      <c r="H30" s="131"/>
      <c r="I30" s="686"/>
      <c r="J30" s="132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</row>
    <row r="31" spans="1:27" s="60" customFormat="1" ht="22.5" customHeight="1" thickBot="1" x14ac:dyDescent="0.35">
      <c r="A31" s="48"/>
      <c r="B31" s="48" t="s">
        <v>15</v>
      </c>
      <c r="C31" s="49"/>
      <c r="D31" s="109"/>
      <c r="E31" s="109"/>
      <c r="F31" s="138">
        <v>16050</v>
      </c>
      <c r="H31" s="683">
        <f>SUM(F29:F30)</f>
        <v>16050</v>
      </c>
      <c r="I31" s="685"/>
    </row>
    <row r="32" spans="1:27" ht="22.5" customHeight="1" thickTop="1" x14ac:dyDescent="0.3">
      <c r="A32" s="139"/>
      <c r="B32" s="140" t="s">
        <v>81</v>
      </c>
      <c r="C32" s="141"/>
      <c r="D32" s="68"/>
      <c r="E32" s="68"/>
      <c r="F32" s="64"/>
    </row>
    <row r="33" spans="1:9" ht="22.5" customHeight="1" x14ac:dyDescent="0.5">
      <c r="A33" s="148">
        <v>1</v>
      </c>
      <c r="B33" s="149" t="s">
        <v>82</v>
      </c>
      <c r="C33" s="90" t="s">
        <v>83</v>
      </c>
      <c r="D33" s="30">
        <v>25125</v>
      </c>
      <c r="E33" s="31" t="s">
        <v>564</v>
      </c>
      <c r="F33" s="32">
        <v>6955</v>
      </c>
    </row>
    <row r="34" spans="1:9" s="60" customFormat="1" ht="22.5" customHeight="1" thickBot="1" x14ac:dyDescent="0.35">
      <c r="A34" s="158"/>
      <c r="B34" s="158" t="s">
        <v>15</v>
      </c>
      <c r="C34" s="159"/>
      <c r="D34" s="161"/>
      <c r="E34" s="161"/>
      <c r="F34" s="162">
        <v>6955</v>
      </c>
      <c r="H34" s="683">
        <f>SUM(F33)</f>
        <v>6955</v>
      </c>
      <c r="I34" s="685"/>
    </row>
    <row r="35" spans="1:9" ht="22.5" customHeight="1" thickTop="1" x14ac:dyDescent="0.3">
      <c r="A35" s="115"/>
      <c r="B35" s="164" t="s">
        <v>85</v>
      </c>
      <c r="C35" s="165"/>
      <c r="D35" s="170"/>
      <c r="E35" s="170"/>
      <c r="F35" s="171"/>
    </row>
    <row r="36" spans="1:9" ht="22.5" customHeight="1" x14ac:dyDescent="0.5">
      <c r="A36" s="174">
        <v>1</v>
      </c>
      <c r="B36" s="189" t="s">
        <v>89</v>
      </c>
      <c r="C36" s="190" t="s">
        <v>90</v>
      </c>
      <c r="D36" s="38">
        <v>25131</v>
      </c>
      <c r="E36" s="39" t="s">
        <v>565</v>
      </c>
      <c r="F36" s="40">
        <v>3210</v>
      </c>
    </row>
    <row r="37" spans="1:9" s="60" customFormat="1" ht="22.5" customHeight="1" thickBot="1" x14ac:dyDescent="0.35">
      <c r="A37" s="194"/>
      <c r="B37" s="194" t="s">
        <v>15</v>
      </c>
      <c r="C37" s="195"/>
      <c r="D37" s="198"/>
      <c r="E37" s="199"/>
      <c r="F37" s="200">
        <v>3210</v>
      </c>
      <c r="H37" s="683">
        <f>SUM(F36)</f>
        <v>3210</v>
      </c>
      <c r="I37" s="685"/>
    </row>
    <row r="38" spans="1:9" ht="22.5" customHeight="1" thickTop="1" x14ac:dyDescent="0.3">
      <c r="A38" s="61"/>
      <c r="B38" s="62" t="s">
        <v>92</v>
      </c>
      <c r="C38" s="63"/>
      <c r="D38" s="68"/>
      <c r="E38" s="68"/>
      <c r="F38" s="64"/>
    </row>
    <row r="39" spans="1:9" ht="22.5" customHeight="1" x14ac:dyDescent="0.5">
      <c r="A39" s="208">
        <v>1</v>
      </c>
      <c r="B39" s="209" t="s">
        <v>93</v>
      </c>
      <c r="C39" s="210" t="s">
        <v>43</v>
      </c>
      <c r="D39" s="30">
        <v>25136</v>
      </c>
      <c r="E39" s="31" t="s">
        <v>570</v>
      </c>
      <c r="F39" s="32">
        <v>4729.3999999999996</v>
      </c>
    </row>
    <row r="40" spans="1:9" ht="22.5" customHeight="1" x14ac:dyDescent="0.5">
      <c r="A40" s="208"/>
      <c r="B40" s="209" t="s">
        <v>95</v>
      </c>
      <c r="C40" s="210" t="s">
        <v>43</v>
      </c>
      <c r="D40" s="30">
        <v>25136</v>
      </c>
      <c r="E40" s="31" t="s">
        <v>570</v>
      </c>
      <c r="F40" s="32">
        <v>6045.5</v>
      </c>
    </row>
    <row r="41" spans="1:9" ht="22.5" customHeight="1" x14ac:dyDescent="0.5">
      <c r="A41" s="208">
        <v>2</v>
      </c>
      <c r="B41" s="73" t="s">
        <v>96</v>
      </c>
      <c r="C41" s="25" t="s">
        <v>97</v>
      </c>
      <c r="D41" s="30">
        <v>25128</v>
      </c>
      <c r="E41" s="220" t="s">
        <v>571</v>
      </c>
      <c r="F41" s="221">
        <v>7318.8</v>
      </c>
    </row>
    <row r="42" spans="1:9" ht="22.5" customHeight="1" x14ac:dyDescent="0.5">
      <c r="A42" s="208">
        <v>3</v>
      </c>
      <c r="B42" s="73" t="s">
        <v>99</v>
      </c>
      <c r="C42" s="25" t="s">
        <v>100</v>
      </c>
      <c r="D42" s="30">
        <v>25140</v>
      </c>
      <c r="E42" s="31" t="s">
        <v>572</v>
      </c>
      <c r="F42" s="32">
        <v>3584.5</v>
      </c>
    </row>
    <row r="43" spans="1:9" ht="22.5" customHeight="1" x14ac:dyDescent="0.5">
      <c r="A43" s="208"/>
      <c r="B43" s="24" t="s">
        <v>102</v>
      </c>
      <c r="C43" s="222" t="s">
        <v>100</v>
      </c>
      <c r="D43" s="30">
        <v>25140</v>
      </c>
      <c r="E43" s="31" t="s">
        <v>572</v>
      </c>
      <c r="F43" s="32">
        <v>203.3</v>
      </c>
    </row>
    <row r="44" spans="1:9" ht="22.5" customHeight="1" x14ac:dyDescent="0.5">
      <c r="A44" s="208">
        <v>4</v>
      </c>
      <c r="B44" s="73" t="s">
        <v>103</v>
      </c>
      <c r="C44" s="25" t="s">
        <v>97</v>
      </c>
      <c r="D44" s="30" t="s">
        <v>549</v>
      </c>
      <c r="E44" s="31" t="s">
        <v>573</v>
      </c>
      <c r="F44" s="32">
        <v>8688.4</v>
      </c>
    </row>
    <row r="45" spans="1:9" ht="22.5" customHeight="1" x14ac:dyDescent="0.5">
      <c r="A45" s="208"/>
      <c r="B45" s="73" t="s">
        <v>104</v>
      </c>
      <c r="C45" s="25" t="s">
        <v>97</v>
      </c>
      <c r="D45" s="30" t="s">
        <v>549</v>
      </c>
      <c r="E45" s="31" t="s">
        <v>573</v>
      </c>
      <c r="F45" s="32">
        <v>30516.400000000001</v>
      </c>
    </row>
    <row r="46" spans="1:9" ht="22.5" customHeight="1" x14ac:dyDescent="0.5">
      <c r="A46" s="208">
        <v>5</v>
      </c>
      <c r="B46" s="73" t="s">
        <v>105</v>
      </c>
      <c r="C46" s="25" t="s">
        <v>97</v>
      </c>
      <c r="D46" s="30">
        <v>25113</v>
      </c>
      <c r="E46" s="31" t="s">
        <v>574</v>
      </c>
      <c r="F46" s="32">
        <v>14038.4</v>
      </c>
    </row>
    <row r="47" spans="1:9" ht="22.5" customHeight="1" x14ac:dyDescent="0.5">
      <c r="A47" s="208">
        <v>6</v>
      </c>
      <c r="B47" s="73" t="s">
        <v>107</v>
      </c>
      <c r="C47" s="25" t="s">
        <v>97</v>
      </c>
      <c r="D47" s="30">
        <v>25113</v>
      </c>
      <c r="E47" s="31" t="s">
        <v>575</v>
      </c>
      <c r="F47" s="32">
        <v>535</v>
      </c>
    </row>
    <row r="48" spans="1:9" ht="22.5" customHeight="1" x14ac:dyDescent="0.5">
      <c r="A48" s="208">
        <v>7</v>
      </c>
      <c r="B48" s="209" t="s">
        <v>109</v>
      </c>
      <c r="C48" s="210" t="s">
        <v>97</v>
      </c>
      <c r="D48" s="30" t="s">
        <v>576</v>
      </c>
      <c r="E48" s="31" t="s">
        <v>577</v>
      </c>
      <c r="F48" s="32">
        <v>73284.3</v>
      </c>
    </row>
    <row r="49" spans="1:9" ht="22.5" customHeight="1" x14ac:dyDescent="0.5">
      <c r="A49" s="208">
        <v>9</v>
      </c>
      <c r="B49" s="73" t="s">
        <v>112</v>
      </c>
      <c r="C49" s="25" t="s">
        <v>113</v>
      </c>
      <c r="D49" s="30" t="s">
        <v>578</v>
      </c>
      <c r="E49" s="31" t="s">
        <v>579</v>
      </c>
      <c r="F49" s="32">
        <v>6741</v>
      </c>
    </row>
    <row r="50" spans="1:9" ht="22.5" customHeight="1" x14ac:dyDescent="0.5">
      <c r="A50" s="208"/>
      <c r="B50" s="73" t="s">
        <v>116</v>
      </c>
      <c r="C50" s="25" t="s">
        <v>113</v>
      </c>
      <c r="D50" s="30">
        <v>25112</v>
      </c>
      <c r="E50" s="31" t="s">
        <v>579</v>
      </c>
      <c r="F50" s="32">
        <v>3135.1</v>
      </c>
    </row>
    <row r="51" spans="1:9" ht="22.5" customHeight="1" x14ac:dyDescent="0.5">
      <c r="A51" s="208">
        <v>10</v>
      </c>
      <c r="B51" s="73" t="s">
        <v>117</v>
      </c>
      <c r="C51" s="25" t="s">
        <v>118</v>
      </c>
      <c r="D51" s="30">
        <v>25141</v>
      </c>
      <c r="E51" s="31" t="s">
        <v>580</v>
      </c>
      <c r="F51" s="32">
        <v>1786.9</v>
      </c>
    </row>
    <row r="52" spans="1:9" ht="22.5" customHeight="1" x14ac:dyDescent="0.5">
      <c r="A52" s="208"/>
      <c r="B52" s="73" t="s">
        <v>120</v>
      </c>
      <c r="C52" s="25" t="s">
        <v>118</v>
      </c>
      <c r="D52" s="30">
        <v>25141</v>
      </c>
      <c r="E52" s="31" t="s">
        <v>580</v>
      </c>
      <c r="F52" s="32">
        <v>3028.1</v>
      </c>
    </row>
    <row r="53" spans="1:9" ht="22.5" customHeight="1" x14ac:dyDescent="0.5">
      <c r="A53" s="208">
        <v>11</v>
      </c>
      <c r="B53" s="73" t="s">
        <v>121</v>
      </c>
      <c r="C53" s="83" t="s">
        <v>122</v>
      </c>
      <c r="D53" s="30">
        <v>25134</v>
      </c>
      <c r="E53" s="31" t="s">
        <v>581</v>
      </c>
      <c r="F53" s="32">
        <v>9052.2000000000007</v>
      </c>
    </row>
    <row r="54" spans="1:9" ht="22.5" customHeight="1" x14ac:dyDescent="0.5">
      <c r="A54" s="208"/>
      <c r="B54" s="73" t="s">
        <v>121</v>
      </c>
      <c r="C54" s="83" t="s">
        <v>122</v>
      </c>
      <c r="D54" s="30">
        <v>25134</v>
      </c>
      <c r="E54" s="31" t="s">
        <v>581</v>
      </c>
      <c r="F54" s="32">
        <v>5350</v>
      </c>
    </row>
    <row r="55" spans="1:9" ht="22.5" customHeight="1" x14ac:dyDescent="0.5">
      <c r="A55" s="208">
        <v>12</v>
      </c>
      <c r="B55" s="73" t="s">
        <v>124</v>
      </c>
      <c r="C55" s="83" t="s">
        <v>125</v>
      </c>
      <c r="D55" s="30">
        <v>25141</v>
      </c>
      <c r="E55" s="31" t="s">
        <v>582</v>
      </c>
      <c r="F55" s="32">
        <v>8517.2000000000007</v>
      </c>
    </row>
    <row r="56" spans="1:9" ht="22.5" customHeight="1" x14ac:dyDescent="0.5">
      <c r="A56" s="208">
        <v>14</v>
      </c>
      <c r="B56" s="78" t="s">
        <v>129</v>
      </c>
      <c r="C56" s="210" t="s">
        <v>130</v>
      </c>
      <c r="D56" s="30">
        <v>25125</v>
      </c>
      <c r="E56" s="31" t="s">
        <v>583</v>
      </c>
      <c r="F56" s="32">
        <v>12711.6</v>
      </c>
    </row>
    <row r="57" spans="1:9" ht="22.5" customHeight="1" x14ac:dyDescent="0.5">
      <c r="A57" s="208"/>
      <c r="B57" s="78" t="s">
        <v>132</v>
      </c>
      <c r="C57" s="210" t="s">
        <v>130</v>
      </c>
      <c r="D57" s="30">
        <v>25125</v>
      </c>
      <c r="E57" s="31" t="s">
        <v>583</v>
      </c>
      <c r="F57" s="32">
        <v>7288.4</v>
      </c>
    </row>
    <row r="58" spans="1:9" ht="22.5" customHeight="1" x14ac:dyDescent="0.5">
      <c r="A58" s="208">
        <v>15</v>
      </c>
      <c r="B58" s="78" t="s">
        <v>134</v>
      </c>
      <c r="C58" s="165" t="s">
        <v>135</v>
      </c>
      <c r="D58" s="38">
        <v>25117</v>
      </c>
      <c r="E58" s="39" t="s">
        <v>584</v>
      </c>
      <c r="F58" s="40">
        <v>6452.1</v>
      </c>
    </row>
    <row r="59" spans="1:9" s="229" customFormat="1" ht="22.5" customHeight="1" x14ac:dyDescent="0.5">
      <c r="A59" s="225">
        <v>16</v>
      </c>
      <c r="B59" s="226" t="s">
        <v>137</v>
      </c>
      <c r="C59" s="227"/>
      <c r="D59" s="38">
        <v>25117</v>
      </c>
      <c r="E59" s="39" t="s">
        <v>585</v>
      </c>
      <c r="F59" s="40">
        <v>2428.9</v>
      </c>
      <c r="I59" s="687"/>
    </row>
    <row r="60" spans="1:9" ht="22.5" customHeight="1" x14ac:dyDescent="0.5">
      <c r="A60" s="208">
        <v>18</v>
      </c>
      <c r="B60" s="78" t="s">
        <v>141</v>
      </c>
      <c r="C60" s="81" t="s">
        <v>142</v>
      </c>
      <c r="D60" s="38">
        <v>25138</v>
      </c>
      <c r="E60" s="39" t="s">
        <v>586</v>
      </c>
      <c r="F60" s="40">
        <v>4761.5</v>
      </c>
    </row>
    <row r="61" spans="1:9" ht="22.5" customHeight="1" x14ac:dyDescent="0.5">
      <c r="A61" s="208">
        <v>19</v>
      </c>
      <c r="B61" s="78" t="s">
        <v>144</v>
      </c>
      <c r="C61" s="81" t="s">
        <v>145</v>
      </c>
      <c r="D61" s="38">
        <v>25142</v>
      </c>
      <c r="E61" s="39" t="s">
        <v>587</v>
      </c>
      <c r="F61" s="40">
        <v>963</v>
      </c>
    </row>
    <row r="62" spans="1:9" ht="22.5" customHeight="1" x14ac:dyDescent="0.5">
      <c r="A62" s="208">
        <v>21</v>
      </c>
      <c r="B62" s="237" t="s">
        <v>149</v>
      </c>
      <c r="C62" s="238" t="s">
        <v>150</v>
      </c>
      <c r="D62" s="38">
        <v>25134</v>
      </c>
      <c r="E62" s="39" t="s">
        <v>588</v>
      </c>
      <c r="F62" s="40">
        <v>1123.5</v>
      </c>
    </row>
    <row r="63" spans="1:9" ht="22.5" customHeight="1" x14ac:dyDescent="0.5">
      <c r="A63" s="208">
        <v>22</v>
      </c>
      <c r="B63" s="240" t="s">
        <v>569</v>
      </c>
      <c r="C63" s="83" t="s">
        <v>153</v>
      </c>
      <c r="D63" s="38">
        <v>25140</v>
      </c>
      <c r="E63" s="39" t="s">
        <v>589</v>
      </c>
      <c r="F63" s="40">
        <v>12850.7</v>
      </c>
    </row>
    <row r="64" spans="1:9" ht="22.5" customHeight="1" x14ac:dyDescent="0.5">
      <c r="A64" s="208"/>
      <c r="B64" s="240" t="s">
        <v>569</v>
      </c>
      <c r="C64" s="83"/>
      <c r="D64" s="38">
        <v>25140</v>
      </c>
      <c r="E64" s="39" t="s">
        <v>589</v>
      </c>
      <c r="F64" s="40">
        <v>4387</v>
      </c>
    </row>
    <row r="65" spans="1:6" ht="22.5" customHeight="1" x14ac:dyDescent="0.5">
      <c r="A65" s="208">
        <v>23</v>
      </c>
      <c r="B65" s="240" t="s">
        <v>157</v>
      </c>
      <c r="C65" s="83" t="s">
        <v>158</v>
      </c>
      <c r="D65" s="38">
        <v>25139</v>
      </c>
      <c r="E65" s="39" t="s">
        <v>590</v>
      </c>
      <c r="F65" s="40">
        <v>2375.4</v>
      </c>
    </row>
    <row r="66" spans="1:6" ht="22.5" customHeight="1" x14ac:dyDescent="0.5">
      <c r="A66" s="208">
        <v>25</v>
      </c>
      <c r="B66" s="240" t="s">
        <v>162</v>
      </c>
      <c r="C66" s="83" t="s">
        <v>163</v>
      </c>
      <c r="D66" s="38">
        <v>25125</v>
      </c>
      <c r="E66" s="39" t="s">
        <v>591</v>
      </c>
      <c r="F66" s="40">
        <v>3370.5</v>
      </c>
    </row>
    <row r="67" spans="1:6" ht="22.5" customHeight="1" x14ac:dyDescent="0.5">
      <c r="A67" s="208">
        <v>26</v>
      </c>
      <c r="B67" s="209" t="s">
        <v>165</v>
      </c>
      <c r="C67" s="210" t="s">
        <v>166</v>
      </c>
      <c r="D67" s="38">
        <v>25118</v>
      </c>
      <c r="E67" s="39" t="s">
        <v>592</v>
      </c>
      <c r="F67" s="40">
        <v>203.3</v>
      </c>
    </row>
    <row r="68" spans="1:6" ht="22.5" customHeight="1" x14ac:dyDescent="0.5">
      <c r="A68" s="208">
        <v>28</v>
      </c>
      <c r="B68" s="209" t="s">
        <v>171</v>
      </c>
      <c r="C68" s="210"/>
      <c r="D68" s="38">
        <v>25133</v>
      </c>
      <c r="E68" s="39" t="s">
        <v>593</v>
      </c>
      <c r="F68" s="40">
        <v>502.9</v>
      </c>
    </row>
    <row r="69" spans="1:6" ht="22.5" customHeight="1" x14ac:dyDescent="0.5">
      <c r="A69" s="208">
        <v>31</v>
      </c>
      <c r="B69" s="209" t="s">
        <v>178</v>
      </c>
      <c r="C69" s="210" t="s">
        <v>179</v>
      </c>
      <c r="D69" s="38">
        <v>25138</v>
      </c>
      <c r="E69" s="39" t="s">
        <v>594</v>
      </c>
      <c r="F69" s="40">
        <v>1348.2</v>
      </c>
    </row>
    <row r="70" spans="1:6" ht="22.5" customHeight="1" x14ac:dyDescent="0.5">
      <c r="A70" s="208">
        <v>33</v>
      </c>
      <c r="B70" s="209" t="s">
        <v>64</v>
      </c>
      <c r="C70" s="210" t="s">
        <v>184</v>
      </c>
      <c r="D70" s="38">
        <v>25132</v>
      </c>
      <c r="E70" s="245" t="s">
        <v>595</v>
      </c>
      <c r="F70" s="246">
        <v>2289.8000000000002</v>
      </c>
    </row>
    <row r="71" spans="1:6" ht="22.5" customHeight="1" x14ac:dyDescent="0.5">
      <c r="A71" s="208"/>
      <c r="B71" s="209" t="s">
        <v>64</v>
      </c>
      <c r="C71" s="210" t="s">
        <v>184</v>
      </c>
      <c r="D71" s="38">
        <v>25132</v>
      </c>
      <c r="E71" s="245" t="s">
        <v>595</v>
      </c>
      <c r="F71" s="246">
        <v>3424</v>
      </c>
    </row>
    <row r="72" spans="1:6" ht="22.5" customHeight="1" x14ac:dyDescent="0.5">
      <c r="A72" s="208">
        <v>34</v>
      </c>
      <c r="B72" s="209" t="s">
        <v>186</v>
      </c>
      <c r="C72" s="210" t="s">
        <v>187</v>
      </c>
      <c r="D72" s="38">
        <v>25138</v>
      </c>
      <c r="E72" s="39" t="s">
        <v>596</v>
      </c>
      <c r="F72" s="246">
        <v>1316.1</v>
      </c>
    </row>
    <row r="73" spans="1:6" ht="22.5" customHeight="1" x14ac:dyDescent="0.5">
      <c r="A73" s="208"/>
      <c r="B73" s="209" t="s">
        <v>191</v>
      </c>
      <c r="C73" s="210" t="s">
        <v>190</v>
      </c>
      <c r="D73" s="38">
        <v>25125</v>
      </c>
      <c r="E73" s="39" t="s">
        <v>597</v>
      </c>
      <c r="F73" s="246">
        <v>7746.8</v>
      </c>
    </row>
    <row r="74" spans="1:6" ht="22.5" customHeight="1" x14ac:dyDescent="0.5">
      <c r="A74" s="208">
        <v>36</v>
      </c>
      <c r="B74" s="209" t="s">
        <v>193</v>
      </c>
      <c r="C74" s="210" t="s">
        <v>194</v>
      </c>
      <c r="D74" s="38">
        <v>25112</v>
      </c>
      <c r="E74" s="39" t="s">
        <v>598</v>
      </c>
      <c r="F74" s="246">
        <v>2300.5</v>
      </c>
    </row>
    <row r="75" spans="1:6" ht="22.5" customHeight="1" x14ac:dyDescent="0.5">
      <c r="A75" s="208">
        <v>37</v>
      </c>
      <c r="B75" s="209" t="s">
        <v>195</v>
      </c>
      <c r="C75" s="210" t="s">
        <v>196</v>
      </c>
      <c r="D75" s="38">
        <v>25132</v>
      </c>
      <c r="E75" s="245" t="s">
        <v>599</v>
      </c>
      <c r="F75" s="246">
        <v>652.70000000000005</v>
      </c>
    </row>
    <row r="76" spans="1:6" ht="22.5" customHeight="1" x14ac:dyDescent="0.5">
      <c r="A76" s="208">
        <v>38</v>
      </c>
      <c r="B76" s="209" t="s">
        <v>198</v>
      </c>
      <c r="C76" s="210" t="s">
        <v>46</v>
      </c>
      <c r="D76" s="38">
        <v>25121</v>
      </c>
      <c r="E76" s="245" t="s">
        <v>600</v>
      </c>
      <c r="F76" s="246">
        <v>909.5</v>
      </c>
    </row>
    <row r="77" spans="1:6" ht="22.5" customHeight="1" x14ac:dyDescent="0.5">
      <c r="A77" s="208">
        <v>39</v>
      </c>
      <c r="B77" s="209" t="s">
        <v>200</v>
      </c>
      <c r="C77" s="210" t="s">
        <v>201</v>
      </c>
      <c r="D77" s="38">
        <v>25119</v>
      </c>
      <c r="E77" s="245" t="s">
        <v>601</v>
      </c>
      <c r="F77" s="246">
        <v>6184.6</v>
      </c>
    </row>
    <row r="78" spans="1:6" ht="22.5" customHeight="1" x14ac:dyDescent="0.5">
      <c r="A78" s="208">
        <v>41</v>
      </c>
      <c r="B78" s="209" t="s">
        <v>205</v>
      </c>
      <c r="C78" s="210" t="s">
        <v>206</v>
      </c>
      <c r="D78" s="30">
        <v>25133</v>
      </c>
      <c r="E78" s="249" t="s">
        <v>602</v>
      </c>
      <c r="F78" s="221">
        <v>1177</v>
      </c>
    </row>
    <row r="79" spans="1:6" ht="22.5" customHeight="1" x14ac:dyDescent="0.5">
      <c r="A79" s="208">
        <v>43</v>
      </c>
      <c r="B79" s="209" t="s">
        <v>210</v>
      </c>
      <c r="C79" s="210" t="s">
        <v>211</v>
      </c>
      <c r="D79" s="38">
        <v>25117</v>
      </c>
      <c r="E79" s="39" t="s">
        <v>603</v>
      </c>
      <c r="F79" s="246">
        <v>8078.5</v>
      </c>
    </row>
    <row r="80" spans="1:6" ht="22.5" customHeight="1" x14ac:dyDescent="0.5">
      <c r="A80" s="208">
        <v>45</v>
      </c>
      <c r="B80" s="209" t="s">
        <v>214</v>
      </c>
      <c r="C80" s="210" t="s">
        <v>215</v>
      </c>
      <c r="D80" s="38">
        <v>25138</v>
      </c>
      <c r="E80" s="39" t="s">
        <v>604</v>
      </c>
      <c r="F80" s="246">
        <v>6173.9</v>
      </c>
    </row>
    <row r="81" spans="1:9" ht="22.5" customHeight="1" x14ac:dyDescent="0.5">
      <c r="A81" s="253">
        <v>46</v>
      </c>
      <c r="B81" s="254" t="s">
        <v>217</v>
      </c>
      <c r="C81" s="238" t="s">
        <v>218</v>
      </c>
      <c r="D81" s="38">
        <v>25133</v>
      </c>
      <c r="E81" s="245" t="s">
        <v>605</v>
      </c>
      <c r="F81" s="246">
        <v>2022.3</v>
      </c>
    </row>
    <row r="82" spans="1:9" ht="22.5" customHeight="1" x14ac:dyDescent="0.5">
      <c r="A82" s="260">
        <v>49</v>
      </c>
      <c r="B82" s="261" t="s">
        <v>224</v>
      </c>
      <c r="C82" s="261" t="s">
        <v>225</v>
      </c>
      <c r="D82" s="38">
        <v>25118</v>
      </c>
      <c r="E82" s="245" t="s">
        <v>606</v>
      </c>
      <c r="F82" s="246">
        <v>342.4</v>
      </c>
    </row>
    <row r="83" spans="1:9" ht="22.5" customHeight="1" x14ac:dyDescent="0.5">
      <c r="A83" s="264">
        <v>50</v>
      </c>
      <c r="B83" s="265" t="s">
        <v>226</v>
      </c>
      <c r="C83" s="265" t="s">
        <v>227</v>
      </c>
      <c r="D83" s="38">
        <v>25128</v>
      </c>
      <c r="E83" s="245" t="s">
        <v>607</v>
      </c>
      <c r="F83" s="246">
        <v>1744.1</v>
      </c>
    </row>
    <row r="84" spans="1:9" ht="22.5" customHeight="1" x14ac:dyDescent="0.5">
      <c r="A84" s="264">
        <v>51</v>
      </c>
      <c r="B84" s="265" t="s">
        <v>229</v>
      </c>
      <c r="C84" s="265" t="s">
        <v>230</v>
      </c>
      <c r="D84" s="101">
        <v>25140</v>
      </c>
      <c r="E84" s="102" t="s">
        <v>608</v>
      </c>
      <c r="F84" s="272">
        <v>8410.2000000000007</v>
      </c>
    </row>
    <row r="85" spans="1:9" ht="22.5" customHeight="1" x14ac:dyDescent="0.5">
      <c r="A85" s="264">
        <v>52</v>
      </c>
      <c r="B85" s="265" t="s">
        <v>566</v>
      </c>
      <c r="C85" s="265" t="s">
        <v>567</v>
      </c>
      <c r="D85" s="672">
        <v>25140</v>
      </c>
      <c r="E85" s="673" t="s">
        <v>609</v>
      </c>
      <c r="F85" s="674">
        <v>2846.2</v>
      </c>
    </row>
    <row r="86" spans="1:9" ht="22.5" customHeight="1" x14ac:dyDescent="0.5">
      <c r="A86" s="264"/>
      <c r="B86" s="265" t="s">
        <v>568</v>
      </c>
      <c r="C86" s="265" t="s">
        <v>567</v>
      </c>
      <c r="D86" s="678">
        <v>25140</v>
      </c>
      <c r="E86" s="679" t="s">
        <v>609</v>
      </c>
      <c r="F86" s="680">
        <v>2867.6</v>
      </c>
    </row>
    <row r="87" spans="1:9" s="60" customFormat="1" ht="22.5" customHeight="1" thickBot="1" x14ac:dyDescent="0.35">
      <c r="A87" s="278"/>
      <c r="B87" s="278" t="s">
        <v>15</v>
      </c>
      <c r="C87" s="279"/>
      <c r="D87" s="280"/>
      <c r="E87" s="280">
        <v>0</v>
      </c>
      <c r="F87" s="280">
        <v>305807.7</v>
      </c>
      <c r="H87" s="683">
        <f>SUM(F39:F86)</f>
        <v>305807.7</v>
      </c>
      <c r="I87" s="685"/>
    </row>
    <row r="88" spans="1:9" ht="22.5" customHeight="1" thickTop="1" x14ac:dyDescent="0.3">
      <c r="A88" s="61"/>
      <c r="B88" s="121" t="s">
        <v>232</v>
      </c>
      <c r="C88" s="63"/>
      <c r="D88" s="286"/>
      <c r="E88" s="287"/>
      <c r="F88" s="288"/>
    </row>
    <row r="89" spans="1:9" ht="22.5" customHeight="1" x14ac:dyDescent="0.5">
      <c r="A89" s="23">
        <v>1</v>
      </c>
      <c r="B89" s="73" t="s">
        <v>234</v>
      </c>
      <c r="C89" s="25" t="s">
        <v>235</v>
      </c>
      <c r="D89" s="30">
        <v>25129</v>
      </c>
      <c r="E89" s="31" t="s">
        <v>620</v>
      </c>
      <c r="F89" s="32">
        <v>9450</v>
      </c>
    </row>
    <row r="90" spans="1:9" ht="22.5" customHeight="1" x14ac:dyDescent="0.5">
      <c r="A90" s="23">
        <v>2</v>
      </c>
      <c r="B90" s="73" t="s">
        <v>237</v>
      </c>
      <c r="C90" s="25" t="s">
        <v>238</v>
      </c>
      <c r="D90" s="30">
        <v>25129</v>
      </c>
      <c r="E90" s="31" t="s">
        <v>621</v>
      </c>
      <c r="F90" s="32">
        <v>3150</v>
      </c>
    </row>
    <row r="91" spans="1:9" ht="22.5" customHeight="1" x14ac:dyDescent="0.5">
      <c r="A91" s="23">
        <v>3</v>
      </c>
      <c r="B91" s="73" t="s">
        <v>240</v>
      </c>
      <c r="C91" s="25" t="s">
        <v>241</v>
      </c>
      <c r="D91" s="30">
        <v>25128</v>
      </c>
      <c r="E91" s="31" t="s">
        <v>622</v>
      </c>
      <c r="F91" s="32">
        <v>15750</v>
      </c>
    </row>
    <row r="92" spans="1:9" ht="22.5" customHeight="1" x14ac:dyDescent="0.5">
      <c r="A92" s="23">
        <v>4</v>
      </c>
      <c r="B92" s="73" t="s">
        <v>240</v>
      </c>
      <c r="C92" s="25" t="s">
        <v>242</v>
      </c>
      <c r="D92" s="30">
        <v>25128</v>
      </c>
      <c r="E92" s="31" t="s">
        <v>622</v>
      </c>
      <c r="F92" s="32">
        <v>6300</v>
      </c>
    </row>
    <row r="93" spans="1:9" ht="22.5" customHeight="1" x14ac:dyDescent="0.5">
      <c r="A93" s="23">
        <v>5</v>
      </c>
      <c r="B93" s="73" t="s">
        <v>198</v>
      </c>
      <c r="C93" s="25" t="s">
        <v>243</v>
      </c>
      <c r="D93" s="30">
        <v>25121</v>
      </c>
      <c r="E93" s="31" t="s">
        <v>623</v>
      </c>
      <c r="F93" s="32">
        <v>22050</v>
      </c>
    </row>
    <row r="94" spans="1:9" ht="22.5" customHeight="1" x14ac:dyDescent="0.5">
      <c r="A94" s="23">
        <v>6</v>
      </c>
      <c r="B94" s="73" t="s">
        <v>245</v>
      </c>
      <c r="C94" s="25" t="s">
        <v>246</v>
      </c>
      <c r="D94" s="30">
        <v>25118</v>
      </c>
      <c r="E94" s="31" t="s">
        <v>624</v>
      </c>
      <c r="F94" s="32">
        <v>9450</v>
      </c>
    </row>
    <row r="95" spans="1:9" ht="22.5" customHeight="1" x14ac:dyDescent="0.5">
      <c r="A95" s="23">
        <v>7</v>
      </c>
      <c r="B95" s="73" t="s">
        <v>248</v>
      </c>
      <c r="C95" s="25" t="s">
        <v>249</v>
      </c>
      <c r="D95" s="30">
        <v>25117</v>
      </c>
      <c r="E95" s="31" t="s">
        <v>625</v>
      </c>
      <c r="F95" s="32">
        <v>12600</v>
      </c>
    </row>
    <row r="96" spans="1:9" ht="22.5" customHeight="1" x14ac:dyDescent="0.5">
      <c r="A96" s="23">
        <v>8</v>
      </c>
      <c r="B96" s="209" t="s">
        <v>250</v>
      </c>
      <c r="C96" s="210" t="s">
        <v>251</v>
      </c>
      <c r="D96" s="30">
        <v>25119</v>
      </c>
      <c r="E96" s="31" t="s">
        <v>626</v>
      </c>
      <c r="F96" s="32">
        <v>6300</v>
      </c>
    </row>
    <row r="97" spans="1:6" ht="22.5" customHeight="1" x14ac:dyDescent="0.5">
      <c r="A97" s="23">
        <v>9</v>
      </c>
      <c r="B97" s="73" t="s">
        <v>257</v>
      </c>
      <c r="C97" s="25" t="s">
        <v>258</v>
      </c>
      <c r="D97" s="30">
        <v>25118</v>
      </c>
      <c r="E97" s="31" t="s">
        <v>627</v>
      </c>
      <c r="F97" s="32">
        <v>5600</v>
      </c>
    </row>
    <row r="98" spans="1:6" ht="22.5" customHeight="1" x14ac:dyDescent="0.5">
      <c r="A98" s="23">
        <v>10</v>
      </c>
      <c r="B98" s="73" t="s">
        <v>198</v>
      </c>
      <c r="C98" s="25" t="s">
        <v>260</v>
      </c>
      <c r="D98" s="30">
        <v>25121</v>
      </c>
      <c r="E98" s="31" t="s">
        <v>623</v>
      </c>
      <c r="F98" s="32">
        <v>2800</v>
      </c>
    </row>
    <row r="99" spans="1:6" ht="22.5" customHeight="1" x14ac:dyDescent="0.5">
      <c r="A99" s="23">
        <v>11</v>
      </c>
      <c r="B99" s="73" t="s">
        <v>261</v>
      </c>
      <c r="C99" s="25" t="s">
        <v>262</v>
      </c>
      <c r="D99" s="30">
        <v>25125</v>
      </c>
      <c r="E99" s="31" t="s">
        <v>628</v>
      </c>
      <c r="F99" s="32">
        <v>5600</v>
      </c>
    </row>
    <row r="100" spans="1:6" ht="22.5" customHeight="1" x14ac:dyDescent="0.5">
      <c r="A100" s="23">
        <v>12</v>
      </c>
      <c r="B100" s="73" t="s">
        <v>264</v>
      </c>
      <c r="C100" s="25" t="s">
        <v>265</v>
      </c>
      <c r="D100" s="30">
        <v>25125</v>
      </c>
      <c r="E100" s="31" t="s">
        <v>628</v>
      </c>
      <c r="F100" s="32">
        <v>5600</v>
      </c>
    </row>
    <row r="101" spans="1:6" ht="22.5" customHeight="1" x14ac:dyDescent="0.5">
      <c r="A101" s="23">
        <v>13</v>
      </c>
      <c r="B101" s="73" t="s">
        <v>266</v>
      </c>
      <c r="C101" s="25" t="s">
        <v>267</v>
      </c>
      <c r="D101" s="30">
        <v>25117</v>
      </c>
      <c r="E101" s="31" t="s">
        <v>629</v>
      </c>
      <c r="F101" s="32">
        <v>5600</v>
      </c>
    </row>
    <row r="102" spans="1:6" ht="22.5" customHeight="1" x14ac:dyDescent="0.5">
      <c r="A102" s="23">
        <v>14</v>
      </c>
      <c r="B102" s="73" t="s">
        <v>270</v>
      </c>
      <c r="C102" s="25" t="s">
        <v>271</v>
      </c>
      <c r="D102" s="30">
        <v>25117</v>
      </c>
      <c r="E102" s="31" t="s">
        <v>630</v>
      </c>
      <c r="F102" s="32">
        <v>9450</v>
      </c>
    </row>
    <row r="103" spans="1:6" ht="22.5" customHeight="1" x14ac:dyDescent="0.5">
      <c r="A103" s="23">
        <v>15</v>
      </c>
      <c r="B103" s="73" t="s">
        <v>261</v>
      </c>
      <c r="C103" s="25" t="s">
        <v>273</v>
      </c>
      <c r="D103" s="30" t="s">
        <v>663</v>
      </c>
      <c r="E103" s="31" t="s">
        <v>664</v>
      </c>
      <c r="F103" s="32">
        <v>9450</v>
      </c>
    </row>
    <row r="104" spans="1:6" ht="22.5" customHeight="1" x14ac:dyDescent="0.5">
      <c r="A104" s="23">
        <v>16</v>
      </c>
      <c r="B104" s="73" t="s">
        <v>274</v>
      </c>
      <c r="C104" s="25" t="s">
        <v>275</v>
      </c>
      <c r="D104" s="30">
        <v>25125</v>
      </c>
      <c r="E104" s="31" t="s">
        <v>631</v>
      </c>
      <c r="F104" s="32">
        <v>3150</v>
      </c>
    </row>
    <row r="105" spans="1:6" ht="22.5" customHeight="1" x14ac:dyDescent="0.5">
      <c r="A105" s="23">
        <v>17</v>
      </c>
      <c r="B105" s="73" t="s">
        <v>277</v>
      </c>
      <c r="C105" s="25" t="s">
        <v>278</v>
      </c>
      <c r="D105" s="30">
        <v>25113</v>
      </c>
      <c r="E105" s="31" t="s">
        <v>632</v>
      </c>
      <c r="F105" s="32">
        <v>6300</v>
      </c>
    </row>
    <row r="106" spans="1:6" ht="22.5" customHeight="1" x14ac:dyDescent="0.5">
      <c r="A106" s="23">
        <v>18</v>
      </c>
      <c r="B106" s="73" t="s">
        <v>281</v>
      </c>
      <c r="C106" s="25" t="s">
        <v>282</v>
      </c>
      <c r="D106" s="30" t="s">
        <v>633</v>
      </c>
      <c r="E106" s="31" t="s">
        <v>634</v>
      </c>
      <c r="F106" s="32">
        <v>22400</v>
      </c>
    </row>
    <row r="107" spans="1:6" ht="22.5" customHeight="1" x14ac:dyDescent="0.5">
      <c r="A107" s="23">
        <v>19</v>
      </c>
      <c r="B107" s="73" t="s">
        <v>287</v>
      </c>
      <c r="C107" s="25" t="s">
        <v>288</v>
      </c>
      <c r="D107" s="30">
        <v>25141</v>
      </c>
      <c r="E107" s="31" t="s">
        <v>635</v>
      </c>
      <c r="F107" s="32">
        <v>5600</v>
      </c>
    </row>
    <row r="108" spans="1:6" ht="22.5" customHeight="1" x14ac:dyDescent="0.5">
      <c r="A108" s="23">
        <v>20</v>
      </c>
      <c r="B108" s="73" t="s">
        <v>290</v>
      </c>
      <c r="C108" s="25" t="s">
        <v>291</v>
      </c>
      <c r="D108" s="30">
        <v>25112</v>
      </c>
      <c r="E108" s="31" t="s">
        <v>636</v>
      </c>
      <c r="F108" s="32">
        <v>5600</v>
      </c>
    </row>
    <row r="109" spans="1:6" ht="22.5" customHeight="1" x14ac:dyDescent="0.5">
      <c r="A109" s="23">
        <v>21</v>
      </c>
      <c r="B109" s="73" t="s">
        <v>293</v>
      </c>
      <c r="C109" s="25" t="s">
        <v>294</v>
      </c>
      <c r="D109" s="30">
        <v>25118</v>
      </c>
      <c r="E109" s="31" t="s">
        <v>637</v>
      </c>
      <c r="F109" s="32">
        <v>2800</v>
      </c>
    </row>
    <row r="110" spans="1:6" ht="22.5" customHeight="1" x14ac:dyDescent="0.5">
      <c r="A110" s="23">
        <v>22</v>
      </c>
      <c r="B110" s="73" t="s">
        <v>296</v>
      </c>
      <c r="C110" s="25" t="s">
        <v>297</v>
      </c>
      <c r="D110" s="30">
        <v>25141</v>
      </c>
      <c r="E110" s="31" t="s">
        <v>638</v>
      </c>
      <c r="F110" s="32">
        <v>5600</v>
      </c>
    </row>
    <row r="111" spans="1:6" ht="22.5" customHeight="1" x14ac:dyDescent="0.5">
      <c r="A111" s="23">
        <v>23</v>
      </c>
      <c r="B111" s="209" t="s">
        <v>300</v>
      </c>
      <c r="C111" s="210" t="s">
        <v>301</v>
      </c>
      <c r="D111" s="30">
        <v>25120</v>
      </c>
      <c r="E111" s="31" t="s">
        <v>639</v>
      </c>
      <c r="F111" s="32">
        <v>5600</v>
      </c>
    </row>
    <row r="112" spans="1:6" ht="22.5" customHeight="1" x14ac:dyDescent="0.5">
      <c r="A112" s="23">
        <v>24</v>
      </c>
      <c r="B112" s="209" t="s">
        <v>306</v>
      </c>
      <c r="C112" s="210" t="s">
        <v>307</v>
      </c>
      <c r="D112" s="30">
        <v>25141</v>
      </c>
      <c r="E112" s="31" t="s">
        <v>638</v>
      </c>
      <c r="F112" s="32">
        <v>5600</v>
      </c>
    </row>
    <row r="113" spans="1:9" ht="22.5" customHeight="1" x14ac:dyDescent="0.5">
      <c r="A113" s="23">
        <v>25</v>
      </c>
      <c r="B113" s="73" t="s">
        <v>261</v>
      </c>
      <c r="C113" s="25" t="s">
        <v>311</v>
      </c>
      <c r="D113" s="30">
        <v>25125</v>
      </c>
      <c r="E113" s="31" t="s">
        <v>628</v>
      </c>
      <c r="F113" s="32">
        <v>2800</v>
      </c>
    </row>
    <row r="114" spans="1:9" ht="22.5" customHeight="1" x14ac:dyDescent="0.5">
      <c r="A114" s="23">
        <v>26</v>
      </c>
      <c r="B114" s="310" t="s">
        <v>261</v>
      </c>
      <c r="C114" s="311" t="s">
        <v>312</v>
      </c>
      <c r="D114" s="30">
        <v>25125</v>
      </c>
      <c r="E114" s="31" t="s">
        <v>628</v>
      </c>
      <c r="F114" s="32">
        <v>2800</v>
      </c>
    </row>
    <row r="115" spans="1:9" ht="22.5" customHeight="1" x14ac:dyDescent="0.5">
      <c r="A115" s="23">
        <v>27</v>
      </c>
      <c r="B115" s="73" t="s">
        <v>261</v>
      </c>
      <c r="C115" s="25" t="s">
        <v>316</v>
      </c>
      <c r="D115" s="30">
        <v>25125</v>
      </c>
      <c r="E115" s="31" t="s">
        <v>628</v>
      </c>
      <c r="F115" s="32">
        <v>2800</v>
      </c>
    </row>
    <row r="116" spans="1:9" ht="22.5" customHeight="1" x14ac:dyDescent="0.5">
      <c r="A116" s="23">
        <v>28</v>
      </c>
      <c r="B116" s="73" t="s">
        <v>317</v>
      </c>
      <c r="C116" s="25" t="s">
        <v>318</v>
      </c>
      <c r="D116" s="30">
        <v>25113</v>
      </c>
      <c r="E116" s="31" t="s">
        <v>640</v>
      </c>
      <c r="F116" s="32">
        <v>2800</v>
      </c>
    </row>
    <row r="117" spans="1:9" ht="22.5" customHeight="1" x14ac:dyDescent="0.5">
      <c r="A117" s="23">
        <v>29</v>
      </c>
      <c r="B117" s="73" t="s">
        <v>320</v>
      </c>
      <c r="C117" s="25" t="s">
        <v>321</v>
      </c>
      <c r="D117" s="30" t="s">
        <v>641</v>
      </c>
      <c r="E117" s="31" t="s">
        <v>642</v>
      </c>
      <c r="F117" s="32">
        <v>5600</v>
      </c>
    </row>
    <row r="118" spans="1:9" ht="22.5" customHeight="1" x14ac:dyDescent="0.5">
      <c r="A118" s="23">
        <v>30</v>
      </c>
      <c r="B118" s="73" t="s">
        <v>322</v>
      </c>
      <c r="C118" s="25" t="s">
        <v>323</v>
      </c>
      <c r="D118" s="30">
        <v>25139</v>
      </c>
      <c r="E118" s="31" t="s">
        <v>643</v>
      </c>
      <c r="F118" s="32">
        <v>5600</v>
      </c>
    </row>
    <row r="119" spans="1:9" ht="22.5" customHeight="1" x14ac:dyDescent="0.5">
      <c r="A119" s="23">
        <v>31</v>
      </c>
      <c r="B119" s="73" t="s">
        <v>293</v>
      </c>
      <c r="C119" s="25" t="s">
        <v>326</v>
      </c>
      <c r="D119" s="30">
        <v>25118</v>
      </c>
      <c r="E119" s="31" t="s">
        <v>637</v>
      </c>
      <c r="F119" s="32">
        <v>5600</v>
      </c>
    </row>
    <row r="120" spans="1:9" ht="22.5" customHeight="1" x14ac:dyDescent="0.5">
      <c r="A120" s="23">
        <v>32</v>
      </c>
      <c r="B120" s="73" t="s">
        <v>293</v>
      </c>
      <c r="C120" s="25" t="s">
        <v>327</v>
      </c>
      <c r="D120" s="30">
        <v>25118</v>
      </c>
      <c r="E120" s="31" t="s">
        <v>637</v>
      </c>
      <c r="F120" s="32">
        <v>5600</v>
      </c>
    </row>
    <row r="121" spans="1:9" s="60" customFormat="1" ht="22.5" customHeight="1" thickBot="1" x14ac:dyDescent="0.35">
      <c r="A121" s="317"/>
      <c r="B121" s="317" t="s">
        <v>15</v>
      </c>
      <c r="C121" s="318"/>
      <c r="D121" s="322"/>
      <c r="E121" s="322"/>
      <c r="F121" s="323">
        <v>225400</v>
      </c>
      <c r="H121" s="683">
        <f>SUM(F89:F120)</f>
        <v>225400</v>
      </c>
      <c r="I121" s="685"/>
    </row>
    <row r="122" spans="1:9" ht="22.5" customHeight="1" thickTop="1" x14ac:dyDescent="0.5">
      <c r="A122" s="61"/>
      <c r="B122" s="327" t="s">
        <v>328</v>
      </c>
      <c r="C122" s="63"/>
      <c r="D122" s="286"/>
      <c r="E122" s="286"/>
      <c r="F122" s="328"/>
    </row>
    <row r="123" spans="1:9" ht="22.5" customHeight="1" x14ac:dyDescent="0.5">
      <c r="A123" s="23">
        <v>1</v>
      </c>
      <c r="B123" s="24" t="s">
        <v>329</v>
      </c>
      <c r="C123" s="25" t="s">
        <v>330</v>
      </c>
      <c r="D123" s="30" t="s">
        <v>553</v>
      </c>
      <c r="E123" s="31" t="s">
        <v>644</v>
      </c>
      <c r="F123" s="32">
        <v>261072.74</v>
      </c>
    </row>
    <row r="124" spans="1:9" ht="22.5" customHeight="1" x14ac:dyDescent="0.5">
      <c r="A124" s="23">
        <v>2</v>
      </c>
      <c r="B124" s="24" t="s">
        <v>329</v>
      </c>
      <c r="C124" s="25" t="s">
        <v>331</v>
      </c>
      <c r="D124" s="30" t="s">
        <v>553</v>
      </c>
      <c r="E124" s="31" t="s">
        <v>645</v>
      </c>
      <c r="F124" s="32">
        <v>193041.34</v>
      </c>
    </row>
    <row r="125" spans="1:9" ht="22.5" customHeight="1" x14ac:dyDescent="0.5">
      <c r="A125" s="23">
        <v>3</v>
      </c>
      <c r="B125" s="24" t="s">
        <v>332</v>
      </c>
      <c r="C125" s="25" t="s">
        <v>333</v>
      </c>
      <c r="D125" s="30">
        <v>25113</v>
      </c>
      <c r="E125" s="31" t="s">
        <v>646</v>
      </c>
      <c r="F125" s="32">
        <v>63810</v>
      </c>
    </row>
    <row r="126" spans="1:9" ht="22.5" customHeight="1" x14ac:dyDescent="0.5">
      <c r="A126" s="23">
        <v>4</v>
      </c>
      <c r="B126" s="332" t="s">
        <v>335</v>
      </c>
      <c r="C126" s="81" t="s">
        <v>336</v>
      </c>
      <c r="D126" s="335">
        <v>25127</v>
      </c>
      <c r="E126" s="336" t="s">
        <v>647</v>
      </c>
      <c r="F126" s="337">
        <v>60170</v>
      </c>
    </row>
    <row r="127" spans="1:9" ht="22.5" customHeight="1" x14ac:dyDescent="0.5">
      <c r="A127" s="23">
        <v>5</v>
      </c>
      <c r="B127" s="24" t="s">
        <v>338</v>
      </c>
      <c r="C127" s="25" t="s">
        <v>339</v>
      </c>
      <c r="D127" s="335">
        <v>25118</v>
      </c>
      <c r="E127" s="336" t="s">
        <v>648</v>
      </c>
      <c r="F127" s="342">
        <v>23527.65</v>
      </c>
    </row>
    <row r="128" spans="1:9" ht="22.5" customHeight="1" x14ac:dyDescent="0.5">
      <c r="A128" s="23">
        <v>6</v>
      </c>
      <c r="B128" s="343" t="s">
        <v>341</v>
      </c>
      <c r="C128" s="165" t="s">
        <v>342</v>
      </c>
      <c r="D128" s="345">
        <v>25136</v>
      </c>
      <c r="E128" s="346" t="s">
        <v>649</v>
      </c>
      <c r="F128" s="347">
        <v>20715.32</v>
      </c>
    </row>
    <row r="129" spans="1:9" s="356" customFormat="1" ht="22.5" customHeight="1" x14ac:dyDescent="0.5">
      <c r="A129" s="23">
        <v>7</v>
      </c>
      <c r="B129" s="24" t="s">
        <v>347</v>
      </c>
      <c r="C129" s="351" t="s">
        <v>348</v>
      </c>
      <c r="D129" s="30">
        <v>25132</v>
      </c>
      <c r="E129" s="31" t="s">
        <v>650</v>
      </c>
      <c r="F129" s="32">
        <v>20000</v>
      </c>
      <c r="I129" s="688"/>
    </row>
    <row r="130" spans="1:9" s="60" customFormat="1" ht="22.5" customHeight="1" thickBot="1" x14ac:dyDescent="0.35">
      <c r="A130" s="317"/>
      <c r="B130" s="317" t="s">
        <v>15</v>
      </c>
      <c r="C130" s="357"/>
      <c r="D130" s="360"/>
      <c r="E130" s="361"/>
      <c r="F130" s="358">
        <v>642337.04999999993</v>
      </c>
      <c r="H130" s="683">
        <f>SUM(F123:F129)</f>
        <v>642337.04999999993</v>
      </c>
      <c r="I130" s="685"/>
    </row>
    <row r="131" spans="1:9" ht="22.5" customHeight="1" thickTop="1" x14ac:dyDescent="0.3">
      <c r="A131" s="115"/>
      <c r="B131" s="164" t="s">
        <v>350</v>
      </c>
      <c r="C131" s="366"/>
      <c r="D131" s="367"/>
      <c r="E131" s="368"/>
      <c r="F131" s="369"/>
    </row>
    <row r="132" spans="1:9" ht="22.5" customHeight="1" x14ac:dyDescent="0.5">
      <c r="A132" s="23">
        <v>1</v>
      </c>
      <c r="B132" s="290" t="s">
        <v>147</v>
      </c>
      <c r="C132" s="371" t="s">
        <v>351</v>
      </c>
      <c r="D132" s="30">
        <v>25120</v>
      </c>
      <c r="E132" s="220" t="s">
        <v>656</v>
      </c>
      <c r="F132" s="221">
        <v>1400</v>
      </c>
    </row>
    <row r="133" spans="1:9" ht="22.5" customHeight="1" x14ac:dyDescent="0.5">
      <c r="A133" s="23">
        <v>2</v>
      </c>
      <c r="B133" s="290" t="s">
        <v>353</v>
      </c>
      <c r="C133" s="371" t="s">
        <v>354</v>
      </c>
      <c r="D133" s="30" t="s">
        <v>578</v>
      </c>
      <c r="E133" s="220" t="s">
        <v>657</v>
      </c>
      <c r="F133" s="221">
        <v>22000</v>
      </c>
    </row>
    <row r="134" spans="1:9" ht="22.5" customHeight="1" x14ac:dyDescent="0.5">
      <c r="A134" s="23">
        <v>3</v>
      </c>
      <c r="B134" s="290" t="s">
        <v>355</v>
      </c>
      <c r="C134" s="371" t="s">
        <v>356</v>
      </c>
      <c r="D134" s="30">
        <v>25128</v>
      </c>
      <c r="E134" s="220" t="s">
        <v>658</v>
      </c>
      <c r="F134" s="221">
        <v>9400</v>
      </c>
    </row>
    <row r="135" spans="1:9" ht="22.5" customHeight="1" x14ac:dyDescent="0.5">
      <c r="A135" s="331">
        <v>5</v>
      </c>
      <c r="B135" s="374" t="s">
        <v>358</v>
      </c>
      <c r="C135" s="375" t="s">
        <v>356</v>
      </c>
      <c r="D135" s="38">
        <v>25142</v>
      </c>
      <c r="E135" s="376" t="s">
        <v>659</v>
      </c>
      <c r="F135" s="246">
        <v>9810</v>
      </c>
    </row>
    <row r="136" spans="1:9" ht="22.5" customHeight="1" x14ac:dyDescent="0.5">
      <c r="A136" s="377">
        <v>6</v>
      </c>
      <c r="B136" s="378" t="s">
        <v>359</v>
      </c>
      <c r="C136" s="311" t="s">
        <v>360</v>
      </c>
      <c r="D136" s="38">
        <v>25117</v>
      </c>
      <c r="E136" s="376" t="s">
        <v>660</v>
      </c>
      <c r="F136" s="246">
        <v>6000</v>
      </c>
    </row>
    <row r="137" spans="1:9" ht="22.5" customHeight="1" x14ac:dyDescent="0.5">
      <c r="A137" s="381">
        <v>7</v>
      </c>
      <c r="B137" s="149" t="s">
        <v>281</v>
      </c>
      <c r="C137" s="311" t="s">
        <v>360</v>
      </c>
      <c r="D137" s="30" t="s">
        <v>661</v>
      </c>
      <c r="E137" s="31" t="s">
        <v>662</v>
      </c>
      <c r="F137" s="32">
        <v>6000</v>
      </c>
    </row>
    <row r="138" spans="1:9" s="60" customFormat="1" ht="22.5" customHeight="1" thickBot="1" x14ac:dyDescent="0.35">
      <c r="A138" s="317"/>
      <c r="B138" s="317" t="s">
        <v>15</v>
      </c>
      <c r="C138" s="357"/>
      <c r="D138" s="384"/>
      <c r="E138" s="384"/>
      <c r="F138" s="359">
        <v>54610</v>
      </c>
      <c r="H138" s="683">
        <f>SUM(F132:F137)</f>
        <v>54610</v>
      </c>
      <c r="I138" s="685"/>
    </row>
    <row r="139" spans="1:9" ht="22.5" customHeight="1" thickTop="1" x14ac:dyDescent="0.3">
      <c r="A139" s="61"/>
      <c r="B139" s="62" t="s">
        <v>363</v>
      </c>
      <c r="C139" s="63"/>
      <c r="D139" s="286"/>
      <c r="E139" s="286"/>
      <c r="F139" s="328"/>
    </row>
    <row r="140" spans="1:9" ht="22.5" customHeight="1" x14ac:dyDescent="0.5">
      <c r="A140" s="208">
        <v>1</v>
      </c>
      <c r="B140" s="290" t="s">
        <v>367</v>
      </c>
      <c r="C140" s="25" t="s">
        <v>368</v>
      </c>
      <c r="D140" s="250">
        <v>25121</v>
      </c>
      <c r="E140" s="251" t="s">
        <v>651</v>
      </c>
      <c r="F140" s="390">
        <v>5000</v>
      </c>
    </row>
    <row r="141" spans="1:9" ht="22.5" customHeight="1" x14ac:dyDescent="0.5">
      <c r="A141" s="391">
        <v>2</v>
      </c>
      <c r="B141" s="392" t="s">
        <v>370</v>
      </c>
      <c r="C141" s="63" t="s">
        <v>371</v>
      </c>
      <c r="D141" s="30">
        <v>25131</v>
      </c>
      <c r="E141" s="31" t="s">
        <v>652</v>
      </c>
      <c r="F141" s="32">
        <v>12000</v>
      </c>
    </row>
    <row r="142" spans="1:9" ht="22.5" customHeight="1" x14ac:dyDescent="0.3">
      <c r="A142" s="253">
        <v>3</v>
      </c>
      <c r="B142" s="398" t="s">
        <v>373</v>
      </c>
      <c r="C142" s="165" t="s">
        <v>374</v>
      </c>
      <c r="D142" s="399" t="s">
        <v>578</v>
      </c>
      <c r="E142" s="400" t="s">
        <v>653</v>
      </c>
      <c r="F142" s="401">
        <v>4100</v>
      </c>
    </row>
    <row r="143" spans="1:9" ht="22.5" customHeight="1" x14ac:dyDescent="0.5">
      <c r="A143" s="253">
        <v>4</v>
      </c>
      <c r="B143" s="402" t="s">
        <v>376</v>
      </c>
      <c r="C143" s="403" t="s">
        <v>377</v>
      </c>
      <c r="D143" s="30">
        <v>25117</v>
      </c>
      <c r="E143" s="31" t="s">
        <v>654</v>
      </c>
      <c r="F143" s="32">
        <v>1850</v>
      </c>
    </row>
    <row r="144" spans="1:9" ht="22.5" customHeight="1" x14ac:dyDescent="0.5">
      <c r="A144" s="208">
        <v>5</v>
      </c>
      <c r="B144" s="149" t="s">
        <v>383</v>
      </c>
      <c r="C144" s="311" t="s">
        <v>384</v>
      </c>
      <c r="D144" s="250">
        <v>25113</v>
      </c>
      <c r="E144" s="251" t="s">
        <v>655</v>
      </c>
      <c r="F144" s="390">
        <v>5400</v>
      </c>
    </row>
    <row r="145" spans="1:10" s="60" customFormat="1" ht="22.5" customHeight="1" thickBot="1" x14ac:dyDescent="0.35">
      <c r="A145" s="317"/>
      <c r="B145" s="317" t="s">
        <v>15</v>
      </c>
      <c r="C145" s="318"/>
      <c r="D145" s="383"/>
      <c r="E145" s="383">
        <v>0</v>
      </c>
      <c r="F145" s="383">
        <v>28350</v>
      </c>
      <c r="H145" s="683">
        <f>SUM(F140:F144)</f>
        <v>28350</v>
      </c>
      <c r="I145" s="685"/>
    </row>
    <row r="146" spans="1:10" ht="22.5" customHeight="1" thickTop="1" x14ac:dyDescent="0.3">
      <c r="A146" s="61"/>
      <c r="B146" s="62" t="s">
        <v>386</v>
      </c>
      <c r="C146" s="63"/>
      <c r="D146" s="68"/>
      <c r="E146" s="68"/>
      <c r="F146" s="64"/>
    </row>
    <row r="147" spans="1:10" ht="22.5" customHeight="1" x14ac:dyDescent="0.3">
      <c r="A147" s="208">
        <v>1</v>
      </c>
      <c r="B147" s="290" t="s">
        <v>389</v>
      </c>
      <c r="C147" s="25" t="s">
        <v>390</v>
      </c>
      <c r="D147" s="335">
        <v>25113</v>
      </c>
      <c r="E147" s="410" t="s">
        <v>619</v>
      </c>
      <c r="F147" s="411">
        <v>3150</v>
      </c>
    </row>
    <row r="148" spans="1:10" s="60" customFormat="1" ht="22.5" customHeight="1" thickBot="1" x14ac:dyDescent="0.35">
      <c r="A148" s="317"/>
      <c r="B148" s="317" t="s">
        <v>15</v>
      </c>
      <c r="C148" s="318"/>
      <c r="D148" s="383"/>
      <c r="E148" s="383">
        <v>0</v>
      </c>
      <c r="F148" s="383">
        <v>3150</v>
      </c>
      <c r="H148" s="683">
        <f>SUM(F147)</f>
        <v>3150</v>
      </c>
      <c r="I148" s="685"/>
    </row>
    <row r="149" spans="1:10" ht="22.5" customHeight="1" thickTop="1" x14ac:dyDescent="0.3">
      <c r="A149" s="429"/>
      <c r="B149" s="430"/>
      <c r="C149" s="431"/>
      <c r="D149" s="436"/>
      <c r="E149" s="437"/>
      <c r="F149" s="438"/>
    </row>
    <row r="150" spans="1:10" ht="22.5" customHeight="1" x14ac:dyDescent="0.3">
      <c r="A150" s="61"/>
      <c r="B150" s="4" t="s">
        <v>665</v>
      </c>
      <c r="C150" s="63"/>
      <c r="D150" s="68"/>
      <c r="E150" s="445"/>
      <c r="F150" s="64"/>
    </row>
    <row r="151" spans="1:10" ht="22.5" customHeight="1" x14ac:dyDescent="0.5">
      <c r="A151" s="446">
        <v>1</v>
      </c>
      <c r="B151" s="447" t="s">
        <v>398</v>
      </c>
      <c r="C151" s="63" t="s">
        <v>396</v>
      </c>
      <c r="D151" s="449">
        <v>25131</v>
      </c>
      <c r="E151" s="450" t="s">
        <v>610</v>
      </c>
      <c r="F151" s="451">
        <v>4000</v>
      </c>
    </row>
    <row r="152" spans="1:10" ht="22.5" customHeight="1" x14ac:dyDescent="0.5">
      <c r="A152" s="446">
        <v>2</v>
      </c>
      <c r="B152" s="290" t="s">
        <v>353</v>
      </c>
      <c r="C152" s="63" t="s">
        <v>417</v>
      </c>
      <c r="D152" s="449">
        <v>25117</v>
      </c>
      <c r="E152" s="450" t="s">
        <v>611</v>
      </c>
      <c r="F152" s="451">
        <v>6424.49</v>
      </c>
    </row>
    <row r="153" spans="1:10" ht="22.5" customHeight="1" x14ac:dyDescent="0.5">
      <c r="A153" s="446">
        <v>3</v>
      </c>
      <c r="B153" s="290" t="s">
        <v>431</v>
      </c>
      <c r="C153" s="63" t="s">
        <v>432</v>
      </c>
      <c r="D153" s="449">
        <v>25117</v>
      </c>
      <c r="E153" s="450" t="s">
        <v>612</v>
      </c>
      <c r="F153" s="451">
        <v>677.38</v>
      </c>
    </row>
    <row r="154" spans="1:10" ht="22.5" customHeight="1" x14ac:dyDescent="0.5">
      <c r="A154" s="446">
        <v>4</v>
      </c>
      <c r="B154" s="290" t="s">
        <v>433</v>
      </c>
      <c r="C154" s="63" t="s">
        <v>434</v>
      </c>
      <c r="D154" s="449">
        <v>25119</v>
      </c>
      <c r="E154" s="450" t="s">
        <v>613</v>
      </c>
      <c r="F154" s="451">
        <v>677.38</v>
      </c>
    </row>
    <row r="155" spans="1:10" ht="22.5" customHeight="1" x14ac:dyDescent="0.5">
      <c r="A155" s="446">
        <v>5</v>
      </c>
      <c r="B155" s="290" t="s">
        <v>439</v>
      </c>
      <c r="C155" s="63" t="s">
        <v>440</v>
      </c>
      <c r="D155" s="449">
        <v>25128</v>
      </c>
      <c r="E155" s="450" t="s">
        <v>614</v>
      </c>
      <c r="F155" s="451">
        <v>2370.81</v>
      </c>
    </row>
    <row r="156" spans="1:10" ht="22.5" customHeight="1" x14ac:dyDescent="0.5">
      <c r="A156" s="446">
        <v>6</v>
      </c>
      <c r="B156" s="290" t="s">
        <v>473</v>
      </c>
      <c r="C156" s="63" t="s">
        <v>474</v>
      </c>
      <c r="D156" s="449">
        <v>25112</v>
      </c>
      <c r="E156" s="450" t="s">
        <v>615</v>
      </c>
      <c r="F156" s="451">
        <v>435.46</v>
      </c>
    </row>
    <row r="157" spans="1:10" s="60" customFormat="1" ht="22.5" customHeight="1" thickBot="1" x14ac:dyDescent="0.35">
      <c r="A157" s="362"/>
      <c r="B157" s="362" t="s">
        <v>15</v>
      </c>
      <c r="C157" s="455"/>
      <c r="D157" s="457"/>
      <c r="E157" s="458"/>
      <c r="F157" s="458">
        <v>14585.519999999997</v>
      </c>
      <c r="H157" s="683">
        <f>SUM(F151:F156)</f>
        <v>14585.519999999997</v>
      </c>
      <c r="I157" s="685"/>
    </row>
    <row r="158" spans="1:10" s="60" customFormat="1" ht="22.5" customHeight="1" thickTop="1" thickBot="1" x14ac:dyDescent="0.35">
      <c r="A158" s="459"/>
      <c r="B158" s="460" t="s">
        <v>497</v>
      </c>
      <c r="C158" s="461"/>
      <c r="D158" s="462">
        <v>0</v>
      </c>
      <c r="E158" s="462">
        <v>0</v>
      </c>
      <c r="F158" s="462">
        <v>1420020.2599999998</v>
      </c>
      <c r="I158" s="689">
        <f>SUM(H10:H157)</f>
        <v>1420020.2599999998</v>
      </c>
      <c r="J158" s="60" t="s">
        <v>666</v>
      </c>
    </row>
    <row r="159" spans="1:10" ht="22.5" customHeight="1" thickTop="1" x14ac:dyDescent="0.3"/>
    <row r="160" spans="1:10" s="636" customFormat="1" x14ac:dyDescent="0.6">
      <c r="A160" s="1128" t="s">
        <v>524</v>
      </c>
      <c r="B160" s="1128"/>
      <c r="C160" s="1128"/>
      <c r="D160" s="1128"/>
      <c r="E160" s="1128"/>
      <c r="F160" s="1128"/>
      <c r="I160" s="690"/>
    </row>
    <row r="161" spans="1:10" s="599" customFormat="1" x14ac:dyDescent="0.6">
      <c r="A161" s="646">
        <v>1</v>
      </c>
      <c r="B161" s="647" t="s">
        <v>521</v>
      </c>
      <c r="C161" s="647" t="s">
        <v>522</v>
      </c>
      <c r="D161" s="30" t="s">
        <v>616</v>
      </c>
      <c r="E161" s="249" t="s">
        <v>617</v>
      </c>
      <c r="F161" s="221">
        <v>20500</v>
      </c>
      <c r="I161" s="600"/>
    </row>
    <row r="162" spans="1:10" s="599" customFormat="1" ht="24" thickBot="1" x14ac:dyDescent="0.65">
      <c r="A162" s="619"/>
      <c r="B162" s="620" t="s">
        <v>535</v>
      </c>
      <c r="C162" s="621"/>
      <c r="D162" s="625"/>
      <c r="E162" s="625"/>
      <c r="F162" s="625">
        <v>20500</v>
      </c>
      <c r="H162" s="691">
        <f>SUM(F161)</f>
        <v>20500</v>
      </c>
      <c r="I162" s="692">
        <f>SUM(I158+H162)</f>
        <v>1440520.2599999998</v>
      </c>
      <c r="J162" s="599" t="s">
        <v>667</v>
      </c>
    </row>
    <row r="163" spans="1:10" ht="22.5" customHeight="1" thickTop="1" x14ac:dyDescent="0.3">
      <c r="D163" s="584"/>
      <c r="E163" s="585"/>
    </row>
    <row r="164" spans="1:10" ht="22.5" customHeight="1" x14ac:dyDescent="0.3">
      <c r="D164" s="584"/>
      <c r="E164" s="585"/>
      <c r="F164" s="657">
        <v>1440520.2599999998</v>
      </c>
    </row>
  </sheetData>
  <mergeCells count="8">
    <mergeCell ref="A160:F160"/>
    <mergeCell ref="A1:F1"/>
    <mergeCell ref="A2:F2"/>
    <mergeCell ref="A3:F3"/>
    <mergeCell ref="A4:A6"/>
    <mergeCell ref="B4:B6"/>
    <mergeCell ref="C4:C6"/>
    <mergeCell ref="D4:F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F430-C67C-465C-A807-829C65615973}">
  <sheetPr codeName="Sheet3">
    <tabColor rgb="FF92D050"/>
  </sheetPr>
  <dimension ref="A1:K113"/>
  <sheetViews>
    <sheetView zoomScale="70" zoomScaleNormal="70" workbookViewId="0">
      <pane ySplit="6" topLeftCell="A78" activePane="bottomLeft" state="frozen"/>
      <selection pane="bottomLeft" activeCell="H107" sqref="H107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21.44140625" style="696" customWidth="1"/>
    <col min="5" max="5" width="14.5546875" style="662" customWidth="1"/>
    <col min="6" max="6" width="8" style="663" customWidth="1"/>
    <col min="7" max="7" width="16.5546875" style="665" customWidth="1"/>
    <col min="8" max="8" width="12.77734375" style="3" customWidth="1"/>
    <col min="9" max="16384" width="27.109375" style="3"/>
  </cols>
  <sheetData>
    <row r="1" spans="1:9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2"/>
    </row>
    <row r="2" spans="1:9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2"/>
    </row>
    <row r="3" spans="1:9" ht="22.5" customHeight="1" x14ac:dyDescent="0.3">
      <c r="A3" s="1110" t="s">
        <v>540</v>
      </c>
      <c r="B3" s="1111"/>
      <c r="C3" s="1111"/>
      <c r="D3" s="1111"/>
      <c r="E3" s="1111"/>
      <c r="F3" s="1111"/>
      <c r="G3" s="1111"/>
      <c r="H3" s="2"/>
    </row>
    <row r="4" spans="1:9" ht="22.5" customHeight="1" x14ac:dyDescent="0.3">
      <c r="A4" s="1112" t="s">
        <v>3</v>
      </c>
      <c r="B4" s="1112" t="s">
        <v>4</v>
      </c>
      <c r="C4" s="1115" t="s">
        <v>5</v>
      </c>
      <c r="D4" s="700"/>
      <c r="E4" s="1118" t="s">
        <v>9</v>
      </c>
      <c r="F4" s="1140"/>
      <c r="G4" s="1120"/>
      <c r="H4" s="2"/>
    </row>
    <row r="5" spans="1:9" ht="22.5" customHeight="1" x14ac:dyDescent="0.3">
      <c r="A5" s="1113"/>
      <c r="B5" s="1113"/>
      <c r="C5" s="1116"/>
      <c r="D5" s="694" t="s">
        <v>618</v>
      </c>
      <c r="E5" s="1121" t="s">
        <v>10</v>
      </c>
      <c r="F5" s="1138" t="s">
        <v>11</v>
      </c>
      <c r="G5" s="667"/>
      <c r="H5" s="2"/>
    </row>
    <row r="6" spans="1:9" ht="22.5" customHeight="1" x14ac:dyDescent="0.3">
      <c r="A6" s="1114"/>
      <c r="B6" s="1114"/>
      <c r="C6" s="1117"/>
      <c r="D6" s="695"/>
      <c r="E6" s="1122"/>
      <c r="F6" s="1139"/>
      <c r="G6" s="10" t="s">
        <v>15</v>
      </c>
      <c r="H6" s="2"/>
    </row>
    <row r="7" spans="1:9" ht="22.5" customHeight="1" x14ac:dyDescent="0.3">
      <c r="A7" s="11"/>
      <c r="B7" s="12" t="s">
        <v>19</v>
      </c>
      <c r="C7" s="13"/>
      <c r="D7" s="701"/>
      <c r="E7" s="19"/>
      <c r="F7" s="20"/>
      <c r="G7" s="22"/>
      <c r="H7" s="2"/>
    </row>
    <row r="8" spans="1:9" ht="22.5" customHeight="1" x14ac:dyDescent="0.5">
      <c r="A8" s="23">
        <v>1</v>
      </c>
      <c r="B8" s="24" t="s">
        <v>27</v>
      </c>
      <c r="C8" s="25" t="s">
        <v>28</v>
      </c>
      <c r="D8" s="698"/>
      <c r="E8" s="41" t="s">
        <v>559</v>
      </c>
      <c r="F8" s="34" t="s">
        <v>33</v>
      </c>
      <c r="G8" s="36">
        <v>802.5</v>
      </c>
      <c r="H8" s="2"/>
    </row>
    <row r="9" spans="1:9" ht="22.5" customHeight="1" x14ac:dyDescent="0.5">
      <c r="A9" s="23">
        <v>2</v>
      </c>
      <c r="B9" s="24" t="s">
        <v>30</v>
      </c>
      <c r="C9" s="25" t="s">
        <v>31</v>
      </c>
      <c r="D9" s="698"/>
      <c r="E9" s="33">
        <v>25112</v>
      </c>
      <c r="F9" s="34" t="s">
        <v>33</v>
      </c>
      <c r="G9" s="340">
        <v>1348.2</v>
      </c>
      <c r="H9" s="47"/>
    </row>
    <row r="10" spans="1:9" s="60" customFormat="1" ht="22.5" customHeight="1" thickBot="1" x14ac:dyDescent="0.35">
      <c r="A10" s="48"/>
      <c r="B10" s="48" t="s">
        <v>15</v>
      </c>
      <c r="C10" s="49"/>
      <c r="D10" s="702"/>
      <c r="E10" s="48"/>
      <c r="F10" s="56"/>
      <c r="G10" s="671">
        <v>2150.6999999999998</v>
      </c>
      <c r="H10" s="59"/>
      <c r="I10" s="683">
        <f>SUM(G8:G9)</f>
        <v>2150.6999999999998</v>
      </c>
    </row>
    <row r="11" spans="1:9" ht="22.5" customHeight="1" thickTop="1" x14ac:dyDescent="0.3">
      <c r="A11" s="61"/>
      <c r="B11" s="62" t="s">
        <v>37</v>
      </c>
      <c r="C11" s="63"/>
      <c r="D11" s="703"/>
      <c r="E11" s="69"/>
      <c r="F11" s="70"/>
      <c r="G11" s="72"/>
      <c r="H11" s="2"/>
    </row>
    <row r="12" spans="1:9" ht="22.5" customHeight="1" x14ac:dyDescent="0.3">
      <c r="A12" s="23">
        <v>1</v>
      </c>
      <c r="B12" s="73" t="s">
        <v>45</v>
      </c>
      <c r="C12" s="25" t="s">
        <v>46</v>
      </c>
      <c r="D12" s="698"/>
      <c r="E12" s="33">
        <v>25112</v>
      </c>
      <c r="F12" s="70" t="s">
        <v>33</v>
      </c>
      <c r="G12" s="36">
        <v>1155.5999999999999</v>
      </c>
      <c r="H12" s="2"/>
    </row>
    <row r="13" spans="1:9" ht="22.5" customHeight="1" x14ac:dyDescent="0.3">
      <c r="A13" s="23">
        <v>2</v>
      </c>
      <c r="B13" s="73" t="s">
        <v>48</v>
      </c>
      <c r="C13" s="25" t="s">
        <v>49</v>
      </c>
      <c r="D13" s="698"/>
      <c r="E13" s="33">
        <v>25112</v>
      </c>
      <c r="F13" s="70" t="s">
        <v>33</v>
      </c>
      <c r="G13" s="36">
        <v>3177.8999999999987</v>
      </c>
      <c r="H13" s="2"/>
    </row>
    <row r="14" spans="1:9" ht="22.5" customHeight="1" x14ac:dyDescent="0.3">
      <c r="A14" s="23">
        <v>3</v>
      </c>
      <c r="B14" s="78" t="s">
        <v>54</v>
      </c>
      <c r="C14" s="25" t="s">
        <v>55</v>
      </c>
      <c r="D14" s="698"/>
      <c r="E14" s="33" t="s">
        <v>552</v>
      </c>
      <c r="F14" s="70" t="s">
        <v>115</v>
      </c>
      <c r="G14" s="36">
        <v>4189.0499999999993</v>
      </c>
      <c r="H14" s="2"/>
    </row>
    <row r="15" spans="1:9" s="88" customFormat="1" ht="22.5" customHeight="1" x14ac:dyDescent="0.3">
      <c r="A15" s="23">
        <v>4</v>
      </c>
      <c r="B15" s="84" t="s">
        <v>62</v>
      </c>
      <c r="C15" s="85" t="s">
        <v>28</v>
      </c>
      <c r="D15" s="704"/>
      <c r="E15" s="69" t="s">
        <v>559</v>
      </c>
      <c r="F15" s="70" t="s">
        <v>33</v>
      </c>
      <c r="G15" s="36">
        <v>856</v>
      </c>
      <c r="H15" s="87"/>
    </row>
    <row r="16" spans="1:9" s="60" customFormat="1" ht="22.5" customHeight="1" thickBot="1" x14ac:dyDescent="0.35">
      <c r="A16" s="48"/>
      <c r="B16" s="48" t="s">
        <v>15</v>
      </c>
      <c r="C16" s="49"/>
      <c r="D16" s="702"/>
      <c r="E16" s="107"/>
      <c r="F16" s="108"/>
      <c r="G16" s="110">
        <v>9378.5500000000011</v>
      </c>
      <c r="I16" s="683">
        <f>SUM(G12:G15)</f>
        <v>9378.5499999999975</v>
      </c>
    </row>
    <row r="17" spans="1:8" ht="22.5" customHeight="1" thickTop="1" x14ac:dyDescent="0.3">
      <c r="A17" s="61"/>
      <c r="B17" s="62" t="s">
        <v>92</v>
      </c>
      <c r="C17" s="63"/>
      <c r="D17" s="703"/>
      <c r="E17" s="61"/>
      <c r="F17" s="204"/>
      <c r="G17" s="207"/>
      <c r="H17" s="2"/>
    </row>
    <row r="18" spans="1:8" ht="22.5" customHeight="1" x14ac:dyDescent="0.5">
      <c r="A18" s="208">
        <v>2</v>
      </c>
      <c r="B18" s="73" t="s">
        <v>96</v>
      </c>
      <c r="C18" s="25" t="s">
        <v>97</v>
      </c>
      <c r="D18" s="705"/>
      <c r="E18" s="215">
        <v>25112</v>
      </c>
      <c r="F18" s="216" t="s">
        <v>33</v>
      </c>
      <c r="G18" s="217">
        <v>3862.6999999999962</v>
      </c>
      <c r="H18" s="2"/>
    </row>
    <row r="19" spans="1:8" ht="22.5" customHeight="1" x14ac:dyDescent="0.5">
      <c r="A19" s="208">
        <v>5</v>
      </c>
      <c r="B19" s="73" t="s">
        <v>105</v>
      </c>
      <c r="C19" s="25" t="s">
        <v>97</v>
      </c>
      <c r="D19" s="705"/>
      <c r="E19" s="215">
        <v>25112</v>
      </c>
      <c r="F19" s="216" t="s">
        <v>33</v>
      </c>
      <c r="G19" s="217">
        <v>13300.1</v>
      </c>
      <c r="H19" s="2"/>
    </row>
    <row r="20" spans="1:8" ht="22.5" customHeight="1" x14ac:dyDescent="0.5">
      <c r="A20" s="208">
        <v>6</v>
      </c>
      <c r="B20" s="73" t="s">
        <v>107</v>
      </c>
      <c r="C20" s="25" t="s">
        <v>97</v>
      </c>
      <c r="D20" s="705"/>
      <c r="E20" s="215">
        <v>25112</v>
      </c>
      <c r="F20" s="216" t="s">
        <v>33</v>
      </c>
      <c r="G20" s="217">
        <v>535</v>
      </c>
      <c r="H20" s="2"/>
    </row>
    <row r="21" spans="1:8" ht="22.5" customHeight="1" x14ac:dyDescent="0.5">
      <c r="A21" s="208">
        <v>8</v>
      </c>
      <c r="B21" s="73" t="s">
        <v>110</v>
      </c>
      <c r="C21" s="25" t="s">
        <v>87</v>
      </c>
      <c r="D21" s="705"/>
      <c r="E21" s="215">
        <v>25112</v>
      </c>
      <c r="F21" s="216" t="s">
        <v>33</v>
      </c>
      <c r="G21" s="217">
        <v>9469.5</v>
      </c>
      <c r="H21" s="2"/>
    </row>
    <row r="22" spans="1:8" ht="22.5" customHeight="1" x14ac:dyDescent="0.5">
      <c r="A22" s="208">
        <v>9</v>
      </c>
      <c r="B22" s="73" t="s">
        <v>112</v>
      </c>
      <c r="C22" s="25" t="s">
        <v>113</v>
      </c>
      <c r="D22" s="705"/>
      <c r="E22" s="215">
        <v>25112</v>
      </c>
      <c r="F22" s="216" t="s">
        <v>33</v>
      </c>
      <c r="G22" s="217">
        <v>1048.6000000000004</v>
      </c>
      <c r="H22" s="2"/>
    </row>
    <row r="23" spans="1:8" ht="22.5" customHeight="1" x14ac:dyDescent="0.5">
      <c r="A23" s="208"/>
      <c r="B23" s="73" t="s">
        <v>116</v>
      </c>
      <c r="C23" s="25" t="s">
        <v>113</v>
      </c>
      <c r="D23" s="705"/>
      <c r="E23" s="215">
        <v>25112</v>
      </c>
      <c r="F23" s="216" t="s">
        <v>33</v>
      </c>
      <c r="G23" s="217">
        <v>1059.3000000000015</v>
      </c>
      <c r="H23" s="2"/>
    </row>
    <row r="24" spans="1:8" ht="22.5" customHeight="1" x14ac:dyDescent="0.5">
      <c r="A24" s="208">
        <v>14</v>
      </c>
      <c r="B24" s="78" t="s">
        <v>129</v>
      </c>
      <c r="C24" s="210" t="s">
        <v>130</v>
      </c>
      <c r="D24" s="706"/>
      <c r="E24" s="215">
        <v>25112</v>
      </c>
      <c r="F24" s="216" t="s">
        <v>33</v>
      </c>
      <c r="G24" s="217">
        <v>10860.499999999998</v>
      </c>
      <c r="H24" s="2"/>
    </row>
    <row r="25" spans="1:8" ht="22.5" customHeight="1" x14ac:dyDescent="0.5">
      <c r="A25" s="208"/>
      <c r="B25" s="78" t="s">
        <v>132</v>
      </c>
      <c r="C25" s="210" t="s">
        <v>130</v>
      </c>
      <c r="D25" s="706"/>
      <c r="E25" s="215">
        <v>25112</v>
      </c>
      <c r="F25" s="216" t="s">
        <v>33</v>
      </c>
      <c r="G25" s="217">
        <v>50459.499999999993</v>
      </c>
      <c r="H25" s="2"/>
    </row>
    <row r="26" spans="1:8" ht="22.5" customHeight="1" x14ac:dyDescent="0.5">
      <c r="A26" s="208">
        <v>15</v>
      </c>
      <c r="B26" s="78" t="s">
        <v>134</v>
      </c>
      <c r="C26" s="165" t="s">
        <v>135</v>
      </c>
      <c r="D26" s="705"/>
      <c r="E26" s="215">
        <v>25112</v>
      </c>
      <c r="F26" s="216" t="s">
        <v>33</v>
      </c>
      <c r="G26" s="217">
        <v>5531.9</v>
      </c>
      <c r="H26" s="2"/>
    </row>
    <row r="27" spans="1:8" s="229" customFormat="1" ht="22.5" customHeight="1" x14ac:dyDescent="0.5">
      <c r="A27" s="225">
        <v>16</v>
      </c>
      <c r="B27" s="226" t="s">
        <v>137</v>
      </c>
      <c r="C27" s="227"/>
      <c r="D27" s="707"/>
      <c r="E27" s="215">
        <v>25112</v>
      </c>
      <c r="F27" s="216" t="s">
        <v>33</v>
      </c>
      <c r="G27" s="217">
        <v>2610.8000000000006</v>
      </c>
      <c r="H27" s="47"/>
    </row>
    <row r="28" spans="1:8" ht="22.5" customHeight="1" x14ac:dyDescent="0.5">
      <c r="A28" s="208">
        <v>17</v>
      </c>
      <c r="B28" s="78" t="s">
        <v>54</v>
      </c>
      <c r="C28" s="81" t="s">
        <v>55</v>
      </c>
      <c r="D28" s="705"/>
      <c r="E28" s="215" t="s">
        <v>552</v>
      </c>
      <c r="F28" s="216" t="s">
        <v>115</v>
      </c>
      <c r="G28" s="217">
        <v>21453.5</v>
      </c>
      <c r="H28" s="2"/>
    </row>
    <row r="29" spans="1:8" ht="22.5" customHeight="1" x14ac:dyDescent="0.5">
      <c r="A29" s="208">
        <v>25</v>
      </c>
      <c r="B29" s="240" t="s">
        <v>162</v>
      </c>
      <c r="C29" s="83" t="s">
        <v>163</v>
      </c>
      <c r="D29" s="706"/>
      <c r="E29" s="215">
        <v>25112</v>
      </c>
      <c r="F29" s="216" t="s">
        <v>33</v>
      </c>
      <c r="G29" s="217">
        <v>2236.2999999999975</v>
      </c>
      <c r="H29" s="2"/>
    </row>
    <row r="30" spans="1:8" ht="22.5" customHeight="1" x14ac:dyDescent="0.5">
      <c r="A30" s="208">
        <v>26</v>
      </c>
      <c r="B30" s="209" t="s">
        <v>165</v>
      </c>
      <c r="C30" s="210" t="s">
        <v>166</v>
      </c>
      <c r="D30" s="706"/>
      <c r="E30" s="215">
        <v>25112</v>
      </c>
      <c r="F30" s="216" t="s">
        <v>33</v>
      </c>
      <c r="G30" s="217">
        <v>96.300000000000352</v>
      </c>
      <c r="H30" s="2"/>
    </row>
    <row r="31" spans="1:8" ht="22.5" customHeight="1" x14ac:dyDescent="0.5">
      <c r="A31" s="242">
        <v>27</v>
      </c>
      <c r="B31" s="243" t="s">
        <v>168</v>
      </c>
      <c r="C31" s="244" t="s">
        <v>169</v>
      </c>
      <c r="D31" s="706"/>
      <c r="E31" s="215" t="s">
        <v>170</v>
      </c>
      <c r="F31" s="216" t="s">
        <v>115</v>
      </c>
      <c r="G31" s="217">
        <v>11374.100000000002</v>
      </c>
      <c r="H31" s="2"/>
    </row>
    <row r="32" spans="1:8" ht="22.5" customHeight="1" x14ac:dyDescent="0.5">
      <c r="A32" s="208">
        <v>30</v>
      </c>
      <c r="B32" s="209" t="s">
        <v>175</v>
      </c>
      <c r="C32" s="210" t="s">
        <v>176</v>
      </c>
      <c r="D32" s="706"/>
      <c r="E32" s="215">
        <v>25112</v>
      </c>
      <c r="F32" s="216" t="s">
        <v>33</v>
      </c>
      <c r="G32" s="217">
        <v>609.89999999999907</v>
      </c>
      <c r="H32" s="2"/>
    </row>
    <row r="33" spans="1:9" ht="22.5" customHeight="1" x14ac:dyDescent="0.5">
      <c r="A33" s="208">
        <v>32</v>
      </c>
      <c r="B33" s="209" t="s">
        <v>181</v>
      </c>
      <c r="C33" s="210" t="s">
        <v>182</v>
      </c>
      <c r="D33" s="706"/>
      <c r="E33" s="215">
        <v>25112</v>
      </c>
      <c r="F33" s="216" t="s">
        <v>33</v>
      </c>
      <c r="G33" s="217">
        <v>749</v>
      </c>
      <c r="H33" s="2"/>
    </row>
    <row r="34" spans="1:9" ht="22.5" customHeight="1" x14ac:dyDescent="0.5">
      <c r="A34" s="208"/>
      <c r="B34" s="209" t="s">
        <v>191</v>
      </c>
      <c r="C34" s="210" t="s">
        <v>190</v>
      </c>
      <c r="D34" s="706"/>
      <c r="E34" s="215">
        <v>25112</v>
      </c>
      <c r="F34" s="216" t="s">
        <v>33</v>
      </c>
      <c r="G34" s="217">
        <v>8613.5</v>
      </c>
      <c r="H34" s="2"/>
    </row>
    <row r="35" spans="1:9" ht="22.5" customHeight="1" x14ac:dyDescent="0.5">
      <c r="A35" s="208">
        <v>36</v>
      </c>
      <c r="B35" s="209" t="s">
        <v>193</v>
      </c>
      <c r="C35" s="210" t="s">
        <v>194</v>
      </c>
      <c r="D35" s="706"/>
      <c r="E35" s="215">
        <v>25112</v>
      </c>
      <c r="F35" s="216" t="s">
        <v>33</v>
      </c>
      <c r="G35" s="217">
        <v>2321.8999999999996</v>
      </c>
      <c r="H35" s="2"/>
    </row>
    <row r="36" spans="1:9" ht="22.5" customHeight="1" x14ac:dyDescent="0.5">
      <c r="A36" s="208">
        <v>38</v>
      </c>
      <c r="B36" s="209" t="s">
        <v>198</v>
      </c>
      <c r="C36" s="210" t="s">
        <v>46</v>
      </c>
      <c r="D36" s="706"/>
      <c r="E36" s="215">
        <v>25112</v>
      </c>
      <c r="F36" s="216" t="s">
        <v>33</v>
      </c>
      <c r="G36" s="217">
        <v>374.49999999999932</v>
      </c>
      <c r="H36" s="2"/>
    </row>
    <row r="37" spans="1:9" ht="22.5" customHeight="1" x14ac:dyDescent="0.5">
      <c r="A37" s="208"/>
      <c r="B37" s="209" t="s">
        <v>198</v>
      </c>
      <c r="C37" s="210" t="s">
        <v>567</v>
      </c>
      <c r="D37" s="706"/>
      <c r="E37" s="215">
        <v>25112</v>
      </c>
      <c r="F37" s="216" t="s">
        <v>33</v>
      </c>
      <c r="G37" s="217">
        <v>973.7</v>
      </c>
      <c r="H37" s="2"/>
    </row>
    <row r="38" spans="1:9" ht="22.5" customHeight="1" x14ac:dyDescent="0.5">
      <c r="A38" s="208">
        <v>39</v>
      </c>
      <c r="B38" s="209" t="s">
        <v>200</v>
      </c>
      <c r="C38" s="210" t="s">
        <v>201</v>
      </c>
      <c r="D38" s="706"/>
      <c r="E38" s="215">
        <v>25112</v>
      </c>
      <c r="F38" s="216" t="s">
        <v>33</v>
      </c>
      <c r="G38" s="217">
        <v>5114.5999999999985</v>
      </c>
      <c r="H38" s="2"/>
    </row>
    <row r="39" spans="1:9" ht="22.5" customHeight="1" x14ac:dyDescent="0.5">
      <c r="A39" s="208">
        <v>43</v>
      </c>
      <c r="B39" s="209" t="s">
        <v>210</v>
      </c>
      <c r="C39" s="210" t="s">
        <v>211</v>
      </c>
      <c r="D39" s="706"/>
      <c r="E39" s="239">
        <v>25112</v>
      </c>
      <c r="F39" s="236" t="s">
        <v>33</v>
      </c>
      <c r="G39" s="217">
        <v>8089.2000000000007</v>
      </c>
      <c r="H39" s="2"/>
    </row>
    <row r="40" spans="1:9" ht="22.5" customHeight="1" x14ac:dyDescent="0.5">
      <c r="A40" s="235">
        <v>47</v>
      </c>
      <c r="B40" s="257" t="s">
        <v>220</v>
      </c>
      <c r="C40" s="257" t="s">
        <v>221</v>
      </c>
      <c r="D40" s="708"/>
      <c r="E40" s="239">
        <v>25112</v>
      </c>
      <c r="F40" s="236" t="s">
        <v>33</v>
      </c>
      <c r="G40" s="217">
        <v>64.2</v>
      </c>
      <c r="H40" s="2"/>
    </row>
    <row r="41" spans="1:9" ht="22.5" customHeight="1" x14ac:dyDescent="0.5">
      <c r="A41" s="260">
        <v>49</v>
      </c>
      <c r="B41" s="261" t="s">
        <v>224</v>
      </c>
      <c r="C41" s="261" t="s">
        <v>225</v>
      </c>
      <c r="D41" s="708"/>
      <c r="E41" s="215">
        <v>25112</v>
      </c>
      <c r="F41" s="216" t="s">
        <v>33</v>
      </c>
      <c r="G41" s="217">
        <v>256.80000000000007</v>
      </c>
      <c r="H41" s="2"/>
    </row>
    <row r="42" spans="1:9" ht="22.5" customHeight="1" x14ac:dyDescent="0.5">
      <c r="A42" s="264">
        <v>50</v>
      </c>
      <c r="B42" s="265" t="s">
        <v>226</v>
      </c>
      <c r="C42" s="265" t="s">
        <v>227</v>
      </c>
      <c r="D42" s="709"/>
      <c r="E42" s="215">
        <v>25112</v>
      </c>
      <c r="F42" s="216" t="s">
        <v>33</v>
      </c>
      <c r="G42" s="217">
        <v>2717.8000000000006</v>
      </c>
      <c r="H42" s="2"/>
    </row>
    <row r="43" spans="1:9" s="60" customFormat="1" ht="22.5" customHeight="1" thickBot="1" x14ac:dyDescent="0.35">
      <c r="A43" s="278"/>
      <c r="B43" s="278" t="s">
        <v>15</v>
      </c>
      <c r="C43" s="279"/>
      <c r="D43" s="710"/>
      <c r="E43" s="280"/>
      <c r="F43" s="280">
        <v>0</v>
      </c>
      <c r="G43" s="280">
        <v>163783.19999999998</v>
      </c>
      <c r="H43" s="59"/>
      <c r="I43" s="683">
        <f>SUM(G18:G42)</f>
        <v>163783.19999999998</v>
      </c>
    </row>
    <row r="44" spans="1:9" ht="22.5" customHeight="1" thickTop="1" x14ac:dyDescent="0.3">
      <c r="A44" s="61"/>
      <c r="B44" s="121" t="s">
        <v>232</v>
      </c>
      <c r="C44" s="63"/>
      <c r="D44" s="703"/>
      <c r="E44" s="69"/>
      <c r="F44" s="70"/>
      <c r="G44" s="289"/>
      <c r="H44" s="2"/>
    </row>
    <row r="45" spans="1:9" ht="22.5" customHeight="1" x14ac:dyDescent="0.5">
      <c r="A45" s="23">
        <v>1</v>
      </c>
      <c r="B45" s="73" t="s">
        <v>240</v>
      </c>
      <c r="C45" s="25" t="s">
        <v>241</v>
      </c>
      <c r="D45" s="705"/>
      <c r="E45" s="297" t="s">
        <v>559</v>
      </c>
      <c r="F45" s="216" t="s">
        <v>33</v>
      </c>
      <c r="G45" s="36">
        <v>15750</v>
      </c>
      <c r="H45" s="2"/>
    </row>
    <row r="46" spans="1:9" ht="22.5" customHeight="1" x14ac:dyDescent="0.5">
      <c r="A46" s="23">
        <v>2</v>
      </c>
      <c r="B46" s="73" t="s">
        <v>240</v>
      </c>
      <c r="C46" s="25" t="s">
        <v>242</v>
      </c>
      <c r="D46" s="705"/>
      <c r="E46" s="297" t="s">
        <v>559</v>
      </c>
      <c r="F46" s="216" t="s">
        <v>33</v>
      </c>
      <c r="G46" s="36">
        <v>6300</v>
      </c>
      <c r="H46" s="2"/>
    </row>
    <row r="47" spans="1:9" ht="22.5" customHeight="1" x14ac:dyDescent="0.5">
      <c r="A47" s="23">
        <v>3</v>
      </c>
      <c r="B47" s="209" t="s">
        <v>250</v>
      </c>
      <c r="C47" s="210" t="s">
        <v>251</v>
      </c>
      <c r="D47" s="706"/>
      <c r="E47" s="215" t="s">
        <v>559</v>
      </c>
      <c r="F47" s="216" t="s">
        <v>33</v>
      </c>
      <c r="G47" s="36">
        <v>6300</v>
      </c>
      <c r="H47" s="218"/>
    </row>
    <row r="48" spans="1:9" ht="22.5" customHeight="1" x14ac:dyDescent="0.5">
      <c r="A48" s="23">
        <v>4</v>
      </c>
      <c r="B48" s="73" t="s">
        <v>253</v>
      </c>
      <c r="C48" s="25" t="s">
        <v>254</v>
      </c>
      <c r="D48" s="705"/>
      <c r="E48" s="215" t="s">
        <v>559</v>
      </c>
      <c r="F48" s="216" t="s">
        <v>33</v>
      </c>
      <c r="G48" s="36">
        <v>9450</v>
      </c>
    </row>
    <row r="49" spans="1:9" ht="22.5" customHeight="1" x14ac:dyDescent="0.5">
      <c r="A49" s="23">
        <v>5</v>
      </c>
      <c r="B49" s="73" t="s">
        <v>281</v>
      </c>
      <c r="C49" s="25" t="s">
        <v>282</v>
      </c>
      <c r="D49" s="705"/>
      <c r="E49" s="215">
        <v>25112</v>
      </c>
      <c r="F49" s="216" t="s">
        <v>33</v>
      </c>
      <c r="G49" s="36">
        <v>5600</v>
      </c>
      <c r="H49" s="2"/>
    </row>
    <row r="50" spans="1:9" ht="22.5" customHeight="1" x14ac:dyDescent="0.5">
      <c r="A50" s="23">
        <v>6</v>
      </c>
      <c r="B50" s="209" t="s">
        <v>300</v>
      </c>
      <c r="C50" s="210" t="s">
        <v>301</v>
      </c>
      <c r="D50" s="706"/>
      <c r="E50" s="215">
        <v>25112</v>
      </c>
      <c r="F50" s="216" t="s">
        <v>33</v>
      </c>
      <c r="G50" s="36">
        <v>5600</v>
      </c>
      <c r="H50" s="2"/>
    </row>
    <row r="51" spans="1:9" ht="22.5" customHeight="1" x14ac:dyDescent="0.5">
      <c r="A51" s="23">
        <v>7</v>
      </c>
      <c r="B51" s="209" t="s">
        <v>303</v>
      </c>
      <c r="C51" s="210" t="s">
        <v>304</v>
      </c>
      <c r="D51" s="706"/>
      <c r="E51" s="215">
        <v>25112</v>
      </c>
      <c r="F51" s="216" t="s">
        <v>33</v>
      </c>
      <c r="G51" s="36">
        <v>2800</v>
      </c>
      <c r="H51" s="2"/>
    </row>
    <row r="52" spans="1:9" ht="22.5" customHeight="1" x14ac:dyDescent="0.5">
      <c r="A52" s="23">
        <v>8</v>
      </c>
      <c r="B52" s="73" t="s">
        <v>308</v>
      </c>
      <c r="C52" s="25" t="s">
        <v>309</v>
      </c>
      <c r="D52" s="705"/>
      <c r="E52" s="215">
        <v>25112</v>
      </c>
      <c r="F52" s="216" t="s">
        <v>33</v>
      </c>
      <c r="G52" s="36">
        <v>8400</v>
      </c>
    </row>
    <row r="53" spans="1:9" ht="22.5" customHeight="1" x14ac:dyDescent="0.5">
      <c r="A53" s="23">
        <v>9</v>
      </c>
      <c r="B53" s="73" t="s">
        <v>313</v>
      </c>
      <c r="C53" s="25" t="s">
        <v>314</v>
      </c>
      <c r="D53" s="705"/>
      <c r="E53" s="215">
        <v>25112</v>
      </c>
      <c r="F53" s="216" t="s">
        <v>33</v>
      </c>
      <c r="G53" s="36">
        <v>2800</v>
      </c>
    </row>
    <row r="54" spans="1:9" ht="22.5" customHeight="1" x14ac:dyDescent="0.3">
      <c r="A54" s="23">
        <v>10</v>
      </c>
      <c r="B54" s="73" t="s">
        <v>322</v>
      </c>
      <c r="C54" s="25" t="s">
        <v>323</v>
      </c>
      <c r="D54" s="705">
        <v>11200</v>
      </c>
      <c r="E54" s="314"/>
      <c r="F54" s="315"/>
      <c r="G54" s="36"/>
    </row>
    <row r="55" spans="1:9" ht="22.5" customHeight="1" x14ac:dyDescent="0.5">
      <c r="A55" s="23">
        <v>11</v>
      </c>
      <c r="B55" s="332" t="s">
        <v>344</v>
      </c>
      <c r="C55" s="81" t="s">
        <v>345</v>
      </c>
      <c r="D55" s="712"/>
      <c r="E55" s="41" t="s">
        <v>559</v>
      </c>
      <c r="F55" s="34" t="s">
        <v>33</v>
      </c>
      <c r="G55" s="36">
        <v>21986</v>
      </c>
    </row>
    <row r="56" spans="1:9" ht="22.5" customHeight="1" x14ac:dyDescent="0.5">
      <c r="A56" s="23">
        <v>12</v>
      </c>
      <c r="B56" s="290" t="s">
        <v>353</v>
      </c>
      <c r="C56" s="371" t="s">
        <v>354</v>
      </c>
      <c r="D56" s="705"/>
      <c r="E56" s="215">
        <v>25112</v>
      </c>
      <c r="F56" s="216" t="s">
        <v>33</v>
      </c>
      <c r="G56" s="36">
        <v>11000</v>
      </c>
    </row>
    <row r="57" spans="1:9" ht="22.5" customHeight="1" x14ac:dyDescent="0.5">
      <c r="A57" s="23">
        <v>13</v>
      </c>
      <c r="B57" s="290" t="s">
        <v>355</v>
      </c>
      <c r="C57" s="371" t="s">
        <v>356</v>
      </c>
      <c r="D57" s="705"/>
      <c r="E57" s="215">
        <v>25112</v>
      </c>
      <c r="F57" s="216" t="s">
        <v>33</v>
      </c>
      <c r="G57" s="36">
        <v>9400</v>
      </c>
    </row>
    <row r="58" spans="1:9" ht="22.5" customHeight="1" x14ac:dyDescent="0.5">
      <c r="A58" s="23">
        <v>14</v>
      </c>
      <c r="B58" s="374" t="s">
        <v>358</v>
      </c>
      <c r="C58" s="375" t="s">
        <v>356</v>
      </c>
      <c r="D58" s="705"/>
      <c r="E58" s="215">
        <v>25112</v>
      </c>
      <c r="F58" s="216" t="s">
        <v>33</v>
      </c>
      <c r="G58" s="36">
        <v>9810</v>
      </c>
    </row>
    <row r="59" spans="1:9" ht="22.5" customHeight="1" x14ac:dyDescent="0.5">
      <c r="A59" s="23">
        <v>15</v>
      </c>
      <c r="B59" s="149" t="s">
        <v>281</v>
      </c>
      <c r="C59" s="311" t="s">
        <v>360</v>
      </c>
      <c r="D59" s="714"/>
      <c r="E59" s="215" t="s">
        <v>552</v>
      </c>
      <c r="F59" s="216" t="s">
        <v>115</v>
      </c>
      <c r="G59" s="36">
        <v>6000</v>
      </c>
    </row>
    <row r="60" spans="1:9" ht="22.5" customHeight="1" x14ac:dyDescent="0.3">
      <c r="A60" s="23">
        <v>16</v>
      </c>
      <c r="B60" s="73" t="s">
        <v>364</v>
      </c>
      <c r="C60" s="25" t="s">
        <v>365</v>
      </c>
      <c r="D60" s="698"/>
      <c r="E60" s="41" t="s">
        <v>559</v>
      </c>
      <c r="F60" s="34" t="s">
        <v>33</v>
      </c>
      <c r="G60" s="36">
        <v>10000</v>
      </c>
    </row>
    <row r="61" spans="1:9" s="60" customFormat="1" ht="22.5" customHeight="1" thickBot="1" x14ac:dyDescent="0.35">
      <c r="A61" s="317"/>
      <c r="B61" s="317" t="s">
        <v>15</v>
      </c>
      <c r="C61" s="318"/>
      <c r="D61" s="711"/>
      <c r="E61" s="407"/>
      <c r="F61" s="321"/>
      <c r="G61" s="323">
        <f>SUM(G45:G60)</f>
        <v>131196</v>
      </c>
      <c r="I61" s="683">
        <f>SUM(G45:G60)</f>
        <v>131196</v>
      </c>
    </row>
    <row r="62" spans="1:9" ht="22.5" customHeight="1" thickTop="1" x14ac:dyDescent="0.3">
      <c r="A62" s="61"/>
      <c r="B62" s="62" t="s">
        <v>386</v>
      </c>
      <c r="C62" s="63"/>
      <c r="D62" s="703"/>
      <c r="E62" s="69"/>
      <c r="F62" s="70"/>
      <c r="G62" s="387"/>
    </row>
    <row r="63" spans="1:9" ht="22.5" customHeight="1" x14ac:dyDescent="0.5">
      <c r="A63" s="208">
        <v>1</v>
      </c>
      <c r="B63" s="290" t="s">
        <v>389</v>
      </c>
      <c r="C63" s="25" t="s">
        <v>390</v>
      </c>
      <c r="D63" s="705"/>
      <c r="E63" s="215">
        <v>25112</v>
      </c>
      <c r="F63" s="216" t="s">
        <v>33</v>
      </c>
      <c r="G63" s="409">
        <v>3150</v>
      </c>
    </row>
    <row r="64" spans="1:9" s="60" customFormat="1" ht="22.5" customHeight="1" thickBot="1" x14ac:dyDescent="0.35">
      <c r="A64" s="317"/>
      <c r="B64" s="317" t="s">
        <v>15</v>
      </c>
      <c r="C64" s="318"/>
      <c r="D64" s="711"/>
      <c r="E64" s="407"/>
      <c r="F64" s="321"/>
      <c r="G64" s="386">
        <v>3150</v>
      </c>
      <c r="I64" s="683">
        <f>SUM(G63)</f>
        <v>3150</v>
      </c>
    </row>
    <row r="65" spans="1:11" ht="22.5" customHeight="1" thickTop="1" x14ac:dyDescent="0.3">
      <c r="A65" s="429"/>
      <c r="B65" s="430"/>
      <c r="C65" s="431"/>
      <c r="D65" s="715"/>
      <c r="E65" s="439"/>
      <c r="F65" s="440"/>
      <c r="G65" s="442"/>
    </row>
    <row r="66" spans="1:11" ht="22.5" customHeight="1" x14ac:dyDescent="0.3">
      <c r="A66" s="61"/>
      <c r="B66" s="4" t="s">
        <v>665</v>
      </c>
      <c r="C66" s="63"/>
      <c r="D66" s="703"/>
      <c r="E66" s="69"/>
      <c r="F66" s="70"/>
      <c r="G66" s="387"/>
    </row>
    <row r="67" spans="1:11" ht="22.5" customHeight="1" x14ac:dyDescent="0.5">
      <c r="A67" s="446">
        <v>1</v>
      </c>
      <c r="B67" s="447" t="s">
        <v>398</v>
      </c>
      <c r="C67" s="63" t="s">
        <v>396</v>
      </c>
      <c r="D67" s="703"/>
      <c r="E67" s="69" t="s">
        <v>669</v>
      </c>
      <c r="F67" s="70"/>
      <c r="G67" s="387">
        <v>2591.5100000000002</v>
      </c>
    </row>
    <row r="68" spans="1:11" ht="22.5" customHeight="1" x14ac:dyDescent="0.5">
      <c r="A68" s="446">
        <v>2</v>
      </c>
      <c r="B68" s="290" t="s">
        <v>397</v>
      </c>
      <c r="C68" s="63" t="s">
        <v>417</v>
      </c>
      <c r="D68" s="703"/>
      <c r="E68" s="69" t="s">
        <v>668</v>
      </c>
      <c r="F68" s="70"/>
      <c r="G68" s="387">
        <v>8604.76</v>
      </c>
    </row>
    <row r="69" spans="1:11" ht="22.5" customHeight="1" x14ac:dyDescent="0.5">
      <c r="A69" s="446">
        <v>3</v>
      </c>
      <c r="B69" s="290" t="s">
        <v>358</v>
      </c>
      <c r="C69" s="63" t="s">
        <v>417</v>
      </c>
      <c r="D69" s="703"/>
      <c r="E69" s="69" t="s">
        <v>668</v>
      </c>
      <c r="F69" s="70"/>
      <c r="G69" s="387">
        <v>9651.43</v>
      </c>
    </row>
    <row r="70" spans="1:11" ht="22.5" customHeight="1" x14ac:dyDescent="0.5">
      <c r="A70" s="446">
        <v>4</v>
      </c>
      <c r="B70" s="290" t="s">
        <v>398</v>
      </c>
      <c r="C70" s="63" t="s">
        <v>417</v>
      </c>
      <c r="D70" s="703"/>
      <c r="E70" s="69" t="s">
        <v>668</v>
      </c>
      <c r="F70" s="70"/>
      <c r="G70" s="387">
        <v>3283.84</v>
      </c>
    </row>
    <row r="71" spans="1:11" ht="22.5" customHeight="1" x14ac:dyDescent="0.5">
      <c r="A71" s="446">
        <v>5</v>
      </c>
      <c r="B71" s="290" t="s">
        <v>456</v>
      </c>
      <c r="C71" s="63" t="s">
        <v>457</v>
      </c>
      <c r="D71" s="703"/>
      <c r="E71" s="69" t="s">
        <v>668</v>
      </c>
      <c r="F71" s="70"/>
      <c r="G71" s="387">
        <v>1064.44</v>
      </c>
    </row>
    <row r="72" spans="1:11" ht="22.5" customHeight="1" x14ac:dyDescent="0.5">
      <c r="A72" s="446">
        <v>6</v>
      </c>
      <c r="B72" s="290" t="s">
        <v>463</v>
      </c>
      <c r="C72" s="63" t="s">
        <v>464</v>
      </c>
      <c r="D72" s="703"/>
      <c r="E72" s="69" t="s">
        <v>668</v>
      </c>
      <c r="F72" s="70"/>
      <c r="G72" s="387">
        <v>1064.44</v>
      </c>
    </row>
    <row r="73" spans="1:11" ht="22.5" customHeight="1" x14ac:dyDescent="0.5">
      <c r="A73" s="446">
        <v>7</v>
      </c>
      <c r="B73" s="290" t="s">
        <v>493</v>
      </c>
      <c r="C73" s="25" t="s">
        <v>494</v>
      </c>
      <c r="D73" s="698"/>
      <c r="E73" s="69" t="s">
        <v>668</v>
      </c>
      <c r="F73" s="34"/>
      <c r="G73" s="387">
        <v>2061.84</v>
      </c>
    </row>
    <row r="74" spans="1:11" ht="22.5" customHeight="1" x14ac:dyDescent="0.5">
      <c r="A74" s="446">
        <v>8</v>
      </c>
      <c r="B74" s="290" t="s">
        <v>495</v>
      </c>
      <c r="C74" s="25" t="s">
        <v>496</v>
      </c>
      <c r="D74" s="698"/>
      <c r="E74" s="69" t="s">
        <v>668</v>
      </c>
      <c r="F74" s="34"/>
      <c r="G74" s="387">
        <v>20595.900000000001</v>
      </c>
    </row>
    <row r="75" spans="1:11" s="60" customFormat="1" ht="22.5" customHeight="1" thickBot="1" x14ac:dyDescent="0.35">
      <c r="A75" s="362"/>
      <c r="B75" s="362" t="s">
        <v>15</v>
      </c>
      <c r="C75" s="455"/>
      <c r="D75" s="713"/>
      <c r="E75" s="362"/>
      <c r="F75" s="363"/>
      <c r="G75" s="364">
        <v>48918.16</v>
      </c>
      <c r="I75" s="683">
        <f>SUM(G67:G74)</f>
        <v>48918.16</v>
      </c>
    </row>
    <row r="76" spans="1:11" s="60" customFormat="1" ht="22.5" customHeight="1" thickTop="1" thickBot="1" x14ac:dyDescent="0.35">
      <c r="A76" s="459"/>
      <c r="B76" s="460" t="s">
        <v>497</v>
      </c>
      <c r="C76" s="461"/>
      <c r="D76" s="716"/>
      <c r="E76" s="462">
        <v>577576</v>
      </c>
      <c r="F76" s="462">
        <v>0</v>
      </c>
      <c r="G76" s="462">
        <v>358576.61</v>
      </c>
      <c r="J76" s="730">
        <f>SUM(I10:I75)</f>
        <v>358576.61</v>
      </c>
      <c r="K76" s="60" t="s">
        <v>670</v>
      </c>
    </row>
    <row r="77" spans="1:11" ht="22.5" customHeight="1" thickTop="1" x14ac:dyDescent="0.3">
      <c r="E77" s="3"/>
      <c r="F77" s="470"/>
      <c r="G77" s="472"/>
    </row>
    <row r="78" spans="1:11" ht="22.5" customHeight="1" x14ac:dyDescent="0.3">
      <c r="A78" s="1123" t="s">
        <v>498</v>
      </c>
      <c r="B78" s="1124"/>
      <c r="C78" s="1124"/>
      <c r="D78" s="1124"/>
      <c r="E78" s="1124"/>
      <c r="F78" s="1124"/>
      <c r="G78" s="1125"/>
      <c r="H78" s="2"/>
    </row>
    <row r="79" spans="1:11" ht="22.5" customHeight="1" x14ac:dyDescent="0.3">
      <c r="A79" s="115"/>
      <c r="B79" s="164" t="s">
        <v>499</v>
      </c>
      <c r="C79" s="165"/>
      <c r="D79" s="694"/>
      <c r="E79" s="117"/>
      <c r="F79" s="118"/>
      <c r="G79" s="370"/>
      <c r="H79" s="2"/>
    </row>
    <row r="80" spans="1:11" ht="22.5" customHeight="1" x14ac:dyDescent="0.3">
      <c r="A80" s="475">
        <v>1</v>
      </c>
      <c r="B80" s="476" t="s">
        <v>500</v>
      </c>
      <c r="C80" s="477" t="s">
        <v>501</v>
      </c>
      <c r="D80" s="717"/>
      <c r="E80" s="484"/>
      <c r="F80" s="485"/>
      <c r="G80" s="487">
        <v>325409.68</v>
      </c>
      <c r="H80" s="2"/>
    </row>
    <row r="81" spans="1:11" ht="22.5" customHeight="1" x14ac:dyDescent="0.3">
      <c r="A81" s="488"/>
      <c r="B81" s="489" t="s">
        <v>503</v>
      </c>
      <c r="C81" s="490"/>
      <c r="D81" s="697"/>
      <c r="E81" s="484"/>
      <c r="F81" s="494"/>
      <c r="G81" s="487"/>
      <c r="H81" s="2"/>
    </row>
    <row r="82" spans="1:11" ht="22.5" customHeight="1" x14ac:dyDescent="0.3">
      <c r="A82" s="475">
        <v>2</v>
      </c>
      <c r="B82" s="476" t="s">
        <v>504</v>
      </c>
      <c r="C82" s="477" t="s">
        <v>415</v>
      </c>
      <c r="D82" s="717"/>
      <c r="E82" s="484"/>
      <c r="F82" s="494"/>
      <c r="G82" s="497">
        <v>74600.88</v>
      </c>
      <c r="H82" s="2"/>
    </row>
    <row r="83" spans="1:11" ht="22.5" customHeight="1" x14ac:dyDescent="0.3">
      <c r="A83" s="475"/>
      <c r="B83" s="489" t="s">
        <v>505</v>
      </c>
      <c r="C83" s="498"/>
      <c r="D83" s="698"/>
      <c r="E83" s="484"/>
      <c r="F83" s="494"/>
      <c r="G83" s="497"/>
      <c r="H83" s="2"/>
    </row>
    <row r="84" spans="1:11" ht="22.5" customHeight="1" x14ac:dyDescent="0.3">
      <c r="A84" s="502">
        <v>3</v>
      </c>
      <c r="B84" s="503" t="s">
        <v>506</v>
      </c>
      <c r="C84" s="504" t="s">
        <v>507</v>
      </c>
      <c r="D84" s="718"/>
      <c r="E84" s="509"/>
      <c r="F84" s="510"/>
      <c r="G84" s="513">
        <v>32500</v>
      </c>
      <c r="H84" s="2"/>
    </row>
    <row r="85" spans="1:11" ht="22.5" customHeight="1" x14ac:dyDescent="0.3">
      <c r="A85" s="488"/>
      <c r="B85" s="489" t="s">
        <v>508</v>
      </c>
      <c r="C85" s="514"/>
      <c r="D85" s="699"/>
      <c r="E85" s="520"/>
      <c r="F85" s="521"/>
      <c r="G85" s="524"/>
    </row>
    <row r="86" spans="1:11" ht="22.5" customHeight="1" x14ac:dyDescent="0.3">
      <c r="A86" s="488">
        <v>4</v>
      </c>
      <c r="B86" s="525" t="s">
        <v>509</v>
      </c>
      <c r="C86" s="526" t="s">
        <v>510</v>
      </c>
      <c r="D86" s="719"/>
      <c r="E86" s="521"/>
      <c r="F86" s="529"/>
      <c r="G86" s="532">
        <v>796450.4</v>
      </c>
    </row>
    <row r="87" spans="1:11" ht="22.5" customHeight="1" x14ac:dyDescent="0.3">
      <c r="A87" s="533"/>
      <c r="B87" s="534" t="s">
        <v>509</v>
      </c>
      <c r="C87" s="535" t="s">
        <v>511</v>
      </c>
      <c r="D87" s="720"/>
      <c r="E87" s="543"/>
      <c r="F87" s="544"/>
      <c r="G87" s="547">
        <v>93330</v>
      </c>
    </row>
    <row r="88" spans="1:11" s="60" customFormat="1" ht="22.5" customHeight="1" thickBot="1" x14ac:dyDescent="0.35">
      <c r="A88" s="548"/>
      <c r="B88" s="548" t="s">
        <v>15</v>
      </c>
      <c r="C88" s="549"/>
      <c r="D88" s="721"/>
      <c r="E88" s="555"/>
      <c r="F88" s="556"/>
      <c r="G88" s="558">
        <v>1322290.96</v>
      </c>
      <c r="H88" s="59"/>
      <c r="I88" s="683">
        <f>SUM(G80:G87)</f>
        <v>1322290.96</v>
      </c>
    </row>
    <row r="89" spans="1:11" ht="22.5" customHeight="1" thickTop="1" x14ac:dyDescent="0.3">
      <c r="A89" s="559"/>
      <c r="B89" s="560" t="s">
        <v>92</v>
      </c>
      <c r="C89" s="561"/>
      <c r="D89" s="722"/>
      <c r="E89" s="567"/>
      <c r="F89" s="568"/>
      <c r="G89" s="570"/>
      <c r="H89" s="2"/>
    </row>
    <row r="90" spans="1:11" ht="22.5" customHeight="1" x14ac:dyDescent="0.3">
      <c r="A90" s="23">
        <v>1</v>
      </c>
      <c r="B90" s="73" t="s">
        <v>512</v>
      </c>
      <c r="C90" s="25" t="s">
        <v>97</v>
      </c>
      <c r="D90" s="698"/>
      <c r="E90" s="41" t="s">
        <v>513</v>
      </c>
      <c r="F90" s="34" t="s">
        <v>514</v>
      </c>
      <c r="G90" s="36">
        <v>10499.9956</v>
      </c>
      <c r="H90" s="2"/>
    </row>
    <row r="91" spans="1:11" s="60" customFormat="1" ht="22.5" customHeight="1" thickBot="1" x14ac:dyDescent="0.35">
      <c r="A91" s="548"/>
      <c r="B91" s="548" t="s">
        <v>15</v>
      </c>
      <c r="C91" s="549"/>
      <c r="D91" s="721"/>
      <c r="E91" s="548"/>
      <c r="F91" s="552"/>
      <c r="G91" s="558">
        <v>10499.9956</v>
      </c>
      <c r="H91" s="59"/>
      <c r="I91" s="683">
        <f>SUM(G90)</f>
        <v>10499.9956</v>
      </c>
    </row>
    <row r="92" spans="1:11" s="60" customFormat="1" ht="22.5" customHeight="1" thickTop="1" thickBot="1" x14ac:dyDescent="0.35">
      <c r="A92" s="572"/>
      <c r="B92" s="572" t="s">
        <v>515</v>
      </c>
      <c r="C92" s="573"/>
      <c r="D92" s="723"/>
      <c r="E92" s="580"/>
      <c r="F92" s="581"/>
      <c r="G92" s="583">
        <v>1332790.9556</v>
      </c>
      <c r="H92" s="59"/>
      <c r="J92" s="730">
        <f>SUM(I88:I91)</f>
        <v>1332790.9556</v>
      </c>
      <c r="K92" s="60" t="s">
        <v>671</v>
      </c>
    </row>
    <row r="93" spans="1:11" ht="22.5" customHeight="1" thickTop="1" x14ac:dyDescent="0.3">
      <c r="E93" s="470"/>
      <c r="F93" s="586"/>
      <c r="G93" s="472"/>
      <c r="H93" s="2"/>
    </row>
    <row r="94" spans="1:11" s="589" customFormat="1" ht="20.399999999999999" x14ac:dyDescent="0.5">
      <c r="A94" s="1126" t="s">
        <v>516</v>
      </c>
      <c r="B94" s="1127"/>
      <c r="C94" s="1127"/>
      <c r="D94" s="1127"/>
      <c r="E94" s="1127"/>
      <c r="F94" s="1127"/>
      <c r="G94" s="1127"/>
      <c r="H94" s="587"/>
      <c r="I94" s="587"/>
      <c r="J94" s="588"/>
    </row>
    <row r="95" spans="1:11" s="599" customFormat="1" x14ac:dyDescent="0.6">
      <c r="A95" s="601">
        <v>2</v>
      </c>
      <c r="B95" s="602" t="s">
        <v>519</v>
      </c>
      <c r="C95" s="602" t="s">
        <v>520</v>
      </c>
      <c r="D95" s="724"/>
      <c r="E95" s="604"/>
      <c r="F95" s="605"/>
      <c r="G95" s="609">
        <v>54000</v>
      </c>
      <c r="J95" s="600"/>
    </row>
    <row r="96" spans="1:11" s="599" customFormat="1" ht="24" thickBot="1" x14ac:dyDescent="0.65">
      <c r="A96" s="619"/>
      <c r="B96" s="620" t="s">
        <v>523</v>
      </c>
      <c r="C96" s="621"/>
      <c r="D96" s="725"/>
      <c r="E96" s="623"/>
      <c r="F96" s="624"/>
      <c r="G96" s="626">
        <v>54000</v>
      </c>
      <c r="H96" s="627"/>
      <c r="I96" s="731">
        <f>SUM(G95)</f>
        <v>54000</v>
      </c>
      <c r="J96" s="692">
        <f>SUM(I96)</f>
        <v>54000</v>
      </c>
      <c r="K96" s="599" t="s">
        <v>516</v>
      </c>
    </row>
    <row r="97" spans="1:11" s="636" customFormat="1" ht="24" thickTop="1" x14ac:dyDescent="0.6">
      <c r="A97" s="628"/>
      <c r="B97" s="629"/>
      <c r="C97" s="630"/>
      <c r="D97" s="726"/>
      <c r="E97" s="632"/>
      <c r="F97" s="633"/>
      <c r="G97" s="635"/>
      <c r="J97" s="637"/>
    </row>
    <row r="98" spans="1:11" s="636" customFormat="1" x14ac:dyDescent="0.6">
      <c r="A98" s="1128" t="s">
        <v>524</v>
      </c>
      <c r="B98" s="1128"/>
      <c r="C98" s="1128"/>
      <c r="D98" s="1128"/>
      <c r="E98" s="1128"/>
      <c r="F98" s="1128"/>
      <c r="G98" s="1128"/>
      <c r="J98" s="637"/>
    </row>
    <row r="99" spans="1:11" s="599" customFormat="1" x14ac:dyDescent="0.6">
      <c r="A99" s="638">
        <v>1</v>
      </c>
      <c r="B99" s="639" t="s">
        <v>519</v>
      </c>
      <c r="C99" s="639" t="s">
        <v>518</v>
      </c>
      <c r="D99" s="727"/>
      <c r="E99" s="641" t="s">
        <v>527</v>
      </c>
      <c r="F99" s="642" t="s">
        <v>528</v>
      </c>
      <c r="G99" s="643">
        <v>61600</v>
      </c>
      <c r="J99" s="600"/>
    </row>
    <row r="100" spans="1:11" s="599" customFormat="1" x14ac:dyDescent="0.6">
      <c r="A100" s="646">
        <v>2</v>
      </c>
      <c r="B100" s="647" t="s">
        <v>521</v>
      </c>
      <c r="C100" s="647" t="s">
        <v>522</v>
      </c>
      <c r="D100" s="728">
        <v>1482.35</v>
      </c>
      <c r="E100" s="652"/>
      <c r="F100" s="373"/>
      <c r="G100" s="643"/>
      <c r="J100" s="600"/>
    </row>
    <row r="101" spans="1:11" s="599" customFormat="1" ht="24" thickBot="1" x14ac:dyDescent="0.65">
      <c r="A101" s="619"/>
      <c r="B101" s="620" t="s">
        <v>535</v>
      </c>
      <c r="C101" s="621"/>
      <c r="D101" s="725"/>
      <c r="E101" s="625"/>
      <c r="F101" s="625"/>
      <c r="G101" s="625">
        <v>61600</v>
      </c>
      <c r="I101" s="731">
        <f>SUM(G99)</f>
        <v>61600</v>
      </c>
      <c r="J101" s="692">
        <f>SUM(I101)</f>
        <v>61600</v>
      </c>
      <c r="K101" s="599" t="s">
        <v>672</v>
      </c>
    </row>
    <row r="102" spans="1:11" ht="22.5" customHeight="1" thickTop="1" x14ac:dyDescent="0.3">
      <c r="E102" s="470"/>
      <c r="F102" s="586"/>
      <c r="G102" s="472"/>
      <c r="H102" s="2"/>
    </row>
    <row r="103" spans="1:11" ht="22.5" customHeight="1" thickBot="1" x14ac:dyDescent="0.35">
      <c r="E103" s="470"/>
      <c r="F103" s="586"/>
      <c r="G103" s="658">
        <v>1806967.5655999999</v>
      </c>
      <c r="H103" s="2"/>
      <c r="J103" s="732">
        <f>SUM(J76:J101)</f>
        <v>1806967.5655999999</v>
      </c>
      <c r="K103" s="3" t="s">
        <v>673</v>
      </c>
    </row>
    <row r="104" spans="1:11" ht="22.5" customHeight="1" thickTop="1" x14ac:dyDescent="0.5">
      <c r="B104" s="587" t="s">
        <v>537</v>
      </c>
      <c r="C104" s="587"/>
      <c r="D104" s="729"/>
      <c r="E104" s="3"/>
      <c r="F104" s="470"/>
      <c r="G104" s="472"/>
    </row>
    <row r="105" spans="1:11" x14ac:dyDescent="0.5">
      <c r="B105" s="1129" t="s">
        <v>538</v>
      </c>
      <c r="C105" s="1129"/>
      <c r="D105" s="729"/>
      <c r="E105" s="3"/>
      <c r="F105" s="470"/>
      <c r="G105" s="472"/>
    </row>
    <row r="106" spans="1:11" x14ac:dyDescent="0.5">
      <c r="B106" s="1129" t="s">
        <v>539</v>
      </c>
      <c r="C106" s="1129"/>
      <c r="D106" s="729"/>
      <c r="E106" s="3"/>
      <c r="F106" s="470"/>
      <c r="G106" s="472"/>
    </row>
    <row r="107" spans="1:11" x14ac:dyDescent="0.3">
      <c r="E107" s="3"/>
      <c r="F107" s="470"/>
      <c r="G107" s="472"/>
    </row>
    <row r="108" spans="1:11" x14ac:dyDescent="0.3">
      <c r="E108" s="3"/>
      <c r="F108" s="470"/>
      <c r="G108" s="472"/>
    </row>
    <row r="109" spans="1:11" x14ac:dyDescent="0.3">
      <c r="E109" s="3"/>
      <c r="F109" s="470"/>
      <c r="G109" s="472"/>
    </row>
    <row r="110" spans="1:11" x14ac:dyDescent="0.3">
      <c r="E110" s="3"/>
      <c r="F110" s="470"/>
      <c r="G110" s="472"/>
    </row>
    <row r="111" spans="1:11" x14ac:dyDescent="0.3">
      <c r="E111" s="3"/>
      <c r="F111" s="470"/>
      <c r="G111" s="472"/>
    </row>
    <row r="112" spans="1:11" x14ac:dyDescent="0.3">
      <c r="E112" s="3"/>
      <c r="F112" s="470"/>
      <c r="G112" s="472"/>
    </row>
    <row r="113" spans="5:7" x14ac:dyDescent="0.3">
      <c r="E113" s="3"/>
      <c r="F113" s="470"/>
      <c r="G113" s="472"/>
    </row>
  </sheetData>
  <mergeCells count="14">
    <mergeCell ref="E5:E6"/>
    <mergeCell ref="F5:F6"/>
    <mergeCell ref="A1:G1"/>
    <mergeCell ref="A2:G2"/>
    <mergeCell ref="A3:G3"/>
    <mergeCell ref="A4:A6"/>
    <mergeCell ref="B4:B6"/>
    <mergeCell ref="C4:C6"/>
    <mergeCell ref="E4:G4"/>
    <mergeCell ref="A78:G78"/>
    <mergeCell ref="A94:G94"/>
    <mergeCell ref="A98:G98"/>
    <mergeCell ref="B105:C105"/>
    <mergeCell ref="B106:C106"/>
  </mergeCells>
  <phoneticPr fontId="28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AD3-3E3D-4D25-816B-0959AF8ECE8C}">
  <sheetPr codeName="Sheet5">
    <tabColor rgb="FF92D050"/>
  </sheetPr>
  <dimension ref="A1:J110"/>
  <sheetViews>
    <sheetView zoomScale="70" zoomScaleNormal="70" workbookViewId="0">
      <pane ySplit="6" topLeftCell="A56" activePane="bottomLeft" state="frozen"/>
      <selection pane="bottomLeft" activeCell="B71" sqref="B71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5546875" style="662" customWidth="1"/>
    <col min="5" max="5" width="8" style="663" customWidth="1"/>
    <col min="6" max="6" width="16.5546875" style="665" customWidth="1"/>
    <col min="7" max="7" width="12.77734375" style="3" customWidth="1"/>
    <col min="8" max="16384" width="27.109375" style="3"/>
  </cols>
  <sheetData>
    <row r="1" spans="1:7" ht="22.5" customHeight="1" x14ac:dyDescent="0.3">
      <c r="A1" s="1108" t="s">
        <v>0</v>
      </c>
      <c r="B1" s="1109"/>
      <c r="C1" s="1109"/>
      <c r="D1" s="1109"/>
      <c r="E1" s="1109"/>
      <c r="F1" s="1109"/>
      <c r="G1" s="2"/>
    </row>
    <row r="2" spans="1:7" ht="22.5" customHeight="1" x14ac:dyDescent="0.3">
      <c r="A2" s="1108" t="s">
        <v>1</v>
      </c>
      <c r="B2" s="1109"/>
      <c r="C2" s="1109"/>
      <c r="D2" s="1109"/>
      <c r="E2" s="1109"/>
      <c r="F2" s="1109"/>
      <c r="G2" s="2"/>
    </row>
    <row r="3" spans="1:7" ht="22.5" customHeight="1" x14ac:dyDescent="0.3">
      <c r="A3" s="1110" t="s">
        <v>540</v>
      </c>
      <c r="B3" s="1111"/>
      <c r="C3" s="1111"/>
      <c r="D3" s="1111"/>
      <c r="E3" s="1111"/>
      <c r="F3" s="1111"/>
      <c r="G3" s="2"/>
    </row>
    <row r="4" spans="1:7" ht="22.5" customHeight="1" x14ac:dyDescent="0.3">
      <c r="A4" s="1112" t="s">
        <v>3</v>
      </c>
      <c r="B4" s="1112" t="s">
        <v>4</v>
      </c>
      <c r="C4" s="1115" t="s">
        <v>5</v>
      </c>
      <c r="D4" s="1118" t="s">
        <v>9</v>
      </c>
      <c r="E4" s="1140"/>
      <c r="F4" s="1120"/>
      <c r="G4" s="2"/>
    </row>
    <row r="5" spans="1:7" ht="22.5" customHeight="1" x14ac:dyDescent="0.3">
      <c r="A5" s="1113"/>
      <c r="B5" s="1113"/>
      <c r="C5" s="1116"/>
      <c r="D5" s="1121" t="s">
        <v>10</v>
      </c>
      <c r="E5" s="1138" t="s">
        <v>11</v>
      </c>
      <c r="F5" s="667"/>
      <c r="G5" s="2"/>
    </row>
    <row r="6" spans="1:7" ht="22.5" customHeight="1" x14ac:dyDescent="0.3">
      <c r="A6" s="1114"/>
      <c r="B6" s="1114"/>
      <c r="C6" s="1117"/>
      <c r="D6" s="1122"/>
      <c r="E6" s="1139"/>
      <c r="F6" s="10" t="s">
        <v>15</v>
      </c>
      <c r="G6" s="2"/>
    </row>
    <row r="7" spans="1:7" ht="22.5" customHeight="1" x14ac:dyDescent="0.3">
      <c r="A7" s="4"/>
      <c r="B7" s="3" t="s">
        <v>677</v>
      </c>
      <c r="C7" s="668"/>
      <c r="D7" s="784"/>
      <c r="E7" s="117"/>
      <c r="F7" s="173"/>
      <c r="G7" s="2"/>
    </row>
    <row r="8" spans="1:7" ht="22.5" customHeight="1" x14ac:dyDescent="0.5">
      <c r="A8" s="23">
        <v>1</v>
      </c>
      <c r="B8" s="24" t="s">
        <v>27</v>
      </c>
      <c r="C8" s="25" t="s">
        <v>28</v>
      </c>
      <c r="D8" s="41" t="s">
        <v>559</v>
      </c>
      <c r="E8" s="34" t="s">
        <v>33</v>
      </c>
      <c r="F8" s="36">
        <v>802.5</v>
      </c>
      <c r="G8" s="2"/>
    </row>
    <row r="9" spans="1:7" ht="22.5" customHeight="1" x14ac:dyDescent="0.3">
      <c r="A9" s="23">
        <v>2</v>
      </c>
      <c r="B9" s="735" t="s">
        <v>45</v>
      </c>
      <c r="C9" s="25" t="s">
        <v>46</v>
      </c>
      <c r="D9" s="33">
        <v>25112</v>
      </c>
      <c r="E9" s="34" t="s">
        <v>33</v>
      </c>
      <c r="F9" s="340">
        <v>1155.5999999999999</v>
      </c>
      <c r="G9" s="47"/>
    </row>
    <row r="10" spans="1:7" ht="22.5" customHeight="1" x14ac:dyDescent="0.5">
      <c r="A10" s="23">
        <v>3</v>
      </c>
      <c r="B10" s="73" t="s">
        <v>240</v>
      </c>
      <c r="C10" s="25" t="s">
        <v>241</v>
      </c>
      <c r="D10" s="733" t="s">
        <v>559</v>
      </c>
      <c r="E10" s="748" t="s">
        <v>33</v>
      </c>
      <c r="F10" s="36">
        <v>15750</v>
      </c>
      <c r="G10" s="2"/>
    </row>
    <row r="11" spans="1:7" ht="22.5" customHeight="1" x14ac:dyDescent="0.5">
      <c r="A11" s="23">
        <v>4</v>
      </c>
      <c r="B11" s="290" t="s">
        <v>389</v>
      </c>
      <c r="C11" s="25" t="s">
        <v>390</v>
      </c>
      <c r="D11" s="746">
        <v>25112</v>
      </c>
      <c r="E11" s="748" t="s">
        <v>33</v>
      </c>
      <c r="F11" s="409">
        <v>3150</v>
      </c>
      <c r="G11" s="2"/>
    </row>
    <row r="12" spans="1:7" ht="22.5" customHeight="1" x14ac:dyDescent="0.5">
      <c r="A12" s="23">
        <v>5</v>
      </c>
      <c r="B12" s="739" t="s">
        <v>30</v>
      </c>
      <c r="C12" s="25" t="s">
        <v>31</v>
      </c>
      <c r="D12" s="33">
        <v>25112</v>
      </c>
      <c r="E12" s="70" t="s">
        <v>33</v>
      </c>
      <c r="F12" s="36">
        <v>1348.2</v>
      </c>
      <c r="G12" s="2"/>
    </row>
    <row r="13" spans="1:7" s="88" customFormat="1" ht="22.5" customHeight="1" x14ac:dyDescent="0.3">
      <c r="A13" s="23">
        <v>6</v>
      </c>
      <c r="B13" s="78" t="s">
        <v>48</v>
      </c>
      <c r="C13" s="165" t="s">
        <v>49</v>
      </c>
      <c r="D13" s="747">
        <v>25112</v>
      </c>
      <c r="E13" s="70" t="s">
        <v>33</v>
      </c>
      <c r="F13" s="36">
        <v>3177.8999999999987</v>
      </c>
      <c r="G13" s="87"/>
    </row>
    <row r="14" spans="1:7" ht="22.5" customHeight="1" x14ac:dyDescent="0.5">
      <c r="A14" s="23">
        <v>7</v>
      </c>
      <c r="B14" s="73" t="s">
        <v>96</v>
      </c>
      <c r="C14" s="25" t="s">
        <v>97</v>
      </c>
      <c r="D14" s="215">
        <v>25112</v>
      </c>
      <c r="E14" s="216" t="s">
        <v>33</v>
      </c>
      <c r="F14" s="217">
        <v>3862.6999999999962</v>
      </c>
      <c r="G14" s="2"/>
    </row>
    <row r="15" spans="1:7" ht="22.5" customHeight="1" x14ac:dyDescent="0.5">
      <c r="A15" s="23">
        <v>8</v>
      </c>
      <c r="B15" s="73" t="s">
        <v>240</v>
      </c>
      <c r="C15" s="25" t="s">
        <v>242</v>
      </c>
      <c r="D15" s="297" t="s">
        <v>559</v>
      </c>
      <c r="E15" s="216" t="s">
        <v>33</v>
      </c>
      <c r="F15" s="36">
        <v>6300</v>
      </c>
      <c r="G15" s="2"/>
    </row>
    <row r="16" spans="1:7" ht="22.5" customHeight="1" x14ac:dyDescent="0.5">
      <c r="A16" s="23">
        <v>9</v>
      </c>
      <c r="B16" s="209" t="s">
        <v>250</v>
      </c>
      <c r="C16" s="210" t="s">
        <v>251</v>
      </c>
      <c r="D16" s="215" t="s">
        <v>559</v>
      </c>
      <c r="E16" s="216" t="s">
        <v>33</v>
      </c>
      <c r="F16" s="36">
        <v>6300</v>
      </c>
      <c r="G16" s="2"/>
    </row>
    <row r="17" spans="1:7" ht="22.5" customHeight="1" x14ac:dyDescent="0.3">
      <c r="A17" s="23">
        <v>10</v>
      </c>
      <c r="B17" s="310" t="s">
        <v>62</v>
      </c>
      <c r="C17" s="90" t="s">
        <v>28</v>
      </c>
      <c r="D17" s="744" t="s">
        <v>559</v>
      </c>
      <c r="E17" s="749" t="s">
        <v>33</v>
      </c>
      <c r="F17" s="36">
        <v>856</v>
      </c>
      <c r="G17" s="2"/>
    </row>
    <row r="18" spans="1:7" ht="22.5" customHeight="1" x14ac:dyDescent="0.5">
      <c r="A18" s="23">
        <v>11</v>
      </c>
      <c r="B18" s="73" t="s">
        <v>253</v>
      </c>
      <c r="C18" s="25" t="s">
        <v>254</v>
      </c>
      <c r="D18" s="215" t="s">
        <v>559</v>
      </c>
      <c r="E18" s="216" t="s">
        <v>33</v>
      </c>
      <c r="F18" s="36">
        <v>9450</v>
      </c>
      <c r="G18" s="2"/>
    </row>
    <row r="19" spans="1:7" ht="22.5" customHeight="1" x14ac:dyDescent="0.5">
      <c r="A19" s="23">
        <v>12</v>
      </c>
      <c r="B19" s="73" t="s">
        <v>105</v>
      </c>
      <c r="C19" s="25" t="s">
        <v>97</v>
      </c>
      <c r="D19" s="215">
        <v>25112</v>
      </c>
      <c r="E19" s="216" t="s">
        <v>33</v>
      </c>
      <c r="F19" s="217">
        <v>13300.1</v>
      </c>
      <c r="G19" s="2"/>
    </row>
    <row r="20" spans="1:7" ht="22.5" customHeight="1" x14ac:dyDescent="0.5">
      <c r="A20" s="23">
        <v>13</v>
      </c>
      <c r="B20" s="78" t="s">
        <v>281</v>
      </c>
      <c r="C20" s="25" t="s">
        <v>282</v>
      </c>
      <c r="D20" s="215">
        <v>25112</v>
      </c>
      <c r="E20" s="216" t="s">
        <v>33</v>
      </c>
      <c r="F20" s="36">
        <v>5600</v>
      </c>
      <c r="G20" s="2"/>
    </row>
    <row r="21" spans="1:7" ht="22.5" customHeight="1" x14ac:dyDescent="0.5">
      <c r="A21" s="23">
        <v>14</v>
      </c>
      <c r="B21" s="78" t="s">
        <v>107</v>
      </c>
      <c r="C21" s="25" t="s">
        <v>97</v>
      </c>
      <c r="D21" s="215">
        <v>25112</v>
      </c>
      <c r="E21" s="216" t="s">
        <v>33</v>
      </c>
      <c r="F21" s="217">
        <v>535</v>
      </c>
      <c r="G21" s="2"/>
    </row>
    <row r="22" spans="1:7" ht="22.5" customHeight="1" x14ac:dyDescent="0.5">
      <c r="A22" s="23">
        <v>15</v>
      </c>
      <c r="B22" s="240" t="s">
        <v>300</v>
      </c>
      <c r="C22" s="238" t="s">
        <v>301</v>
      </c>
      <c r="D22" s="215">
        <v>25112</v>
      </c>
      <c r="E22" s="216" t="s">
        <v>33</v>
      </c>
      <c r="F22" s="36">
        <v>5600</v>
      </c>
      <c r="G22" s="2"/>
    </row>
    <row r="23" spans="1:7" s="229" customFormat="1" ht="22.5" customHeight="1" x14ac:dyDescent="0.5">
      <c r="A23" s="23">
        <v>16</v>
      </c>
      <c r="B23" s="240" t="s">
        <v>303</v>
      </c>
      <c r="C23" s="83" t="s">
        <v>304</v>
      </c>
      <c r="D23" s="215">
        <v>25112</v>
      </c>
      <c r="E23" s="216" t="s">
        <v>33</v>
      </c>
      <c r="F23" s="36">
        <v>2800</v>
      </c>
      <c r="G23" s="47"/>
    </row>
    <row r="24" spans="1:7" ht="22.5" customHeight="1" x14ac:dyDescent="0.5">
      <c r="A24" s="23">
        <v>17</v>
      </c>
      <c r="B24" s="78" t="s">
        <v>110</v>
      </c>
      <c r="C24" s="81" t="s">
        <v>87</v>
      </c>
      <c r="D24" s="215">
        <v>25112</v>
      </c>
      <c r="E24" s="216" t="s">
        <v>33</v>
      </c>
      <c r="F24" s="217">
        <v>9469.5</v>
      </c>
      <c r="G24" s="2"/>
    </row>
    <row r="25" spans="1:7" ht="22.5" customHeight="1" x14ac:dyDescent="0.5">
      <c r="A25" s="23">
        <v>18</v>
      </c>
      <c r="B25" s="78" t="s">
        <v>308</v>
      </c>
      <c r="C25" s="81" t="s">
        <v>309</v>
      </c>
      <c r="D25" s="215">
        <v>25112</v>
      </c>
      <c r="E25" s="216" t="s">
        <v>33</v>
      </c>
      <c r="F25" s="36">
        <v>8400</v>
      </c>
      <c r="G25" s="2"/>
    </row>
    <row r="26" spans="1:7" ht="22.5" customHeight="1" x14ac:dyDescent="0.5">
      <c r="A26" s="23">
        <v>19</v>
      </c>
      <c r="B26" s="73" t="s">
        <v>112</v>
      </c>
      <c r="C26" s="25" t="s">
        <v>113</v>
      </c>
      <c r="D26" s="215">
        <v>25112</v>
      </c>
      <c r="E26" s="216" t="s">
        <v>33</v>
      </c>
      <c r="F26" s="217">
        <v>1048.6000000000004</v>
      </c>
      <c r="G26" s="2"/>
    </row>
    <row r="27" spans="1:7" ht="22.5" customHeight="1" x14ac:dyDescent="0.5">
      <c r="A27" s="23">
        <v>20</v>
      </c>
      <c r="B27" s="737" t="s">
        <v>313</v>
      </c>
      <c r="C27" s="742" t="s">
        <v>314</v>
      </c>
      <c r="D27" s="215">
        <v>25112</v>
      </c>
      <c r="E27" s="216" t="s">
        <v>33</v>
      </c>
      <c r="F27" s="36">
        <v>2800</v>
      </c>
      <c r="G27" s="2"/>
    </row>
    <row r="28" spans="1:7" ht="22.5" customHeight="1" x14ac:dyDescent="0.5">
      <c r="A28" s="23">
        <v>21</v>
      </c>
      <c r="B28" s="754" t="s">
        <v>344</v>
      </c>
      <c r="C28" s="25" t="s">
        <v>345</v>
      </c>
      <c r="D28" s="744" t="s">
        <v>559</v>
      </c>
      <c r="E28" s="749" t="s">
        <v>33</v>
      </c>
      <c r="F28" s="36">
        <v>21986</v>
      </c>
      <c r="G28" s="2"/>
    </row>
    <row r="29" spans="1:7" ht="22.5" customHeight="1" x14ac:dyDescent="0.5">
      <c r="A29" s="23">
        <v>22</v>
      </c>
      <c r="B29" s="290" t="s">
        <v>353</v>
      </c>
      <c r="C29" s="371" t="s">
        <v>354</v>
      </c>
      <c r="D29" s="215">
        <v>25112</v>
      </c>
      <c r="E29" s="216" t="s">
        <v>33</v>
      </c>
      <c r="F29" s="36">
        <v>11000</v>
      </c>
      <c r="G29" s="2"/>
    </row>
    <row r="30" spans="1:7" ht="22.5" customHeight="1" x14ac:dyDescent="0.5">
      <c r="A30" s="23">
        <v>23</v>
      </c>
      <c r="B30" s="290" t="s">
        <v>355</v>
      </c>
      <c r="C30" s="371" t="s">
        <v>356</v>
      </c>
      <c r="D30" s="215">
        <v>25112</v>
      </c>
      <c r="E30" s="216" t="s">
        <v>33</v>
      </c>
      <c r="F30" s="36">
        <v>9400</v>
      </c>
      <c r="G30" s="2"/>
    </row>
    <row r="31" spans="1:7" ht="22.5" customHeight="1" x14ac:dyDescent="0.5">
      <c r="A31" s="23">
        <v>24</v>
      </c>
      <c r="B31" s="73" t="s">
        <v>129</v>
      </c>
      <c r="C31" s="210" t="s">
        <v>130</v>
      </c>
      <c r="D31" s="215">
        <v>25112</v>
      </c>
      <c r="E31" s="216" t="s">
        <v>33</v>
      </c>
      <c r="F31" s="217">
        <v>10860.499999999998</v>
      </c>
      <c r="G31" s="2"/>
    </row>
    <row r="32" spans="1:7" ht="22.5" customHeight="1" x14ac:dyDescent="0.5">
      <c r="A32" s="23">
        <v>25</v>
      </c>
      <c r="B32" s="290" t="s">
        <v>358</v>
      </c>
      <c r="C32" s="371" t="s">
        <v>356</v>
      </c>
      <c r="D32" s="215">
        <v>25112</v>
      </c>
      <c r="E32" s="216" t="s">
        <v>33</v>
      </c>
      <c r="F32" s="36">
        <v>9810</v>
      </c>
      <c r="G32" s="2"/>
    </row>
    <row r="33" spans="1:7" ht="22.5" customHeight="1" x14ac:dyDescent="0.5">
      <c r="A33" s="23">
        <v>26</v>
      </c>
      <c r="B33" s="73" t="s">
        <v>134</v>
      </c>
      <c r="C33" s="25" t="s">
        <v>135</v>
      </c>
      <c r="D33" s="215">
        <v>25112</v>
      </c>
      <c r="E33" s="216" t="s">
        <v>33</v>
      </c>
      <c r="F33" s="217">
        <v>5531.9</v>
      </c>
      <c r="G33" s="2"/>
    </row>
    <row r="34" spans="1:7" ht="22.5" customHeight="1" x14ac:dyDescent="0.5">
      <c r="A34" s="23">
        <v>27</v>
      </c>
      <c r="B34" s="489" t="s">
        <v>137</v>
      </c>
      <c r="C34" s="741"/>
      <c r="D34" s="215">
        <v>25112</v>
      </c>
      <c r="E34" s="216" t="s">
        <v>33</v>
      </c>
      <c r="F34" s="217">
        <v>2610.8000000000006</v>
      </c>
      <c r="G34" s="2"/>
    </row>
    <row r="35" spans="1:7" ht="22.5" customHeight="1" x14ac:dyDescent="0.3">
      <c r="A35" s="23">
        <v>28</v>
      </c>
      <c r="B35" s="73" t="s">
        <v>364</v>
      </c>
      <c r="C35" s="25" t="s">
        <v>365</v>
      </c>
      <c r="D35" s="759" t="s">
        <v>559</v>
      </c>
      <c r="E35" s="760" t="s">
        <v>33</v>
      </c>
      <c r="F35" s="36">
        <v>10000</v>
      </c>
      <c r="G35" s="2"/>
    </row>
    <row r="36" spans="1:7" ht="22.5" customHeight="1" x14ac:dyDescent="0.5">
      <c r="A36" s="23">
        <v>29</v>
      </c>
      <c r="B36" s="738" t="s">
        <v>162</v>
      </c>
      <c r="C36" s="756" t="s">
        <v>163</v>
      </c>
      <c r="D36" s="239">
        <v>25112</v>
      </c>
      <c r="E36" s="236" t="s">
        <v>33</v>
      </c>
      <c r="F36" s="217">
        <v>2236.2999999999975</v>
      </c>
      <c r="G36" s="2"/>
    </row>
    <row r="37" spans="1:7" ht="22.5" customHeight="1" x14ac:dyDescent="0.5">
      <c r="A37" s="23">
        <v>30</v>
      </c>
      <c r="B37" s="755" t="s">
        <v>165</v>
      </c>
      <c r="C37" s="758" t="s">
        <v>166</v>
      </c>
      <c r="D37" s="215">
        <v>25112</v>
      </c>
      <c r="E37" s="216" t="s">
        <v>33</v>
      </c>
      <c r="F37" s="217">
        <v>96.300000000000352</v>
      </c>
      <c r="G37" s="2"/>
    </row>
    <row r="38" spans="1:7" ht="22.5" customHeight="1" x14ac:dyDescent="0.5">
      <c r="A38" s="23">
        <v>31</v>
      </c>
      <c r="B38" s="753" t="s">
        <v>175</v>
      </c>
      <c r="C38" s="757" t="s">
        <v>176</v>
      </c>
      <c r="D38" s="215">
        <v>25112</v>
      </c>
      <c r="E38" s="216" t="s">
        <v>33</v>
      </c>
      <c r="F38" s="217">
        <v>609.89999999999907</v>
      </c>
      <c r="G38" s="2"/>
    </row>
    <row r="39" spans="1:7" ht="22.5" customHeight="1" x14ac:dyDescent="0.5">
      <c r="A39" s="23">
        <v>32</v>
      </c>
      <c r="B39" s="209" t="s">
        <v>181</v>
      </c>
      <c r="C39" s="210" t="s">
        <v>182</v>
      </c>
      <c r="D39" s="215">
        <v>25112</v>
      </c>
      <c r="E39" s="216" t="s">
        <v>33</v>
      </c>
      <c r="F39" s="217">
        <v>749</v>
      </c>
      <c r="G39" s="2"/>
    </row>
    <row r="40" spans="1:7" ht="22.5" customHeight="1" x14ac:dyDescent="0.5">
      <c r="A40" s="23">
        <v>33</v>
      </c>
      <c r="B40" s="209" t="s">
        <v>193</v>
      </c>
      <c r="C40" s="210" t="s">
        <v>194</v>
      </c>
      <c r="D40" s="215">
        <v>25112</v>
      </c>
      <c r="E40" s="216" t="s">
        <v>33</v>
      </c>
      <c r="F40" s="217">
        <v>2321.8999999999996</v>
      </c>
      <c r="G40" s="2"/>
    </row>
    <row r="41" spans="1:7" ht="22.5" customHeight="1" x14ac:dyDescent="0.5">
      <c r="A41" s="23">
        <v>34</v>
      </c>
      <c r="B41" s="209" t="s">
        <v>198</v>
      </c>
      <c r="C41" s="210" t="s">
        <v>46</v>
      </c>
      <c r="D41" s="215">
        <v>25112</v>
      </c>
      <c r="E41" s="216" t="s">
        <v>33</v>
      </c>
      <c r="F41" s="217">
        <v>374.49999999999932</v>
      </c>
      <c r="G41" s="218"/>
    </row>
    <row r="42" spans="1:7" ht="22.5" customHeight="1" x14ac:dyDescent="0.5">
      <c r="A42" s="23">
        <v>35</v>
      </c>
      <c r="B42" s="209" t="s">
        <v>200</v>
      </c>
      <c r="C42" s="210" t="s">
        <v>201</v>
      </c>
      <c r="D42" s="215">
        <v>25112</v>
      </c>
      <c r="E42" s="216" t="s">
        <v>33</v>
      </c>
      <c r="F42" s="217">
        <v>5114.5999999999985</v>
      </c>
    </row>
    <row r="43" spans="1:7" ht="22.5" customHeight="1" x14ac:dyDescent="0.5">
      <c r="A43" s="23">
        <v>36</v>
      </c>
      <c r="B43" s="209" t="s">
        <v>210</v>
      </c>
      <c r="C43" s="210" t="s">
        <v>211</v>
      </c>
      <c r="D43" s="215">
        <v>25112</v>
      </c>
      <c r="E43" s="216" t="s">
        <v>33</v>
      </c>
      <c r="F43" s="217">
        <v>8089.2000000000007</v>
      </c>
      <c r="G43" s="2"/>
    </row>
    <row r="44" spans="1:7" ht="22.5" customHeight="1" x14ac:dyDescent="0.5">
      <c r="A44" s="23">
        <v>37</v>
      </c>
      <c r="B44" s="736" t="s">
        <v>220</v>
      </c>
      <c r="C44" s="736" t="s">
        <v>221</v>
      </c>
      <c r="D44" s="215">
        <v>25112</v>
      </c>
      <c r="E44" s="216" t="s">
        <v>33</v>
      </c>
      <c r="F44" s="217">
        <v>64.2</v>
      </c>
      <c r="G44" s="2"/>
    </row>
    <row r="45" spans="1:7" ht="22.5" customHeight="1" x14ac:dyDescent="0.5">
      <c r="A45" s="23">
        <v>38</v>
      </c>
      <c r="B45" s="736" t="s">
        <v>224</v>
      </c>
      <c r="C45" s="736" t="s">
        <v>225</v>
      </c>
      <c r="D45" s="215">
        <v>25112</v>
      </c>
      <c r="E45" s="216" t="s">
        <v>33</v>
      </c>
      <c r="F45" s="217">
        <v>256.80000000000007</v>
      </c>
      <c r="G45" s="2"/>
    </row>
    <row r="46" spans="1:7" ht="22.5" customHeight="1" x14ac:dyDescent="0.5">
      <c r="A46" s="23">
        <v>39</v>
      </c>
      <c r="B46" s="736" t="s">
        <v>226</v>
      </c>
      <c r="C46" s="736" t="s">
        <v>227</v>
      </c>
      <c r="D46" s="215">
        <v>25112</v>
      </c>
      <c r="E46" s="216" t="s">
        <v>33</v>
      </c>
      <c r="F46" s="217">
        <v>2717.8000000000006</v>
      </c>
    </row>
    <row r="47" spans="1:7" ht="22.5" customHeight="1" x14ac:dyDescent="0.5">
      <c r="A47" s="23">
        <v>40</v>
      </c>
      <c r="B47" s="73" t="s">
        <v>116</v>
      </c>
      <c r="C47" s="25" t="s">
        <v>113</v>
      </c>
      <c r="D47" s="215">
        <v>25112</v>
      </c>
      <c r="E47" s="216" t="s">
        <v>33</v>
      </c>
      <c r="F47" s="217">
        <v>1059.3000000000015</v>
      </c>
    </row>
    <row r="48" spans="1:7" ht="22.5" customHeight="1" x14ac:dyDescent="0.5">
      <c r="A48" s="23">
        <v>41</v>
      </c>
      <c r="B48" s="740" t="s">
        <v>132</v>
      </c>
      <c r="C48" s="83" t="s">
        <v>130</v>
      </c>
      <c r="D48" s="746">
        <v>25112</v>
      </c>
      <c r="E48" s="750" t="s">
        <v>33</v>
      </c>
      <c r="F48" s="217">
        <v>50459.499999999993</v>
      </c>
    </row>
    <row r="49" spans="1:6" ht="22.5" customHeight="1" x14ac:dyDescent="0.5">
      <c r="A49" s="23">
        <v>42</v>
      </c>
      <c r="B49" s="209" t="s">
        <v>191</v>
      </c>
      <c r="C49" s="210" t="s">
        <v>190</v>
      </c>
      <c r="D49" s="215">
        <v>25112</v>
      </c>
      <c r="E49" s="216" t="s">
        <v>33</v>
      </c>
      <c r="F49" s="217">
        <v>8613.5</v>
      </c>
    </row>
    <row r="50" spans="1:6" ht="22.5" customHeight="1" x14ac:dyDescent="0.5">
      <c r="A50" s="23">
        <v>43</v>
      </c>
      <c r="B50" s="240" t="s">
        <v>198</v>
      </c>
      <c r="C50" s="83" t="s">
        <v>567</v>
      </c>
      <c r="D50" s="239">
        <v>25112</v>
      </c>
      <c r="E50" s="236" t="s">
        <v>33</v>
      </c>
      <c r="F50" s="761">
        <v>973.7</v>
      </c>
    </row>
    <row r="51" spans="1:6" ht="24" thickBot="1" x14ac:dyDescent="0.35">
      <c r="A51" s="763"/>
      <c r="B51" s="763"/>
      <c r="C51" s="764"/>
      <c r="D51" s="765"/>
      <c r="E51" s="766"/>
      <c r="F51" s="767">
        <f>SUM(F8:F50)</f>
        <v>266641.8</v>
      </c>
    </row>
    <row r="52" spans="1:6" ht="24" thickTop="1" x14ac:dyDescent="0.3"/>
    <row r="53" spans="1:6" x14ac:dyDescent="0.3">
      <c r="B53" s="3" t="s">
        <v>676</v>
      </c>
    </row>
    <row r="54" spans="1:6" ht="22.5" customHeight="1" x14ac:dyDescent="0.3">
      <c r="A54" s="174">
        <v>1</v>
      </c>
      <c r="B54" s="189" t="s">
        <v>54</v>
      </c>
      <c r="C54" s="176" t="s">
        <v>55</v>
      </c>
      <c r="D54" s="769" t="s">
        <v>552</v>
      </c>
      <c r="E54" s="186" t="s">
        <v>115</v>
      </c>
      <c r="F54" s="762">
        <v>4189.0499999999993</v>
      </c>
    </row>
    <row r="55" spans="1:6" ht="22.5" customHeight="1" x14ac:dyDescent="0.5">
      <c r="A55" s="174">
        <v>2</v>
      </c>
      <c r="B55" s="770" t="s">
        <v>281</v>
      </c>
      <c r="C55" s="771" t="s">
        <v>360</v>
      </c>
      <c r="D55" s="772" t="s">
        <v>552</v>
      </c>
      <c r="E55" s="773" t="s">
        <v>115</v>
      </c>
      <c r="F55" s="762">
        <v>6000</v>
      </c>
    </row>
    <row r="56" spans="1:6" ht="22.5" customHeight="1" x14ac:dyDescent="0.5">
      <c r="A56" s="752">
        <v>3</v>
      </c>
      <c r="B56" s="189" t="s">
        <v>54</v>
      </c>
      <c r="C56" s="176" t="s">
        <v>55</v>
      </c>
      <c r="D56" s="772" t="s">
        <v>552</v>
      </c>
      <c r="E56" s="773" t="s">
        <v>115</v>
      </c>
      <c r="F56" s="774">
        <v>21453.5</v>
      </c>
    </row>
    <row r="57" spans="1:6" ht="22.5" customHeight="1" x14ac:dyDescent="0.5">
      <c r="A57" s="752">
        <v>4</v>
      </c>
      <c r="B57" s="753" t="s">
        <v>168</v>
      </c>
      <c r="C57" s="757" t="s">
        <v>169</v>
      </c>
      <c r="D57" s="772" t="s">
        <v>170</v>
      </c>
      <c r="E57" s="773" t="s">
        <v>115</v>
      </c>
      <c r="F57" s="774">
        <v>11374.100000000002</v>
      </c>
    </row>
    <row r="58" spans="1:6" ht="22.5" customHeight="1" thickBot="1" x14ac:dyDescent="0.55000000000000004">
      <c r="A58" s="778"/>
      <c r="B58" s="779"/>
      <c r="C58" s="780"/>
      <c r="D58" s="781"/>
      <c r="E58" s="782"/>
      <c r="F58" s="783">
        <f>SUM(F54:F57)</f>
        <v>43016.65</v>
      </c>
    </row>
    <row r="59" spans="1:6" ht="22.5" customHeight="1" thickTop="1" x14ac:dyDescent="0.5">
      <c r="A59" s="775"/>
      <c r="B59" s="309"/>
      <c r="C59" s="693"/>
      <c r="D59" s="675"/>
      <c r="E59" s="776"/>
      <c r="F59" s="777"/>
    </row>
    <row r="60" spans="1:6" ht="22.5" customHeight="1" x14ac:dyDescent="0.5">
      <c r="A60" s="775"/>
      <c r="B60" s="254" t="s">
        <v>678</v>
      </c>
      <c r="C60" s="238"/>
      <c r="D60" s="791"/>
      <c r="E60" s="792"/>
      <c r="F60" s="277"/>
    </row>
    <row r="61" spans="1:6" ht="22.5" customHeight="1" x14ac:dyDescent="0.5">
      <c r="A61" s="264">
        <v>2</v>
      </c>
      <c r="B61" s="175" t="s">
        <v>397</v>
      </c>
      <c r="C61" s="176" t="s">
        <v>417</v>
      </c>
      <c r="D61" s="185" t="s">
        <v>668</v>
      </c>
      <c r="E61" s="186" t="s">
        <v>675</v>
      </c>
      <c r="F61" s="793">
        <v>8604.76</v>
      </c>
    </row>
    <row r="62" spans="1:6" ht="22.5" customHeight="1" x14ac:dyDescent="0.5">
      <c r="A62" s="264">
        <v>3</v>
      </c>
      <c r="B62" s="175" t="s">
        <v>358</v>
      </c>
      <c r="C62" s="176" t="s">
        <v>417</v>
      </c>
      <c r="D62" s="185" t="s">
        <v>668</v>
      </c>
      <c r="E62" s="186" t="s">
        <v>675</v>
      </c>
      <c r="F62" s="793">
        <v>9651.43</v>
      </c>
    </row>
    <row r="63" spans="1:6" ht="22.5" customHeight="1" x14ac:dyDescent="0.5">
      <c r="A63" s="264">
        <v>4</v>
      </c>
      <c r="B63" s="175" t="s">
        <v>398</v>
      </c>
      <c r="C63" s="176" t="s">
        <v>417</v>
      </c>
      <c r="D63" s="185" t="s">
        <v>668</v>
      </c>
      <c r="E63" s="186" t="s">
        <v>675</v>
      </c>
      <c r="F63" s="793">
        <v>3283.84</v>
      </c>
    </row>
    <row r="64" spans="1:6" ht="22.5" customHeight="1" x14ac:dyDescent="0.5">
      <c r="A64" s="264">
        <v>5</v>
      </c>
      <c r="B64" s="175" t="s">
        <v>456</v>
      </c>
      <c r="C64" s="176" t="s">
        <v>457</v>
      </c>
      <c r="D64" s="185" t="s">
        <v>668</v>
      </c>
      <c r="E64" s="186" t="s">
        <v>675</v>
      </c>
      <c r="F64" s="793">
        <v>1064.44</v>
      </c>
    </row>
    <row r="65" spans="1:10" ht="22.5" customHeight="1" x14ac:dyDescent="0.5">
      <c r="A65" s="264">
        <v>6</v>
      </c>
      <c r="B65" s="175" t="s">
        <v>463</v>
      </c>
      <c r="C65" s="176" t="s">
        <v>464</v>
      </c>
      <c r="D65" s="185" t="s">
        <v>668</v>
      </c>
      <c r="E65" s="186" t="s">
        <v>675</v>
      </c>
      <c r="F65" s="793">
        <v>1064.44</v>
      </c>
    </row>
    <row r="66" spans="1:10" ht="22.5" customHeight="1" x14ac:dyDescent="0.5">
      <c r="A66" s="264">
        <v>7</v>
      </c>
      <c r="B66" s="175" t="s">
        <v>493</v>
      </c>
      <c r="C66" s="176" t="s">
        <v>494</v>
      </c>
      <c r="D66" s="185" t="s">
        <v>668</v>
      </c>
      <c r="E66" s="186" t="s">
        <v>675</v>
      </c>
      <c r="F66" s="793">
        <v>2061.84</v>
      </c>
    </row>
    <row r="67" spans="1:10" ht="22.5" customHeight="1" x14ac:dyDescent="0.5">
      <c r="A67" s="264">
        <v>8</v>
      </c>
      <c r="B67" s="175" t="s">
        <v>495</v>
      </c>
      <c r="C67" s="176" t="s">
        <v>496</v>
      </c>
      <c r="D67" s="185" t="s">
        <v>668</v>
      </c>
      <c r="E67" s="186" t="s">
        <v>675</v>
      </c>
      <c r="F67" s="793">
        <v>20595.900000000001</v>
      </c>
    </row>
    <row r="68" spans="1:10" ht="22.5" customHeight="1" thickBot="1" x14ac:dyDescent="0.55000000000000004">
      <c r="A68" s="778"/>
      <c r="B68" s="785"/>
      <c r="C68" s="786"/>
      <c r="D68" s="787"/>
      <c r="E68" s="788"/>
      <c r="F68" s="789">
        <f>SUM(F61:F67)</f>
        <v>46326.65</v>
      </c>
    </row>
    <row r="69" spans="1:10" ht="22.5" customHeight="1" thickTop="1" x14ac:dyDescent="0.5">
      <c r="A69" s="734"/>
      <c r="B69" s="768"/>
      <c r="C69" s="743"/>
      <c r="D69" s="745"/>
      <c r="E69" s="748"/>
      <c r="F69" s="751"/>
    </row>
    <row r="70" spans="1:10" ht="22.5" customHeight="1" x14ac:dyDescent="0.5">
      <c r="A70" s="734"/>
      <c r="B70" s="768"/>
      <c r="C70" s="743"/>
      <c r="D70" s="745"/>
      <c r="E70" s="748"/>
      <c r="F70" s="751"/>
    </row>
    <row r="71" spans="1:10" ht="22.5" customHeight="1" x14ac:dyDescent="0.5">
      <c r="A71" s="734"/>
      <c r="B71" s="209" t="s">
        <v>679</v>
      </c>
      <c r="C71" s="210"/>
      <c r="D71" s="745"/>
      <c r="E71" s="748"/>
      <c r="F71" s="751"/>
    </row>
    <row r="72" spans="1:10" ht="22.5" customHeight="1" thickBot="1" x14ac:dyDescent="0.55000000000000004">
      <c r="A72" s="446">
        <v>1</v>
      </c>
      <c r="B72" s="736" t="s">
        <v>398</v>
      </c>
      <c r="C72" s="25" t="s">
        <v>396</v>
      </c>
      <c r="D72" s="69" t="s">
        <v>669</v>
      </c>
      <c r="E72" s="70" t="s">
        <v>674</v>
      </c>
      <c r="F72" s="387">
        <v>2591.5100000000002</v>
      </c>
      <c r="I72" s="790">
        <f>SUM(F51+F58+F68+F73)</f>
        <v>358576.61000000004</v>
      </c>
    </row>
    <row r="73" spans="1:10" s="60" customFormat="1" ht="22.5" customHeight="1" thickTop="1" thickBot="1" x14ac:dyDescent="0.35">
      <c r="A73" s="459"/>
      <c r="B73" s="460" t="s">
        <v>497</v>
      </c>
      <c r="C73" s="461"/>
      <c r="D73" s="462"/>
      <c r="E73" s="462">
        <v>0</v>
      </c>
      <c r="F73" s="462">
        <f>SUM(F72)</f>
        <v>2591.5100000000002</v>
      </c>
      <c r="I73" s="730">
        <v>358576.61</v>
      </c>
      <c r="J73" s="60" t="s">
        <v>670</v>
      </c>
    </row>
    <row r="74" spans="1:10" ht="22.5" customHeight="1" thickTop="1" x14ac:dyDescent="0.3">
      <c r="D74" s="3"/>
      <c r="E74" s="470"/>
      <c r="F74" s="472"/>
    </row>
    <row r="75" spans="1:10" ht="22.5" customHeight="1" x14ac:dyDescent="0.3">
      <c r="A75" s="1123" t="s">
        <v>498</v>
      </c>
      <c r="B75" s="1124"/>
      <c r="C75" s="1124"/>
      <c r="D75" s="1124"/>
      <c r="E75" s="1124"/>
      <c r="F75" s="1125"/>
      <c r="G75" s="2"/>
    </row>
    <row r="76" spans="1:10" ht="22.5" customHeight="1" x14ac:dyDescent="0.3">
      <c r="A76" s="115"/>
      <c r="B76" s="164" t="s">
        <v>499</v>
      </c>
      <c r="C76" s="165"/>
      <c r="D76" s="117"/>
      <c r="E76" s="118"/>
      <c r="F76" s="370"/>
      <c r="G76" s="2"/>
    </row>
    <row r="77" spans="1:10" ht="22.5" customHeight="1" x14ac:dyDescent="0.3">
      <c r="A77" s="475">
        <v>1</v>
      </c>
      <c r="B77" s="476" t="s">
        <v>500</v>
      </c>
      <c r="C77" s="477" t="s">
        <v>501</v>
      </c>
      <c r="D77" s="484"/>
      <c r="E77" s="485"/>
      <c r="F77" s="487">
        <v>325409.68</v>
      </c>
      <c r="G77" s="2"/>
    </row>
    <row r="78" spans="1:10" ht="22.5" customHeight="1" x14ac:dyDescent="0.3">
      <c r="A78" s="488"/>
      <c r="B78" s="489" t="s">
        <v>503</v>
      </c>
      <c r="C78" s="490"/>
      <c r="D78" s="484"/>
      <c r="E78" s="494"/>
      <c r="F78" s="487"/>
      <c r="G78" s="2"/>
    </row>
    <row r="79" spans="1:10" ht="22.5" customHeight="1" x14ac:dyDescent="0.3">
      <c r="A79" s="475">
        <v>2</v>
      </c>
      <c r="B79" s="476" t="s">
        <v>504</v>
      </c>
      <c r="C79" s="477" t="s">
        <v>415</v>
      </c>
      <c r="D79" s="484"/>
      <c r="E79" s="494"/>
      <c r="F79" s="497">
        <v>74600.88</v>
      </c>
      <c r="G79" s="2"/>
    </row>
    <row r="80" spans="1:10" ht="22.5" customHeight="1" x14ac:dyDescent="0.3">
      <c r="A80" s="475"/>
      <c r="B80" s="489" t="s">
        <v>505</v>
      </c>
      <c r="C80" s="498"/>
      <c r="D80" s="484"/>
      <c r="E80" s="494"/>
      <c r="F80" s="497"/>
      <c r="G80" s="2"/>
    </row>
    <row r="81" spans="1:10" ht="22.5" customHeight="1" x14ac:dyDescent="0.3">
      <c r="A81" s="502">
        <v>3</v>
      </c>
      <c r="B81" s="503" t="s">
        <v>506</v>
      </c>
      <c r="C81" s="504" t="s">
        <v>507</v>
      </c>
      <c r="D81" s="509"/>
      <c r="E81" s="510"/>
      <c r="F81" s="513">
        <v>32500</v>
      </c>
      <c r="G81" s="2"/>
    </row>
    <row r="82" spans="1:10" ht="22.5" customHeight="1" x14ac:dyDescent="0.3">
      <c r="A82" s="488"/>
      <c r="B82" s="489" t="s">
        <v>508</v>
      </c>
      <c r="C82" s="514"/>
      <c r="D82" s="520"/>
      <c r="E82" s="521"/>
      <c r="F82" s="524"/>
    </row>
    <row r="83" spans="1:10" ht="22.5" customHeight="1" x14ac:dyDescent="0.3">
      <c r="A83" s="488">
        <v>4</v>
      </c>
      <c r="B83" s="525" t="s">
        <v>509</v>
      </c>
      <c r="C83" s="526" t="s">
        <v>510</v>
      </c>
      <c r="D83" s="521"/>
      <c r="E83" s="529"/>
      <c r="F83" s="532">
        <v>796450.4</v>
      </c>
    </row>
    <row r="84" spans="1:10" ht="22.5" customHeight="1" x14ac:dyDescent="0.3">
      <c r="A84" s="533"/>
      <c r="B84" s="534" t="s">
        <v>509</v>
      </c>
      <c r="C84" s="535" t="s">
        <v>511</v>
      </c>
      <c r="D84" s="543"/>
      <c r="E84" s="544"/>
      <c r="F84" s="547">
        <v>93330</v>
      </c>
    </row>
    <row r="85" spans="1:10" s="60" customFormat="1" ht="22.5" customHeight="1" thickBot="1" x14ac:dyDescent="0.35">
      <c r="A85" s="548"/>
      <c r="B85" s="548" t="s">
        <v>15</v>
      </c>
      <c r="C85" s="549"/>
      <c r="D85" s="555"/>
      <c r="E85" s="556"/>
      <c r="F85" s="558">
        <v>1322290.96</v>
      </c>
      <c r="G85" s="59"/>
      <c r="H85" s="683">
        <v>1322290.96</v>
      </c>
    </row>
    <row r="86" spans="1:10" ht="22.5" customHeight="1" thickTop="1" x14ac:dyDescent="0.3">
      <c r="A86" s="559"/>
      <c r="B86" s="560" t="s">
        <v>92</v>
      </c>
      <c r="C86" s="561"/>
      <c r="D86" s="567"/>
      <c r="E86" s="568"/>
      <c r="F86" s="570"/>
      <c r="G86" s="2"/>
    </row>
    <row r="87" spans="1:10" ht="22.5" customHeight="1" x14ac:dyDescent="0.3">
      <c r="A87" s="23">
        <v>1</v>
      </c>
      <c r="B87" s="73" t="s">
        <v>512</v>
      </c>
      <c r="C87" s="25" t="s">
        <v>97</v>
      </c>
      <c r="D87" s="41" t="s">
        <v>513</v>
      </c>
      <c r="E87" s="34" t="s">
        <v>514</v>
      </c>
      <c r="F87" s="36">
        <v>10499.9956</v>
      </c>
      <c r="G87" s="2"/>
    </row>
    <row r="88" spans="1:10" s="60" customFormat="1" ht="22.5" customHeight="1" thickBot="1" x14ac:dyDescent="0.35">
      <c r="A88" s="548"/>
      <c r="B88" s="548" t="s">
        <v>15</v>
      </c>
      <c r="C88" s="549"/>
      <c r="D88" s="548"/>
      <c r="E88" s="552"/>
      <c r="F88" s="558">
        <v>10499.9956</v>
      </c>
      <c r="G88" s="59"/>
      <c r="H88" s="683">
        <v>10499.9956</v>
      </c>
    </row>
    <row r="89" spans="1:10" s="60" customFormat="1" ht="22.5" customHeight="1" thickTop="1" thickBot="1" x14ac:dyDescent="0.35">
      <c r="A89" s="572"/>
      <c r="B89" s="572" t="s">
        <v>515</v>
      </c>
      <c r="C89" s="573"/>
      <c r="D89" s="580"/>
      <c r="E89" s="581"/>
      <c r="F89" s="583">
        <v>1332790.9556</v>
      </c>
      <c r="G89" s="59"/>
      <c r="I89" s="730">
        <v>1332790.9556</v>
      </c>
      <c r="J89" s="60" t="s">
        <v>671</v>
      </c>
    </row>
    <row r="90" spans="1:10" ht="22.5" customHeight="1" thickTop="1" x14ac:dyDescent="0.3">
      <c r="D90" s="470"/>
      <c r="E90" s="586"/>
      <c r="F90" s="472"/>
      <c r="G90" s="2"/>
    </row>
    <row r="91" spans="1:10" s="589" customFormat="1" ht="20.399999999999999" x14ac:dyDescent="0.5">
      <c r="A91" s="1126" t="s">
        <v>516</v>
      </c>
      <c r="B91" s="1127"/>
      <c r="C91" s="1127"/>
      <c r="D91" s="1127"/>
      <c r="E91" s="1127"/>
      <c r="F91" s="1127"/>
      <c r="G91" s="587"/>
      <c r="H91" s="587"/>
      <c r="I91" s="588"/>
    </row>
    <row r="92" spans="1:10" s="599" customFormat="1" x14ac:dyDescent="0.6">
      <c r="A92" s="601">
        <v>2</v>
      </c>
      <c r="B92" s="602" t="s">
        <v>519</v>
      </c>
      <c r="C92" s="602" t="s">
        <v>520</v>
      </c>
      <c r="D92" s="604"/>
      <c r="E92" s="605"/>
      <c r="F92" s="609">
        <v>54000</v>
      </c>
      <c r="I92" s="600"/>
    </row>
    <row r="93" spans="1:10" s="599" customFormat="1" ht="24" thickBot="1" x14ac:dyDescent="0.65">
      <c r="A93" s="619"/>
      <c r="B93" s="620" t="s">
        <v>523</v>
      </c>
      <c r="C93" s="621"/>
      <c r="D93" s="623"/>
      <c r="E93" s="624"/>
      <c r="F93" s="626">
        <v>54000</v>
      </c>
      <c r="G93" s="627"/>
      <c r="H93" s="731">
        <v>54000</v>
      </c>
      <c r="I93" s="692">
        <v>54000</v>
      </c>
      <c r="J93" s="599" t="s">
        <v>516</v>
      </c>
    </row>
    <row r="94" spans="1:10" s="636" customFormat="1" ht="24" thickTop="1" x14ac:dyDescent="0.6">
      <c r="A94" s="628"/>
      <c r="B94" s="629"/>
      <c r="C94" s="630"/>
      <c r="D94" s="632"/>
      <c r="E94" s="633"/>
      <c r="F94" s="635"/>
      <c r="I94" s="637"/>
    </row>
    <row r="95" spans="1:10" s="636" customFormat="1" x14ac:dyDescent="0.6">
      <c r="A95" s="1128" t="s">
        <v>524</v>
      </c>
      <c r="B95" s="1128"/>
      <c r="C95" s="1128"/>
      <c r="D95" s="1128"/>
      <c r="E95" s="1128"/>
      <c r="F95" s="1128"/>
      <c r="I95" s="637"/>
    </row>
    <row r="96" spans="1:10" s="599" customFormat="1" x14ac:dyDescent="0.6">
      <c r="A96" s="638">
        <v>1</v>
      </c>
      <c r="B96" s="639" t="s">
        <v>519</v>
      </c>
      <c r="C96" s="639" t="s">
        <v>518</v>
      </c>
      <c r="D96" s="641" t="s">
        <v>527</v>
      </c>
      <c r="E96" s="642" t="s">
        <v>528</v>
      </c>
      <c r="F96" s="643">
        <v>61600</v>
      </c>
      <c r="I96" s="600"/>
    </row>
    <row r="97" spans="1:10" s="599" customFormat="1" x14ac:dyDescent="0.6">
      <c r="A97" s="646">
        <v>2</v>
      </c>
      <c r="B97" s="647" t="s">
        <v>521</v>
      </c>
      <c r="C97" s="647" t="s">
        <v>522</v>
      </c>
      <c r="D97" s="652"/>
      <c r="E97" s="373"/>
      <c r="F97" s="643"/>
      <c r="I97" s="600"/>
    </row>
    <row r="98" spans="1:10" s="599" customFormat="1" ht="24" thickBot="1" x14ac:dyDescent="0.65">
      <c r="A98" s="619"/>
      <c r="B98" s="620" t="s">
        <v>535</v>
      </c>
      <c r="C98" s="621"/>
      <c r="D98" s="625"/>
      <c r="E98" s="625"/>
      <c r="F98" s="625">
        <v>61600</v>
      </c>
      <c r="H98" s="731">
        <v>61600</v>
      </c>
      <c r="I98" s="692">
        <v>61600</v>
      </c>
      <c r="J98" s="599" t="s">
        <v>672</v>
      </c>
    </row>
    <row r="99" spans="1:10" ht="22.5" customHeight="1" thickTop="1" x14ac:dyDescent="0.3">
      <c r="D99" s="470"/>
      <c r="E99" s="586"/>
      <c r="F99" s="472"/>
      <c r="G99" s="2"/>
    </row>
    <row r="100" spans="1:10" ht="22.5" customHeight="1" thickBot="1" x14ac:dyDescent="0.35">
      <c r="D100" s="470"/>
      <c r="E100" s="586"/>
      <c r="F100" s="658">
        <v>1806967.5655999999</v>
      </c>
      <c r="G100" s="2"/>
      <c r="I100" s="732">
        <v>1806967.5655999999</v>
      </c>
      <c r="J100" s="3" t="s">
        <v>673</v>
      </c>
    </row>
    <row r="101" spans="1:10" ht="22.5" customHeight="1" thickTop="1" x14ac:dyDescent="0.5">
      <c r="B101" s="587" t="s">
        <v>537</v>
      </c>
      <c r="C101" s="587"/>
      <c r="D101" s="3"/>
      <c r="E101" s="470"/>
      <c r="F101" s="472"/>
    </row>
    <row r="102" spans="1:10" x14ac:dyDescent="0.5">
      <c r="B102" s="1129" t="s">
        <v>538</v>
      </c>
      <c r="C102" s="1129"/>
      <c r="D102" s="3"/>
      <c r="E102" s="470"/>
      <c r="F102" s="472"/>
    </row>
    <row r="103" spans="1:10" x14ac:dyDescent="0.5">
      <c r="B103" s="1129" t="s">
        <v>539</v>
      </c>
      <c r="C103" s="1129"/>
      <c r="D103" s="3"/>
      <c r="E103" s="470"/>
      <c r="F103" s="472"/>
    </row>
    <row r="104" spans="1:10" x14ac:dyDescent="0.3">
      <c r="D104" s="3"/>
      <c r="E104" s="470"/>
      <c r="F104" s="472"/>
    </row>
    <row r="105" spans="1:10" x14ac:dyDescent="0.3">
      <c r="D105" s="3"/>
      <c r="E105" s="470"/>
      <c r="F105" s="472"/>
    </row>
    <row r="106" spans="1:10" x14ac:dyDescent="0.3">
      <c r="D106" s="3"/>
      <c r="E106" s="470"/>
      <c r="F106" s="472"/>
    </row>
    <row r="107" spans="1:10" x14ac:dyDescent="0.3">
      <c r="D107" s="3"/>
      <c r="E107" s="470"/>
      <c r="F107" s="472"/>
    </row>
    <row r="108" spans="1:10" x14ac:dyDescent="0.3">
      <c r="D108" s="3"/>
      <c r="E108" s="470"/>
      <c r="F108" s="472"/>
    </row>
    <row r="109" spans="1:10" x14ac:dyDescent="0.3">
      <c r="D109" s="3"/>
      <c r="E109" s="470"/>
      <c r="F109" s="472"/>
    </row>
    <row r="110" spans="1:10" x14ac:dyDescent="0.3">
      <c r="D110" s="3"/>
      <c r="E110" s="470"/>
      <c r="F110" s="472"/>
    </row>
  </sheetData>
  <sortState xmlns:xlrd2="http://schemas.microsoft.com/office/spreadsheetml/2017/richdata2" ref="A9:F72">
    <sortCondition ref="E9:E72"/>
  </sortState>
  <mergeCells count="14">
    <mergeCell ref="A1:F1"/>
    <mergeCell ref="A2:F2"/>
    <mergeCell ref="A3:F3"/>
    <mergeCell ref="A4:A6"/>
    <mergeCell ref="B4:B6"/>
    <mergeCell ref="C4:C6"/>
    <mergeCell ref="D4:F4"/>
    <mergeCell ref="D5:D6"/>
    <mergeCell ref="E5:E6"/>
    <mergeCell ref="A75:F75"/>
    <mergeCell ref="A91:F91"/>
    <mergeCell ref="A95:F95"/>
    <mergeCell ref="B102:C102"/>
    <mergeCell ref="B103:C103"/>
  </mergeCells>
  <phoneticPr fontId="28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9532-5482-40DC-AED2-D208D404CD6E}">
  <sheetPr codeName="Sheet4"/>
  <dimension ref="A1:AO286"/>
  <sheetViews>
    <sheetView zoomScale="80" zoomScaleNormal="80" workbookViewId="0">
      <pane ySplit="6" topLeftCell="A267" activePane="bottomLeft" state="frozen"/>
      <selection pane="bottomLeft" activeCell="H284" sqref="H284"/>
    </sheetView>
  </sheetViews>
  <sheetFormatPr defaultColWidth="27.109375" defaultRowHeight="23.4" x14ac:dyDescent="0.3"/>
  <cols>
    <col min="1" max="1" width="5.44140625" style="3" customWidth="1"/>
    <col min="2" max="2" width="49.6640625" style="3" customWidth="1"/>
    <col min="3" max="3" width="43.44140625" style="1" customWidth="1"/>
    <col min="4" max="4" width="14.88671875" style="88" customWidth="1"/>
    <col min="5" max="5" width="13.33203125" style="659" customWidth="1"/>
    <col min="6" max="6" width="7.88671875" style="660" customWidth="1"/>
    <col min="7" max="7" width="14.88671875" style="661" customWidth="1"/>
    <col min="8" max="8" width="14.6640625" style="661" customWidth="1"/>
    <col min="9" max="9" width="14.44140625" style="661" customWidth="1"/>
    <col min="10" max="10" width="12.44140625" style="88" customWidth="1"/>
    <col min="11" max="11" width="18.6640625" style="88" customWidth="1"/>
    <col min="12" max="12" width="16.33203125" style="88" customWidth="1"/>
    <col min="13" max="13" width="14.5546875" style="662" customWidth="1"/>
    <col min="14" max="14" width="8" style="663" customWidth="1"/>
    <col min="15" max="15" width="16.33203125" style="664" customWidth="1"/>
    <col min="16" max="16" width="13.88671875" style="664" customWidth="1"/>
    <col min="17" max="17" width="16.5546875" style="665" customWidth="1"/>
    <col min="18" max="16384" width="27.109375" style="3"/>
  </cols>
  <sheetData>
    <row r="1" spans="1:18" ht="22.5" customHeight="1" x14ac:dyDescent="0.3">
      <c r="A1" s="1108" t="s">
        <v>0</v>
      </c>
      <c r="B1" s="1109"/>
      <c r="C1" s="1109"/>
      <c r="D1" s="1109"/>
      <c r="E1" s="1109"/>
      <c r="F1" s="1109"/>
      <c r="G1" s="1109"/>
      <c r="H1" s="1109"/>
      <c r="I1" s="1109"/>
      <c r="J1" s="1109"/>
      <c r="K1" s="1109"/>
      <c r="L1" s="1109"/>
      <c r="M1" s="1109"/>
      <c r="N1" s="1109"/>
      <c r="O1" s="1109"/>
      <c r="P1" s="1109"/>
      <c r="Q1" s="1109"/>
      <c r="R1" s="2"/>
    </row>
    <row r="2" spans="1:18" ht="22.5" customHeight="1" x14ac:dyDescent="0.3">
      <c r="A2" s="1108" t="s">
        <v>1</v>
      </c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2"/>
    </row>
    <row r="3" spans="1:18" ht="22.5" customHeight="1" x14ac:dyDescent="0.3">
      <c r="A3" s="1110" t="s">
        <v>2</v>
      </c>
      <c r="B3" s="1111"/>
      <c r="C3" s="1111"/>
      <c r="D3" s="1111"/>
      <c r="E3" s="1111"/>
      <c r="F3" s="1111"/>
      <c r="G3" s="1111"/>
      <c r="H3" s="1111"/>
      <c r="I3" s="1111"/>
      <c r="J3" s="1111"/>
      <c r="K3" s="1111"/>
      <c r="L3" s="1111"/>
      <c r="M3" s="1111"/>
      <c r="N3" s="1111"/>
      <c r="O3" s="1111"/>
      <c r="P3" s="1111"/>
      <c r="Q3" s="1111"/>
      <c r="R3" s="2"/>
    </row>
    <row r="4" spans="1:18" ht="22.5" customHeight="1" x14ac:dyDescent="0.3">
      <c r="A4" s="1112" t="s">
        <v>3</v>
      </c>
      <c r="B4" s="1112" t="s">
        <v>4</v>
      </c>
      <c r="C4" s="1115" t="s">
        <v>5</v>
      </c>
      <c r="D4" s="1141" t="s">
        <v>6</v>
      </c>
      <c r="E4" s="1134" t="s">
        <v>7</v>
      </c>
      <c r="F4" s="1135"/>
      <c r="G4" s="1135"/>
      <c r="H4" s="1135"/>
      <c r="I4" s="1136"/>
      <c r="J4" s="1145" t="s">
        <v>8</v>
      </c>
      <c r="K4" s="1146"/>
      <c r="L4" s="1147"/>
      <c r="M4" s="1118" t="s">
        <v>9</v>
      </c>
      <c r="N4" s="1140"/>
      <c r="O4" s="1140"/>
      <c r="P4" s="1140"/>
      <c r="Q4" s="1120"/>
      <c r="R4" s="2"/>
    </row>
    <row r="5" spans="1:18" ht="22.5" customHeight="1" x14ac:dyDescent="0.3">
      <c r="A5" s="1113"/>
      <c r="B5" s="1113"/>
      <c r="C5" s="1116"/>
      <c r="D5" s="1142"/>
      <c r="E5" s="1130" t="s">
        <v>10</v>
      </c>
      <c r="F5" s="1132" t="s">
        <v>11</v>
      </c>
      <c r="G5" s="1134" t="s">
        <v>12</v>
      </c>
      <c r="H5" s="1135"/>
      <c r="I5" s="1136"/>
      <c r="J5" s="5"/>
      <c r="K5" s="6"/>
      <c r="L5" s="6"/>
      <c r="M5" s="1121" t="s">
        <v>10</v>
      </c>
      <c r="N5" s="1138" t="s">
        <v>11</v>
      </c>
      <c r="O5" s="1118" t="s">
        <v>12</v>
      </c>
      <c r="P5" s="1140"/>
      <c r="Q5" s="1120"/>
      <c r="R5" s="2"/>
    </row>
    <row r="6" spans="1:18" ht="22.5" customHeight="1" x14ac:dyDescent="0.3">
      <c r="A6" s="1114"/>
      <c r="B6" s="1114"/>
      <c r="C6" s="1117"/>
      <c r="D6" s="1143"/>
      <c r="E6" s="1131"/>
      <c r="F6" s="1133"/>
      <c r="G6" s="7" t="s">
        <v>13</v>
      </c>
      <c r="H6" s="7" t="s">
        <v>14</v>
      </c>
      <c r="I6" s="7" t="s">
        <v>15</v>
      </c>
      <c r="J6" s="5" t="s">
        <v>16</v>
      </c>
      <c r="K6" s="8" t="s">
        <v>17</v>
      </c>
      <c r="L6" s="6" t="s">
        <v>13</v>
      </c>
      <c r="M6" s="1122"/>
      <c r="N6" s="1139"/>
      <c r="O6" s="9" t="s">
        <v>18</v>
      </c>
      <c r="P6" s="9" t="s">
        <v>14</v>
      </c>
      <c r="Q6" s="10" t="s">
        <v>15</v>
      </c>
      <c r="R6" s="2"/>
    </row>
    <row r="7" spans="1:18" ht="22.5" customHeight="1" x14ac:dyDescent="0.3">
      <c r="A7" s="11"/>
      <c r="B7" s="12" t="s">
        <v>19</v>
      </c>
      <c r="C7" s="13"/>
      <c r="D7" s="14"/>
      <c r="E7" s="15"/>
      <c r="F7" s="16"/>
      <c r="G7" s="7"/>
      <c r="H7" s="17"/>
      <c r="I7" s="17"/>
      <c r="J7" s="18"/>
      <c r="K7" s="18"/>
      <c r="L7" s="14"/>
      <c r="M7" s="19"/>
      <c r="N7" s="20"/>
      <c r="O7" s="21"/>
      <c r="P7" s="21"/>
      <c r="Q7" s="22"/>
      <c r="R7" s="2"/>
    </row>
    <row r="8" spans="1:18" ht="22.5" customHeight="1" x14ac:dyDescent="0.6">
      <c r="A8" s="23">
        <v>1</v>
      </c>
      <c r="B8" s="24" t="s">
        <v>20</v>
      </c>
      <c r="C8" s="25" t="s">
        <v>21</v>
      </c>
      <c r="D8" s="26">
        <v>962.63</v>
      </c>
      <c r="E8" s="27"/>
      <c r="F8" s="28"/>
      <c r="G8" s="29">
        <v>0</v>
      </c>
      <c r="H8" s="29">
        <v>0</v>
      </c>
      <c r="I8" s="29">
        <v>0</v>
      </c>
      <c r="J8" s="30" t="s">
        <v>22</v>
      </c>
      <c r="K8" s="31" t="s">
        <v>23</v>
      </c>
      <c r="L8" s="32">
        <v>962.63</v>
      </c>
      <c r="M8" s="33"/>
      <c r="N8" s="34"/>
      <c r="O8" s="35">
        <f>SUM(Q8-P8)</f>
        <v>0</v>
      </c>
      <c r="P8" s="35">
        <f>SUM(Q8*7/107)</f>
        <v>0</v>
      </c>
      <c r="Q8" s="36">
        <f>SUM(D8+I8-L8)</f>
        <v>0</v>
      </c>
      <c r="R8" s="2"/>
    </row>
    <row r="9" spans="1:18" ht="22.5" customHeight="1" x14ac:dyDescent="0.6">
      <c r="A9" s="23">
        <v>2</v>
      </c>
      <c r="B9" s="24" t="s">
        <v>24</v>
      </c>
      <c r="C9" s="25" t="s">
        <v>25</v>
      </c>
      <c r="D9" s="26">
        <v>253.08</v>
      </c>
      <c r="E9" s="27"/>
      <c r="F9" s="28"/>
      <c r="G9" s="29">
        <v>0</v>
      </c>
      <c r="H9" s="29">
        <v>0</v>
      </c>
      <c r="I9" s="29">
        <v>0</v>
      </c>
      <c r="J9" s="30">
        <v>25105</v>
      </c>
      <c r="K9" s="31" t="s">
        <v>26</v>
      </c>
      <c r="L9" s="32">
        <v>253.08</v>
      </c>
      <c r="M9" s="33"/>
      <c r="N9" s="34"/>
      <c r="O9" s="35">
        <f>SUM(Q9-P9)</f>
        <v>0</v>
      </c>
      <c r="P9" s="35">
        <f>SUM(Q9*7/107)</f>
        <v>0</v>
      </c>
      <c r="Q9" s="36">
        <f>SUM(D9+I9-L9)</f>
        <v>0</v>
      </c>
      <c r="R9" s="2"/>
    </row>
    <row r="10" spans="1:18" ht="22.5" customHeight="1" x14ac:dyDescent="0.6">
      <c r="A10" s="23">
        <v>3</v>
      </c>
      <c r="B10" s="24" t="s">
        <v>27</v>
      </c>
      <c r="C10" s="25" t="s">
        <v>28</v>
      </c>
      <c r="D10" s="37">
        <v>802.5</v>
      </c>
      <c r="E10" s="27"/>
      <c r="F10" s="28"/>
      <c r="G10" s="29">
        <v>0</v>
      </c>
      <c r="H10" s="29">
        <v>0</v>
      </c>
      <c r="I10" s="29">
        <v>0</v>
      </c>
      <c r="J10" s="38">
        <v>25103</v>
      </c>
      <c r="K10" s="39" t="s">
        <v>29</v>
      </c>
      <c r="L10" s="40">
        <v>802.5</v>
      </c>
      <c r="M10" s="41"/>
      <c r="N10" s="34"/>
      <c r="O10" s="42">
        <f>SUM(Q10-P10)</f>
        <v>0</v>
      </c>
      <c r="P10" s="42">
        <f>SUM(Q10*7/107)</f>
        <v>0</v>
      </c>
      <c r="Q10" s="36">
        <f>SUM(D10+I10-L10)</f>
        <v>0</v>
      </c>
      <c r="R10" s="2"/>
    </row>
    <row r="11" spans="1:18" ht="22.5" customHeight="1" x14ac:dyDescent="0.5">
      <c r="A11" s="23">
        <v>4</v>
      </c>
      <c r="B11" s="24" t="s">
        <v>30</v>
      </c>
      <c r="C11" s="25" t="s">
        <v>31</v>
      </c>
      <c r="D11" s="43">
        <v>1348.2</v>
      </c>
      <c r="E11" s="44" t="s">
        <v>32</v>
      </c>
      <c r="F11" s="45" t="s">
        <v>33</v>
      </c>
      <c r="G11" s="46">
        <v>1260</v>
      </c>
      <c r="H11" s="46">
        <v>88.2</v>
      </c>
      <c r="I11" s="46">
        <v>1348.2</v>
      </c>
      <c r="J11" s="30">
        <v>25090</v>
      </c>
      <c r="K11" s="31" t="s">
        <v>34</v>
      </c>
      <c r="L11" s="32">
        <v>1348.2</v>
      </c>
      <c r="M11" s="33">
        <v>25082</v>
      </c>
      <c r="N11" s="34" t="s">
        <v>35</v>
      </c>
      <c r="O11" s="42">
        <f>SUM(Q11-P11)</f>
        <v>1260</v>
      </c>
      <c r="P11" s="42">
        <f>SUM(Q11*7/107)</f>
        <v>88.2</v>
      </c>
      <c r="Q11" s="36">
        <f>SUM(D11+I11-L11)</f>
        <v>1348.2</v>
      </c>
      <c r="R11" s="47" t="s">
        <v>36</v>
      </c>
    </row>
    <row r="12" spans="1:18" s="60" customFormat="1" ht="22.5" customHeight="1" thickBot="1" x14ac:dyDescent="0.35">
      <c r="A12" s="48"/>
      <c r="B12" s="48" t="s">
        <v>15</v>
      </c>
      <c r="C12" s="49"/>
      <c r="D12" s="50">
        <f>SUM(D8:D11)</f>
        <v>3366.41</v>
      </c>
      <c r="E12" s="51"/>
      <c r="F12" s="52"/>
      <c r="G12" s="53">
        <f>SUM(G8:G11)</f>
        <v>1260</v>
      </c>
      <c r="H12" s="53">
        <f>SUM(H8:H11)</f>
        <v>88.2</v>
      </c>
      <c r="I12" s="53">
        <f>SUM(I8:I11)</f>
        <v>1348.2</v>
      </c>
      <c r="J12" s="54"/>
      <c r="K12" s="55"/>
      <c r="L12" s="50">
        <f>SUM(L8:L11)</f>
        <v>3366.41</v>
      </c>
      <c r="M12" s="48"/>
      <c r="N12" s="56"/>
      <c r="O12" s="57">
        <f>SUM(O8:O11)</f>
        <v>1260</v>
      </c>
      <c r="P12" s="57">
        <f>SUM(P8:P11)</f>
        <v>88.2</v>
      </c>
      <c r="Q12" s="58">
        <f>SUM(Q8:Q11)</f>
        <v>1348.2</v>
      </c>
      <c r="R12" s="59"/>
    </row>
    <row r="13" spans="1:18" ht="22.5" customHeight="1" thickTop="1" x14ac:dyDescent="0.3">
      <c r="A13" s="61"/>
      <c r="B13" s="62" t="s">
        <v>37</v>
      </c>
      <c r="C13" s="63"/>
      <c r="D13" s="64"/>
      <c r="E13" s="65"/>
      <c r="F13" s="66"/>
      <c r="G13" s="67"/>
      <c r="H13" s="67"/>
      <c r="I13" s="67"/>
      <c r="J13" s="68"/>
      <c r="K13" s="68"/>
      <c r="L13" s="64"/>
      <c r="M13" s="69"/>
      <c r="N13" s="70"/>
      <c r="O13" s="71"/>
      <c r="P13" s="71"/>
      <c r="Q13" s="72"/>
      <c r="R13" s="2"/>
    </row>
    <row r="14" spans="1:18" ht="22.5" customHeight="1" x14ac:dyDescent="0.5">
      <c r="A14" s="23">
        <v>1</v>
      </c>
      <c r="B14" s="73" t="s">
        <v>38</v>
      </c>
      <c r="C14" s="25" t="s">
        <v>39</v>
      </c>
      <c r="D14" s="43">
        <v>1284</v>
      </c>
      <c r="E14" s="74"/>
      <c r="F14" s="75"/>
      <c r="G14" s="76">
        <v>0</v>
      </c>
      <c r="H14" s="76">
        <v>0</v>
      </c>
      <c r="I14" s="76">
        <v>0</v>
      </c>
      <c r="J14" s="30" t="s">
        <v>40</v>
      </c>
      <c r="K14" s="31" t="s">
        <v>41</v>
      </c>
      <c r="L14" s="32">
        <v>1284</v>
      </c>
      <c r="M14" s="69"/>
      <c r="N14" s="70"/>
      <c r="O14" s="42">
        <f>SUM(D14+G14-L14)</f>
        <v>0</v>
      </c>
      <c r="P14" s="42">
        <v>0</v>
      </c>
      <c r="Q14" s="36">
        <f>SUM(D14+I14-L14)</f>
        <v>0</v>
      </c>
      <c r="R14" s="2"/>
    </row>
    <row r="15" spans="1:18" ht="22.5" customHeight="1" x14ac:dyDescent="0.5">
      <c r="A15" s="23">
        <v>2</v>
      </c>
      <c r="B15" s="73" t="s">
        <v>42</v>
      </c>
      <c r="C15" s="25" t="s">
        <v>43</v>
      </c>
      <c r="D15" s="43">
        <v>1540.8</v>
      </c>
      <c r="E15" s="74"/>
      <c r="F15" s="77"/>
      <c r="G15" s="76">
        <v>-4.2499752419295712E-13</v>
      </c>
      <c r="H15" s="76">
        <v>-2.9749826693506995E-14</v>
      </c>
      <c r="I15" s="76">
        <v>-4.5474735088646412E-13</v>
      </c>
      <c r="J15" s="30">
        <v>25106</v>
      </c>
      <c r="K15" s="31" t="s">
        <v>44</v>
      </c>
      <c r="L15" s="32">
        <v>1540.8</v>
      </c>
      <c r="M15" s="33"/>
      <c r="N15" s="70"/>
      <c r="O15" s="42">
        <f>SUM(Q15-P15)</f>
        <v>-4.2499752419295712E-13</v>
      </c>
      <c r="P15" s="42">
        <f t="shared" ref="P15:P26" si="0">SUM(Q15*7/107)</f>
        <v>-2.9749826693506995E-14</v>
      </c>
      <c r="Q15" s="36">
        <f>SUM(D15+I15-L15)</f>
        <v>-4.5474735088646412E-13</v>
      </c>
      <c r="R15" s="2"/>
    </row>
    <row r="16" spans="1:18" ht="22.5" customHeight="1" x14ac:dyDescent="0.5">
      <c r="A16" s="23">
        <v>3</v>
      </c>
      <c r="B16" s="73" t="s">
        <v>45</v>
      </c>
      <c r="C16" s="25" t="s">
        <v>46</v>
      </c>
      <c r="D16" s="43">
        <v>1316.1</v>
      </c>
      <c r="E16" s="74">
        <v>25051</v>
      </c>
      <c r="F16" s="77" t="s">
        <v>33</v>
      </c>
      <c r="G16" s="76">
        <v>1530</v>
      </c>
      <c r="H16" s="76">
        <v>107.1</v>
      </c>
      <c r="I16" s="76">
        <v>1637.1</v>
      </c>
      <c r="J16" s="30">
        <v>25092</v>
      </c>
      <c r="K16" s="31" t="s">
        <v>47</v>
      </c>
      <c r="L16" s="32">
        <v>1637.1</v>
      </c>
      <c r="M16" s="33">
        <v>25082</v>
      </c>
      <c r="N16" s="70" t="s">
        <v>35</v>
      </c>
      <c r="O16" s="42">
        <f>SUM(Q16-P16)</f>
        <v>1230</v>
      </c>
      <c r="P16" s="42">
        <f t="shared" si="0"/>
        <v>86.1</v>
      </c>
      <c r="Q16" s="36">
        <f>SUM(D16+I16-L16)</f>
        <v>1316.1</v>
      </c>
      <c r="R16" s="2"/>
    </row>
    <row r="17" spans="1:18" ht="22.5" customHeight="1" x14ac:dyDescent="0.5">
      <c r="A17" s="23">
        <v>4</v>
      </c>
      <c r="B17" s="73" t="s">
        <v>48</v>
      </c>
      <c r="C17" s="25" t="s">
        <v>49</v>
      </c>
      <c r="D17" s="43">
        <v>2503.8000000000002</v>
      </c>
      <c r="E17" s="74">
        <v>25051</v>
      </c>
      <c r="F17" s="77" t="s">
        <v>33</v>
      </c>
      <c r="G17" s="76">
        <v>2969.9999999999982</v>
      </c>
      <c r="H17" s="76">
        <v>207.89999999999989</v>
      </c>
      <c r="I17" s="76">
        <v>3177.8999999999983</v>
      </c>
      <c r="J17" s="30">
        <v>25082</v>
      </c>
      <c r="K17" s="31" t="s">
        <v>50</v>
      </c>
      <c r="L17" s="32">
        <v>3177.9</v>
      </c>
      <c r="M17" s="33">
        <v>25082</v>
      </c>
      <c r="N17" s="70" t="s">
        <v>35</v>
      </c>
      <c r="O17" s="42">
        <f t="shared" ref="O17:O26" si="1">SUM(Q17-P17)</f>
        <v>2339.9999999999991</v>
      </c>
      <c r="P17" s="42">
        <f t="shared" si="0"/>
        <v>163.79999999999993</v>
      </c>
      <c r="Q17" s="36">
        <f t="shared" ref="Q17:Q26" si="2">SUM(D17+I17-L17)</f>
        <v>2503.7999999999988</v>
      </c>
      <c r="R17" s="2"/>
    </row>
    <row r="18" spans="1:18" ht="22.5" customHeight="1" x14ac:dyDescent="0.5">
      <c r="A18" s="23">
        <v>5</v>
      </c>
      <c r="B18" s="73" t="s">
        <v>51</v>
      </c>
      <c r="C18" s="25" t="s">
        <v>52</v>
      </c>
      <c r="D18" s="43">
        <v>5392.8</v>
      </c>
      <c r="E18" s="74"/>
      <c r="F18" s="77"/>
      <c r="G18" s="76">
        <v>2.5499851451577426E-12</v>
      </c>
      <c r="H18" s="76">
        <v>1.7849896016104199E-13</v>
      </c>
      <c r="I18" s="76">
        <v>2.7284841053187847E-12</v>
      </c>
      <c r="J18" s="30"/>
      <c r="K18" s="31"/>
      <c r="L18" s="32"/>
      <c r="M18" s="33">
        <v>25082</v>
      </c>
      <c r="N18" s="70" t="s">
        <v>35</v>
      </c>
      <c r="O18" s="42">
        <f t="shared" si="1"/>
        <v>5040.0000000000027</v>
      </c>
      <c r="P18" s="42">
        <f t="shared" si="0"/>
        <v>352.80000000000018</v>
      </c>
      <c r="Q18" s="36">
        <f t="shared" si="2"/>
        <v>5392.8000000000029</v>
      </c>
      <c r="R18" s="2"/>
    </row>
    <row r="19" spans="1:18" ht="22.5" customHeight="1" x14ac:dyDescent="0.5">
      <c r="A19" s="23">
        <v>6</v>
      </c>
      <c r="B19" s="73" t="s">
        <v>30</v>
      </c>
      <c r="C19" s="25" t="s">
        <v>31</v>
      </c>
      <c r="D19" s="43">
        <v>6420</v>
      </c>
      <c r="E19" s="74"/>
      <c r="F19" s="75"/>
      <c r="G19" s="76">
        <v>0</v>
      </c>
      <c r="H19" s="76">
        <v>0</v>
      </c>
      <c r="I19" s="76">
        <v>0</v>
      </c>
      <c r="J19" s="30">
        <v>25090</v>
      </c>
      <c r="K19" s="31" t="s">
        <v>53</v>
      </c>
      <c r="L19" s="32">
        <v>6420</v>
      </c>
      <c r="M19" s="69"/>
      <c r="N19" s="70"/>
      <c r="O19" s="42">
        <f t="shared" si="1"/>
        <v>0</v>
      </c>
      <c r="P19" s="42">
        <f t="shared" si="0"/>
        <v>0</v>
      </c>
      <c r="Q19" s="36">
        <f t="shared" si="2"/>
        <v>0</v>
      </c>
      <c r="R19" s="2"/>
    </row>
    <row r="20" spans="1:18" ht="22.5" customHeight="1" x14ac:dyDescent="0.5">
      <c r="A20" s="23">
        <v>7</v>
      </c>
      <c r="B20" s="78" t="s">
        <v>54</v>
      </c>
      <c r="C20" s="25" t="s">
        <v>55</v>
      </c>
      <c r="D20" s="79">
        <v>2022.3</v>
      </c>
      <c r="E20" s="80"/>
      <c r="F20" s="77"/>
      <c r="G20" s="76">
        <v>-4.2499752419295712E-13</v>
      </c>
      <c r="H20" s="76">
        <v>-2.9749826693506995E-14</v>
      </c>
      <c r="I20" s="76">
        <v>-4.5474735088646412E-13</v>
      </c>
      <c r="J20" s="38"/>
      <c r="K20" s="39"/>
      <c r="L20" s="40"/>
      <c r="M20" s="33">
        <v>25082</v>
      </c>
      <c r="N20" s="70" t="s">
        <v>35</v>
      </c>
      <c r="O20" s="42">
        <f t="shared" si="1"/>
        <v>1889.9999999999995</v>
      </c>
      <c r="P20" s="42">
        <f t="shared" si="0"/>
        <v>132.29999999999998</v>
      </c>
      <c r="Q20" s="36">
        <f t="shared" si="2"/>
        <v>2022.2999999999995</v>
      </c>
      <c r="R20" s="2"/>
    </row>
    <row r="21" spans="1:18" ht="22.5" customHeight="1" x14ac:dyDescent="0.5">
      <c r="A21" s="23">
        <v>8</v>
      </c>
      <c r="B21" s="78" t="s">
        <v>56</v>
      </c>
      <c r="C21" s="81" t="s">
        <v>57</v>
      </c>
      <c r="D21" s="79">
        <v>0</v>
      </c>
      <c r="E21" s="74">
        <v>25051</v>
      </c>
      <c r="F21" s="77" t="s">
        <v>33</v>
      </c>
      <c r="G21" s="82">
        <v>180</v>
      </c>
      <c r="H21" s="82">
        <v>12.6</v>
      </c>
      <c r="I21" s="82">
        <v>192.6</v>
      </c>
      <c r="J21" s="38">
        <v>25083</v>
      </c>
      <c r="K21" s="39" t="s">
        <v>58</v>
      </c>
      <c r="L21" s="40">
        <v>192.6</v>
      </c>
      <c r="M21" s="33"/>
      <c r="N21" s="70"/>
      <c r="O21" s="42">
        <f t="shared" si="1"/>
        <v>0</v>
      </c>
      <c r="P21" s="42">
        <f t="shared" si="0"/>
        <v>0</v>
      </c>
      <c r="Q21" s="36">
        <f t="shared" si="2"/>
        <v>0</v>
      </c>
      <c r="R21" s="2"/>
    </row>
    <row r="22" spans="1:18" ht="22.5" customHeight="1" x14ac:dyDescent="0.5">
      <c r="A22" s="23">
        <v>9</v>
      </c>
      <c r="B22" s="78" t="s">
        <v>59</v>
      </c>
      <c r="C22" s="83" t="s">
        <v>60</v>
      </c>
      <c r="D22" s="79">
        <v>21400</v>
      </c>
      <c r="E22" s="74"/>
      <c r="F22" s="75"/>
      <c r="G22" s="76">
        <v>0</v>
      </c>
      <c r="H22" s="76">
        <v>0</v>
      </c>
      <c r="I22" s="76">
        <v>0</v>
      </c>
      <c r="J22" s="38"/>
      <c r="K22" s="39"/>
      <c r="L22" s="40"/>
      <c r="M22" s="69" t="s">
        <v>61</v>
      </c>
      <c r="N22" s="70" t="s">
        <v>35</v>
      </c>
      <c r="O22" s="42">
        <f t="shared" si="1"/>
        <v>20000</v>
      </c>
      <c r="P22" s="42">
        <f t="shared" si="0"/>
        <v>1400</v>
      </c>
      <c r="Q22" s="36">
        <f t="shared" si="2"/>
        <v>21400</v>
      </c>
      <c r="R22" s="2"/>
    </row>
    <row r="23" spans="1:18" s="88" customFormat="1" ht="22.5" customHeight="1" x14ac:dyDescent="0.5">
      <c r="A23" s="23">
        <v>10</v>
      </c>
      <c r="B23" s="84" t="s">
        <v>62</v>
      </c>
      <c r="C23" s="85" t="s">
        <v>28</v>
      </c>
      <c r="D23" s="86">
        <v>856</v>
      </c>
      <c r="E23" s="74"/>
      <c r="F23" s="75"/>
      <c r="G23" s="76">
        <v>0</v>
      </c>
      <c r="H23" s="76">
        <v>0</v>
      </c>
      <c r="I23" s="76">
        <v>0</v>
      </c>
      <c r="J23" s="38">
        <v>25103</v>
      </c>
      <c r="K23" s="39" t="s">
        <v>63</v>
      </c>
      <c r="L23" s="40">
        <v>856</v>
      </c>
      <c r="M23" s="69"/>
      <c r="N23" s="70"/>
      <c r="O23" s="42">
        <f t="shared" si="1"/>
        <v>0</v>
      </c>
      <c r="P23" s="42">
        <f t="shared" si="0"/>
        <v>0</v>
      </c>
      <c r="Q23" s="36">
        <f t="shared" si="2"/>
        <v>0</v>
      </c>
      <c r="R23" s="87"/>
    </row>
    <row r="24" spans="1:18" ht="22.5" customHeight="1" x14ac:dyDescent="0.5">
      <c r="A24" s="23">
        <v>11</v>
      </c>
      <c r="B24" s="89" t="s">
        <v>64</v>
      </c>
      <c r="C24" s="90" t="s">
        <v>65</v>
      </c>
      <c r="D24" s="91">
        <v>21400</v>
      </c>
      <c r="E24" s="74"/>
      <c r="F24" s="92"/>
      <c r="G24" s="76">
        <v>0</v>
      </c>
      <c r="H24" s="76">
        <v>0</v>
      </c>
      <c r="I24" s="76">
        <v>0</v>
      </c>
      <c r="J24" s="38">
        <v>25103</v>
      </c>
      <c r="K24" s="39" t="s">
        <v>66</v>
      </c>
      <c r="L24" s="40">
        <v>21400</v>
      </c>
      <c r="M24" s="69"/>
      <c r="N24" s="70"/>
      <c r="O24" s="42">
        <f t="shared" si="1"/>
        <v>0</v>
      </c>
      <c r="P24" s="42">
        <f t="shared" si="0"/>
        <v>0</v>
      </c>
      <c r="Q24" s="36">
        <f t="shared" si="2"/>
        <v>0</v>
      </c>
      <c r="R24" s="93"/>
    </row>
    <row r="25" spans="1:18" ht="22.5" customHeight="1" x14ac:dyDescent="0.5">
      <c r="A25" s="23">
        <v>12</v>
      </c>
      <c r="B25" s="94" t="s">
        <v>67</v>
      </c>
      <c r="C25" s="95" t="s">
        <v>68</v>
      </c>
      <c r="D25" s="86">
        <v>3210</v>
      </c>
      <c r="E25" s="96"/>
      <c r="F25" s="97"/>
      <c r="G25" s="98">
        <v>0</v>
      </c>
      <c r="H25" s="98">
        <v>0</v>
      </c>
      <c r="I25" s="98">
        <v>0</v>
      </c>
      <c r="J25" s="38">
        <v>25103</v>
      </c>
      <c r="K25" s="39" t="s">
        <v>69</v>
      </c>
      <c r="L25" s="40">
        <v>3210</v>
      </c>
      <c r="M25" s="69"/>
      <c r="N25" s="70"/>
      <c r="O25" s="42">
        <f>SUM(Q25-P25)</f>
        <v>0</v>
      </c>
      <c r="P25" s="42">
        <f>SUM(Q25*7/107)</f>
        <v>0</v>
      </c>
      <c r="Q25" s="36">
        <f>SUM(D25+I25-L25)</f>
        <v>0</v>
      </c>
    </row>
    <row r="26" spans="1:18" ht="22.5" customHeight="1" x14ac:dyDescent="0.5">
      <c r="A26" s="23">
        <v>13</v>
      </c>
      <c r="B26" s="99" t="s">
        <v>70</v>
      </c>
      <c r="C26" s="100" t="s">
        <v>60</v>
      </c>
      <c r="D26" s="86">
        <v>3210</v>
      </c>
      <c r="E26" s="96"/>
      <c r="F26" s="97"/>
      <c r="G26" s="98">
        <v>0</v>
      </c>
      <c r="H26" s="98">
        <v>0</v>
      </c>
      <c r="I26" s="98">
        <v>0</v>
      </c>
      <c r="J26" s="101"/>
      <c r="K26" s="102"/>
      <c r="L26" s="103"/>
      <c r="M26" s="69" t="s">
        <v>61</v>
      </c>
      <c r="N26" s="70" t="s">
        <v>35</v>
      </c>
      <c r="O26" s="42">
        <f t="shared" si="1"/>
        <v>3000</v>
      </c>
      <c r="P26" s="42">
        <f t="shared" si="0"/>
        <v>210</v>
      </c>
      <c r="Q26" s="36">
        <f t="shared" si="2"/>
        <v>3210</v>
      </c>
      <c r="R26" s="93"/>
    </row>
    <row r="27" spans="1:18" s="60" customFormat="1" ht="22.5" customHeight="1" thickBot="1" x14ac:dyDescent="0.35">
      <c r="A27" s="48"/>
      <c r="B27" s="48" t="s">
        <v>15</v>
      </c>
      <c r="C27" s="49"/>
      <c r="D27" s="104">
        <f>SUM(D14:D26)</f>
        <v>70555.8</v>
      </c>
      <c r="E27" s="105"/>
      <c r="F27" s="56"/>
      <c r="G27" s="106">
        <f>SUM(G14:G26)</f>
        <v>4680.0000000000009</v>
      </c>
      <c r="H27" s="106">
        <f>SUM(H14:H26)</f>
        <v>327.60000000000002</v>
      </c>
      <c r="I27" s="106">
        <f>SUM(I14:I26)</f>
        <v>5007.6000000000004</v>
      </c>
      <c r="J27" s="104"/>
      <c r="K27" s="104"/>
      <c r="L27" s="104">
        <f>SUM(L14:L26)</f>
        <v>39718.400000000001</v>
      </c>
      <c r="M27" s="107"/>
      <c r="N27" s="108"/>
      <c r="O27" s="109">
        <f>SUM(O14:O26)</f>
        <v>33500</v>
      </c>
      <c r="P27" s="109">
        <f>SUM(P14:P26)</f>
        <v>2345</v>
      </c>
      <c r="Q27" s="110">
        <f>SUM(Q14:Q26)</f>
        <v>35845</v>
      </c>
    </row>
    <row r="28" spans="1:18" ht="22.5" customHeight="1" thickTop="1" x14ac:dyDescent="0.3">
      <c r="A28" s="61"/>
      <c r="B28" s="62" t="s">
        <v>71</v>
      </c>
      <c r="C28" s="63"/>
      <c r="D28" s="64"/>
      <c r="E28" s="65"/>
      <c r="F28" s="66"/>
      <c r="G28" s="67"/>
      <c r="H28" s="67"/>
      <c r="I28" s="67"/>
      <c r="J28" s="68"/>
      <c r="K28" s="68"/>
      <c r="L28" s="64"/>
      <c r="M28" s="69"/>
      <c r="N28" s="70"/>
      <c r="O28" s="71"/>
      <c r="P28" s="71"/>
      <c r="Q28" s="72"/>
    </row>
    <row r="29" spans="1:18" ht="22.5" customHeight="1" x14ac:dyDescent="0.5">
      <c r="A29" s="23">
        <v>1</v>
      </c>
      <c r="B29" s="73" t="s">
        <v>72</v>
      </c>
      <c r="C29" s="25" t="s">
        <v>73</v>
      </c>
      <c r="D29" s="43">
        <v>3932.25</v>
      </c>
      <c r="E29" s="74"/>
      <c r="F29" s="77"/>
      <c r="G29" s="76">
        <v>0</v>
      </c>
      <c r="H29" s="76">
        <v>0</v>
      </c>
      <c r="I29" s="76">
        <v>0</v>
      </c>
      <c r="J29" s="38">
        <v>25107</v>
      </c>
      <c r="K29" s="39" t="s">
        <v>74</v>
      </c>
      <c r="L29" s="32">
        <v>3932.25</v>
      </c>
      <c r="M29" s="111"/>
      <c r="N29" s="112"/>
      <c r="O29" s="113">
        <f>SUM(Q29-P29)</f>
        <v>0</v>
      </c>
      <c r="P29" s="114">
        <f>SUM(Q29*7/107)</f>
        <v>0</v>
      </c>
      <c r="Q29" s="36">
        <f>SUM(D29+I29-L29)</f>
        <v>0</v>
      </c>
    </row>
    <row r="30" spans="1:18" ht="22.5" customHeight="1" x14ac:dyDescent="0.5">
      <c r="A30" s="115">
        <v>2</v>
      </c>
      <c r="B30" s="4" t="s">
        <v>75</v>
      </c>
      <c r="C30" s="25" t="s">
        <v>76</v>
      </c>
      <c r="D30" s="86">
        <v>14445</v>
      </c>
      <c r="E30" s="116"/>
      <c r="F30" s="97"/>
      <c r="G30" s="76">
        <v>0</v>
      </c>
      <c r="H30" s="76">
        <v>0</v>
      </c>
      <c r="I30" s="76">
        <v>0</v>
      </c>
      <c r="J30" s="101">
        <v>25103</v>
      </c>
      <c r="K30" s="102" t="s">
        <v>77</v>
      </c>
      <c r="L30" s="103">
        <v>14445</v>
      </c>
      <c r="M30" s="117"/>
      <c r="N30" s="118"/>
      <c r="O30" s="113">
        <f>SUM(Q30-P30)</f>
        <v>0</v>
      </c>
      <c r="P30" s="114">
        <f>SUM(Q30*7/107)</f>
        <v>0</v>
      </c>
      <c r="Q30" s="36">
        <f>SUM(D30+I30-L30)</f>
        <v>0</v>
      </c>
    </row>
    <row r="31" spans="1:18" s="60" customFormat="1" ht="22.5" customHeight="1" thickBot="1" x14ac:dyDescent="0.35">
      <c r="A31" s="48"/>
      <c r="B31" s="48" t="s">
        <v>15</v>
      </c>
      <c r="C31" s="49"/>
      <c r="D31" s="50">
        <f>SUM(D29:D30)</f>
        <v>18377.25</v>
      </c>
      <c r="E31" s="105"/>
      <c r="F31" s="56"/>
      <c r="G31" s="109">
        <v>0</v>
      </c>
      <c r="H31" s="109">
        <v>0</v>
      </c>
      <c r="I31" s="109">
        <v>0</v>
      </c>
      <c r="J31" s="50"/>
      <c r="K31" s="50"/>
      <c r="L31" s="50">
        <f>SUM(L29:L30)</f>
        <v>18377.25</v>
      </c>
      <c r="M31" s="119"/>
      <c r="N31" s="108"/>
      <c r="O31" s="109">
        <f>SUM(O29:O30)</f>
        <v>0</v>
      </c>
      <c r="P31" s="109">
        <f>SUM(P29:P30)</f>
        <v>0</v>
      </c>
      <c r="Q31" s="120">
        <f>SUM(Q29:Q30)</f>
        <v>0</v>
      </c>
    </row>
    <row r="32" spans="1:18" ht="22.5" customHeight="1" thickTop="1" x14ac:dyDescent="0.3">
      <c r="A32" s="61"/>
      <c r="B32" s="121" t="s">
        <v>78</v>
      </c>
      <c r="C32" s="63"/>
      <c r="D32" s="64"/>
      <c r="E32" s="65"/>
      <c r="F32" s="66"/>
      <c r="G32" s="67"/>
      <c r="H32" s="67"/>
      <c r="I32" s="67"/>
      <c r="J32" s="68"/>
      <c r="K32" s="68"/>
      <c r="L32" s="64"/>
      <c r="M32" s="69"/>
      <c r="N32" s="70"/>
      <c r="O32" s="71"/>
      <c r="P32" s="71"/>
      <c r="Q32" s="72"/>
    </row>
    <row r="33" spans="1:41" s="134" customFormat="1" ht="22.5" customHeight="1" x14ac:dyDescent="0.6">
      <c r="A33" s="122">
        <v>1</v>
      </c>
      <c r="B33" s="123" t="s">
        <v>79</v>
      </c>
      <c r="C33" s="124" t="s">
        <v>60</v>
      </c>
      <c r="D33" s="123">
        <v>5350</v>
      </c>
      <c r="E33" s="125"/>
      <c r="F33" s="126"/>
      <c r="G33" s="76">
        <v>0</v>
      </c>
      <c r="H33" s="127">
        <v>0</v>
      </c>
      <c r="I33" s="76">
        <v>0</v>
      </c>
      <c r="J33" s="38"/>
      <c r="K33" s="39"/>
      <c r="L33" s="40"/>
      <c r="M33" s="128" t="s">
        <v>61</v>
      </c>
      <c r="N33" s="129" t="s">
        <v>35</v>
      </c>
      <c r="O33" s="113">
        <f>SUM(Q33-P33)</f>
        <v>5000</v>
      </c>
      <c r="P33" s="114">
        <f>SUM(Q33*7/107)</f>
        <v>350</v>
      </c>
      <c r="Q33" s="36">
        <f>SUM(D33+I33-L33)</f>
        <v>5350</v>
      </c>
      <c r="R33" s="130"/>
      <c r="S33" s="130"/>
      <c r="T33" s="131"/>
      <c r="U33" s="132"/>
      <c r="V33" s="131"/>
      <c r="W33" s="132"/>
      <c r="X33" s="132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</row>
    <row r="34" spans="1:41" s="134" customFormat="1" ht="22.5" customHeight="1" x14ac:dyDescent="0.6">
      <c r="A34" s="122">
        <v>2</v>
      </c>
      <c r="B34" s="123" t="s">
        <v>80</v>
      </c>
      <c r="C34" s="124" t="s">
        <v>65</v>
      </c>
      <c r="D34" s="123">
        <v>5350</v>
      </c>
      <c r="E34" s="135"/>
      <c r="F34" s="136"/>
      <c r="G34" s="127">
        <v>0</v>
      </c>
      <c r="H34" s="127">
        <v>0</v>
      </c>
      <c r="I34" s="98">
        <v>0</v>
      </c>
      <c r="J34" s="38">
        <v>25103</v>
      </c>
      <c r="K34" s="39" t="s">
        <v>66</v>
      </c>
      <c r="L34" s="40">
        <v>5350</v>
      </c>
      <c r="M34" s="137"/>
      <c r="N34" s="137"/>
      <c r="O34" s="113">
        <f>SUM(Q34-P34)</f>
        <v>0</v>
      </c>
      <c r="P34" s="114">
        <f>SUM(Q34*7/107)</f>
        <v>0</v>
      </c>
      <c r="Q34" s="36">
        <f>SUM(D34+I34-L34)</f>
        <v>0</v>
      </c>
      <c r="R34" s="130"/>
      <c r="S34" s="130"/>
      <c r="T34" s="131"/>
      <c r="U34" s="132"/>
      <c r="V34" s="131"/>
      <c r="W34" s="132"/>
      <c r="X34" s="132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</row>
    <row r="35" spans="1:41" s="60" customFormat="1" ht="22.5" customHeight="1" thickBot="1" x14ac:dyDescent="0.35">
      <c r="A35" s="48"/>
      <c r="B35" s="48" t="s">
        <v>15</v>
      </c>
      <c r="C35" s="49"/>
      <c r="D35" s="109">
        <f>SUM(D33:D34)</f>
        <v>10700</v>
      </c>
      <c r="E35" s="105"/>
      <c r="F35" s="56"/>
      <c r="G35" s="109">
        <v>0</v>
      </c>
      <c r="H35" s="109">
        <v>0</v>
      </c>
      <c r="I35" s="109">
        <v>0</v>
      </c>
      <c r="J35" s="109"/>
      <c r="K35" s="109"/>
      <c r="L35" s="138">
        <f>SUM(L33:L34)</f>
        <v>5350</v>
      </c>
      <c r="M35" s="119"/>
      <c r="N35" s="108"/>
      <c r="O35" s="109">
        <f>SUM(O33:O34)</f>
        <v>5000</v>
      </c>
      <c r="P35" s="109">
        <f>SUM(P33:P34)</f>
        <v>350</v>
      </c>
      <c r="Q35" s="138">
        <f>SUM(Q33:Q34)</f>
        <v>5350</v>
      </c>
    </row>
    <row r="36" spans="1:41" ht="22.5" customHeight="1" thickTop="1" x14ac:dyDescent="0.3">
      <c r="A36" s="139"/>
      <c r="B36" s="140" t="s">
        <v>81</v>
      </c>
      <c r="C36" s="141"/>
      <c r="D36" s="91"/>
      <c r="E36" s="142"/>
      <c r="F36" s="92"/>
      <c r="G36" s="143"/>
      <c r="H36" s="143"/>
      <c r="I36" s="143"/>
      <c r="J36" s="68"/>
      <c r="K36" s="68"/>
      <c r="L36" s="64"/>
      <c r="M36" s="144"/>
      <c r="N36" s="145"/>
      <c r="O36" s="146"/>
      <c r="P36" s="146"/>
      <c r="Q36" s="147"/>
    </row>
    <row r="37" spans="1:41" ht="22.5" customHeight="1" x14ac:dyDescent="0.5">
      <c r="A37" s="148">
        <v>1</v>
      </c>
      <c r="B37" s="149" t="s">
        <v>82</v>
      </c>
      <c r="C37" s="90" t="s">
        <v>83</v>
      </c>
      <c r="D37" s="150">
        <v>6955</v>
      </c>
      <c r="E37" s="151"/>
      <c r="F37" s="152"/>
      <c r="G37" s="153">
        <v>0</v>
      </c>
      <c r="H37" s="153">
        <f>SUM(G37*7/100)</f>
        <v>0</v>
      </c>
      <c r="I37" s="153">
        <f>SUM(G37+H37)</f>
        <v>0</v>
      </c>
      <c r="J37" s="30">
        <v>25091</v>
      </c>
      <c r="K37" s="31" t="s">
        <v>84</v>
      </c>
      <c r="L37" s="32">
        <v>6955</v>
      </c>
      <c r="M37" s="154"/>
      <c r="N37" s="155"/>
      <c r="O37" s="156">
        <f>SUM(Q37-P37)</f>
        <v>0</v>
      </c>
      <c r="P37" s="156">
        <f>SUM(Q37*7/107)</f>
        <v>0</v>
      </c>
      <c r="Q37" s="157">
        <f>SUM(D37+I37-L37)</f>
        <v>0</v>
      </c>
    </row>
    <row r="38" spans="1:41" s="60" customFormat="1" ht="22.5" customHeight="1" thickBot="1" x14ac:dyDescent="0.35">
      <c r="A38" s="158"/>
      <c r="B38" s="158" t="s">
        <v>15</v>
      </c>
      <c r="C38" s="159"/>
      <c r="D38" s="160">
        <f>SUM(D37:D37)</f>
        <v>6955</v>
      </c>
      <c r="E38" s="161"/>
      <c r="F38" s="161"/>
      <c r="G38" s="162">
        <f>SUM(G37:G37)</f>
        <v>0</v>
      </c>
      <c r="H38" s="162">
        <f>SUM(H37:H37)</f>
        <v>0</v>
      </c>
      <c r="I38" s="162">
        <f>SUM(I37:I37)</f>
        <v>0</v>
      </c>
      <c r="J38" s="161"/>
      <c r="K38" s="161"/>
      <c r="L38" s="162">
        <f>SUM(L37)</f>
        <v>6955</v>
      </c>
      <c r="M38" s="158"/>
      <c r="N38" s="161"/>
      <c r="O38" s="162">
        <f>SUM(O37:O37)</f>
        <v>0</v>
      </c>
      <c r="P38" s="162">
        <f>SUM(P37:P37)</f>
        <v>0</v>
      </c>
      <c r="Q38" s="163">
        <f>SUM(Q37:Q37)</f>
        <v>0</v>
      </c>
    </row>
    <row r="39" spans="1:41" ht="22.5" customHeight="1" thickTop="1" x14ac:dyDescent="0.3">
      <c r="A39" s="115"/>
      <c r="B39" s="164" t="s">
        <v>85</v>
      </c>
      <c r="C39" s="165"/>
      <c r="D39" s="166"/>
      <c r="E39" s="167"/>
      <c r="F39" s="168"/>
      <c r="G39" s="169"/>
      <c r="H39" s="169"/>
      <c r="I39" s="169"/>
      <c r="J39" s="170"/>
      <c r="K39" s="170"/>
      <c r="L39" s="171"/>
      <c r="M39" s="117"/>
      <c r="N39" s="118"/>
      <c r="O39" s="172"/>
      <c r="P39" s="172"/>
      <c r="Q39" s="173"/>
    </row>
    <row r="40" spans="1:41" ht="22.5" customHeight="1" x14ac:dyDescent="0.3">
      <c r="A40" s="174">
        <v>1</v>
      </c>
      <c r="B40" s="175" t="s">
        <v>86</v>
      </c>
      <c r="C40" s="176" t="s">
        <v>87</v>
      </c>
      <c r="D40" s="177">
        <v>674.1</v>
      </c>
      <c r="E40" s="178"/>
      <c r="F40" s="179"/>
      <c r="G40" s="180">
        <v>0</v>
      </c>
      <c r="H40" s="180">
        <v>0</v>
      </c>
      <c r="I40" s="181">
        <v>0</v>
      </c>
      <c r="J40" s="182">
        <v>25103</v>
      </c>
      <c r="K40" s="183" t="s">
        <v>88</v>
      </c>
      <c r="L40" s="184">
        <v>674.1</v>
      </c>
      <c r="M40" s="185"/>
      <c r="N40" s="186"/>
      <c r="O40" s="187">
        <f>SUM(Q40-P40)</f>
        <v>0</v>
      </c>
      <c r="P40" s="187">
        <f>SUM(Q40*7/107)</f>
        <v>0</v>
      </c>
      <c r="Q40" s="188">
        <f>SUM(D40+I40-L40)</f>
        <v>0</v>
      </c>
    </row>
    <row r="41" spans="1:41" ht="22.5" customHeight="1" x14ac:dyDescent="0.5">
      <c r="A41" s="174">
        <v>2</v>
      </c>
      <c r="B41" s="189" t="s">
        <v>89</v>
      </c>
      <c r="C41" s="190" t="s">
        <v>90</v>
      </c>
      <c r="D41" s="191">
        <v>3210</v>
      </c>
      <c r="E41" s="178"/>
      <c r="F41" s="192"/>
      <c r="G41" s="180">
        <v>0</v>
      </c>
      <c r="H41" s="180">
        <v>0</v>
      </c>
      <c r="I41" s="181">
        <v>0</v>
      </c>
      <c r="J41" s="38">
        <v>25103</v>
      </c>
      <c r="K41" s="39" t="s">
        <v>91</v>
      </c>
      <c r="L41" s="40">
        <v>3210</v>
      </c>
      <c r="M41" s="111"/>
      <c r="N41" s="193"/>
      <c r="O41" s="187">
        <f>SUM(Q41-P41)</f>
        <v>0</v>
      </c>
      <c r="P41" s="187">
        <f>SUM(Q41*7/107)</f>
        <v>0</v>
      </c>
      <c r="Q41" s="188">
        <f>SUM(D41+I41-L41)</f>
        <v>0</v>
      </c>
    </row>
    <row r="42" spans="1:41" s="60" customFormat="1" ht="22.5" customHeight="1" thickBot="1" x14ac:dyDescent="0.35">
      <c r="A42" s="194"/>
      <c r="B42" s="194" t="s">
        <v>15</v>
      </c>
      <c r="C42" s="195"/>
      <c r="D42" s="53">
        <f>SUM(D40:D41)</f>
        <v>3884.1</v>
      </c>
      <c r="E42" s="196"/>
      <c r="F42" s="197"/>
      <c r="G42" s="109">
        <f>SUM(G40:G41)</f>
        <v>0</v>
      </c>
      <c r="H42" s="109">
        <f>SUM(H40:H41)</f>
        <v>0</v>
      </c>
      <c r="I42" s="109">
        <f>SUM(I40:I41)</f>
        <v>0</v>
      </c>
      <c r="J42" s="198"/>
      <c r="K42" s="199"/>
      <c r="L42" s="200">
        <f>SUM(L40:L41)</f>
        <v>3884.1</v>
      </c>
      <c r="M42" s="201"/>
      <c r="N42" s="202"/>
      <c r="O42" s="162">
        <f>SUM(O41:O41)</f>
        <v>0</v>
      </c>
      <c r="P42" s="162">
        <f>SUM(P41:P41)</f>
        <v>0</v>
      </c>
      <c r="Q42" s="163">
        <f>SUM(Q41:Q41)</f>
        <v>0</v>
      </c>
      <c r="R42" s="59"/>
    </row>
    <row r="43" spans="1:41" ht="22.5" customHeight="1" thickTop="1" x14ac:dyDescent="0.3">
      <c r="A43" s="61"/>
      <c r="B43" s="62" t="s">
        <v>92</v>
      </c>
      <c r="C43" s="63"/>
      <c r="D43" s="64"/>
      <c r="E43" s="203"/>
      <c r="F43" s="204"/>
      <c r="G43" s="205"/>
      <c r="H43" s="205"/>
      <c r="I43" s="205"/>
      <c r="J43" s="68"/>
      <c r="K43" s="68"/>
      <c r="L43" s="64"/>
      <c r="M43" s="61"/>
      <c r="N43" s="204"/>
      <c r="O43" s="206"/>
      <c r="P43" s="206"/>
      <c r="Q43" s="207"/>
      <c r="R43" s="2"/>
    </row>
    <row r="44" spans="1:41" ht="22.5" customHeight="1" x14ac:dyDescent="0.5">
      <c r="A44" s="208">
        <v>1</v>
      </c>
      <c r="B44" s="209" t="s">
        <v>93</v>
      </c>
      <c r="C44" s="210" t="s">
        <v>43</v>
      </c>
      <c r="D44" s="211">
        <v>10935.4</v>
      </c>
      <c r="E44" s="212"/>
      <c r="F44" s="213"/>
      <c r="G44" s="214">
        <v>0</v>
      </c>
      <c r="H44" s="214">
        <v>0</v>
      </c>
      <c r="I44" s="214">
        <v>0</v>
      </c>
      <c r="J44" s="30">
        <v>25106</v>
      </c>
      <c r="K44" s="31" t="s">
        <v>94</v>
      </c>
      <c r="L44" s="32">
        <v>10935.4</v>
      </c>
      <c r="M44" s="215"/>
      <c r="N44" s="216"/>
      <c r="O44" s="113">
        <f t="shared" ref="O44:O104" si="3">SUM(Q44-P44)</f>
        <v>0</v>
      </c>
      <c r="P44" s="113">
        <f t="shared" ref="P44:P104" si="4">SUM(Q44*7/107)</f>
        <v>0</v>
      </c>
      <c r="Q44" s="217">
        <f t="shared" ref="Q44:Q93" si="5">SUM(D44+I44-L44)</f>
        <v>0</v>
      </c>
      <c r="R44" s="218"/>
    </row>
    <row r="45" spans="1:41" ht="22.5" customHeight="1" x14ac:dyDescent="0.5">
      <c r="A45" s="208"/>
      <c r="B45" s="209" t="s">
        <v>95</v>
      </c>
      <c r="C45" s="210" t="s">
        <v>43</v>
      </c>
      <c r="D45" s="211">
        <v>4226.5</v>
      </c>
      <c r="E45" s="212"/>
      <c r="F45" s="213"/>
      <c r="G45" s="214">
        <v>0</v>
      </c>
      <c r="H45" s="214">
        <v>0</v>
      </c>
      <c r="I45" s="214">
        <v>0</v>
      </c>
      <c r="J45" s="30">
        <v>25106</v>
      </c>
      <c r="K45" s="31" t="s">
        <v>94</v>
      </c>
      <c r="L45" s="32">
        <v>4226.5</v>
      </c>
      <c r="M45" s="215"/>
      <c r="N45" s="216"/>
      <c r="O45" s="113">
        <f t="shared" si="3"/>
        <v>0</v>
      </c>
      <c r="P45" s="113">
        <f t="shared" si="4"/>
        <v>0</v>
      </c>
      <c r="Q45" s="217">
        <f t="shared" si="5"/>
        <v>0</v>
      </c>
      <c r="R45" s="218"/>
    </row>
    <row r="46" spans="1:41" ht="22.5" customHeight="1" x14ac:dyDescent="0.5">
      <c r="A46" s="208">
        <v>2</v>
      </c>
      <c r="B46" s="73" t="s">
        <v>96</v>
      </c>
      <c r="C46" s="25" t="s">
        <v>97</v>
      </c>
      <c r="D46" s="211">
        <v>7318.8</v>
      </c>
      <c r="E46" s="212">
        <v>25051</v>
      </c>
      <c r="F46" s="213" t="s">
        <v>33</v>
      </c>
      <c r="G46" s="219">
        <v>7919.9999999999982</v>
      </c>
      <c r="H46" s="214">
        <v>554.39999999999986</v>
      </c>
      <c r="I46" s="219">
        <v>8474.3999999999978</v>
      </c>
      <c r="J46" s="30">
        <v>25089</v>
      </c>
      <c r="K46" s="220" t="s">
        <v>98</v>
      </c>
      <c r="L46" s="221">
        <v>8474.4</v>
      </c>
      <c r="M46" s="215">
        <v>25082</v>
      </c>
      <c r="N46" s="216" t="s">
        <v>35</v>
      </c>
      <c r="O46" s="113">
        <f t="shared" si="3"/>
        <v>6839.9999999999973</v>
      </c>
      <c r="P46" s="113">
        <f t="shared" si="4"/>
        <v>478.79999999999984</v>
      </c>
      <c r="Q46" s="217">
        <f t="shared" si="5"/>
        <v>7318.7999999999975</v>
      </c>
      <c r="R46" s="2"/>
    </row>
    <row r="47" spans="1:41" ht="22.5" customHeight="1" x14ac:dyDescent="0.5">
      <c r="A47" s="208">
        <v>3</v>
      </c>
      <c r="B47" s="73" t="s">
        <v>99</v>
      </c>
      <c r="C47" s="25" t="s">
        <v>100</v>
      </c>
      <c r="D47" s="211">
        <v>4397.7</v>
      </c>
      <c r="E47" s="212"/>
      <c r="F47" s="213"/>
      <c r="G47" s="219">
        <v>-8.4999504838591423E-13</v>
      </c>
      <c r="H47" s="214">
        <v>-5.9499653387013991E-14</v>
      </c>
      <c r="I47" s="219">
        <v>-9.0949470177292824E-13</v>
      </c>
      <c r="J47" s="30">
        <v>25111</v>
      </c>
      <c r="K47" s="31" t="s">
        <v>101</v>
      </c>
      <c r="L47" s="32">
        <v>4397.7</v>
      </c>
      <c r="M47" s="215"/>
      <c r="N47" s="216"/>
      <c r="O47" s="113">
        <f t="shared" si="3"/>
        <v>-8.4999504838591423E-13</v>
      </c>
      <c r="P47" s="113">
        <f t="shared" si="4"/>
        <v>-5.9499653387013991E-14</v>
      </c>
      <c r="Q47" s="217">
        <f t="shared" si="5"/>
        <v>-9.0949470177292824E-13</v>
      </c>
      <c r="R47" s="2"/>
    </row>
    <row r="48" spans="1:41" ht="22.5" customHeight="1" x14ac:dyDescent="0.5">
      <c r="A48" s="208"/>
      <c r="B48" s="24" t="s">
        <v>102</v>
      </c>
      <c r="C48" s="222" t="s">
        <v>100</v>
      </c>
      <c r="D48" s="211">
        <v>203.3</v>
      </c>
      <c r="E48" s="212"/>
      <c r="F48" s="213"/>
      <c r="G48" s="219"/>
      <c r="H48" s="214"/>
      <c r="I48" s="219"/>
      <c r="J48" s="30">
        <v>25111</v>
      </c>
      <c r="K48" s="31" t="s">
        <v>101</v>
      </c>
      <c r="L48" s="32">
        <v>203.3</v>
      </c>
      <c r="M48" s="215"/>
      <c r="N48" s="216"/>
      <c r="O48" s="113"/>
      <c r="P48" s="113"/>
      <c r="Q48" s="217"/>
      <c r="R48" s="2"/>
    </row>
    <row r="49" spans="1:18" ht="22.5" customHeight="1" x14ac:dyDescent="0.5">
      <c r="A49" s="208">
        <v>4</v>
      </c>
      <c r="B49" s="73" t="s">
        <v>103</v>
      </c>
      <c r="C49" s="25" t="s">
        <v>97</v>
      </c>
      <c r="D49" s="211">
        <v>4772.2</v>
      </c>
      <c r="E49" s="212"/>
      <c r="F49" s="213"/>
      <c r="G49" s="219">
        <v>0</v>
      </c>
      <c r="H49" s="214">
        <v>0</v>
      </c>
      <c r="I49" s="219">
        <v>0</v>
      </c>
      <c r="J49" s="30"/>
      <c r="K49" s="31"/>
      <c r="L49" s="32"/>
      <c r="M49" s="215">
        <v>25082</v>
      </c>
      <c r="N49" s="216" t="s">
        <v>35</v>
      </c>
      <c r="O49" s="113">
        <f t="shared" si="3"/>
        <v>4460</v>
      </c>
      <c r="P49" s="113">
        <f t="shared" si="4"/>
        <v>312.2</v>
      </c>
      <c r="Q49" s="217">
        <f t="shared" si="5"/>
        <v>4772.2</v>
      </c>
      <c r="R49" s="2"/>
    </row>
    <row r="50" spans="1:18" ht="22.5" customHeight="1" x14ac:dyDescent="0.5">
      <c r="A50" s="208"/>
      <c r="B50" s="73" t="s">
        <v>104</v>
      </c>
      <c r="C50" s="25" t="s">
        <v>97</v>
      </c>
      <c r="D50" s="211">
        <v>18500.3</v>
      </c>
      <c r="E50" s="212"/>
      <c r="F50" s="213"/>
      <c r="G50" s="219">
        <v>0</v>
      </c>
      <c r="H50" s="214">
        <v>0</v>
      </c>
      <c r="I50" s="219">
        <v>0</v>
      </c>
      <c r="J50" s="30"/>
      <c r="K50" s="31"/>
      <c r="L50" s="32"/>
      <c r="M50" s="215">
        <v>25082</v>
      </c>
      <c r="N50" s="216" t="s">
        <v>35</v>
      </c>
      <c r="O50" s="113">
        <f t="shared" si="3"/>
        <v>17290</v>
      </c>
      <c r="P50" s="113">
        <f t="shared" si="4"/>
        <v>1210.3</v>
      </c>
      <c r="Q50" s="217">
        <f t="shared" si="5"/>
        <v>18500.3</v>
      </c>
      <c r="R50" s="2"/>
    </row>
    <row r="51" spans="1:18" ht="22.5" customHeight="1" x14ac:dyDescent="0.5">
      <c r="A51" s="208">
        <v>5</v>
      </c>
      <c r="B51" s="73" t="s">
        <v>105</v>
      </c>
      <c r="C51" s="25" t="s">
        <v>97</v>
      </c>
      <c r="D51" s="211">
        <v>14038.4</v>
      </c>
      <c r="E51" s="212">
        <v>25051</v>
      </c>
      <c r="F51" s="213" t="s">
        <v>33</v>
      </c>
      <c r="G51" s="219">
        <v>14980</v>
      </c>
      <c r="H51" s="214">
        <v>1048.5999999999999</v>
      </c>
      <c r="I51" s="219">
        <v>16028.6</v>
      </c>
      <c r="J51" s="30">
        <v>25082</v>
      </c>
      <c r="K51" s="31" t="s">
        <v>106</v>
      </c>
      <c r="L51" s="32">
        <v>16028.6</v>
      </c>
      <c r="M51" s="215">
        <v>25082</v>
      </c>
      <c r="N51" s="216" t="s">
        <v>35</v>
      </c>
      <c r="O51" s="113">
        <f t="shared" si="3"/>
        <v>13120</v>
      </c>
      <c r="P51" s="113">
        <f t="shared" si="4"/>
        <v>918.4</v>
      </c>
      <c r="Q51" s="217">
        <f t="shared" si="5"/>
        <v>14038.4</v>
      </c>
      <c r="R51" s="2"/>
    </row>
    <row r="52" spans="1:18" ht="22.5" customHeight="1" x14ac:dyDescent="0.5">
      <c r="A52" s="208">
        <v>6</v>
      </c>
      <c r="B52" s="73" t="s">
        <v>107</v>
      </c>
      <c r="C52" s="25" t="s">
        <v>97</v>
      </c>
      <c r="D52" s="211">
        <v>535</v>
      </c>
      <c r="E52" s="212">
        <v>25051</v>
      </c>
      <c r="F52" s="213" t="s">
        <v>33</v>
      </c>
      <c r="G52" s="219">
        <v>500</v>
      </c>
      <c r="H52" s="214">
        <v>35</v>
      </c>
      <c r="I52" s="219">
        <v>535</v>
      </c>
      <c r="J52" s="30">
        <v>25085</v>
      </c>
      <c r="K52" s="31" t="s">
        <v>108</v>
      </c>
      <c r="L52" s="32">
        <v>535</v>
      </c>
      <c r="M52" s="215">
        <v>25082</v>
      </c>
      <c r="N52" s="216" t="s">
        <v>35</v>
      </c>
      <c r="O52" s="113">
        <f t="shared" si="3"/>
        <v>500</v>
      </c>
      <c r="P52" s="113">
        <f t="shared" si="4"/>
        <v>35</v>
      </c>
      <c r="Q52" s="217">
        <f t="shared" si="5"/>
        <v>535</v>
      </c>
      <c r="R52" s="2"/>
    </row>
    <row r="53" spans="1:18" ht="22.5" customHeight="1" x14ac:dyDescent="0.5">
      <c r="A53" s="208">
        <v>7</v>
      </c>
      <c r="B53" s="209" t="s">
        <v>109</v>
      </c>
      <c r="C53" s="210" t="s">
        <v>97</v>
      </c>
      <c r="D53" s="211">
        <v>36690.300000000003</v>
      </c>
      <c r="E53" s="212"/>
      <c r="F53" s="213"/>
      <c r="G53" s="214">
        <v>0</v>
      </c>
      <c r="H53" s="214">
        <v>0</v>
      </c>
      <c r="I53" s="214">
        <v>0</v>
      </c>
      <c r="J53" s="30"/>
      <c r="K53" s="31"/>
      <c r="L53" s="32"/>
      <c r="M53" s="215">
        <v>25082</v>
      </c>
      <c r="N53" s="216" t="s">
        <v>35</v>
      </c>
      <c r="O53" s="113">
        <f t="shared" si="3"/>
        <v>34290</v>
      </c>
      <c r="P53" s="113">
        <f t="shared" si="4"/>
        <v>2400.3000000000002</v>
      </c>
      <c r="Q53" s="217">
        <f t="shared" si="5"/>
        <v>36690.300000000003</v>
      </c>
      <c r="R53" s="218"/>
    </row>
    <row r="54" spans="1:18" ht="22.5" customHeight="1" x14ac:dyDescent="0.5">
      <c r="A54" s="208">
        <v>8</v>
      </c>
      <c r="B54" s="73" t="s">
        <v>110</v>
      </c>
      <c r="C54" s="25" t="s">
        <v>87</v>
      </c>
      <c r="D54" s="211">
        <v>8228.2999999999993</v>
      </c>
      <c r="E54" s="212"/>
      <c r="F54" s="213"/>
      <c r="G54" s="219">
        <v>0</v>
      </c>
      <c r="H54" s="214">
        <v>0</v>
      </c>
      <c r="I54" s="219">
        <v>0</v>
      </c>
      <c r="J54" s="30">
        <v>25103</v>
      </c>
      <c r="K54" s="31" t="s">
        <v>111</v>
      </c>
      <c r="L54" s="32">
        <v>8228.2999999999993</v>
      </c>
      <c r="M54" s="215"/>
      <c r="N54" s="216"/>
      <c r="O54" s="113">
        <v>0</v>
      </c>
      <c r="P54" s="113">
        <v>0</v>
      </c>
      <c r="Q54" s="217">
        <f t="shared" si="5"/>
        <v>0</v>
      </c>
      <c r="R54" s="2"/>
    </row>
    <row r="55" spans="1:18" ht="22.5" customHeight="1" x14ac:dyDescent="0.5">
      <c r="A55" s="208">
        <v>9</v>
      </c>
      <c r="B55" s="73" t="s">
        <v>112</v>
      </c>
      <c r="C55" s="25" t="s">
        <v>113</v>
      </c>
      <c r="D55" s="211">
        <v>2835.5</v>
      </c>
      <c r="E55" s="212">
        <v>25051</v>
      </c>
      <c r="F55" s="213" t="s">
        <v>33</v>
      </c>
      <c r="G55" s="219">
        <v>3650</v>
      </c>
      <c r="H55" s="214">
        <v>255.5</v>
      </c>
      <c r="I55" s="219">
        <v>3905.5</v>
      </c>
      <c r="J55" s="30"/>
      <c r="K55" s="31"/>
      <c r="L55" s="32"/>
      <c r="M55" s="215" t="s">
        <v>114</v>
      </c>
      <c r="N55" s="216" t="s">
        <v>115</v>
      </c>
      <c r="O55" s="113">
        <f>SUM(Q55-P55)</f>
        <v>6300</v>
      </c>
      <c r="P55" s="113">
        <f>SUM(Q55*7/107)</f>
        <v>441</v>
      </c>
      <c r="Q55" s="217">
        <f t="shared" si="5"/>
        <v>6741</v>
      </c>
      <c r="R55" s="2"/>
    </row>
    <row r="56" spans="1:18" ht="22.5" customHeight="1" x14ac:dyDescent="0.5">
      <c r="A56" s="208"/>
      <c r="B56" s="73" t="s">
        <v>116</v>
      </c>
      <c r="C56" s="25" t="s">
        <v>113</v>
      </c>
      <c r="D56" s="211">
        <v>1744.1</v>
      </c>
      <c r="E56" s="212">
        <v>25051</v>
      </c>
      <c r="F56" s="213" t="s">
        <v>33</v>
      </c>
      <c r="G56" s="219">
        <v>1300.0000000000018</v>
      </c>
      <c r="H56" s="214">
        <v>91.000000000000114</v>
      </c>
      <c r="I56" s="219">
        <v>1391.0000000000018</v>
      </c>
      <c r="J56" s="30"/>
      <c r="K56" s="31"/>
      <c r="L56" s="32"/>
      <c r="M56" s="215" t="s">
        <v>114</v>
      </c>
      <c r="N56" s="216" t="s">
        <v>115</v>
      </c>
      <c r="O56" s="113">
        <f>SUM(Q56-P56)</f>
        <v>2930.0000000000018</v>
      </c>
      <c r="P56" s="113">
        <f>SUM(Q56*7/107)</f>
        <v>205.10000000000011</v>
      </c>
      <c r="Q56" s="217">
        <f t="shared" si="5"/>
        <v>3135.1000000000017</v>
      </c>
      <c r="R56" s="2"/>
    </row>
    <row r="57" spans="1:18" ht="22.5" customHeight="1" x14ac:dyDescent="0.5">
      <c r="A57" s="208">
        <v>10</v>
      </c>
      <c r="B57" s="73" t="s">
        <v>117</v>
      </c>
      <c r="C57" s="25" t="s">
        <v>118</v>
      </c>
      <c r="D57" s="211">
        <v>973.7</v>
      </c>
      <c r="E57" s="212"/>
      <c r="F57" s="213"/>
      <c r="G57" s="219">
        <v>0</v>
      </c>
      <c r="H57" s="214">
        <v>0</v>
      </c>
      <c r="I57" s="219">
        <v>0</v>
      </c>
      <c r="J57" s="30">
        <v>25110</v>
      </c>
      <c r="K57" s="31" t="s">
        <v>119</v>
      </c>
      <c r="L57" s="32">
        <v>973.7</v>
      </c>
      <c r="M57" s="215"/>
      <c r="N57" s="216"/>
      <c r="O57" s="113">
        <v>0</v>
      </c>
      <c r="P57" s="113">
        <v>0</v>
      </c>
      <c r="Q57" s="217">
        <f t="shared" si="5"/>
        <v>0</v>
      </c>
      <c r="R57" s="2"/>
    </row>
    <row r="58" spans="1:18" ht="22.5" customHeight="1" x14ac:dyDescent="0.5">
      <c r="A58" s="208"/>
      <c r="B58" s="73" t="s">
        <v>120</v>
      </c>
      <c r="C58" s="25" t="s">
        <v>118</v>
      </c>
      <c r="D58" s="211">
        <v>2642.9</v>
      </c>
      <c r="E58" s="212"/>
      <c r="F58" s="213"/>
      <c r="G58" s="219">
        <v>0</v>
      </c>
      <c r="H58" s="214">
        <v>0</v>
      </c>
      <c r="I58" s="219">
        <v>0</v>
      </c>
      <c r="J58" s="30">
        <v>25110</v>
      </c>
      <c r="K58" s="31" t="s">
        <v>119</v>
      </c>
      <c r="L58" s="32">
        <v>2642.9</v>
      </c>
      <c r="M58" s="215"/>
      <c r="N58" s="216"/>
      <c r="O58" s="113">
        <v>0</v>
      </c>
      <c r="P58" s="113">
        <v>0</v>
      </c>
      <c r="Q58" s="217">
        <f t="shared" si="5"/>
        <v>0</v>
      </c>
      <c r="R58" s="2"/>
    </row>
    <row r="59" spans="1:18" ht="22.5" customHeight="1" x14ac:dyDescent="0.5">
      <c r="A59" s="208">
        <v>11</v>
      </c>
      <c r="B59" s="73" t="s">
        <v>121</v>
      </c>
      <c r="C59" s="83" t="s">
        <v>122</v>
      </c>
      <c r="D59" s="211">
        <v>11695.1</v>
      </c>
      <c r="E59" s="212"/>
      <c r="F59" s="213"/>
      <c r="G59" s="219">
        <v>0</v>
      </c>
      <c r="H59" s="214">
        <v>0</v>
      </c>
      <c r="I59" s="219">
        <v>0</v>
      </c>
      <c r="J59" s="30">
        <v>25103</v>
      </c>
      <c r="K59" s="31" t="s">
        <v>123</v>
      </c>
      <c r="L59" s="32">
        <v>11695.1</v>
      </c>
      <c r="M59" s="215"/>
      <c r="N59" s="216"/>
      <c r="O59" s="113">
        <v>0</v>
      </c>
      <c r="P59" s="113">
        <v>0</v>
      </c>
      <c r="Q59" s="217">
        <f t="shared" si="5"/>
        <v>0</v>
      </c>
      <c r="R59" s="223"/>
    </row>
    <row r="60" spans="1:18" ht="22.5" customHeight="1" x14ac:dyDescent="0.5">
      <c r="A60" s="208"/>
      <c r="B60" s="73" t="s">
        <v>121</v>
      </c>
      <c r="C60" s="83" t="s">
        <v>122</v>
      </c>
      <c r="D60" s="211">
        <v>2921.1</v>
      </c>
      <c r="E60" s="212"/>
      <c r="F60" s="213"/>
      <c r="G60" s="219">
        <v>0</v>
      </c>
      <c r="H60" s="214">
        <v>0</v>
      </c>
      <c r="I60" s="219">
        <v>0</v>
      </c>
      <c r="J60" s="30">
        <v>25103</v>
      </c>
      <c r="K60" s="31" t="s">
        <v>123</v>
      </c>
      <c r="L60" s="32">
        <v>2921.1</v>
      </c>
      <c r="M60" s="215"/>
      <c r="N60" s="216"/>
      <c r="O60" s="113">
        <f t="shared" si="3"/>
        <v>0</v>
      </c>
      <c r="P60" s="113">
        <f t="shared" si="4"/>
        <v>0</v>
      </c>
      <c r="Q60" s="217">
        <f t="shared" si="5"/>
        <v>0</v>
      </c>
      <c r="R60" s="223"/>
    </row>
    <row r="61" spans="1:18" ht="22.5" customHeight="1" x14ac:dyDescent="0.5">
      <c r="A61" s="208">
        <v>12</v>
      </c>
      <c r="B61" s="73" t="s">
        <v>124</v>
      </c>
      <c r="C61" s="83" t="s">
        <v>125</v>
      </c>
      <c r="D61" s="211">
        <v>8067.8</v>
      </c>
      <c r="E61" s="212"/>
      <c r="F61" s="213"/>
      <c r="G61" s="219">
        <v>0</v>
      </c>
      <c r="H61" s="214">
        <v>0</v>
      </c>
      <c r="I61" s="219">
        <v>0</v>
      </c>
      <c r="J61" s="30">
        <v>25111</v>
      </c>
      <c r="K61" s="31" t="s">
        <v>126</v>
      </c>
      <c r="L61" s="32">
        <v>8067.8</v>
      </c>
      <c r="M61" s="215"/>
      <c r="N61" s="216"/>
      <c r="O61" s="113">
        <f t="shared" si="3"/>
        <v>0</v>
      </c>
      <c r="P61" s="113">
        <f t="shared" si="4"/>
        <v>0</v>
      </c>
      <c r="Q61" s="217">
        <f t="shared" si="5"/>
        <v>0</v>
      </c>
      <c r="R61" s="2"/>
    </row>
    <row r="62" spans="1:18" ht="22.5" customHeight="1" x14ac:dyDescent="0.5">
      <c r="A62" s="208">
        <v>13</v>
      </c>
      <c r="B62" s="78" t="s">
        <v>127</v>
      </c>
      <c r="C62" s="25" t="s">
        <v>128</v>
      </c>
      <c r="D62" s="211"/>
      <c r="E62" s="212"/>
      <c r="F62" s="213"/>
      <c r="G62" s="224">
        <v>0</v>
      </c>
      <c r="H62" s="214">
        <v>0</v>
      </c>
      <c r="I62" s="219">
        <v>0</v>
      </c>
      <c r="J62" s="38"/>
      <c r="K62" s="39"/>
      <c r="L62" s="40"/>
      <c r="M62" s="215"/>
      <c r="N62" s="216"/>
      <c r="O62" s="113">
        <f t="shared" si="3"/>
        <v>0</v>
      </c>
      <c r="P62" s="113">
        <f t="shared" si="4"/>
        <v>0</v>
      </c>
      <c r="Q62" s="217">
        <f t="shared" si="5"/>
        <v>0</v>
      </c>
      <c r="R62" s="2"/>
    </row>
    <row r="63" spans="1:18" ht="22.5" customHeight="1" x14ac:dyDescent="0.5">
      <c r="A63" s="208">
        <v>14</v>
      </c>
      <c r="B63" s="78" t="s">
        <v>129</v>
      </c>
      <c r="C63" s="210" t="s">
        <v>130</v>
      </c>
      <c r="D63" s="211">
        <v>12711.6</v>
      </c>
      <c r="E63" s="212">
        <v>25051</v>
      </c>
      <c r="F63" s="213" t="s">
        <v>33</v>
      </c>
      <c r="G63" s="224">
        <v>16150</v>
      </c>
      <c r="H63" s="214">
        <v>1130.5</v>
      </c>
      <c r="I63" s="219">
        <v>17280.5</v>
      </c>
      <c r="J63" s="30">
        <v>25110</v>
      </c>
      <c r="K63" s="31" t="s">
        <v>131</v>
      </c>
      <c r="L63" s="32">
        <v>17280.5</v>
      </c>
      <c r="M63" s="215">
        <v>25082</v>
      </c>
      <c r="N63" s="216" t="s">
        <v>35</v>
      </c>
      <c r="O63" s="113">
        <f t="shared" si="3"/>
        <v>11879.999999999998</v>
      </c>
      <c r="P63" s="113">
        <f t="shared" si="4"/>
        <v>831.5999999999998</v>
      </c>
      <c r="Q63" s="217">
        <f t="shared" si="5"/>
        <v>12711.599999999999</v>
      </c>
      <c r="R63" s="2"/>
    </row>
    <row r="64" spans="1:18" ht="22.5" customHeight="1" x14ac:dyDescent="0.5">
      <c r="A64" s="208"/>
      <c r="B64" s="78" t="s">
        <v>132</v>
      </c>
      <c r="C64" s="210" t="s">
        <v>130</v>
      </c>
      <c r="D64" s="211">
        <v>28793.699999999997</v>
      </c>
      <c r="E64" s="212">
        <v>25051</v>
      </c>
      <c r="F64" s="213" t="s">
        <v>33</v>
      </c>
      <c r="G64" s="224">
        <v>27760</v>
      </c>
      <c r="H64" s="214">
        <v>1943.2</v>
      </c>
      <c r="I64" s="219">
        <v>29703.200000000001</v>
      </c>
      <c r="J64" s="30">
        <v>25091</v>
      </c>
      <c r="K64" s="31" t="s">
        <v>133</v>
      </c>
      <c r="L64" s="32">
        <v>29703.200000000001</v>
      </c>
      <c r="M64" s="215">
        <v>25082</v>
      </c>
      <c r="N64" s="216" t="s">
        <v>35</v>
      </c>
      <c r="O64" s="113">
        <f t="shared" si="3"/>
        <v>26909.999999999993</v>
      </c>
      <c r="P64" s="113">
        <f t="shared" si="4"/>
        <v>1883.6999999999996</v>
      </c>
      <c r="Q64" s="217">
        <f t="shared" si="5"/>
        <v>28793.699999999993</v>
      </c>
      <c r="R64" s="2"/>
    </row>
    <row r="65" spans="1:18" ht="22.5" customHeight="1" x14ac:dyDescent="0.5">
      <c r="A65" s="208">
        <v>15</v>
      </c>
      <c r="B65" s="78" t="s">
        <v>134</v>
      </c>
      <c r="C65" s="165" t="s">
        <v>135</v>
      </c>
      <c r="D65" s="211">
        <v>6452.0999999999995</v>
      </c>
      <c r="E65" s="212">
        <v>25051</v>
      </c>
      <c r="F65" s="213" t="s">
        <v>33</v>
      </c>
      <c r="G65" s="224">
        <v>6780</v>
      </c>
      <c r="H65" s="214">
        <v>474.6</v>
      </c>
      <c r="I65" s="219">
        <v>7254.6</v>
      </c>
      <c r="J65" s="38">
        <v>25083</v>
      </c>
      <c r="K65" s="39" t="s">
        <v>136</v>
      </c>
      <c r="L65" s="40">
        <v>7254.6</v>
      </c>
      <c r="M65" s="215">
        <v>25082</v>
      </c>
      <c r="N65" s="216" t="s">
        <v>35</v>
      </c>
      <c r="O65" s="113">
        <f t="shared" si="3"/>
        <v>6030</v>
      </c>
      <c r="P65" s="113">
        <f t="shared" si="4"/>
        <v>422.1</v>
      </c>
      <c r="Q65" s="217">
        <f t="shared" si="5"/>
        <v>6452.1</v>
      </c>
      <c r="R65" s="2"/>
    </row>
    <row r="66" spans="1:18" s="229" customFormat="1" ht="22.5" customHeight="1" x14ac:dyDescent="0.5">
      <c r="A66" s="225">
        <v>16</v>
      </c>
      <c r="B66" s="226" t="s">
        <v>137</v>
      </c>
      <c r="C66" s="227"/>
      <c r="D66" s="211">
        <v>2428.9</v>
      </c>
      <c r="E66" s="212">
        <v>25051</v>
      </c>
      <c r="F66" s="228" t="s">
        <v>33</v>
      </c>
      <c r="G66" s="224">
        <v>2140.0000000000005</v>
      </c>
      <c r="H66" s="214">
        <v>149.80000000000004</v>
      </c>
      <c r="I66" s="224">
        <v>2289.8000000000006</v>
      </c>
      <c r="J66" s="38">
        <v>25085</v>
      </c>
      <c r="K66" s="39" t="s">
        <v>138</v>
      </c>
      <c r="L66" s="40">
        <v>2289.8000000000002</v>
      </c>
      <c r="M66" s="215">
        <v>25082</v>
      </c>
      <c r="N66" s="216" t="s">
        <v>35</v>
      </c>
      <c r="O66" s="113">
        <f>SUM(Q66-P66)</f>
        <v>2270.0000000000005</v>
      </c>
      <c r="P66" s="113">
        <f>SUM(Q66*7/107)</f>
        <v>158.90000000000003</v>
      </c>
      <c r="Q66" s="217">
        <f>SUM(D66+I66-L66)</f>
        <v>2428.9000000000005</v>
      </c>
      <c r="R66" s="47"/>
    </row>
    <row r="67" spans="1:18" s="229" customFormat="1" ht="22.5" customHeight="1" x14ac:dyDescent="0.5">
      <c r="A67" s="225"/>
      <c r="B67" s="226" t="s">
        <v>139</v>
      </c>
      <c r="C67" s="227" t="s">
        <v>140</v>
      </c>
      <c r="D67" s="211">
        <v>0</v>
      </c>
      <c r="E67" s="230"/>
      <c r="F67" s="231"/>
      <c r="G67" s="232">
        <v>0</v>
      </c>
      <c r="H67" s="233">
        <v>0</v>
      </c>
      <c r="I67" s="232">
        <v>0</v>
      </c>
      <c r="J67" s="38"/>
      <c r="K67" s="39"/>
      <c r="L67" s="40"/>
      <c r="M67" s="215"/>
      <c r="N67" s="216"/>
      <c r="O67" s="113">
        <f>SUM(Q67-P67)</f>
        <v>0</v>
      </c>
      <c r="P67" s="113">
        <f>SUM(Q67*7/107)</f>
        <v>0</v>
      </c>
      <c r="Q67" s="217">
        <f>SUM(D67+I67-L67)</f>
        <v>0</v>
      </c>
      <c r="R67" s="47"/>
    </row>
    <row r="68" spans="1:18" ht="22.5" customHeight="1" x14ac:dyDescent="0.5">
      <c r="A68" s="208">
        <v>17</v>
      </c>
      <c r="B68" s="78" t="s">
        <v>54</v>
      </c>
      <c r="C68" s="81" t="s">
        <v>55</v>
      </c>
      <c r="D68" s="211">
        <v>11063.8</v>
      </c>
      <c r="E68" s="212"/>
      <c r="F68" s="228"/>
      <c r="G68" s="224">
        <v>0</v>
      </c>
      <c r="H68" s="214">
        <v>0</v>
      </c>
      <c r="I68" s="224">
        <v>0</v>
      </c>
      <c r="J68" s="38"/>
      <c r="K68" s="39"/>
      <c r="L68" s="40"/>
      <c r="M68" s="215">
        <v>25082</v>
      </c>
      <c r="N68" s="216" t="s">
        <v>35</v>
      </c>
      <c r="O68" s="113">
        <f>SUM(Q68-P68)</f>
        <v>10340</v>
      </c>
      <c r="P68" s="113">
        <f>SUM(Q68*7/107)</f>
        <v>723.8</v>
      </c>
      <c r="Q68" s="217">
        <f>SUM(D68+I68-L68)</f>
        <v>11063.8</v>
      </c>
      <c r="R68" s="2"/>
    </row>
    <row r="69" spans="1:18" ht="22.5" customHeight="1" x14ac:dyDescent="0.5">
      <c r="A69" s="208">
        <v>18</v>
      </c>
      <c r="B69" s="78" t="s">
        <v>141</v>
      </c>
      <c r="C69" s="81" t="s">
        <v>142</v>
      </c>
      <c r="D69" s="211">
        <v>4815</v>
      </c>
      <c r="E69" s="234"/>
      <c r="F69" s="228"/>
      <c r="G69" s="224">
        <v>0</v>
      </c>
      <c r="H69" s="214">
        <v>0</v>
      </c>
      <c r="I69" s="224">
        <v>0</v>
      </c>
      <c r="J69" s="38">
        <v>25107</v>
      </c>
      <c r="K69" s="39" t="s">
        <v>143</v>
      </c>
      <c r="L69" s="40">
        <v>4815</v>
      </c>
      <c r="M69" s="235"/>
      <c r="N69" s="236"/>
      <c r="O69" s="113">
        <f>SUM(Q69-P69)</f>
        <v>0</v>
      </c>
      <c r="P69" s="113">
        <f>SUM(Q69*7/107)</f>
        <v>0</v>
      </c>
      <c r="Q69" s="217">
        <f t="shared" si="5"/>
        <v>0</v>
      </c>
      <c r="R69" s="2"/>
    </row>
    <row r="70" spans="1:18" ht="22.5" customHeight="1" x14ac:dyDescent="0.5">
      <c r="A70" s="208">
        <v>19</v>
      </c>
      <c r="B70" s="78" t="s">
        <v>144</v>
      </c>
      <c r="C70" s="81" t="s">
        <v>145</v>
      </c>
      <c r="D70" s="211">
        <v>128.4</v>
      </c>
      <c r="E70" s="212"/>
      <c r="F70" s="213"/>
      <c r="G70" s="224">
        <v>-4.2499752419295712E-13</v>
      </c>
      <c r="H70" s="214">
        <v>-2.9749826693506995E-14</v>
      </c>
      <c r="I70" s="224">
        <v>-4.5474735088646412E-13</v>
      </c>
      <c r="J70" s="38">
        <v>25103</v>
      </c>
      <c r="K70" s="39" t="s">
        <v>146</v>
      </c>
      <c r="L70" s="40">
        <v>128.4</v>
      </c>
      <c r="M70" s="215"/>
      <c r="N70" s="216"/>
      <c r="O70" s="113">
        <f t="shared" si="3"/>
        <v>-4.2499752419295712E-13</v>
      </c>
      <c r="P70" s="113">
        <f t="shared" si="4"/>
        <v>-2.9749826693506995E-14</v>
      </c>
      <c r="Q70" s="217">
        <f t="shared" si="5"/>
        <v>-4.5474735088646412E-13</v>
      </c>
      <c r="R70" s="2"/>
    </row>
    <row r="71" spans="1:18" ht="22.5" customHeight="1" x14ac:dyDescent="0.5">
      <c r="A71" s="208">
        <v>20</v>
      </c>
      <c r="B71" s="73" t="s">
        <v>147</v>
      </c>
      <c r="C71" s="25" t="s">
        <v>148</v>
      </c>
      <c r="D71" s="211">
        <v>0</v>
      </c>
      <c r="E71" s="234"/>
      <c r="F71" s="228"/>
      <c r="G71" s="224">
        <v>2.656234526205982E-14</v>
      </c>
      <c r="H71" s="214">
        <v>1.8593641683441872E-15</v>
      </c>
      <c r="I71" s="224">
        <v>2.8421709430404007E-14</v>
      </c>
      <c r="J71" s="38"/>
      <c r="K71" s="39"/>
      <c r="L71" s="40"/>
      <c r="M71" s="215"/>
      <c r="N71" s="216"/>
      <c r="O71" s="113">
        <f t="shared" si="3"/>
        <v>2.656234526205982E-14</v>
      </c>
      <c r="P71" s="113">
        <f t="shared" si="4"/>
        <v>1.8593641683441872E-15</v>
      </c>
      <c r="Q71" s="217">
        <f t="shared" si="5"/>
        <v>2.8421709430404007E-14</v>
      </c>
      <c r="R71" s="2"/>
    </row>
    <row r="72" spans="1:18" ht="22.5" customHeight="1" x14ac:dyDescent="0.5">
      <c r="A72" s="208">
        <v>21</v>
      </c>
      <c r="B72" s="237" t="s">
        <v>149</v>
      </c>
      <c r="C72" s="238" t="s">
        <v>150</v>
      </c>
      <c r="D72" s="211">
        <v>963</v>
      </c>
      <c r="E72" s="234"/>
      <c r="F72" s="228"/>
      <c r="G72" s="224">
        <v>0</v>
      </c>
      <c r="H72" s="214">
        <v>0</v>
      </c>
      <c r="I72" s="224">
        <v>0</v>
      </c>
      <c r="J72" s="38">
        <v>25106</v>
      </c>
      <c r="K72" s="39" t="s">
        <v>151</v>
      </c>
      <c r="L72" s="40">
        <v>963</v>
      </c>
      <c r="M72" s="239"/>
      <c r="N72" s="236"/>
      <c r="O72" s="113">
        <f t="shared" si="3"/>
        <v>0</v>
      </c>
      <c r="P72" s="113">
        <f t="shared" si="4"/>
        <v>0</v>
      </c>
      <c r="Q72" s="217">
        <f t="shared" si="5"/>
        <v>0</v>
      </c>
      <c r="R72" s="2"/>
    </row>
    <row r="73" spans="1:18" ht="22.5" customHeight="1" x14ac:dyDescent="0.5">
      <c r="A73" s="208">
        <v>22</v>
      </c>
      <c r="B73" s="240" t="s">
        <v>152</v>
      </c>
      <c r="C73" s="83" t="s">
        <v>153</v>
      </c>
      <c r="D73" s="211">
        <v>16060.7</v>
      </c>
      <c r="E73" s="234">
        <v>25051</v>
      </c>
      <c r="F73" s="228" t="s">
        <v>33</v>
      </c>
      <c r="G73" s="224">
        <v>8529.9999999999964</v>
      </c>
      <c r="H73" s="214">
        <v>597.0999999999998</v>
      </c>
      <c r="I73" s="224">
        <v>9127.0999999999967</v>
      </c>
      <c r="J73" s="38" t="s">
        <v>154</v>
      </c>
      <c r="K73" s="39" t="s">
        <v>155</v>
      </c>
      <c r="L73" s="40">
        <v>25187.8</v>
      </c>
      <c r="M73" s="215"/>
      <c r="N73" s="216"/>
      <c r="O73" s="113">
        <f t="shared" si="3"/>
        <v>-3.3999801935436569E-12</v>
      </c>
      <c r="P73" s="113">
        <f t="shared" si="4"/>
        <v>-2.3799861354805596E-13</v>
      </c>
      <c r="Q73" s="217">
        <f t="shared" si="5"/>
        <v>-3.637978807091713E-12</v>
      </c>
      <c r="R73" s="2"/>
    </row>
    <row r="74" spans="1:18" ht="22.5" customHeight="1" x14ac:dyDescent="0.5">
      <c r="A74" s="208"/>
      <c r="B74" s="240" t="s">
        <v>156</v>
      </c>
      <c r="C74" s="83"/>
      <c r="D74" s="211">
        <v>17023.7</v>
      </c>
      <c r="E74" s="234">
        <v>25051</v>
      </c>
      <c r="F74" s="228" t="s">
        <v>33</v>
      </c>
      <c r="G74" s="224">
        <v>16580</v>
      </c>
      <c r="H74" s="241">
        <v>1160.5999999999999</v>
      </c>
      <c r="I74" s="224">
        <v>17740.599999999999</v>
      </c>
      <c r="J74" s="38" t="s">
        <v>154</v>
      </c>
      <c r="K74" s="39" t="s">
        <v>155</v>
      </c>
      <c r="L74" s="40">
        <v>34764.300000000003</v>
      </c>
      <c r="M74" s="215"/>
      <c r="N74" s="216"/>
      <c r="O74" s="113">
        <f t="shared" si="3"/>
        <v>0</v>
      </c>
      <c r="P74" s="113">
        <f t="shared" si="4"/>
        <v>0</v>
      </c>
      <c r="Q74" s="217">
        <f t="shared" si="5"/>
        <v>0</v>
      </c>
      <c r="R74" s="2"/>
    </row>
    <row r="75" spans="1:18" ht="22.5" customHeight="1" x14ac:dyDescent="0.5">
      <c r="A75" s="208">
        <v>23</v>
      </c>
      <c r="B75" s="240" t="s">
        <v>157</v>
      </c>
      <c r="C75" s="83" t="s">
        <v>158</v>
      </c>
      <c r="D75" s="211">
        <v>2824.8</v>
      </c>
      <c r="E75" s="234"/>
      <c r="F75" s="228"/>
      <c r="G75" s="224">
        <v>0</v>
      </c>
      <c r="H75" s="241">
        <v>0</v>
      </c>
      <c r="I75" s="224">
        <v>0</v>
      </c>
      <c r="J75" s="38">
        <v>25100</v>
      </c>
      <c r="K75" s="39" t="s">
        <v>159</v>
      </c>
      <c r="L75" s="40">
        <v>2824.8</v>
      </c>
      <c r="M75" s="239"/>
      <c r="N75" s="236"/>
      <c r="O75" s="113">
        <f t="shared" si="3"/>
        <v>0</v>
      </c>
      <c r="P75" s="113">
        <f t="shared" si="4"/>
        <v>0</v>
      </c>
      <c r="Q75" s="217">
        <f t="shared" si="5"/>
        <v>0</v>
      </c>
      <c r="R75" s="2"/>
    </row>
    <row r="76" spans="1:18" ht="22.5" customHeight="1" x14ac:dyDescent="0.5">
      <c r="A76" s="208">
        <v>24</v>
      </c>
      <c r="B76" s="240" t="s">
        <v>160</v>
      </c>
      <c r="C76" s="83" t="s">
        <v>161</v>
      </c>
      <c r="D76" s="211">
        <v>0</v>
      </c>
      <c r="E76" s="212"/>
      <c r="F76" s="228"/>
      <c r="G76" s="224">
        <v>0</v>
      </c>
      <c r="H76" s="241">
        <v>0</v>
      </c>
      <c r="I76" s="224">
        <v>0</v>
      </c>
      <c r="J76" s="38"/>
      <c r="K76" s="39"/>
      <c r="L76" s="40"/>
      <c r="M76" s="215"/>
      <c r="N76" s="216"/>
      <c r="O76" s="113">
        <f>SUM(Q76-P76)</f>
        <v>0</v>
      </c>
      <c r="P76" s="113">
        <f t="shared" si="4"/>
        <v>0</v>
      </c>
      <c r="Q76" s="217">
        <f t="shared" si="5"/>
        <v>0</v>
      </c>
      <c r="R76" s="2"/>
    </row>
    <row r="77" spans="1:18" ht="22.5" customHeight="1" x14ac:dyDescent="0.5">
      <c r="A77" s="208">
        <v>25</v>
      </c>
      <c r="B77" s="240" t="s">
        <v>162</v>
      </c>
      <c r="C77" s="83" t="s">
        <v>163</v>
      </c>
      <c r="D77" s="211">
        <v>3370.5</v>
      </c>
      <c r="E77" s="212">
        <v>25051</v>
      </c>
      <c r="F77" s="228" t="s">
        <v>33</v>
      </c>
      <c r="G77" s="224">
        <v>4199.9999999999973</v>
      </c>
      <c r="H77" s="241">
        <v>293.99999999999983</v>
      </c>
      <c r="I77" s="224">
        <v>4493.9999999999973</v>
      </c>
      <c r="J77" s="38">
        <v>25099</v>
      </c>
      <c r="K77" s="39" t="s">
        <v>164</v>
      </c>
      <c r="L77" s="40">
        <v>4494</v>
      </c>
      <c r="M77" s="215">
        <v>25082</v>
      </c>
      <c r="N77" s="216" t="s">
        <v>35</v>
      </c>
      <c r="O77" s="113">
        <f>SUM(Q77-P77)</f>
        <v>3149.9999999999973</v>
      </c>
      <c r="P77" s="113">
        <f t="shared" si="4"/>
        <v>220.49999999999983</v>
      </c>
      <c r="Q77" s="217">
        <f t="shared" si="5"/>
        <v>3370.4999999999973</v>
      </c>
      <c r="R77" s="2"/>
    </row>
    <row r="78" spans="1:18" ht="22.5" customHeight="1" x14ac:dyDescent="0.5">
      <c r="A78" s="208">
        <v>26</v>
      </c>
      <c r="B78" s="209" t="s">
        <v>165</v>
      </c>
      <c r="C78" s="210" t="s">
        <v>166</v>
      </c>
      <c r="D78" s="211">
        <v>203.3</v>
      </c>
      <c r="E78" s="212">
        <v>25051</v>
      </c>
      <c r="F78" s="213" t="s">
        <v>33</v>
      </c>
      <c r="G78" s="219">
        <v>180.00000000000034</v>
      </c>
      <c r="H78" s="214">
        <v>12.600000000000025</v>
      </c>
      <c r="I78" s="219">
        <v>192.60000000000036</v>
      </c>
      <c r="J78" s="38">
        <v>25082</v>
      </c>
      <c r="K78" s="39" t="s">
        <v>167</v>
      </c>
      <c r="L78" s="40">
        <v>192.6</v>
      </c>
      <c r="M78" s="215">
        <v>25082</v>
      </c>
      <c r="N78" s="216" t="s">
        <v>35</v>
      </c>
      <c r="O78" s="113">
        <f t="shared" si="3"/>
        <v>190.00000000000037</v>
      </c>
      <c r="P78" s="113">
        <f t="shared" si="4"/>
        <v>13.300000000000024</v>
      </c>
      <c r="Q78" s="217">
        <f t="shared" si="5"/>
        <v>203.30000000000038</v>
      </c>
      <c r="R78" s="2"/>
    </row>
    <row r="79" spans="1:18" ht="22.5" customHeight="1" x14ac:dyDescent="0.5">
      <c r="A79" s="242">
        <v>27</v>
      </c>
      <c r="B79" s="243" t="s">
        <v>168</v>
      </c>
      <c r="C79" s="244" t="s">
        <v>169</v>
      </c>
      <c r="D79" s="211">
        <v>0</v>
      </c>
      <c r="E79" s="212" t="s">
        <v>170</v>
      </c>
      <c r="F79" s="213" t="s">
        <v>115</v>
      </c>
      <c r="G79" s="219">
        <v>10630.000000000002</v>
      </c>
      <c r="H79" s="214">
        <v>744.10000000000014</v>
      </c>
      <c r="I79" s="219">
        <v>11374.100000000002</v>
      </c>
      <c r="J79" s="30"/>
      <c r="K79" s="31"/>
      <c r="L79" s="32"/>
      <c r="M79" s="215" t="s">
        <v>170</v>
      </c>
      <c r="N79" s="216" t="s">
        <v>115</v>
      </c>
      <c r="O79" s="113">
        <f t="shared" si="3"/>
        <v>10630.000000000002</v>
      </c>
      <c r="P79" s="113">
        <f t="shared" si="4"/>
        <v>744.10000000000014</v>
      </c>
      <c r="Q79" s="217">
        <f t="shared" si="5"/>
        <v>11374.100000000002</v>
      </c>
      <c r="R79" s="2"/>
    </row>
    <row r="80" spans="1:18" ht="22.5" customHeight="1" x14ac:dyDescent="0.5">
      <c r="A80" s="208">
        <v>28</v>
      </c>
      <c r="B80" s="209" t="s">
        <v>171</v>
      </c>
      <c r="C80" s="210"/>
      <c r="D80" s="211">
        <v>321</v>
      </c>
      <c r="E80" s="212"/>
      <c r="F80" s="213"/>
      <c r="G80" s="219">
        <v>0</v>
      </c>
      <c r="H80" s="214">
        <v>0</v>
      </c>
      <c r="I80" s="219">
        <v>0</v>
      </c>
      <c r="J80" s="38">
        <v>25100</v>
      </c>
      <c r="K80" s="39" t="s">
        <v>172</v>
      </c>
      <c r="L80" s="40">
        <v>321</v>
      </c>
      <c r="M80" s="239"/>
      <c r="N80" s="236"/>
      <c r="O80" s="113">
        <f t="shared" si="3"/>
        <v>0</v>
      </c>
      <c r="P80" s="113">
        <f t="shared" si="4"/>
        <v>0</v>
      </c>
      <c r="Q80" s="217">
        <f t="shared" si="5"/>
        <v>0</v>
      </c>
      <c r="R80" s="2"/>
    </row>
    <row r="81" spans="1:18" ht="22.5" customHeight="1" x14ac:dyDescent="0.5">
      <c r="A81" s="208">
        <v>29</v>
      </c>
      <c r="B81" s="209" t="s">
        <v>173</v>
      </c>
      <c r="C81" s="210" t="s">
        <v>174</v>
      </c>
      <c r="D81" s="211">
        <v>0</v>
      </c>
      <c r="E81" s="212"/>
      <c r="F81" s="213"/>
      <c r="G81" s="219">
        <v>0</v>
      </c>
      <c r="H81" s="214">
        <v>0</v>
      </c>
      <c r="I81" s="219">
        <v>0</v>
      </c>
      <c r="J81" s="38"/>
      <c r="K81" s="39"/>
      <c r="L81" s="40"/>
      <c r="M81" s="215"/>
      <c r="N81" s="216"/>
      <c r="O81" s="113">
        <f t="shared" si="3"/>
        <v>0</v>
      </c>
      <c r="P81" s="113">
        <f t="shared" si="4"/>
        <v>0</v>
      </c>
      <c r="Q81" s="217">
        <f t="shared" si="5"/>
        <v>0</v>
      </c>
      <c r="R81" s="2"/>
    </row>
    <row r="82" spans="1:18" ht="22.5" customHeight="1" x14ac:dyDescent="0.5">
      <c r="A82" s="208">
        <v>30</v>
      </c>
      <c r="B82" s="209" t="s">
        <v>175</v>
      </c>
      <c r="C82" s="210" t="s">
        <v>176</v>
      </c>
      <c r="D82" s="211">
        <v>0</v>
      </c>
      <c r="E82" s="212">
        <v>25051</v>
      </c>
      <c r="F82" s="213" t="s">
        <v>33</v>
      </c>
      <c r="G82" s="219">
        <v>3509.9999999999991</v>
      </c>
      <c r="H82" s="214">
        <v>245.69999999999993</v>
      </c>
      <c r="I82" s="219">
        <v>3755.6999999999989</v>
      </c>
      <c r="J82" s="30">
        <v>25089</v>
      </c>
      <c r="K82" s="31" t="s">
        <v>177</v>
      </c>
      <c r="L82" s="32">
        <v>3755.7</v>
      </c>
      <c r="M82" s="215"/>
      <c r="N82" s="216"/>
      <c r="O82" s="113">
        <f>SUM(Q82-P82)</f>
        <v>-8.4999504838591423E-13</v>
      </c>
      <c r="P82" s="113">
        <f>SUM(Q82*7/107)</f>
        <v>-5.9499653387013991E-14</v>
      </c>
      <c r="Q82" s="217">
        <f>SUM(D82+I82-L82)</f>
        <v>-9.0949470177292824E-13</v>
      </c>
      <c r="R82" s="2"/>
    </row>
    <row r="83" spans="1:18" ht="22.5" customHeight="1" x14ac:dyDescent="0.5">
      <c r="A83" s="208">
        <v>31</v>
      </c>
      <c r="B83" s="209" t="s">
        <v>178</v>
      </c>
      <c r="C83" s="210" t="s">
        <v>179</v>
      </c>
      <c r="D83" s="211">
        <v>1562.2</v>
      </c>
      <c r="E83" s="212"/>
      <c r="F83" s="213"/>
      <c r="G83" s="219">
        <v>0</v>
      </c>
      <c r="H83" s="214">
        <v>0</v>
      </c>
      <c r="I83" s="219">
        <v>0</v>
      </c>
      <c r="J83" s="38">
        <v>25110</v>
      </c>
      <c r="K83" s="39" t="s">
        <v>180</v>
      </c>
      <c r="L83" s="40">
        <v>1562.2</v>
      </c>
      <c r="M83" s="215"/>
      <c r="N83" s="216"/>
      <c r="O83" s="113">
        <f t="shared" si="3"/>
        <v>0</v>
      </c>
      <c r="P83" s="113">
        <f t="shared" si="4"/>
        <v>0</v>
      </c>
      <c r="Q83" s="217">
        <f t="shared" si="5"/>
        <v>0</v>
      </c>
      <c r="R83" s="2"/>
    </row>
    <row r="84" spans="1:18" ht="22.5" customHeight="1" x14ac:dyDescent="0.5">
      <c r="A84" s="208">
        <v>32</v>
      </c>
      <c r="B84" s="209" t="s">
        <v>181</v>
      </c>
      <c r="C84" s="210" t="s">
        <v>182</v>
      </c>
      <c r="D84" s="211">
        <v>856</v>
      </c>
      <c r="E84" s="212"/>
      <c r="F84" s="213"/>
      <c r="G84" s="219">
        <v>0</v>
      </c>
      <c r="H84" s="214">
        <v>0</v>
      </c>
      <c r="I84" s="219">
        <v>0</v>
      </c>
      <c r="J84" s="38">
        <v>25100</v>
      </c>
      <c r="K84" s="39" t="s">
        <v>183</v>
      </c>
      <c r="L84" s="40">
        <v>856</v>
      </c>
      <c r="M84" s="215"/>
      <c r="N84" s="216"/>
      <c r="O84" s="113">
        <f>SUM(Q84-P84)</f>
        <v>0</v>
      </c>
      <c r="P84" s="113">
        <f>SUM(Q84*7/107)</f>
        <v>0</v>
      </c>
      <c r="Q84" s="217">
        <f>SUM(D84+I84-L84)</f>
        <v>0</v>
      </c>
      <c r="R84" s="2"/>
    </row>
    <row r="85" spans="1:18" ht="22.5" customHeight="1" x14ac:dyDescent="0.5">
      <c r="A85" s="208">
        <v>33</v>
      </c>
      <c r="B85" s="209" t="s">
        <v>64</v>
      </c>
      <c r="C85" s="210" t="s">
        <v>184</v>
      </c>
      <c r="D85" s="211">
        <v>4226.5</v>
      </c>
      <c r="E85" s="212"/>
      <c r="F85" s="213"/>
      <c r="G85" s="219">
        <v>0</v>
      </c>
      <c r="H85" s="214">
        <v>0</v>
      </c>
      <c r="I85" s="219">
        <v>0</v>
      </c>
      <c r="J85" s="38">
        <v>25103</v>
      </c>
      <c r="K85" s="245" t="s">
        <v>185</v>
      </c>
      <c r="L85" s="246">
        <v>4226.5</v>
      </c>
      <c r="M85" s="215"/>
      <c r="N85" s="216"/>
      <c r="O85" s="113">
        <f t="shared" si="3"/>
        <v>0</v>
      </c>
      <c r="P85" s="113">
        <f t="shared" si="4"/>
        <v>0</v>
      </c>
      <c r="Q85" s="217">
        <f t="shared" si="5"/>
        <v>0</v>
      </c>
      <c r="R85" s="2"/>
    </row>
    <row r="86" spans="1:18" ht="22.5" customHeight="1" x14ac:dyDescent="0.5">
      <c r="A86" s="208"/>
      <c r="B86" s="209" t="s">
        <v>64</v>
      </c>
      <c r="C86" s="210" t="s">
        <v>184</v>
      </c>
      <c r="D86" s="211">
        <v>2717.8</v>
      </c>
      <c r="E86" s="212"/>
      <c r="F86" s="213"/>
      <c r="G86" s="219">
        <v>0</v>
      </c>
      <c r="H86" s="214">
        <v>0</v>
      </c>
      <c r="I86" s="219">
        <v>0</v>
      </c>
      <c r="J86" s="38">
        <v>25103</v>
      </c>
      <c r="K86" s="245" t="s">
        <v>185</v>
      </c>
      <c r="L86" s="246">
        <v>2717.8</v>
      </c>
      <c r="M86" s="215"/>
      <c r="N86" s="216"/>
      <c r="O86" s="113">
        <f t="shared" si="3"/>
        <v>0</v>
      </c>
      <c r="P86" s="113">
        <f t="shared" si="4"/>
        <v>0</v>
      </c>
      <c r="Q86" s="217">
        <f t="shared" si="5"/>
        <v>0</v>
      </c>
      <c r="R86" s="2"/>
    </row>
    <row r="87" spans="1:18" ht="22.5" customHeight="1" x14ac:dyDescent="0.5">
      <c r="A87" s="208">
        <v>34</v>
      </c>
      <c r="B87" s="209" t="s">
        <v>186</v>
      </c>
      <c r="C87" s="210" t="s">
        <v>187</v>
      </c>
      <c r="D87" s="211">
        <v>1166.3</v>
      </c>
      <c r="E87" s="212"/>
      <c r="F87" s="213"/>
      <c r="G87" s="219">
        <v>0</v>
      </c>
      <c r="H87" s="214">
        <v>0</v>
      </c>
      <c r="I87" s="219">
        <v>0</v>
      </c>
      <c r="J87" s="38">
        <v>25103</v>
      </c>
      <c r="K87" s="39" t="s">
        <v>188</v>
      </c>
      <c r="L87" s="246">
        <v>1166.3</v>
      </c>
      <c r="M87" s="247"/>
      <c r="N87" s="248"/>
      <c r="O87" s="113">
        <f t="shared" si="3"/>
        <v>0</v>
      </c>
      <c r="P87" s="113">
        <f t="shared" si="4"/>
        <v>0</v>
      </c>
      <c r="Q87" s="217">
        <f t="shared" si="5"/>
        <v>0</v>
      </c>
      <c r="R87" s="2"/>
    </row>
    <row r="88" spans="1:18" ht="22.5" customHeight="1" x14ac:dyDescent="0.5">
      <c r="A88" s="208">
        <v>35</v>
      </c>
      <c r="B88" s="209" t="s">
        <v>189</v>
      </c>
      <c r="C88" s="210" t="s">
        <v>190</v>
      </c>
      <c r="D88" s="211">
        <v>0</v>
      </c>
      <c r="E88" s="212"/>
      <c r="F88" s="213"/>
      <c r="G88" s="219">
        <v>0</v>
      </c>
      <c r="H88" s="214">
        <v>0</v>
      </c>
      <c r="I88" s="219">
        <v>0</v>
      </c>
      <c r="J88" s="38"/>
      <c r="K88" s="39"/>
      <c r="L88" s="246"/>
      <c r="M88" s="215"/>
      <c r="N88" s="216"/>
      <c r="O88" s="113">
        <f t="shared" si="3"/>
        <v>0</v>
      </c>
      <c r="P88" s="113">
        <f t="shared" si="4"/>
        <v>0</v>
      </c>
      <c r="Q88" s="217">
        <f t="shared" si="5"/>
        <v>0</v>
      </c>
      <c r="R88" s="2"/>
    </row>
    <row r="89" spans="1:18" ht="22.5" customHeight="1" x14ac:dyDescent="0.5">
      <c r="A89" s="208"/>
      <c r="B89" s="209" t="s">
        <v>191</v>
      </c>
      <c r="C89" s="210" t="s">
        <v>190</v>
      </c>
      <c r="D89" s="211">
        <v>7746.8</v>
      </c>
      <c r="E89" s="212">
        <v>25051</v>
      </c>
      <c r="F89" s="213" t="s">
        <v>33</v>
      </c>
      <c r="G89" s="219">
        <v>9730</v>
      </c>
      <c r="H89" s="214">
        <v>681.1</v>
      </c>
      <c r="I89" s="219">
        <v>10411.1</v>
      </c>
      <c r="J89" s="38">
        <v>25091</v>
      </c>
      <c r="K89" s="39" t="s">
        <v>192</v>
      </c>
      <c r="L89" s="246">
        <v>10411.1</v>
      </c>
      <c r="M89" s="215">
        <v>25082</v>
      </c>
      <c r="N89" s="216" t="s">
        <v>35</v>
      </c>
      <c r="O89" s="113">
        <f t="shared" si="3"/>
        <v>7240.0000000000009</v>
      </c>
      <c r="P89" s="113">
        <f t="shared" si="4"/>
        <v>506.80000000000007</v>
      </c>
      <c r="Q89" s="217">
        <f t="shared" si="5"/>
        <v>7746.8000000000011</v>
      </c>
      <c r="R89" s="2"/>
    </row>
    <row r="90" spans="1:18" ht="22.5" customHeight="1" x14ac:dyDescent="0.5">
      <c r="A90" s="208">
        <v>36</v>
      </c>
      <c r="B90" s="209" t="s">
        <v>193</v>
      </c>
      <c r="C90" s="210" t="s">
        <v>194</v>
      </c>
      <c r="D90" s="211">
        <v>2300.5</v>
      </c>
      <c r="E90" s="212"/>
      <c r="F90" s="213"/>
      <c r="G90" s="219">
        <v>0</v>
      </c>
      <c r="H90" s="214">
        <v>0</v>
      </c>
      <c r="I90" s="219">
        <v>0</v>
      </c>
      <c r="J90" s="38"/>
      <c r="K90" s="39"/>
      <c r="L90" s="246"/>
      <c r="M90" s="215">
        <v>25082</v>
      </c>
      <c r="N90" s="216" t="s">
        <v>35</v>
      </c>
      <c r="O90" s="113">
        <f t="shared" si="3"/>
        <v>2150</v>
      </c>
      <c r="P90" s="113">
        <f t="shared" si="4"/>
        <v>150.5</v>
      </c>
      <c r="Q90" s="217">
        <f t="shared" si="5"/>
        <v>2300.5</v>
      </c>
      <c r="R90" s="2"/>
    </row>
    <row r="91" spans="1:18" ht="22.5" customHeight="1" x14ac:dyDescent="0.5">
      <c r="A91" s="208">
        <v>37</v>
      </c>
      <c r="B91" s="209" t="s">
        <v>195</v>
      </c>
      <c r="C91" s="210" t="s">
        <v>196</v>
      </c>
      <c r="D91" s="211">
        <v>3841.3</v>
      </c>
      <c r="E91" s="212"/>
      <c r="F91" s="213"/>
      <c r="G91" s="219">
        <v>0</v>
      </c>
      <c r="H91" s="214">
        <v>0</v>
      </c>
      <c r="I91" s="219">
        <v>0</v>
      </c>
      <c r="J91" s="38">
        <v>25103</v>
      </c>
      <c r="K91" s="245" t="s">
        <v>197</v>
      </c>
      <c r="L91" s="246">
        <v>3841.3</v>
      </c>
      <c r="M91" s="247"/>
      <c r="N91" s="248"/>
      <c r="O91" s="113">
        <f t="shared" si="3"/>
        <v>0</v>
      </c>
      <c r="P91" s="113">
        <f t="shared" si="4"/>
        <v>0</v>
      </c>
      <c r="Q91" s="217">
        <f t="shared" si="5"/>
        <v>0</v>
      </c>
      <c r="R91" s="2"/>
    </row>
    <row r="92" spans="1:18" ht="22.5" customHeight="1" x14ac:dyDescent="0.5">
      <c r="A92" s="208">
        <v>38</v>
      </c>
      <c r="B92" s="209" t="s">
        <v>198</v>
      </c>
      <c r="C92" s="210" t="s">
        <v>46</v>
      </c>
      <c r="D92" s="211">
        <v>909.5</v>
      </c>
      <c r="E92" s="212">
        <v>25051</v>
      </c>
      <c r="F92" s="213" t="s">
        <v>33</v>
      </c>
      <c r="G92" s="219">
        <v>959.99999999999943</v>
      </c>
      <c r="H92" s="214">
        <v>67.19999999999996</v>
      </c>
      <c r="I92" s="219">
        <v>1027.1999999999994</v>
      </c>
      <c r="J92" s="38">
        <v>25092</v>
      </c>
      <c r="K92" s="245" t="s">
        <v>199</v>
      </c>
      <c r="L92" s="246">
        <v>1027.2</v>
      </c>
      <c r="M92" s="215">
        <v>25082</v>
      </c>
      <c r="N92" s="216" t="s">
        <v>35</v>
      </c>
      <c r="O92" s="113">
        <f t="shared" si="3"/>
        <v>849.99999999999932</v>
      </c>
      <c r="P92" s="113">
        <f t="shared" si="4"/>
        <v>59.499999999999957</v>
      </c>
      <c r="Q92" s="217">
        <f t="shared" si="5"/>
        <v>909.49999999999932</v>
      </c>
      <c r="R92" s="2"/>
    </row>
    <row r="93" spans="1:18" ht="22.5" customHeight="1" x14ac:dyDescent="0.5">
      <c r="A93" s="208">
        <v>39</v>
      </c>
      <c r="B93" s="209" t="s">
        <v>200</v>
      </c>
      <c r="C93" s="210" t="s">
        <v>201</v>
      </c>
      <c r="D93" s="211">
        <v>6184.6</v>
      </c>
      <c r="E93" s="212">
        <v>25051</v>
      </c>
      <c r="F93" s="213" t="s">
        <v>33</v>
      </c>
      <c r="G93" s="219">
        <v>5979.9999999999982</v>
      </c>
      <c r="H93" s="214">
        <v>418.59999999999991</v>
      </c>
      <c r="I93" s="219">
        <v>6398.5999999999985</v>
      </c>
      <c r="J93" s="38">
        <v>25096</v>
      </c>
      <c r="K93" s="245" t="s">
        <v>202</v>
      </c>
      <c r="L93" s="246">
        <v>6398.6</v>
      </c>
      <c r="M93" s="215">
        <v>25082</v>
      </c>
      <c r="N93" s="216" t="s">
        <v>35</v>
      </c>
      <c r="O93" s="113">
        <f t="shared" si="3"/>
        <v>5779.9999999999982</v>
      </c>
      <c r="P93" s="113">
        <f t="shared" si="4"/>
        <v>404.59999999999991</v>
      </c>
      <c r="Q93" s="217">
        <f t="shared" si="5"/>
        <v>6184.5999999999985</v>
      </c>
      <c r="R93" s="2"/>
    </row>
    <row r="94" spans="1:18" ht="22.5" customHeight="1" x14ac:dyDescent="0.5">
      <c r="A94" s="208">
        <v>40</v>
      </c>
      <c r="B94" s="209" t="s">
        <v>203</v>
      </c>
      <c r="C94" s="210" t="s">
        <v>204</v>
      </c>
      <c r="D94" s="211">
        <v>0</v>
      </c>
      <c r="E94" s="212"/>
      <c r="F94" s="213"/>
      <c r="G94" s="219">
        <v>0</v>
      </c>
      <c r="H94" s="214">
        <v>0</v>
      </c>
      <c r="I94" s="219">
        <v>0</v>
      </c>
      <c r="J94" s="30"/>
      <c r="K94" s="31"/>
      <c r="L94" s="221"/>
      <c r="M94" s="215"/>
      <c r="N94" s="216"/>
      <c r="O94" s="113">
        <f t="shared" si="3"/>
        <v>0</v>
      </c>
      <c r="P94" s="113">
        <f t="shared" si="4"/>
        <v>0</v>
      </c>
      <c r="Q94" s="217">
        <v>0</v>
      </c>
      <c r="R94" s="2"/>
    </row>
    <row r="95" spans="1:18" ht="22.5" customHeight="1" x14ac:dyDescent="0.5">
      <c r="A95" s="208">
        <v>41</v>
      </c>
      <c r="B95" s="209" t="s">
        <v>205</v>
      </c>
      <c r="C95" s="210" t="s">
        <v>206</v>
      </c>
      <c r="D95" s="211">
        <v>995.1</v>
      </c>
      <c r="E95" s="212"/>
      <c r="F95" s="213"/>
      <c r="G95" s="219">
        <v>0</v>
      </c>
      <c r="H95" s="214">
        <v>0</v>
      </c>
      <c r="I95" s="219">
        <v>0</v>
      </c>
      <c r="J95" s="30">
        <v>25100</v>
      </c>
      <c r="K95" s="249" t="s">
        <v>207</v>
      </c>
      <c r="L95" s="221">
        <v>995.1</v>
      </c>
      <c r="M95" s="215"/>
      <c r="N95" s="216"/>
      <c r="O95" s="113">
        <f t="shared" si="3"/>
        <v>0</v>
      </c>
      <c r="P95" s="113">
        <f t="shared" si="4"/>
        <v>0</v>
      </c>
      <c r="Q95" s="217">
        <v>0</v>
      </c>
      <c r="R95" s="2"/>
    </row>
    <row r="96" spans="1:18" ht="22.5" customHeight="1" x14ac:dyDescent="0.5">
      <c r="A96" s="208">
        <v>42</v>
      </c>
      <c r="B96" s="209" t="s">
        <v>208</v>
      </c>
      <c r="C96" s="210"/>
      <c r="D96" s="211">
        <v>0</v>
      </c>
      <c r="E96" s="212">
        <v>24990</v>
      </c>
      <c r="F96" s="213" t="s">
        <v>33</v>
      </c>
      <c r="G96" s="219">
        <v>1069.9999999999977</v>
      </c>
      <c r="H96" s="214">
        <v>74.899999999999835</v>
      </c>
      <c r="I96" s="219">
        <v>1144.8999999999976</v>
      </c>
      <c r="J96" s="250">
        <v>25089</v>
      </c>
      <c r="K96" s="251" t="s">
        <v>209</v>
      </c>
      <c r="L96" s="252">
        <v>1144.9000000000001</v>
      </c>
      <c r="M96" s="215"/>
      <c r="N96" s="216"/>
      <c r="O96" s="113">
        <f t="shared" si="3"/>
        <v>-2.3374863830612643E-12</v>
      </c>
      <c r="P96" s="113">
        <f t="shared" si="4"/>
        <v>-1.6362404681428848E-13</v>
      </c>
      <c r="Q96" s="217">
        <f t="shared" ref="Q96:Q104" si="6">SUM(D96+I96-L96)</f>
        <v>-2.5011104298755527E-12</v>
      </c>
      <c r="R96" s="2"/>
    </row>
    <row r="97" spans="1:18" ht="22.5" customHeight="1" x14ac:dyDescent="0.5">
      <c r="A97" s="208">
        <v>43</v>
      </c>
      <c r="B97" s="209" t="s">
        <v>210</v>
      </c>
      <c r="C97" s="210" t="s">
        <v>211</v>
      </c>
      <c r="D97" s="211">
        <v>8078.5</v>
      </c>
      <c r="E97" s="212"/>
      <c r="F97" s="213"/>
      <c r="G97" s="219">
        <v>0</v>
      </c>
      <c r="H97" s="214">
        <v>0</v>
      </c>
      <c r="I97" s="219">
        <v>0</v>
      </c>
      <c r="J97" s="38"/>
      <c r="K97" s="39"/>
      <c r="L97" s="246"/>
      <c r="M97" s="239">
        <v>25082</v>
      </c>
      <c r="N97" s="236" t="s">
        <v>35</v>
      </c>
      <c r="O97" s="113">
        <f t="shared" si="3"/>
        <v>7550</v>
      </c>
      <c r="P97" s="113">
        <f t="shared" si="4"/>
        <v>528.5</v>
      </c>
      <c r="Q97" s="217">
        <f t="shared" si="6"/>
        <v>8078.5</v>
      </c>
      <c r="R97" s="2"/>
    </row>
    <row r="98" spans="1:18" ht="22.5" customHeight="1" x14ac:dyDescent="0.5">
      <c r="A98" s="208">
        <v>44</v>
      </c>
      <c r="B98" s="209" t="s">
        <v>212</v>
      </c>
      <c r="C98" s="210" t="s">
        <v>213</v>
      </c>
      <c r="D98" s="211">
        <v>0</v>
      </c>
      <c r="E98" s="212"/>
      <c r="F98" s="213"/>
      <c r="G98" s="219">
        <v>0</v>
      </c>
      <c r="H98" s="214">
        <v>0</v>
      </c>
      <c r="I98" s="219">
        <v>0</v>
      </c>
      <c r="J98" s="38"/>
      <c r="K98" s="39"/>
      <c r="L98" s="246"/>
      <c r="M98" s="239"/>
      <c r="N98" s="236"/>
      <c r="O98" s="113">
        <f t="shared" si="3"/>
        <v>0</v>
      </c>
      <c r="P98" s="113">
        <f t="shared" si="4"/>
        <v>0</v>
      </c>
      <c r="Q98" s="217">
        <f t="shared" si="6"/>
        <v>0</v>
      </c>
      <c r="R98" s="2"/>
    </row>
    <row r="99" spans="1:18" ht="22.5" customHeight="1" x14ac:dyDescent="0.5">
      <c r="A99" s="208">
        <v>45</v>
      </c>
      <c r="B99" s="209" t="s">
        <v>214</v>
      </c>
      <c r="C99" s="210" t="s">
        <v>215</v>
      </c>
      <c r="D99" s="211">
        <v>2107.9</v>
      </c>
      <c r="E99" s="212"/>
      <c r="F99" s="213"/>
      <c r="G99" s="219">
        <v>0</v>
      </c>
      <c r="H99" s="214">
        <v>0</v>
      </c>
      <c r="I99" s="219">
        <v>0</v>
      </c>
      <c r="J99" s="38">
        <v>25103</v>
      </c>
      <c r="K99" s="39" t="s">
        <v>216</v>
      </c>
      <c r="L99" s="246">
        <v>2107.9</v>
      </c>
      <c r="M99" s="239"/>
      <c r="N99" s="236"/>
      <c r="O99" s="113">
        <f t="shared" si="3"/>
        <v>0</v>
      </c>
      <c r="P99" s="113">
        <f t="shared" si="4"/>
        <v>0</v>
      </c>
      <c r="Q99" s="217">
        <f t="shared" si="6"/>
        <v>0</v>
      </c>
      <c r="R99" s="2"/>
    </row>
    <row r="100" spans="1:18" ht="22.5" customHeight="1" x14ac:dyDescent="0.5">
      <c r="A100" s="253">
        <v>46</v>
      </c>
      <c r="B100" s="254" t="s">
        <v>217</v>
      </c>
      <c r="C100" s="238" t="s">
        <v>218</v>
      </c>
      <c r="D100" s="211">
        <v>2311.1999999999998</v>
      </c>
      <c r="E100" s="167"/>
      <c r="F100" s="168"/>
      <c r="G100" s="255">
        <v>0</v>
      </c>
      <c r="H100" s="256">
        <v>0</v>
      </c>
      <c r="I100" s="255">
        <v>0</v>
      </c>
      <c r="J100" s="38">
        <v>25103</v>
      </c>
      <c r="K100" s="245" t="s">
        <v>219</v>
      </c>
      <c r="L100" s="246">
        <v>2311.1999999999998</v>
      </c>
      <c r="M100" s="239"/>
      <c r="N100" s="236"/>
      <c r="O100" s="113">
        <f t="shared" si="3"/>
        <v>0</v>
      </c>
      <c r="P100" s="113">
        <f t="shared" si="4"/>
        <v>0</v>
      </c>
      <c r="Q100" s="217">
        <f t="shared" si="6"/>
        <v>0</v>
      </c>
      <c r="R100" s="2"/>
    </row>
    <row r="101" spans="1:18" ht="22.5" customHeight="1" x14ac:dyDescent="0.5">
      <c r="A101" s="235">
        <v>47</v>
      </c>
      <c r="B101" s="257" t="s">
        <v>220</v>
      </c>
      <c r="C101" s="257" t="s">
        <v>221</v>
      </c>
      <c r="D101" s="211">
        <v>0</v>
      </c>
      <c r="E101" s="212"/>
      <c r="F101" s="213"/>
      <c r="G101" s="219">
        <v>0</v>
      </c>
      <c r="H101" s="214">
        <v>0</v>
      </c>
      <c r="I101" s="258">
        <v>0</v>
      </c>
      <c r="J101" s="38"/>
      <c r="K101" s="39"/>
      <c r="L101" s="246"/>
      <c r="M101" s="239"/>
      <c r="N101" s="236"/>
      <c r="O101" s="259">
        <f t="shared" si="3"/>
        <v>0</v>
      </c>
      <c r="P101" s="113">
        <f t="shared" si="4"/>
        <v>0</v>
      </c>
      <c r="Q101" s="217">
        <f t="shared" si="6"/>
        <v>0</v>
      </c>
      <c r="R101" s="2"/>
    </row>
    <row r="102" spans="1:18" ht="22.5" customHeight="1" x14ac:dyDescent="0.5">
      <c r="A102" s="260">
        <v>48</v>
      </c>
      <c r="B102" s="261" t="s">
        <v>222</v>
      </c>
      <c r="C102" s="261" t="s">
        <v>223</v>
      </c>
      <c r="D102" s="262">
        <v>0</v>
      </c>
      <c r="E102" s="212"/>
      <c r="F102" s="213"/>
      <c r="G102" s="219">
        <v>0</v>
      </c>
      <c r="H102" s="214">
        <v>0</v>
      </c>
      <c r="I102" s="258">
        <v>0</v>
      </c>
      <c r="J102" s="38"/>
      <c r="K102" s="39"/>
      <c r="L102" s="246"/>
      <c r="M102" s="215"/>
      <c r="N102" s="216"/>
      <c r="O102" s="259">
        <f t="shared" si="3"/>
        <v>0</v>
      </c>
      <c r="P102" s="113">
        <f t="shared" si="4"/>
        <v>0</v>
      </c>
      <c r="Q102" s="217">
        <f t="shared" si="6"/>
        <v>0</v>
      </c>
      <c r="R102" s="2"/>
    </row>
    <row r="103" spans="1:18" ht="22.5" customHeight="1" x14ac:dyDescent="0.5">
      <c r="A103" s="260">
        <v>49</v>
      </c>
      <c r="B103" s="261" t="s">
        <v>224</v>
      </c>
      <c r="C103" s="261" t="s">
        <v>225</v>
      </c>
      <c r="D103" s="263">
        <v>342.4</v>
      </c>
      <c r="E103" s="212"/>
      <c r="F103" s="213"/>
      <c r="G103" s="219">
        <v>1.0624938104823928E-13</v>
      </c>
      <c r="H103" s="214">
        <v>7.4374566733767489E-15</v>
      </c>
      <c r="I103" s="258">
        <v>1.1368683772161603E-13</v>
      </c>
      <c r="J103" s="38"/>
      <c r="K103" s="245"/>
      <c r="L103" s="246"/>
      <c r="M103" s="215">
        <v>25082</v>
      </c>
      <c r="N103" s="216" t="s">
        <v>35</v>
      </c>
      <c r="O103" s="259">
        <f t="shared" si="3"/>
        <v>320.00000000000011</v>
      </c>
      <c r="P103" s="113">
        <f t="shared" si="4"/>
        <v>22.400000000000006</v>
      </c>
      <c r="Q103" s="217">
        <f t="shared" si="6"/>
        <v>342.40000000000009</v>
      </c>
      <c r="R103" s="2"/>
    </row>
    <row r="104" spans="1:18" ht="22.5" customHeight="1" x14ac:dyDescent="0.5">
      <c r="A104" s="264">
        <v>50</v>
      </c>
      <c r="B104" s="265" t="s">
        <v>226</v>
      </c>
      <c r="C104" s="265" t="s">
        <v>227</v>
      </c>
      <c r="D104" s="266">
        <v>1744.1</v>
      </c>
      <c r="E104" s="267">
        <v>25051</v>
      </c>
      <c r="F104" s="168" t="s">
        <v>33</v>
      </c>
      <c r="G104" s="255">
        <v>1670.0000000000005</v>
      </c>
      <c r="H104" s="256">
        <v>116.90000000000003</v>
      </c>
      <c r="I104" s="268">
        <v>1786.9000000000005</v>
      </c>
      <c r="J104" s="38">
        <v>25093</v>
      </c>
      <c r="K104" s="245" t="s">
        <v>228</v>
      </c>
      <c r="L104" s="246">
        <v>1786.9</v>
      </c>
      <c r="M104" s="215">
        <v>25082</v>
      </c>
      <c r="N104" s="216" t="s">
        <v>35</v>
      </c>
      <c r="O104" s="259">
        <f t="shared" si="3"/>
        <v>1630.0000000000005</v>
      </c>
      <c r="P104" s="113">
        <f t="shared" si="4"/>
        <v>114.10000000000002</v>
      </c>
      <c r="Q104" s="217">
        <f t="shared" si="6"/>
        <v>1744.1000000000004</v>
      </c>
      <c r="R104" s="2"/>
    </row>
    <row r="105" spans="1:18" ht="22.5" customHeight="1" x14ac:dyDescent="0.5">
      <c r="A105" s="269">
        <v>51</v>
      </c>
      <c r="B105" s="261" t="s">
        <v>229</v>
      </c>
      <c r="C105" s="261" t="s">
        <v>230</v>
      </c>
      <c r="D105" s="270">
        <v>15814.6</v>
      </c>
      <c r="E105" s="267"/>
      <c r="F105" s="168"/>
      <c r="G105" s="255"/>
      <c r="H105" s="256"/>
      <c r="I105" s="271"/>
      <c r="J105" s="101">
        <v>25105</v>
      </c>
      <c r="K105" s="102" t="s">
        <v>231</v>
      </c>
      <c r="L105" s="272">
        <v>15814.6</v>
      </c>
      <c r="M105" s="273"/>
      <c r="N105" s="274"/>
      <c r="O105" s="275"/>
      <c r="P105" s="276"/>
      <c r="Q105" s="277"/>
      <c r="R105" s="2"/>
    </row>
    <row r="106" spans="1:18" s="60" customFormat="1" ht="22.5" customHeight="1" thickBot="1" x14ac:dyDescent="0.35">
      <c r="A106" s="278"/>
      <c r="B106" s="278" t="s">
        <v>15</v>
      </c>
      <c r="C106" s="279"/>
      <c r="D106" s="280">
        <f>SUM(D44:D105)</f>
        <v>310792.19999999995</v>
      </c>
      <c r="E106" s="281"/>
      <c r="F106" s="282"/>
      <c r="G106" s="280">
        <f>SUM(G44:G105)</f>
        <v>144220</v>
      </c>
      <c r="H106" s="280">
        <f>SUM(H44:H105)</f>
        <v>10095.400000000001</v>
      </c>
      <c r="I106" s="280">
        <f>SUM(I44:I105)</f>
        <v>154315.40000000002</v>
      </c>
      <c r="J106" s="282"/>
      <c r="K106" s="283"/>
      <c r="L106" s="280">
        <f>SUM(L44:L105)</f>
        <v>269672.09999999998</v>
      </c>
      <c r="M106" s="284"/>
      <c r="N106" s="283"/>
      <c r="O106" s="280">
        <f>SUM(O44:O104)</f>
        <v>182650</v>
      </c>
      <c r="P106" s="280">
        <f>SUM(P44:P104)</f>
        <v>12785.499999999998</v>
      </c>
      <c r="Q106" s="285">
        <f>SUM(Q44:Q104)</f>
        <v>195435.49999999997</v>
      </c>
      <c r="R106" s="59"/>
    </row>
    <row r="107" spans="1:18" ht="22.5" customHeight="1" thickTop="1" x14ac:dyDescent="0.3">
      <c r="A107" s="61"/>
      <c r="B107" s="121" t="s">
        <v>232</v>
      </c>
      <c r="C107" s="63"/>
      <c r="D107" s="64"/>
      <c r="E107" s="65"/>
      <c r="F107" s="66"/>
      <c r="G107" s="67"/>
      <c r="H107" s="67"/>
      <c r="I107" s="67"/>
      <c r="J107" s="286"/>
      <c r="K107" s="287"/>
      <c r="L107" s="288"/>
      <c r="M107" s="69"/>
      <c r="N107" s="70"/>
      <c r="O107" s="71"/>
      <c r="P107" s="71"/>
      <c r="Q107" s="289"/>
      <c r="R107" s="2"/>
    </row>
    <row r="108" spans="1:18" ht="22.5" customHeight="1" x14ac:dyDescent="0.5">
      <c r="A108" s="290"/>
      <c r="B108" s="291" t="s">
        <v>233</v>
      </c>
      <c r="C108" s="292"/>
      <c r="D108" s="293"/>
      <c r="E108" s="212"/>
      <c r="F108" s="213"/>
      <c r="G108" s="219"/>
      <c r="H108" s="219"/>
      <c r="I108" s="219"/>
      <c r="J108" s="294"/>
      <c r="K108" s="295"/>
      <c r="L108" s="296"/>
      <c r="M108" s="41"/>
      <c r="N108" s="34"/>
      <c r="O108" s="114"/>
      <c r="P108" s="114"/>
      <c r="Q108" s="36"/>
      <c r="R108" s="2"/>
    </row>
    <row r="109" spans="1:18" ht="22.5" customHeight="1" x14ac:dyDescent="0.5">
      <c r="A109" s="23">
        <v>1</v>
      </c>
      <c r="B109" s="73" t="s">
        <v>234</v>
      </c>
      <c r="C109" s="25" t="s">
        <v>235</v>
      </c>
      <c r="D109" s="43">
        <v>9450</v>
      </c>
      <c r="E109" s="212"/>
      <c r="F109" s="213"/>
      <c r="G109" s="219">
        <v>0</v>
      </c>
      <c r="H109" s="219">
        <v>0</v>
      </c>
      <c r="I109" s="219">
        <v>0</v>
      </c>
      <c r="J109" s="30">
        <v>25092</v>
      </c>
      <c r="K109" s="31" t="s">
        <v>236</v>
      </c>
      <c r="L109" s="32">
        <v>9450</v>
      </c>
      <c r="M109" s="215"/>
      <c r="N109" s="216"/>
      <c r="O109" s="114">
        <f t="shared" ref="O109:O117" si="7">SUM(D109+G109-L109)</f>
        <v>0</v>
      </c>
      <c r="P109" s="114">
        <v>0</v>
      </c>
      <c r="Q109" s="36">
        <f t="shared" ref="Q109:Q115" si="8">SUM(D109+I109-L109)</f>
        <v>0</v>
      </c>
      <c r="R109" s="2"/>
    </row>
    <row r="110" spans="1:18" ht="22.5" customHeight="1" x14ac:dyDescent="0.5">
      <c r="A110" s="23">
        <v>2</v>
      </c>
      <c r="B110" s="73" t="s">
        <v>237</v>
      </c>
      <c r="C110" s="25" t="s">
        <v>238</v>
      </c>
      <c r="D110" s="43">
        <v>3150</v>
      </c>
      <c r="E110" s="212"/>
      <c r="F110" s="213"/>
      <c r="G110" s="219">
        <v>0</v>
      </c>
      <c r="H110" s="219">
        <v>0</v>
      </c>
      <c r="I110" s="219">
        <v>0</v>
      </c>
      <c r="J110" s="30">
        <v>25092</v>
      </c>
      <c r="K110" s="31" t="s">
        <v>239</v>
      </c>
      <c r="L110" s="32">
        <v>3150</v>
      </c>
      <c r="M110" s="215"/>
      <c r="N110" s="216"/>
      <c r="O110" s="114">
        <f t="shared" si="7"/>
        <v>0</v>
      </c>
      <c r="P110" s="114">
        <v>0</v>
      </c>
      <c r="Q110" s="36">
        <f t="shared" si="8"/>
        <v>0</v>
      </c>
      <c r="R110" s="2"/>
    </row>
    <row r="111" spans="1:18" ht="22.5" customHeight="1" x14ac:dyDescent="0.5">
      <c r="A111" s="23">
        <v>3</v>
      </c>
      <c r="B111" s="73" t="s">
        <v>240</v>
      </c>
      <c r="C111" s="25" t="s">
        <v>241</v>
      </c>
      <c r="D111" s="43">
        <v>15750</v>
      </c>
      <c r="E111" s="212"/>
      <c r="F111" s="213"/>
      <c r="G111" s="219">
        <v>0</v>
      </c>
      <c r="H111" s="219">
        <v>0</v>
      </c>
      <c r="I111" s="219">
        <v>0</v>
      </c>
      <c r="J111" s="30"/>
      <c r="K111" s="31"/>
      <c r="L111" s="32"/>
      <c r="M111" s="297">
        <v>25082</v>
      </c>
      <c r="N111" s="216" t="s">
        <v>35</v>
      </c>
      <c r="O111" s="114">
        <f t="shared" si="7"/>
        <v>15750</v>
      </c>
      <c r="P111" s="114">
        <v>0</v>
      </c>
      <c r="Q111" s="36">
        <f t="shared" si="8"/>
        <v>15750</v>
      </c>
      <c r="R111" s="2"/>
    </row>
    <row r="112" spans="1:18" ht="22.5" customHeight="1" x14ac:dyDescent="0.5">
      <c r="A112" s="23">
        <v>4</v>
      </c>
      <c r="B112" s="73" t="s">
        <v>240</v>
      </c>
      <c r="C112" s="25" t="s">
        <v>242</v>
      </c>
      <c r="D112" s="43">
        <v>6300</v>
      </c>
      <c r="E112" s="212"/>
      <c r="F112" s="213"/>
      <c r="G112" s="219">
        <v>0</v>
      </c>
      <c r="H112" s="219">
        <v>0</v>
      </c>
      <c r="I112" s="219">
        <v>0</v>
      </c>
      <c r="J112" s="30"/>
      <c r="K112" s="31"/>
      <c r="L112" s="32"/>
      <c r="M112" s="297">
        <v>25082</v>
      </c>
      <c r="N112" s="216" t="s">
        <v>35</v>
      </c>
      <c r="O112" s="114">
        <f t="shared" si="7"/>
        <v>6300</v>
      </c>
      <c r="P112" s="114">
        <v>0</v>
      </c>
      <c r="Q112" s="36">
        <f t="shared" si="8"/>
        <v>6300</v>
      </c>
      <c r="R112" s="2"/>
    </row>
    <row r="113" spans="1:18" ht="22.5" customHeight="1" x14ac:dyDescent="0.5">
      <c r="A113" s="23">
        <v>5</v>
      </c>
      <c r="B113" s="73" t="s">
        <v>198</v>
      </c>
      <c r="C113" s="25" t="s">
        <v>243</v>
      </c>
      <c r="D113" s="43">
        <v>22050</v>
      </c>
      <c r="E113" s="212"/>
      <c r="F113" s="213"/>
      <c r="G113" s="219">
        <v>0</v>
      </c>
      <c r="H113" s="219">
        <v>0</v>
      </c>
      <c r="I113" s="219">
        <v>0</v>
      </c>
      <c r="J113" s="30">
        <v>25092</v>
      </c>
      <c r="K113" s="31" t="s">
        <v>244</v>
      </c>
      <c r="L113" s="32">
        <v>22050</v>
      </c>
      <c r="M113" s="297"/>
      <c r="N113" s="216"/>
      <c r="O113" s="114">
        <f t="shared" si="7"/>
        <v>0</v>
      </c>
      <c r="P113" s="114">
        <v>0</v>
      </c>
      <c r="Q113" s="36">
        <f t="shared" si="8"/>
        <v>0</v>
      </c>
      <c r="R113" s="2"/>
    </row>
    <row r="114" spans="1:18" ht="22.5" customHeight="1" x14ac:dyDescent="0.5">
      <c r="A114" s="23">
        <v>6</v>
      </c>
      <c r="B114" s="73" t="s">
        <v>245</v>
      </c>
      <c r="C114" s="25" t="s">
        <v>246</v>
      </c>
      <c r="D114" s="43">
        <v>9450</v>
      </c>
      <c r="E114" s="212"/>
      <c r="F114" s="213"/>
      <c r="G114" s="219">
        <v>0</v>
      </c>
      <c r="H114" s="219">
        <v>0</v>
      </c>
      <c r="I114" s="219">
        <v>0</v>
      </c>
      <c r="J114" s="30">
        <v>25086</v>
      </c>
      <c r="K114" s="31" t="s">
        <v>247</v>
      </c>
      <c r="L114" s="32">
        <v>9450</v>
      </c>
      <c r="M114" s="297"/>
      <c r="N114" s="216"/>
      <c r="O114" s="114">
        <f t="shared" si="7"/>
        <v>0</v>
      </c>
      <c r="P114" s="114">
        <v>0</v>
      </c>
      <c r="Q114" s="36">
        <f t="shared" si="8"/>
        <v>0</v>
      </c>
      <c r="R114" s="2"/>
    </row>
    <row r="115" spans="1:18" ht="22.5" customHeight="1" x14ac:dyDescent="0.5">
      <c r="A115" s="23">
        <v>7</v>
      </c>
      <c r="B115" s="73" t="s">
        <v>248</v>
      </c>
      <c r="C115" s="25" t="s">
        <v>249</v>
      </c>
      <c r="D115" s="43">
        <v>6300</v>
      </c>
      <c r="E115" s="212"/>
      <c r="F115" s="213"/>
      <c r="G115" s="219">
        <v>0</v>
      </c>
      <c r="H115" s="219">
        <v>0</v>
      </c>
      <c r="I115" s="219">
        <v>0</v>
      </c>
      <c r="J115" s="30"/>
      <c r="K115" s="31"/>
      <c r="L115" s="32"/>
      <c r="M115" s="215">
        <v>25082</v>
      </c>
      <c r="N115" s="216" t="s">
        <v>35</v>
      </c>
      <c r="O115" s="114">
        <f t="shared" si="7"/>
        <v>6300</v>
      </c>
      <c r="P115" s="114">
        <v>0</v>
      </c>
      <c r="Q115" s="36">
        <f t="shared" si="8"/>
        <v>6300</v>
      </c>
      <c r="R115" s="2"/>
    </row>
    <row r="116" spans="1:18" ht="22.5" customHeight="1" x14ac:dyDescent="0.5">
      <c r="A116" s="208">
        <v>8</v>
      </c>
      <c r="B116" s="209" t="s">
        <v>250</v>
      </c>
      <c r="C116" s="210" t="s">
        <v>251</v>
      </c>
      <c r="D116" s="298">
        <v>6300</v>
      </c>
      <c r="E116" s="299">
        <v>25051</v>
      </c>
      <c r="F116" s="300" t="s">
        <v>33</v>
      </c>
      <c r="G116" s="214">
        <v>6300</v>
      </c>
      <c r="H116" s="219">
        <v>0</v>
      </c>
      <c r="I116" s="219">
        <v>6300</v>
      </c>
      <c r="J116" s="30">
        <v>25090</v>
      </c>
      <c r="K116" s="31" t="s">
        <v>252</v>
      </c>
      <c r="L116" s="32">
        <v>6300</v>
      </c>
      <c r="M116" s="215">
        <v>25082</v>
      </c>
      <c r="N116" s="216" t="s">
        <v>35</v>
      </c>
      <c r="O116" s="114">
        <f t="shared" si="7"/>
        <v>6300</v>
      </c>
      <c r="P116" s="114">
        <v>0</v>
      </c>
      <c r="Q116" s="36">
        <f>+D116+I116-L116</f>
        <v>6300</v>
      </c>
      <c r="R116" s="218"/>
    </row>
    <row r="117" spans="1:18" ht="22.5" customHeight="1" x14ac:dyDescent="0.5">
      <c r="A117" s="23">
        <v>9</v>
      </c>
      <c r="B117" s="73" t="s">
        <v>253</v>
      </c>
      <c r="C117" s="25" t="s">
        <v>254</v>
      </c>
      <c r="D117" s="43">
        <v>9450</v>
      </c>
      <c r="E117" s="212"/>
      <c r="F117" s="213"/>
      <c r="G117" s="219">
        <v>0</v>
      </c>
      <c r="H117" s="219">
        <v>0</v>
      </c>
      <c r="I117" s="219">
        <v>0</v>
      </c>
      <c r="J117" s="30">
        <v>25098</v>
      </c>
      <c r="K117" s="31" t="s">
        <v>255</v>
      </c>
      <c r="L117" s="32">
        <v>9450</v>
      </c>
      <c r="M117" s="215"/>
      <c r="N117" s="216"/>
      <c r="O117" s="114">
        <f t="shared" si="7"/>
        <v>0</v>
      </c>
      <c r="P117" s="114">
        <v>0</v>
      </c>
      <c r="Q117" s="36">
        <f>+D117+I117-L117</f>
        <v>0</v>
      </c>
    </row>
    <row r="118" spans="1:18" ht="22.5" customHeight="1" x14ac:dyDescent="0.5">
      <c r="A118" s="23"/>
      <c r="B118" s="301" t="s">
        <v>256</v>
      </c>
      <c r="C118" s="25"/>
      <c r="D118" s="43"/>
      <c r="E118" s="302"/>
      <c r="F118" s="303"/>
      <c r="G118" s="304"/>
      <c r="H118" s="304"/>
      <c r="I118" s="304"/>
      <c r="J118" s="30"/>
      <c r="K118" s="31"/>
      <c r="L118" s="32"/>
      <c r="M118" s="297"/>
      <c r="N118" s="216"/>
      <c r="O118" s="305"/>
      <c r="P118" s="305"/>
      <c r="Q118" s="306"/>
    </row>
    <row r="119" spans="1:18" ht="22.5" customHeight="1" x14ac:dyDescent="0.5">
      <c r="A119" s="23">
        <v>10</v>
      </c>
      <c r="B119" s="73" t="s">
        <v>257</v>
      </c>
      <c r="C119" s="25" t="s">
        <v>258</v>
      </c>
      <c r="D119" s="43">
        <v>5600</v>
      </c>
      <c r="E119" s="212"/>
      <c r="F119" s="213"/>
      <c r="G119" s="219">
        <v>0</v>
      </c>
      <c r="H119" s="219">
        <v>0</v>
      </c>
      <c r="I119" s="219">
        <v>0</v>
      </c>
      <c r="J119" s="30">
        <v>25086</v>
      </c>
      <c r="K119" s="31" t="s">
        <v>259</v>
      </c>
      <c r="L119" s="32">
        <v>5600</v>
      </c>
      <c r="M119" s="297"/>
      <c r="N119" s="216"/>
      <c r="O119" s="114">
        <f>SUM(D119+G119-L119)</f>
        <v>0</v>
      </c>
      <c r="P119" s="114">
        <v>0</v>
      </c>
      <c r="Q119" s="36">
        <f>SUM(D119+I119-L119)</f>
        <v>0</v>
      </c>
    </row>
    <row r="120" spans="1:18" ht="22.5" customHeight="1" x14ac:dyDescent="0.5">
      <c r="A120" s="23">
        <v>11</v>
      </c>
      <c r="B120" s="73" t="s">
        <v>198</v>
      </c>
      <c r="C120" s="25" t="s">
        <v>260</v>
      </c>
      <c r="D120" s="43">
        <v>2800</v>
      </c>
      <c r="E120" s="212"/>
      <c r="F120" s="213"/>
      <c r="G120" s="219">
        <v>0</v>
      </c>
      <c r="H120" s="219">
        <v>0</v>
      </c>
      <c r="I120" s="219">
        <v>0</v>
      </c>
      <c r="J120" s="30">
        <v>25092</v>
      </c>
      <c r="K120" s="31" t="s">
        <v>244</v>
      </c>
      <c r="L120" s="32">
        <v>2800</v>
      </c>
      <c r="M120" s="297"/>
      <c r="N120" s="216"/>
      <c r="O120" s="114">
        <f>SUM(D120+G120-L120)</f>
        <v>0</v>
      </c>
      <c r="P120" s="114">
        <v>0</v>
      </c>
      <c r="Q120" s="36">
        <f>SUM(D120+I120-L120)</f>
        <v>0</v>
      </c>
    </row>
    <row r="121" spans="1:18" ht="22.5" customHeight="1" x14ac:dyDescent="0.5">
      <c r="A121" s="23">
        <v>12</v>
      </c>
      <c r="B121" s="73" t="s">
        <v>261</v>
      </c>
      <c r="C121" s="25" t="s">
        <v>262</v>
      </c>
      <c r="D121" s="43">
        <v>5600</v>
      </c>
      <c r="E121" s="212"/>
      <c r="F121" s="213"/>
      <c r="G121" s="219">
        <v>0</v>
      </c>
      <c r="H121" s="219">
        <v>0</v>
      </c>
      <c r="I121" s="219">
        <v>0</v>
      </c>
      <c r="J121" s="30">
        <v>25090</v>
      </c>
      <c r="K121" s="31" t="s">
        <v>263</v>
      </c>
      <c r="L121" s="32">
        <v>5600</v>
      </c>
      <c r="M121" s="215"/>
      <c r="N121" s="216"/>
      <c r="O121" s="114">
        <f>SUM(D121+G121-L121)</f>
        <v>0</v>
      </c>
      <c r="P121" s="114">
        <v>0</v>
      </c>
      <c r="Q121" s="36">
        <f>SUM(D121+I121-L121)</f>
        <v>0</v>
      </c>
    </row>
    <row r="122" spans="1:18" ht="22.5" customHeight="1" x14ac:dyDescent="0.5">
      <c r="A122" s="23">
        <v>13</v>
      </c>
      <c r="B122" s="73" t="s">
        <v>264</v>
      </c>
      <c r="C122" s="25" t="s">
        <v>265</v>
      </c>
      <c r="D122" s="43">
        <v>5600</v>
      </c>
      <c r="E122" s="212"/>
      <c r="F122" s="213"/>
      <c r="G122" s="219">
        <v>0</v>
      </c>
      <c r="H122" s="219">
        <v>0</v>
      </c>
      <c r="I122" s="219">
        <v>0</v>
      </c>
      <c r="J122" s="30">
        <v>25090</v>
      </c>
      <c r="K122" s="31" t="s">
        <v>263</v>
      </c>
      <c r="L122" s="32">
        <v>5600</v>
      </c>
      <c r="M122" s="215"/>
      <c r="N122" s="216"/>
      <c r="O122" s="114">
        <f>SUM(D122+G122-L122)</f>
        <v>0</v>
      </c>
      <c r="P122" s="114">
        <v>0</v>
      </c>
      <c r="Q122" s="36">
        <f>SUM(D122+I122-L122)</f>
        <v>0</v>
      </c>
    </row>
    <row r="123" spans="1:18" ht="22.5" customHeight="1" x14ac:dyDescent="0.5">
      <c r="A123" s="23">
        <v>14</v>
      </c>
      <c r="B123" s="73" t="s">
        <v>266</v>
      </c>
      <c r="C123" s="25" t="s">
        <v>267</v>
      </c>
      <c r="D123" s="43">
        <v>5600</v>
      </c>
      <c r="E123" s="212"/>
      <c r="F123" s="213"/>
      <c r="G123" s="219">
        <v>0</v>
      </c>
      <c r="H123" s="219">
        <v>0</v>
      </c>
      <c r="I123" s="219">
        <v>0</v>
      </c>
      <c r="J123" s="30">
        <v>25086</v>
      </c>
      <c r="K123" s="31" t="s">
        <v>268</v>
      </c>
      <c r="L123" s="32">
        <v>5600</v>
      </c>
      <c r="M123" s="297"/>
      <c r="N123" s="216"/>
      <c r="O123" s="114">
        <f>SUM(D123+G123-L123)</f>
        <v>0</v>
      </c>
      <c r="P123" s="114">
        <v>0</v>
      </c>
      <c r="Q123" s="36">
        <f>SUM(D123+I123-L123)</f>
        <v>0</v>
      </c>
    </row>
    <row r="124" spans="1:18" ht="22.5" customHeight="1" x14ac:dyDescent="0.5">
      <c r="A124" s="23"/>
      <c r="B124" s="301" t="s">
        <v>269</v>
      </c>
      <c r="C124" s="25"/>
      <c r="D124" s="43"/>
      <c r="E124" s="302"/>
      <c r="F124" s="303"/>
      <c r="G124" s="304"/>
      <c r="H124" s="304"/>
      <c r="I124" s="304"/>
      <c r="J124" s="30"/>
      <c r="K124" s="31"/>
      <c r="L124" s="32"/>
      <c r="M124" s="297"/>
      <c r="N124" s="216"/>
      <c r="O124" s="305"/>
      <c r="P124" s="305"/>
      <c r="Q124" s="306"/>
    </row>
    <row r="125" spans="1:18" ht="22.5" customHeight="1" x14ac:dyDescent="0.5">
      <c r="A125" s="23">
        <v>1</v>
      </c>
      <c r="B125" s="73" t="s">
        <v>270</v>
      </c>
      <c r="C125" s="25" t="s">
        <v>271</v>
      </c>
      <c r="D125" s="43">
        <v>9450</v>
      </c>
      <c r="E125" s="212"/>
      <c r="F125" s="213"/>
      <c r="G125" s="219">
        <v>0</v>
      </c>
      <c r="H125" s="219">
        <v>0</v>
      </c>
      <c r="I125" s="219">
        <v>0</v>
      </c>
      <c r="J125" s="30">
        <v>25086</v>
      </c>
      <c r="K125" s="31" t="s">
        <v>272</v>
      </c>
      <c r="L125" s="32">
        <v>9450</v>
      </c>
      <c r="M125" s="307"/>
      <c r="N125" s="308"/>
      <c r="O125" s="114">
        <f>SUM(D125+G125-L125)</f>
        <v>0</v>
      </c>
      <c r="P125" s="114">
        <v>0</v>
      </c>
      <c r="Q125" s="36">
        <f>SUM(D125+I125-L125)</f>
        <v>0</v>
      </c>
    </row>
    <row r="126" spans="1:18" ht="22.5" customHeight="1" x14ac:dyDescent="0.5">
      <c r="A126" s="23">
        <v>2</v>
      </c>
      <c r="B126" s="73" t="s">
        <v>261</v>
      </c>
      <c r="C126" s="25" t="s">
        <v>273</v>
      </c>
      <c r="D126" s="43">
        <v>9450</v>
      </c>
      <c r="E126" s="212"/>
      <c r="F126" s="213"/>
      <c r="G126" s="219">
        <v>0</v>
      </c>
      <c r="H126" s="219">
        <v>0</v>
      </c>
      <c r="I126" s="219">
        <v>0</v>
      </c>
      <c r="J126" s="30">
        <v>25090</v>
      </c>
      <c r="K126" s="31" t="s">
        <v>263</v>
      </c>
      <c r="L126" s="32">
        <v>9450</v>
      </c>
      <c r="M126" s="215"/>
      <c r="N126" s="216"/>
      <c r="O126" s="114">
        <f>SUM(D126+G126-L126)</f>
        <v>0</v>
      </c>
      <c r="P126" s="114">
        <v>0</v>
      </c>
      <c r="Q126" s="36">
        <f>SUM(D126+I126-L126)</f>
        <v>0</v>
      </c>
    </row>
    <row r="127" spans="1:18" ht="22.5" customHeight="1" x14ac:dyDescent="0.5">
      <c r="A127" s="23">
        <v>3</v>
      </c>
      <c r="B127" s="73" t="s">
        <v>274</v>
      </c>
      <c r="C127" s="25" t="s">
        <v>275</v>
      </c>
      <c r="D127" s="43">
        <v>3150</v>
      </c>
      <c r="E127" s="212"/>
      <c r="F127" s="213"/>
      <c r="G127" s="219">
        <v>0</v>
      </c>
      <c r="H127" s="219">
        <v>0</v>
      </c>
      <c r="I127" s="219">
        <v>0</v>
      </c>
      <c r="J127" s="30">
        <v>25089</v>
      </c>
      <c r="K127" s="31" t="s">
        <v>276</v>
      </c>
      <c r="L127" s="32">
        <v>3150</v>
      </c>
      <c r="M127" s="297"/>
      <c r="N127" s="216"/>
      <c r="O127" s="114">
        <f>SUM(D127+G127-L127)</f>
        <v>0</v>
      </c>
      <c r="P127" s="114">
        <v>0</v>
      </c>
      <c r="Q127" s="36">
        <f>SUM(D127+I127-L127)</f>
        <v>0</v>
      </c>
      <c r="R127" s="2"/>
    </row>
    <row r="128" spans="1:18" ht="22.5" customHeight="1" x14ac:dyDescent="0.5">
      <c r="A128" s="23">
        <v>4</v>
      </c>
      <c r="B128" s="73" t="s">
        <v>277</v>
      </c>
      <c r="C128" s="25" t="s">
        <v>278</v>
      </c>
      <c r="D128" s="43">
        <v>6300</v>
      </c>
      <c r="E128" s="212"/>
      <c r="F128" s="213"/>
      <c r="G128" s="219">
        <v>0</v>
      </c>
      <c r="H128" s="219">
        <v>0</v>
      </c>
      <c r="I128" s="219">
        <v>0</v>
      </c>
      <c r="J128" s="30">
        <v>25086</v>
      </c>
      <c r="K128" s="31" t="s">
        <v>279</v>
      </c>
      <c r="L128" s="32">
        <v>6300</v>
      </c>
      <c r="M128" s="297"/>
      <c r="N128" s="216"/>
      <c r="O128" s="114">
        <f>SUM(D128+G128-L128)</f>
        <v>0</v>
      </c>
      <c r="P128" s="114">
        <v>0</v>
      </c>
      <c r="Q128" s="36">
        <f>SUM(D128+I128-L128)</f>
        <v>0</v>
      </c>
      <c r="R128" s="2"/>
    </row>
    <row r="129" spans="1:19" ht="22.5" customHeight="1" x14ac:dyDescent="0.5">
      <c r="A129" s="23"/>
      <c r="B129" s="301" t="s">
        <v>280</v>
      </c>
      <c r="C129" s="25"/>
      <c r="D129" s="43"/>
      <c r="E129" s="302"/>
      <c r="F129" s="303"/>
      <c r="G129" s="304"/>
      <c r="H129" s="304"/>
      <c r="I129" s="304"/>
      <c r="J129" s="30"/>
      <c r="K129" s="31"/>
      <c r="L129" s="32"/>
      <c r="M129" s="297"/>
      <c r="N129" s="216"/>
      <c r="O129" s="305"/>
      <c r="P129" s="305"/>
      <c r="Q129" s="306"/>
      <c r="R129" s="2"/>
    </row>
    <row r="130" spans="1:19" ht="22.5" customHeight="1" x14ac:dyDescent="0.5">
      <c r="A130" s="23">
        <v>1</v>
      </c>
      <c r="B130" s="73" t="s">
        <v>281</v>
      </c>
      <c r="C130" s="25" t="s">
        <v>282</v>
      </c>
      <c r="D130" s="43">
        <v>5600</v>
      </c>
      <c r="E130" s="212" t="s">
        <v>283</v>
      </c>
      <c r="F130" s="213" t="s">
        <v>284</v>
      </c>
      <c r="G130" s="219">
        <v>16800</v>
      </c>
      <c r="H130" s="219">
        <v>0</v>
      </c>
      <c r="I130" s="219">
        <v>16800</v>
      </c>
      <c r="J130" s="30"/>
      <c r="K130" s="31"/>
      <c r="L130" s="32"/>
      <c r="M130" s="215" t="s">
        <v>285</v>
      </c>
      <c r="N130" s="216" t="s">
        <v>286</v>
      </c>
      <c r="O130" s="114">
        <f>SUM(D130+G130-L130)</f>
        <v>22400</v>
      </c>
      <c r="P130" s="114">
        <v>0</v>
      </c>
      <c r="Q130" s="36">
        <f>SUM(D130+I130-L130)</f>
        <v>22400</v>
      </c>
      <c r="R130" s="2"/>
    </row>
    <row r="131" spans="1:19" ht="22.5" customHeight="1" x14ac:dyDescent="0.5">
      <c r="A131" s="23">
        <v>2</v>
      </c>
      <c r="B131" s="73" t="s">
        <v>287</v>
      </c>
      <c r="C131" s="25" t="s">
        <v>288</v>
      </c>
      <c r="D131" s="43">
        <v>5600</v>
      </c>
      <c r="E131" s="212"/>
      <c r="F131" s="213"/>
      <c r="G131" s="219">
        <v>0</v>
      </c>
      <c r="H131" s="219">
        <v>0</v>
      </c>
      <c r="I131" s="219">
        <v>0</v>
      </c>
      <c r="J131" s="30">
        <v>25107</v>
      </c>
      <c r="K131" s="31" t="s">
        <v>289</v>
      </c>
      <c r="L131" s="32">
        <v>5600</v>
      </c>
      <c r="M131" s="215"/>
      <c r="N131" s="216"/>
      <c r="O131" s="114">
        <f>SUM(D131+G131-L131)</f>
        <v>0</v>
      </c>
      <c r="P131" s="114">
        <v>0</v>
      </c>
      <c r="Q131" s="36">
        <f>SUM(D131+I131-L131)</f>
        <v>0</v>
      </c>
      <c r="R131" s="2"/>
    </row>
    <row r="132" spans="1:19" ht="22.5" customHeight="1" x14ac:dyDescent="0.5">
      <c r="A132" s="23">
        <v>3</v>
      </c>
      <c r="B132" s="73" t="s">
        <v>290</v>
      </c>
      <c r="C132" s="25" t="s">
        <v>291</v>
      </c>
      <c r="D132" s="43">
        <v>5600</v>
      </c>
      <c r="E132" s="212"/>
      <c r="F132" s="213"/>
      <c r="G132" s="219">
        <v>0</v>
      </c>
      <c r="H132" s="219">
        <v>0</v>
      </c>
      <c r="I132" s="219">
        <v>0</v>
      </c>
      <c r="J132" s="30">
        <v>25082</v>
      </c>
      <c r="K132" s="31" t="s">
        <v>292</v>
      </c>
      <c r="L132" s="32">
        <v>5600</v>
      </c>
      <c r="M132" s="215"/>
      <c r="N132" s="216"/>
      <c r="O132" s="114">
        <f>SUM(D132+G132-L132)</f>
        <v>0</v>
      </c>
      <c r="P132" s="114">
        <v>0</v>
      </c>
      <c r="Q132" s="36">
        <f>SUM(D132+I132-L132)</f>
        <v>0</v>
      </c>
      <c r="R132" s="2"/>
    </row>
    <row r="133" spans="1:19" ht="22.5" customHeight="1" x14ac:dyDescent="0.5">
      <c r="A133" s="23">
        <v>4</v>
      </c>
      <c r="B133" s="73" t="s">
        <v>293</v>
      </c>
      <c r="C133" s="25" t="s">
        <v>294</v>
      </c>
      <c r="D133" s="43">
        <v>2800</v>
      </c>
      <c r="E133" s="212"/>
      <c r="F133" s="213"/>
      <c r="G133" s="219">
        <v>0</v>
      </c>
      <c r="H133" s="219">
        <v>0</v>
      </c>
      <c r="I133" s="219">
        <v>0</v>
      </c>
      <c r="J133" s="30">
        <v>25086</v>
      </c>
      <c r="K133" s="31" t="s">
        <v>295</v>
      </c>
      <c r="L133" s="32">
        <v>2800</v>
      </c>
      <c r="M133" s="215"/>
      <c r="N133" s="216"/>
      <c r="O133" s="114">
        <f>SUM(D133+G133-L133)</f>
        <v>0</v>
      </c>
      <c r="P133" s="114">
        <v>0</v>
      </c>
      <c r="Q133" s="36">
        <f>SUM(D133+I133-L133)</f>
        <v>0</v>
      </c>
      <c r="R133" s="2"/>
    </row>
    <row r="134" spans="1:19" ht="22.5" customHeight="1" x14ac:dyDescent="0.5">
      <c r="A134" s="23">
        <v>5</v>
      </c>
      <c r="B134" s="73" t="s">
        <v>296</v>
      </c>
      <c r="C134" s="25" t="s">
        <v>297</v>
      </c>
      <c r="D134" s="43">
        <v>5600</v>
      </c>
      <c r="E134" s="212"/>
      <c r="F134" s="213"/>
      <c r="G134" s="219">
        <v>0</v>
      </c>
      <c r="H134" s="219">
        <v>0</v>
      </c>
      <c r="I134" s="219">
        <v>0</v>
      </c>
      <c r="J134" s="30">
        <v>25111</v>
      </c>
      <c r="K134" s="31" t="s">
        <v>298</v>
      </c>
      <c r="L134" s="32">
        <v>5600</v>
      </c>
      <c r="M134" s="297"/>
      <c r="N134" s="216"/>
      <c r="O134" s="114">
        <f>SUM(D134+G134-L134)</f>
        <v>0</v>
      </c>
      <c r="P134" s="114">
        <v>0</v>
      </c>
      <c r="Q134" s="36">
        <f>SUM(D134+I134-L134)</f>
        <v>0</v>
      </c>
      <c r="R134" s="2"/>
      <c r="S134" s="3">
        <f>5400+4700-2350-7050</f>
        <v>700</v>
      </c>
    </row>
    <row r="135" spans="1:19" ht="22.5" customHeight="1" x14ac:dyDescent="0.5">
      <c r="A135" s="23"/>
      <c r="B135" s="301" t="s">
        <v>299</v>
      </c>
      <c r="C135" s="25"/>
      <c r="D135" s="43"/>
      <c r="E135" s="302"/>
      <c r="F135" s="303"/>
      <c r="G135" s="304"/>
      <c r="H135" s="304"/>
      <c r="I135" s="304"/>
      <c r="J135" s="30"/>
      <c r="K135" s="31"/>
      <c r="L135" s="32"/>
      <c r="M135" s="297"/>
      <c r="N135" s="216"/>
      <c r="O135" s="305"/>
      <c r="P135" s="305"/>
      <c r="Q135" s="306"/>
      <c r="R135" s="2"/>
    </row>
    <row r="136" spans="1:19" ht="22.5" customHeight="1" x14ac:dyDescent="0.5">
      <c r="A136" s="208">
        <v>1</v>
      </c>
      <c r="B136" s="209" t="s">
        <v>300</v>
      </c>
      <c r="C136" s="210" t="s">
        <v>301</v>
      </c>
      <c r="D136" s="298">
        <v>5600</v>
      </c>
      <c r="E136" s="299">
        <v>25051</v>
      </c>
      <c r="F136" s="300" t="s">
        <v>33</v>
      </c>
      <c r="G136" s="214">
        <v>5600</v>
      </c>
      <c r="H136" s="214">
        <v>0</v>
      </c>
      <c r="I136" s="214">
        <v>5600</v>
      </c>
      <c r="J136" s="30">
        <v>25084</v>
      </c>
      <c r="K136" s="31" t="s">
        <v>302</v>
      </c>
      <c r="L136" s="32">
        <v>5600</v>
      </c>
      <c r="M136" s="215">
        <v>25082</v>
      </c>
      <c r="N136" s="216" t="s">
        <v>35</v>
      </c>
      <c r="O136" s="114">
        <f t="shared" ref="O136:O142" si="9">SUM(D136+G136-L136)</f>
        <v>5600</v>
      </c>
      <c r="P136" s="114">
        <v>0</v>
      </c>
      <c r="Q136" s="36">
        <f t="shared" ref="Q136:Q149" si="10">SUM(D136+I136-L136)</f>
        <v>5600</v>
      </c>
      <c r="R136" s="2"/>
    </row>
    <row r="137" spans="1:19" ht="22.5" customHeight="1" x14ac:dyDescent="0.5">
      <c r="A137" s="208">
        <v>2</v>
      </c>
      <c r="B137" s="209" t="s">
        <v>303</v>
      </c>
      <c r="C137" s="210" t="s">
        <v>304</v>
      </c>
      <c r="D137" s="298">
        <v>2800</v>
      </c>
      <c r="E137" s="299"/>
      <c r="F137" s="300"/>
      <c r="G137" s="214">
        <v>0</v>
      </c>
      <c r="H137" s="214">
        <v>0</v>
      </c>
      <c r="I137" s="214">
        <v>0</v>
      </c>
      <c r="J137" s="30">
        <v>25100</v>
      </c>
      <c r="K137" s="249" t="s">
        <v>305</v>
      </c>
      <c r="L137" s="221">
        <v>2800</v>
      </c>
      <c r="M137" s="215"/>
      <c r="N137" s="216"/>
      <c r="O137" s="114">
        <f t="shared" si="9"/>
        <v>0</v>
      </c>
      <c r="P137" s="114">
        <v>0</v>
      </c>
      <c r="Q137" s="36">
        <f t="shared" si="10"/>
        <v>0</v>
      </c>
      <c r="R137" s="2"/>
    </row>
    <row r="138" spans="1:19" ht="22.5" customHeight="1" x14ac:dyDescent="0.5">
      <c r="A138" s="208">
        <v>3</v>
      </c>
      <c r="B138" s="209" t="s">
        <v>306</v>
      </c>
      <c r="C138" s="210" t="s">
        <v>307</v>
      </c>
      <c r="D138" s="298">
        <v>5600</v>
      </c>
      <c r="E138" s="299"/>
      <c r="F138" s="300"/>
      <c r="G138" s="214">
        <v>0</v>
      </c>
      <c r="H138" s="214">
        <v>0</v>
      </c>
      <c r="I138" s="214">
        <v>0</v>
      </c>
      <c r="J138" s="30">
        <v>25111</v>
      </c>
      <c r="K138" s="31" t="s">
        <v>298</v>
      </c>
      <c r="L138" s="32">
        <v>5600</v>
      </c>
      <c r="M138" s="215"/>
      <c r="N138" s="216"/>
      <c r="O138" s="114">
        <f t="shared" si="9"/>
        <v>0</v>
      </c>
      <c r="P138" s="114">
        <v>0</v>
      </c>
      <c r="Q138" s="36">
        <f t="shared" si="10"/>
        <v>0</v>
      </c>
      <c r="R138" s="218"/>
      <c r="S138" s="309"/>
    </row>
    <row r="139" spans="1:19" ht="22.5" customHeight="1" x14ac:dyDescent="0.5">
      <c r="A139" s="208">
        <v>4</v>
      </c>
      <c r="B139" s="73" t="s">
        <v>308</v>
      </c>
      <c r="C139" s="25" t="s">
        <v>309</v>
      </c>
      <c r="D139" s="43">
        <v>8400</v>
      </c>
      <c r="E139" s="212"/>
      <c r="F139" s="213"/>
      <c r="G139" s="219">
        <v>0</v>
      </c>
      <c r="H139" s="219">
        <v>0</v>
      </c>
      <c r="I139" s="219">
        <v>0</v>
      </c>
      <c r="J139" s="30">
        <v>25105</v>
      </c>
      <c r="K139" s="31" t="s">
        <v>310</v>
      </c>
      <c r="L139" s="32">
        <v>8400</v>
      </c>
      <c r="M139" s="215"/>
      <c r="N139" s="216"/>
      <c r="O139" s="114">
        <f t="shared" si="9"/>
        <v>0</v>
      </c>
      <c r="P139" s="114">
        <v>0</v>
      </c>
      <c r="Q139" s="36">
        <f t="shared" si="10"/>
        <v>0</v>
      </c>
    </row>
    <row r="140" spans="1:19" ht="22.5" customHeight="1" x14ac:dyDescent="0.5">
      <c r="A140" s="208">
        <v>5</v>
      </c>
      <c r="B140" s="73" t="s">
        <v>261</v>
      </c>
      <c r="C140" s="25" t="s">
        <v>311</v>
      </c>
      <c r="D140" s="43">
        <v>2800</v>
      </c>
      <c r="E140" s="212"/>
      <c r="F140" s="213"/>
      <c r="G140" s="219">
        <v>0</v>
      </c>
      <c r="H140" s="219">
        <v>0</v>
      </c>
      <c r="I140" s="219">
        <v>0</v>
      </c>
      <c r="J140" s="30">
        <v>25090</v>
      </c>
      <c r="K140" s="31" t="s">
        <v>263</v>
      </c>
      <c r="L140" s="32">
        <v>2800</v>
      </c>
      <c r="M140" s="215"/>
      <c r="N140" s="216"/>
      <c r="O140" s="114">
        <f t="shared" si="9"/>
        <v>0</v>
      </c>
      <c r="P140" s="114">
        <v>0</v>
      </c>
      <c r="Q140" s="36">
        <f t="shared" si="10"/>
        <v>0</v>
      </c>
    </row>
    <row r="141" spans="1:19" ht="22.5" customHeight="1" x14ac:dyDescent="0.5">
      <c r="A141" s="148">
        <v>6</v>
      </c>
      <c r="B141" s="310" t="s">
        <v>261</v>
      </c>
      <c r="C141" s="311" t="s">
        <v>312</v>
      </c>
      <c r="D141" s="312">
        <v>2800</v>
      </c>
      <c r="E141" s="27"/>
      <c r="F141" s="75"/>
      <c r="G141" s="76">
        <v>0</v>
      </c>
      <c r="H141" s="76">
        <v>0</v>
      </c>
      <c r="I141" s="76">
        <v>0</v>
      </c>
      <c r="J141" s="30">
        <v>25090</v>
      </c>
      <c r="K141" s="31" t="s">
        <v>263</v>
      </c>
      <c r="L141" s="32">
        <v>2800</v>
      </c>
      <c r="M141" s="215"/>
      <c r="N141" s="216"/>
      <c r="O141" s="114">
        <f t="shared" si="9"/>
        <v>0</v>
      </c>
      <c r="P141" s="114">
        <v>0</v>
      </c>
      <c r="Q141" s="36">
        <f t="shared" si="10"/>
        <v>0</v>
      </c>
    </row>
    <row r="142" spans="1:19" ht="22.5" customHeight="1" x14ac:dyDescent="0.5">
      <c r="A142" s="208">
        <v>7</v>
      </c>
      <c r="B142" s="73" t="s">
        <v>313</v>
      </c>
      <c r="C142" s="25" t="s">
        <v>314</v>
      </c>
      <c r="D142" s="43">
        <v>2800</v>
      </c>
      <c r="E142" s="212"/>
      <c r="F142" s="213"/>
      <c r="G142" s="219">
        <v>0</v>
      </c>
      <c r="H142" s="219">
        <v>0</v>
      </c>
      <c r="I142" s="219">
        <v>0</v>
      </c>
      <c r="J142" s="30">
        <v>25098</v>
      </c>
      <c r="K142" s="31" t="s">
        <v>255</v>
      </c>
      <c r="L142" s="32">
        <v>2800</v>
      </c>
      <c r="M142" s="215"/>
      <c r="N142" s="216"/>
      <c r="O142" s="114">
        <f t="shared" si="9"/>
        <v>0</v>
      </c>
      <c r="P142" s="114">
        <v>0</v>
      </c>
      <c r="Q142" s="36">
        <f t="shared" si="10"/>
        <v>0</v>
      </c>
    </row>
    <row r="143" spans="1:19" ht="22.5" customHeight="1" x14ac:dyDescent="0.5">
      <c r="A143" s="23"/>
      <c r="B143" s="301" t="s">
        <v>315</v>
      </c>
      <c r="C143" s="25"/>
      <c r="D143" s="43"/>
      <c r="E143" s="302"/>
      <c r="F143" s="303"/>
      <c r="G143" s="304"/>
      <c r="H143" s="304"/>
      <c r="I143" s="304">
        <v>0</v>
      </c>
      <c r="J143" s="30"/>
      <c r="K143" s="31"/>
      <c r="L143" s="32"/>
      <c r="M143" s="297"/>
      <c r="N143" s="216"/>
      <c r="O143" s="305"/>
      <c r="P143" s="305"/>
      <c r="Q143" s="306">
        <f t="shared" si="10"/>
        <v>0</v>
      </c>
    </row>
    <row r="144" spans="1:19" ht="22.5" customHeight="1" x14ac:dyDescent="0.5">
      <c r="A144" s="23">
        <v>1</v>
      </c>
      <c r="B144" s="73" t="s">
        <v>261</v>
      </c>
      <c r="C144" s="25" t="s">
        <v>316</v>
      </c>
      <c r="D144" s="43">
        <v>2800</v>
      </c>
      <c r="E144" s="212"/>
      <c r="F144" s="213"/>
      <c r="G144" s="219">
        <v>0</v>
      </c>
      <c r="H144" s="219">
        <v>0</v>
      </c>
      <c r="I144" s="219">
        <v>0</v>
      </c>
      <c r="J144" s="30">
        <v>25090</v>
      </c>
      <c r="K144" s="31" t="s">
        <v>263</v>
      </c>
      <c r="L144" s="32">
        <v>2800</v>
      </c>
      <c r="M144" s="215"/>
      <c r="N144" s="216"/>
      <c r="O144" s="114">
        <f t="shared" ref="O144:O149" si="11">SUM(D144+G144-L144)</f>
        <v>0</v>
      </c>
      <c r="P144" s="114">
        <v>0</v>
      </c>
      <c r="Q144" s="36">
        <f t="shared" si="10"/>
        <v>0</v>
      </c>
    </row>
    <row r="145" spans="1:17" ht="22.5" customHeight="1" x14ac:dyDescent="0.5">
      <c r="A145" s="23">
        <v>2</v>
      </c>
      <c r="B145" s="73" t="s">
        <v>317</v>
      </c>
      <c r="C145" s="25" t="s">
        <v>318</v>
      </c>
      <c r="D145" s="43">
        <v>2800</v>
      </c>
      <c r="E145" s="212"/>
      <c r="F145" s="213"/>
      <c r="G145" s="313">
        <v>0</v>
      </c>
      <c r="H145" s="219">
        <v>1</v>
      </c>
      <c r="I145" s="313">
        <v>0</v>
      </c>
      <c r="J145" s="30">
        <v>25096</v>
      </c>
      <c r="K145" s="31" t="s">
        <v>319</v>
      </c>
      <c r="L145" s="32">
        <v>2800</v>
      </c>
      <c r="M145" s="307"/>
      <c r="N145" s="307"/>
      <c r="O145" s="114">
        <f t="shared" si="11"/>
        <v>0</v>
      </c>
      <c r="P145" s="114">
        <v>1</v>
      </c>
      <c r="Q145" s="36">
        <f t="shared" si="10"/>
        <v>0</v>
      </c>
    </row>
    <row r="146" spans="1:17" ht="22.5" customHeight="1" x14ac:dyDescent="0.5">
      <c r="A146" s="23">
        <v>3</v>
      </c>
      <c r="B146" s="73" t="s">
        <v>320</v>
      </c>
      <c r="C146" s="25" t="s">
        <v>321</v>
      </c>
      <c r="D146" s="43">
        <v>2800</v>
      </c>
      <c r="E146" s="212"/>
      <c r="F146" s="213"/>
      <c r="G146" s="219">
        <v>0</v>
      </c>
      <c r="H146" s="219">
        <v>2</v>
      </c>
      <c r="I146" s="219">
        <v>0</v>
      </c>
      <c r="J146" s="30"/>
      <c r="K146" s="31"/>
      <c r="L146" s="32"/>
      <c r="M146" s="307">
        <v>25082</v>
      </c>
      <c r="N146" s="308" t="s">
        <v>35</v>
      </c>
      <c r="O146" s="114">
        <f t="shared" si="11"/>
        <v>2800</v>
      </c>
      <c r="P146" s="114">
        <v>2</v>
      </c>
      <c r="Q146" s="36">
        <f t="shared" si="10"/>
        <v>2800</v>
      </c>
    </row>
    <row r="147" spans="1:17" ht="22.5" customHeight="1" x14ac:dyDescent="0.5">
      <c r="A147" s="23">
        <v>4</v>
      </c>
      <c r="B147" s="73" t="s">
        <v>322</v>
      </c>
      <c r="C147" s="25" t="s">
        <v>323</v>
      </c>
      <c r="D147" s="43">
        <v>5600</v>
      </c>
      <c r="E147" s="212" t="s">
        <v>324</v>
      </c>
      <c r="F147" s="213"/>
      <c r="G147" s="219">
        <v>-11200</v>
      </c>
      <c r="H147" s="219">
        <v>3</v>
      </c>
      <c r="I147" s="219">
        <v>-11200</v>
      </c>
      <c r="J147" s="30">
        <v>25110</v>
      </c>
      <c r="K147" s="31" t="s">
        <v>325</v>
      </c>
      <c r="L147" s="32">
        <v>5600</v>
      </c>
      <c r="M147" s="314"/>
      <c r="N147" s="315"/>
      <c r="O147" s="114">
        <f t="shared" si="11"/>
        <v>-11200</v>
      </c>
      <c r="P147" s="114">
        <v>3</v>
      </c>
      <c r="Q147" s="316">
        <f t="shared" si="10"/>
        <v>-11200</v>
      </c>
    </row>
    <row r="148" spans="1:17" ht="22.5" customHeight="1" x14ac:dyDescent="0.5">
      <c r="A148" s="23">
        <v>5</v>
      </c>
      <c r="B148" s="73" t="s">
        <v>293</v>
      </c>
      <c r="C148" s="25" t="s">
        <v>326</v>
      </c>
      <c r="D148" s="43">
        <v>5600</v>
      </c>
      <c r="E148" s="212"/>
      <c r="F148" s="213"/>
      <c r="G148" s="219">
        <v>0</v>
      </c>
      <c r="H148" s="219">
        <v>4</v>
      </c>
      <c r="I148" s="219">
        <v>0</v>
      </c>
      <c r="J148" s="30">
        <v>25086</v>
      </c>
      <c r="K148" s="31" t="s">
        <v>295</v>
      </c>
      <c r="L148" s="32">
        <v>5600</v>
      </c>
      <c r="M148" s="215"/>
      <c r="N148" s="216"/>
      <c r="O148" s="114">
        <f t="shared" si="11"/>
        <v>0</v>
      </c>
      <c r="P148" s="114">
        <v>4</v>
      </c>
      <c r="Q148" s="36">
        <f t="shared" si="10"/>
        <v>0</v>
      </c>
    </row>
    <row r="149" spans="1:17" ht="22.5" customHeight="1" x14ac:dyDescent="0.5">
      <c r="A149" s="23">
        <v>6</v>
      </c>
      <c r="B149" s="73" t="s">
        <v>293</v>
      </c>
      <c r="C149" s="25" t="s">
        <v>327</v>
      </c>
      <c r="D149" s="43">
        <v>5600</v>
      </c>
      <c r="E149" s="212"/>
      <c r="F149" s="213"/>
      <c r="G149" s="219">
        <v>0</v>
      </c>
      <c r="H149" s="219">
        <v>5</v>
      </c>
      <c r="I149" s="219">
        <v>0</v>
      </c>
      <c r="J149" s="30">
        <v>25086</v>
      </c>
      <c r="K149" s="31" t="s">
        <v>295</v>
      </c>
      <c r="L149" s="32">
        <v>5600</v>
      </c>
      <c r="M149" s="215"/>
      <c r="N149" s="216"/>
      <c r="O149" s="114">
        <f t="shared" si="11"/>
        <v>0</v>
      </c>
      <c r="P149" s="114">
        <v>5</v>
      </c>
      <c r="Q149" s="36">
        <f t="shared" si="10"/>
        <v>0</v>
      </c>
    </row>
    <row r="150" spans="1:17" s="60" customFormat="1" ht="22.5" customHeight="1" thickBot="1" x14ac:dyDescent="0.35">
      <c r="A150" s="317"/>
      <c r="B150" s="317" t="s">
        <v>15</v>
      </c>
      <c r="C150" s="318"/>
      <c r="D150" s="319">
        <f>SUM(D109:D149)</f>
        <v>222950</v>
      </c>
      <c r="E150" s="320"/>
      <c r="F150" s="321"/>
      <c r="G150" s="319">
        <f>SUM(G109:G149)-G145-G147</f>
        <v>28700</v>
      </c>
      <c r="H150" s="319">
        <f>SUM(H109:H149)-H145-H147</f>
        <v>11</v>
      </c>
      <c r="I150" s="319">
        <f>SUM(I109:I149)-I145-I147</f>
        <v>28700</v>
      </c>
      <c r="J150" s="322"/>
      <c r="K150" s="322"/>
      <c r="L150" s="323">
        <f>SUM(L109:L149)</f>
        <v>186200</v>
      </c>
      <c r="M150" s="324"/>
      <c r="N150" s="325"/>
      <c r="O150" s="323">
        <f>SUM(O109:O149)-O147</f>
        <v>65450</v>
      </c>
      <c r="P150" s="323"/>
      <c r="Q150" s="326">
        <f>SUM(Q109:Q149)-Q147</f>
        <v>65450</v>
      </c>
    </row>
    <row r="151" spans="1:17" ht="22.5" customHeight="1" thickTop="1" x14ac:dyDescent="0.5">
      <c r="A151" s="61"/>
      <c r="B151" s="327" t="s">
        <v>328</v>
      </c>
      <c r="C151" s="63"/>
      <c r="D151" s="64"/>
      <c r="E151" s="65"/>
      <c r="F151" s="66"/>
      <c r="G151" s="67"/>
      <c r="H151" s="67"/>
      <c r="I151" s="67"/>
      <c r="J151" s="286"/>
      <c r="K151" s="286"/>
      <c r="L151" s="328"/>
      <c r="M151" s="69"/>
      <c r="N151" s="70"/>
      <c r="O151" s="71"/>
      <c r="P151" s="71"/>
      <c r="Q151" s="72"/>
    </row>
    <row r="152" spans="1:17" ht="22.5" customHeight="1" x14ac:dyDescent="0.5">
      <c r="A152" s="23">
        <v>1</v>
      </c>
      <c r="B152" s="24" t="s">
        <v>329</v>
      </c>
      <c r="C152" s="25" t="s">
        <v>330</v>
      </c>
      <c r="D152" s="43">
        <v>130536.37</v>
      </c>
      <c r="E152" s="212"/>
      <c r="F152" s="213"/>
      <c r="G152" s="219">
        <v>0</v>
      </c>
      <c r="H152" s="329">
        <v>0</v>
      </c>
      <c r="I152" s="329">
        <v>0</v>
      </c>
      <c r="J152" s="30"/>
      <c r="K152" s="31"/>
      <c r="L152" s="32"/>
      <c r="M152" s="41" t="s">
        <v>61</v>
      </c>
      <c r="N152" s="34" t="s">
        <v>35</v>
      </c>
      <c r="O152" s="330">
        <f t="shared" ref="O152:O159" si="12">SUM(Q152-P152)</f>
        <v>130536.37</v>
      </c>
      <c r="P152" s="330">
        <v>0</v>
      </c>
      <c r="Q152" s="36">
        <f t="shared" ref="Q152:Q159" si="13">SUM(D152+I152-L152)</f>
        <v>130536.37</v>
      </c>
    </row>
    <row r="153" spans="1:17" ht="22.5" customHeight="1" x14ac:dyDescent="0.5">
      <c r="A153" s="23">
        <v>2</v>
      </c>
      <c r="B153" s="24" t="s">
        <v>329</v>
      </c>
      <c r="C153" s="25" t="s">
        <v>331</v>
      </c>
      <c r="D153" s="64">
        <v>96520.67</v>
      </c>
      <c r="E153" s="212"/>
      <c r="F153" s="213"/>
      <c r="G153" s="219">
        <v>0</v>
      </c>
      <c r="H153" s="329">
        <v>0</v>
      </c>
      <c r="I153" s="329">
        <v>0</v>
      </c>
      <c r="J153" s="30"/>
      <c r="K153" s="31"/>
      <c r="L153" s="32"/>
      <c r="M153" s="41" t="s">
        <v>61</v>
      </c>
      <c r="N153" s="34" t="s">
        <v>35</v>
      </c>
      <c r="O153" s="330">
        <f t="shared" si="12"/>
        <v>96520.67</v>
      </c>
      <c r="P153" s="330">
        <v>0</v>
      </c>
      <c r="Q153" s="36">
        <f t="shared" si="13"/>
        <v>96520.67</v>
      </c>
    </row>
    <row r="154" spans="1:17" ht="22.5" customHeight="1" x14ac:dyDescent="0.5">
      <c r="A154" s="23">
        <v>3</v>
      </c>
      <c r="B154" s="24" t="s">
        <v>332</v>
      </c>
      <c r="C154" s="25" t="s">
        <v>333</v>
      </c>
      <c r="D154" s="43">
        <v>63810</v>
      </c>
      <c r="E154" s="212"/>
      <c r="F154" s="213"/>
      <c r="G154" s="329">
        <v>0</v>
      </c>
      <c r="H154" s="329">
        <v>0</v>
      </c>
      <c r="I154" s="329">
        <v>0</v>
      </c>
      <c r="J154" s="30">
        <v>25090</v>
      </c>
      <c r="K154" s="31" t="s">
        <v>334</v>
      </c>
      <c r="L154" s="32">
        <v>63810</v>
      </c>
      <c r="M154" s="41"/>
      <c r="N154" s="34"/>
      <c r="O154" s="330">
        <f t="shared" si="12"/>
        <v>0</v>
      </c>
      <c r="P154" s="330">
        <v>0</v>
      </c>
      <c r="Q154" s="36">
        <f t="shared" si="13"/>
        <v>0</v>
      </c>
    </row>
    <row r="155" spans="1:17" ht="22.5" customHeight="1" x14ac:dyDescent="0.5">
      <c r="A155" s="331">
        <v>4</v>
      </c>
      <c r="B155" s="332" t="s">
        <v>335</v>
      </c>
      <c r="C155" s="81" t="s">
        <v>336</v>
      </c>
      <c r="D155" s="333">
        <v>60170</v>
      </c>
      <c r="E155" s="234"/>
      <c r="F155" s="228"/>
      <c r="G155" s="334">
        <v>0</v>
      </c>
      <c r="H155" s="334">
        <v>0</v>
      </c>
      <c r="I155" s="334">
        <v>0</v>
      </c>
      <c r="J155" s="335">
        <v>25097</v>
      </c>
      <c r="K155" s="336" t="s">
        <v>337</v>
      </c>
      <c r="L155" s="337">
        <v>60170</v>
      </c>
      <c r="M155" s="338"/>
      <c r="N155" s="112"/>
      <c r="O155" s="339">
        <f t="shared" si="12"/>
        <v>0</v>
      </c>
      <c r="P155" s="339">
        <v>0</v>
      </c>
      <c r="Q155" s="340">
        <f t="shared" si="13"/>
        <v>0</v>
      </c>
    </row>
    <row r="156" spans="1:17" ht="22.5" customHeight="1" x14ac:dyDescent="0.5">
      <c r="A156" s="23">
        <v>5</v>
      </c>
      <c r="B156" s="24" t="s">
        <v>338</v>
      </c>
      <c r="C156" s="25" t="s">
        <v>339</v>
      </c>
      <c r="D156" s="341">
        <v>23527.65</v>
      </c>
      <c r="E156" s="212"/>
      <c r="F156" s="213"/>
      <c r="G156" s="219">
        <v>0</v>
      </c>
      <c r="H156" s="329">
        <v>0</v>
      </c>
      <c r="I156" s="329">
        <v>0</v>
      </c>
      <c r="J156" s="335">
        <v>25090</v>
      </c>
      <c r="K156" s="336" t="s">
        <v>340</v>
      </c>
      <c r="L156" s="342">
        <v>23527.65</v>
      </c>
      <c r="M156" s="41"/>
      <c r="N156" s="34"/>
      <c r="O156" s="330">
        <f t="shared" si="12"/>
        <v>0</v>
      </c>
      <c r="P156" s="330">
        <v>0</v>
      </c>
      <c r="Q156" s="36">
        <f t="shared" si="13"/>
        <v>0</v>
      </c>
    </row>
    <row r="157" spans="1:17" ht="22.5" customHeight="1" x14ac:dyDescent="0.5">
      <c r="A157" s="61">
        <v>6</v>
      </c>
      <c r="B157" s="343" t="s">
        <v>341</v>
      </c>
      <c r="C157" s="165" t="s">
        <v>342</v>
      </c>
      <c r="D157" s="344">
        <v>20715.32</v>
      </c>
      <c r="E157" s="167"/>
      <c r="F157" s="213"/>
      <c r="G157" s="219">
        <v>0</v>
      </c>
      <c r="H157" s="329">
        <v>0</v>
      </c>
      <c r="I157" s="329">
        <v>0</v>
      </c>
      <c r="J157" s="345">
        <v>25086</v>
      </c>
      <c r="K157" s="346" t="s">
        <v>343</v>
      </c>
      <c r="L157" s="347">
        <v>20715.32</v>
      </c>
      <c r="M157" s="41"/>
      <c r="N157" s="34"/>
      <c r="O157" s="330">
        <f t="shared" si="12"/>
        <v>0</v>
      </c>
      <c r="P157" s="330">
        <v>0</v>
      </c>
      <c r="Q157" s="36">
        <f t="shared" si="13"/>
        <v>0</v>
      </c>
    </row>
    <row r="158" spans="1:17" ht="22.5" customHeight="1" x14ac:dyDescent="0.5">
      <c r="A158" s="331">
        <v>7</v>
      </c>
      <c r="B158" s="332" t="s">
        <v>344</v>
      </c>
      <c r="C158" s="81" t="s">
        <v>345</v>
      </c>
      <c r="D158" s="348">
        <v>21986</v>
      </c>
      <c r="E158" s="349"/>
      <c r="F158" s="213"/>
      <c r="G158" s="219">
        <v>0</v>
      </c>
      <c r="H158" s="329">
        <v>0</v>
      </c>
      <c r="I158" s="329">
        <v>0</v>
      </c>
      <c r="J158" s="182">
        <v>25103</v>
      </c>
      <c r="K158" s="350" t="s">
        <v>346</v>
      </c>
      <c r="L158" s="337">
        <v>21986</v>
      </c>
      <c r="M158" s="41"/>
      <c r="N158" s="34"/>
      <c r="O158" s="339">
        <f t="shared" si="12"/>
        <v>0</v>
      </c>
      <c r="P158" s="339">
        <v>0</v>
      </c>
      <c r="Q158" s="340">
        <f t="shared" si="13"/>
        <v>0</v>
      </c>
    </row>
    <row r="159" spans="1:17" s="356" customFormat="1" ht="22.5" customHeight="1" x14ac:dyDescent="0.5">
      <c r="A159" s="253">
        <v>8</v>
      </c>
      <c r="B159" s="24" t="s">
        <v>347</v>
      </c>
      <c r="C159" s="351" t="s">
        <v>348</v>
      </c>
      <c r="D159" s="352">
        <v>20000</v>
      </c>
      <c r="E159" s="353"/>
      <c r="F159" s="228"/>
      <c r="G159" s="329">
        <v>0</v>
      </c>
      <c r="H159" s="329">
        <v>0</v>
      </c>
      <c r="I159" s="329">
        <v>0</v>
      </c>
      <c r="J159" s="30">
        <v>25103</v>
      </c>
      <c r="K159" s="31" t="s">
        <v>349</v>
      </c>
      <c r="L159" s="32">
        <v>20000</v>
      </c>
      <c r="M159" s="354"/>
      <c r="N159" s="355"/>
      <c r="O159" s="330">
        <f t="shared" si="12"/>
        <v>0</v>
      </c>
      <c r="P159" s="330">
        <v>0</v>
      </c>
      <c r="Q159" s="36">
        <f t="shared" si="13"/>
        <v>0</v>
      </c>
    </row>
    <row r="160" spans="1:17" s="60" customFormat="1" ht="22.5" customHeight="1" thickBot="1" x14ac:dyDescent="0.35">
      <c r="A160" s="317"/>
      <c r="B160" s="317" t="s">
        <v>15</v>
      </c>
      <c r="C160" s="357"/>
      <c r="D160" s="358">
        <f>SUM(D152:D159)</f>
        <v>437266.01</v>
      </c>
      <c r="E160" s="320"/>
      <c r="F160" s="321"/>
      <c r="G160" s="359">
        <v>0</v>
      </c>
      <c r="H160" s="359">
        <v>0</v>
      </c>
      <c r="I160" s="359">
        <v>0</v>
      </c>
      <c r="J160" s="360"/>
      <c r="K160" s="361"/>
      <c r="L160" s="358">
        <f>SUM(L152:L159)</f>
        <v>210208.97</v>
      </c>
      <c r="M160" s="362"/>
      <c r="N160" s="363"/>
      <c r="O160" s="364">
        <f>SUM(O152:O159)</f>
        <v>227057.03999999998</v>
      </c>
      <c r="P160" s="364">
        <f>SUM(P152:P159)</f>
        <v>0</v>
      </c>
      <c r="Q160" s="365">
        <f>SUM(Q152:Q159)</f>
        <v>227057.03999999998</v>
      </c>
    </row>
    <row r="161" spans="1:17" ht="22.5" customHeight="1" thickTop="1" x14ac:dyDescent="0.3">
      <c r="A161" s="115"/>
      <c r="B161" s="164" t="s">
        <v>350</v>
      </c>
      <c r="C161" s="366"/>
      <c r="D161" s="86"/>
      <c r="E161" s="167"/>
      <c r="F161" s="168"/>
      <c r="G161" s="255"/>
      <c r="H161" s="255"/>
      <c r="I161" s="255"/>
      <c r="J161" s="367"/>
      <c r="K161" s="368"/>
      <c r="L161" s="369"/>
      <c r="M161" s="117"/>
      <c r="N161" s="118"/>
      <c r="O161" s="172"/>
      <c r="P161" s="172"/>
      <c r="Q161" s="370"/>
    </row>
    <row r="162" spans="1:17" ht="22.5" customHeight="1" x14ac:dyDescent="0.5">
      <c r="A162" s="23">
        <v>1</v>
      </c>
      <c r="B162" s="290" t="s">
        <v>147</v>
      </c>
      <c r="C162" s="371" t="s">
        <v>351</v>
      </c>
      <c r="D162" s="43">
        <v>1400</v>
      </c>
      <c r="E162" s="212"/>
      <c r="F162" s="213"/>
      <c r="G162" s="219">
        <v>0</v>
      </c>
      <c r="H162" s="219">
        <v>0</v>
      </c>
      <c r="I162" s="219">
        <v>0</v>
      </c>
      <c r="J162" s="30">
        <v>25086</v>
      </c>
      <c r="K162" s="220" t="s">
        <v>352</v>
      </c>
      <c r="L162" s="221">
        <v>1400</v>
      </c>
      <c r="M162" s="372"/>
      <c r="N162" s="373"/>
      <c r="O162" s="114">
        <v>0</v>
      </c>
      <c r="P162" s="114">
        <v>0</v>
      </c>
      <c r="Q162" s="36">
        <v>0</v>
      </c>
    </row>
    <row r="163" spans="1:17" ht="22.5" customHeight="1" x14ac:dyDescent="0.5">
      <c r="A163" s="23">
        <v>2</v>
      </c>
      <c r="B163" s="290" t="s">
        <v>353</v>
      </c>
      <c r="C163" s="371" t="s">
        <v>354</v>
      </c>
      <c r="D163" s="43">
        <v>11000</v>
      </c>
      <c r="E163" s="212">
        <v>25051</v>
      </c>
      <c r="F163" s="213" t="s">
        <v>33</v>
      </c>
      <c r="G163" s="219">
        <v>11000</v>
      </c>
      <c r="H163" s="219">
        <v>0</v>
      </c>
      <c r="I163" s="219">
        <v>11000</v>
      </c>
      <c r="J163" s="30"/>
      <c r="K163" s="220"/>
      <c r="L163" s="221"/>
      <c r="M163" s="215" t="s">
        <v>114</v>
      </c>
      <c r="N163" s="216" t="s">
        <v>115</v>
      </c>
      <c r="O163" s="114">
        <f>SUM(D163+G163-L163)</f>
        <v>22000</v>
      </c>
      <c r="P163" s="114">
        <v>0</v>
      </c>
      <c r="Q163" s="36">
        <f>SUM(D163+I163-L163)</f>
        <v>22000</v>
      </c>
    </row>
    <row r="164" spans="1:17" ht="22.5" customHeight="1" x14ac:dyDescent="0.5">
      <c r="A164" s="23">
        <v>3</v>
      </c>
      <c r="B164" s="290" t="s">
        <v>355</v>
      </c>
      <c r="C164" s="371" t="s">
        <v>356</v>
      </c>
      <c r="D164" s="43">
        <v>9400</v>
      </c>
      <c r="E164" s="212">
        <v>25051</v>
      </c>
      <c r="F164" s="213" t="s">
        <v>33</v>
      </c>
      <c r="G164" s="219">
        <v>9400</v>
      </c>
      <c r="H164" s="219">
        <v>0</v>
      </c>
      <c r="I164" s="219">
        <v>9400</v>
      </c>
      <c r="J164" s="30">
        <v>25089</v>
      </c>
      <c r="K164" s="220" t="s">
        <v>357</v>
      </c>
      <c r="L164" s="221">
        <v>9400</v>
      </c>
      <c r="M164" s="215">
        <v>25082</v>
      </c>
      <c r="N164" s="216" t="s">
        <v>35</v>
      </c>
      <c r="O164" s="114">
        <f>SUM(D164+G164-L164)</f>
        <v>9400</v>
      </c>
      <c r="P164" s="114">
        <v>0</v>
      </c>
      <c r="Q164" s="36">
        <f>SUM(D164+I164-L164)</f>
        <v>9400</v>
      </c>
    </row>
    <row r="165" spans="1:17" ht="22.5" customHeight="1" x14ac:dyDescent="0.5">
      <c r="A165" s="331">
        <v>5</v>
      </c>
      <c r="B165" s="374" t="s">
        <v>358</v>
      </c>
      <c r="C165" s="375" t="s">
        <v>356</v>
      </c>
      <c r="D165" s="79">
        <v>9810</v>
      </c>
      <c r="E165" s="234"/>
      <c r="F165" s="228"/>
      <c r="G165" s="219">
        <v>0</v>
      </c>
      <c r="H165" s="219">
        <v>0</v>
      </c>
      <c r="I165" s="219">
        <v>0</v>
      </c>
      <c r="J165" s="38"/>
      <c r="K165" s="376"/>
      <c r="L165" s="246"/>
      <c r="M165" s="215">
        <v>25082</v>
      </c>
      <c r="N165" s="216" t="s">
        <v>35</v>
      </c>
      <c r="O165" s="114">
        <f>SUM(D165+G165-L165)</f>
        <v>9810</v>
      </c>
      <c r="P165" s="114">
        <v>0</v>
      </c>
      <c r="Q165" s="36">
        <f>SUM(D165+I165-L165)</f>
        <v>9810</v>
      </c>
    </row>
    <row r="166" spans="1:17" ht="22.5" customHeight="1" x14ac:dyDescent="0.5">
      <c r="A166" s="377">
        <v>6</v>
      </c>
      <c r="B166" s="378" t="s">
        <v>359</v>
      </c>
      <c r="C166" s="311" t="s">
        <v>360</v>
      </c>
      <c r="D166" s="379">
        <v>6000</v>
      </c>
      <c r="E166" s="380"/>
      <c r="F166" s="75"/>
      <c r="G166" s="76">
        <v>0</v>
      </c>
      <c r="H166" s="219">
        <v>0</v>
      </c>
      <c r="I166" s="76">
        <v>0</v>
      </c>
      <c r="J166" s="38">
        <v>25086</v>
      </c>
      <c r="K166" s="376" t="s">
        <v>361</v>
      </c>
      <c r="L166" s="246">
        <v>6000</v>
      </c>
      <c r="M166" s="247"/>
      <c r="N166" s="248"/>
      <c r="O166" s="114">
        <f>SUM(D166+G166-L166)</f>
        <v>0</v>
      </c>
      <c r="P166" s="114">
        <v>0</v>
      </c>
      <c r="Q166" s="36">
        <f>SUM(D166+I166-L166)</f>
        <v>0</v>
      </c>
    </row>
    <row r="167" spans="1:17" ht="22.5" customHeight="1" x14ac:dyDescent="0.5">
      <c r="A167" s="381">
        <v>7</v>
      </c>
      <c r="B167" s="149" t="s">
        <v>281</v>
      </c>
      <c r="C167" s="311" t="s">
        <v>360</v>
      </c>
      <c r="D167" s="382">
        <v>3000</v>
      </c>
      <c r="E167" s="96" t="s">
        <v>170</v>
      </c>
      <c r="F167" s="97" t="s">
        <v>115</v>
      </c>
      <c r="G167" s="76">
        <v>6000</v>
      </c>
      <c r="H167" s="219">
        <v>0</v>
      </c>
      <c r="I167" s="76">
        <v>6000</v>
      </c>
      <c r="J167" s="30"/>
      <c r="K167" s="31"/>
      <c r="L167" s="32"/>
      <c r="M167" s="215" t="s">
        <v>362</v>
      </c>
      <c r="N167" s="216" t="s">
        <v>284</v>
      </c>
      <c r="O167" s="114">
        <f>SUM(D167+G167-L167)</f>
        <v>9000</v>
      </c>
      <c r="P167" s="114">
        <v>0</v>
      </c>
      <c r="Q167" s="36">
        <f>SUM(D167+I167-L167)</f>
        <v>9000</v>
      </c>
    </row>
    <row r="168" spans="1:17" s="60" customFormat="1" ht="22.5" customHeight="1" thickBot="1" x14ac:dyDescent="0.35">
      <c r="A168" s="317"/>
      <c r="B168" s="317" t="s">
        <v>15</v>
      </c>
      <c r="C168" s="357"/>
      <c r="D168" s="383">
        <f>SUM(D162:D167)</f>
        <v>40610</v>
      </c>
      <c r="E168" s="320"/>
      <c r="F168" s="321"/>
      <c r="G168" s="383">
        <f>SUM(G162:G167)</f>
        <v>26400</v>
      </c>
      <c r="H168" s="383">
        <f>SUM(H162:H167)</f>
        <v>0</v>
      </c>
      <c r="I168" s="383">
        <f>SUM(I162:I167)</f>
        <v>26400</v>
      </c>
      <c r="J168" s="384"/>
      <c r="K168" s="384"/>
      <c r="L168" s="359">
        <f>SUM(L162:L167)</f>
        <v>16800</v>
      </c>
      <c r="M168" s="317"/>
      <c r="N168" s="321"/>
      <c r="O168" s="385">
        <f>SUM(O162:O167)</f>
        <v>50210</v>
      </c>
      <c r="P168" s="385">
        <f>SUM(P162:P167)</f>
        <v>0</v>
      </c>
      <c r="Q168" s="386">
        <f>SUM(Q162:Q167)</f>
        <v>50210</v>
      </c>
    </row>
    <row r="169" spans="1:17" ht="22.5" customHeight="1" thickTop="1" x14ac:dyDescent="0.3">
      <c r="A169" s="61"/>
      <c r="B169" s="62" t="s">
        <v>363</v>
      </c>
      <c r="C169" s="63"/>
      <c r="D169" s="64"/>
      <c r="E169" s="65"/>
      <c r="F169" s="66"/>
      <c r="G169" s="67"/>
      <c r="H169" s="67"/>
      <c r="I169" s="67"/>
      <c r="J169" s="286"/>
      <c r="K169" s="286"/>
      <c r="L169" s="328"/>
      <c r="M169" s="69"/>
      <c r="N169" s="70"/>
      <c r="O169" s="71"/>
      <c r="P169" s="71"/>
      <c r="Q169" s="387"/>
    </row>
    <row r="170" spans="1:17" ht="22.5" customHeight="1" x14ac:dyDescent="0.5">
      <c r="A170" s="208">
        <v>1</v>
      </c>
      <c r="B170" s="73" t="s">
        <v>364</v>
      </c>
      <c r="C170" s="25" t="s">
        <v>365</v>
      </c>
      <c r="D170" s="43">
        <v>10000</v>
      </c>
      <c r="E170" s="212"/>
      <c r="F170" s="228"/>
      <c r="G170" s="219">
        <v>0</v>
      </c>
      <c r="H170" s="219">
        <v>0</v>
      </c>
      <c r="I170" s="219">
        <v>0</v>
      </c>
      <c r="J170" s="30">
        <v>25098</v>
      </c>
      <c r="K170" s="31" t="s">
        <v>366</v>
      </c>
      <c r="L170" s="32">
        <v>10000</v>
      </c>
      <c r="M170" s="41"/>
      <c r="N170" s="34"/>
      <c r="O170" s="114">
        <f t="shared" ref="O170:O177" si="14">SUM(D170+G170-L170)</f>
        <v>0</v>
      </c>
      <c r="P170" s="114">
        <v>0</v>
      </c>
      <c r="Q170" s="36">
        <f t="shared" ref="Q170:Q177" si="15">SUM(D170+I170-L170)</f>
        <v>0</v>
      </c>
    </row>
    <row r="171" spans="1:17" ht="22.5" customHeight="1" x14ac:dyDescent="0.5">
      <c r="A171" s="208">
        <v>2</v>
      </c>
      <c r="B171" s="290" t="s">
        <v>367</v>
      </c>
      <c r="C171" s="25" t="s">
        <v>368</v>
      </c>
      <c r="D171" s="388">
        <v>5000</v>
      </c>
      <c r="E171" s="212"/>
      <c r="F171" s="228"/>
      <c r="G171" s="389">
        <v>0</v>
      </c>
      <c r="H171" s="219">
        <v>0</v>
      </c>
      <c r="I171" s="219">
        <v>0</v>
      </c>
      <c r="J171" s="250">
        <v>25092</v>
      </c>
      <c r="K171" s="251" t="s">
        <v>369</v>
      </c>
      <c r="L171" s="390">
        <v>5000</v>
      </c>
      <c r="M171" s="41"/>
      <c r="N171" s="34"/>
      <c r="O171" s="114">
        <f t="shared" si="14"/>
        <v>0</v>
      </c>
      <c r="P171" s="114">
        <v>0</v>
      </c>
      <c r="Q171" s="36">
        <f t="shared" si="15"/>
        <v>0</v>
      </c>
    </row>
    <row r="172" spans="1:17" ht="22.5" customHeight="1" x14ac:dyDescent="0.5">
      <c r="A172" s="391">
        <v>3</v>
      </c>
      <c r="B172" s="392" t="s">
        <v>370</v>
      </c>
      <c r="C172" s="63" t="s">
        <v>371</v>
      </c>
      <c r="D172" s="393">
        <v>12000</v>
      </c>
      <c r="E172" s="394"/>
      <c r="F172" s="395"/>
      <c r="G172" s="396">
        <v>0</v>
      </c>
      <c r="H172" s="397">
        <v>0</v>
      </c>
      <c r="I172" s="67">
        <v>0</v>
      </c>
      <c r="J172" s="30">
        <v>25103</v>
      </c>
      <c r="K172" s="31" t="s">
        <v>372</v>
      </c>
      <c r="L172" s="32">
        <v>12000</v>
      </c>
      <c r="M172" s="41"/>
      <c r="N172" s="34"/>
      <c r="O172" s="114">
        <f t="shared" si="14"/>
        <v>0</v>
      </c>
      <c r="P172" s="114">
        <v>0</v>
      </c>
      <c r="Q172" s="36">
        <f t="shared" si="15"/>
        <v>0</v>
      </c>
    </row>
    <row r="173" spans="1:17" ht="22.5" customHeight="1" x14ac:dyDescent="0.3">
      <c r="A173" s="253">
        <v>4</v>
      </c>
      <c r="B173" s="398" t="s">
        <v>373</v>
      </c>
      <c r="C173" s="165" t="s">
        <v>374</v>
      </c>
      <c r="D173" s="166">
        <v>4100</v>
      </c>
      <c r="E173" s="394"/>
      <c r="F173" s="395"/>
      <c r="G173" s="396">
        <v>0</v>
      </c>
      <c r="H173" s="397">
        <v>0</v>
      </c>
      <c r="I173" s="397">
        <v>0</v>
      </c>
      <c r="J173" s="399">
        <v>25082</v>
      </c>
      <c r="K173" s="400" t="s">
        <v>375</v>
      </c>
      <c r="L173" s="401">
        <v>4100</v>
      </c>
      <c r="M173" s="41"/>
      <c r="N173" s="34"/>
      <c r="O173" s="114">
        <f t="shared" si="14"/>
        <v>0</v>
      </c>
      <c r="P173" s="114">
        <v>0</v>
      </c>
      <c r="Q173" s="36">
        <f t="shared" si="15"/>
        <v>0</v>
      </c>
    </row>
    <row r="174" spans="1:17" ht="22.5" customHeight="1" x14ac:dyDescent="0.5">
      <c r="A174" s="253">
        <v>5</v>
      </c>
      <c r="B174" s="402" t="s">
        <v>376</v>
      </c>
      <c r="C174" s="403" t="s">
        <v>377</v>
      </c>
      <c r="D174" s="166">
        <v>1850</v>
      </c>
      <c r="E174" s="65"/>
      <c r="F174" s="168"/>
      <c r="G174" s="404">
        <v>0</v>
      </c>
      <c r="H174" s="67">
        <v>0</v>
      </c>
      <c r="I174" s="67">
        <v>0</v>
      </c>
      <c r="J174" s="30" t="s">
        <v>378</v>
      </c>
      <c r="K174" s="31" t="s">
        <v>379</v>
      </c>
      <c r="L174" s="32">
        <v>1850</v>
      </c>
      <c r="M174" s="41"/>
      <c r="N174" s="34"/>
      <c r="O174" s="114">
        <f t="shared" si="14"/>
        <v>0</v>
      </c>
      <c r="P174" s="114">
        <v>0</v>
      </c>
      <c r="Q174" s="36">
        <f t="shared" si="15"/>
        <v>0</v>
      </c>
    </row>
    <row r="175" spans="1:17" ht="22.5" customHeight="1" x14ac:dyDescent="0.5">
      <c r="A175" s="253">
        <v>6</v>
      </c>
      <c r="B175" s="378" t="s">
        <v>380</v>
      </c>
      <c r="C175" s="405" t="s">
        <v>381</v>
      </c>
      <c r="D175" s="166">
        <v>0</v>
      </c>
      <c r="E175" s="65"/>
      <c r="F175" s="168"/>
      <c r="G175" s="404">
        <v>0</v>
      </c>
      <c r="H175" s="67">
        <v>0</v>
      </c>
      <c r="I175" s="67">
        <v>0</v>
      </c>
      <c r="J175" s="30"/>
      <c r="K175" s="31"/>
      <c r="L175" s="32"/>
      <c r="M175" s="41"/>
      <c r="N175" s="34"/>
      <c r="O175" s="114">
        <f t="shared" si="14"/>
        <v>0</v>
      </c>
      <c r="P175" s="114">
        <v>0</v>
      </c>
      <c r="Q175" s="36">
        <f t="shared" si="15"/>
        <v>0</v>
      </c>
    </row>
    <row r="176" spans="1:17" ht="22.5" customHeight="1" x14ac:dyDescent="0.5">
      <c r="A176" s="253"/>
      <c r="B176" s="406" t="s">
        <v>382</v>
      </c>
      <c r="C176" s="405"/>
      <c r="D176" s="166"/>
      <c r="E176" s="65"/>
      <c r="F176" s="168"/>
      <c r="G176" s="404"/>
      <c r="H176" s="67"/>
      <c r="I176" s="67"/>
      <c r="J176" s="30"/>
      <c r="K176" s="31"/>
      <c r="L176" s="32"/>
      <c r="M176" s="41"/>
      <c r="N176" s="34"/>
      <c r="O176" s="114"/>
      <c r="P176" s="114"/>
      <c r="Q176" s="36"/>
    </row>
    <row r="177" spans="1:17" ht="22.5" customHeight="1" x14ac:dyDescent="0.5">
      <c r="A177" s="208">
        <v>7</v>
      </c>
      <c r="B177" s="149" t="s">
        <v>383</v>
      </c>
      <c r="C177" s="311" t="s">
        <v>384</v>
      </c>
      <c r="D177" s="166">
        <v>5400</v>
      </c>
      <c r="E177" s="65"/>
      <c r="F177" s="168"/>
      <c r="G177" s="404">
        <v>0</v>
      </c>
      <c r="H177" s="67">
        <v>0</v>
      </c>
      <c r="I177" s="67">
        <v>0</v>
      </c>
      <c r="J177" s="250">
        <v>25086</v>
      </c>
      <c r="K177" s="251" t="s">
        <v>385</v>
      </c>
      <c r="L177" s="390">
        <v>5400</v>
      </c>
      <c r="M177" s="41"/>
      <c r="N177" s="34"/>
      <c r="O177" s="114">
        <f t="shared" si="14"/>
        <v>0</v>
      </c>
      <c r="P177" s="114">
        <v>0</v>
      </c>
      <c r="Q177" s="36">
        <f t="shared" si="15"/>
        <v>0</v>
      </c>
    </row>
    <row r="178" spans="1:17" s="60" customFormat="1" ht="22.5" customHeight="1" thickBot="1" x14ac:dyDescent="0.35">
      <c r="A178" s="317"/>
      <c r="B178" s="317" t="s">
        <v>15</v>
      </c>
      <c r="C178" s="318"/>
      <c r="D178" s="383">
        <f>SUM(D170:D177)</f>
        <v>38350</v>
      </c>
      <c r="E178" s="320"/>
      <c r="F178" s="321"/>
      <c r="G178" s="358">
        <v>0</v>
      </c>
      <c r="H178" s="358">
        <v>0</v>
      </c>
      <c r="I178" s="358">
        <v>0</v>
      </c>
      <c r="J178" s="383"/>
      <c r="K178" s="383">
        <f>SUM(K169:K171)</f>
        <v>0</v>
      </c>
      <c r="L178" s="383">
        <f>SUM(L170:L177)</f>
        <v>38350</v>
      </c>
      <c r="M178" s="407"/>
      <c r="N178" s="321"/>
      <c r="O178" s="323">
        <v>0</v>
      </c>
      <c r="P178" s="323">
        <f>SUM(P170:P177)</f>
        <v>0</v>
      </c>
      <c r="Q178" s="326">
        <v>0</v>
      </c>
    </row>
    <row r="179" spans="1:17" ht="22.5" customHeight="1" thickTop="1" x14ac:dyDescent="0.3">
      <c r="A179" s="61"/>
      <c r="B179" s="62" t="s">
        <v>386</v>
      </c>
      <c r="C179" s="63"/>
      <c r="D179" s="64"/>
      <c r="E179" s="65"/>
      <c r="F179" s="66"/>
      <c r="G179" s="67"/>
      <c r="H179" s="67"/>
      <c r="I179" s="67"/>
      <c r="J179" s="68"/>
      <c r="K179" s="68"/>
      <c r="L179" s="64"/>
      <c r="M179" s="69"/>
      <c r="N179" s="70"/>
      <c r="O179" s="71"/>
      <c r="P179" s="71"/>
      <c r="Q179" s="387"/>
    </row>
    <row r="180" spans="1:17" ht="22.5" customHeight="1" x14ac:dyDescent="0.3">
      <c r="A180" s="208">
        <v>1</v>
      </c>
      <c r="B180" s="73" t="s">
        <v>387</v>
      </c>
      <c r="C180" s="25" t="s">
        <v>388</v>
      </c>
      <c r="D180" s="43">
        <v>0</v>
      </c>
      <c r="E180" s="212"/>
      <c r="F180" s="213"/>
      <c r="G180" s="219">
        <v>0</v>
      </c>
      <c r="H180" s="219">
        <v>0</v>
      </c>
      <c r="I180" s="219">
        <v>0</v>
      </c>
      <c r="J180" s="408"/>
      <c r="K180" s="408"/>
      <c r="L180" s="43"/>
      <c r="M180" s="41"/>
      <c r="N180" s="34"/>
      <c r="O180" s="114">
        <f>SUM(D180+I180-L180)</f>
        <v>0</v>
      </c>
      <c r="P180" s="114">
        <v>0</v>
      </c>
      <c r="Q180" s="409">
        <f>SUM(D180+I180-L180)</f>
        <v>0</v>
      </c>
    </row>
    <row r="181" spans="1:17" ht="22.5" customHeight="1" x14ac:dyDescent="0.5">
      <c r="A181" s="208">
        <v>2</v>
      </c>
      <c r="B181" s="290" t="s">
        <v>389</v>
      </c>
      <c r="C181" s="25" t="s">
        <v>390</v>
      </c>
      <c r="D181" s="388">
        <v>3150</v>
      </c>
      <c r="E181" s="212">
        <v>25051</v>
      </c>
      <c r="F181" s="228" t="s">
        <v>33</v>
      </c>
      <c r="G181" s="389">
        <v>3150</v>
      </c>
      <c r="H181" s="219">
        <v>0</v>
      </c>
      <c r="I181" s="219">
        <v>3150</v>
      </c>
      <c r="J181" s="335">
        <v>25085</v>
      </c>
      <c r="K181" s="410" t="s">
        <v>391</v>
      </c>
      <c r="L181" s="411">
        <v>3150</v>
      </c>
      <c r="M181" s="215">
        <v>25082</v>
      </c>
      <c r="N181" s="216" t="s">
        <v>35</v>
      </c>
      <c r="O181" s="114">
        <f>SUM(D181+I181-L181)</f>
        <v>3150</v>
      </c>
      <c r="P181" s="114">
        <v>0</v>
      </c>
      <c r="Q181" s="409">
        <f>SUM(D181+I181-L181)</f>
        <v>3150</v>
      </c>
    </row>
    <row r="182" spans="1:17" s="60" customFormat="1" ht="22.5" customHeight="1" thickBot="1" x14ac:dyDescent="0.35">
      <c r="A182" s="317"/>
      <c r="B182" s="317" t="s">
        <v>15</v>
      </c>
      <c r="C182" s="318"/>
      <c r="D182" s="383">
        <f>SUM(D180:D181)</f>
        <v>3150</v>
      </c>
      <c r="E182" s="320"/>
      <c r="F182" s="321"/>
      <c r="G182" s="358">
        <v>3150</v>
      </c>
      <c r="H182" s="358">
        <v>0</v>
      </c>
      <c r="I182" s="358">
        <v>3150</v>
      </c>
      <c r="J182" s="383">
        <f>SUM(J180:J181)</f>
        <v>25085</v>
      </c>
      <c r="K182" s="383">
        <f>SUM(K180:K181)</f>
        <v>0</v>
      </c>
      <c r="L182" s="383">
        <f>SUM(L180:L181)</f>
        <v>3150</v>
      </c>
      <c r="M182" s="407"/>
      <c r="N182" s="321"/>
      <c r="O182" s="323">
        <f>SUM(O180:O181)</f>
        <v>3150</v>
      </c>
      <c r="P182" s="323">
        <f>SUM(P180:P181)</f>
        <v>0</v>
      </c>
      <c r="Q182" s="386">
        <f>SUM(Q180:Q181)</f>
        <v>3150</v>
      </c>
    </row>
    <row r="183" spans="1:17" ht="22.5" customHeight="1" thickTop="1" x14ac:dyDescent="0.3">
      <c r="A183" s="61"/>
      <c r="B183" s="62" t="s">
        <v>392</v>
      </c>
      <c r="C183" s="63" t="s">
        <v>393</v>
      </c>
      <c r="D183" s="64"/>
      <c r="E183" s="65"/>
      <c r="F183" s="66"/>
      <c r="G183" s="67"/>
      <c r="H183" s="67"/>
      <c r="I183" s="67"/>
      <c r="J183" s="68"/>
      <c r="K183" s="68"/>
      <c r="L183" s="64"/>
      <c r="M183" s="69"/>
      <c r="N183" s="70"/>
      <c r="O183" s="71"/>
      <c r="P183" s="71"/>
      <c r="Q183" s="72"/>
    </row>
    <row r="184" spans="1:17" ht="22.5" customHeight="1" x14ac:dyDescent="0.3">
      <c r="A184" s="208"/>
      <c r="B184" s="290" t="s">
        <v>394</v>
      </c>
      <c r="C184" s="25"/>
      <c r="D184" s="388"/>
      <c r="E184" s="212"/>
      <c r="F184" s="228"/>
      <c r="G184" s="389"/>
      <c r="H184" s="219"/>
      <c r="I184" s="219"/>
      <c r="J184" s="303"/>
      <c r="K184" s="303"/>
      <c r="L184" s="388"/>
      <c r="M184" s="33"/>
      <c r="N184" s="112"/>
      <c r="O184" s="114"/>
      <c r="P184" s="114"/>
      <c r="Q184" s="409"/>
    </row>
    <row r="185" spans="1:17" s="60" customFormat="1" ht="22.5" customHeight="1" thickBot="1" x14ac:dyDescent="0.35">
      <c r="A185" s="317"/>
      <c r="B185" s="317" t="s">
        <v>15</v>
      </c>
      <c r="C185" s="318"/>
      <c r="D185" s="383">
        <f>SUM(D183:D184)</f>
        <v>0</v>
      </c>
      <c r="E185" s="320"/>
      <c r="F185" s="321"/>
      <c r="G185" s="358">
        <v>0</v>
      </c>
      <c r="H185" s="358">
        <v>0</v>
      </c>
      <c r="I185" s="358">
        <v>0</v>
      </c>
      <c r="J185" s="383">
        <f>SUM(J183:J184)</f>
        <v>0</v>
      </c>
      <c r="K185" s="383">
        <f>SUM(K183:K184)</f>
        <v>0</v>
      </c>
      <c r="L185" s="383">
        <f>SUM(L183:L184)</f>
        <v>0</v>
      </c>
      <c r="M185" s="407"/>
      <c r="N185" s="321"/>
      <c r="O185" s="323">
        <f>SUM(O183:O184)</f>
        <v>0</v>
      </c>
      <c r="P185" s="323">
        <f>SUM(P183:P184)</f>
        <v>0</v>
      </c>
      <c r="Q185" s="386">
        <f>SUM(Q183:Q184)</f>
        <v>0</v>
      </c>
    </row>
    <row r="186" spans="1:17" ht="22.5" customHeight="1" thickTop="1" x14ac:dyDescent="0.3">
      <c r="A186" s="115"/>
      <c r="B186" s="412" t="s">
        <v>395</v>
      </c>
      <c r="C186" s="165"/>
      <c r="D186" s="86"/>
      <c r="E186" s="413"/>
      <c r="F186" s="414"/>
      <c r="G186" s="415"/>
      <c r="H186" s="415"/>
      <c r="I186" s="415"/>
      <c r="J186" s="170"/>
      <c r="K186" s="171"/>
      <c r="L186" s="86"/>
      <c r="M186" s="115"/>
      <c r="N186" s="414"/>
      <c r="O186" s="416"/>
      <c r="P186" s="416"/>
      <c r="Q186" s="417"/>
    </row>
    <row r="187" spans="1:17" ht="22.5" customHeight="1" x14ac:dyDescent="0.3">
      <c r="A187" s="115"/>
      <c r="B187" s="412"/>
      <c r="C187" s="165"/>
      <c r="D187" s="86"/>
      <c r="E187" s="413"/>
      <c r="F187" s="414"/>
      <c r="G187" s="415"/>
      <c r="H187" s="415"/>
      <c r="I187" s="415"/>
      <c r="J187" s="170"/>
      <c r="K187" s="171"/>
      <c r="L187" s="86"/>
      <c r="M187" s="115"/>
      <c r="N187" s="414"/>
      <c r="O187" s="416"/>
      <c r="P187" s="416"/>
      <c r="Q187" s="417"/>
    </row>
    <row r="188" spans="1:17" ht="22.5" customHeight="1" x14ac:dyDescent="0.3">
      <c r="A188" s="115"/>
      <c r="B188" s="412"/>
      <c r="C188" s="165"/>
      <c r="D188" s="86"/>
      <c r="E188" s="413"/>
      <c r="F188" s="414"/>
      <c r="G188" s="415"/>
      <c r="H188" s="415"/>
      <c r="I188" s="415"/>
      <c r="J188" s="170"/>
      <c r="K188" s="171"/>
      <c r="L188" s="86"/>
      <c r="M188" s="115"/>
      <c r="N188" s="414"/>
      <c r="O188" s="416"/>
      <c r="P188" s="416"/>
      <c r="Q188" s="417"/>
    </row>
    <row r="189" spans="1:17" s="60" customFormat="1" ht="22.2" customHeight="1" thickBot="1" x14ac:dyDescent="0.35">
      <c r="A189" s="418"/>
      <c r="B189" s="419" t="s">
        <v>15</v>
      </c>
      <c r="C189" s="420"/>
      <c r="D189" s="421">
        <v>0</v>
      </c>
      <c r="E189" s="422"/>
      <c r="F189" s="423"/>
      <c r="G189" s="424"/>
      <c r="H189" s="424"/>
      <c r="I189" s="424"/>
      <c r="J189" s="425"/>
      <c r="K189" s="426"/>
      <c r="L189" s="421">
        <f>L188</f>
        <v>0</v>
      </c>
      <c r="M189" s="418"/>
      <c r="N189" s="423"/>
      <c r="O189" s="427">
        <f>SUM(O187:O188)</f>
        <v>0</v>
      </c>
      <c r="P189" s="427">
        <v>0</v>
      </c>
      <c r="Q189" s="428">
        <f>SUM(Q187:Q188)</f>
        <v>0</v>
      </c>
    </row>
    <row r="190" spans="1:17" ht="22.5" customHeight="1" thickTop="1" x14ac:dyDescent="0.3">
      <c r="A190" s="429"/>
      <c r="B190" s="430"/>
      <c r="C190" s="431"/>
      <c r="D190" s="432"/>
      <c r="E190" s="433"/>
      <c r="F190" s="434"/>
      <c r="G190" s="435"/>
      <c r="H190" s="435"/>
      <c r="I190" s="435"/>
      <c r="J190" s="436"/>
      <c r="K190" s="437"/>
      <c r="L190" s="438"/>
      <c r="M190" s="439"/>
      <c r="N190" s="440"/>
      <c r="O190" s="441"/>
      <c r="P190" s="441"/>
      <c r="Q190" s="442"/>
    </row>
    <row r="191" spans="1:17" ht="22.5" customHeight="1" x14ac:dyDescent="0.3">
      <c r="A191" s="61"/>
      <c r="B191" s="4" t="s">
        <v>396</v>
      </c>
      <c r="C191" s="63"/>
      <c r="D191" s="382"/>
      <c r="E191" s="443"/>
      <c r="F191" s="66"/>
      <c r="G191" s="444"/>
      <c r="H191" s="444"/>
      <c r="I191" s="444"/>
      <c r="J191" s="68"/>
      <c r="K191" s="445"/>
      <c r="L191" s="64"/>
      <c r="M191" s="69"/>
      <c r="N191" s="70"/>
      <c r="O191" s="71"/>
      <c r="P191" s="71"/>
      <c r="Q191" s="387"/>
    </row>
    <row r="192" spans="1:17" ht="22.5" customHeight="1" x14ac:dyDescent="0.5">
      <c r="A192" s="446">
        <v>1</v>
      </c>
      <c r="B192" s="447" t="s">
        <v>397</v>
      </c>
      <c r="C192" s="63"/>
      <c r="D192" s="382"/>
      <c r="E192" s="443"/>
      <c r="F192" s="66"/>
      <c r="G192" s="448">
        <v>0</v>
      </c>
      <c r="H192" s="448">
        <v>0</v>
      </c>
      <c r="I192" s="448"/>
      <c r="J192" s="449"/>
      <c r="K192" s="450"/>
      <c r="L192" s="451"/>
      <c r="M192" s="69"/>
      <c r="N192" s="70"/>
      <c r="O192" s="71">
        <f t="shared" ref="O192:O197" si="16">SUM(D192+I192-L192)</f>
        <v>0</v>
      </c>
      <c r="P192" s="71">
        <v>0</v>
      </c>
      <c r="Q192" s="387"/>
    </row>
    <row r="193" spans="1:18" ht="22.5" customHeight="1" x14ac:dyDescent="0.5">
      <c r="A193" s="446">
        <v>2</v>
      </c>
      <c r="B193" s="447" t="s">
        <v>398</v>
      </c>
      <c r="C193" s="63"/>
      <c r="D193" s="382"/>
      <c r="E193" s="443"/>
      <c r="F193" s="66"/>
      <c r="G193" s="448">
        <v>6591.51</v>
      </c>
      <c r="H193" s="448">
        <v>0</v>
      </c>
      <c r="I193" s="448">
        <v>6591.51</v>
      </c>
      <c r="J193" s="449"/>
      <c r="K193" s="450"/>
      <c r="L193" s="451"/>
      <c r="M193" s="69"/>
      <c r="N193" s="70"/>
      <c r="O193" s="71">
        <f t="shared" si="16"/>
        <v>6591.51</v>
      </c>
      <c r="P193" s="71">
        <v>0</v>
      </c>
      <c r="Q193" s="387">
        <f>SUM(D193+I193-L193)</f>
        <v>6591.51</v>
      </c>
    </row>
    <row r="194" spans="1:18" ht="22.5" customHeight="1" x14ac:dyDescent="0.3">
      <c r="A194" s="61"/>
      <c r="B194" s="164" t="s">
        <v>399</v>
      </c>
      <c r="C194" s="63"/>
      <c r="D194" s="382"/>
      <c r="E194" s="443"/>
      <c r="F194" s="66"/>
      <c r="G194" s="444">
        <v>0</v>
      </c>
      <c r="H194" s="444">
        <v>0</v>
      </c>
      <c r="I194" s="444">
        <v>0</v>
      </c>
      <c r="J194" s="68"/>
      <c r="K194" s="445"/>
      <c r="L194" s="64"/>
      <c r="M194" s="69"/>
      <c r="N194" s="70"/>
      <c r="O194" s="71">
        <f t="shared" si="16"/>
        <v>0</v>
      </c>
      <c r="P194" s="71">
        <v>0</v>
      </c>
      <c r="Q194" s="387">
        <f>SUM(D194+I194-L194)</f>
        <v>0</v>
      </c>
    </row>
    <row r="195" spans="1:18" ht="22.5" customHeight="1" x14ac:dyDescent="0.5">
      <c r="A195" s="61">
        <v>1</v>
      </c>
      <c r="B195" s="290" t="s">
        <v>400</v>
      </c>
      <c r="C195" s="25" t="s">
        <v>333</v>
      </c>
      <c r="D195" s="452"/>
      <c r="E195" s="443"/>
      <c r="F195" s="66"/>
      <c r="G195" s="67">
        <v>0</v>
      </c>
      <c r="H195" s="67">
        <v>0</v>
      </c>
      <c r="I195" s="67">
        <v>0</v>
      </c>
      <c r="J195" s="449"/>
      <c r="K195" s="450"/>
      <c r="L195" s="451"/>
      <c r="M195" s="69"/>
      <c r="N195" s="70"/>
      <c r="O195" s="71">
        <f t="shared" si="16"/>
        <v>0</v>
      </c>
      <c r="P195" s="71">
        <v>0</v>
      </c>
      <c r="Q195" s="387">
        <f>SUM(D195+I195-L195)</f>
        <v>0</v>
      </c>
    </row>
    <row r="196" spans="1:18" ht="22.5" customHeight="1" x14ac:dyDescent="0.5">
      <c r="A196" s="61">
        <v>2</v>
      </c>
      <c r="B196" s="290" t="s">
        <v>401</v>
      </c>
      <c r="C196" s="81" t="s">
        <v>336</v>
      </c>
      <c r="D196" s="452"/>
      <c r="E196" s="443"/>
      <c r="F196" s="66"/>
      <c r="G196" s="67">
        <v>32669.48</v>
      </c>
      <c r="H196" s="67">
        <v>0</v>
      </c>
      <c r="I196" s="67">
        <v>32669.48</v>
      </c>
      <c r="J196" s="449">
        <v>25097</v>
      </c>
      <c r="K196" s="450" t="s">
        <v>402</v>
      </c>
      <c r="L196" s="451">
        <v>32669.48</v>
      </c>
      <c r="M196" s="69"/>
      <c r="N196" s="70"/>
      <c r="O196" s="71">
        <f t="shared" si="16"/>
        <v>0</v>
      </c>
      <c r="P196" s="71">
        <v>0</v>
      </c>
      <c r="Q196" s="387">
        <f>SUM(D196+I196-L196)</f>
        <v>0</v>
      </c>
    </row>
    <row r="197" spans="1:18" ht="22.5" customHeight="1" x14ac:dyDescent="0.5">
      <c r="A197" s="61">
        <v>3</v>
      </c>
      <c r="B197" s="290" t="s">
        <v>403</v>
      </c>
      <c r="C197" s="25" t="s">
        <v>339</v>
      </c>
      <c r="D197" s="452"/>
      <c r="E197" s="443"/>
      <c r="F197" s="66"/>
      <c r="G197" s="67">
        <v>37312.019999999997</v>
      </c>
      <c r="H197" s="67">
        <v>0</v>
      </c>
      <c r="I197" s="67">
        <v>37312.019999999997</v>
      </c>
      <c r="J197" s="449">
        <v>25090</v>
      </c>
      <c r="K197" s="450" t="s">
        <v>404</v>
      </c>
      <c r="L197" s="451">
        <v>37312.019999999997</v>
      </c>
      <c r="M197" s="69"/>
      <c r="N197" s="70"/>
      <c r="O197" s="71">
        <f t="shared" si="16"/>
        <v>0</v>
      </c>
      <c r="P197" s="71">
        <v>0</v>
      </c>
      <c r="Q197" s="387">
        <f>SUM(D197+I197-L197)</f>
        <v>0</v>
      </c>
    </row>
    <row r="198" spans="1:18" ht="22.5" customHeight="1" x14ac:dyDescent="0.5">
      <c r="A198" s="61">
        <v>4</v>
      </c>
      <c r="B198" s="290" t="s">
        <v>405</v>
      </c>
      <c r="C198" s="25" t="s">
        <v>406</v>
      </c>
      <c r="D198" s="452"/>
      <c r="E198" s="443"/>
      <c r="F198" s="66"/>
      <c r="G198" s="67">
        <v>0</v>
      </c>
      <c r="H198" s="67">
        <v>0</v>
      </c>
      <c r="I198" s="67">
        <v>0</v>
      </c>
      <c r="J198" s="449"/>
      <c r="K198" s="450"/>
      <c r="L198" s="451"/>
      <c r="M198" s="69"/>
      <c r="N198" s="70"/>
      <c r="O198" s="71">
        <f t="shared" ref="O198:O244" si="17">SUM(D198+I198-L198)</f>
        <v>0</v>
      </c>
      <c r="P198" s="71">
        <v>0</v>
      </c>
      <c r="Q198" s="387">
        <f t="shared" ref="Q198:Q244" si="18">SUM(D198+I198-L198)</f>
        <v>0</v>
      </c>
    </row>
    <row r="199" spans="1:18" ht="22.5" customHeight="1" x14ac:dyDescent="0.5">
      <c r="A199" s="61">
        <v>5</v>
      </c>
      <c r="B199" s="290" t="s">
        <v>407</v>
      </c>
      <c r="C199" s="63" t="s">
        <v>331</v>
      </c>
      <c r="D199" s="452"/>
      <c r="E199" s="443"/>
      <c r="F199" s="66"/>
      <c r="G199" s="67">
        <v>0</v>
      </c>
      <c r="H199" s="67">
        <v>0</v>
      </c>
      <c r="I199" s="67">
        <v>0</v>
      </c>
      <c r="J199" s="449"/>
      <c r="K199" s="450"/>
      <c r="L199" s="451"/>
      <c r="M199" s="69"/>
      <c r="N199" s="70"/>
      <c r="O199" s="71">
        <f t="shared" si="17"/>
        <v>0</v>
      </c>
      <c r="P199" s="71">
        <v>0</v>
      </c>
      <c r="Q199" s="387">
        <f t="shared" si="18"/>
        <v>0</v>
      </c>
    </row>
    <row r="200" spans="1:18" ht="22.5" customHeight="1" x14ac:dyDescent="0.5">
      <c r="A200" s="61">
        <v>6</v>
      </c>
      <c r="B200" s="290" t="s">
        <v>408</v>
      </c>
      <c r="C200" s="63" t="s">
        <v>331</v>
      </c>
      <c r="D200" s="452"/>
      <c r="E200" s="443"/>
      <c r="F200" s="66"/>
      <c r="G200" s="67">
        <v>1216.8599999999999</v>
      </c>
      <c r="H200" s="67">
        <v>0</v>
      </c>
      <c r="I200" s="67">
        <v>1216.8599999999999</v>
      </c>
      <c r="J200" s="449">
        <v>25086</v>
      </c>
      <c r="K200" s="450" t="s">
        <v>409</v>
      </c>
      <c r="L200" s="451">
        <v>1216.8599999999999</v>
      </c>
      <c r="M200" s="69"/>
      <c r="N200" s="70"/>
      <c r="O200" s="71">
        <f t="shared" si="17"/>
        <v>0</v>
      </c>
      <c r="P200" s="71">
        <v>0</v>
      </c>
      <c r="Q200" s="387">
        <f t="shared" si="18"/>
        <v>0</v>
      </c>
    </row>
    <row r="201" spans="1:18" ht="22.5" customHeight="1" x14ac:dyDescent="0.5">
      <c r="A201" s="61">
        <v>7</v>
      </c>
      <c r="B201" s="290" t="s">
        <v>410</v>
      </c>
      <c r="C201" s="63" t="s">
        <v>411</v>
      </c>
      <c r="D201" s="452"/>
      <c r="E201" s="443"/>
      <c r="F201" s="66"/>
      <c r="G201" s="67">
        <v>25259.27</v>
      </c>
      <c r="H201" s="67">
        <v>0</v>
      </c>
      <c r="I201" s="67">
        <v>25259.27</v>
      </c>
      <c r="J201" s="449">
        <v>25089</v>
      </c>
      <c r="K201" s="450" t="s">
        <v>412</v>
      </c>
      <c r="L201" s="451">
        <v>25259.27</v>
      </c>
      <c r="M201" s="69"/>
      <c r="N201" s="70"/>
      <c r="O201" s="71">
        <f t="shared" si="17"/>
        <v>0</v>
      </c>
      <c r="P201" s="71">
        <v>0</v>
      </c>
      <c r="Q201" s="387">
        <f t="shared" si="18"/>
        <v>0</v>
      </c>
    </row>
    <row r="202" spans="1:18" ht="22.5" customHeight="1" x14ac:dyDescent="0.5">
      <c r="A202" s="61">
        <v>8</v>
      </c>
      <c r="B202" s="290" t="s">
        <v>413</v>
      </c>
      <c r="C202" s="63"/>
      <c r="D202" s="452"/>
      <c r="E202" s="443"/>
      <c r="F202" s="66"/>
      <c r="G202" s="67">
        <v>0</v>
      </c>
      <c r="H202" s="67">
        <v>0</v>
      </c>
      <c r="I202" s="67">
        <v>0</v>
      </c>
      <c r="J202" s="449"/>
      <c r="K202" s="450"/>
      <c r="L202" s="451"/>
      <c r="M202" s="69"/>
      <c r="N202" s="70"/>
      <c r="O202" s="71">
        <f t="shared" si="17"/>
        <v>0</v>
      </c>
      <c r="P202" s="71">
        <v>0</v>
      </c>
      <c r="Q202" s="387">
        <f t="shared" si="18"/>
        <v>0</v>
      </c>
    </row>
    <row r="203" spans="1:18" ht="22.5" customHeight="1" x14ac:dyDescent="0.5">
      <c r="A203" s="61">
        <v>9</v>
      </c>
      <c r="B203" s="290" t="s">
        <v>414</v>
      </c>
      <c r="C203" s="63" t="s">
        <v>415</v>
      </c>
      <c r="D203" s="452"/>
      <c r="E203" s="443"/>
      <c r="F203" s="66"/>
      <c r="G203" s="67">
        <v>990.58</v>
      </c>
      <c r="H203" s="67">
        <v>0</v>
      </c>
      <c r="I203" s="67">
        <v>990.58</v>
      </c>
      <c r="J203" s="449">
        <v>25098</v>
      </c>
      <c r="K203" s="450" t="s">
        <v>416</v>
      </c>
      <c r="L203" s="451">
        <v>990.58</v>
      </c>
      <c r="M203" s="69"/>
      <c r="N203" s="70"/>
      <c r="O203" s="71">
        <f t="shared" si="17"/>
        <v>0</v>
      </c>
      <c r="P203" s="71">
        <v>0</v>
      </c>
      <c r="Q203" s="387">
        <f t="shared" si="18"/>
        <v>0</v>
      </c>
    </row>
    <row r="204" spans="1:18" ht="22.5" customHeight="1" x14ac:dyDescent="0.5">
      <c r="A204" s="61">
        <v>10</v>
      </c>
      <c r="B204" s="290" t="s">
        <v>359</v>
      </c>
      <c r="C204" s="63" t="s">
        <v>417</v>
      </c>
      <c r="D204" s="452"/>
      <c r="E204" s="443"/>
      <c r="F204" s="66"/>
      <c r="G204" s="67">
        <v>9371.15</v>
      </c>
      <c r="H204" s="67">
        <v>0</v>
      </c>
      <c r="I204" s="67">
        <v>9371.15</v>
      </c>
      <c r="J204" s="449">
        <v>25086</v>
      </c>
      <c r="K204" s="450" t="s">
        <v>418</v>
      </c>
      <c r="L204" s="451">
        <v>9371.15</v>
      </c>
      <c r="M204" s="69"/>
      <c r="N204" s="70"/>
      <c r="O204" s="71">
        <f t="shared" si="17"/>
        <v>0</v>
      </c>
      <c r="P204" s="71">
        <v>0</v>
      </c>
      <c r="Q204" s="387">
        <f t="shared" si="18"/>
        <v>0</v>
      </c>
    </row>
    <row r="205" spans="1:18" ht="22.5" customHeight="1" x14ac:dyDescent="0.5">
      <c r="A205" s="61">
        <v>11</v>
      </c>
      <c r="B205" s="290" t="s">
        <v>397</v>
      </c>
      <c r="C205" s="63" t="s">
        <v>417</v>
      </c>
      <c r="D205" s="452"/>
      <c r="E205" s="443"/>
      <c r="F205" s="66"/>
      <c r="G205" s="67">
        <v>8604.76</v>
      </c>
      <c r="H205" s="67">
        <v>0</v>
      </c>
      <c r="I205" s="67">
        <v>8604.76</v>
      </c>
      <c r="J205" s="449"/>
      <c r="K205" s="450"/>
      <c r="L205" s="451"/>
      <c r="M205" s="69"/>
      <c r="N205" s="70"/>
      <c r="O205" s="71">
        <f t="shared" si="17"/>
        <v>8604.76</v>
      </c>
      <c r="P205" s="71">
        <v>0</v>
      </c>
      <c r="Q205" s="387">
        <f t="shared" si="18"/>
        <v>8604.76</v>
      </c>
    </row>
    <row r="206" spans="1:18" ht="22.5" customHeight="1" x14ac:dyDescent="0.5">
      <c r="A206" s="61">
        <v>12</v>
      </c>
      <c r="B206" s="290" t="s">
        <v>358</v>
      </c>
      <c r="C206" s="63" t="s">
        <v>417</v>
      </c>
      <c r="D206" s="452"/>
      <c r="E206" s="443"/>
      <c r="F206" s="66"/>
      <c r="G206" s="67">
        <v>9651.43</v>
      </c>
      <c r="H206" s="67">
        <v>0</v>
      </c>
      <c r="I206" s="67">
        <v>9651.43</v>
      </c>
      <c r="J206" s="449"/>
      <c r="K206" s="450"/>
      <c r="L206" s="451"/>
      <c r="M206" s="69"/>
      <c r="N206" s="70"/>
      <c r="O206" s="71">
        <f t="shared" si="17"/>
        <v>9651.43</v>
      </c>
      <c r="P206" s="71">
        <v>0</v>
      </c>
      <c r="Q206" s="387">
        <f t="shared" si="18"/>
        <v>9651.43</v>
      </c>
    </row>
    <row r="207" spans="1:18" ht="22.5" customHeight="1" x14ac:dyDescent="0.5">
      <c r="A207" s="61">
        <v>13</v>
      </c>
      <c r="B207" s="290" t="s">
        <v>419</v>
      </c>
      <c r="C207" s="63" t="s">
        <v>417</v>
      </c>
      <c r="D207" s="452"/>
      <c r="E207" s="443"/>
      <c r="F207" s="66"/>
      <c r="G207" s="67">
        <v>0</v>
      </c>
      <c r="H207" s="67">
        <v>0</v>
      </c>
      <c r="I207" s="67">
        <v>0</v>
      </c>
      <c r="J207" s="30"/>
      <c r="K207" s="249"/>
      <c r="L207" s="451"/>
      <c r="M207" s="69"/>
      <c r="N207" s="70"/>
      <c r="O207" s="71">
        <f t="shared" si="17"/>
        <v>0</v>
      </c>
      <c r="P207" s="71">
        <v>0</v>
      </c>
      <c r="Q207" s="387">
        <f t="shared" si="18"/>
        <v>0</v>
      </c>
      <c r="R207" s="3" t="s">
        <v>420</v>
      </c>
    </row>
    <row r="208" spans="1:18" ht="22.5" customHeight="1" x14ac:dyDescent="0.5">
      <c r="A208" s="61">
        <v>14</v>
      </c>
      <c r="B208" s="290" t="s">
        <v>353</v>
      </c>
      <c r="C208" s="63" t="s">
        <v>417</v>
      </c>
      <c r="D208" s="452"/>
      <c r="E208" s="443"/>
      <c r="F208" s="66"/>
      <c r="G208" s="67">
        <v>6424.49</v>
      </c>
      <c r="H208" s="67">
        <v>0</v>
      </c>
      <c r="I208" s="67">
        <v>6424.49</v>
      </c>
      <c r="J208" s="449"/>
      <c r="K208" s="450"/>
      <c r="L208" s="451"/>
      <c r="M208" s="69"/>
      <c r="N208" s="70"/>
      <c r="O208" s="71">
        <f t="shared" si="17"/>
        <v>6424.49</v>
      </c>
      <c r="P208" s="71">
        <v>0</v>
      </c>
      <c r="Q208" s="387">
        <f t="shared" si="18"/>
        <v>6424.49</v>
      </c>
    </row>
    <row r="209" spans="1:17" ht="22.5" customHeight="1" x14ac:dyDescent="0.5">
      <c r="A209" s="61">
        <v>15</v>
      </c>
      <c r="B209" s="290" t="s">
        <v>398</v>
      </c>
      <c r="C209" s="63" t="s">
        <v>417</v>
      </c>
      <c r="D209" s="452"/>
      <c r="E209" s="443"/>
      <c r="F209" s="66"/>
      <c r="G209" s="67">
        <v>3283.84</v>
      </c>
      <c r="H209" s="67">
        <v>0</v>
      </c>
      <c r="I209" s="67">
        <v>3283.84</v>
      </c>
      <c r="J209" s="449"/>
      <c r="K209" s="450"/>
      <c r="L209" s="451"/>
      <c r="M209" s="69"/>
      <c r="N209" s="70"/>
      <c r="O209" s="71">
        <f t="shared" si="17"/>
        <v>3283.84</v>
      </c>
      <c r="P209" s="71">
        <v>0</v>
      </c>
      <c r="Q209" s="387">
        <f t="shared" si="18"/>
        <v>3283.84</v>
      </c>
    </row>
    <row r="210" spans="1:17" ht="22.5" customHeight="1" x14ac:dyDescent="0.5">
      <c r="A210" s="61">
        <v>16</v>
      </c>
      <c r="B210" s="290" t="s">
        <v>421</v>
      </c>
      <c r="C210" s="63" t="s">
        <v>422</v>
      </c>
      <c r="D210" s="452"/>
      <c r="E210" s="443"/>
      <c r="F210" s="66"/>
      <c r="G210" s="67">
        <v>0</v>
      </c>
      <c r="H210" s="67">
        <v>0</v>
      </c>
      <c r="I210" s="67">
        <v>0</v>
      </c>
      <c r="J210" s="449"/>
      <c r="K210" s="450"/>
      <c r="L210" s="451"/>
      <c r="M210" s="69"/>
      <c r="N210" s="70"/>
      <c r="O210" s="71">
        <f t="shared" si="17"/>
        <v>0</v>
      </c>
      <c r="P210" s="71">
        <v>0</v>
      </c>
      <c r="Q210" s="387">
        <f t="shared" si="18"/>
        <v>0</v>
      </c>
    </row>
    <row r="211" spans="1:17" ht="22.5" customHeight="1" x14ac:dyDescent="0.5">
      <c r="A211" s="61">
        <v>17</v>
      </c>
      <c r="B211" s="290" t="s">
        <v>423</v>
      </c>
      <c r="C211" s="63" t="s">
        <v>424</v>
      </c>
      <c r="D211" s="452"/>
      <c r="E211" s="443"/>
      <c r="F211" s="66"/>
      <c r="G211" s="67">
        <v>0</v>
      </c>
      <c r="H211" s="67">
        <v>0</v>
      </c>
      <c r="I211" s="67">
        <v>0</v>
      </c>
      <c r="J211" s="449"/>
      <c r="K211" s="450"/>
      <c r="L211" s="451"/>
      <c r="M211" s="69"/>
      <c r="N211" s="70"/>
      <c r="O211" s="71">
        <f t="shared" si="17"/>
        <v>0</v>
      </c>
      <c r="P211" s="71">
        <v>0</v>
      </c>
      <c r="Q211" s="387">
        <f t="shared" si="18"/>
        <v>0</v>
      </c>
    </row>
    <row r="212" spans="1:17" ht="22.5" customHeight="1" x14ac:dyDescent="0.5">
      <c r="A212" s="61">
        <v>18</v>
      </c>
      <c r="B212" s="290" t="s">
        <v>425</v>
      </c>
      <c r="C212" s="63" t="s">
        <v>426</v>
      </c>
      <c r="D212" s="452"/>
      <c r="E212" s="443"/>
      <c r="F212" s="66"/>
      <c r="G212" s="67">
        <v>3930</v>
      </c>
      <c r="H212" s="67">
        <v>0</v>
      </c>
      <c r="I212" s="67">
        <v>3930</v>
      </c>
      <c r="J212" s="449">
        <v>25090</v>
      </c>
      <c r="K212" s="450" t="s">
        <v>427</v>
      </c>
      <c r="L212" s="451">
        <v>3930</v>
      </c>
      <c r="M212" s="69"/>
      <c r="N212" s="70"/>
      <c r="O212" s="71">
        <f t="shared" si="17"/>
        <v>0</v>
      </c>
      <c r="P212" s="71">
        <v>0</v>
      </c>
      <c r="Q212" s="387">
        <f t="shared" si="18"/>
        <v>0</v>
      </c>
    </row>
    <row r="213" spans="1:17" ht="22.5" customHeight="1" x14ac:dyDescent="0.5">
      <c r="A213" s="61">
        <v>19</v>
      </c>
      <c r="B213" s="290" t="s">
        <v>428</v>
      </c>
      <c r="C213" s="63" t="s">
        <v>429</v>
      </c>
      <c r="D213" s="452"/>
      <c r="E213" s="443"/>
      <c r="F213" s="66"/>
      <c r="G213" s="67">
        <v>1965</v>
      </c>
      <c r="H213" s="67">
        <v>0</v>
      </c>
      <c r="I213" s="67">
        <v>1965</v>
      </c>
      <c r="J213" s="449">
        <v>25084</v>
      </c>
      <c r="K213" s="450" t="s">
        <v>430</v>
      </c>
      <c r="L213" s="451">
        <v>1965</v>
      </c>
      <c r="M213" s="69"/>
      <c r="N213" s="70"/>
      <c r="O213" s="71">
        <f t="shared" si="17"/>
        <v>0</v>
      </c>
      <c r="P213" s="71">
        <v>0</v>
      </c>
      <c r="Q213" s="387">
        <f t="shared" si="18"/>
        <v>0</v>
      </c>
    </row>
    <row r="214" spans="1:17" ht="22.5" customHeight="1" x14ac:dyDescent="0.5">
      <c r="A214" s="61">
        <v>20</v>
      </c>
      <c r="B214" s="290" t="s">
        <v>431</v>
      </c>
      <c r="C214" s="63" t="s">
        <v>432</v>
      </c>
      <c r="D214" s="452"/>
      <c r="E214" s="443"/>
      <c r="F214" s="66"/>
      <c r="G214" s="67">
        <v>677.38</v>
      </c>
      <c r="H214" s="67">
        <v>0</v>
      </c>
      <c r="I214" s="67">
        <v>677.38</v>
      </c>
      <c r="J214" s="449"/>
      <c r="K214" s="450"/>
      <c r="L214" s="451"/>
      <c r="M214" s="69"/>
      <c r="N214" s="70"/>
      <c r="O214" s="71">
        <f t="shared" si="17"/>
        <v>677.38</v>
      </c>
      <c r="P214" s="71">
        <v>0</v>
      </c>
      <c r="Q214" s="387">
        <f t="shared" si="18"/>
        <v>677.38</v>
      </c>
    </row>
    <row r="215" spans="1:17" ht="22.5" customHeight="1" x14ac:dyDescent="0.5">
      <c r="A215" s="61">
        <v>21</v>
      </c>
      <c r="B215" s="290" t="s">
        <v>433</v>
      </c>
      <c r="C215" s="63" t="s">
        <v>434</v>
      </c>
      <c r="D215" s="452"/>
      <c r="E215" s="443"/>
      <c r="F215" s="66"/>
      <c r="G215" s="67">
        <v>677.38</v>
      </c>
      <c r="H215" s="67">
        <v>0</v>
      </c>
      <c r="I215" s="67">
        <v>677.38</v>
      </c>
      <c r="J215" s="449"/>
      <c r="K215" s="450"/>
      <c r="L215" s="451"/>
      <c r="M215" s="69"/>
      <c r="N215" s="70"/>
      <c r="O215" s="71">
        <f t="shared" si="17"/>
        <v>677.38</v>
      </c>
      <c r="P215" s="71">
        <v>0</v>
      </c>
      <c r="Q215" s="387">
        <f t="shared" si="18"/>
        <v>677.38</v>
      </c>
    </row>
    <row r="216" spans="1:17" ht="22.5" customHeight="1" x14ac:dyDescent="0.5">
      <c r="A216" s="61">
        <v>22</v>
      </c>
      <c r="B216" s="290" t="s">
        <v>435</v>
      </c>
      <c r="C216" s="63" t="s">
        <v>436</v>
      </c>
      <c r="D216" s="452"/>
      <c r="E216" s="443"/>
      <c r="F216" s="66"/>
      <c r="G216" s="67">
        <v>1016.07</v>
      </c>
      <c r="H216" s="67">
        <v>0</v>
      </c>
      <c r="I216" s="67">
        <v>1016.07</v>
      </c>
      <c r="J216" s="449">
        <v>25098</v>
      </c>
      <c r="K216" s="450" t="s">
        <v>416</v>
      </c>
      <c r="L216" s="451">
        <v>1016.07</v>
      </c>
      <c r="M216" s="69"/>
      <c r="N216" s="70"/>
      <c r="O216" s="71">
        <f t="shared" si="17"/>
        <v>0</v>
      </c>
      <c r="P216" s="71">
        <v>0</v>
      </c>
      <c r="Q216" s="387">
        <f t="shared" si="18"/>
        <v>0</v>
      </c>
    </row>
    <row r="217" spans="1:17" ht="22.5" customHeight="1" x14ac:dyDescent="0.5">
      <c r="A217" s="61">
        <v>23</v>
      </c>
      <c r="B217" s="290" t="s">
        <v>437</v>
      </c>
      <c r="C217" s="63" t="s">
        <v>438</v>
      </c>
      <c r="D217" s="452"/>
      <c r="E217" s="443"/>
      <c r="F217" s="66"/>
      <c r="G217" s="67">
        <v>0</v>
      </c>
      <c r="H217" s="67">
        <v>0</v>
      </c>
      <c r="I217" s="67">
        <v>0</v>
      </c>
      <c r="J217" s="449"/>
      <c r="K217" s="450"/>
      <c r="L217" s="451"/>
      <c r="M217" s="69"/>
      <c r="N217" s="70"/>
      <c r="O217" s="71">
        <f t="shared" si="17"/>
        <v>0</v>
      </c>
      <c r="P217" s="71">
        <v>0</v>
      </c>
      <c r="Q217" s="387">
        <f t="shared" si="18"/>
        <v>0</v>
      </c>
    </row>
    <row r="218" spans="1:17" ht="22.5" customHeight="1" x14ac:dyDescent="0.5">
      <c r="A218" s="61">
        <v>24</v>
      </c>
      <c r="B218" s="290" t="s">
        <v>439</v>
      </c>
      <c r="C218" s="63" t="s">
        <v>440</v>
      </c>
      <c r="D218" s="452"/>
      <c r="E218" s="443"/>
      <c r="F218" s="66"/>
      <c r="G218" s="67">
        <v>2370.81</v>
      </c>
      <c r="H218" s="67">
        <v>0</v>
      </c>
      <c r="I218" s="67">
        <v>2370.81</v>
      </c>
      <c r="J218" s="449"/>
      <c r="K218" s="450"/>
      <c r="L218" s="451"/>
      <c r="M218" s="69"/>
      <c r="N218" s="70"/>
      <c r="O218" s="71">
        <f t="shared" si="17"/>
        <v>2370.81</v>
      </c>
      <c r="P218" s="71">
        <v>0</v>
      </c>
      <c r="Q218" s="387">
        <f t="shared" si="18"/>
        <v>2370.81</v>
      </c>
    </row>
    <row r="219" spans="1:17" ht="22.5" customHeight="1" x14ac:dyDescent="0.5">
      <c r="A219" s="61">
        <v>25</v>
      </c>
      <c r="B219" s="453" t="s">
        <v>441</v>
      </c>
      <c r="C219" s="63" t="s">
        <v>442</v>
      </c>
      <c r="D219" s="452"/>
      <c r="E219" s="443"/>
      <c r="F219" s="66"/>
      <c r="G219" s="67">
        <v>0</v>
      </c>
      <c r="H219" s="67">
        <v>0</v>
      </c>
      <c r="I219" s="67">
        <v>0</v>
      </c>
      <c r="J219" s="449"/>
      <c r="K219" s="450"/>
      <c r="L219" s="451"/>
      <c r="M219" s="69"/>
      <c r="N219" s="70"/>
      <c r="O219" s="71">
        <f t="shared" si="17"/>
        <v>0</v>
      </c>
      <c r="P219" s="71">
        <v>0</v>
      </c>
      <c r="Q219" s="387">
        <f t="shared" si="18"/>
        <v>0</v>
      </c>
    </row>
    <row r="220" spans="1:17" ht="22.5" customHeight="1" x14ac:dyDescent="0.5">
      <c r="A220" s="61">
        <v>26</v>
      </c>
      <c r="B220" s="290" t="s">
        <v>443</v>
      </c>
      <c r="C220" s="63" t="s">
        <v>444</v>
      </c>
      <c r="D220" s="452"/>
      <c r="E220" s="443"/>
      <c r="F220" s="66"/>
      <c r="G220" s="67">
        <v>0</v>
      </c>
      <c r="H220" s="67">
        <v>0</v>
      </c>
      <c r="I220" s="67">
        <v>0</v>
      </c>
      <c r="J220" s="449"/>
      <c r="K220" s="450"/>
      <c r="L220" s="451"/>
      <c r="M220" s="69"/>
      <c r="N220" s="70"/>
      <c r="O220" s="71">
        <f t="shared" si="17"/>
        <v>0</v>
      </c>
      <c r="P220" s="71">
        <v>0</v>
      </c>
      <c r="Q220" s="387">
        <f t="shared" si="18"/>
        <v>0</v>
      </c>
    </row>
    <row r="221" spans="1:17" ht="22.5" customHeight="1" x14ac:dyDescent="0.5">
      <c r="A221" s="61">
        <v>27</v>
      </c>
      <c r="B221" s="290" t="s">
        <v>445</v>
      </c>
      <c r="C221" s="63" t="s">
        <v>446</v>
      </c>
      <c r="D221" s="452"/>
      <c r="E221" s="443"/>
      <c r="F221" s="66"/>
      <c r="G221" s="67">
        <v>0</v>
      </c>
      <c r="H221" s="67">
        <v>0</v>
      </c>
      <c r="I221" s="67">
        <v>0</v>
      </c>
      <c r="J221" s="449"/>
      <c r="K221" s="450"/>
      <c r="L221" s="451"/>
      <c r="M221" s="69"/>
      <c r="N221" s="70"/>
      <c r="O221" s="71">
        <f t="shared" si="17"/>
        <v>0</v>
      </c>
      <c r="P221" s="71">
        <v>0</v>
      </c>
      <c r="Q221" s="387">
        <f t="shared" si="18"/>
        <v>0</v>
      </c>
    </row>
    <row r="222" spans="1:17" ht="22.5" customHeight="1" x14ac:dyDescent="0.5">
      <c r="A222" s="61">
        <v>28</v>
      </c>
      <c r="B222" s="290" t="s">
        <v>447</v>
      </c>
      <c r="C222" s="63" t="s">
        <v>448</v>
      </c>
      <c r="D222" s="452"/>
      <c r="E222" s="443"/>
      <c r="F222" s="66"/>
      <c r="G222" s="67">
        <v>0</v>
      </c>
      <c r="H222" s="67">
        <v>0</v>
      </c>
      <c r="I222" s="67">
        <v>0</v>
      </c>
      <c r="J222" s="449"/>
      <c r="K222" s="450"/>
      <c r="L222" s="451"/>
      <c r="M222" s="69"/>
      <c r="N222" s="70"/>
      <c r="O222" s="71">
        <f t="shared" si="17"/>
        <v>0</v>
      </c>
      <c r="P222" s="71">
        <v>0</v>
      </c>
      <c r="Q222" s="387">
        <f t="shared" si="18"/>
        <v>0</v>
      </c>
    </row>
    <row r="223" spans="1:17" ht="22.5" customHeight="1" x14ac:dyDescent="0.5">
      <c r="A223" s="61">
        <v>29</v>
      </c>
      <c r="B223" s="290" t="s">
        <v>449</v>
      </c>
      <c r="C223" s="63" t="s">
        <v>450</v>
      </c>
      <c r="D223" s="452"/>
      <c r="E223" s="443"/>
      <c r="F223" s="66"/>
      <c r="G223" s="67">
        <v>3803.55</v>
      </c>
      <c r="H223" s="67">
        <v>0</v>
      </c>
      <c r="I223" s="67">
        <v>3803.55</v>
      </c>
      <c r="J223" s="449">
        <v>25090</v>
      </c>
      <c r="K223" s="450" t="s">
        <v>427</v>
      </c>
      <c r="L223" s="451">
        <v>3803.55</v>
      </c>
      <c r="M223" s="69"/>
      <c r="N223" s="70"/>
      <c r="O223" s="71">
        <f t="shared" si="17"/>
        <v>0</v>
      </c>
      <c r="P223" s="71">
        <v>0</v>
      </c>
      <c r="Q223" s="387">
        <f t="shared" si="18"/>
        <v>0</v>
      </c>
    </row>
    <row r="224" spans="1:17" ht="22.5" customHeight="1" x14ac:dyDescent="0.5">
      <c r="A224" s="61">
        <v>30</v>
      </c>
      <c r="B224" s="290" t="s">
        <v>451</v>
      </c>
      <c r="C224" s="63" t="s">
        <v>452</v>
      </c>
      <c r="D224" s="452"/>
      <c r="E224" s="443"/>
      <c r="F224" s="66"/>
      <c r="G224" s="67">
        <v>1267.8499999999999</v>
      </c>
      <c r="H224" s="67">
        <v>0</v>
      </c>
      <c r="I224" s="67">
        <v>1267.8499999999999</v>
      </c>
      <c r="J224" s="449">
        <v>25089</v>
      </c>
      <c r="K224" s="450" t="s">
        <v>453</v>
      </c>
      <c r="L224" s="451">
        <v>1267.8499999999999</v>
      </c>
      <c r="M224" s="69"/>
      <c r="N224" s="70"/>
      <c r="O224" s="71">
        <f t="shared" si="17"/>
        <v>0</v>
      </c>
      <c r="P224" s="71">
        <v>0</v>
      </c>
      <c r="Q224" s="387">
        <f t="shared" si="18"/>
        <v>0</v>
      </c>
    </row>
    <row r="225" spans="1:17" ht="22.5" customHeight="1" x14ac:dyDescent="0.5">
      <c r="A225" s="61">
        <v>31</v>
      </c>
      <c r="B225" s="290" t="s">
        <v>454</v>
      </c>
      <c r="C225" s="63" t="s">
        <v>455</v>
      </c>
      <c r="D225" s="452"/>
      <c r="E225" s="443"/>
      <c r="F225" s="66"/>
      <c r="G225" s="67">
        <v>0</v>
      </c>
      <c r="H225" s="67">
        <v>0</v>
      </c>
      <c r="I225" s="67">
        <v>0</v>
      </c>
      <c r="J225" s="449"/>
      <c r="K225" s="450"/>
      <c r="L225" s="451"/>
      <c r="M225" s="69"/>
      <c r="N225" s="70"/>
      <c r="O225" s="71">
        <f t="shared" si="17"/>
        <v>0</v>
      </c>
      <c r="P225" s="71">
        <v>0</v>
      </c>
      <c r="Q225" s="387">
        <f t="shared" si="18"/>
        <v>0</v>
      </c>
    </row>
    <row r="226" spans="1:17" ht="22.5" customHeight="1" x14ac:dyDescent="0.5">
      <c r="A226" s="61">
        <v>32</v>
      </c>
      <c r="B226" s="290" t="s">
        <v>456</v>
      </c>
      <c r="C226" s="63" t="s">
        <v>457</v>
      </c>
      <c r="D226" s="452"/>
      <c r="E226" s="443"/>
      <c r="F226" s="66"/>
      <c r="G226" s="67">
        <v>1064.44</v>
      </c>
      <c r="H226" s="67">
        <v>0</v>
      </c>
      <c r="I226" s="67">
        <v>1064.44</v>
      </c>
      <c r="J226" s="449"/>
      <c r="K226" s="450"/>
      <c r="L226" s="451"/>
      <c r="M226" s="69"/>
      <c r="N226" s="70"/>
      <c r="O226" s="71">
        <f t="shared" si="17"/>
        <v>1064.44</v>
      </c>
      <c r="P226" s="71">
        <v>0</v>
      </c>
      <c r="Q226" s="387">
        <f t="shared" si="18"/>
        <v>1064.44</v>
      </c>
    </row>
    <row r="227" spans="1:17" ht="22.5" customHeight="1" x14ac:dyDescent="0.5">
      <c r="A227" s="61">
        <v>33</v>
      </c>
      <c r="B227" s="290" t="s">
        <v>458</v>
      </c>
      <c r="C227" s="63" t="s">
        <v>459</v>
      </c>
      <c r="D227" s="452"/>
      <c r="E227" s="443"/>
      <c r="F227" s="66"/>
      <c r="G227" s="67">
        <v>0</v>
      </c>
      <c r="H227" s="67">
        <v>0</v>
      </c>
      <c r="I227" s="67">
        <v>0</v>
      </c>
      <c r="J227" s="449"/>
      <c r="K227" s="450"/>
      <c r="L227" s="451"/>
      <c r="M227" s="69"/>
      <c r="N227" s="70"/>
      <c r="O227" s="71">
        <f t="shared" si="17"/>
        <v>0</v>
      </c>
      <c r="P227" s="71">
        <v>0</v>
      </c>
      <c r="Q227" s="387">
        <f t="shared" si="18"/>
        <v>0</v>
      </c>
    </row>
    <row r="228" spans="1:17" ht="22.5" customHeight="1" x14ac:dyDescent="0.5">
      <c r="A228" s="61">
        <v>34</v>
      </c>
      <c r="B228" s="290" t="s">
        <v>460</v>
      </c>
      <c r="C228" s="63" t="s">
        <v>461</v>
      </c>
      <c r="D228" s="452"/>
      <c r="E228" s="443"/>
      <c r="F228" s="66"/>
      <c r="G228" s="67">
        <v>1064.44</v>
      </c>
      <c r="H228" s="67">
        <v>0</v>
      </c>
      <c r="I228" s="67">
        <v>1064.44</v>
      </c>
      <c r="J228" s="449">
        <v>25082</v>
      </c>
      <c r="K228" s="450" t="s">
        <v>462</v>
      </c>
      <c r="L228" s="451">
        <v>1064.44</v>
      </c>
      <c r="M228" s="69"/>
      <c r="N228" s="70"/>
      <c r="O228" s="71">
        <f t="shared" si="17"/>
        <v>0</v>
      </c>
      <c r="P228" s="71">
        <v>0</v>
      </c>
      <c r="Q228" s="387">
        <f t="shared" si="18"/>
        <v>0</v>
      </c>
    </row>
    <row r="229" spans="1:17" ht="22.5" customHeight="1" x14ac:dyDescent="0.5">
      <c r="A229" s="61">
        <v>35</v>
      </c>
      <c r="B229" s="290" t="s">
        <v>463</v>
      </c>
      <c r="C229" s="63" t="s">
        <v>464</v>
      </c>
      <c r="D229" s="452"/>
      <c r="E229" s="443"/>
      <c r="F229" s="66"/>
      <c r="G229" s="67">
        <v>1064.44</v>
      </c>
      <c r="H229" s="67">
        <v>0</v>
      </c>
      <c r="I229" s="67">
        <v>1064.44</v>
      </c>
      <c r="J229" s="449"/>
      <c r="K229" s="450"/>
      <c r="L229" s="451"/>
      <c r="M229" s="69"/>
      <c r="N229" s="70"/>
      <c r="O229" s="71">
        <f t="shared" si="17"/>
        <v>1064.44</v>
      </c>
      <c r="P229" s="71">
        <v>0</v>
      </c>
      <c r="Q229" s="387">
        <f t="shared" si="18"/>
        <v>1064.44</v>
      </c>
    </row>
    <row r="230" spans="1:17" ht="22.5" customHeight="1" x14ac:dyDescent="0.5">
      <c r="A230" s="61">
        <v>36</v>
      </c>
      <c r="B230" s="290" t="s">
        <v>465</v>
      </c>
      <c r="C230" s="63" t="s">
        <v>466</v>
      </c>
      <c r="D230" s="452"/>
      <c r="E230" s="443"/>
      <c r="F230" s="66"/>
      <c r="G230" s="67">
        <v>0</v>
      </c>
      <c r="H230" s="67">
        <v>0</v>
      </c>
      <c r="I230" s="67">
        <v>0</v>
      </c>
      <c r="J230" s="449"/>
      <c r="K230" s="450"/>
      <c r="L230" s="451"/>
      <c r="M230" s="69"/>
      <c r="N230" s="70"/>
      <c r="O230" s="71">
        <f t="shared" si="17"/>
        <v>0</v>
      </c>
      <c r="P230" s="71">
        <v>0</v>
      </c>
      <c r="Q230" s="387">
        <f t="shared" si="18"/>
        <v>0</v>
      </c>
    </row>
    <row r="231" spans="1:17" ht="22.5" customHeight="1" x14ac:dyDescent="0.5">
      <c r="A231" s="61">
        <v>37</v>
      </c>
      <c r="B231" s="290" t="s">
        <v>467</v>
      </c>
      <c r="C231" s="63" t="s">
        <v>468</v>
      </c>
      <c r="D231" s="452"/>
      <c r="E231" s="443"/>
      <c r="F231" s="66"/>
      <c r="G231" s="67">
        <v>0</v>
      </c>
      <c r="H231" s="67">
        <v>0</v>
      </c>
      <c r="I231" s="67">
        <v>0</v>
      </c>
      <c r="J231" s="449"/>
      <c r="K231" s="450"/>
      <c r="L231" s="451"/>
      <c r="M231" s="69"/>
      <c r="N231" s="70"/>
      <c r="O231" s="71">
        <f t="shared" si="17"/>
        <v>0</v>
      </c>
      <c r="P231" s="71">
        <v>0</v>
      </c>
      <c r="Q231" s="387">
        <f t="shared" si="18"/>
        <v>0</v>
      </c>
    </row>
    <row r="232" spans="1:17" ht="22.5" customHeight="1" x14ac:dyDescent="0.5">
      <c r="A232" s="61">
        <v>38</v>
      </c>
      <c r="B232" s="290" t="s">
        <v>469</v>
      </c>
      <c r="C232" s="63" t="s">
        <v>470</v>
      </c>
      <c r="D232" s="452"/>
      <c r="E232" s="443"/>
      <c r="F232" s="66"/>
      <c r="G232" s="67">
        <v>435.46</v>
      </c>
      <c r="H232" s="67"/>
      <c r="I232" s="67">
        <v>435.46</v>
      </c>
      <c r="J232" s="449">
        <v>25090</v>
      </c>
      <c r="K232" s="450" t="s">
        <v>427</v>
      </c>
      <c r="L232" s="451">
        <v>435.46</v>
      </c>
      <c r="M232" s="69"/>
      <c r="N232" s="70"/>
      <c r="O232" s="71">
        <f t="shared" si="17"/>
        <v>0</v>
      </c>
      <c r="P232" s="71"/>
      <c r="Q232" s="387">
        <f t="shared" si="18"/>
        <v>0</v>
      </c>
    </row>
    <row r="233" spans="1:17" ht="22.5" customHeight="1" x14ac:dyDescent="0.5">
      <c r="A233" s="61">
        <v>39</v>
      </c>
      <c r="B233" s="290" t="s">
        <v>471</v>
      </c>
      <c r="C233" s="63" t="s">
        <v>472</v>
      </c>
      <c r="D233" s="452"/>
      <c r="E233" s="443"/>
      <c r="F233" s="66"/>
      <c r="G233" s="67">
        <v>0</v>
      </c>
      <c r="H233" s="67">
        <v>0</v>
      </c>
      <c r="I233" s="67">
        <v>0</v>
      </c>
      <c r="J233" s="449"/>
      <c r="K233" s="450"/>
      <c r="L233" s="451"/>
      <c r="M233" s="69"/>
      <c r="N233" s="70"/>
      <c r="O233" s="71">
        <f t="shared" si="17"/>
        <v>0</v>
      </c>
      <c r="P233" s="71">
        <v>0</v>
      </c>
      <c r="Q233" s="387">
        <f t="shared" si="18"/>
        <v>0</v>
      </c>
    </row>
    <row r="234" spans="1:17" ht="22.5" customHeight="1" x14ac:dyDescent="0.5">
      <c r="A234" s="61">
        <v>40</v>
      </c>
      <c r="B234" s="290" t="s">
        <v>473</v>
      </c>
      <c r="C234" s="63" t="s">
        <v>474</v>
      </c>
      <c r="D234" s="452"/>
      <c r="E234" s="443"/>
      <c r="F234" s="66"/>
      <c r="G234" s="67">
        <v>435.46</v>
      </c>
      <c r="H234" s="67">
        <v>0</v>
      </c>
      <c r="I234" s="67">
        <v>435.46</v>
      </c>
      <c r="J234" s="449"/>
      <c r="K234" s="450"/>
      <c r="L234" s="451"/>
      <c r="M234" s="69"/>
      <c r="N234" s="70"/>
      <c r="O234" s="71">
        <f t="shared" si="17"/>
        <v>435.46</v>
      </c>
      <c r="P234" s="71">
        <v>0</v>
      </c>
      <c r="Q234" s="387">
        <f t="shared" si="18"/>
        <v>435.46</v>
      </c>
    </row>
    <row r="235" spans="1:17" ht="22.5" customHeight="1" x14ac:dyDescent="0.5">
      <c r="A235" s="61">
        <v>41</v>
      </c>
      <c r="B235" s="290" t="s">
        <v>475</v>
      </c>
      <c r="C235" s="63" t="s">
        <v>476</v>
      </c>
      <c r="D235" s="452"/>
      <c r="E235" s="443"/>
      <c r="F235" s="66"/>
      <c r="G235" s="67">
        <v>0</v>
      </c>
      <c r="H235" s="67">
        <v>0</v>
      </c>
      <c r="I235" s="67">
        <v>0</v>
      </c>
      <c r="J235" s="449"/>
      <c r="K235" s="450"/>
      <c r="L235" s="451"/>
      <c r="M235" s="69"/>
      <c r="N235" s="70"/>
      <c r="O235" s="71">
        <f t="shared" si="17"/>
        <v>0</v>
      </c>
      <c r="P235" s="71">
        <v>0</v>
      </c>
      <c r="Q235" s="387">
        <f t="shared" si="18"/>
        <v>0</v>
      </c>
    </row>
    <row r="236" spans="1:17" ht="22.5" customHeight="1" x14ac:dyDescent="0.5">
      <c r="A236" s="61">
        <v>42</v>
      </c>
      <c r="B236" s="290" t="s">
        <v>477</v>
      </c>
      <c r="C236" s="63" t="s">
        <v>478</v>
      </c>
      <c r="D236" s="452"/>
      <c r="E236" s="443"/>
      <c r="F236" s="66"/>
      <c r="G236" s="67">
        <v>0</v>
      </c>
      <c r="H236" s="67">
        <v>0</v>
      </c>
      <c r="I236" s="67">
        <v>0</v>
      </c>
      <c r="J236" s="449"/>
      <c r="K236" s="450"/>
      <c r="L236" s="451"/>
      <c r="M236" s="69"/>
      <c r="N236" s="70"/>
      <c r="O236" s="71">
        <f t="shared" si="17"/>
        <v>0</v>
      </c>
      <c r="P236" s="71">
        <v>0</v>
      </c>
      <c r="Q236" s="387">
        <f t="shared" si="18"/>
        <v>0</v>
      </c>
    </row>
    <row r="237" spans="1:17" ht="22.5" customHeight="1" x14ac:dyDescent="0.5">
      <c r="A237" s="61">
        <v>43</v>
      </c>
      <c r="B237" s="290" t="s">
        <v>479</v>
      </c>
      <c r="C237" s="63" t="s">
        <v>480</v>
      </c>
      <c r="D237" s="452"/>
      <c r="E237" s="443"/>
      <c r="F237" s="66"/>
      <c r="G237" s="67">
        <v>1064.44</v>
      </c>
      <c r="H237" s="67">
        <v>0</v>
      </c>
      <c r="I237" s="67">
        <v>1064.44</v>
      </c>
      <c r="J237" s="449">
        <v>25084</v>
      </c>
      <c r="K237" s="450" t="s">
        <v>481</v>
      </c>
      <c r="L237" s="451">
        <v>1064.44</v>
      </c>
      <c r="M237" s="69"/>
      <c r="N237" s="70"/>
      <c r="O237" s="71">
        <f t="shared" si="17"/>
        <v>0</v>
      </c>
      <c r="P237" s="71">
        <v>0</v>
      </c>
      <c r="Q237" s="387">
        <f t="shared" si="18"/>
        <v>0</v>
      </c>
    </row>
    <row r="238" spans="1:17" ht="22.5" customHeight="1" x14ac:dyDescent="0.5">
      <c r="A238" s="61">
        <v>44</v>
      </c>
      <c r="B238" s="290" t="s">
        <v>482</v>
      </c>
      <c r="C238" s="63" t="s">
        <v>483</v>
      </c>
      <c r="D238" s="452"/>
      <c r="E238" s="443"/>
      <c r="F238" s="66"/>
      <c r="G238" s="67">
        <v>0</v>
      </c>
      <c r="H238" s="67">
        <v>0</v>
      </c>
      <c r="I238" s="67">
        <v>0</v>
      </c>
      <c r="J238" s="449"/>
      <c r="K238" s="450"/>
      <c r="L238" s="451"/>
      <c r="M238" s="69"/>
      <c r="N238" s="70"/>
      <c r="O238" s="71">
        <f t="shared" si="17"/>
        <v>0</v>
      </c>
      <c r="P238" s="71">
        <v>0</v>
      </c>
      <c r="Q238" s="387">
        <f t="shared" si="18"/>
        <v>0</v>
      </c>
    </row>
    <row r="239" spans="1:17" ht="22.5" customHeight="1" x14ac:dyDescent="0.5">
      <c r="A239" s="61">
        <v>45</v>
      </c>
      <c r="B239" s="290" t="s">
        <v>484</v>
      </c>
      <c r="C239" s="63" t="s">
        <v>485</v>
      </c>
      <c r="D239" s="452"/>
      <c r="E239" s="443"/>
      <c r="F239" s="66"/>
      <c r="G239" s="67">
        <v>0</v>
      </c>
      <c r="H239" s="67">
        <v>0</v>
      </c>
      <c r="I239" s="67">
        <v>0</v>
      </c>
      <c r="J239" s="449"/>
      <c r="K239" s="450"/>
      <c r="L239" s="451"/>
      <c r="M239" s="69"/>
      <c r="N239" s="70"/>
      <c r="O239" s="71">
        <f t="shared" si="17"/>
        <v>0</v>
      </c>
      <c r="P239" s="71">
        <v>0</v>
      </c>
      <c r="Q239" s="387">
        <f t="shared" si="18"/>
        <v>0</v>
      </c>
    </row>
    <row r="240" spans="1:17" ht="22.5" customHeight="1" x14ac:dyDescent="0.5">
      <c r="A240" s="23">
        <v>46</v>
      </c>
      <c r="B240" s="290" t="s">
        <v>486</v>
      </c>
      <c r="C240" s="25" t="s">
        <v>487</v>
      </c>
      <c r="D240" s="452"/>
      <c r="E240" s="454"/>
      <c r="F240" s="213"/>
      <c r="G240" s="219">
        <v>1596.66</v>
      </c>
      <c r="H240" s="219">
        <v>0</v>
      </c>
      <c r="I240" s="219">
        <v>1596.66</v>
      </c>
      <c r="J240" s="449">
        <v>25105</v>
      </c>
      <c r="K240" s="450" t="s">
        <v>488</v>
      </c>
      <c r="L240" s="451">
        <v>1596.66</v>
      </c>
      <c r="M240" s="41"/>
      <c r="N240" s="34"/>
      <c r="O240" s="71">
        <f t="shared" si="17"/>
        <v>0</v>
      </c>
      <c r="P240" s="114">
        <v>0</v>
      </c>
      <c r="Q240" s="387">
        <f t="shared" si="18"/>
        <v>0</v>
      </c>
    </row>
    <row r="241" spans="1:18" ht="22.5" customHeight="1" x14ac:dyDescent="0.5">
      <c r="A241" s="61">
        <v>47</v>
      </c>
      <c r="B241" s="392" t="s">
        <v>489</v>
      </c>
      <c r="C241" s="63" t="s">
        <v>490</v>
      </c>
      <c r="D241" s="452"/>
      <c r="E241" s="443"/>
      <c r="F241" s="66"/>
      <c r="G241" s="67">
        <v>1064.44</v>
      </c>
      <c r="H241" s="67">
        <v>0</v>
      </c>
      <c r="I241" s="67">
        <v>1064.44</v>
      </c>
      <c r="J241" s="449">
        <v>25090</v>
      </c>
      <c r="K241" s="450" t="s">
        <v>427</v>
      </c>
      <c r="L241" s="451">
        <v>1064.44</v>
      </c>
      <c r="M241" s="69"/>
      <c r="N241" s="70"/>
      <c r="O241" s="71">
        <f t="shared" si="17"/>
        <v>0</v>
      </c>
      <c r="P241" s="71">
        <v>0</v>
      </c>
      <c r="Q241" s="387">
        <f t="shared" si="18"/>
        <v>0</v>
      </c>
    </row>
    <row r="242" spans="1:18" ht="22.5" customHeight="1" x14ac:dyDescent="0.5">
      <c r="A242" s="23">
        <v>48</v>
      </c>
      <c r="B242" s="290" t="s">
        <v>491</v>
      </c>
      <c r="C242" s="25" t="s">
        <v>492</v>
      </c>
      <c r="D242" s="452"/>
      <c r="E242" s="454"/>
      <c r="F242" s="213"/>
      <c r="G242" s="219">
        <v>532.22</v>
      </c>
      <c r="H242" s="219">
        <v>0</v>
      </c>
      <c r="I242" s="219">
        <v>532.22</v>
      </c>
      <c r="J242" s="449">
        <v>25098</v>
      </c>
      <c r="K242" s="450" t="s">
        <v>416</v>
      </c>
      <c r="L242" s="451">
        <v>532.22</v>
      </c>
      <c r="M242" s="41"/>
      <c r="N242" s="34"/>
      <c r="O242" s="71">
        <f t="shared" si="17"/>
        <v>0</v>
      </c>
      <c r="P242" s="114">
        <v>0</v>
      </c>
      <c r="Q242" s="387">
        <f t="shared" si="18"/>
        <v>0</v>
      </c>
    </row>
    <row r="243" spans="1:18" ht="22.5" customHeight="1" x14ac:dyDescent="0.5">
      <c r="A243" s="23">
        <v>49</v>
      </c>
      <c r="B243" s="290" t="s">
        <v>493</v>
      </c>
      <c r="C243" s="25" t="s">
        <v>494</v>
      </c>
      <c r="D243" s="452"/>
      <c r="E243" s="454"/>
      <c r="F243" s="213"/>
      <c r="G243" s="219">
        <v>2061.84</v>
      </c>
      <c r="H243" s="219">
        <v>0</v>
      </c>
      <c r="I243" s="219">
        <v>2061.84</v>
      </c>
      <c r="J243" s="449"/>
      <c r="K243" s="450"/>
      <c r="L243" s="451"/>
      <c r="M243" s="41"/>
      <c r="N243" s="34"/>
      <c r="O243" s="71">
        <f t="shared" si="17"/>
        <v>2061.84</v>
      </c>
      <c r="P243" s="114">
        <v>0</v>
      </c>
      <c r="Q243" s="387">
        <f t="shared" si="18"/>
        <v>2061.84</v>
      </c>
    </row>
    <row r="244" spans="1:18" ht="22.5" customHeight="1" x14ac:dyDescent="0.5">
      <c r="A244" s="23">
        <v>50</v>
      </c>
      <c r="B244" s="290" t="s">
        <v>495</v>
      </c>
      <c r="C244" s="25" t="s">
        <v>496</v>
      </c>
      <c r="D244" s="452"/>
      <c r="E244" s="454"/>
      <c r="F244" s="213"/>
      <c r="G244" s="219">
        <v>20595.900000000001</v>
      </c>
      <c r="H244" s="219">
        <v>0</v>
      </c>
      <c r="I244" s="219">
        <v>20595.900000000001</v>
      </c>
      <c r="J244" s="449"/>
      <c r="K244" s="450"/>
      <c r="L244" s="451"/>
      <c r="M244" s="41"/>
      <c r="N244" s="34"/>
      <c r="O244" s="71">
        <f t="shared" si="17"/>
        <v>20595.900000000001</v>
      </c>
      <c r="P244" s="114">
        <v>0</v>
      </c>
      <c r="Q244" s="387">
        <f t="shared" si="18"/>
        <v>20595.900000000001</v>
      </c>
    </row>
    <row r="245" spans="1:18" s="60" customFormat="1" ht="22.5" customHeight="1" thickBot="1" x14ac:dyDescent="0.35">
      <c r="A245" s="362"/>
      <c r="B245" s="362" t="s">
        <v>15</v>
      </c>
      <c r="C245" s="455"/>
      <c r="D245" s="456">
        <f>SUM(D195:D244)</f>
        <v>0</v>
      </c>
      <c r="E245" s="362"/>
      <c r="F245" s="363"/>
      <c r="G245" s="456">
        <f>SUM(G192:G244)</f>
        <v>188063.16999999998</v>
      </c>
      <c r="H245" s="456">
        <f>SUM(H192:H244)</f>
        <v>0</v>
      </c>
      <c r="I245" s="456">
        <f>SUM(I192:I244)</f>
        <v>188063.16999999998</v>
      </c>
      <c r="J245" s="457"/>
      <c r="K245" s="458"/>
      <c r="L245" s="458">
        <f>SUM(L192:L244)</f>
        <v>124559.49000000003</v>
      </c>
      <c r="M245" s="362"/>
      <c r="N245" s="363"/>
      <c r="O245" s="364">
        <f>SUM(O192:O244)</f>
        <v>63503.68</v>
      </c>
      <c r="P245" s="364">
        <f>SUM(P192:P244)</f>
        <v>0</v>
      </c>
      <c r="Q245" s="364">
        <f>SUM(Q192:Q244)</f>
        <v>63503.68</v>
      </c>
    </row>
    <row r="246" spans="1:18" s="60" customFormat="1" ht="22.5" customHeight="1" thickTop="1" thickBot="1" x14ac:dyDescent="0.35">
      <c r="A246" s="459"/>
      <c r="B246" s="460" t="s">
        <v>497</v>
      </c>
      <c r="C246" s="461"/>
      <c r="D246" s="462">
        <f>SUM(D245+D189+D185+D182+D178+D168+D150+D160+D106+D42+D38+D35+D31+D27+D12)</f>
        <v>1166956.77</v>
      </c>
      <c r="E246" s="463"/>
      <c r="F246" s="464"/>
      <c r="G246" s="462">
        <f>SUM(G245+G189+G185+G182+G178+G168+G150+G160+G106+G42+G38+G35+G31+G27+G12)</f>
        <v>396473.17</v>
      </c>
      <c r="H246" s="462"/>
      <c r="I246" s="462">
        <f>SUM(I245+I189+I185+I182+I178+I168+I150+I160+I106+I42+I38+I35+I31+I27+I12)</f>
        <v>406984.37</v>
      </c>
      <c r="J246" s="462"/>
      <c r="K246" s="462"/>
      <c r="L246" s="462">
        <f>SUM(L245+L189+L185+L182+L178+L168+L160+L150+L106+L42+L38+L35+L31+L27+L12)</f>
        <v>926591.72000000009</v>
      </c>
      <c r="M246" s="465"/>
      <c r="N246" s="466"/>
      <c r="O246" s="467">
        <f>SUM(O245+O189+O185+O182+O178+O168+O150+O160+O106+O42+O38+O35+O31+O27+O12)</f>
        <v>631780.72</v>
      </c>
      <c r="P246" s="467">
        <f>SUM(P12+P27+P31+P35+P38+P42+P106+P150+P160+P168+P178+P182+P185+P189+P245)</f>
        <v>15568.699999999997</v>
      </c>
      <c r="Q246" s="468">
        <f>SUM(Q12+Q27+Q31+Q35+Q38+Q42+Q106+Q150+Q160+Q168+Q178+Q182+Q185+Q189+Q245)</f>
        <v>647349.42000000004</v>
      </c>
    </row>
    <row r="247" spans="1:18" ht="22.5" customHeight="1" thickTop="1" x14ac:dyDescent="0.3">
      <c r="E247" s="469"/>
      <c r="F247" s="470"/>
      <c r="G247" s="3"/>
      <c r="H247" s="3"/>
      <c r="I247" s="3"/>
      <c r="M247" s="3"/>
      <c r="N247" s="470"/>
      <c r="O247" s="471"/>
      <c r="P247" s="471"/>
      <c r="Q247" s="472"/>
    </row>
    <row r="248" spans="1:18" ht="22.5" customHeight="1" x14ac:dyDescent="0.3">
      <c r="A248" s="1123" t="s">
        <v>498</v>
      </c>
      <c r="B248" s="1124"/>
      <c r="C248" s="1124"/>
      <c r="D248" s="1124"/>
      <c r="E248" s="1124"/>
      <c r="F248" s="1124"/>
      <c r="G248" s="1124"/>
      <c r="H248" s="1124"/>
      <c r="I248" s="1124"/>
      <c r="J248" s="1124"/>
      <c r="K248" s="1124"/>
      <c r="L248" s="1124"/>
      <c r="M248" s="1124"/>
      <c r="N248" s="1124"/>
      <c r="O248" s="1124"/>
      <c r="P248" s="1124"/>
      <c r="Q248" s="1125"/>
      <c r="R248" s="2"/>
    </row>
    <row r="249" spans="1:18" ht="22.5" customHeight="1" x14ac:dyDescent="0.3">
      <c r="A249" s="115"/>
      <c r="B249" s="164" t="s">
        <v>499</v>
      </c>
      <c r="C249" s="165"/>
      <c r="D249" s="86"/>
      <c r="E249" s="167"/>
      <c r="F249" s="168"/>
      <c r="G249" s="473"/>
      <c r="H249" s="473"/>
      <c r="I249" s="473"/>
      <c r="J249" s="170"/>
      <c r="K249" s="171"/>
      <c r="L249" s="86"/>
      <c r="M249" s="117"/>
      <c r="N249" s="118"/>
      <c r="O249" s="474"/>
      <c r="P249" s="474"/>
      <c r="Q249" s="370"/>
      <c r="R249" s="2"/>
    </row>
    <row r="250" spans="1:18" ht="22.5" customHeight="1" x14ac:dyDescent="0.3">
      <c r="A250" s="475">
        <v>1</v>
      </c>
      <c r="B250" s="476" t="s">
        <v>500</v>
      </c>
      <c r="C250" s="477" t="s">
        <v>501</v>
      </c>
      <c r="D250" s="478">
        <v>0</v>
      </c>
      <c r="E250" s="479"/>
      <c r="F250" s="480"/>
      <c r="G250" s="481">
        <v>325409.68</v>
      </c>
      <c r="H250" s="482"/>
      <c r="I250" s="481">
        <v>325409.68</v>
      </c>
      <c r="J250" s="303"/>
      <c r="K250" s="303"/>
      <c r="L250" s="483"/>
      <c r="M250" s="484"/>
      <c r="N250" s="485"/>
      <c r="O250" s="486">
        <f>SUM(D250+I250-L250)</f>
        <v>325409.68</v>
      </c>
      <c r="P250" s="486"/>
      <c r="Q250" s="487">
        <f>SUM(D250+I250-L250)</f>
        <v>325409.68</v>
      </c>
      <c r="R250" s="2" t="s">
        <v>502</v>
      </c>
    </row>
    <row r="251" spans="1:18" ht="22.5" customHeight="1" x14ac:dyDescent="0.3">
      <c r="A251" s="488"/>
      <c r="B251" s="489" t="s">
        <v>503</v>
      </c>
      <c r="C251" s="490"/>
      <c r="D251" s="491"/>
      <c r="E251" s="479"/>
      <c r="F251" s="480"/>
      <c r="G251" s="481"/>
      <c r="H251" s="482"/>
      <c r="I251" s="481"/>
      <c r="J251" s="492"/>
      <c r="K251" s="492"/>
      <c r="L251" s="493"/>
      <c r="M251" s="484"/>
      <c r="N251" s="494"/>
      <c r="O251" s="495"/>
      <c r="P251" s="486"/>
      <c r="Q251" s="487"/>
      <c r="R251" s="2"/>
    </row>
    <row r="252" spans="1:18" ht="22.5" customHeight="1" x14ac:dyDescent="0.3">
      <c r="A252" s="475">
        <v>2</v>
      </c>
      <c r="B252" s="476" t="s">
        <v>504</v>
      </c>
      <c r="C252" s="477" t="s">
        <v>415</v>
      </c>
      <c r="D252" s="478">
        <v>0</v>
      </c>
      <c r="E252" s="479"/>
      <c r="F252" s="480"/>
      <c r="G252" s="481">
        <v>74600.88</v>
      </c>
      <c r="H252" s="482">
        <v>0</v>
      </c>
      <c r="I252" s="481">
        <v>74600.88</v>
      </c>
      <c r="J252" s="492"/>
      <c r="K252" s="492"/>
      <c r="L252" s="493"/>
      <c r="M252" s="484"/>
      <c r="N252" s="494"/>
      <c r="O252" s="495">
        <f>SUM(D252+I252-L252)</f>
        <v>74600.88</v>
      </c>
      <c r="P252" s="496">
        <v>0</v>
      </c>
      <c r="Q252" s="497">
        <f>SUM(D252+I252-L252)</f>
        <v>74600.88</v>
      </c>
      <c r="R252" s="2"/>
    </row>
    <row r="253" spans="1:18" ht="22.5" customHeight="1" x14ac:dyDescent="0.3">
      <c r="A253" s="475"/>
      <c r="B253" s="489" t="s">
        <v>505</v>
      </c>
      <c r="C253" s="498"/>
      <c r="D253" s="499"/>
      <c r="E253" s="500"/>
      <c r="F253" s="501"/>
      <c r="G253" s="481"/>
      <c r="H253" s="482"/>
      <c r="I253" s="481"/>
      <c r="J253" s="492"/>
      <c r="K253" s="492"/>
      <c r="L253" s="493"/>
      <c r="M253" s="484"/>
      <c r="N253" s="494"/>
      <c r="O253" s="495"/>
      <c r="P253" s="496"/>
      <c r="Q253" s="497"/>
      <c r="R253" s="2"/>
    </row>
    <row r="254" spans="1:18" ht="22.5" customHeight="1" x14ac:dyDescent="0.3">
      <c r="A254" s="502">
        <v>3</v>
      </c>
      <c r="B254" s="503" t="s">
        <v>506</v>
      </c>
      <c r="C254" s="504" t="s">
        <v>507</v>
      </c>
      <c r="D254" s="505">
        <v>0</v>
      </c>
      <c r="E254" s="506"/>
      <c r="F254" s="507"/>
      <c r="G254" s="508">
        <v>32500</v>
      </c>
      <c r="H254" s="508">
        <v>0</v>
      </c>
      <c r="I254" s="508">
        <v>32500</v>
      </c>
      <c r="J254" s="492"/>
      <c r="K254" s="492"/>
      <c r="L254" s="298"/>
      <c r="M254" s="509"/>
      <c r="N254" s="510"/>
      <c r="O254" s="511">
        <f>SUM(D254+I254-L254)</f>
        <v>32500</v>
      </c>
      <c r="P254" s="512">
        <v>0</v>
      </c>
      <c r="Q254" s="513">
        <f>SUM(D254+I254-L254)</f>
        <v>32500</v>
      </c>
      <c r="R254" s="2"/>
    </row>
    <row r="255" spans="1:18" ht="22.5" customHeight="1" x14ac:dyDescent="0.3">
      <c r="A255" s="488"/>
      <c r="B255" s="489" t="s">
        <v>508</v>
      </c>
      <c r="C255" s="514"/>
      <c r="D255" s="515"/>
      <c r="E255" s="516"/>
      <c r="F255" s="517"/>
      <c r="G255" s="518"/>
      <c r="H255" s="519"/>
      <c r="I255" s="518"/>
      <c r="J255" s="492"/>
      <c r="K255" s="492"/>
      <c r="L255" s="493"/>
      <c r="M255" s="520"/>
      <c r="N255" s="521"/>
      <c r="O255" s="522"/>
      <c r="P255" s="523"/>
      <c r="Q255" s="524"/>
    </row>
    <row r="256" spans="1:18" ht="22.5" customHeight="1" x14ac:dyDescent="0.3">
      <c r="A256" s="488">
        <v>4</v>
      </c>
      <c r="B256" s="525" t="s">
        <v>509</v>
      </c>
      <c r="C256" s="526" t="s">
        <v>510</v>
      </c>
      <c r="D256" s="515"/>
      <c r="E256" s="527"/>
      <c r="F256" s="517"/>
      <c r="G256" s="528">
        <v>796450.4</v>
      </c>
      <c r="H256" s="519"/>
      <c r="I256" s="528">
        <v>796450.4</v>
      </c>
      <c r="J256" s="515"/>
      <c r="K256" s="492"/>
      <c r="L256" s="493"/>
      <c r="M256" s="521"/>
      <c r="N256" s="529"/>
      <c r="O256" s="530">
        <v>796450.4</v>
      </c>
      <c r="P256" s="531"/>
      <c r="Q256" s="532">
        <v>796450.4</v>
      </c>
    </row>
    <row r="257" spans="1:20" ht="22.5" customHeight="1" x14ac:dyDescent="0.3">
      <c r="A257" s="533"/>
      <c r="B257" s="534" t="s">
        <v>509</v>
      </c>
      <c r="C257" s="535" t="s">
        <v>511</v>
      </c>
      <c r="D257" s="536"/>
      <c r="E257" s="537"/>
      <c r="F257" s="538"/>
      <c r="G257" s="539">
        <v>93330</v>
      </c>
      <c r="H257" s="540"/>
      <c r="I257" s="539">
        <v>93330</v>
      </c>
      <c r="J257" s="536"/>
      <c r="K257" s="541"/>
      <c r="L257" s="542"/>
      <c r="M257" s="543"/>
      <c r="N257" s="544"/>
      <c r="O257" s="545">
        <v>93330</v>
      </c>
      <c r="P257" s="546"/>
      <c r="Q257" s="547">
        <v>93330</v>
      </c>
    </row>
    <row r="258" spans="1:20" s="60" customFormat="1" ht="22.5" customHeight="1" thickBot="1" x14ac:dyDescent="0.35">
      <c r="A258" s="548"/>
      <c r="B258" s="548" t="s">
        <v>15</v>
      </c>
      <c r="C258" s="549"/>
      <c r="D258" s="550">
        <f>SUM(D252:D252)</f>
        <v>0</v>
      </c>
      <c r="E258" s="551"/>
      <c r="F258" s="552"/>
      <c r="G258" s="553">
        <f>SUM(G250:G257)</f>
        <v>1322290.96</v>
      </c>
      <c r="H258" s="553">
        <f>SUM(H250:H257)</f>
        <v>0</v>
      </c>
      <c r="I258" s="553">
        <f>SUM(I250:I257)</f>
        <v>1322290.96</v>
      </c>
      <c r="J258" s="554"/>
      <c r="K258" s="554"/>
      <c r="L258" s="550">
        <f>SUM(L250:L257)</f>
        <v>0</v>
      </c>
      <c r="M258" s="555"/>
      <c r="N258" s="556"/>
      <c r="O258" s="557">
        <f>SUM(O250:O257)</f>
        <v>1322290.96</v>
      </c>
      <c r="P258" s="557">
        <f>SUM(P250:P257)</f>
        <v>0</v>
      </c>
      <c r="Q258" s="558">
        <f>SUM(Q250:Q257)</f>
        <v>1322290.96</v>
      </c>
      <c r="R258" s="59"/>
    </row>
    <row r="259" spans="1:20" ht="22.5" customHeight="1" thickTop="1" x14ac:dyDescent="0.3">
      <c r="A259" s="559"/>
      <c r="B259" s="560" t="s">
        <v>92</v>
      </c>
      <c r="C259" s="561"/>
      <c r="D259" s="562"/>
      <c r="E259" s="563"/>
      <c r="F259" s="564"/>
      <c r="G259" s="565"/>
      <c r="H259" s="565"/>
      <c r="I259" s="565"/>
      <c r="J259" s="566"/>
      <c r="K259" s="566"/>
      <c r="L259" s="562"/>
      <c r="M259" s="567"/>
      <c r="N259" s="568"/>
      <c r="O259" s="569"/>
      <c r="P259" s="569"/>
      <c r="Q259" s="570"/>
      <c r="R259" s="2"/>
    </row>
    <row r="260" spans="1:20" ht="22.5" customHeight="1" x14ac:dyDescent="0.3">
      <c r="A260" s="23">
        <v>1</v>
      </c>
      <c r="B260" s="73" t="s">
        <v>512</v>
      </c>
      <c r="C260" s="25" t="s">
        <v>97</v>
      </c>
      <c r="D260" s="43">
        <v>0</v>
      </c>
      <c r="E260" s="212" t="s">
        <v>513</v>
      </c>
      <c r="F260" s="213" t="s">
        <v>514</v>
      </c>
      <c r="G260" s="219">
        <v>9813.08</v>
      </c>
      <c r="H260" s="219">
        <v>686.91560000000004</v>
      </c>
      <c r="I260" s="219">
        <v>10499.9956</v>
      </c>
      <c r="J260" s="408"/>
      <c r="K260" s="408"/>
      <c r="L260" s="43"/>
      <c r="M260" s="41" t="s">
        <v>513</v>
      </c>
      <c r="N260" s="34" t="s">
        <v>514</v>
      </c>
      <c r="O260" s="114">
        <f>SUM(Q260-P260)</f>
        <v>9813.08</v>
      </c>
      <c r="P260" s="114">
        <f>SUM(Q260*7/107)</f>
        <v>686.91560000000004</v>
      </c>
      <c r="Q260" s="36">
        <f>SUM(D260+I260-L260)</f>
        <v>10499.9956</v>
      </c>
      <c r="R260" s="2"/>
    </row>
    <row r="261" spans="1:20" s="60" customFormat="1" ht="22.5" customHeight="1" thickBot="1" x14ac:dyDescent="0.35">
      <c r="A261" s="548"/>
      <c r="B261" s="548" t="s">
        <v>15</v>
      </c>
      <c r="C261" s="549"/>
      <c r="D261" s="550"/>
      <c r="E261" s="571"/>
      <c r="F261" s="552"/>
      <c r="G261" s="553">
        <f>SUM(G260:G260)</f>
        <v>9813.08</v>
      </c>
      <c r="H261" s="553">
        <f>SUM(H260:H260)</f>
        <v>686.91560000000004</v>
      </c>
      <c r="I261" s="553">
        <f>SUM(I260:I260)</f>
        <v>10499.9956</v>
      </c>
      <c r="J261" s="554"/>
      <c r="K261" s="554"/>
      <c r="L261" s="550"/>
      <c r="M261" s="548"/>
      <c r="N261" s="552"/>
      <c r="O261" s="557">
        <f>SUM(O260:O260)</f>
        <v>9813.08</v>
      </c>
      <c r="P261" s="557">
        <f>SUM(P260:P260)</f>
        <v>686.91560000000004</v>
      </c>
      <c r="Q261" s="558">
        <f>SUM(Q260:Q260)</f>
        <v>10499.9956</v>
      </c>
      <c r="R261" s="59"/>
    </row>
    <row r="262" spans="1:20" s="60" customFormat="1" ht="22.5" customHeight="1" thickTop="1" thickBot="1" x14ac:dyDescent="0.35">
      <c r="A262" s="572"/>
      <c r="B262" s="572" t="s">
        <v>515</v>
      </c>
      <c r="C262" s="573"/>
      <c r="D262" s="574"/>
      <c r="E262" s="575"/>
      <c r="F262" s="576"/>
      <c r="G262" s="577">
        <f>SUM(G261+G258)</f>
        <v>1332104.04</v>
      </c>
      <c r="H262" s="577">
        <f>SUM(H261+H258)</f>
        <v>686.91560000000004</v>
      </c>
      <c r="I262" s="577">
        <f>SUM(I261+I258)</f>
        <v>1332790.9556</v>
      </c>
      <c r="J262" s="578"/>
      <c r="K262" s="578"/>
      <c r="L262" s="579">
        <f>SUM(L261+L258)</f>
        <v>0</v>
      </c>
      <c r="M262" s="580"/>
      <c r="N262" s="581"/>
      <c r="O262" s="582">
        <f>SUM(O261+O258)</f>
        <v>1332104.04</v>
      </c>
      <c r="P262" s="582">
        <f>SUM(P261+P258)</f>
        <v>686.91560000000004</v>
      </c>
      <c r="Q262" s="583">
        <f>SUM(Q261+Q258)</f>
        <v>1332790.9556</v>
      </c>
      <c r="R262" s="59"/>
    </row>
    <row r="263" spans="1:20" ht="22.5" customHeight="1" thickTop="1" x14ac:dyDescent="0.3">
      <c r="E263" s="469"/>
      <c r="F263" s="470"/>
      <c r="G263" s="3"/>
      <c r="H263" s="3"/>
      <c r="I263" s="3"/>
      <c r="J263" s="584"/>
      <c r="K263" s="585"/>
      <c r="M263" s="470"/>
      <c r="N263" s="586"/>
      <c r="O263" s="471"/>
      <c r="P263" s="471"/>
      <c r="Q263" s="472"/>
      <c r="R263" s="2"/>
    </row>
    <row r="264" spans="1:20" s="589" customFormat="1" ht="20.399999999999999" x14ac:dyDescent="0.5">
      <c r="A264" s="1126" t="s">
        <v>516</v>
      </c>
      <c r="B264" s="1127"/>
      <c r="C264" s="1127"/>
      <c r="D264" s="1127"/>
      <c r="E264" s="1127"/>
      <c r="F264" s="1127"/>
      <c r="G264" s="1127"/>
      <c r="H264" s="1127"/>
      <c r="I264" s="1127"/>
      <c r="J264" s="1127"/>
      <c r="K264" s="1127"/>
      <c r="L264" s="1127"/>
      <c r="M264" s="1127"/>
      <c r="N264" s="1127"/>
      <c r="O264" s="1127"/>
      <c r="P264" s="1127"/>
      <c r="Q264" s="1127"/>
      <c r="R264" s="587"/>
      <c r="S264" s="587"/>
      <c r="T264" s="588"/>
    </row>
    <row r="265" spans="1:20" s="599" customFormat="1" x14ac:dyDescent="0.6">
      <c r="A265" s="590">
        <v>1</v>
      </c>
      <c r="B265" s="591" t="s">
        <v>517</v>
      </c>
      <c r="C265" s="591" t="s">
        <v>518</v>
      </c>
      <c r="D265" s="592">
        <v>0</v>
      </c>
      <c r="E265" s="593"/>
      <c r="F265" s="594"/>
      <c r="G265" s="595">
        <v>0</v>
      </c>
      <c r="H265" s="595">
        <v>0</v>
      </c>
      <c r="I265" s="595">
        <v>0</v>
      </c>
      <c r="J265" s="596"/>
      <c r="K265" s="596"/>
      <c r="L265" s="597"/>
      <c r="M265" s="598"/>
      <c r="N265" s="594"/>
      <c r="O265" s="595">
        <f>SUM(D265+G265-L265)</f>
        <v>0</v>
      </c>
      <c r="P265" s="595">
        <v>0</v>
      </c>
      <c r="Q265" s="595">
        <f>SUM(D265+I265-L265)</f>
        <v>0</v>
      </c>
      <c r="T265" s="600"/>
    </row>
    <row r="266" spans="1:20" s="599" customFormat="1" x14ac:dyDescent="0.6">
      <c r="A266" s="601">
        <v>2</v>
      </c>
      <c r="B266" s="602" t="s">
        <v>519</v>
      </c>
      <c r="C266" s="602" t="s">
        <v>520</v>
      </c>
      <c r="D266" s="603">
        <v>0</v>
      </c>
      <c r="E266" s="604"/>
      <c r="F266" s="605"/>
      <c r="G266" s="606">
        <v>54000</v>
      </c>
      <c r="H266" s="606">
        <v>0</v>
      </c>
      <c r="I266" s="606">
        <v>54000</v>
      </c>
      <c r="J266" s="607"/>
      <c r="K266" s="607"/>
      <c r="L266" s="608"/>
      <c r="M266" s="604"/>
      <c r="N266" s="605"/>
      <c r="O266" s="609">
        <f>SUM(D266+G266-L266)</f>
        <v>54000</v>
      </c>
      <c r="P266" s="609">
        <v>0</v>
      </c>
      <c r="Q266" s="609">
        <f>SUM(D266+I266-L266)</f>
        <v>54000</v>
      </c>
      <c r="T266" s="600"/>
    </row>
    <row r="267" spans="1:20" s="599" customFormat="1" x14ac:dyDescent="0.6">
      <c r="A267" s="610">
        <v>3</v>
      </c>
      <c r="B267" s="611" t="s">
        <v>521</v>
      </c>
      <c r="C267" s="611" t="s">
        <v>522</v>
      </c>
      <c r="D267" s="612">
        <v>0</v>
      </c>
      <c r="E267" s="613"/>
      <c r="F267" s="614"/>
      <c r="G267" s="615">
        <v>0</v>
      </c>
      <c r="H267" s="615">
        <v>0</v>
      </c>
      <c r="I267" s="615">
        <v>0</v>
      </c>
      <c r="J267" s="616"/>
      <c r="K267" s="616"/>
      <c r="L267" s="617"/>
      <c r="M267" s="618"/>
      <c r="N267" s="614"/>
      <c r="O267" s="609">
        <f>SUM(D267+G267-L267)</f>
        <v>0</v>
      </c>
      <c r="P267" s="609">
        <v>0</v>
      </c>
      <c r="Q267" s="609">
        <f>SUM(D267+I267-L267)</f>
        <v>0</v>
      </c>
      <c r="T267" s="600"/>
    </row>
    <row r="268" spans="1:20" s="599" customFormat="1" ht="24" thickBot="1" x14ac:dyDescent="0.65">
      <c r="A268" s="619"/>
      <c r="B268" s="620" t="s">
        <v>523</v>
      </c>
      <c r="C268" s="621"/>
      <c r="D268" s="622">
        <f>SUM(D265:D267)</f>
        <v>0</v>
      </c>
      <c r="E268" s="623"/>
      <c r="F268" s="624"/>
      <c r="G268" s="625">
        <v>54000</v>
      </c>
      <c r="H268" s="625">
        <v>0</v>
      </c>
      <c r="I268" s="625">
        <v>54000</v>
      </c>
      <c r="J268" s="624"/>
      <c r="K268" s="624"/>
      <c r="L268" s="622">
        <f>SUM(L265:L267)</f>
        <v>0</v>
      </c>
      <c r="M268" s="623"/>
      <c r="N268" s="624"/>
      <c r="O268" s="626">
        <f>SUM(O265:O267)</f>
        <v>54000</v>
      </c>
      <c r="P268" s="626">
        <f>SUM(P265:P267)</f>
        <v>0</v>
      </c>
      <c r="Q268" s="626">
        <f>SUM(D268+I268-L268)</f>
        <v>54000</v>
      </c>
      <c r="R268" s="627">
        <f>SUM(Q246+Q262+Q268)</f>
        <v>2034140.3755999999</v>
      </c>
      <c r="T268" s="600"/>
    </row>
    <row r="269" spans="1:20" s="636" customFormat="1" ht="24" thickTop="1" x14ac:dyDescent="0.6">
      <c r="A269" s="628"/>
      <c r="B269" s="629"/>
      <c r="C269" s="630"/>
      <c r="D269" s="631"/>
      <c r="E269" s="632"/>
      <c r="F269" s="633"/>
      <c r="G269" s="634"/>
      <c r="H269" s="634"/>
      <c r="I269" s="634"/>
      <c r="J269" s="633"/>
      <c r="K269" s="633"/>
      <c r="L269" s="631"/>
      <c r="M269" s="632"/>
      <c r="N269" s="633"/>
      <c r="O269" s="635"/>
      <c r="P269" s="635"/>
      <c r="Q269" s="635"/>
      <c r="T269" s="637"/>
    </row>
    <row r="270" spans="1:20" s="636" customFormat="1" x14ac:dyDescent="0.6">
      <c r="A270" s="1128" t="s">
        <v>524</v>
      </c>
      <c r="B270" s="1128"/>
      <c r="C270" s="1128"/>
      <c r="D270" s="1128"/>
      <c r="E270" s="1128"/>
      <c r="F270" s="1128"/>
      <c r="G270" s="1128"/>
      <c r="H270" s="1128"/>
      <c r="I270" s="1128"/>
      <c r="J270" s="1128"/>
      <c r="K270" s="1128"/>
      <c r="L270" s="1128"/>
      <c r="M270" s="1128"/>
      <c r="N270" s="1128"/>
      <c r="O270" s="1128"/>
      <c r="P270" s="1128"/>
      <c r="Q270" s="1128"/>
      <c r="T270" s="637"/>
    </row>
    <row r="271" spans="1:20" s="599" customFormat="1" x14ac:dyDescent="0.6">
      <c r="A271" s="638">
        <v>1</v>
      </c>
      <c r="B271" s="639" t="s">
        <v>519</v>
      </c>
      <c r="C271" s="639" t="s">
        <v>518</v>
      </c>
      <c r="D271" s="640">
        <v>5600</v>
      </c>
      <c r="E271" s="641" t="s">
        <v>525</v>
      </c>
      <c r="F271" s="642" t="s">
        <v>526</v>
      </c>
      <c r="G271" s="643">
        <v>50400</v>
      </c>
      <c r="H271" s="643">
        <v>0</v>
      </c>
      <c r="I271" s="643">
        <v>50400</v>
      </c>
      <c r="J271" s="644"/>
      <c r="K271" s="644"/>
      <c r="L271" s="645"/>
      <c r="M271" s="641" t="s">
        <v>527</v>
      </c>
      <c r="N271" s="642" t="s">
        <v>528</v>
      </c>
      <c r="O271" s="643">
        <f>SUM(D271+G271-L271)</f>
        <v>56000</v>
      </c>
      <c r="P271" s="643">
        <v>0</v>
      </c>
      <c r="Q271" s="643">
        <f>SUM(D271+I271-L271)</f>
        <v>56000</v>
      </c>
      <c r="T271" s="600"/>
    </row>
    <row r="272" spans="1:20" s="599" customFormat="1" x14ac:dyDescent="0.6">
      <c r="A272" s="646">
        <v>2</v>
      </c>
      <c r="B272" s="647" t="s">
        <v>521</v>
      </c>
      <c r="C272" s="647" t="s">
        <v>522</v>
      </c>
      <c r="D272" s="648">
        <v>8400</v>
      </c>
      <c r="E272" s="649" t="s">
        <v>529</v>
      </c>
      <c r="F272" s="650" t="s">
        <v>530</v>
      </c>
      <c r="G272" s="651">
        <v>4023.6500000000015</v>
      </c>
      <c r="H272" s="615">
        <v>0</v>
      </c>
      <c r="I272" s="615">
        <v>4023.6500000000015</v>
      </c>
      <c r="J272" s="30">
        <v>25086</v>
      </c>
      <c r="K272" s="249" t="s">
        <v>531</v>
      </c>
      <c r="L272" s="221">
        <v>1806</v>
      </c>
      <c r="M272" s="652" t="s">
        <v>532</v>
      </c>
      <c r="N272" s="373" t="s">
        <v>533</v>
      </c>
      <c r="O272" s="606">
        <f>SUM(D272+G272-L272)</f>
        <v>10617.650000000001</v>
      </c>
      <c r="P272" s="606">
        <v>0</v>
      </c>
      <c r="Q272" s="606">
        <f>SUM(D272+I272-L272)</f>
        <v>10617.650000000001</v>
      </c>
      <c r="T272" s="600"/>
    </row>
    <row r="273" spans="1:20" s="599" customFormat="1" x14ac:dyDescent="0.6">
      <c r="A273" s="646"/>
      <c r="B273" s="653" t="s">
        <v>534</v>
      </c>
      <c r="C273" s="647"/>
      <c r="D273" s="648"/>
      <c r="E273" s="649"/>
      <c r="F273" s="650"/>
      <c r="G273" s="651"/>
      <c r="H273" s="651"/>
      <c r="I273" s="651"/>
      <c r="J273" s="250"/>
      <c r="K273" s="654"/>
      <c r="L273" s="252"/>
      <c r="M273" s="655"/>
      <c r="N273" s="656"/>
      <c r="O273" s="651"/>
      <c r="P273" s="651"/>
      <c r="Q273" s="651"/>
      <c r="T273" s="600"/>
    </row>
    <row r="274" spans="1:20" s="599" customFormat="1" ht="24" thickBot="1" x14ac:dyDescent="0.65">
      <c r="A274" s="619"/>
      <c r="B274" s="620" t="s">
        <v>535</v>
      </c>
      <c r="C274" s="621"/>
      <c r="D274" s="622">
        <f>SUM(D271:D272)</f>
        <v>14000</v>
      </c>
      <c r="E274" s="623"/>
      <c r="F274" s="624"/>
      <c r="G274" s="625">
        <f>SUM(G271:G272)</f>
        <v>54423.65</v>
      </c>
      <c r="H274" s="625">
        <f>SUM(H271:H272)</f>
        <v>0</v>
      </c>
      <c r="I274" s="625">
        <f>SUM(I271:I272)</f>
        <v>54423.65</v>
      </c>
      <c r="J274" s="625"/>
      <c r="K274" s="625"/>
      <c r="L274" s="625">
        <f>SUM(L272:L273)</f>
        <v>1806</v>
      </c>
      <c r="M274" s="625"/>
      <c r="N274" s="625"/>
      <c r="O274" s="625">
        <f>SUM(O271:O272)</f>
        <v>66617.649999999994</v>
      </c>
      <c r="P274" s="625">
        <f>SUM(P271:P272)</f>
        <v>0</v>
      </c>
      <c r="Q274" s="625">
        <f>SUM(Q271:Q272)</f>
        <v>66617.649999999994</v>
      </c>
      <c r="T274" s="600"/>
    </row>
    <row r="275" spans="1:20" ht="22.5" customHeight="1" thickTop="1" x14ac:dyDescent="0.3">
      <c r="E275" s="469"/>
      <c r="F275" s="470"/>
      <c r="G275" s="3"/>
      <c r="H275" s="3"/>
      <c r="I275" s="3"/>
      <c r="J275" s="584"/>
      <c r="K275" s="585"/>
      <c r="M275" s="470"/>
      <c r="N275" s="586"/>
      <c r="O275" s="471"/>
      <c r="P275" s="471"/>
      <c r="Q275" s="472"/>
      <c r="R275" s="2"/>
    </row>
    <row r="276" spans="1:20" ht="22.5" customHeight="1" thickBot="1" x14ac:dyDescent="0.35">
      <c r="E276" s="469"/>
      <c r="F276" s="470"/>
      <c r="G276" s="3"/>
      <c r="H276" s="3"/>
      <c r="I276" s="3"/>
      <c r="J276" s="584"/>
      <c r="K276" s="585"/>
      <c r="L276" s="657">
        <f>SUM(L246+L262+L268++L274)</f>
        <v>928397.72000000009</v>
      </c>
      <c r="M276" s="470"/>
      <c r="N276" s="586"/>
      <c r="O276" s="1148" t="s">
        <v>536</v>
      </c>
      <c r="P276" s="1148"/>
      <c r="Q276" s="658">
        <f>SUM(Q246+Q262+Q268++Q274)</f>
        <v>2100758.0255999998</v>
      </c>
      <c r="R276" s="2"/>
    </row>
    <row r="277" spans="1:20" ht="22.5" customHeight="1" thickTop="1" x14ac:dyDescent="0.5">
      <c r="B277" s="587" t="s">
        <v>537</v>
      </c>
      <c r="C277" s="587"/>
      <c r="D277" s="587"/>
      <c r="E277" s="587"/>
      <c r="F277" s="587"/>
      <c r="G277" s="587"/>
      <c r="H277" s="587"/>
      <c r="I277" s="587"/>
      <c r="J277" s="587"/>
      <c r="M277" s="3"/>
      <c r="N277" s="470"/>
      <c r="O277" s="471"/>
      <c r="P277" s="471"/>
      <c r="Q277" s="472"/>
    </row>
    <row r="278" spans="1:20" x14ac:dyDescent="0.5">
      <c r="B278" s="1129" t="s">
        <v>538</v>
      </c>
      <c r="C278" s="1129"/>
      <c r="D278" s="1129"/>
      <c r="E278" s="1129"/>
      <c r="F278" s="1129"/>
      <c r="G278" s="1129"/>
      <c r="H278" s="1129"/>
      <c r="I278" s="1129"/>
      <c r="J278" s="1129"/>
      <c r="M278" s="3"/>
      <c r="N278" s="470"/>
      <c r="O278" s="471"/>
      <c r="P278" s="471"/>
      <c r="Q278" s="472"/>
    </row>
    <row r="279" spans="1:20" x14ac:dyDescent="0.5">
      <c r="B279" s="1129" t="s">
        <v>539</v>
      </c>
      <c r="C279" s="1129"/>
      <c r="D279" s="1129"/>
      <c r="E279" s="1129"/>
      <c r="F279" s="1129"/>
      <c r="G279" s="1129"/>
      <c r="H279" s="1129"/>
      <c r="I279" s="1129"/>
      <c r="J279" s="1129"/>
      <c r="M279" s="3"/>
      <c r="N279" s="470"/>
      <c r="O279" s="471"/>
      <c r="P279" s="471"/>
      <c r="Q279" s="472"/>
    </row>
    <row r="280" spans="1:20" x14ac:dyDescent="0.3">
      <c r="E280" s="469"/>
      <c r="F280" s="470"/>
      <c r="G280" s="3"/>
      <c r="H280" s="3"/>
      <c r="I280" s="3"/>
      <c r="M280" s="3"/>
      <c r="N280" s="470"/>
      <c r="O280" s="471"/>
      <c r="P280" s="471"/>
      <c r="Q280" s="472"/>
    </row>
    <row r="281" spans="1:20" x14ac:dyDescent="0.3">
      <c r="E281" s="469"/>
      <c r="F281" s="470"/>
      <c r="G281" s="3"/>
      <c r="H281" s="3"/>
      <c r="I281" s="3"/>
      <c r="M281" s="3"/>
      <c r="N281" s="470"/>
      <c r="O281" s="471"/>
      <c r="P281" s="471"/>
      <c r="Q281" s="472"/>
    </row>
    <row r="282" spans="1:20" x14ac:dyDescent="0.3">
      <c r="E282" s="469"/>
      <c r="F282" s="470"/>
      <c r="G282" s="3"/>
      <c r="H282" s="3"/>
      <c r="I282" s="3"/>
      <c r="M282" s="3"/>
      <c r="N282" s="470"/>
      <c r="O282" s="471"/>
      <c r="P282" s="471"/>
      <c r="Q282" s="472"/>
    </row>
    <row r="283" spans="1:20" x14ac:dyDescent="0.3">
      <c r="E283" s="469"/>
      <c r="F283" s="470"/>
      <c r="G283" s="3"/>
      <c r="H283" s="3"/>
      <c r="I283" s="3"/>
      <c r="M283" s="3"/>
      <c r="N283" s="470"/>
      <c r="O283" s="471"/>
      <c r="P283" s="471"/>
      <c r="Q283" s="472"/>
    </row>
    <row r="284" spans="1:20" x14ac:dyDescent="0.3">
      <c r="E284" s="469"/>
      <c r="F284" s="470"/>
      <c r="G284" s="3"/>
      <c r="H284" s="3"/>
      <c r="I284" s="3"/>
      <c r="M284" s="3"/>
      <c r="N284" s="470"/>
      <c r="O284" s="471"/>
      <c r="P284" s="471"/>
      <c r="Q284" s="472"/>
    </row>
    <row r="285" spans="1:20" x14ac:dyDescent="0.3">
      <c r="E285" s="469"/>
      <c r="F285" s="470"/>
      <c r="G285" s="3"/>
      <c r="H285" s="3"/>
      <c r="I285" s="3"/>
      <c r="M285" s="3"/>
      <c r="N285" s="470"/>
      <c r="O285" s="471"/>
      <c r="P285" s="471"/>
      <c r="Q285" s="472"/>
    </row>
    <row r="286" spans="1:20" x14ac:dyDescent="0.3">
      <c r="E286" s="469"/>
      <c r="F286" s="470"/>
      <c r="G286" s="3"/>
      <c r="H286" s="3"/>
      <c r="I286" s="3"/>
      <c r="M286" s="3"/>
      <c r="N286" s="470"/>
      <c r="O286" s="471"/>
      <c r="P286" s="471"/>
      <c r="Q286" s="472"/>
    </row>
  </sheetData>
  <mergeCells count="22">
    <mergeCell ref="B279:J279"/>
    <mergeCell ref="E5:E6"/>
    <mergeCell ref="F5:F6"/>
    <mergeCell ref="G5:I5"/>
    <mergeCell ref="M5:M6"/>
    <mergeCell ref="A248:Q248"/>
    <mergeCell ref="A264:Q264"/>
    <mergeCell ref="A270:Q270"/>
    <mergeCell ref="O276:P276"/>
    <mergeCell ref="B278:J278"/>
    <mergeCell ref="N5:N6"/>
    <mergeCell ref="O5:Q5"/>
    <mergeCell ref="A1:Q1"/>
    <mergeCell ref="A2:Q2"/>
    <mergeCell ref="A3:Q3"/>
    <mergeCell ref="A4:A6"/>
    <mergeCell ref="B4:B6"/>
    <mergeCell ref="C4:C6"/>
    <mergeCell ref="D4:D6"/>
    <mergeCell ref="E4:I4"/>
    <mergeCell ref="J4:L4"/>
    <mergeCell ref="M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มิย.69</vt:lpstr>
      <vt:lpstr>รับชำระ มิย.69</vt:lpstr>
      <vt:lpstr>แนบ มิย.69</vt:lpstr>
      <vt:lpstr>เรียง มิย.69 </vt:lpstr>
      <vt:lpstr>พค.69</vt:lpstr>
      <vt:lpstr>รับชำระ พค.69</vt:lpstr>
      <vt:lpstr>แนบ พค.69</vt:lpstr>
      <vt:lpstr>เรียง พค.69</vt:lpstr>
      <vt:lpstr>เมย.69</vt:lpstr>
      <vt:lpstr>รับชำระ เมย.69</vt:lpstr>
      <vt:lpstr>แนบ เมย.69</vt:lpstr>
      <vt:lpstr>เรียง เมย.69</vt:lpstr>
      <vt:lpstr>Sheet1</vt:lpstr>
      <vt:lpstr>มีค.69</vt:lpstr>
      <vt:lpstr>รับชำระ มีค.69</vt:lpstr>
      <vt:lpstr>แนบ มีค.69</vt:lpstr>
      <vt:lpstr>เรียง มีค.69</vt:lpstr>
      <vt:lpstr>กพ.69</vt:lpstr>
      <vt:lpstr>รับชำระ กพ.69</vt:lpstr>
      <vt:lpstr>แนบ กพ.69</vt:lpstr>
      <vt:lpstr>เรียง กพ.69</vt:lpstr>
      <vt:lpstr>เรียง กพ.69 (2)</vt:lpstr>
      <vt:lpstr>มค.69</vt:lpstr>
      <vt:lpstr>รับชำระ มค.69</vt:lpstr>
      <vt:lpstr>แนบ มค.69</vt:lpstr>
      <vt:lpstr>เรียง มค.69</vt:lpstr>
      <vt:lpstr>ธค.68</vt:lpstr>
      <vt:lpstr>รับชำระ ธค.68</vt:lpstr>
      <vt:lpstr>แนบ ธค.68</vt:lpstr>
      <vt:lpstr>เรียง ธค.68</vt:lpstr>
      <vt:lpstr>พย.68</vt:lpstr>
      <vt:lpstr>รับชำระ พย.68</vt:lpstr>
      <vt:lpstr>แนบ พย.68</vt:lpstr>
      <vt:lpstr>เรียง พย.68</vt:lpstr>
      <vt:lpstr>ตค.68</vt:lpstr>
      <vt:lpstr>รับชำระ ตค.68</vt:lpstr>
      <vt:lpstr>แนบ ตค.68</vt:lpstr>
      <vt:lpstr>เรียง ตค.68</vt:lpstr>
      <vt:lpstr>กย.68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สนง.บริหารหนี้</dc:creator>
  <cp:lastModifiedBy>สนง.บริหารหนี้</cp:lastModifiedBy>
  <cp:lastPrinted>2026-08-14T07:00:44Z</cp:lastPrinted>
  <dcterms:created xsi:type="dcterms:W3CDTF">2025-10-06T08:36:26Z</dcterms:created>
  <dcterms:modified xsi:type="dcterms:W3CDTF">2026-08-14T07:01:24Z</dcterms:modified>
</cp:coreProperties>
</file>