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pps\lease-backend\"/>
    </mc:Choice>
  </mc:AlternateContent>
  <xr:revisionPtr revIDLastSave="0" documentId="8_{199B50B9-1B97-466D-8A01-026DE98E2CDA}" xr6:coauthVersionLast="47" xr6:coauthVersionMax="47" xr10:uidLastSave="{00000000-0000-0000-0000-000000000000}"/>
  <bookViews>
    <workbookView xWindow="-108" yWindow="-108" windowWidth="23256" windowHeight="12456" firstSheet="2" activeTab="6" xr2:uid="{912090B7-45EC-47BE-ACFC-D158613E2906}"/>
  </bookViews>
  <sheets>
    <sheet name="ปะหน้าAgingรายงานหนี้ค้าง บช." sheetId="105" r:id="rId1"/>
    <sheet name="รับล่วงหน้า บช." sheetId="179" r:id="rId2"/>
    <sheet name="agingปัจจุบันส่ง(ส่งบัญชี)" sheetId="262" r:id="rId3"/>
    <sheet name="5.เปรียบเทียบลูกหนี้การค้า  ใหม" sheetId="353" r:id="rId4"/>
    <sheet name="4.สำรองหนี้สูญ" sheetId="351" r:id="rId5"/>
    <sheet name="6.รับชำระประจำเดือน" sheetId="349" r:id="rId6"/>
    <sheet name="ส่งวาระ คตส.+ปะหน้า" sheetId="350" r:id="rId7"/>
  </sheets>
  <definedNames>
    <definedName name="_xlnm._FilterDatabase" localSheetId="2" hidden="1">'agingปัจจุบันส่ง(ส่งบัญชี)'!$B$1:$B$3151</definedName>
    <definedName name="_xlnm.Print_Area" localSheetId="3">'5.เปรียบเทียบลูกหนี้การค้า  ใหม'!$A$1:$E$23</definedName>
    <definedName name="_xlnm.Print_Area" localSheetId="2">'agingปัจจุบันส่ง(ส่งบัญชี)'!$A$1:$L$3071</definedName>
    <definedName name="_xlnm.Print_Area" localSheetId="0">'ปะหน้าAgingรายงานหนี้ค้าง บช.'!$A$1:$G$211</definedName>
    <definedName name="_xlnm.Print_Area" localSheetId="1">'รับล่วงหน้า บช.'!$A$1:$F$119</definedName>
    <definedName name="_xlnm.Print_Titles" localSheetId="2">'agingปัจจุบันส่ง(ส่งบัญชี)'!$1:$5</definedName>
    <definedName name="_xlnm.Print_Titles" localSheetId="0">'ปะหน้าAgingรายงานหนี้ค้าง บช.'!$1:$5</definedName>
    <definedName name="_xlnm.Print_Titles" localSheetId="1">'รับล่วงหน้า บช.'!$1:$5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50" l="1"/>
  <c r="L157" i="262"/>
  <c r="K157" i="262"/>
  <c r="L148" i="262"/>
  <c r="L149" i="262"/>
  <c r="L150" i="262"/>
  <c r="L151" i="262"/>
  <c r="L152" i="262"/>
  <c r="K148" i="262"/>
  <c r="K149" i="262"/>
  <c r="K150" i="262"/>
  <c r="K151" i="262"/>
  <c r="K152" i="262"/>
  <c r="L188" i="262"/>
  <c r="L189" i="262"/>
  <c r="L190" i="262"/>
  <c r="K188" i="262"/>
  <c r="K189" i="262"/>
  <c r="K190" i="262"/>
  <c r="J2851" i="262"/>
  <c r="L2058" i="262"/>
  <c r="L2059" i="262"/>
  <c r="L2060" i="262"/>
  <c r="L2061" i="262"/>
  <c r="L2062" i="262"/>
  <c r="L2063" i="262"/>
  <c r="L2064" i="262"/>
  <c r="L2065" i="262"/>
  <c r="L2066" i="262"/>
  <c r="L2067" i="262"/>
  <c r="L2068" i="262"/>
  <c r="L2069" i="262"/>
  <c r="L2070" i="262"/>
  <c r="L2071" i="262"/>
  <c r="L2072" i="262"/>
  <c r="L2073" i="262"/>
  <c r="L2074" i="262"/>
  <c r="L2075" i="262"/>
  <c r="L2076" i="262"/>
  <c r="L2077" i="262"/>
  <c r="L2078" i="262"/>
  <c r="L2079" i="262"/>
  <c r="L2080" i="262"/>
  <c r="L2081" i="262"/>
  <c r="L2082" i="262"/>
  <c r="L2083" i="262"/>
  <c r="L2084" i="262"/>
  <c r="L2085" i="262"/>
  <c r="L2086" i="262"/>
  <c r="L2087" i="262"/>
  <c r="L2088" i="262"/>
  <c r="L2089" i="262"/>
  <c r="L2090" i="262"/>
  <c r="L2091" i="262"/>
  <c r="L2092" i="262"/>
  <c r="L2093" i="262"/>
  <c r="L2094" i="262"/>
  <c r="L2095" i="262"/>
  <c r="L2096" i="262"/>
  <c r="L2097" i="262"/>
  <c r="L2098" i="262"/>
  <c r="L2099" i="262"/>
  <c r="L2100" i="262"/>
  <c r="L2101" i="262"/>
  <c r="L2102" i="262"/>
  <c r="L2103" i="262"/>
  <c r="L2104" i="262"/>
  <c r="L2105" i="262"/>
  <c r="L2106" i="262"/>
  <c r="L2107" i="262"/>
  <c r="L2108" i="262"/>
  <c r="L2109" i="262"/>
  <c r="L2110" i="262"/>
  <c r="L2111" i="262"/>
  <c r="L2112" i="262"/>
  <c r="L2113" i="262"/>
  <c r="L2114" i="262"/>
  <c r="L2115" i="262"/>
  <c r="L2116" i="262"/>
  <c r="L2117" i="262"/>
  <c r="L2118" i="262"/>
  <c r="L2119" i="262"/>
  <c r="L2120" i="262"/>
  <c r="L2121" i="262"/>
  <c r="L2122" i="262"/>
  <c r="L2123" i="262"/>
  <c r="L2124" i="262"/>
  <c r="L2125" i="262"/>
  <c r="L2126" i="262"/>
  <c r="L2127" i="262"/>
  <c r="L2128" i="262"/>
  <c r="L2129" i="262"/>
  <c r="L2130" i="262"/>
  <c r="L2131" i="262"/>
  <c r="L2132" i="262"/>
  <c r="L2133" i="262"/>
  <c r="L2134" i="262"/>
  <c r="L2135" i="262"/>
  <c r="L2136" i="262"/>
  <c r="L2137" i="262"/>
  <c r="L2138" i="262"/>
  <c r="L2139" i="262"/>
  <c r="L2140" i="262"/>
  <c r="L2141" i="262"/>
  <c r="L2142" i="262"/>
  <c r="L2143" i="262"/>
  <c r="L2144" i="262"/>
  <c r="L2145" i="262"/>
  <c r="L2146" i="262"/>
  <c r="L2147" i="262"/>
  <c r="L2148" i="262"/>
  <c r="L2149" i="262"/>
  <c r="L2150" i="262"/>
  <c r="L2151" i="262"/>
  <c r="L2152" i="262"/>
  <c r="L2153" i="262"/>
  <c r="L2154" i="262"/>
  <c r="L2155" i="262"/>
  <c r="L2156" i="262"/>
  <c r="L2157" i="262"/>
  <c r="L2158" i="262"/>
  <c r="L2159" i="262"/>
  <c r="L2160" i="262"/>
  <c r="L2161" i="262"/>
  <c r="L2162" i="262"/>
  <c r="L2163" i="262"/>
  <c r="L2164" i="262"/>
  <c r="L2165" i="262"/>
  <c r="L2166" i="262"/>
  <c r="L2167" i="262"/>
  <c r="L2168" i="262"/>
  <c r="L2169" i="262"/>
  <c r="L2170" i="262"/>
  <c r="L2171" i="262"/>
  <c r="L2172" i="262"/>
  <c r="L2173" i="262"/>
  <c r="L2174" i="262"/>
  <c r="L2175" i="262"/>
  <c r="L2176" i="262"/>
  <c r="L2177" i="262"/>
  <c r="L2178" i="262"/>
  <c r="L2179" i="262"/>
  <c r="L2180" i="262"/>
  <c r="L2181" i="262"/>
  <c r="L2182" i="262"/>
  <c r="L2183" i="262"/>
  <c r="L2184" i="262"/>
  <c r="L2185" i="262"/>
  <c r="L2186" i="262"/>
  <c r="L2187" i="262"/>
  <c r="L2188" i="262"/>
  <c r="L2189" i="262"/>
  <c r="L2190" i="262"/>
  <c r="L2191" i="262"/>
  <c r="L2192" i="262"/>
  <c r="L2193" i="262"/>
  <c r="L2194" i="262"/>
  <c r="L2195" i="262"/>
  <c r="L2196" i="262"/>
  <c r="L2197" i="262"/>
  <c r="L2198" i="262"/>
  <c r="L2199" i="262"/>
  <c r="L2200" i="262"/>
  <c r="L2201" i="262"/>
  <c r="L2202" i="262"/>
  <c r="L2203" i="262"/>
  <c r="L2204" i="262"/>
  <c r="L2205" i="262"/>
  <c r="L2206" i="262"/>
  <c r="L2207" i="262"/>
  <c r="L2208" i="262"/>
  <c r="L2209" i="262"/>
  <c r="L2210" i="262"/>
  <c r="L2211" i="262"/>
  <c r="L2212" i="262"/>
  <c r="L2213" i="262"/>
  <c r="L2214" i="262"/>
  <c r="L2215" i="262"/>
  <c r="L2216" i="262"/>
  <c r="L2217" i="262"/>
  <c r="L2218" i="262"/>
  <c r="L2219" i="262"/>
  <c r="L2220" i="262"/>
  <c r="L2221" i="262"/>
  <c r="L2222" i="262"/>
  <c r="L2223" i="262"/>
  <c r="L2224" i="262"/>
  <c r="L2225" i="262"/>
  <c r="L2226" i="262"/>
  <c r="L2227" i="262"/>
  <c r="L2228" i="262"/>
  <c r="L2229" i="262"/>
  <c r="L2230" i="262"/>
  <c r="L2231" i="262"/>
  <c r="L2232" i="262"/>
  <c r="L2233" i="262"/>
  <c r="L2234" i="262"/>
  <c r="L2235" i="262"/>
  <c r="L2236" i="262"/>
  <c r="L2237" i="262"/>
  <c r="L2238" i="262"/>
  <c r="L2239" i="262"/>
  <c r="L2240" i="262"/>
  <c r="L2241" i="262"/>
  <c r="L2242" i="262"/>
  <c r="L2243" i="262"/>
  <c r="L2244" i="262"/>
  <c r="L2245" i="262"/>
  <c r="L2246" i="262"/>
  <c r="L2247" i="262"/>
  <c r="L2248" i="262"/>
  <c r="L2249" i="262"/>
  <c r="L2250" i="262"/>
  <c r="L2251" i="262"/>
  <c r="L2252" i="262"/>
  <c r="L2253" i="262"/>
  <c r="L2254" i="262"/>
  <c r="L2255" i="262"/>
  <c r="L2256" i="262"/>
  <c r="L2257" i="262"/>
  <c r="L2258" i="262"/>
  <c r="L2259" i="262"/>
  <c r="L2260" i="262"/>
  <c r="L2261" i="262"/>
  <c r="L2262" i="262"/>
  <c r="L2263" i="262"/>
  <c r="L2264" i="262"/>
  <c r="L2265" i="262"/>
  <c r="L2266" i="262"/>
  <c r="L2267" i="262"/>
  <c r="L2268" i="262"/>
  <c r="L2269" i="262"/>
  <c r="L2270" i="262"/>
  <c r="L2271" i="262"/>
  <c r="L2272" i="262"/>
  <c r="L2273" i="262"/>
  <c r="L2274" i="262"/>
  <c r="L2275" i="262"/>
  <c r="L2276" i="262"/>
  <c r="L2277" i="262"/>
  <c r="L2278" i="262"/>
  <c r="L2279" i="262"/>
  <c r="L2280" i="262"/>
  <c r="L2281" i="262"/>
  <c r="L2282" i="262"/>
  <c r="L2283" i="262"/>
  <c r="L2284" i="262"/>
  <c r="L2285" i="262"/>
  <c r="L2286" i="262"/>
  <c r="L2287" i="262"/>
  <c r="L2288" i="262"/>
  <c r="L2289" i="262"/>
  <c r="L2290" i="262"/>
  <c r="L2291" i="262"/>
  <c r="L2292" i="262"/>
  <c r="L2293" i="262"/>
  <c r="L2294" i="262"/>
  <c r="L2295" i="262"/>
  <c r="L2296" i="262"/>
  <c r="L2297" i="262"/>
  <c r="L2298" i="262"/>
  <c r="L2299" i="262"/>
  <c r="L2300" i="262"/>
  <c r="L2301" i="262"/>
  <c r="L2302" i="262"/>
  <c r="L2303" i="262"/>
  <c r="L2304" i="262"/>
  <c r="L2305" i="262"/>
  <c r="L2306" i="262"/>
  <c r="L2307" i="262"/>
  <c r="L2308" i="262"/>
  <c r="L2309" i="262"/>
  <c r="L2310" i="262"/>
  <c r="L2311" i="262"/>
  <c r="L2312" i="262"/>
  <c r="L2313" i="262"/>
  <c r="L2314" i="262"/>
  <c r="L2315" i="262"/>
  <c r="L2316" i="262"/>
  <c r="L2317" i="262"/>
  <c r="L2318" i="262"/>
  <c r="L2319" i="262"/>
  <c r="L2320" i="262"/>
  <c r="L2321" i="262"/>
  <c r="L2322" i="262"/>
  <c r="L2323" i="262"/>
  <c r="L2324" i="262"/>
  <c r="L2325" i="262"/>
  <c r="L2326" i="262"/>
  <c r="L2327" i="262"/>
  <c r="L2328" i="262"/>
  <c r="L2329" i="262"/>
  <c r="L2330" i="262"/>
  <c r="L2331" i="262"/>
  <c r="L2332" i="262"/>
  <c r="L2333" i="262"/>
  <c r="L2334" i="262"/>
  <c r="L2335" i="262"/>
  <c r="L2336" i="262"/>
  <c r="L2337" i="262"/>
  <c r="L2338" i="262"/>
  <c r="L2339" i="262"/>
  <c r="L2340" i="262"/>
  <c r="L2341" i="262"/>
  <c r="L2342" i="262"/>
  <c r="L2343" i="262"/>
  <c r="L2344" i="262"/>
  <c r="L2345" i="262"/>
  <c r="L2346" i="262"/>
  <c r="L2347" i="262"/>
  <c r="L2348" i="262"/>
  <c r="L2349" i="262"/>
  <c r="L2350" i="262"/>
  <c r="L2351" i="262"/>
  <c r="L2352" i="262"/>
  <c r="L2353" i="262"/>
  <c r="L2354" i="262"/>
  <c r="L2355" i="262"/>
  <c r="L2356" i="262"/>
  <c r="L2357" i="262"/>
  <c r="L2358" i="262"/>
  <c r="L2359" i="262"/>
  <c r="L2360" i="262"/>
  <c r="L2361" i="262"/>
  <c r="L2362" i="262"/>
  <c r="L2363" i="262"/>
  <c r="L2364" i="262"/>
  <c r="L2365" i="262"/>
  <c r="L2366" i="262"/>
  <c r="L2367" i="262"/>
  <c r="L2368" i="262"/>
  <c r="L2369" i="262"/>
  <c r="L2370" i="262"/>
  <c r="L2371" i="262"/>
  <c r="L2372" i="262"/>
  <c r="L2373" i="262"/>
  <c r="L2374" i="262"/>
  <c r="L2375" i="262"/>
  <c r="L2376" i="262"/>
  <c r="L2377" i="262"/>
  <c r="L2378" i="262"/>
  <c r="L2379" i="262"/>
  <c r="L2380" i="262"/>
  <c r="L2381" i="262"/>
  <c r="L2382" i="262"/>
  <c r="L2383" i="262"/>
  <c r="L2384" i="262"/>
  <c r="L2385" i="262"/>
  <c r="L2386" i="262"/>
  <c r="L2387" i="262"/>
  <c r="L2388" i="262"/>
  <c r="L2389" i="262"/>
  <c r="L2390" i="262"/>
  <c r="L2391" i="262"/>
  <c r="L2392" i="262"/>
  <c r="L2393" i="262"/>
  <c r="L2394" i="262"/>
  <c r="L2395" i="262"/>
  <c r="L2396" i="262"/>
  <c r="L2397" i="262"/>
  <c r="L2398" i="262"/>
  <c r="L2399" i="262"/>
  <c r="L2400" i="262"/>
  <c r="L2401" i="262"/>
  <c r="L2402" i="262"/>
  <c r="L2403" i="262"/>
  <c r="L2404" i="262"/>
  <c r="L2405" i="262"/>
  <c r="L2406" i="262"/>
  <c r="L2407" i="262"/>
  <c r="L2408" i="262"/>
  <c r="L2409" i="262"/>
  <c r="L2410" i="262"/>
  <c r="L2411" i="262"/>
  <c r="L2412" i="262"/>
  <c r="L2413" i="262"/>
  <c r="L2414" i="262"/>
  <c r="L2415" i="262"/>
  <c r="L2416" i="262"/>
  <c r="L2417" i="262"/>
  <c r="L2418" i="262"/>
  <c r="L2419" i="262"/>
  <c r="L2420" i="262"/>
  <c r="L2421" i="262"/>
  <c r="L2422" i="262"/>
  <c r="L2423" i="262"/>
  <c r="L2424" i="262"/>
  <c r="L2425" i="262"/>
  <c r="L2426" i="262"/>
  <c r="L2427" i="262"/>
  <c r="L2428" i="262"/>
  <c r="L2429" i="262"/>
  <c r="L2430" i="262"/>
  <c r="L2431" i="262"/>
  <c r="L2432" i="262"/>
  <c r="L2433" i="262"/>
  <c r="L2434" i="262"/>
  <c r="L2435" i="262"/>
  <c r="L2436" i="262"/>
  <c r="L2437" i="262"/>
  <c r="L2438" i="262"/>
  <c r="L2439" i="262"/>
  <c r="L2440" i="262"/>
  <c r="L2441" i="262"/>
  <c r="L2442" i="262"/>
  <c r="L2443" i="262"/>
  <c r="L2444" i="262"/>
  <c r="L2445" i="262"/>
  <c r="L2446" i="262"/>
  <c r="L2447" i="262"/>
  <c r="L2448" i="262"/>
  <c r="L2449" i="262"/>
  <c r="L2450" i="262"/>
  <c r="L2451" i="262"/>
  <c r="L2452" i="262"/>
  <c r="L2453" i="262"/>
  <c r="L2454" i="262"/>
  <c r="L2455" i="262"/>
  <c r="L2456" i="262"/>
  <c r="L2457" i="262"/>
  <c r="L2458" i="262"/>
  <c r="L2459" i="262"/>
  <c r="L2460" i="262"/>
  <c r="L2461" i="262"/>
  <c r="L2462" i="262"/>
  <c r="L2463" i="262"/>
  <c r="L2464" i="262"/>
  <c r="L2465" i="262"/>
  <c r="L2466" i="262"/>
  <c r="L2467" i="262"/>
  <c r="L2468" i="262"/>
  <c r="L2469" i="262"/>
  <c r="L2470" i="262"/>
  <c r="L2471" i="262"/>
  <c r="L2472" i="262"/>
  <c r="L2473" i="262"/>
  <c r="L2474" i="262"/>
  <c r="L2475" i="262"/>
  <c r="L2476" i="262"/>
  <c r="L2477" i="262"/>
  <c r="L2478" i="262"/>
  <c r="L2479" i="262"/>
  <c r="L2480" i="262"/>
  <c r="L2481" i="262"/>
  <c r="L2482" i="262"/>
  <c r="L2483" i="262"/>
  <c r="L2484" i="262"/>
  <c r="L2485" i="262"/>
  <c r="L2486" i="262"/>
  <c r="L2487" i="262"/>
  <c r="L2488" i="262"/>
  <c r="L2489" i="262"/>
  <c r="L2490" i="262"/>
  <c r="L2491" i="262"/>
  <c r="L2492" i="262"/>
  <c r="L2493" i="262"/>
  <c r="L2494" i="262"/>
  <c r="L2495" i="262"/>
  <c r="L2496" i="262"/>
  <c r="L2497" i="262"/>
  <c r="L2498" i="262"/>
  <c r="L2499" i="262"/>
  <c r="L2500" i="262"/>
  <c r="L2501" i="262"/>
  <c r="L2502" i="262"/>
  <c r="L2503" i="262"/>
  <c r="L2504" i="262"/>
  <c r="L2505" i="262"/>
  <c r="L2506" i="262"/>
  <c r="L2507" i="262"/>
  <c r="L2508" i="262"/>
  <c r="L2509" i="262"/>
  <c r="L2510" i="262"/>
  <c r="L2511" i="262"/>
  <c r="L2512" i="262"/>
  <c r="L2513" i="262"/>
  <c r="L2514" i="262"/>
  <c r="L2515" i="262"/>
  <c r="L2516" i="262"/>
  <c r="L2517" i="262"/>
  <c r="L2518" i="262"/>
  <c r="L2519" i="262"/>
  <c r="L2520" i="262"/>
  <c r="L2521" i="262"/>
  <c r="L2522" i="262"/>
  <c r="L2523" i="262"/>
  <c r="L2524" i="262"/>
  <c r="L2525" i="262"/>
  <c r="L2526" i="262"/>
  <c r="L2527" i="262"/>
  <c r="L2528" i="262"/>
  <c r="L2529" i="262"/>
  <c r="L2530" i="262"/>
  <c r="L2531" i="262"/>
  <c r="L2532" i="262"/>
  <c r="L2533" i="262"/>
  <c r="L2534" i="262"/>
  <c r="L2535" i="262"/>
  <c r="L2536" i="262"/>
  <c r="L2537" i="262"/>
  <c r="L2538" i="262"/>
  <c r="L2539" i="262"/>
  <c r="L2540" i="262"/>
  <c r="L2541" i="262"/>
  <c r="L2542" i="262"/>
  <c r="L2543" i="262"/>
  <c r="L2544" i="262"/>
  <c r="L2545" i="262"/>
  <c r="L2546" i="262"/>
  <c r="L2547" i="262"/>
  <c r="L2548" i="262"/>
  <c r="L2549" i="262"/>
  <c r="L2550" i="262"/>
  <c r="L2551" i="262"/>
  <c r="L2552" i="262"/>
  <c r="L2553" i="262"/>
  <c r="L2554" i="262"/>
  <c r="L2555" i="262"/>
  <c r="L2556" i="262"/>
  <c r="L2557" i="262"/>
  <c r="L2558" i="262"/>
  <c r="L2559" i="262"/>
  <c r="L2560" i="262"/>
  <c r="L2561" i="262"/>
  <c r="L2562" i="262"/>
  <c r="L2563" i="262"/>
  <c r="L2564" i="262"/>
  <c r="L2565" i="262"/>
  <c r="L2566" i="262"/>
  <c r="L2567" i="262"/>
  <c r="L2568" i="262"/>
  <c r="L2569" i="262"/>
  <c r="L2570" i="262"/>
  <c r="L2571" i="262"/>
  <c r="L2572" i="262"/>
  <c r="L2573" i="262"/>
  <c r="L2574" i="262"/>
  <c r="L2575" i="262"/>
  <c r="L2576" i="262"/>
  <c r="L2577" i="262"/>
  <c r="L2578" i="262"/>
  <c r="L2579" i="262"/>
  <c r="L2580" i="262"/>
  <c r="L2581" i="262"/>
  <c r="L2582" i="262"/>
  <c r="L2583" i="262"/>
  <c r="L2584" i="262"/>
  <c r="L2585" i="262"/>
  <c r="L2586" i="262"/>
  <c r="L2587" i="262"/>
  <c r="L2588" i="262"/>
  <c r="L2589" i="262"/>
  <c r="L2590" i="262"/>
  <c r="L2591" i="262"/>
  <c r="L2592" i="262"/>
  <c r="L2593" i="262"/>
  <c r="L2594" i="262"/>
  <c r="L2595" i="262"/>
  <c r="L2596" i="262"/>
  <c r="L2597" i="262"/>
  <c r="L2598" i="262"/>
  <c r="L2599" i="262"/>
  <c r="L2600" i="262"/>
  <c r="L2601" i="262"/>
  <c r="L2602" i="262"/>
  <c r="L2603" i="262"/>
  <c r="L2604" i="262"/>
  <c r="L2605" i="262"/>
  <c r="L2606" i="262"/>
  <c r="L2607" i="262"/>
  <c r="L2608" i="262"/>
  <c r="L2609" i="262"/>
  <c r="L2610" i="262"/>
  <c r="L2611" i="262"/>
  <c r="L2612" i="262"/>
  <c r="L2613" i="262"/>
  <c r="L2614" i="262"/>
  <c r="L2615" i="262"/>
  <c r="L2616" i="262"/>
  <c r="L2617" i="262"/>
  <c r="L2618" i="262"/>
  <c r="L2619" i="262"/>
  <c r="L2620" i="262"/>
  <c r="L2621" i="262"/>
  <c r="L2622" i="262"/>
  <c r="L2623" i="262"/>
  <c r="L2624" i="262"/>
  <c r="L2625" i="262"/>
  <c r="L2626" i="262"/>
  <c r="L2627" i="262"/>
  <c r="L2628" i="262"/>
  <c r="L2629" i="262"/>
  <c r="L2630" i="262"/>
  <c r="L2631" i="262"/>
  <c r="L2632" i="262"/>
  <c r="L2633" i="262"/>
  <c r="L2634" i="262"/>
  <c r="L2635" i="262"/>
  <c r="L2636" i="262"/>
  <c r="L2637" i="262"/>
  <c r="L2638" i="262"/>
  <c r="L2639" i="262"/>
  <c r="L2640" i="262"/>
  <c r="L2641" i="262"/>
  <c r="L2642" i="262"/>
  <c r="L2643" i="262"/>
  <c r="L2644" i="262"/>
  <c r="L2645" i="262"/>
  <c r="L2646" i="262"/>
  <c r="L2647" i="262"/>
  <c r="L2648" i="262"/>
  <c r="L2649" i="262"/>
  <c r="L2650" i="262"/>
  <c r="L2651" i="262"/>
  <c r="L2652" i="262"/>
  <c r="L2653" i="262"/>
  <c r="L2654" i="262"/>
  <c r="L2655" i="262"/>
  <c r="L2656" i="262"/>
  <c r="L2657" i="262"/>
  <c r="L2658" i="262"/>
  <c r="L2659" i="262"/>
  <c r="L2660" i="262"/>
  <c r="L2661" i="262"/>
  <c r="L2662" i="262"/>
  <c r="L2663" i="262"/>
  <c r="L2664" i="262"/>
  <c r="L2665" i="262"/>
  <c r="L2666" i="262"/>
  <c r="L2667" i="262"/>
  <c r="L2668" i="262"/>
  <c r="L2669" i="262"/>
  <c r="L2670" i="262"/>
  <c r="L2671" i="262"/>
  <c r="L2672" i="262"/>
  <c r="L2673" i="262"/>
  <c r="L2674" i="262"/>
  <c r="L2675" i="262"/>
  <c r="L2676" i="262"/>
  <c r="L2677" i="262"/>
  <c r="L2678" i="262"/>
  <c r="L2679" i="262"/>
  <c r="L2680" i="262"/>
  <c r="L2681" i="262"/>
  <c r="L2682" i="262"/>
  <c r="L2683" i="262"/>
  <c r="L2684" i="262"/>
  <c r="L2685" i="262"/>
  <c r="L2686" i="262"/>
  <c r="L2687" i="262"/>
  <c r="L2688" i="262"/>
  <c r="L2689" i="262"/>
  <c r="L2690" i="262"/>
  <c r="L2691" i="262"/>
  <c r="L2692" i="262"/>
  <c r="L2693" i="262"/>
  <c r="L2694" i="262"/>
  <c r="L2695" i="262"/>
  <c r="L2696" i="262"/>
  <c r="L2697" i="262"/>
  <c r="L2698" i="262"/>
  <c r="L2699" i="262"/>
  <c r="L2700" i="262"/>
  <c r="L2701" i="262"/>
  <c r="L2702" i="262"/>
  <c r="L2703" i="262"/>
  <c r="L2704" i="262"/>
  <c r="L2705" i="262"/>
  <c r="L2706" i="262"/>
  <c r="L2707" i="262"/>
  <c r="L2708" i="262"/>
  <c r="L2709" i="262"/>
  <c r="L2710" i="262"/>
  <c r="L2711" i="262"/>
  <c r="L2712" i="262"/>
  <c r="L2713" i="262"/>
  <c r="L2714" i="262"/>
  <c r="L2715" i="262"/>
  <c r="L2716" i="262"/>
  <c r="L2717" i="262"/>
  <c r="L2718" i="262"/>
  <c r="L2719" i="262"/>
  <c r="L2720" i="262"/>
  <c r="L2721" i="262"/>
  <c r="L2722" i="262"/>
  <c r="L2723" i="262"/>
  <c r="L2724" i="262"/>
  <c r="L2725" i="262"/>
  <c r="L2726" i="262"/>
  <c r="L2727" i="262"/>
  <c r="L2728" i="262"/>
  <c r="L2729" i="262"/>
  <c r="L2730" i="262"/>
  <c r="L2731" i="262"/>
  <c r="L2732" i="262"/>
  <c r="L2733" i="262"/>
  <c r="L2734" i="262"/>
  <c r="L2735" i="262"/>
  <c r="L2736" i="262"/>
  <c r="L2737" i="262"/>
  <c r="L2738" i="262"/>
  <c r="L2739" i="262"/>
  <c r="L2740" i="262"/>
  <c r="L2741" i="262"/>
  <c r="L2742" i="262"/>
  <c r="L2743" i="262"/>
  <c r="L2744" i="262"/>
  <c r="L2745" i="262"/>
  <c r="L2746" i="262"/>
  <c r="L2747" i="262"/>
  <c r="L2748" i="262"/>
  <c r="L2749" i="262"/>
  <c r="L2750" i="262"/>
  <c r="L2751" i="262"/>
  <c r="L2752" i="262"/>
  <c r="L2753" i="262"/>
  <c r="L2754" i="262"/>
  <c r="L2755" i="262"/>
  <c r="L2756" i="262"/>
  <c r="L2757" i="262"/>
  <c r="L2758" i="262"/>
  <c r="L2759" i="262"/>
  <c r="L2760" i="262"/>
  <c r="L2761" i="262"/>
  <c r="L2762" i="262"/>
  <c r="L2763" i="262"/>
  <c r="L2764" i="262"/>
  <c r="L2765" i="262"/>
  <c r="L2766" i="262"/>
  <c r="L2767" i="262"/>
  <c r="L2768" i="262"/>
  <c r="L2769" i="262"/>
  <c r="L2770" i="262"/>
  <c r="L2771" i="262"/>
  <c r="L2772" i="262"/>
  <c r="L2773" i="262"/>
  <c r="L2774" i="262"/>
  <c r="L2775" i="262"/>
  <c r="L2776" i="262"/>
  <c r="L2777" i="262"/>
  <c r="L2778" i="262"/>
  <c r="L2779" i="262"/>
  <c r="L2780" i="262"/>
  <c r="L2781" i="262"/>
  <c r="L2782" i="262"/>
  <c r="L2783" i="262"/>
  <c r="L2784" i="262"/>
  <c r="L2785" i="262"/>
  <c r="L2786" i="262"/>
  <c r="L2787" i="262"/>
  <c r="L2788" i="262"/>
  <c r="L2789" i="262"/>
  <c r="L2790" i="262"/>
  <c r="L2791" i="262"/>
  <c r="L2792" i="262"/>
  <c r="L2793" i="262"/>
  <c r="L2794" i="262"/>
  <c r="L2795" i="262"/>
  <c r="L2796" i="262"/>
  <c r="L2797" i="262"/>
  <c r="L2798" i="262"/>
  <c r="L2799" i="262"/>
  <c r="L2800" i="262"/>
  <c r="L2801" i="262"/>
  <c r="L2802" i="262"/>
  <c r="L2803" i="262"/>
  <c r="L2804" i="262"/>
  <c r="L2805" i="262"/>
  <c r="L2806" i="262"/>
  <c r="L2807" i="262"/>
  <c r="L2808" i="262"/>
  <c r="L2809" i="262"/>
  <c r="L2810" i="262"/>
  <c r="L2811" i="262"/>
  <c r="L2812" i="262"/>
  <c r="L2813" i="262"/>
  <c r="L2814" i="262"/>
  <c r="L2815" i="262"/>
  <c r="L2816" i="262"/>
  <c r="L2817" i="262"/>
  <c r="L2818" i="262"/>
  <c r="L2819" i="262"/>
  <c r="L2820" i="262"/>
  <c r="L2821" i="262"/>
  <c r="L2822" i="262"/>
  <c r="L2823" i="262"/>
  <c r="L2824" i="262"/>
  <c r="L2825" i="262"/>
  <c r="L2826" i="262"/>
  <c r="L2827" i="262"/>
  <c r="L2828" i="262"/>
  <c r="L2829" i="262"/>
  <c r="L2830" i="262"/>
  <c r="L2831" i="262"/>
  <c r="L2832" i="262"/>
  <c r="L2833" i="262"/>
  <c r="L2834" i="262"/>
  <c r="L2835" i="262"/>
  <c r="L2836" i="262"/>
  <c r="L2837" i="262"/>
  <c r="L2838" i="262"/>
  <c r="L2839" i="262"/>
  <c r="L2840" i="262"/>
  <c r="L2841" i="262"/>
  <c r="L2842" i="262"/>
  <c r="L2843" i="262"/>
  <c r="L2844" i="262"/>
  <c r="L2845" i="262"/>
  <c r="L2846" i="262"/>
  <c r="L2847" i="262"/>
  <c r="L2848" i="262"/>
  <c r="L2849" i="262"/>
  <c r="L1949" i="262"/>
  <c r="L1950" i="262"/>
  <c r="L1951" i="262"/>
  <c r="L1952" i="262"/>
  <c r="L1953" i="262"/>
  <c r="L1954" i="262"/>
  <c r="L1955" i="262"/>
  <c r="L1956" i="262"/>
  <c r="L1957" i="262"/>
  <c r="L1958" i="262"/>
  <c r="L1959" i="262"/>
  <c r="L1960" i="262"/>
  <c r="L1961" i="262"/>
  <c r="L1962" i="262"/>
  <c r="L1963" i="262"/>
  <c r="L1964" i="262"/>
  <c r="L1965" i="262"/>
  <c r="L1966" i="262"/>
  <c r="L1967" i="262"/>
  <c r="L1968" i="262"/>
  <c r="L1969" i="262"/>
  <c r="L1970" i="262"/>
  <c r="L1971" i="262"/>
  <c r="L1972" i="262"/>
  <c r="L1973" i="262"/>
  <c r="L1974" i="262"/>
  <c r="L1975" i="262"/>
  <c r="L1976" i="262"/>
  <c r="L1977" i="262"/>
  <c r="L1978" i="262"/>
  <c r="L1979" i="262"/>
  <c r="L1980" i="262"/>
  <c r="L1981" i="262"/>
  <c r="L1982" i="262"/>
  <c r="L1983" i="262"/>
  <c r="L1984" i="262"/>
  <c r="L1985" i="262"/>
  <c r="L1986" i="262"/>
  <c r="L1987" i="262"/>
  <c r="L1988" i="262"/>
  <c r="L1989" i="262"/>
  <c r="L1990" i="262"/>
  <c r="L1991" i="262"/>
  <c r="L1992" i="262"/>
  <c r="L1993" i="262"/>
  <c r="L1994" i="262"/>
  <c r="L1995" i="262"/>
  <c r="L1996" i="262"/>
  <c r="L1997" i="262"/>
  <c r="L1998" i="262"/>
  <c r="L1999" i="262"/>
  <c r="L2000" i="262"/>
  <c r="L2001" i="262"/>
  <c r="L2002" i="262"/>
  <c r="L2003" i="262"/>
  <c r="L2004" i="262"/>
  <c r="L2005" i="262"/>
  <c r="L2006" i="262"/>
  <c r="L2007" i="262"/>
  <c r="L2008" i="262"/>
  <c r="L2009" i="262"/>
  <c r="L2010" i="262"/>
  <c r="L2011" i="262"/>
  <c r="L2012" i="262"/>
  <c r="L2013" i="262"/>
  <c r="L2014" i="262"/>
  <c r="L2015" i="262"/>
  <c r="L2016" i="262"/>
  <c r="L2017" i="262"/>
  <c r="L2018" i="262"/>
  <c r="L2019" i="262"/>
  <c r="L2020" i="262"/>
  <c r="L2021" i="262"/>
  <c r="L2022" i="262"/>
  <c r="L2023" i="262"/>
  <c r="L2024" i="262"/>
  <c r="L2025" i="262"/>
  <c r="L2026" i="262"/>
  <c r="L2027" i="262"/>
  <c r="L2028" i="262"/>
  <c r="L2029" i="262"/>
  <c r="L2030" i="262"/>
  <c r="L2031" i="262"/>
  <c r="L2032" i="262"/>
  <c r="L2033" i="262"/>
  <c r="L2034" i="262"/>
  <c r="L2035" i="262"/>
  <c r="L2036" i="262"/>
  <c r="L2037" i="262"/>
  <c r="L2038" i="262"/>
  <c r="L2039" i="262"/>
  <c r="L2040" i="262"/>
  <c r="L2041" i="262"/>
  <c r="L2042" i="262"/>
  <c r="L2043" i="262"/>
  <c r="L2044" i="262"/>
  <c r="L2045" i="262"/>
  <c r="L2046" i="262"/>
  <c r="L2047" i="262"/>
  <c r="L2048" i="262"/>
  <c r="L2049" i="262"/>
  <c r="L2050" i="262"/>
  <c r="L2051" i="262"/>
  <c r="L2052" i="262"/>
  <c r="L2053" i="262"/>
  <c r="L2054" i="262"/>
  <c r="L2055" i="262"/>
  <c r="K1948" i="262"/>
  <c r="K1949" i="262"/>
  <c r="K1950" i="262"/>
  <c r="K1951" i="262"/>
  <c r="K1952" i="262"/>
  <c r="K1953" i="262"/>
  <c r="K1954" i="262"/>
  <c r="K1955" i="262"/>
  <c r="K1956" i="262"/>
  <c r="K1957" i="262"/>
  <c r="K1958" i="262"/>
  <c r="K1959" i="262"/>
  <c r="K1960" i="262"/>
  <c r="K1961" i="262"/>
  <c r="K1962" i="262"/>
  <c r="K1963" i="262"/>
  <c r="K1964" i="262"/>
  <c r="K1965" i="262"/>
  <c r="K1966" i="262"/>
  <c r="K1967" i="262"/>
  <c r="K1968" i="262"/>
  <c r="K1969" i="262"/>
  <c r="K1970" i="262"/>
  <c r="K1971" i="262"/>
  <c r="K1972" i="262"/>
  <c r="K1973" i="262"/>
  <c r="K1974" i="262"/>
  <c r="K1975" i="262"/>
  <c r="K1976" i="262"/>
  <c r="K1977" i="262"/>
  <c r="K1978" i="262"/>
  <c r="K1979" i="262"/>
  <c r="K1980" i="262"/>
  <c r="K1981" i="262"/>
  <c r="K1982" i="262"/>
  <c r="K1983" i="262"/>
  <c r="K1984" i="262"/>
  <c r="K1985" i="262"/>
  <c r="K1986" i="262"/>
  <c r="K1987" i="262"/>
  <c r="K1988" i="262"/>
  <c r="K1989" i="262"/>
  <c r="K1990" i="262"/>
  <c r="K1991" i="262"/>
  <c r="K1992" i="262"/>
  <c r="K1993" i="262"/>
  <c r="K1994" i="262"/>
  <c r="K1995" i="262"/>
  <c r="K1996" i="262"/>
  <c r="K1997" i="262"/>
  <c r="K1998" i="262"/>
  <c r="K1999" i="262"/>
  <c r="K2000" i="262"/>
  <c r="K2001" i="262"/>
  <c r="K2002" i="262"/>
  <c r="K2003" i="262"/>
  <c r="K2004" i="262"/>
  <c r="K2005" i="262"/>
  <c r="K2006" i="262"/>
  <c r="K2007" i="262"/>
  <c r="K2008" i="262"/>
  <c r="K2009" i="262"/>
  <c r="K2010" i="262"/>
  <c r="K2011" i="262"/>
  <c r="K2012" i="262"/>
  <c r="K2013" i="262"/>
  <c r="K2014" i="262"/>
  <c r="K2015" i="262"/>
  <c r="K2016" i="262"/>
  <c r="K2017" i="262"/>
  <c r="K2018" i="262"/>
  <c r="K2019" i="262"/>
  <c r="K2020" i="262"/>
  <c r="K2021" i="262"/>
  <c r="K2022" i="262"/>
  <c r="K2023" i="262"/>
  <c r="K2024" i="262"/>
  <c r="K2025" i="262"/>
  <c r="K2026" i="262"/>
  <c r="K2027" i="262"/>
  <c r="K2028" i="262"/>
  <c r="K2029" i="262"/>
  <c r="K2030" i="262"/>
  <c r="K2031" i="262"/>
  <c r="K2032" i="262"/>
  <c r="K2033" i="262"/>
  <c r="K2034" i="262"/>
  <c r="K2035" i="262"/>
  <c r="K2036" i="262"/>
  <c r="K2037" i="262"/>
  <c r="K2038" i="262"/>
  <c r="K2039" i="262"/>
  <c r="K2040" i="262"/>
  <c r="K2041" i="262"/>
  <c r="K2042" i="262"/>
  <c r="K2043" i="262"/>
  <c r="K2044" i="262"/>
  <c r="K2045" i="262"/>
  <c r="K2046" i="262"/>
  <c r="K2047" i="262"/>
  <c r="K2048" i="262"/>
  <c r="K2049" i="262"/>
  <c r="K2050" i="262"/>
  <c r="K2051" i="262"/>
  <c r="K2052" i="262"/>
  <c r="K2053" i="262"/>
  <c r="K2054" i="262"/>
  <c r="K2055" i="262"/>
  <c r="K2056" i="262"/>
  <c r="K2057" i="262"/>
  <c r="K2058" i="262"/>
  <c r="K2059" i="262"/>
  <c r="K2060" i="262"/>
  <c r="K2061" i="262"/>
  <c r="K2062" i="262"/>
  <c r="K2063" i="262"/>
  <c r="K2064" i="262"/>
  <c r="K2065" i="262"/>
  <c r="K2066" i="262"/>
  <c r="K2067" i="262"/>
  <c r="K2068" i="262"/>
  <c r="K2069" i="262"/>
  <c r="K2070" i="262"/>
  <c r="K2071" i="262"/>
  <c r="K2072" i="262"/>
  <c r="K2073" i="262"/>
  <c r="K2074" i="262"/>
  <c r="K2075" i="262"/>
  <c r="K2076" i="262"/>
  <c r="K2077" i="262"/>
  <c r="K2078" i="262"/>
  <c r="K2079" i="262"/>
  <c r="K2080" i="262"/>
  <c r="K2081" i="262"/>
  <c r="K2082" i="262"/>
  <c r="K2083" i="262"/>
  <c r="K2084" i="262"/>
  <c r="K2085" i="262"/>
  <c r="K2086" i="262"/>
  <c r="K2087" i="262"/>
  <c r="K2088" i="262"/>
  <c r="K2089" i="262"/>
  <c r="K2090" i="262"/>
  <c r="K2091" i="262"/>
  <c r="K2092" i="262"/>
  <c r="K2093" i="262"/>
  <c r="K2094" i="262"/>
  <c r="K2095" i="262"/>
  <c r="K2096" i="262"/>
  <c r="K2097" i="262"/>
  <c r="K2098" i="262"/>
  <c r="K2099" i="262"/>
  <c r="K2100" i="262"/>
  <c r="K2101" i="262"/>
  <c r="K2102" i="262"/>
  <c r="K2103" i="262"/>
  <c r="K2104" i="262"/>
  <c r="K2105" i="262"/>
  <c r="K2106" i="262"/>
  <c r="K2107" i="262"/>
  <c r="K2108" i="262"/>
  <c r="K2109" i="262"/>
  <c r="K2110" i="262"/>
  <c r="K2111" i="262"/>
  <c r="K2112" i="262"/>
  <c r="K2113" i="262"/>
  <c r="K2114" i="262"/>
  <c r="K2115" i="262"/>
  <c r="K2116" i="262"/>
  <c r="K2117" i="262"/>
  <c r="K2118" i="262"/>
  <c r="K2119" i="262"/>
  <c r="K2120" i="262"/>
  <c r="K2121" i="262"/>
  <c r="K2122" i="262"/>
  <c r="K2123" i="262"/>
  <c r="K2124" i="262"/>
  <c r="K2125" i="262"/>
  <c r="K2126" i="262"/>
  <c r="K2127" i="262"/>
  <c r="K2128" i="262"/>
  <c r="K2129" i="262"/>
  <c r="K2130" i="262"/>
  <c r="K2131" i="262"/>
  <c r="K2132" i="262"/>
  <c r="K2133" i="262"/>
  <c r="K2134" i="262"/>
  <c r="K2135" i="262"/>
  <c r="K2136" i="262"/>
  <c r="K2137" i="262"/>
  <c r="K2138" i="262"/>
  <c r="K2139" i="262"/>
  <c r="K2140" i="262"/>
  <c r="K2141" i="262"/>
  <c r="K2142" i="262"/>
  <c r="K2143" i="262"/>
  <c r="K2144" i="262"/>
  <c r="K2145" i="262"/>
  <c r="K2146" i="262"/>
  <c r="K2147" i="262"/>
  <c r="K2148" i="262"/>
  <c r="K2149" i="262"/>
  <c r="K2150" i="262"/>
  <c r="K2151" i="262"/>
  <c r="K2152" i="262"/>
  <c r="K2153" i="262"/>
  <c r="K2154" i="262"/>
  <c r="K2155" i="262"/>
  <c r="K2156" i="262"/>
  <c r="K2157" i="262"/>
  <c r="K2158" i="262"/>
  <c r="K2159" i="262"/>
  <c r="K2160" i="262"/>
  <c r="K2161" i="262"/>
  <c r="K2162" i="262"/>
  <c r="K2163" i="262"/>
  <c r="K2164" i="262"/>
  <c r="K2165" i="262"/>
  <c r="K2166" i="262"/>
  <c r="K2167" i="262"/>
  <c r="K2168" i="262"/>
  <c r="K2169" i="262"/>
  <c r="K2170" i="262"/>
  <c r="K2171" i="262"/>
  <c r="K2172" i="262"/>
  <c r="K2173" i="262"/>
  <c r="K2174" i="262"/>
  <c r="K2175" i="262"/>
  <c r="K2176" i="262"/>
  <c r="K2177" i="262"/>
  <c r="K2178" i="262"/>
  <c r="K2179" i="262"/>
  <c r="K2180" i="262"/>
  <c r="K2181" i="262"/>
  <c r="K2182" i="262"/>
  <c r="K2183" i="262"/>
  <c r="K2184" i="262"/>
  <c r="K2185" i="262"/>
  <c r="K2186" i="262"/>
  <c r="K2187" i="262"/>
  <c r="K2188" i="262"/>
  <c r="K2189" i="262"/>
  <c r="K2190" i="262"/>
  <c r="K2191" i="262"/>
  <c r="K2192" i="262"/>
  <c r="K2193" i="262"/>
  <c r="K2194" i="262"/>
  <c r="K2195" i="262"/>
  <c r="K2196" i="262"/>
  <c r="K2197" i="262"/>
  <c r="K2198" i="262"/>
  <c r="K2199" i="262"/>
  <c r="K2200" i="262"/>
  <c r="K2201" i="262"/>
  <c r="K2202" i="262"/>
  <c r="K2203" i="262"/>
  <c r="K2204" i="262"/>
  <c r="K2205" i="262"/>
  <c r="K2206" i="262"/>
  <c r="K2207" i="262"/>
  <c r="K2208" i="262"/>
  <c r="K2209" i="262"/>
  <c r="K2210" i="262"/>
  <c r="K2211" i="262"/>
  <c r="K2212" i="262"/>
  <c r="K2213" i="262"/>
  <c r="K2214" i="262"/>
  <c r="K2215" i="262"/>
  <c r="K2216" i="262"/>
  <c r="K2217" i="262"/>
  <c r="K2218" i="262"/>
  <c r="K2219" i="262"/>
  <c r="K2220" i="262"/>
  <c r="K2221" i="262"/>
  <c r="K2222" i="262"/>
  <c r="K2223" i="262"/>
  <c r="K2224" i="262"/>
  <c r="K2225" i="262"/>
  <c r="K2226" i="262"/>
  <c r="K2227" i="262"/>
  <c r="K2228" i="262"/>
  <c r="K2229" i="262"/>
  <c r="K2230" i="262"/>
  <c r="K2231" i="262"/>
  <c r="K2232" i="262"/>
  <c r="K2233" i="262"/>
  <c r="K2234" i="262"/>
  <c r="K2235" i="262"/>
  <c r="K2236" i="262"/>
  <c r="K2237" i="262"/>
  <c r="K2238" i="262"/>
  <c r="K2239" i="262"/>
  <c r="K2240" i="262"/>
  <c r="K2241" i="262"/>
  <c r="K2242" i="262"/>
  <c r="K2243" i="262"/>
  <c r="K2244" i="262"/>
  <c r="K2245" i="262"/>
  <c r="K2246" i="262"/>
  <c r="K2247" i="262"/>
  <c r="K2248" i="262"/>
  <c r="K2249" i="262"/>
  <c r="K2250" i="262"/>
  <c r="K2251" i="262"/>
  <c r="K2252" i="262"/>
  <c r="K2253" i="262"/>
  <c r="K2254" i="262"/>
  <c r="K2255" i="262"/>
  <c r="K2256" i="262"/>
  <c r="K2257" i="262"/>
  <c r="K2258" i="262"/>
  <c r="K2259" i="262"/>
  <c r="K2260" i="262"/>
  <c r="K2261" i="262"/>
  <c r="K2262" i="262"/>
  <c r="K2263" i="262"/>
  <c r="K2264" i="262"/>
  <c r="K2265" i="262"/>
  <c r="K2266" i="262"/>
  <c r="K2267" i="262"/>
  <c r="K2268" i="262"/>
  <c r="K2269" i="262"/>
  <c r="K2270" i="262"/>
  <c r="K2271" i="262"/>
  <c r="K2272" i="262"/>
  <c r="K2273" i="262"/>
  <c r="K2274" i="262"/>
  <c r="K2275" i="262"/>
  <c r="K2276" i="262"/>
  <c r="K2277" i="262"/>
  <c r="K2278" i="262"/>
  <c r="K2279" i="262"/>
  <c r="K2280" i="262"/>
  <c r="K2281" i="262"/>
  <c r="K2282" i="262"/>
  <c r="K2283" i="262"/>
  <c r="K2284" i="262"/>
  <c r="K2285" i="262"/>
  <c r="K2286" i="262"/>
  <c r="K2287" i="262"/>
  <c r="K2288" i="262"/>
  <c r="K2289" i="262"/>
  <c r="K2290" i="262"/>
  <c r="K2291" i="262"/>
  <c r="K2292" i="262"/>
  <c r="K2293" i="262"/>
  <c r="K2294" i="262"/>
  <c r="K2295" i="262"/>
  <c r="K2296" i="262"/>
  <c r="K2297" i="262"/>
  <c r="K2298" i="262"/>
  <c r="K2299" i="262"/>
  <c r="K2300" i="262"/>
  <c r="K2301" i="262"/>
  <c r="K2302" i="262"/>
  <c r="K2303" i="262"/>
  <c r="K2304" i="262"/>
  <c r="K2305" i="262"/>
  <c r="K2306" i="262"/>
  <c r="K2307" i="262"/>
  <c r="K2308" i="262"/>
  <c r="K2309" i="262"/>
  <c r="K2310" i="262"/>
  <c r="K2311" i="262"/>
  <c r="K2312" i="262"/>
  <c r="K2313" i="262"/>
  <c r="K2314" i="262"/>
  <c r="K2315" i="262"/>
  <c r="K2316" i="262"/>
  <c r="K2317" i="262"/>
  <c r="K2318" i="262"/>
  <c r="K2319" i="262"/>
  <c r="K2320" i="262"/>
  <c r="K2321" i="262"/>
  <c r="K2322" i="262"/>
  <c r="K2323" i="262"/>
  <c r="K2324" i="262"/>
  <c r="K2325" i="262"/>
  <c r="K2326" i="262"/>
  <c r="K2327" i="262"/>
  <c r="K2328" i="262"/>
  <c r="K2329" i="262"/>
  <c r="K2330" i="262"/>
  <c r="K2331" i="262"/>
  <c r="K2332" i="262"/>
  <c r="K2333" i="262"/>
  <c r="K2334" i="262"/>
  <c r="K2335" i="262"/>
  <c r="K2336" i="262"/>
  <c r="K2337" i="262"/>
  <c r="K2338" i="262"/>
  <c r="K2339" i="262"/>
  <c r="K2340" i="262"/>
  <c r="K2341" i="262"/>
  <c r="K2342" i="262"/>
  <c r="K2343" i="262"/>
  <c r="K2344" i="262"/>
  <c r="K2345" i="262"/>
  <c r="K2346" i="262"/>
  <c r="K2347" i="262"/>
  <c r="K2348" i="262"/>
  <c r="K2349" i="262"/>
  <c r="K2350" i="262"/>
  <c r="K2351" i="262"/>
  <c r="K2352" i="262"/>
  <c r="K2353" i="262"/>
  <c r="K2354" i="262"/>
  <c r="K2355" i="262"/>
  <c r="K2356" i="262"/>
  <c r="K2357" i="262"/>
  <c r="K2358" i="262"/>
  <c r="K2359" i="262"/>
  <c r="K2360" i="262"/>
  <c r="K2361" i="262"/>
  <c r="K2362" i="262"/>
  <c r="K2363" i="262"/>
  <c r="K2364" i="262"/>
  <c r="K2365" i="262"/>
  <c r="K2366" i="262"/>
  <c r="K2367" i="262"/>
  <c r="K2368" i="262"/>
  <c r="K2369" i="262"/>
  <c r="K2370" i="262"/>
  <c r="K2371" i="262"/>
  <c r="K2372" i="262"/>
  <c r="K2373" i="262"/>
  <c r="K2374" i="262"/>
  <c r="K2375" i="262"/>
  <c r="K2376" i="262"/>
  <c r="K2377" i="262"/>
  <c r="K2378" i="262"/>
  <c r="K2379" i="262"/>
  <c r="K2380" i="262"/>
  <c r="K2381" i="262"/>
  <c r="K2382" i="262"/>
  <c r="K2383" i="262"/>
  <c r="K2384" i="262"/>
  <c r="K2385" i="262"/>
  <c r="K2386" i="262"/>
  <c r="K2387" i="262"/>
  <c r="K2388" i="262"/>
  <c r="K2389" i="262"/>
  <c r="K2390" i="262"/>
  <c r="K2391" i="262"/>
  <c r="K2392" i="262"/>
  <c r="K2393" i="262"/>
  <c r="K2394" i="262"/>
  <c r="K2395" i="262"/>
  <c r="K2396" i="262"/>
  <c r="K2397" i="262"/>
  <c r="K2398" i="262"/>
  <c r="K2399" i="262"/>
  <c r="K2400" i="262"/>
  <c r="K2401" i="262"/>
  <c r="K2402" i="262"/>
  <c r="K2403" i="262"/>
  <c r="K2404" i="262"/>
  <c r="K2405" i="262"/>
  <c r="K2406" i="262"/>
  <c r="K2407" i="262"/>
  <c r="K2408" i="262"/>
  <c r="K2409" i="262"/>
  <c r="K2410" i="262"/>
  <c r="K2411" i="262"/>
  <c r="K2412" i="262"/>
  <c r="K2413" i="262"/>
  <c r="K2414" i="262"/>
  <c r="K2415" i="262"/>
  <c r="K2416" i="262"/>
  <c r="K2417" i="262"/>
  <c r="K2418" i="262"/>
  <c r="K2419" i="262"/>
  <c r="K2420" i="262"/>
  <c r="K2421" i="262"/>
  <c r="K2422" i="262"/>
  <c r="K2423" i="262"/>
  <c r="K2424" i="262"/>
  <c r="K2425" i="262"/>
  <c r="K2426" i="262"/>
  <c r="K2427" i="262"/>
  <c r="K2428" i="262"/>
  <c r="K2429" i="262"/>
  <c r="K2430" i="262"/>
  <c r="K2431" i="262"/>
  <c r="K2432" i="262"/>
  <c r="K2433" i="262"/>
  <c r="K2434" i="262"/>
  <c r="K2435" i="262"/>
  <c r="K2436" i="262"/>
  <c r="K2437" i="262"/>
  <c r="K2438" i="262"/>
  <c r="K2439" i="262"/>
  <c r="K2440" i="262"/>
  <c r="K2441" i="262"/>
  <c r="K2442" i="262"/>
  <c r="K2443" i="262"/>
  <c r="K2444" i="262"/>
  <c r="K2445" i="262"/>
  <c r="K2446" i="262"/>
  <c r="K2447" i="262"/>
  <c r="K2448" i="262"/>
  <c r="K2449" i="262"/>
  <c r="K2450" i="262"/>
  <c r="K2451" i="262"/>
  <c r="K2452" i="262"/>
  <c r="K2453" i="262"/>
  <c r="K2454" i="262"/>
  <c r="K2455" i="262"/>
  <c r="K2456" i="262"/>
  <c r="K2457" i="262"/>
  <c r="K2458" i="262"/>
  <c r="K2459" i="262"/>
  <c r="K2460" i="262"/>
  <c r="K2461" i="262"/>
  <c r="K2462" i="262"/>
  <c r="K2463" i="262"/>
  <c r="K2464" i="262"/>
  <c r="K2465" i="262"/>
  <c r="K2466" i="262"/>
  <c r="K2467" i="262"/>
  <c r="K2468" i="262"/>
  <c r="K2469" i="262"/>
  <c r="K2470" i="262"/>
  <c r="K2471" i="262"/>
  <c r="K2472" i="262"/>
  <c r="K2473" i="262"/>
  <c r="K2474" i="262"/>
  <c r="K2475" i="262"/>
  <c r="K2476" i="262"/>
  <c r="K2477" i="262"/>
  <c r="K2478" i="262"/>
  <c r="K2479" i="262"/>
  <c r="K2480" i="262"/>
  <c r="K2481" i="262"/>
  <c r="K2482" i="262"/>
  <c r="K2483" i="262"/>
  <c r="K2484" i="262"/>
  <c r="K2485" i="262"/>
  <c r="K2486" i="262"/>
  <c r="K2487" i="262"/>
  <c r="K2488" i="262"/>
  <c r="K2489" i="262"/>
  <c r="K2490" i="262"/>
  <c r="K2491" i="262"/>
  <c r="K2492" i="262"/>
  <c r="K2493" i="262"/>
  <c r="K2494" i="262"/>
  <c r="K2495" i="262"/>
  <c r="K2496" i="262"/>
  <c r="K2497" i="262"/>
  <c r="K2498" i="262"/>
  <c r="K2499" i="262"/>
  <c r="K2500" i="262"/>
  <c r="K2501" i="262"/>
  <c r="K2502" i="262"/>
  <c r="K2503" i="262"/>
  <c r="K2504" i="262"/>
  <c r="K2505" i="262"/>
  <c r="K2506" i="262"/>
  <c r="K2507" i="262"/>
  <c r="K2508" i="262"/>
  <c r="K2509" i="262"/>
  <c r="K2510" i="262"/>
  <c r="K2511" i="262"/>
  <c r="K2512" i="262"/>
  <c r="K2513" i="262"/>
  <c r="K2514" i="262"/>
  <c r="K2515" i="262"/>
  <c r="K2516" i="262"/>
  <c r="K2517" i="262"/>
  <c r="K2518" i="262"/>
  <c r="K2519" i="262"/>
  <c r="K2520" i="262"/>
  <c r="K2521" i="262"/>
  <c r="K2522" i="262"/>
  <c r="K2523" i="262"/>
  <c r="K2524" i="262"/>
  <c r="K2525" i="262"/>
  <c r="K2526" i="262"/>
  <c r="K2527" i="262"/>
  <c r="K2528" i="262"/>
  <c r="K2529" i="262"/>
  <c r="K2530" i="262"/>
  <c r="K2531" i="262"/>
  <c r="K2532" i="262"/>
  <c r="K2533" i="262"/>
  <c r="K2534" i="262"/>
  <c r="K2535" i="262"/>
  <c r="K2536" i="262"/>
  <c r="K2537" i="262"/>
  <c r="K2538" i="262"/>
  <c r="K2539" i="262"/>
  <c r="K2540" i="262"/>
  <c r="K2541" i="262"/>
  <c r="K2542" i="262"/>
  <c r="K2543" i="262"/>
  <c r="K2544" i="262"/>
  <c r="K2545" i="262"/>
  <c r="K2546" i="262"/>
  <c r="K2547" i="262"/>
  <c r="K2548" i="262"/>
  <c r="K2549" i="262"/>
  <c r="K2550" i="262"/>
  <c r="K2551" i="262"/>
  <c r="K2552" i="262"/>
  <c r="K2553" i="262"/>
  <c r="K2554" i="262"/>
  <c r="K2555" i="262"/>
  <c r="K2556" i="262"/>
  <c r="K2557" i="262"/>
  <c r="K2558" i="262"/>
  <c r="K2559" i="262"/>
  <c r="K2560" i="262"/>
  <c r="K2561" i="262"/>
  <c r="K2562" i="262"/>
  <c r="K2563" i="262"/>
  <c r="K2564" i="262"/>
  <c r="K2565" i="262"/>
  <c r="K2566" i="262"/>
  <c r="K2567" i="262"/>
  <c r="K2568" i="262"/>
  <c r="K2569" i="262"/>
  <c r="K2570" i="262"/>
  <c r="K2571" i="262"/>
  <c r="K2572" i="262"/>
  <c r="K2573" i="262"/>
  <c r="K2574" i="262"/>
  <c r="K2575" i="262"/>
  <c r="K2576" i="262"/>
  <c r="K2577" i="262"/>
  <c r="K2578" i="262"/>
  <c r="K2579" i="262"/>
  <c r="K2580" i="262"/>
  <c r="K2581" i="262"/>
  <c r="K2582" i="262"/>
  <c r="K2583" i="262"/>
  <c r="K2584" i="262"/>
  <c r="K2585" i="262"/>
  <c r="K2586" i="262"/>
  <c r="K2587" i="262"/>
  <c r="K2588" i="262"/>
  <c r="K2589" i="262"/>
  <c r="K2590" i="262"/>
  <c r="K2591" i="262"/>
  <c r="K2592" i="262"/>
  <c r="K2593" i="262"/>
  <c r="K2594" i="262"/>
  <c r="K2595" i="262"/>
  <c r="K2596" i="262"/>
  <c r="K2597" i="262"/>
  <c r="K2598" i="262"/>
  <c r="K2599" i="262"/>
  <c r="K2600" i="262"/>
  <c r="K2601" i="262"/>
  <c r="K2602" i="262"/>
  <c r="K2603" i="262"/>
  <c r="K2604" i="262"/>
  <c r="K2605" i="262"/>
  <c r="K2606" i="262"/>
  <c r="K2607" i="262"/>
  <c r="K2608" i="262"/>
  <c r="K2609" i="262"/>
  <c r="K2610" i="262"/>
  <c r="K2611" i="262"/>
  <c r="K2612" i="262"/>
  <c r="K2613" i="262"/>
  <c r="K2614" i="262"/>
  <c r="K2615" i="262"/>
  <c r="K2616" i="262"/>
  <c r="K2617" i="262"/>
  <c r="K2618" i="262"/>
  <c r="K2619" i="262"/>
  <c r="K2620" i="262"/>
  <c r="K2621" i="262"/>
  <c r="K2622" i="262"/>
  <c r="K2623" i="262"/>
  <c r="K2624" i="262"/>
  <c r="K2625" i="262"/>
  <c r="K2626" i="262"/>
  <c r="K2627" i="262"/>
  <c r="K2628" i="262"/>
  <c r="K2629" i="262"/>
  <c r="K2630" i="262"/>
  <c r="K2631" i="262"/>
  <c r="K2632" i="262"/>
  <c r="K2633" i="262"/>
  <c r="K2634" i="262"/>
  <c r="K2635" i="262"/>
  <c r="K2636" i="262"/>
  <c r="K2637" i="262"/>
  <c r="K2638" i="262"/>
  <c r="K2639" i="262"/>
  <c r="K2640" i="262"/>
  <c r="K2641" i="262"/>
  <c r="K2642" i="262"/>
  <c r="K2643" i="262"/>
  <c r="K2644" i="262"/>
  <c r="K2645" i="262"/>
  <c r="K2646" i="262"/>
  <c r="K2647" i="262"/>
  <c r="K2648" i="262"/>
  <c r="K2649" i="262"/>
  <c r="K2650" i="262"/>
  <c r="K2651" i="262"/>
  <c r="K2652" i="262"/>
  <c r="K2653" i="262"/>
  <c r="K2654" i="262"/>
  <c r="K2655" i="262"/>
  <c r="K2656" i="262"/>
  <c r="K2657" i="262"/>
  <c r="K2658" i="262"/>
  <c r="K2659" i="262"/>
  <c r="K2660" i="262"/>
  <c r="K2661" i="262"/>
  <c r="K2662" i="262"/>
  <c r="K2663" i="262"/>
  <c r="K2664" i="262"/>
  <c r="K2665" i="262"/>
  <c r="K2666" i="262"/>
  <c r="K2667" i="262"/>
  <c r="K2668" i="262"/>
  <c r="K2669" i="262"/>
  <c r="K2670" i="262"/>
  <c r="K2671" i="262"/>
  <c r="K2672" i="262"/>
  <c r="K2673" i="262"/>
  <c r="K2674" i="262"/>
  <c r="K2675" i="262"/>
  <c r="K2676" i="262"/>
  <c r="K2677" i="262"/>
  <c r="K2678" i="262"/>
  <c r="K2679" i="262"/>
  <c r="K2680" i="262"/>
  <c r="K2681" i="262"/>
  <c r="K2682" i="262"/>
  <c r="K2683" i="262"/>
  <c r="K2684" i="262"/>
  <c r="K2685" i="262"/>
  <c r="K2686" i="262"/>
  <c r="K2687" i="262"/>
  <c r="K2688" i="262"/>
  <c r="K2689" i="262"/>
  <c r="K2690" i="262"/>
  <c r="K2691" i="262"/>
  <c r="K2692" i="262"/>
  <c r="K2693" i="262"/>
  <c r="K2694" i="262"/>
  <c r="K2695" i="262"/>
  <c r="K2696" i="262"/>
  <c r="K2697" i="262"/>
  <c r="K2698" i="262"/>
  <c r="K2699" i="262"/>
  <c r="K2700" i="262"/>
  <c r="K2701" i="262"/>
  <c r="K2702" i="262"/>
  <c r="K2703" i="262"/>
  <c r="K2704" i="262"/>
  <c r="K2705" i="262"/>
  <c r="K2706" i="262"/>
  <c r="K2707" i="262"/>
  <c r="K2708" i="262"/>
  <c r="K2709" i="262"/>
  <c r="K2710" i="262"/>
  <c r="K2711" i="262"/>
  <c r="K2712" i="262"/>
  <c r="K2713" i="262"/>
  <c r="K2714" i="262"/>
  <c r="K2715" i="262"/>
  <c r="K2716" i="262"/>
  <c r="K2717" i="262"/>
  <c r="K2718" i="262"/>
  <c r="K2719" i="262"/>
  <c r="K2720" i="262"/>
  <c r="K2721" i="262"/>
  <c r="K2722" i="262"/>
  <c r="K2723" i="262"/>
  <c r="K2724" i="262"/>
  <c r="K2725" i="262"/>
  <c r="K2726" i="262"/>
  <c r="K2727" i="262"/>
  <c r="K2728" i="262"/>
  <c r="K2729" i="262"/>
  <c r="K2730" i="262"/>
  <c r="K2731" i="262"/>
  <c r="K2732" i="262"/>
  <c r="K2733" i="262"/>
  <c r="K2734" i="262"/>
  <c r="K2735" i="262"/>
  <c r="K2736" i="262"/>
  <c r="K2737" i="262"/>
  <c r="K2738" i="262"/>
  <c r="K2739" i="262"/>
  <c r="K2740" i="262"/>
  <c r="K2741" i="262"/>
  <c r="K2742" i="262"/>
  <c r="K2743" i="262"/>
  <c r="K2744" i="262"/>
  <c r="K2745" i="262"/>
  <c r="K2746" i="262"/>
  <c r="K2747" i="262"/>
  <c r="K2748" i="262"/>
  <c r="K2749" i="262"/>
  <c r="K2750" i="262"/>
  <c r="K2751" i="262"/>
  <c r="K2752" i="262"/>
  <c r="K2753" i="262"/>
  <c r="K2754" i="262"/>
  <c r="K2755" i="262"/>
  <c r="K2756" i="262"/>
  <c r="K2757" i="262"/>
  <c r="K2758" i="262"/>
  <c r="K2759" i="262"/>
  <c r="K2760" i="262"/>
  <c r="K2761" i="262"/>
  <c r="K2762" i="262"/>
  <c r="K2763" i="262"/>
  <c r="K2764" i="262"/>
  <c r="K2765" i="262"/>
  <c r="K2766" i="262"/>
  <c r="K2767" i="262"/>
  <c r="K2768" i="262"/>
  <c r="K2769" i="262"/>
  <c r="K2770" i="262"/>
  <c r="K2771" i="262"/>
  <c r="K2772" i="262"/>
  <c r="K2773" i="262"/>
  <c r="K2774" i="262"/>
  <c r="K2775" i="262"/>
  <c r="K2776" i="262"/>
  <c r="K2777" i="262"/>
  <c r="K2778" i="262"/>
  <c r="K2779" i="262"/>
  <c r="K2780" i="262"/>
  <c r="K2781" i="262"/>
  <c r="K2782" i="262"/>
  <c r="K2783" i="262"/>
  <c r="K2784" i="262"/>
  <c r="K2785" i="262"/>
  <c r="K2786" i="262"/>
  <c r="K2787" i="262"/>
  <c r="K2788" i="262"/>
  <c r="K2789" i="262"/>
  <c r="K2790" i="262"/>
  <c r="K2791" i="262"/>
  <c r="K2792" i="262"/>
  <c r="K2793" i="262"/>
  <c r="K2794" i="262"/>
  <c r="K2795" i="262"/>
  <c r="K2796" i="262"/>
  <c r="K2797" i="262"/>
  <c r="K2798" i="262"/>
  <c r="K2799" i="262"/>
  <c r="K2800" i="262"/>
  <c r="K2801" i="262"/>
  <c r="K2802" i="262"/>
  <c r="K2803" i="262"/>
  <c r="K2804" i="262"/>
  <c r="K2805" i="262"/>
  <c r="K2806" i="262"/>
  <c r="K2807" i="262"/>
  <c r="K2808" i="262"/>
  <c r="K2809" i="262"/>
  <c r="K2810" i="262"/>
  <c r="K2811" i="262"/>
  <c r="K2812" i="262"/>
  <c r="K2813" i="262"/>
  <c r="K2814" i="262"/>
  <c r="K2815" i="262"/>
  <c r="K2816" i="262"/>
  <c r="K2817" i="262"/>
  <c r="K2818" i="262"/>
  <c r="K2819" i="262"/>
  <c r="K2820" i="262"/>
  <c r="K2821" i="262"/>
  <c r="K2822" i="262"/>
  <c r="K2823" i="262"/>
  <c r="K2824" i="262"/>
  <c r="K2825" i="262"/>
  <c r="K2826" i="262"/>
  <c r="K2827" i="262"/>
  <c r="K2828" i="262"/>
  <c r="K2829" i="262"/>
  <c r="K2830" i="262"/>
  <c r="K2831" i="262"/>
  <c r="K2832" i="262"/>
  <c r="K2833" i="262"/>
  <c r="K2834" i="262"/>
  <c r="K2835" i="262"/>
  <c r="K2836" i="262"/>
  <c r="K2837" i="262"/>
  <c r="K2838" i="262"/>
  <c r="K2839" i="262"/>
  <c r="K2840" i="262"/>
  <c r="K2841" i="262"/>
  <c r="K2842" i="262"/>
  <c r="K2843" i="262"/>
  <c r="K2844" i="262"/>
  <c r="K2845" i="262"/>
  <c r="K2846" i="262"/>
  <c r="K2847" i="262"/>
  <c r="K2848" i="262"/>
  <c r="K2849" i="262"/>
  <c r="L2056" i="262"/>
  <c r="L2057" i="262"/>
  <c r="L1833" i="262"/>
  <c r="L1820" i="262"/>
  <c r="L1821" i="262"/>
  <c r="L1822" i="262"/>
  <c r="L1823" i="262"/>
  <c r="K1820" i="262"/>
  <c r="K1821" i="262"/>
  <c r="K1822" i="262"/>
  <c r="K1823" i="262"/>
  <c r="L1817" i="262"/>
  <c r="L1818" i="262"/>
  <c r="L1819" i="262"/>
  <c r="L1824" i="262"/>
  <c r="K1818" i="262"/>
  <c r="K1819" i="262"/>
  <c r="K1824" i="262"/>
  <c r="K1825" i="262"/>
  <c r="L1793" i="262"/>
  <c r="L1794" i="262"/>
  <c r="L1795" i="262"/>
  <c r="L1796" i="262"/>
  <c r="L1797" i="262"/>
  <c r="K1793" i="262"/>
  <c r="K1794" i="262"/>
  <c r="K1795" i="262"/>
  <c r="K1796" i="262"/>
  <c r="K1797" i="262"/>
  <c r="L1836" i="262"/>
  <c r="K1836" i="262"/>
  <c r="L1758" i="262"/>
  <c r="K1758" i="262"/>
  <c r="K1759" i="262"/>
  <c r="L3000" i="262"/>
  <c r="L3001" i="262"/>
  <c r="L3002" i="262"/>
  <c r="L3003" i="262"/>
  <c r="L3004" i="262"/>
  <c r="L3005" i="262"/>
  <c r="L3006" i="262"/>
  <c r="L2991" i="262"/>
  <c r="L2992" i="262"/>
  <c r="L2993" i="262"/>
  <c r="L2994" i="262"/>
  <c r="L2995" i="262"/>
  <c r="L2996" i="262"/>
  <c r="L2997" i="262"/>
  <c r="L2998" i="262"/>
  <c r="L2999" i="262"/>
  <c r="K2991" i="262"/>
  <c r="K2992" i="262"/>
  <c r="K2993" i="262"/>
  <c r="K2994" i="262"/>
  <c r="K2995" i="262"/>
  <c r="K2996" i="262"/>
  <c r="K2997" i="262"/>
  <c r="K2998" i="262"/>
  <c r="K2999" i="262"/>
  <c r="K3000" i="262"/>
  <c r="K3001" i="262"/>
  <c r="K3002" i="262"/>
  <c r="K3003" i="262"/>
  <c r="K3004" i="262"/>
  <c r="K3005" i="262"/>
  <c r="K3006" i="262"/>
  <c r="L2942" i="262"/>
  <c r="L2943" i="262"/>
  <c r="L2944" i="262"/>
  <c r="K2942" i="262"/>
  <c r="K2943" i="262"/>
  <c r="K2944" i="262"/>
  <c r="L2935" i="262"/>
  <c r="L2936" i="262"/>
  <c r="K2935" i="262"/>
  <c r="K2936" i="262"/>
  <c r="L1584" i="262"/>
  <c r="K1584" i="262"/>
  <c r="K1585" i="262"/>
  <c r="K1586" i="262"/>
  <c r="L1342" i="262"/>
  <c r="L1343" i="262"/>
  <c r="K1342" i="262"/>
  <c r="K1343" i="262"/>
  <c r="L858" i="262"/>
  <c r="L859" i="262"/>
  <c r="L860" i="262"/>
  <c r="L861" i="262"/>
  <c r="K858" i="262"/>
  <c r="K859" i="262"/>
  <c r="K860" i="262"/>
  <c r="K861" i="262"/>
  <c r="L1557" i="262"/>
  <c r="K1557" i="262"/>
  <c r="L449" i="262"/>
  <c r="K449" i="262"/>
  <c r="L1909" i="262"/>
  <c r="L1910" i="262"/>
  <c r="K1909" i="262"/>
  <c r="K1910" i="262"/>
  <c r="L1929" i="262"/>
  <c r="K1929" i="262"/>
  <c r="L411" i="262"/>
  <c r="K411" i="262"/>
  <c r="K384" i="262"/>
  <c r="K385" i="262"/>
  <c r="L384" i="262"/>
  <c r="L385" i="262"/>
  <c r="AA24" i="349"/>
  <c r="C21" i="353"/>
  <c r="L252" i="262"/>
  <c r="L253" i="262"/>
  <c r="K252" i="262"/>
  <c r="L191" i="262"/>
  <c r="L192" i="262"/>
  <c r="K191" i="262"/>
  <c r="K192" i="262"/>
  <c r="Q1880" i="262"/>
  <c r="D62" i="179"/>
  <c r="J62" i="179"/>
  <c r="G2851" i="262"/>
  <c r="L960" i="262"/>
  <c r="L961" i="262"/>
  <c r="L962" i="262"/>
  <c r="L963" i="262"/>
  <c r="K960" i="262"/>
  <c r="K961" i="262"/>
  <c r="K962" i="262"/>
  <c r="K963" i="262"/>
  <c r="L856" i="262"/>
  <c r="L857" i="262"/>
  <c r="K856" i="262"/>
  <c r="K857" i="262"/>
  <c r="L1558" i="262"/>
  <c r="L448" i="262"/>
  <c r="K448" i="262"/>
  <c r="L1808" i="262"/>
  <c r="L1809" i="262"/>
  <c r="L1810" i="262"/>
  <c r="L1811" i="262"/>
  <c r="L1812" i="262"/>
  <c r="L1813" i="262"/>
  <c r="L1814" i="262"/>
  <c r="L1815" i="262"/>
  <c r="L1816" i="262"/>
  <c r="K1808" i="262"/>
  <c r="K1809" i="262"/>
  <c r="K1810" i="262"/>
  <c r="K1811" i="262"/>
  <c r="K1812" i="262"/>
  <c r="K1813" i="262"/>
  <c r="K1814" i="262"/>
  <c r="K1815" i="262"/>
  <c r="K1816" i="262"/>
  <c r="K1817" i="262"/>
  <c r="L1806" i="262"/>
  <c r="L1807" i="262"/>
  <c r="L1825" i="262"/>
  <c r="L1826" i="262"/>
  <c r="L1827" i="262"/>
  <c r="L1828" i="262"/>
  <c r="L1829" i="262"/>
  <c r="K1806" i="262"/>
  <c r="K1807" i="262"/>
  <c r="K1826" i="262"/>
  <c r="K1827" i="262"/>
  <c r="K1828" i="262"/>
  <c r="K1829" i="262"/>
  <c r="K1830" i="262"/>
  <c r="L1781" i="262"/>
  <c r="L1782" i="262"/>
  <c r="L1783" i="262"/>
  <c r="L1784" i="262"/>
  <c r="L1785" i="262"/>
  <c r="L1786" i="262"/>
  <c r="L1787" i="262"/>
  <c r="L1788" i="262"/>
  <c r="L1789" i="262"/>
  <c r="L1790" i="262"/>
  <c r="L1791" i="262"/>
  <c r="L1792" i="262"/>
  <c r="L1798" i="262"/>
  <c r="L1799" i="262"/>
  <c r="K1781" i="262"/>
  <c r="K1782" i="262"/>
  <c r="K1783" i="262"/>
  <c r="K1784" i="262"/>
  <c r="K1785" i="262"/>
  <c r="K1786" i="262"/>
  <c r="K1787" i="262"/>
  <c r="K1788" i="262"/>
  <c r="K1789" i="262"/>
  <c r="K1790" i="262"/>
  <c r="K1791" i="262"/>
  <c r="K1792" i="262"/>
  <c r="K1798" i="262"/>
  <c r="L314" i="262"/>
  <c r="K314" i="262"/>
  <c r="L308" i="262"/>
  <c r="L309" i="262"/>
  <c r="L310" i="262"/>
  <c r="L311" i="262"/>
  <c r="K308" i="262"/>
  <c r="K309" i="262"/>
  <c r="K310" i="262"/>
  <c r="K311" i="262"/>
  <c r="K285" i="262"/>
  <c r="K282" i="262"/>
  <c r="K1879" i="262"/>
  <c r="L1878" i="262"/>
  <c r="L1879" i="262"/>
  <c r="K1878" i="262"/>
  <c r="L1906" i="262"/>
  <c r="L1907" i="262"/>
  <c r="L1908" i="262"/>
  <c r="K1906" i="262"/>
  <c r="K1907" i="262"/>
  <c r="K1908" i="262"/>
  <c r="L1890" i="262"/>
  <c r="K1890" i="262"/>
  <c r="K2974" i="262"/>
  <c r="G206" i="105"/>
  <c r="H101" i="105"/>
  <c r="H21" i="105"/>
  <c r="H24" i="105"/>
  <c r="H25" i="105"/>
  <c r="H35" i="105"/>
  <c r="H47" i="105"/>
  <c r="H48" i="105"/>
  <c r="H55" i="105"/>
  <c r="H59" i="105"/>
  <c r="H70" i="105"/>
  <c r="H72" i="105"/>
  <c r="H78" i="105"/>
  <c r="H79" i="105"/>
  <c r="H81" i="105"/>
  <c r="H82" i="105"/>
  <c r="H96" i="105"/>
  <c r="H102" i="105"/>
  <c r="H111" i="105"/>
  <c r="H112" i="105"/>
  <c r="H120" i="105"/>
  <c r="H121" i="105"/>
  <c r="H124" i="105"/>
  <c r="H125" i="105"/>
  <c r="H142" i="105"/>
  <c r="H156" i="105"/>
  <c r="H163" i="105"/>
  <c r="H171" i="105"/>
  <c r="H178" i="105"/>
  <c r="H181" i="105"/>
  <c r="H195" i="105"/>
  <c r="F11" i="350"/>
  <c r="F13" i="350"/>
  <c r="E11" i="350"/>
  <c r="L147" i="262"/>
  <c r="L153" i="262"/>
  <c r="L154" i="262"/>
  <c r="L155" i="262"/>
  <c r="L156" i="262"/>
  <c r="K147" i="262"/>
  <c r="K153" i="262"/>
  <c r="K154" i="262"/>
  <c r="K155" i="262"/>
  <c r="K156" i="262"/>
  <c r="L108" i="262"/>
  <c r="L109" i="262"/>
  <c r="L110" i="262"/>
  <c r="K108" i="262"/>
  <c r="K109" i="262"/>
  <c r="K110" i="262"/>
  <c r="L92" i="262"/>
  <c r="L93" i="262"/>
  <c r="K92" i="262"/>
  <c r="K93" i="262"/>
  <c r="L1841" i="262"/>
  <c r="L1842" i="262"/>
  <c r="L1843" i="262"/>
  <c r="K1841" i="262"/>
  <c r="K1842" i="262"/>
  <c r="K1843" i="262"/>
  <c r="N347" i="262"/>
  <c r="L342" i="262"/>
  <c r="L343" i="262"/>
  <c r="L344" i="262"/>
  <c r="L345" i="262"/>
  <c r="L346" i="262"/>
  <c r="K342" i="262"/>
  <c r="K343" i="262"/>
  <c r="K344" i="262"/>
  <c r="K345" i="262"/>
  <c r="K346" i="262"/>
  <c r="L318" i="262"/>
  <c r="K318" i="262"/>
  <c r="L325" i="262"/>
  <c r="L326" i="262"/>
  <c r="L327" i="262"/>
  <c r="L328" i="262"/>
  <c r="L329" i="262"/>
  <c r="K325" i="262"/>
  <c r="K326" i="262"/>
  <c r="K327" i="262"/>
  <c r="K328" i="262"/>
  <c r="K329" i="262"/>
  <c r="L274" i="262"/>
  <c r="L275" i="262"/>
  <c r="L276" i="262"/>
  <c r="L277" i="262"/>
  <c r="L278" i="262"/>
  <c r="K274" i="262"/>
  <c r="K275" i="262"/>
  <c r="K276" i="262"/>
  <c r="K277" i="262"/>
  <c r="K278" i="262"/>
  <c r="L1685" i="262"/>
  <c r="K1685" i="262"/>
  <c r="L2913" i="262"/>
  <c r="K2913" i="262"/>
  <c r="K2914" i="262"/>
  <c r="K2915" i="262"/>
  <c r="L2940" i="262"/>
  <c r="L2941" i="262"/>
  <c r="K2940" i="262"/>
  <c r="K2941" i="262"/>
  <c r="L1581" i="262"/>
  <c r="L1582" i="262"/>
  <c r="K1581" i="262"/>
  <c r="K1582" i="262"/>
  <c r="L1576" i="262"/>
  <c r="L1577" i="262"/>
  <c r="L1578" i="262"/>
  <c r="L1579" i="262"/>
  <c r="L1580" i="262"/>
  <c r="L1583" i="262"/>
  <c r="L1585" i="262"/>
  <c r="K1576" i="262"/>
  <c r="K1577" i="262"/>
  <c r="K1578" i="262"/>
  <c r="K1579" i="262"/>
  <c r="K1580" i="262"/>
  <c r="K1583" i="262"/>
  <c r="L1323" i="262"/>
  <c r="L1324" i="262"/>
  <c r="L1325" i="262"/>
  <c r="L1326" i="262"/>
  <c r="L1327" i="262"/>
  <c r="L1328" i="262"/>
  <c r="L1329" i="262"/>
  <c r="L1330" i="262"/>
  <c r="L1331" i="262"/>
  <c r="L1332" i="262"/>
  <c r="L1333" i="262"/>
  <c r="L1334" i="262"/>
  <c r="L1335" i="262"/>
  <c r="L1336" i="262"/>
  <c r="L1337" i="262"/>
  <c r="L1338" i="262"/>
  <c r="L1339" i="262"/>
  <c r="L1340" i="262"/>
  <c r="L1341" i="262"/>
  <c r="L1344" i="262"/>
  <c r="K1323" i="262"/>
  <c r="K1324" i="262"/>
  <c r="K1325" i="262"/>
  <c r="K1326" i="262"/>
  <c r="K1327" i="262"/>
  <c r="K1328" i="262"/>
  <c r="K1329" i="262"/>
  <c r="K1330" i="262"/>
  <c r="K1331" i="262"/>
  <c r="K1332" i="262"/>
  <c r="K1333" i="262"/>
  <c r="K1334" i="262"/>
  <c r="K1335" i="262"/>
  <c r="K1336" i="262"/>
  <c r="K1337" i="262"/>
  <c r="K1338" i="262"/>
  <c r="K1339" i="262"/>
  <c r="K1340" i="262"/>
  <c r="K1341" i="262"/>
  <c r="K1344" i="262"/>
  <c r="K1345" i="262"/>
  <c r="K1346" i="262"/>
  <c r="L843" i="262"/>
  <c r="L844" i="262"/>
  <c r="L845" i="262"/>
  <c r="L846" i="262"/>
  <c r="L847" i="262"/>
  <c r="L848" i="262"/>
  <c r="L849" i="262"/>
  <c r="L850" i="262"/>
  <c r="K843" i="262"/>
  <c r="K844" i="262"/>
  <c r="K845" i="262"/>
  <c r="K846" i="262"/>
  <c r="K847" i="262"/>
  <c r="K848" i="262"/>
  <c r="K849" i="262"/>
  <c r="K850" i="262"/>
  <c r="L840" i="262"/>
  <c r="L841" i="262"/>
  <c r="L842" i="262"/>
  <c r="L851" i="262"/>
  <c r="L852" i="262"/>
  <c r="L853" i="262"/>
  <c r="L854" i="262"/>
  <c r="L855" i="262"/>
  <c r="K840" i="262"/>
  <c r="K841" i="262"/>
  <c r="K842" i="262"/>
  <c r="K851" i="262"/>
  <c r="K852" i="262"/>
  <c r="K853" i="262"/>
  <c r="K854" i="262"/>
  <c r="K855" i="262"/>
  <c r="L831" i="262"/>
  <c r="L832" i="262"/>
  <c r="L833" i="262"/>
  <c r="L834" i="262"/>
  <c r="L835" i="262"/>
  <c r="L836" i="262"/>
  <c r="L837" i="262"/>
  <c r="L838" i="262"/>
  <c r="L839" i="262"/>
  <c r="K836" i="262"/>
  <c r="K837" i="262"/>
  <c r="K838" i="262"/>
  <c r="K839" i="262"/>
  <c r="K831" i="262"/>
  <c r="K832" i="262"/>
  <c r="K833" i="262"/>
  <c r="K834" i="262"/>
  <c r="K835" i="262"/>
  <c r="L1757" i="262"/>
  <c r="K1757" i="262"/>
  <c r="Q391" i="262"/>
  <c r="D33" i="179"/>
  <c r="O391" i="262"/>
  <c r="L185" i="262"/>
  <c r="L186" i="262"/>
  <c r="L187" i="262"/>
  <c r="L193" i="262"/>
  <c r="K185" i="262"/>
  <c r="K186" i="262"/>
  <c r="K187" i="262"/>
  <c r="K193" i="262"/>
  <c r="L89" i="262"/>
  <c r="L90" i="262"/>
  <c r="L91" i="262"/>
  <c r="K89" i="262"/>
  <c r="K90" i="262"/>
  <c r="K91" i="262"/>
  <c r="K1370" i="262"/>
  <c r="K1371" i="262"/>
  <c r="K1372" i="262"/>
  <c r="K1373" i="262"/>
  <c r="K1374" i="262"/>
  <c r="L442" i="262"/>
  <c r="K442" i="262"/>
  <c r="L1927" i="262"/>
  <c r="L1928" i="262"/>
  <c r="L1930" i="262"/>
  <c r="K1927" i="262"/>
  <c r="K1928" i="262"/>
  <c r="K1930" i="262"/>
  <c r="L2950" i="262"/>
  <c r="L2951" i="262"/>
  <c r="L2952" i="262"/>
  <c r="L2953" i="262"/>
  <c r="L2954" i="262"/>
  <c r="L2955" i="262"/>
  <c r="L2956" i="262"/>
  <c r="K2950" i="262"/>
  <c r="K2951" i="262"/>
  <c r="K2952" i="262"/>
  <c r="K2953" i="262"/>
  <c r="K2954" i="262"/>
  <c r="K2955" i="262"/>
  <c r="K2956" i="262"/>
  <c r="L2957" i="262"/>
  <c r="L2958" i="262"/>
  <c r="L2959" i="262"/>
  <c r="L2960" i="262"/>
  <c r="L2961" i="262"/>
  <c r="L2962" i="262"/>
  <c r="K2957" i="262"/>
  <c r="K2958" i="262"/>
  <c r="K2959" i="262"/>
  <c r="K2960" i="262"/>
  <c r="K2961" i="262"/>
  <c r="K2962" i="262"/>
  <c r="L2911" i="262"/>
  <c r="L2912" i="262"/>
  <c r="K2911" i="262"/>
  <c r="K2912" i="262"/>
  <c r="L2937" i="262"/>
  <c r="K2937" i="262"/>
  <c r="I12" i="350"/>
  <c r="J12" i="350"/>
  <c r="K12" i="350"/>
  <c r="I15" i="350"/>
  <c r="J15" i="350"/>
  <c r="K15" i="350"/>
  <c r="I18" i="350"/>
  <c r="J18" i="350"/>
  <c r="K18" i="350"/>
  <c r="K165" i="262"/>
  <c r="L121" i="262"/>
  <c r="K121" i="262"/>
  <c r="L165" i="262"/>
  <c r="L101" i="262"/>
  <c r="L102" i="262"/>
  <c r="L103" i="262"/>
  <c r="L104" i="262"/>
  <c r="K101" i="262"/>
  <c r="K102" i="262"/>
  <c r="K103" i="262"/>
  <c r="K104" i="262"/>
  <c r="K105" i="262"/>
  <c r="L254" i="262"/>
  <c r="K253" i="262"/>
  <c r="K254" i="262"/>
  <c r="L1736" i="262"/>
  <c r="L1737" i="262"/>
  <c r="K1736" i="262"/>
  <c r="K1737" i="262"/>
  <c r="L1876" i="262"/>
  <c r="L1877" i="262"/>
  <c r="K1876" i="262"/>
  <c r="K1877" i="262"/>
  <c r="Q2988" i="262"/>
  <c r="Q2984" i="262"/>
  <c r="O2988" i="262"/>
  <c r="N2988" i="262"/>
  <c r="L2985" i="262"/>
  <c r="L1403" i="262"/>
  <c r="L1404" i="262"/>
  <c r="L1405" i="262"/>
  <c r="L1406" i="262"/>
  <c r="L1407" i="262"/>
  <c r="L1408" i="262"/>
  <c r="L1409" i="262"/>
  <c r="L1410" i="262"/>
  <c r="L1411" i="262"/>
  <c r="L1412" i="262"/>
  <c r="L1413" i="262"/>
  <c r="L1414" i="262"/>
  <c r="L1415" i="262"/>
  <c r="L1416" i="262"/>
  <c r="L1417" i="262"/>
  <c r="K1403" i="262"/>
  <c r="K1404" i="262"/>
  <c r="K1405" i="262"/>
  <c r="L1361" i="262"/>
  <c r="K1361" i="262"/>
  <c r="L1362" i="262"/>
  <c r="L1363" i="262"/>
  <c r="K1362" i="262"/>
  <c r="K1363" i="262"/>
  <c r="K1364" i="262"/>
  <c r="K1365" i="262"/>
  <c r="K1366" i="262"/>
  <c r="K1367" i="262"/>
  <c r="L2872" i="262"/>
  <c r="L2873" i="262"/>
  <c r="L2874" i="262"/>
  <c r="L2875" i="262"/>
  <c r="L2876" i="262"/>
  <c r="L2877" i="262"/>
  <c r="L2878" i="262"/>
  <c r="L2879" i="262"/>
  <c r="L2881" i="262"/>
  <c r="T2881" i="262"/>
  <c r="K2872" i="262"/>
  <c r="K2873" i="262"/>
  <c r="K2874" i="262"/>
  <c r="K2875" i="262"/>
  <c r="K2876" i="262"/>
  <c r="K2877" i="262"/>
  <c r="K2878" i="262"/>
  <c r="K2879" i="262"/>
  <c r="L1684" i="262"/>
  <c r="L1686" i="262"/>
  <c r="K1684" i="262"/>
  <c r="K1686" i="262"/>
  <c r="N1657" i="262"/>
  <c r="D100" i="105"/>
  <c r="H100" i="105"/>
  <c r="N1654" i="262"/>
  <c r="L1655" i="262"/>
  <c r="L1656" i="262"/>
  <c r="K1655" i="262"/>
  <c r="K1656" i="262"/>
  <c r="L229" i="262"/>
  <c r="L230" i="262"/>
  <c r="L231" i="262"/>
  <c r="L232" i="262"/>
  <c r="L233" i="262"/>
  <c r="L234" i="262"/>
  <c r="L235" i="262"/>
  <c r="L236" i="262"/>
  <c r="L237" i="262"/>
  <c r="L238" i="262"/>
  <c r="L239" i="262"/>
  <c r="L240" i="262"/>
  <c r="L241" i="262"/>
  <c r="L242" i="262"/>
  <c r="L243" i="262"/>
  <c r="L244" i="262"/>
  <c r="L245" i="262"/>
  <c r="L246" i="262"/>
  <c r="L247" i="262"/>
  <c r="L248" i="262"/>
  <c r="L249" i="262"/>
  <c r="L250" i="262"/>
  <c r="L251" i="262"/>
  <c r="L255" i="262"/>
  <c r="L257" i="262"/>
  <c r="L219" i="262"/>
  <c r="L220" i="262"/>
  <c r="L221" i="262"/>
  <c r="L222" i="262"/>
  <c r="L223" i="262"/>
  <c r="L224" i="262"/>
  <c r="L225" i="262"/>
  <c r="L226" i="262"/>
  <c r="L227" i="262"/>
  <c r="L228" i="262"/>
  <c r="L207" i="262"/>
  <c r="L208" i="262"/>
  <c r="L209" i="262"/>
  <c r="L210" i="262"/>
  <c r="L211" i="262"/>
  <c r="L212" i="262"/>
  <c r="L213" i="262"/>
  <c r="L214" i="262"/>
  <c r="L215" i="262"/>
  <c r="L216" i="262"/>
  <c r="L217" i="262"/>
  <c r="L218" i="262"/>
  <c r="L158" i="262"/>
  <c r="L159" i="262"/>
  <c r="L160" i="262"/>
  <c r="L161" i="262"/>
  <c r="L162" i="262"/>
  <c r="L163" i="262"/>
  <c r="L164" i="262"/>
  <c r="L166" i="262"/>
  <c r="L167" i="262"/>
  <c r="L168" i="262"/>
  <c r="L169" i="262"/>
  <c r="L170" i="262"/>
  <c r="L171" i="262"/>
  <c r="L172" i="262"/>
  <c r="L173" i="262"/>
  <c r="L174" i="262"/>
  <c r="L175" i="262"/>
  <c r="L176" i="262"/>
  <c r="L177" i="262"/>
  <c r="L178" i="262"/>
  <c r="L179" i="262"/>
  <c r="L180" i="262"/>
  <c r="L181" i="262"/>
  <c r="L182" i="262"/>
  <c r="L183" i="262"/>
  <c r="L184" i="262"/>
  <c r="L194" i="262"/>
  <c r="L195" i="262"/>
  <c r="L196" i="262"/>
  <c r="L197" i="262"/>
  <c r="L198" i="262"/>
  <c r="L199" i="262"/>
  <c r="L200" i="262"/>
  <c r="L201" i="262"/>
  <c r="L202" i="262"/>
  <c r="L203" i="262"/>
  <c r="L204" i="262"/>
  <c r="L205" i="262"/>
  <c r="L206" i="262"/>
  <c r="L134" i="262"/>
  <c r="L135" i="262"/>
  <c r="L136" i="262"/>
  <c r="L137" i="262"/>
  <c r="L138" i="262"/>
  <c r="L139" i="262"/>
  <c r="L140" i="262"/>
  <c r="L141" i="262"/>
  <c r="L142" i="262"/>
  <c r="L143" i="262"/>
  <c r="L144" i="262"/>
  <c r="L145" i="262"/>
  <c r="L146" i="262"/>
  <c r="L123" i="262"/>
  <c r="L124" i="262"/>
  <c r="L125" i="262"/>
  <c r="L126" i="262"/>
  <c r="L127" i="262"/>
  <c r="L128" i="262"/>
  <c r="L129" i="262"/>
  <c r="L130" i="262"/>
  <c r="L131" i="262"/>
  <c r="L132" i="262"/>
  <c r="L133" i="262"/>
  <c r="L113" i="262"/>
  <c r="L114" i="262"/>
  <c r="L115" i="262"/>
  <c r="L116" i="262"/>
  <c r="L117" i="262"/>
  <c r="L118" i="262"/>
  <c r="L119" i="262"/>
  <c r="L120" i="262"/>
  <c r="L122" i="262"/>
  <c r="L68" i="262"/>
  <c r="L69" i="262"/>
  <c r="L70" i="262"/>
  <c r="L71" i="262"/>
  <c r="L76" i="262"/>
  <c r="L77" i="262"/>
  <c r="L78" i="262"/>
  <c r="L79" i="262"/>
  <c r="L80" i="262"/>
  <c r="L81" i="262"/>
  <c r="L82" i="262"/>
  <c r="L83" i="262"/>
  <c r="L84" i="262"/>
  <c r="L85" i="262"/>
  <c r="L86" i="262"/>
  <c r="L87" i="262"/>
  <c r="L88" i="262"/>
  <c r="L96" i="262"/>
  <c r="L97" i="262"/>
  <c r="L98" i="262"/>
  <c r="L99" i="262"/>
  <c r="L100" i="262"/>
  <c r="L105" i="262"/>
  <c r="L106" i="262"/>
  <c r="L107" i="262"/>
  <c r="L112" i="262"/>
  <c r="L49" i="262"/>
  <c r="L50" i="262"/>
  <c r="L51" i="262"/>
  <c r="L52" i="262"/>
  <c r="L53" i="262"/>
  <c r="L54" i="262"/>
  <c r="L55" i="262"/>
  <c r="L56" i="262"/>
  <c r="L57" i="262"/>
  <c r="L58" i="262"/>
  <c r="L59" i="262"/>
  <c r="L60" i="262"/>
  <c r="L61" i="262"/>
  <c r="L62" i="262"/>
  <c r="L63" i="262"/>
  <c r="L64" i="262"/>
  <c r="L65" i="262"/>
  <c r="L66" i="262"/>
  <c r="L67" i="262"/>
  <c r="L13" i="262"/>
  <c r="U13" i="262"/>
  <c r="L14" i="262"/>
  <c r="U14" i="262"/>
  <c r="L15" i="262"/>
  <c r="U15" i="262"/>
  <c r="L16" i="262"/>
  <c r="L17" i="262"/>
  <c r="U17" i="262"/>
  <c r="L18" i="262"/>
  <c r="U18" i="262"/>
  <c r="L19" i="262"/>
  <c r="L20" i="262"/>
  <c r="U20" i="262"/>
  <c r="L21" i="262"/>
  <c r="L22" i="262"/>
  <c r="U22" i="262"/>
  <c r="L23" i="262"/>
  <c r="L24" i="262"/>
  <c r="U24" i="262"/>
  <c r="L25" i="262"/>
  <c r="L26" i="262"/>
  <c r="U26" i="262"/>
  <c r="L27" i="262"/>
  <c r="L28" i="262"/>
  <c r="U28" i="262"/>
  <c r="L29" i="262"/>
  <c r="L30" i="262"/>
  <c r="U30" i="262"/>
  <c r="L31" i="262"/>
  <c r="L32" i="262"/>
  <c r="U32" i="262"/>
  <c r="L33" i="262"/>
  <c r="U33" i="262"/>
  <c r="L34" i="262"/>
  <c r="L35" i="262"/>
  <c r="U35" i="262"/>
  <c r="L36" i="262"/>
  <c r="U36" i="262"/>
  <c r="L37" i="262"/>
  <c r="L38" i="262"/>
  <c r="U38" i="262"/>
  <c r="L39" i="262"/>
  <c r="U39" i="262"/>
  <c r="L40" i="262"/>
  <c r="U40" i="262"/>
  <c r="L41" i="262"/>
  <c r="U41" i="262"/>
  <c r="L42" i="262"/>
  <c r="U42" i="262"/>
  <c r="L43" i="262"/>
  <c r="L44" i="262"/>
  <c r="L45" i="262"/>
  <c r="L46" i="262"/>
  <c r="L47" i="262"/>
  <c r="K143" i="262"/>
  <c r="K144" i="262"/>
  <c r="K145" i="262"/>
  <c r="K146" i="262"/>
  <c r="K141" i="262"/>
  <c r="K142" i="262"/>
  <c r="A197" i="262"/>
  <c r="K14" i="351"/>
  <c r="Q352" i="262"/>
  <c r="O352" i="262"/>
  <c r="N352" i="262"/>
  <c r="L351" i="262"/>
  <c r="L348" i="262"/>
  <c r="K351" i="262"/>
  <c r="L322" i="262"/>
  <c r="L323" i="262"/>
  <c r="L324" i="262"/>
  <c r="L330" i="262"/>
  <c r="L331" i="262"/>
  <c r="L332" i="262"/>
  <c r="L333" i="262"/>
  <c r="L334" i="262"/>
  <c r="K322" i="262"/>
  <c r="K323" i="262"/>
  <c r="K324" i="262"/>
  <c r="K330" i="262"/>
  <c r="K331" i="262"/>
  <c r="K332" i="262"/>
  <c r="K333" i="262"/>
  <c r="K334" i="262"/>
  <c r="L1893" i="262"/>
  <c r="K1893" i="262"/>
  <c r="L2945" i="262"/>
  <c r="K2945" i="262"/>
  <c r="L1568" i="262"/>
  <c r="L1569" i="262"/>
  <c r="L1570" i="262"/>
  <c r="L1571" i="262"/>
  <c r="L1572" i="262"/>
  <c r="L1573" i="262"/>
  <c r="L1574" i="262"/>
  <c r="L1575" i="262"/>
  <c r="L1586" i="262"/>
  <c r="K1568" i="262"/>
  <c r="K1569" i="262"/>
  <c r="K1570" i="262"/>
  <c r="K1571" i="262"/>
  <c r="K1572" i="262"/>
  <c r="K1573" i="262"/>
  <c r="K1574" i="262"/>
  <c r="K1575" i="262"/>
  <c r="L1303" i="262"/>
  <c r="L1304" i="262"/>
  <c r="L1305" i="262"/>
  <c r="L1306" i="262"/>
  <c r="L1307" i="262"/>
  <c r="L1308" i="262"/>
  <c r="L1309" i="262"/>
  <c r="L1310" i="262"/>
  <c r="L1311" i="262"/>
  <c r="L1312" i="262"/>
  <c r="L1313" i="262"/>
  <c r="L1314" i="262"/>
  <c r="L1315" i="262"/>
  <c r="L1316" i="262"/>
  <c r="L1317" i="262"/>
  <c r="L1318" i="262"/>
  <c r="L1319" i="262"/>
  <c r="L1320" i="262"/>
  <c r="L1321" i="262"/>
  <c r="L1322" i="262"/>
  <c r="K1303" i="262"/>
  <c r="K1304" i="262"/>
  <c r="K1305" i="262"/>
  <c r="K1306" i="262"/>
  <c r="K1307" i="262"/>
  <c r="K1308" i="262"/>
  <c r="K1309" i="262"/>
  <c r="K1310" i="262"/>
  <c r="K1311" i="262"/>
  <c r="K1312" i="262"/>
  <c r="K1313" i="262"/>
  <c r="K1314" i="262"/>
  <c r="K1315" i="262"/>
  <c r="K1316" i="262"/>
  <c r="K1317" i="262"/>
  <c r="K1318" i="262"/>
  <c r="K1319" i="262"/>
  <c r="K1320" i="262"/>
  <c r="K1321" i="262"/>
  <c r="K1322" i="262"/>
  <c r="L965" i="262"/>
  <c r="K965" i="262"/>
  <c r="L826" i="262"/>
  <c r="L827" i="262"/>
  <c r="L828" i="262"/>
  <c r="L829" i="262"/>
  <c r="L830" i="262"/>
  <c r="K821" i="262"/>
  <c r="K822" i="262"/>
  <c r="K823" i="262"/>
  <c r="K824" i="262"/>
  <c r="K825" i="262"/>
  <c r="K826" i="262"/>
  <c r="K827" i="262"/>
  <c r="K828" i="262"/>
  <c r="K829" i="262"/>
  <c r="K830" i="262"/>
  <c r="L808" i="262"/>
  <c r="L809" i="262"/>
  <c r="L810" i="262"/>
  <c r="L811" i="262"/>
  <c r="L812" i="262"/>
  <c r="L813" i="262"/>
  <c r="L814" i="262"/>
  <c r="L815" i="262"/>
  <c r="L816" i="262"/>
  <c r="L817" i="262"/>
  <c r="L818" i="262"/>
  <c r="L819" i="262"/>
  <c r="L820" i="262"/>
  <c r="L821" i="262"/>
  <c r="L822" i="262"/>
  <c r="L823" i="262"/>
  <c r="L824" i="262"/>
  <c r="L825" i="262"/>
  <c r="K808" i="262"/>
  <c r="K809" i="262"/>
  <c r="K810" i="262"/>
  <c r="K811" i="262"/>
  <c r="K812" i="262"/>
  <c r="K813" i="262"/>
  <c r="K814" i="262"/>
  <c r="K815" i="262"/>
  <c r="K816" i="262"/>
  <c r="K817" i="262"/>
  <c r="K818" i="262"/>
  <c r="K819" i="262"/>
  <c r="K820" i="262"/>
  <c r="K1558" i="262"/>
  <c r="K1559" i="262"/>
  <c r="L1559" i="262"/>
  <c r="K1560" i="262"/>
  <c r="L1560" i="262"/>
  <c r="K1561" i="262"/>
  <c r="L1561" i="262"/>
  <c r="K1562" i="262"/>
  <c r="L1562" i="262"/>
  <c r="K1563" i="262"/>
  <c r="L1563" i="262"/>
  <c r="K1564" i="262"/>
  <c r="L1564" i="262"/>
  <c r="K1565" i="262"/>
  <c r="L1565" i="262"/>
  <c r="K1566" i="262"/>
  <c r="L1566" i="262"/>
  <c r="C25" i="105"/>
  <c r="C178" i="105"/>
  <c r="X27" i="349"/>
  <c r="K211" i="262"/>
  <c r="K212" i="262"/>
  <c r="K255" i="262"/>
  <c r="K257" i="262"/>
  <c r="K139" i="262"/>
  <c r="K140" i="262"/>
  <c r="K134" i="262"/>
  <c r="K135" i="262"/>
  <c r="K136" i="262"/>
  <c r="K137" i="262"/>
  <c r="K138" i="262"/>
  <c r="K176" i="262"/>
  <c r="K177" i="262"/>
  <c r="K178" i="262"/>
  <c r="K179" i="262"/>
  <c r="K180" i="262"/>
  <c r="K86" i="262"/>
  <c r="K87" i="262"/>
  <c r="K88" i="262"/>
  <c r="N340" i="262"/>
  <c r="N279" i="262"/>
  <c r="K340" i="262"/>
  <c r="K341" i="262"/>
  <c r="K347" i="262"/>
  <c r="K348" i="262"/>
  <c r="L2908" i="262"/>
  <c r="L2909" i="262"/>
  <c r="L2910" i="262"/>
  <c r="L915" i="262"/>
  <c r="L916" i="262"/>
  <c r="K915" i="262"/>
  <c r="L1628" i="262"/>
  <c r="K1628" i="262"/>
  <c r="L1623" i="262"/>
  <c r="L1624" i="262"/>
  <c r="K1623" i="262"/>
  <c r="K1624" i="262"/>
  <c r="L1614" i="262"/>
  <c r="K1614" i="262"/>
  <c r="K1615" i="262"/>
  <c r="K1616" i="262"/>
  <c r="L1636" i="262"/>
  <c r="L1637" i="262"/>
  <c r="K1636" i="262"/>
  <c r="K1637" i="262"/>
  <c r="L3024" i="262"/>
  <c r="L3025" i="262"/>
  <c r="L3026" i="262"/>
  <c r="L3058" i="262"/>
  <c r="L3059" i="262"/>
  <c r="L3041" i="262"/>
  <c r="L3042" i="262"/>
  <c r="L3044" i="262"/>
  <c r="N194" i="262"/>
  <c r="O96" i="262"/>
  <c r="N96" i="262"/>
  <c r="K128" i="262"/>
  <c r="K129" i="262"/>
  <c r="K130" i="262"/>
  <c r="K131" i="262"/>
  <c r="K132" i="262"/>
  <c r="K133" i="262"/>
  <c r="K184" i="262"/>
  <c r="K82" i="262"/>
  <c r="K83" i="262"/>
  <c r="K84" i="262"/>
  <c r="K85" i="262"/>
  <c r="K1865" i="262"/>
  <c r="K1866" i="262"/>
  <c r="K1867" i="262"/>
  <c r="K1868" i="262"/>
  <c r="K1869" i="262"/>
  <c r="K1870" i="262"/>
  <c r="K1871" i="262"/>
  <c r="K1872" i="262"/>
  <c r="K1873" i="262"/>
  <c r="K1874" i="262"/>
  <c r="K1875" i="262"/>
  <c r="L1873" i="262"/>
  <c r="L1874" i="262"/>
  <c r="L1875" i="262"/>
  <c r="L1903" i="262"/>
  <c r="L1904" i="262"/>
  <c r="K1904" i="262"/>
  <c r="K1905" i="262"/>
  <c r="L1770" i="262"/>
  <c r="L2946" i="262"/>
  <c r="K2946" i="262"/>
  <c r="F16" i="350"/>
  <c r="J16" i="350"/>
  <c r="K16" i="350"/>
  <c r="E16" i="350"/>
  <c r="I16" i="350"/>
  <c r="F19" i="350"/>
  <c r="J19" i="350"/>
  <c r="K19" i="350"/>
  <c r="E19" i="350"/>
  <c r="I19" i="350"/>
  <c r="L1830" i="262"/>
  <c r="L1837" i="262"/>
  <c r="L1838" i="262"/>
  <c r="L1738" i="262"/>
  <c r="L1888" i="262"/>
  <c r="L1889" i="262"/>
  <c r="K1888" i="262"/>
  <c r="K1889" i="262"/>
  <c r="L3027" i="262"/>
  <c r="L410" i="262"/>
  <c r="K410" i="262"/>
  <c r="L1267" i="262"/>
  <c r="L1268" i="262"/>
  <c r="L1269" i="262"/>
  <c r="L1270" i="262"/>
  <c r="L1271" i="262"/>
  <c r="L1272" i="262"/>
  <c r="L1273" i="262"/>
  <c r="L1274" i="262"/>
  <c r="L1275" i="262"/>
  <c r="L1276" i="262"/>
  <c r="L1277" i="262"/>
  <c r="L1278" i="262"/>
  <c r="L1279" i="262"/>
  <c r="L1280" i="262"/>
  <c r="L1281" i="262"/>
  <c r="L1282" i="262"/>
  <c r="L1283" i="262"/>
  <c r="L1284" i="262"/>
  <c r="L1285" i="262"/>
  <c r="L1286" i="262"/>
  <c r="L1287" i="262"/>
  <c r="L1288" i="262"/>
  <c r="L1289" i="262"/>
  <c r="K1267" i="262"/>
  <c r="K1268" i="262"/>
  <c r="K1269" i="262"/>
  <c r="K1270" i="262"/>
  <c r="K1271" i="262"/>
  <c r="K1272" i="262"/>
  <c r="K1273" i="262"/>
  <c r="K1274" i="262"/>
  <c r="K1275" i="262"/>
  <c r="K1276" i="262"/>
  <c r="K1277" i="262"/>
  <c r="K1278" i="262"/>
  <c r="K1279" i="262"/>
  <c r="K1280" i="262"/>
  <c r="K1281" i="262"/>
  <c r="K1282" i="262"/>
  <c r="K1283" i="262"/>
  <c r="K1284" i="262"/>
  <c r="K1285" i="262"/>
  <c r="K1286" i="262"/>
  <c r="K1287" i="262"/>
  <c r="K1288" i="262"/>
  <c r="K1289" i="262"/>
  <c r="K789" i="262"/>
  <c r="K790" i="262"/>
  <c r="K791" i="262"/>
  <c r="K792" i="262"/>
  <c r="K794" i="262"/>
  <c r="K774" i="262"/>
  <c r="K775" i="262"/>
  <c r="K776" i="262"/>
  <c r="K777" i="262"/>
  <c r="K778" i="262"/>
  <c r="K779" i="262"/>
  <c r="K780" i="262"/>
  <c r="K781" i="262"/>
  <c r="K782" i="262"/>
  <c r="K783" i="262"/>
  <c r="K784" i="262"/>
  <c r="K785" i="262"/>
  <c r="K786" i="262"/>
  <c r="K787" i="262"/>
  <c r="K788" i="262"/>
  <c r="L771" i="262"/>
  <c r="L772" i="262"/>
  <c r="L773" i="262"/>
  <c r="L774" i="262"/>
  <c r="L775" i="262"/>
  <c r="L776" i="262"/>
  <c r="L777" i="262"/>
  <c r="L778" i="262"/>
  <c r="L779" i="262"/>
  <c r="L780" i="262"/>
  <c r="L781" i="262"/>
  <c r="L782" i="262"/>
  <c r="L783" i="262"/>
  <c r="L784" i="262"/>
  <c r="L785" i="262"/>
  <c r="L786" i="262"/>
  <c r="L787" i="262"/>
  <c r="L788" i="262"/>
  <c r="L789" i="262"/>
  <c r="L790" i="262"/>
  <c r="L791" i="262"/>
  <c r="L792" i="262"/>
  <c r="K771" i="262"/>
  <c r="K772" i="262"/>
  <c r="K773" i="262"/>
  <c r="L982" i="262"/>
  <c r="C48" i="105"/>
  <c r="J22" i="350"/>
  <c r="K22" i="350"/>
  <c r="F23" i="350"/>
  <c r="J23" i="350"/>
  <c r="K23" i="350"/>
  <c r="E23" i="350"/>
  <c r="I23" i="350"/>
  <c r="E13" i="350"/>
  <c r="K158" i="262"/>
  <c r="K159" i="262"/>
  <c r="L1851" i="262"/>
  <c r="L1852" i="262"/>
  <c r="L1853" i="262"/>
  <c r="J1861" i="262"/>
  <c r="K1716" i="262"/>
  <c r="K1719" i="262"/>
  <c r="K1722" i="262"/>
  <c r="K1723" i="262"/>
  <c r="K1724" i="262"/>
  <c r="K1725" i="262"/>
  <c r="K1726" i="262"/>
  <c r="K1727" i="262"/>
  <c r="K1728" i="262"/>
  <c r="K1729" i="262"/>
  <c r="K1730" i="262"/>
  <c r="K1731" i="262"/>
  <c r="K1732" i="262"/>
  <c r="K1733" i="262"/>
  <c r="K1734" i="262"/>
  <c r="K1735" i="262"/>
  <c r="K1738" i="262"/>
  <c r="K1739" i="262"/>
  <c r="K1740" i="262"/>
  <c r="K1741" i="262"/>
  <c r="K1742" i="262"/>
  <c r="K1743" i="262"/>
  <c r="K1744" i="262"/>
  <c r="K1745" i="262"/>
  <c r="K1746" i="262"/>
  <c r="K1747" i="262"/>
  <c r="K1748" i="262"/>
  <c r="K1749" i="262"/>
  <c r="K1750" i="262"/>
  <c r="K1751" i="262"/>
  <c r="K1752" i="262"/>
  <c r="K1753" i="262"/>
  <c r="K1754" i="262"/>
  <c r="K1755" i="262"/>
  <c r="K1756" i="262"/>
  <c r="K1760" i="262"/>
  <c r="K1761" i="262"/>
  <c r="K1762" i="262"/>
  <c r="K1763" i="262"/>
  <c r="K1764" i="262"/>
  <c r="K1765" i="262"/>
  <c r="K1766" i="262"/>
  <c r="K1767" i="262"/>
  <c r="K1768" i="262"/>
  <c r="K1769" i="262"/>
  <c r="K1770" i="262"/>
  <c r="K1771" i="262"/>
  <c r="K1772" i="262"/>
  <c r="K1773" i="262"/>
  <c r="K1775" i="262"/>
  <c r="K1776" i="262"/>
  <c r="K1777" i="262"/>
  <c r="K1778" i="262"/>
  <c r="K1779" i="262"/>
  <c r="K1780" i="262"/>
  <c r="K1799" i="262"/>
  <c r="K1800" i="262"/>
  <c r="K1801" i="262"/>
  <c r="K1802" i="262"/>
  <c r="K1803" i="262"/>
  <c r="K1804" i="262"/>
  <c r="K1805" i="262"/>
  <c r="K1831" i="262"/>
  <c r="K1832" i="262"/>
  <c r="K1834" i="262"/>
  <c r="K1835" i="262"/>
  <c r="K1837" i="262"/>
  <c r="K1838" i="262"/>
  <c r="K1839" i="262"/>
  <c r="K1840" i="262"/>
  <c r="K1844" i="262"/>
  <c r="K1845" i="262"/>
  <c r="K1846" i="262"/>
  <c r="K1847" i="262"/>
  <c r="K1848" i="262"/>
  <c r="K1849" i="262"/>
  <c r="K1850" i="262"/>
  <c r="K1851" i="262"/>
  <c r="K1852" i="262"/>
  <c r="K1853" i="262"/>
  <c r="K1854" i="262"/>
  <c r="K1855" i="262"/>
  <c r="K1856" i="262"/>
  <c r="K1857" i="262"/>
  <c r="K1859" i="262"/>
  <c r="K1860" i="262"/>
  <c r="G1658" i="262"/>
  <c r="K1658" i="262"/>
  <c r="C12" i="351"/>
  <c r="N1658" i="262"/>
  <c r="L1653" i="262"/>
  <c r="L1651" i="262"/>
  <c r="K1653" i="262"/>
  <c r="N2258" i="262"/>
  <c r="O2258" i="262"/>
  <c r="Q2258" i="262"/>
  <c r="L1567" i="262"/>
  <c r="K1567" i="262"/>
  <c r="Z18" i="349"/>
  <c r="L1394" i="262"/>
  <c r="L1395" i="262"/>
  <c r="L1396" i="262"/>
  <c r="L1397" i="262"/>
  <c r="L1398" i="262"/>
  <c r="L1399" i="262"/>
  <c r="K1394" i="262"/>
  <c r="K1395" i="262"/>
  <c r="K1396" i="262"/>
  <c r="K1397" i="262"/>
  <c r="K1398" i="262"/>
  <c r="K1399" i="262"/>
  <c r="K1400" i="262"/>
  <c r="L1297" i="262"/>
  <c r="L1298" i="262"/>
  <c r="L1299" i="262"/>
  <c r="L1300" i="262"/>
  <c r="L1301" i="262"/>
  <c r="L1302" i="262"/>
  <c r="L1345" i="262"/>
  <c r="K1297" i="262"/>
  <c r="K1298" i="262"/>
  <c r="K1299" i="262"/>
  <c r="K1300" i="262"/>
  <c r="K1301" i="262"/>
  <c r="K1302" i="262"/>
  <c r="L959" i="262"/>
  <c r="L964" i="262"/>
  <c r="K964" i="262"/>
  <c r="L802" i="262"/>
  <c r="L803" i="262"/>
  <c r="L804" i="262"/>
  <c r="L805" i="262"/>
  <c r="L806" i="262"/>
  <c r="L807" i="262"/>
  <c r="L862" i="262"/>
  <c r="K802" i="262"/>
  <c r="K803" i="262"/>
  <c r="K804" i="262"/>
  <c r="K805" i="262"/>
  <c r="K806" i="262"/>
  <c r="K807" i="262"/>
  <c r="K862" i="262"/>
  <c r="L983" i="262"/>
  <c r="L984" i="262"/>
  <c r="L985" i="262"/>
  <c r="L986" i="262"/>
  <c r="L987" i="262"/>
  <c r="L988" i="262"/>
  <c r="L989" i="262"/>
  <c r="L990" i="262"/>
  <c r="L991" i="262"/>
  <c r="L992" i="262"/>
  <c r="L993" i="262"/>
  <c r="L994" i="262"/>
  <c r="L995" i="262"/>
  <c r="L996" i="262"/>
  <c r="L997" i="262"/>
  <c r="L998" i="262"/>
  <c r="L999" i="262"/>
  <c r="K982" i="262"/>
  <c r="K983" i="262"/>
  <c r="L3017" i="262"/>
  <c r="L3018" i="262"/>
  <c r="L3021" i="262"/>
  <c r="L3022" i="262"/>
  <c r="L3023" i="262"/>
  <c r="L3028" i="262"/>
  <c r="K2910" i="262"/>
  <c r="K2970" i="262"/>
  <c r="L1868" i="262"/>
  <c r="L1869" i="262"/>
  <c r="L1870" i="262"/>
  <c r="L1871" i="262"/>
  <c r="L1872" i="262"/>
  <c r="K1880" i="262"/>
  <c r="L1921" i="262"/>
  <c r="K1921" i="262"/>
  <c r="L976" i="262"/>
  <c r="L977" i="262"/>
  <c r="L978" i="262"/>
  <c r="L979" i="262"/>
  <c r="L980" i="262"/>
  <c r="K976" i="262"/>
  <c r="K977" i="262"/>
  <c r="K978" i="262"/>
  <c r="K979" i="262"/>
  <c r="K980" i="262"/>
  <c r="K3012" i="262"/>
  <c r="L3012" i="262"/>
  <c r="I7" i="350"/>
  <c r="J7" i="350"/>
  <c r="K7" i="350"/>
  <c r="I8" i="350"/>
  <c r="J8" i="350"/>
  <c r="K8" i="350"/>
  <c r="I9" i="350"/>
  <c r="J9" i="350"/>
  <c r="K9" i="350"/>
  <c r="I10" i="350"/>
  <c r="J10" i="350"/>
  <c r="K10" i="350"/>
  <c r="I21" i="350"/>
  <c r="J21" i="350"/>
  <c r="K21" i="350"/>
  <c r="I22" i="350"/>
  <c r="E22" i="353"/>
  <c r="E23" i="353"/>
  <c r="E25" i="353"/>
  <c r="E26" i="353"/>
  <c r="E27" i="353"/>
  <c r="E28" i="353"/>
  <c r="E29" i="353"/>
  <c r="E30" i="353"/>
  <c r="E31" i="353"/>
  <c r="E32" i="353"/>
  <c r="E33" i="353"/>
  <c r="E34" i="353"/>
  <c r="N159" i="262"/>
  <c r="Q2851" i="262"/>
  <c r="N2055" i="262"/>
  <c r="Q2055" i="262"/>
  <c r="D99" i="179"/>
  <c r="J99" i="179"/>
  <c r="O2055" i="262"/>
  <c r="Q2100" i="262"/>
  <c r="D101" i="179"/>
  <c r="O2100" i="262"/>
  <c r="N2100" i="262"/>
  <c r="Q2197" i="262"/>
  <c r="D100" i="179"/>
  <c r="J100" i="179"/>
  <c r="O2197" i="262"/>
  <c r="N2197" i="262"/>
  <c r="P2197" i="262"/>
  <c r="D162" i="105"/>
  <c r="H162" i="105"/>
  <c r="O2262" i="262"/>
  <c r="N2262" i="262"/>
  <c r="N2820" i="262"/>
  <c r="Q2820" i="262"/>
  <c r="D108" i="179"/>
  <c r="O2820" i="262"/>
  <c r="Q2843" i="262"/>
  <c r="D105" i="179"/>
  <c r="O2843" i="262"/>
  <c r="N2843" i="262"/>
  <c r="N2850" i="262"/>
  <c r="Q2850" i="262"/>
  <c r="O2850" i="262"/>
  <c r="O863" i="262"/>
  <c r="N863" i="262"/>
  <c r="L1387" i="262"/>
  <c r="L1388" i="262"/>
  <c r="L1389" i="262"/>
  <c r="L1390" i="262"/>
  <c r="L1391" i="262"/>
  <c r="L1392" i="262"/>
  <c r="L1393" i="262"/>
  <c r="K1387" i="262"/>
  <c r="K1388" i="262"/>
  <c r="K1389" i="262"/>
  <c r="K1390" i="262"/>
  <c r="K1391" i="262"/>
  <c r="K1392" i="262"/>
  <c r="K1393" i="262"/>
  <c r="L1291" i="262"/>
  <c r="L1292" i="262"/>
  <c r="L1293" i="262"/>
  <c r="L1294" i="262"/>
  <c r="L1295" i="262"/>
  <c r="L1296" i="262"/>
  <c r="K1291" i="262"/>
  <c r="K1292" i="262"/>
  <c r="K1293" i="262"/>
  <c r="K1294" i="262"/>
  <c r="K1295" i="262"/>
  <c r="K1296" i="262"/>
  <c r="L957" i="262"/>
  <c r="L958" i="262"/>
  <c r="K957" i="262"/>
  <c r="K958" i="262"/>
  <c r="K959" i="262"/>
  <c r="L794" i="262"/>
  <c r="L795" i="262"/>
  <c r="L796" i="262"/>
  <c r="L797" i="262"/>
  <c r="L798" i="262"/>
  <c r="L799" i="262"/>
  <c r="L800" i="262"/>
  <c r="L801" i="262"/>
  <c r="K795" i="262"/>
  <c r="K796" i="262"/>
  <c r="K797" i="262"/>
  <c r="K798" i="262"/>
  <c r="K799" i="262"/>
  <c r="K800" i="262"/>
  <c r="K801" i="262"/>
  <c r="L2850" i="262"/>
  <c r="Q1760" i="262"/>
  <c r="D77" i="179"/>
  <c r="J77" i="179"/>
  <c r="L1755" i="262"/>
  <c r="L1756" i="262"/>
  <c r="L1759" i="262"/>
  <c r="L273" i="262"/>
  <c r="L304" i="262"/>
  <c r="L305" i="262"/>
  <c r="L306" i="262"/>
  <c r="L307" i="262"/>
  <c r="K306" i="262"/>
  <c r="K307" i="262"/>
  <c r="L2924" i="262"/>
  <c r="L2925" i="262"/>
  <c r="L2926" i="262"/>
  <c r="L2927" i="262"/>
  <c r="L2928" i="262"/>
  <c r="L2929" i="262"/>
  <c r="K2924" i="262"/>
  <c r="K2925" i="262"/>
  <c r="K2926" i="262"/>
  <c r="K2927" i="262"/>
  <c r="K2928" i="262"/>
  <c r="K2929" i="262"/>
  <c r="K2866" i="262"/>
  <c r="L2866" i="262"/>
  <c r="Q259" i="262"/>
  <c r="Q96" i="262"/>
  <c r="D8" i="179"/>
  <c r="J8" i="179"/>
  <c r="Q194" i="262"/>
  <c r="D14" i="179"/>
  <c r="J14" i="179"/>
  <c r="Q213" i="262"/>
  <c r="K219" i="262"/>
  <c r="L271" i="262"/>
  <c r="L272" i="262"/>
  <c r="L298" i="262"/>
  <c r="L299" i="262"/>
  <c r="L300" i="262"/>
  <c r="L301" i="262"/>
  <c r="L302" i="262"/>
  <c r="L303" i="262"/>
  <c r="K302" i="262"/>
  <c r="K303" i="262"/>
  <c r="K304" i="262"/>
  <c r="K305" i="262"/>
  <c r="L2903" i="262"/>
  <c r="L2904" i="262"/>
  <c r="L2905" i="262"/>
  <c r="L2906" i="262"/>
  <c r="L2907" i="262"/>
  <c r="K2907" i="262"/>
  <c r="K2908" i="262"/>
  <c r="K2909" i="262"/>
  <c r="Q2914" i="262"/>
  <c r="D94" i="179"/>
  <c r="L2970" i="262"/>
  <c r="N1902" i="262"/>
  <c r="D144" i="105"/>
  <c r="H144" i="105"/>
  <c r="K1863" i="262"/>
  <c r="K1864" i="262"/>
  <c r="L1900" i="262"/>
  <c r="L1899" i="262"/>
  <c r="L1897" i="262"/>
  <c r="L1898" i="262"/>
  <c r="L1901" i="262"/>
  <c r="K1897" i="262"/>
  <c r="K1898" i="262"/>
  <c r="K1899" i="262"/>
  <c r="K1900" i="262"/>
  <c r="K1901" i="262"/>
  <c r="K1902" i="262"/>
  <c r="L380" i="262"/>
  <c r="L381" i="262"/>
  <c r="L382" i="262"/>
  <c r="L383" i="262"/>
  <c r="L386" i="262"/>
  <c r="K380" i="262"/>
  <c r="K381" i="262"/>
  <c r="K382" i="262"/>
  <c r="K383" i="262"/>
  <c r="K77" i="262"/>
  <c r="K78" i="262"/>
  <c r="K79" i="262"/>
  <c r="K80" i="262"/>
  <c r="K81" i="262"/>
  <c r="K96" i="262"/>
  <c r="K97" i="262"/>
  <c r="K98" i="262"/>
  <c r="K99" i="262"/>
  <c r="K100" i="262"/>
  <c r="K106" i="262"/>
  <c r="K107" i="262"/>
  <c r="K112" i="262"/>
  <c r="K113" i="262"/>
  <c r="K114" i="262"/>
  <c r="K115" i="262"/>
  <c r="K116" i="262"/>
  <c r="K117" i="262"/>
  <c r="K118" i="262"/>
  <c r="K119" i="262"/>
  <c r="K120" i="262"/>
  <c r="K122" i="262"/>
  <c r="K123" i="262"/>
  <c r="K124" i="262"/>
  <c r="K125" i="262"/>
  <c r="K126" i="262"/>
  <c r="K127" i="262"/>
  <c r="K160" i="262"/>
  <c r="K161" i="262"/>
  <c r="K162" i="262"/>
  <c r="K163" i="262"/>
  <c r="K164" i="262"/>
  <c r="K166" i="262"/>
  <c r="K167" i="262"/>
  <c r="K168" i="262"/>
  <c r="K169" i="262"/>
  <c r="K170" i="262"/>
  <c r="K171" i="262"/>
  <c r="K172" i="262"/>
  <c r="K173" i="262"/>
  <c r="K174" i="262"/>
  <c r="K175" i="262"/>
  <c r="K181" i="262"/>
  <c r="K182" i="262"/>
  <c r="K183" i="262"/>
  <c r="K194" i="262"/>
  <c r="K195" i="262"/>
  <c r="K196" i="262"/>
  <c r="K197" i="262"/>
  <c r="K198" i="262"/>
  <c r="K199" i="262"/>
  <c r="K200" i="262"/>
  <c r="K201" i="262"/>
  <c r="K202" i="262"/>
  <c r="K203" i="262"/>
  <c r="K204" i="262"/>
  <c r="K205" i="262"/>
  <c r="K206" i="262"/>
  <c r="K207" i="262"/>
  <c r="K208" i="262"/>
  <c r="K209" i="262"/>
  <c r="K210" i="262"/>
  <c r="K213" i="262"/>
  <c r="K214" i="262"/>
  <c r="K215" i="262"/>
  <c r="K216" i="262"/>
  <c r="K217" i="262"/>
  <c r="K218" i="262"/>
  <c r="K220" i="262"/>
  <c r="K221" i="262"/>
  <c r="K222" i="262"/>
  <c r="K225" i="262"/>
  <c r="K226" i="262"/>
  <c r="K227" i="262"/>
  <c r="K228" i="262"/>
  <c r="K229" i="262"/>
  <c r="K230" i="262"/>
  <c r="K231" i="262"/>
  <c r="K232" i="262"/>
  <c r="K233" i="262"/>
  <c r="K234" i="262"/>
  <c r="K235" i="262"/>
  <c r="K236" i="262"/>
  <c r="K239" i="262"/>
  <c r="K240" i="262"/>
  <c r="K242" i="262"/>
  <c r="K243" i="262"/>
  <c r="K244" i="262"/>
  <c r="K245" i="262"/>
  <c r="K246" i="262"/>
  <c r="K247" i="262"/>
  <c r="K248" i="262"/>
  <c r="K249" i="262"/>
  <c r="K250" i="262"/>
  <c r="K251" i="262"/>
  <c r="K258" i="262"/>
  <c r="K260" i="262"/>
  <c r="K261" i="262"/>
  <c r="K262" i="262"/>
  <c r="K263" i="262"/>
  <c r="K264" i="262"/>
  <c r="K265" i="262"/>
  <c r="K266" i="262"/>
  <c r="K267" i="262"/>
  <c r="K268" i="262"/>
  <c r="K269" i="262"/>
  <c r="K270" i="262"/>
  <c r="K271" i="262"/>
  <c r="K272" i="262"/>
  <c r="K273" i="262"/>
  <c r="K279" i="262"/>
  <c r="K280" i="262"/>
  <c r="K283" i="262"/>
  <c r="K284" i="262"/>
  <c r="K287" i="262"/>
  <c r="K288" i="262"/>
  <c r="K289" i="262"/>
  <c r="K290" i="262"/>
  <c r="K291" i="262"/>
  <c r="K292" i="262"/>
  <c r="K294" i="262"/>
  <c r="K295" i="262"/>
  <c r="K296" i="262"/>
  <c r="K297" i="262"/>
  <c r="K298" i="262"/>
  <c r="K299" i="262"/>
  <c r="K300" i="262"/>
  <c r="K301" i="262"/>
  <c r="K312" i="262"/>
  <c r="K313" i="262"/>
  <c r="K315" i="262"/>
  <c r="K316" i="262"/>
  <c r="K317" i="262"/>
  <c r="K319" i="262"/>
  <c r="K320" i="262"/>
  <c r="K321" i="262"/>
  <c r="K336" i="262"/>
  <c r="K337" i="262"/>
  <c r="K352" i="262"/>
  <c r="K354" i="262"/>
  <c r="K355" i="262"/>
  <c r="K356" i="262"/>
  <c r="K357" i="262"/>
  <c r="K358" i="262"/>
  <c r="K359" i="262"/>
  <c r="K360" i="262"/>
  <c r="K361" i="262"/>
  <c r="K362" i="262"/>
  <c r="K363" i="262"/>
  <c r="K364" i="262"/>
  <c r="K365" i="262"/>
  <c r="K366" i="262"/>
  <c r="K367" i="262"/>
  <c r="K368" i="262"/>
  <c r="K369" i="262"/>
  <c r="K370" i="262"/>
  <c r="K371" i="262"/>
  <c r="K372" i="262"/>
  <c r="K374" i="262"/>
  <c r="K375" i="262"/>
  <c r="K376" i="262"/>
  <c r="K377" i="262"/>
  <c r="K378" i="262"/>
  <c r="K379" i="262"/>
  <c r="K386" i="262"/>
  <c r="K387" i="262"/>
  <c r="K388" i="262"/>
  <c r="K390" i="262"/>
  <c r="K391" i="262"/>
  <c r="K392" i="262"/>
  <c r="K393" i="262"/>
  <c r="K394" i="262"/>
  <c r="K395" i="262"/>
  <c r="K396" i="262"/>
  <c r="K397" i="262"/>
  <c r="K398" i="262"/>
  <c r="K399" i="262"/>
  <c r="K400" i="262"/>
  <c r="K401" i="262"/>
  <c r="K402" i="262"/>
  <c r="K403" i="262"/>
  <c r="K404" i="262"/>
  <c r="K405" i="262"/>
  <c r="K406" i="262"/>
  <c r="K407" i="262"/>
  <c r="K408" i="262"/>
  <c r="K409" i="262"/>
  <c r="K412" i="262"/>
  <c r="K413" i="262"/>
  <c r="K414" i="262"/>
  <c r="K415" i="262"/>
  <c r="K416" i="262"/>
  <c r="K418" i="262"/>
  <c r="I8" i="353"/>
  <c r="AG8" i="353"/>
  <c r="K419" i="262"/>
  <c r="K420" i="262"/>
  <c r="K421" i="262"/>
  <c r="K422" i="262"/>
  <c r="K423" i="262"/>
  <c r="K424" i="262"/>
  <c r="K425" i="262"/>
  <c r="K426" i="262"/>
  <c r="K427" i="262"/>
  <c r="K428" i="262"/>
  <c r="K429" i="262"/>
  <c r="K430" i="262"/>
  <c r="K431" i="262"/>
  <c r="K432" i="262"/>
  <c r="K433" i="262"/>
  <c r="K434" i="262"/>
  <c r="K435" i="262"/>
  <c r="K436" i="262"/>
  <c r="K437" i="262"/>
  <c r="K438" i="262"/>
  <c r="K439" i="262"/>
  <c r="K440" i="262"/>
  <c r="K441" i="262"/>
  <c r="K443" i="262"/>
  <c r="K444" i="262"/>
  <c r="K445" i="262"/>
  <c r="K446" i="262"/>
  <c r="K447" i="262"/>
  <c r="K450" i="262"/>
  <c r="K451" i="262"/>
  <c r="K452" i="262"/>
  <c r="K453" i="262"/>
  <c r="K454" i="262"/>
  <c r="K455" i="262"/>
  <c r="K456" i="262"/>
  <c r="K457" i="262"/>
  <c r="K458" i="262"/>
  <c r="K459" i="262"/>
  <c r="K460" i="262"/>
  <c r="K461" i="262"/>
  <c r="K462" i="262"/>
  <c r="K463" i="262"/>
  <c r="K464" i="262"/>
  <c r="K465" i="262"/>
  <c r="K466" i="262"/>
  <c r="K467" i="262"/>
  <c r="K468" i="262"/>
  <c r="K469" i="262"/>
  <c r="K470" i="262"/>
  <c r="K471" i="262"/>
  <c r="K472" i="262"/>
  <c r="K473" i="262"/>
  <c r="K474" i="262"/>
  <c r="K475" i="262"/>
  <c r="K476" i="262"/>
  <c r="K477" i="262"/>
  <c r="K478" i="262"/>
  <c r="K479" i="262"/>
  <c r="K480" i="262"/>
  <c r="K481" i="262"/>
  <c r="K482" i="262"/>
  <c r="K483" i="262"/>
  <c r="K484" i="262"/>
  <c r="K485" i="262"/>
  <c r="K486" i="262"/>
  <c r="K487" i="262"/>
  <c r="K488" i="262"/>
  <c r="K489" i="262"/>
  <c r="K490" i="262"/>
  <c r="K491" i="262"/>
  <c r="K492" i="262"/>
  <c r="K493" i="262"/>
  <c r="K494" i="262"/>
  <c r="K495" i="262"/>
  <c r="K496" i="262"/>
  <c r="K497" i="262"/>
  <c r="K498" i="262"/>
  <c r="K499" i="262"/>
  <c r="K500" i="262"/>
  <c r="K501" i="262"/>
  <c r="K502" i="262"/>
  <c r="K503" i="262"/>
  <c r="K504" i="262"/>
  <c r="K505" i="262"/>
  <c r="K506" i="262"/>
  <c r="K507" i="262"/>
  <c r="K508" i="262"/>
  <c r="K509" i="262"/>
  <c r="K510" i="262"/>
  <c r="K511" i="262"/>
  <c r="K512" i="262"/>
  <c r="K513" i="262"/>
  <c r="K514" i="262"/>
  <c r="K515" i="262"/>
  <c r="K516" i="262"/>
  <c r="K517" i="262"/>
  <c r="K518" i="262"/>
  <c r="K519" i="262"/>
  <c r="K520" i="262"/>
  <c r="K521" i="262"/>
  <c r="K522" i="262"/>
  <c r="K523" i="262"/>
  <c r="K524" i="262"/>
  <c r="K525" i="262"/>
  <c r="K526" i="262"/>
  <c r="K527" i="262"/>
  <c r="K528" i="262"/>
  <c r="K529" i="262"/>
  <c r="K530" i="262"/>
  <c r="K531" i="262"/>
  <c r="K532" i="262"/>
  <c r="K533" i="262"/>
  <c r="K534" i="262"/>
  <c r="K535" i="262"/>
  <c r="K536" i="262"/>
  <c r="K537" i="262"/>
  <c r="K538" i="262"/>
  <c r="K539" i="262"/>
  <c r="K540" i="262"/>
  <c r="K541" i="262"/>
  <c r="K542" i="262"/>
  <c r="K543" i="262"/>
  <c r="K544" i="262"/>
  <c r="K545" i="262"/>
  <c r="K546" i="262"/>
  <c r="K547" i="262"/>
  <c r="K548" i="262"/>
  <c r="K549" i="262"/>
  <c r="K550" i="262"/>
  <c r="K551" i="262"/>
  <c r="K552" i="262"/>
  <c r="K553" i="262"/>
  <c r="K554" i="262"/>
  <c r="K555" i="262"/>
  <c r="K556" i="262"/>
  <c r="K557" i="262"/>
  <c r="K558" i="262"/>
  <c r="K559" i="262"/>
  <c r="K560" i="262"/>
  <c r="K561" i="262"/>
  <c r="K562" i="262"/>
  <c r="K563" i="262"/>
  <c r="K564" i="262"/>
  <c r="K565" i="262"/>
  <c r="K566" i="262"/>
  <c r="K567" i="262"/>
  <c r="K568" i="262"/>
  <c r="K569" i="262"/>
  <c r="K570" i="262"/>
  <c r="K571" i="262"/>
  <c r="K572" i="262"/>
  <c r="K573" i="262"/>
  <c r="K574" i="262"/>
  <c r="K575" i="262"/>
  <c r="K576" i="262"/>
  <c r="K577" i="262"/>
  <c r="K578" i="262"/>
  <c r="K579" i="262"/>
  <c r="K580" i="262"/>
  <c r="K581" i="262"/>
  <c r="K582" i="262"/>
  <c r="K583" i="262"/>
  <c r="K584" i="262"/>
  <c r="K585" i="262"/>
  <c r="K586" i="262"/>
  <c r="K587" i="262"/>
  <c r="K588" i="262"/>
  <c r="K589" i="262"/>
  <c r="K590" i="262"/>
  <c r="K591" i="262"/>
  <c r="K592" i="262"/>
  <c r="K593" i="262"/>
  <c r="K594" i="262"/>
  <c r="K595" i="262"/>
  <c r="K596" i="262"/>
  <c r="K597" i="262"/>
  <c r="K598" i="262"/>
  <c r="K599" i="262"/>
  <c r="K600" i="262"/>
  <c r="K601" i="262"/>
  <c r="K602" i="262"/>
  <c r="K603" i="262"/>
  <c r="K604" i="262"/>
  <c r="K605" i="262"/>
  <c r="K606" i="262"/>
  <c r="K607" i="262"/>
  <c r="K608" i="262"/>
  <c r="K609" i="262"/>
  <c r="K610" i="262"/>
  <c r="K611" i="262"/>
  <c r="K612" i="262"/>
  <c r="K613" i="262"/>
  <c r="K614" i="262"/>
  <c r="K615" i="262"/>
  <c r="K616" i="262"/>
  <c r="K617" i="262"/>
  <c r="K618" i="262"/>
  <c r="K619" i="262"/>
  <c r="K620" i="262"/>
  <c r="K621" i="262"/>
  <c r="K622" i="262"/>
  <c r="K623" i="262"/>
  <c r="K624" i="262"/>
  <c r="K625" i="262"/>
  <c r="K626" i="262"/>
  <c r="K627" i="262"/>
  <c r="K628" i="262"/>
  <c r="K629" i="262"/>
  <c r="K630" i="262"/>
  <c r="K631" i="262"/>
  <c r="K632" i="262"/>
  <c r="K633" i="262"/>
  <c r="K634" i="262"/>
  <c r="K635" i="262"/>
  <c r="K636" i="262"/>
  <c r="K637" i="262"/>
  <c r="K638" i="262"/>
  <c r="K639" i="262"/>
  <c r="K640" i="262"/>
  <c r="K641" i="262"/>
  <c r="K642" i="262"/>
  <c r="K643" i="262"/>
  <c r="K644" i="262"/>
  <c r="K645" i="262"/>
  <c r="K646" i="262"/>
  <c r="K647" i="262"/>
  <c r="K648" i="262"/>
  <c r="K649" i="262"/>
  <c r="K650" i="262"/>
  <c r="K651" i="262"/>
  <c r="K652" i="262"/>
  <c r="K653" i="262"/>
  <c r="K654" i="262"/>
  <c r="K655" i="262"/>
  <c r="K656" i="262"/>
  <c r="K657" i="262"/>
  <c r="K658" i="262"/>
  <c r="K659" i="262"/>
  <c r="K660" i="262"/>
  <c r="K661" i="262"/>
  <c r="K662" i="262"/>
  <c r="K663" i="262"/>
  <c r="K664" i="262"/>
  <c r="K665" i="262"/>
  <c r="K666" i="262"/>
  <c r="K667" i="262"/>
  <c r="K668" i="262"/>
  <c r="K669" i="262"/>
  <c r="K670" i="262"/>
  <c r="K671" i="262"/>
  <c r="K672" i="262"/>
  <c r="K673" i="262"/>
  <c r="K674" i="262"/>
  <c r="K675" i="262"/>
  <c r="K676" i="262"/>
  <c r="K677" i="262"/>
  <c r="K678" i="262"/>
  <c r="K679" i="262"/>
  <c r="K680" i="262"/>
  <c r="K681" i="262"/>
  <c r="K682" i="262"/>
  <c r="K683" i="262"/>
  <c r="K684" i="262"/>
  <c r="K685" i="262"/>
  <c r="K686" i="262"/>
  <c r="K687" i="262"/>
  <c r="K688" i="262"/>
  <c r="K689" i="262"/>
  <c r="K690" i="262"/>
  <c r="K691" i="262"/>
  <c r="K692" i="262"/>
  <c r="K693" i="262"/>
  <c r="K694" i="262"/>
  <c r="K695" i="262"/>
  <c r="K696" i="262"/>
  <c r="K697" i="262"/>
  <c r="K698" i="262"/>
  <c r="K699" i="262"/>
  <c r="K700" i="262"/>
  <c r="K701" i="262"/>
  <c r="K702" i="262"/>
  <c r="K703" i="262"/>
  <c r="K704" i="262"/>
  <c r="K705" i="262"/>
  <c r="K706" i="262"/>
  <c r="K707" i="262"/>
  <c r="K708" i="262"/>
  <c r="K709" i="262"/>
  <c r="K710" i="262"/>
  <c r="K711" i="262"/>
  <c r="K712" i="262"/>
  <c r="K713" i="262"/>
  <c r="K714" i="262"/>
  <c r="K715" i="262"/>
  <c r="K716" i="262"/>
  <c r="K717" i="262"/>
  <c r="K718" i="262"/>
  <c r="K719" i="262"/>
  <c r="K720" i="262"/>
  <c r="K721" i="262"/>
  <c r="K722" i="262"/>
  <c r="K723" i="262"/>
  <c r="K724" i="262"/>
  <c r="K725" i="262"/>
  <c r="K726" i="262"/>
  <c r="K727" i="262"/>
  <c r="K728" i="262"/>
  <c r="K729" i="262"/>
  <c r="K730" i="262"/>
  <c r="K731" i="262"/>
  <c r="K732" i="262"/>
  <c r="K733" i="262"/>
  <c r="K734" i="262"/>
  <c r="K735" i="262"/>
  <c r="K736" i="262"/>
  <c r="K737" i="262"/>
  <c r="K738" i="262"/>
  <c r="K739" i="262"/>
  <c r="K740" i="262"/>
  <c r="K741" i="262"/>
  <c r="K742" i="262"/>
  <c r="K743" i="262"/>
  <c r="K744" i="262"/>
  <c r="K745" i="262"/>
  <c r="K746" i="262"/>
  <c r="K747" i="262"/>
  <c r="K748" i="262"/>
  <c r="K749" i="262"/>
  <c r="K750" i="262"/>
  <c r="K751" i="262"/>
  <c r="K752" i="262"/>
  <c r="K753" i="262"/>
  <c r="K754" i="262"/>
  <c r="K755" i="262"/>
  <c r="K756" i="262"/>
  <c r="K757" i="262"/>
  <c r="K758" i="262"/>
  <c r="K759" i="262"/>
  <c r="K760" i="262"/>
  <c r="K761" i="262"/>
  <c r="K762" i="262"/>
  <c r="K763" i="262"/>
  <c r="K764" i="262"/>
  <c r="K765" i="262"/>
  <c r="K766" i="262"/>
  <c r="K767" i="262"/>
  <c r="K768" i="262"/>
  <c r="K769" i="262"/>
  <c r="K770" i="262"/>
  <c r="K863" i="262"/>
  <c r="K864" i="262"/>
  <c r="K865" i="262"/>
  <c r="K866" i="262"/>
  <c r="K867" i="262"/>
  <c r="K869" i="262"/>
  <c r="K870" i="262"/>
  <c r="K871" i="262"/>
  <c r="K872" i="262"/>
  <c r="K873" i="262"/>
  <c r="K874" i="262"/>
  <c r="K875" i="262"/>
  <c r="K876" i="262"/>
  <c r="K877" i="262"/>
  <c r="K878" i="262"/>
  <c r="K879" i="262"/>
  <c r="K880" i="262"/>
  <c r="K881" i="262"/>
  <c r="K882" i="262"/>
  <c r="K883" i="262"/>
  <c r="K884" i="262"/>
  <c r="K885" i="262"/>
  <c r="K886" i="262"/>
  <c r="K887" i="262"/>
  <c r="K888" i="262"/>
  <c r="K889" i="262"/>
  <c r="K890" i="262"/>
  <c r="K891" i="262"/>
  <c r="K892" i="262"/>
  <c r="K893" i="262"/>
  <c r="K894" i="262"/>
  <c r="K895" i="262"/>
  <c r="K896" i="262"/>
  <c r="K897" i="262"/>
  <c r="K898" i="262"/>
  <c r="K899" i="262"/>
  <c r="K900" i="262"/>
  <c r="K901" i="262"/>
  <c r="K902" i="262"/>
  <c r="K903" i="262"/>
  <c r="K904" i="262"/>
  <c r="K905" i="262"/>
  <c r="K906" i="262"/>
  <c r="K907" i="262"/>
  <c r="K908" i="262"/>
  <c r="K909" i="262"/>
  <c r="K910" i="262"/>
  <c r="K911" i="262"/>
  <c r="K912" i="262"/>
  <c r="K913" i="262"/>
  <c r="K914" i="262"/>
  <c r="K916" i="262"/>
  <c r="K917" i="262"/>
  <c r="K918" i="262"/>
  <c r="K919" i="262"/>
  <c r="K920" i="262"/>
  <c r="K921" i="262"/>
  <c r="K922" i="262"/>
  <c r="K923" i="262"/>
  <c r="K924" i="262"/>
  <c r="K925" i="262"/>
  <c r="K926" i="262"/>
  <c r="K927" i="262"/>
  <c r="K928" i="262"/>
  <c r="K929" i="262"/>
  <c r="K930" i="262"/>
  <c r="K931" i="262"/>
  <c r="K932" i="262"/>
  <c r="K933" i="262"/>
  <c r="K934" i="262"/>
  <c r="K935" i="262"/>
  <c r="K936" i="262"/>
  <c r="K937" i="262"/>
  <c r="K938" i="262"/>
  <c r="K939" i="262"/>
  <c r="K940" i="262"/>
  <c r="K941" i="262"/>
  <c r="K942" i="262"/>
  <c r="K943" i="262"/>
  <c r="K944" i="262"/>
  <c r="K945" i="262"/>
  <c r="K946" i="262"/>
  <c r="K947" i="262"/>
  <c r="K948" i="262"/>
  <c r="K949" i="262"/>
  <c r="K950" i="262"/>
  <c r="K951" i="262"/>
  <c r="K952" i="262"/>
  <c r="K953" i="262"/>
  <c r="K954" i="262"/>
  <c r="K967" i="262"/>
  <c r="K968" i="262"/>
  <c r="K969" i="262"/>
  <c r="K970" i="262"/>
  <c r="K971" i="262"/>
  <c r="K972" i="262"/>
  <c r="K973" i="262"/>
  <c r="K974" i="262"/>
  <c r="K975" i="262"/>
  <c r="K984" i="262"/>
  <c r="K985" i="262"/>
  <c r="K986" i="262"/>
  <c r="K987" i="262"/>
  <c r="K988" i="262"/>
  <c r="K989" i="262"/>
  <c r="K990" i="262"/>
  <c r="K991" i="262"/>
  <c r="K992" i="262"/>
  <c r="K993" i="262"/>
  <c r="K994" i="262"/>
  <c r="K995" i="262"/>
  <c r="K996" i="262"/>
  <c r="K997" i="262"/>
  <c r="K998" i="262"/>
  <c r="K999" i="262"/>
  <c r="K1000" i="262"/>
  <c r="K1001" i="262"/>
  <c r="K1002" i="262"/>
  <c r="K1003" i="262"/>
  <c r="K1004" i="262"/>
  <c r="K1005" i="262"/>
  <c r="K1006" i="262"/>
  <c r="K1007" i="262"/>
  <c r="K1008" i="262"/>
  <c r="K1009" i="262"/>
  <c r="K1010" i="262"/>
  <c r="K1011" i="262"/>
  <c r="K1012" i="262"/>
  <c r="K1013" i="262"/>
  <c r="K1014" i="262"/>
  <c r="K1015" i="262"/>
  <c r="K1016" i="262"/>
  <c r="K1017" i="262"/>
  <c r="K1018" i="262"/>
  <c r="K1019" i="262"/>
  <c r="K1020" i="262"/>
  <c r="K1021" i="262"/>
  <c r="K1022" i="262"/>
  <c r="K1023" i="262"/>
  <c r="K1024" i="262"/>
  <c r="K1025" i="262"/>
  <c r="K1026" i="262"/>
  <c r="K1027" i="262"/>
  <c r="K1028" i="262"/>
  <c r="K1029" i="262"/>
  <c r="K1030" i="262"/>
  <c r="K1031" i="262"/>
  <c r="K1032" i="262"/>
  <c r="K1033" i="262"/>
  <c r="K1034" i="262"/>
  <c r="K1035" i="262"/>
  <c r="K1036" i="262"/>
  <c r="K1037" i="262"/>
  <c r="K1038" i="262"/>
  <c r="K1039" i="262"/>
  <c r="K1040" i="262"/>
  <c r="K1041" i="262"/>
  <c r="K1042" i="262"/>
  <c r="K1043" i="262"/>
  <c r="K1044" i="262"/>
  <c r="K1045" i="262"/>
  <c r="K1046" i="262"/>
  <c r="K1047" i="262"/>
  <c r="K1048" i="262"/>
  <c r="K1049" i="262"/>
  <c r="K1050" i="262"/>
  <c r="K1051" i="262"/>
  <c r="K1052" i="262"/>
  <c r="K1053" i="262"/>
  <c r="K1054" i="262"/>
  <c r="K1055" i="262"/>
  <c r="K1056" i="262"/>
  <c r="K1057" i="262"/>
  <c r="K1058" i="262"/>
  <c r="K1059" i="262"/>
  <c r="K1060" i="262"/>
  <c r="K1061" i="262"/>
  <c r="K1062" i="262"/>
  <c r="K1063" i="262"/>
  <c r="K1064" i="262"/>
  <c r="K1065" i="262"/>
  <c r="K1066" i="262"/>
  <c r="K1067" i="262"/>
  <c r="K1068" i="262"/>
  <c r="K1069" i="262"/>
  <c r="K1070" i="262"/>
  <c r="K1071" i="262"/>
  <c r="K1072" i="262"/>
  <c r="K1073" i="262"/>
  <c r="K1074" i="262"/>
  <c r="K1075" i="262"/>
  <c r="K1076" i="262"/>
  <c r="K1077" i="262"/>
  <c r="K1078" i="262"/>
  <c r="K1079" i="262"/>
  <c r="K1080" i="262"/>
  <c r="K1081" i="262"/>
  <c r="K1082" i="262"/>
  <c r="K1083" i="262"/>
  <c r="K1084" i="262"/>
  <c r="K1085" i="262"/>
  <c r="K1086" i="262"/>
  <c r="K1087" i="262"/>
  <c r="K1088" i="262"/>
  <c r="K1089" i="262"/>
  <c r="K1090" i="262"/>
  <c r="K1091" i="262"/>
  <c r="K1092" i="262"/>
  <c r="K1093" i="262"/>
  <c r="K1094" i="262"/>
  <c r="K1095" i="262"/>
  <c r="K1096" i="262"/>
  <c r="K1097" i="262"/>
  <c r="K1098" i="262"/>
  <c r="K1099" i="262"/>
  <c r="K1100" i="262"/>
  <c r="K1101" i="262"/>
  <c r="K1102" i="262"/>
  <c r="K1103" i="262"/>
  <c r="K1104" i="262"/>
  <c r="K1105" i="262"/>
  <c r="K1106" i="262"/>
  <c r="K1107" i="262"/>
  <c r="K1108" i="262"/>
  <c r="K1109" i="262"/>
  <c r="K1110" i="262"/>
  <c r="K1111" i="262"/>
  <c r="K1112" i="262"/>
  <c r="K1113" i="262"/>
  <c r="K1114" i="262"/>
  <c r="K1115" i="262"/>
  <c r="K1116" i="262"/>
  <c r="K1117" i="262"/>
  <c r="K1118" i="262"/>
  <c r="K1119" i="262"/>
  <c r="K1120" i="262"/>
  <c r="K1121" i="262"/>
  <c r="K1122" i="262"/>
  <c r="K1123" i="262"/>
  <c r="K1124" i="262"/>
  <c r="K1125" i="262"/>
  <c r="K1126" i="262"/>
  <c r="K1127" i="262"/>
  <c r="K1128" i="262"/>
  <c r="K1129" i="262"/>
  <c r="K1130" i="262"/>
  <c r="K1131" i="262"/>
  <c r="K1132" i="262"/>
  <c r="K1133" i="262"/>
  <c r="K1134" i="262"/>
  <c r="K1135" i="262"/>
  <c r="K1136" i="262"/>
  <c r="K1137" i="262"/>
  <c r="K1138" i="262"/>
  <c r="K1139" i="262"/>
  <c r="K1140" i="262"/>
  <c r="K1141" i="262"/>
  <c r="K1142" i="262"/>
  <c r="K1143" i="262"/>
  <c r="K1144" i="262"/>
  <c r="K1145" i="262"/>
  <c r="K1146" i="262"/>
  <c r="K1147" i="262"/>
  <c r="K1148" i="262"/>
  <c r="K1149" i="262"/>
  <c r="K1150" i="262"/>
  <c r="K1151" i="262"/>
  <c r="K1152" i="262"/>
  <c r="K1153" i="262"/>
  <c r="K1154" i="262"/>
  <c r="K1155" i="262"/>
  <c r="K1156" i="262"/>
  <c r="K1157" i="262"/>
  <c r="K1158" i="262"/>
  <c r="K1159" i="262"/>
  <c r="K1160" i="262"/>
  <c r="K1161" i="262"/>
  <c r="K1162" i="262"/>
  <c r="K1163" i="262"/>
  <c r="K1164" i="262"/>
  <c r="K1165" i="262"/>
  <c r="K1166" i="262"/>
  <c r="K1167" i="262"/>
  <c r="K1168" i="262"/>
  <c r="K1169" i="262"/>
  <c r="K1170" i="262"/>
  <c r="K1171" i="262"/>
  <c r="K1172" i="262"/>
  <c r="K1173" i="262"/>
  <c r="K1174" i="262"/>
  <c r="K1175" i="262"/>
  <c r="K1176" i="262"/>
  <c r="K1177" i="262"/>
  <c r="K1178" i="262"/>
  <c r="K1179" i="262"/>
  <c r="K1180" i="262"/>
  <c r="K1181" i="262"/>
  <c r="K1182" i="262"/>
  <c r="K1183" i="262"/>
  <c r="K1184" i="262"/>
  <c r="K1185" i="262"/>
  <c r="K1186" i="262"/>
  <c r="K1187" i="262"/>
  <c r="K1188" i="262"/>
  <c r="K1189" i="262"/>
  <c r="K1190" i="262"/>
  <c r="K1191" i="262"/>
  <c r="K1192" i="262"/>
  <c r="K1193" i="262"/>
  <c r="K1194" i="262"/>
  <c r="K1195" i="262"/>
  <c r="K1196" i="262"/>
  <c r="K1197" i="262"/>
  <c r="K1198" i="262"/>
  <c r="K1199" i="262"/>
  <c r="K1200" i="262"/>
  <c r="K1201" i="262"/>
  <c r="K1202" i="262"/>
  <c r="K1203" i="262"/>
  <c r="K1204" i="262"/>
  <c r="K1205" i="262"/>
  <c r="K1206" i="262"/>
  <c r="K1207" i="262"/>
  <c r="K1208" i="262"/>
  <c r="K1209" i="262"/>
  <c r="K1210" i="262"/>
  <c r="K1211" i="262"/>
  <c r="K1212" i="262"/>
  <c r="K1213" i="262"/>
  <c r="K1214" i="262"/>
  <c r="K1215" i="262"/>
  <c r="K1216" i="262"/>
  <c r="K1217" i="262"/>
  <c r="K1218" i="262"/>
  <c r="K1219" i="262"/>
  <c r="K1220" i="262"/>
  <c r="K1221" i="262"/>
  <c r="K1222" i="262"/>
  <c r="K1223" i="262"/>
  <c r="K1224" i="262"/>
  <c r="K1225" i="262"/>
  <c r="K1226" i="262"/>
  <c r="K1227" i="262"/>
  <c r="K1228" i="262"/>
  <c r="K1229" i="262"/>
  <c r="K1230" i="262"/>
  <c r="K1231" i="262"/>
  <c r="K1232" i="262"/>
  <c r="K1233" i="262"/>
  <c r="K1234" i="262"/>
  <c r="K1235" i="262"/>
  <c r="K1236" i="262"/>
  <c r="K1237" i="262"/>
  <c r="K1238" i="262"/>
  <c r="K1239" i="262"/>
  <c r="K1240" i="262"/>
  <c r="K1241" i="262"/>
  <c r="K1242" i="262"/>
  <c r="K1243" i="262"/>
  <c r="K1244" i="262"/>
  <c r="K1245" i="262"/>
  <c r="K1246" i="262"/>
  <c r="K1247" i="262"/>
  <c r="K1248" i="262"/>
  <c r="K1249" i="262"/>
  <c r="K1250" i="262"/>
  <c r="K1251" i="262"/>
  <c r="K1252" i="262"/>
  <c r="K1253" i="262"/>
  <c r="K1254" i="262"/>
  <c r="K1255" i="262"/>
  <c r="K1256" i="262"/>
  <c r="K1257" i="262"/>
  <c r="K1258" i="262"/>
  <c r="K1259" i="262"/>
  <c r="K1260" i="262"/>
  <c r="K1261" i="262"/>
  <c r="K1262" i="262"/>
  <c r="K1263" i="262"/>
  <c r="K1264" i="262"/>
  <c r="K1265" i="262"/>
  <c r="K1266" i="262"/>
  <c r="K1347" i="262"/>
  <c r="K1349" i="262"/>
  <c r="K1350" i="262"/>
  <c r="K1351" i="262"/>
  <c r="K1352" i="262"/>
  <c r="K1353" i="262"/>
  <c r="K1354" i="262"/>
  <c r="K1355" i="262"/>
  <c r="K1356" i="262"/>
  <c r="K1357" i="262"/>
  <c r="K1358" i="262"/>
  <c r="K1359" i="262"/>
  <c r="K1360" i="262"/>
  <c r="K1368" i="262"/>
  <c r="K1369" i="262"/>
  <c r="K1375" i="262"/>
  <c r="K1376" i="262"/>
  <c r="K1377" i="262"/>
  <c r="K1378" i="262"/>
  <c r="K1379" i="262"/>
  <c r="K1380" i="262"/>
  <c r="K1381" i="262"/>
  <c r="K1382" i="262"/>
  <c r="K1383" i="262"/>
  <c r="K1384" i="262"/>
  <c r="K1385" i="262"/>
  <c r="K1401" i="262"/>
  <c r="K1402" i="262"/>
  <c r="K1406" i="262"/>
  <c r="K1407" i="262"/>
  <c r="K1408" i="262"/>
  <c r="K1409" i="262"/>
  <c r="K1410" i="262"/>
  <c r="K1411" i="262"/>
  <c r="K1412" i="262"/>
  <c r="K1413" i="262"/>
  <c r="K1414" i="262"/>
  <c r="K1415" i="262"/>
  <c r="K1416" i="262"/>
  <c r="K1417" i="262"/>
  <c r="K1418" i="262"/>
  <c r="K1419" i="262"/>
  <c r="K1420" i="262"/>
  <c r="K1421" i="262"/>
  <c r="K1422" i="262"/>
  <c r="K1423" i="262"/>
  <c r="K1424" i="262"/>
  <c r="K1425" i="262"/>
  <c r="K1426" i="262"/>
  <c r="K1427" i="262"/>
  <c r="K1428" i="262"/>
  <c r="K1429" i="262"/>
  <c r="K1430" i="262"/>
  <c r="K1431" i="262"/>
  <c r="K1432" i="262"/>
  <c r="K1433" i="262"/>
  <c r="K1434" i="262"/>
  <c r="K1435" i="262"/>
  <c r="K1436" i="262"/>
  <c r="K1437" i="262"/>
  <c r="K1438" i="262"/>
  <c r="K1439" i="262"/>
  <c r="K1440" i="262"/>
  <c r="K1441" i="262"/>
  <c r="K1442" i="262"/>
  <c r="K1443" i="262"/>
  <c r="K1444" i="262"/>
  <c r="K1445" i="262"/>
  <c r="K1446" i="262"/>
  <c r="K1447" i="262"/>
  <c r="K1448" i="262"/>
  <c r="K1449" i="262"/>
  <c r="K1450" i="262"/>
  <c r="K1451" i="262"/>
  <c r="K1452" i="262"/>
  <c r="K1453" i="262"/>
  <c r="K1454" i="262"/>
  <c r="K1455" i="262"/>
  <c r="K1456" i="262"/>
  <c r="K1457" i="262"/>
  <c r="K1458" i="262"/>
  <c r="K1459" i="262"/>
  <c r="K1460" i="262"/>
  <c r="K1461" i="262"/>
  <c r="K1462" i="262"/>
  <c r="K1463" i="262"/>
  <c r="K1464" i="262"/>
  <c r="K1465" i="262"/>
  <c r="K1466" i="262"/>
  <c r="K1467" i="262"/>
  <c r="K1468" i="262"/>
  <c r="K1469" i="262"/>
  <c r="K1470" i="262"/>
  <c r="K1471" i="262"/>
  <c r="K1472" i="262"/>
  <c r="K1473" i="262"/>
  <c r="K1474" i="262"/>
  <c r="K1475" i="262"/>
  <c r="K1476" i="262"/>
  <c r="K1477" i="262"/>
  <c r="K1478" i="262"/>
  <c r="K1479" i="262"/>
  <c r="K1480" i="262"/>
  <c r="K1481" i="262"/>
  <c r="K1482" i="262"/>
  <c r="K1483" i="262"/>
  <c r="K1484" i="262"/>
  <c r="K1485" i="262"/>
  <c r="K1486" i="262"/>
  <c r="K1487" i="262"/>
  <c r="K1488" i="262"/>
  <c r="K1489" i="262"/>
  <c r="K1490" i="262"/>
  <c r="K1491" i="262"/>
  <c r="K1492" i="262"/>
  <c r="K1493" i="262"/>
  <c r="K1494" i="262"/>
  <c r="K1495" i="262"/>
  <c r="K1496" i="262"/>
  <c r="K1497" i="262"/>
  <c r="K1498" i="262"/>
  <c r="K1499" i="262"/>
  <c r="K1500" i="262"/>
  <c r="K1501" i="262"/>
  <c r="K1502" i="262"/>
  <c r="K1503" i="262"/>
  <c r="K1504" i="262"/>
  <c r="K1505" i="262"/>
  <c r="K1506" i="262"/>
  <c r="K1507" i="262"/>
  <c r="K1508" i="262"/>
  <c r="K1509" i="262"/>
  <c r="K1510" i="262"/>
  <c r="K1511" i="262"/>
  <c r="K1512" i="262"/>
  <c r="K1513" i="262"/>
  <c r="K1514" i="262"/>
  <c r="K1515" i="262"/>
  <c r="K1516" i="262"/>
  <c r="K1517" i="262"/>
  <c r="K1518" i="262"/>
  <c r="K1519" i="262"/>
  <c r="K1520" i="262"/>
  <c r="K1521" i="262"/>
  <c r="K1522" i="262"/>
  <c r="K1523" i="262"/>
  <c r="K1524" i="262"/>
  <c r="K1525" i="262"/>
  <c r="K1526" i="262"/>
  <c r="K1527" i="262"/>
  <c r="K1528" i="262"/>
  <c r="K1529" i="262"/>
  <c r="K1530" i="262"/>
  <c r="K1531" i="262"/>
  <c r="K1532" i="262"/>
  <c r="K1533" i="262"/>
  <c r="K1534" i="262"/>
  <c r="K1535" i="262"/>
  <c r="K1536" i="262"/>
  <c r="K1537" i="262"/>
  <c r="K1538" i="262"/>
  <c r="K1539" i="262"/>
  <c r="K1540" i="262"/>
  <c r="K1541" i="262"/>
  <c r="K1542" i="262"/>
  <c r="K1543" i="262"/>
  <c r="K1544" i="262"/>
  <c r="K1545" i="262"/>
  <c r="K1546" i="262"/>
  <c r="K1547" i="262"/>
  <c r="K1548" i="262"/>
  <c r="K1549" i="262"/>
  <c r="K1550" i="262"/>
  <c r="K1551" i="262"/>
  <c r="K1552" i="262"/>
  <c r="K1553" i="262"/>
  <c r="K1554" i="262"/>
  <c r="K1555" i="262"/>
  <c r="K1556" i="262"/>
  <c r="K1587" i="262"/>
  <c r="K1589" i="262"/>
  <c r="K1590" i="262"/>
  <c r="K1591" i="262"/>
  <c r="K1592" i="262"/>
  <c r="K1593" i="262"/>
  <c r="K1594" i="262"/>
  <c r="K1595" i="262"/>
  <c r="K1596" i="262"/>
  <c r="K1597" i="262"/>
  <c r="K1599" i="262"/>
  <c r="K1600" i="262"/>
  <c r="K1601" i="262"/>
  <c r="K1603" i="262"/>
  <c r="K1604" i="262"/>
  <c r="K1605" i="262"/>
  <c r="K1606" i="262"/>
  <c r="K1607" i="262"/>
  <c r="K1608" i="262"/>
  <c r="K1609" i="262"/>
  <c r="K1610" i="262"/>
  <c r="K1611" i="262"/>
  <c r="K1612" i="262"/>
  <c r="K1613" i="262"/>
  <c r="K1617" i="262"/>
  <c r="K1618" i="262"/>
  <c r="K1619" i="262"/>
  <c r="K1620" i="262"/>
  <c r="K1621" i="262"/>
  <c r="K1622" i="262"/>
  <c r="K1625" i="262"/>
  <c r="K1626" i="262"/>
  <c r="K1627" i="262"/>
  <c r="K1630" i="262"/>
  <c r="K1631" i="262"/>
  <c r="K1632" i="262"/>
  <c r="K1633" i="262"/>
  <c r="K1634" i="262"/>
  <c r="K1635" i="262"/>
  <c r="K1638" i="262"/>
  <c r="K1639" i="262"/>
  <c r="K1640" i="262"/>
  <c r="K1641" i="262"/>
  <c r="K1642" i="262"/>
  <c r="K1643" i="262"/>
  <c r="K1644" i="262"/>
  <c r="K1645" i="262"/>
  <c r="K1646" i="262"/>
  <c r="K1647" i="262"/>
  <c r="K1649" i="262"/>
  <c r="K1650" i="262"/>
  <c r="K1651" i="262"/>
  <c r="K1654" i="262"/>
  <c r="K1659" i="262"/>
  <c r="K1660" i="262"/>
  <c r="K1661" i="262"/>
  <c r="K1662" i="262"/>
  <c r="K1663" i="262"/>
  <c r="K1664" i="262"/>
  <c r="K1665" i="262"/>
  <c r="K1666" i="262"/>
  <c r="K1667" i="262"/>
  <c r="K1668" i="262"/>
  <c r="K1669" i="262"/>
  <c r="K1670" i="262"/>
  <c r="K1671" i="262"/>
  <c r="K1672" i="262"/>
  <c r="K1673" i="262"/>
  <c r="K1674" i="262"/>
  <c r="K1676" i="262"/>
  <c r="K1677" i="262"/>
  <c r="K1678" i="262"/>
  <c r="K1679" i="262"/>
  <c r="K1680" i="262"/>
  <c r="K1681" i="262"/>
  <c r="K1682" i="262"/>
  <c r="K1683" i="262"/>
  <c r="K1687" i="262"/>
  <c r="K1688" i="262"/>
  <c r="K1689" i="262"/>
  <c r="K1690" i="262"/>
  <c r="K1691" i="262"/>
  <c r="K1692" i="262"/>
  <c r="K1693" i="262"/>
  <c r="K1694" i="262"/>
  <c r="K1695" i="262"/>
  <c r="K1696" i="262"/>
  <c r="K1697" i="262"/>
  <c r="K1698" i="262"/>
  <c r="K1699" i="262"/>
  <c r="K1700" i="262"/>
  <c r="K1701" i="262"/>
  <c r="K1702" i="262"/>
  <c r="K1703" i="262"/>
  <c r="K1704" i="262"/>
  <c r="K1705" i="262"/>
  <c r="K1706" i="262"/>
  <c r="K1708" i="262"/>
  <c r="K1709" i="262"/>
  <c r="K1710" i="262"/>
  <c r="K1711" i="262"/>
  <c r="K1713" i="262"/>
  <c r="K1714" i="262"/>
  <c r="K1715" i="262"/>
  <c r="K1862" i="262"/>
  <c r="K1881" i="262"/>
  <c r="K1882" i="262"/>
  <c r="K1883" i="262"/>
  <c r="K1884" i="262"/>
  <c r="K1885" i="262"/>
  <c r="K1886" i="262"/>
  <c r="K1887" i="262"/>
  <c r="K1894" i="262"/>
  <c r="K1895" i="262"/>
  <c r="K1896" i="262"/>
  <c r="K1903" i="262"/>
  <c r="K1911" i="262"/>
  <c r="K1912" i="262"/>
  <c r="K1913" i="262"/>
  <c r="K1914" i="262"/>
  <c r="K1915" i="262"/>
  <c r="K1916" i="262"/>
  <c r="K1917" i="262"/>
  <c r="K1918" i="262"/>
  <c r="K1919" i="262"/>
  <c r="K1920" i="262"/>
  <c r="K1924" i="262"/>
  <c r="K1925" i="262"/>
  <c r="K1926" i="262"/>
  <c r="K1931" i="262"/>
  <c r="K1932" i="262"/>
  <c r="K1933" i="262"/>
  <c r="K1934" i="262"/>
  <c r="K1935" i="262"/>
  <c r="K1936" i="262"/>
  <c r="K1938" i="262"/>
  <c r="K1939" i="262"/>
  <c r="K1940" i="262"/>
  <c r="K1942" i="262"/>
  <c r="K1943" i="262"/>
  <c r="K1945" i="262"/>
  <c r="K1946" i="262"/>
  <c r="K1947" i="262"/>
  <c r="K2852" i="262"/>
  <c r="K2853" i="262"/>
  <c r="K2854" i="262"/>
  <c r="K2855" i="262"/>
  <c r="K2856" i="262"/>
  <c r="K2857" i="262"/>
  <c r="K2858" i="262"/>
  <c r="K2859" i="262"/>
  <c r="K2862" i="262"/>
  <c r="K2863" i="262"/>
  <c r="K2864" i="262"/>
  <c r="K2865" i="262"/>
  <c r="K2867" i="262"/>
  <c r="K2870" i="262"/>
  <c r="K2871" i="262"/>
  <c r="K2881" i="262"/>
  <c r="K2882" i="262"/>
  <c r="K2883" i="262"/>
  <c r="K2884" i="262"/>
  <c r="K2885" i="262"/>
  <c r="K2886" i="262"/>
  <c r="K2887" i="262"/>
  <c r="K2888" i="262"/>
  <c r="K2889" i="262"/>
  <c r="K2890" i="262"/>
  <c r="K2891" i="262"/>
  <c r="K2892" i="262"/>
  <c r="K2893" i="262"/>
  <c r="K2895" i="262"/>
  <c r="K2896" i="262"/>
  <c r="K2897" i="262"/>
  <c r="K2898" i="262"/>
  <c r="K2899" i="262"/>
  <c r="K2900" i="262"/>
  <c r="K2901" i="262"/>
  <c r="K2903" i="262"/>
  <c r="K2904" i="262"/>
  <c r="K2905" i="262"/>
  <c r="K2906" i="262"/>
  <c r="K2916" i="262"/>
  <c r="K2920" i="262"/>
  <c r="K2930" i="262"/>
  <c r="K2931" i="262"/>
  <c r="K2933" i="262"/>
  <c r="K2934" i="262"/>
  <c r="K2938" i="262"/>
  <c r="K2939" i="262"/>
  <c r="K2947" i="262"/>
  <c r="K2948" i="262"/>
  <c r="K2949" i="262"/>
  <c r="K2963" i="262"/>
  <c r="K2964" i="262"/>
  <c r="K2965" i="262"/>
  <c r="K2966" i="262"/>
  <c r="K2967" i="262"/>
  <c r="K2968" i="262"/>
  <c r="K2969" i="262"/>
  <c r="K2971" i="262"/>
  <c r="K2972" i="262"/>
  <c r="K2975" i="262"/>
  <c r="K2976" i="262"/>
  <c r="K2977" i="262"/>
  <c r="K2978" i="262"/>
  <c r="K2979" i="262"/>
  <c r="K2980" i="262"/>
  <c r="K2981" i="262"/>
  <c r="K2982" i="262"/>
  <c r="K2983" i="262"/>
  <c r="K2984" i="262"/>
  <c r="K2985" i="262"/>
  <c r="K2987" i="262"/>
  <c r="K2988" i="262"/>
  <c r="K2989" i="262"/>
  <c r="K2990" i="262"/>
  <c r="K3007" i="262"/>
  <c r="K3009" i="262"/>
  <c r="K3010" i="262"/>
  <c r="K3011" i="262"/>
  <c r="K3015" i="262"/>
  <c r="K3016" i="262"/>
  <c r="K3017" i="262"/>
  <c r="K3018" i="262"/>
  <c r="K3028" i="262"/>
  <c r="K3029" i="262"/>
  <c r="K3030" i="262"/>
  <c r="K3033" i="262"/>
  <c r="K3034" i="262"/>
  <c r="K3035" i="262"/>
  <c r="K3036" i="262"/>
  <c r="K3037" i="262"/>
  <c r="K3038" i="262"/>
  <c r="K3039" i="262"/>
  <c r="K3040" i="262"/>
  <c r="K3041" i="262"/>
  <c r="K3042" i="262"/>
  <c r="K3043" i="262"/>
  <c r="K3044" i="262"/>
  <c r="K3045" i="262"/>
  <c r="K3046" i="262"/>
  <c r="K3047" i="262"/>
  <c r="K3049" i="262"/>
  <c r="K3050" i="262"/>
  <c r="K3051" i="262"/>
  <c r="K3052" i="262"/>
  <c r="K3053" i="262"/>
  <c r="K3054" i="262"/>
  <c r="K3055" i="262"/>
  <c r="K3056" i="262"/>
  <c r="K3057" i="262"/>
  <c r="K3058" i="262"/>
  <c r="K3059" i="262"/>
  <c r="K3060" i="262"/>
  <c r="K3061" i="262"/>
  <c r="K3062" i="262"/>
  <c r="K3063" i="262"/>
  <c r="K3065" i="262"/>
  <c r="K3066" i="262"/>
  <c r="K13" i="262"/>
  <c r="K14" i="262"/>
  <c r="K15" i="262"/>
  <c r="K16" i="262"/>
  <c r="K17" i="262"/>
  <c r="K18" i="262"/>
  <c r="K19" i="262"/>
  <c r="K20" i="262"/>
  <c r="K21" i="262"/>
  <c r="K22" i="262"/>
  <c r="K23" i="262"/>
  <c r="K24" i="262"/>
  <c r="K25" i="262"/>
  <c r="K26" i="262"/>
  <c r="K27" i="262"/>
  <c r="K28" i="262"/>
  <c r="K29" i="262"/>
  <c r="K30" i="262"/>
  <c r="K31" i="262"/>
  <c r="K32" i="262"/>
  <c r="K33" i="262"/>
  <c r="K34" i="262"/>
  <c r="K35" i="262"/>
  <c r="K36" i="262"/>
  <c r="K37" i="262"/>
  <c r="K38" i="262"/>
  <c r="K39" i="262"/>
  <c r="K40" i="262"/>
  <c r="K41" i="262"/>
  <c r="K42" i="262"/>
  <c r="K43" i="262"/>
  <c r="K44" i="262"/>
  <c r="K45" i="262"/>
  <c r="K46" i="262"/>
  <c r="K47" i="262"/>
  <c r="K48" i="262"/>
  <c r="K49" i="262"/>
  <c r="K50" i="262"/>
  <c r="K51" i="262"/>
  <c r="K52" i="262"/>
  <c r="K53" i="262"/>
  <c r="K56" i="262"/>
  <c r="K59" i="262"/>
  <c r="K61" i="262"/>
  <c r="K63" i="262"/>
  <c r="K76" i="262"/>
  <c r="K12" i="262"/>
  <c r="L1625" i="262"/>
  <c r="L1626" i="262"/>
  <c r="L1627" i="262"/>
  <c r="L1630" i="262"/>
  <c r="L1631" i="262"/>
  <c r="L1632" i="262"/>
  <c r="L1633" i="262"/>
  <c r="L1634" i="262"/>
  <c r="L1635" i="262"/>
  <c r="L1638" i="262"/>
  <c r="L1639" i="262"/>
  <c r="L1640" i="262"/>
  <c r="L1641" i="262"/>
  <c r="L1642" i="262"/>
  <c r="L1643" i="262"/>
  <c r="L1644" i="262"/>
  <c r="L1645" i="262"/>
  <c r="L1646" i="262"/>
  <c r="L1647" i="262"/>
  <c r="L1615" i="262"/>
  <c r="L1616" i="262"/>
  <c r="L1617" i="262"/>
  <c r="L1618" i="262"/>
  <c r="L1619" i="262"/>
  <c r="L1620" i="262"/>
  <c r="L1621" i="262"/>
  <c r="L1622" i="262"/>
  <c r="L933" i="262"/>
  <c r="L443" i="262"/>
  <c r="L444" i="262"/>
  <c r="N398" i="262"/>
  <c r="G31" i="351"/>
  <c r="O967" i="262"/>
  <c r="N967" i="262"/>
  <c r="L1723" i="262"/>
  <c r="L1724" i="262"/>
  <c r="L1725" i="262"/>
  <c r="L1726" i="262"/>
  <c r="L1727" i="262"/>
  <c r="L1728" i="262"/>
  <c r="L1729" i="262"/>
  <c r="L1730" i="262"/>
  <c r="L1731" i="262"/>
  <c r="L1732" i="262"/>
  <c r="L1733" i="262"/>
  <c r="L1734" i="262"/>
  <c r="L1735" i="262"/>
  <c r="C16" i="179"/>
  <c r="C79" i="179"/>
  <c r="C82" i="179"/>
  <c r="C31" i="179"/>
  <c r="Q347" i="262"/>
  <c r="D23" i="179"/>
  <c r="J23" i="179"/>
  <c r="O347" i="262"/>
  <c r="L264" i="262"/>
  <c r="L265" i="262"/>
  <c r="L266" i="262"/>
  <c r="L267" i="262"/>
  <c r="L268" i="262"/>
  <c r="L269" i="262"/>
  <c r="L270" i="262"/>
  <c r="L2901" i="262"/>
  <c r="L1680" i="262"/>
  <c r="L1681" i="262"/>
  <c r="L1682" i="262"/>
  <c r="L1683" i="262"/>
  <c r="L341" i="262"/>
  <c r="N416" i="262"/>
  <c r="P416" i="262"/>
  <c r="D57" i="105"/>
  <c r="H57" i="105"/>
  <c r="Q412" i="262"/>
  <c r="D35" i="179"/>
  <c r="J35" i="179"/>
  <c r="G417" i="262"/>
  <c r="K417" i="262"/>
  <c r="C8" i="351"/>
  <c r="Q416" i="262"/>
  <c r="N412" i="262"/>
  <c r="L1350" i="262"/>
  <c r="L2892" i="262"/>
  <c r="L447" i="262"/>
  <c r="L450" i="262"/>
  <c r="L451" i="262"/>
  <c r="Q1924" i="262"/>
  <c r="D67" i="179"/>
  <c r="J67" i="179"/>
  <c r="L1918" i="262"/>
  <c r="L1919" i="262"/>
  <c r="L1920" i="262"/>
  <c r="Q1687" i="262"/>
  <c r="D88" i="179"/>
  <c r="J88" i="179"/>
  <c r="Q387" i="262"/>
  <c r="D32" i="179"/>
  <c r="J32" i="179"/>
  <c r="N387" i="262"/>
  <c r="Z7" i="349"/>
  <c r="Z8" i="349"/>
  <c r="Z9" i="349"/>
  <c r="Z10" i="349"/>
  <c r="Z11" i="349"/>
  <c r="Z12" i="349"/>
  <c r="Z13" i="349"/>
  <c r="Z14" i="349"/>
  <c r="Z15" i="349"/>
  <c r="Z16" i="349"/>
  <c r="Z17" i="349"/>
  <c r="Z19" i="349"/>
  <c r="Z20" i="349"/>
  <c r="Z24" i="349"/>
  <c r="F28" i="350"/>
  <c r="J28" i="350"/>
  <c r="K28" i="350"/>
  <c r="Z21" i="349"/>
  <c r="Z22" i="349"/>
  <c r="Z23" i="349"/>
  <c r="A2" i="353"/>
  <c r="H21" i="353"/>
  <c r="J21" i="353"/>
  <c r="K21" i="353"/>
  <c r="M21" i="353"/>
  <c r="N21" i="353"/>
  <c r="O21" i="353"/>
  <c r="N23" i="353"/>
  <c r="P21" i="353"/>
  <c r="Q21" i="353"/>
  <c r="R21" i="353"/>
  <c r="S21" i="353"/>
  <c r="T21" i="353"/>
  <c r="U21" i="353"/>
  <c r="W21" i="353"/>
  <c r="X21" i="353"/>
  <c r="Y21" i="353"/>
  <c r="Z21" i="353"/>
  <c r="AA21" i="353"/>
  <c r="AB21" i="353"/>
  <c r="AC21" i="353"/>
  <c r="AD21" i="353"/>
  <c r="AE21" i="353"/>
  <c r="AF21" i="353"/>
  <c r="D24" i="353"/>
  <c r="E24" i="353"/>
  <c r="D15" i="351"/>
  <c r="K30" i="351"/>
  <c r="G9" i="262"/>
  <c r="J9" i="262"/>
  <c r="N9" i="262"/>
  <c r="L12" i="262"/>
  <c r="U12" i="262"/>
  <c r="A13" i="262"/>
  <c r="A22" i="262"/>
  <c r="A32" i="262"/>
  <c r="A33" i="262"/>
  <c r="A35" i="262"/>
  <c r="A36" i="262"/>
  <c r="A38" i="262"/>
  <c r="A39" i="262"/>
  <c r="A40" i="262"/>
  <c r="A41" i="262"/>
  <c r="A42" i="262"/>
  <c r="L48" i="262"/>
  <c r="N106" i="262"/>
  <c r="O106" i="262"/>
  <c r="N112" i="262"/>
  <c r="O112" i="262"/>
  <c r="Q112" i="262"/>
  <c r="D10" i="179"/>
  <c r="O116" i="262"/>
  <c r="P116" i="262"/>
  <c r="D19" i="105"/>
  <c r="H19" i="105"/>
  <c r="O159" i="262"/>
  <c r="Q159" i="262"/>
  <c r="D11" i="179"/>
  <c r="J11" i="179"/>
  <c r="U159" i="262"/>
  <c r="U161" i="262"/>
  <c r="U162" i="262"/>
  <c r="O194" i="262"/>
  <c r="U194" i="262"/>
  <c r="U196" i="262"/>
  <c r="U197" i="262"/>
  <c r="U198" i="262"/>
  <c r="U199" i="262"/>
  <c r="U200" i="262"/>
  <c r="U201" i="262"/>
  <c r="U202" i="262"/>
  <c r="U203" i="262"/>
  <c r="U204" i="262"/>
  <c r="N213" i="262"/>
  <c r="O213" i="262"/>
  <c r="N217" i="262"/>
  <c r="O217" i="262"/>
  <c r="Q217" i="262"/>
  <c r="N221" i="262"/>
  <c r="O221" i="262"/>
  <c r="Q221" i="262"/>
  <c r="D9" i="179"/>
  <c r="N225" i="262"/>
  <c r="O225" i="262"/>
  <c r="Q225" i="262"/>
  <c r="D12" i="179"/>
  <c r="J12" i="179"/>
  <c r="N228" i="262"/>
  <c r="O228" i="262"/>
  <c r="Q228" i="262"/>
  <c r="U230" i="262"/>
  <c r="U231" i="262"/>
  <c r="U232" i="262"/>
  <c r="U233" i="262"/>
  <c r="U234" i="262"/>
  <c r="U235" i="262"/>
  <c r="U236" i="262"/>
  <c r="N239" i="262"/>
  <c r="O239" i="262"/>
  <c r="Q239" i="262"/>
  <c r="D13" i="179"/>
  <c r="U239" i="262"/>
  <c r="N243" i="262"/>
  <c r="O243" i="262"/>
  <c r="Q243" i="262"/>
  <c r="U244" i="262"/>
  <c r="U245" i="262"/>
  <c r="U246" i="262"/>
  <c r="U247" i="262"/>
  <c r="U248" i="262"/>
  <c r="N258" i="262"/>
  <c r="O258" i="262"/>
  <c r="Q258" i="262"/>
  <c r="U258" i="262"/>
  <c r="G259" i="262"/>
  <c r="K259" i="262"/>
  <c r="C5" i="351"/>
  <c r="J259" i="262"/>
  <c r="S259" i="262"/>
  <c r="T259" i="262"/>
  <c r="V259" i="262"/>
  <c r="L261" i="262"/>
  <c r="L263" i="262"/>
  <c r="U263" i="262"/>
  <c r="L279" i="262"/>
  <c r="O279" i="262"/>
  <c r="Q279" i="262"/>
  <c r="D17" i="179"/>
  <c r="L280" i="262"/>
  <c r="L282" i="262"/>
  <c r="L283" i="262"/>
  <c r="N283" i="262"/>
  <c r="O283" i="262"/>
  <c r="Q283" i="262"/>
  <c r="D22" i="179"/>
  <c r="J22" i="179"/>
  <c r="L287" i="262"/>
  <c r="N287" i="262"/>
  <c r="O287" i="262"/>
  <c r="Q287" i="262"/>
  <c r="D21" i="179"/>
  <c r="J21" i="179"/>
  <c r="L288" i="262"/>
  <c r="L289" i="262"/>
  <c r="L290" i="262"/>
  <c r="L291" i="262"/>
  <c r="L292" i="262"/>
  <c r="L294" i="262"/>
  <c r="L295" i="262"/>
  <c r="U295" i="262"/>
  <c r="N295" i="262"/>
  <c r="O295" i="262"/>
  <c r="Q295" i="262"/>
  <c r="L296" i="262"/>
  <c r="L297" i="262"/>
  <c r="L312" i="262"/>
  <c r="N312" i="262"/>
  <c r="O312" i="262"/>
  <c r="Q312" i="262"/>
  <c r="D20" i="179"/>
  <c r="J20" i="179"/>
  <c r="L313" i="262"/>
  <c r="L315" i="262"/>
  <c r="L316" i="262"/>
  <c r="N316" i="262"/>
  <c r="O316" i="262"/>
  <c r="Q316" i="262"/>
  <c r="D18" i="179"/>
  <c r="J18" i="179"/>
  <c r="L317" i="262"/>
  <c r="L319" i="262"/>
  <c r="L320" i="262"/>
  <c r="N320" i="262"/>
  <c r="O320" i="262"/>
  <c r="Q320" i="262"/>
  <c r="D19" i="179"/>
  <c r="J19" i="179"/>
  <c r="L321" i="262"/>
  <c r="L336" i="262"/>
  <c r="N336" i="262"/>
  <c r="O336" i="262"/>
  <c r="Q336" i="262"/>
  <c r="D24" i="179"/>
  <c r="L337" i="262"/>
  <c r="L340" i="262"/>
  <c r="O340" i="262"/>
  <c r="Q340" i="262"/>
  <c r="L347" i="262"/>
  <c r="L352" i="262"/>
  <c r="G353" i="262"/>
  <c r="J353" i="262"/>
  <c r="M353" i="262"/>
  <c r="S353" i="262"/>
  <c r="T353" i="262"/>
  <c r="V353" i="262"/>
  <c r="L355" i="262"/>
  <c r="L356" i="262"/>
  <c r="L357" i="262"/>
  <c r="N357" i="262"/>
  <c r="O357" i="262"/>
  <c r="Q357" i="262"/>
  <c r="L358" i="262"/>
  <c r="L359" i="262"/>
  <c r="N359" i="262"/>
  <c r="O359" i="262"/>
  <c r="Q359" i="262"/>
  <c r="L360" i="262"/>
  <c r="L361" i="262"/>
  <c r="N361" i="262"/>
  <c r="O361" i="262"/>
  <c r="Q361" i="262"/>
  <c r="D28" i="179"/>
  <c r="J28" i="179"/>
  <c r="L362" i="262"/>
  <c r="L363" i="262"/>
  <c r="L364" i="262"/>
  <c r="N364" i="262"/>
  <c r="O364" i="262"/>
  <c r="Q364" i="262"/>
  <c r="D29" i="179"/>
  <c r="J29" i="179"/>
  <c r="L365" i="262"/>
  <c r="L366" i="262"/>
  <c r="N366" i="262"/>
  <c r="O366" i="262"/>
  <c r="L367" i="262"/>
  <c r="L368" i="262"/>
  <c r="L369" i="262"/>
  <c r="L370" i="262"/>
  <c r="N370" i="262"/>
  <c r="O370" i="262"/>
  <c r="L371" i="262"/>
  <c r="L372" i="262"/>
  <c r="N372" i="262"/>
  <c r="O372" i="262"/>
  <c r="D373" i="262"/>
  <c r="G373" i="262"/>
  <c r="K373" i="262"/>
  <c r="C7" i="351"/>
  <c r="J373" i="262"/>
  <c r="M373" i="262"/>
  <c r="L378" i="262"/>
  <c r="L379" i="262"/>
  <c r="L387" i="262"/>
  <c r="O387" i="262"/>
  <c r="L388" i="262"/>
  <c r="L390" i="262"/>
  <c r="L391" i="262"/>
  <c r="N391" i="262"/>
  <c r="L392" i="262"/>
  <c r="L393" i="262"/>
  <c r="N393" i="262"/>
  <c r="O393" i="262"/>
  <c r="Q393" i="262"/>
  <c r="L394" i="262"/>
  <c r="L395" i="262"/>
  <c r="N395" i="262"/>
  <c r="O395" i="262"/>
  <c r="Q395" i="262"/>
  <c r="D34" i="179"/>
  <c r="J34" i="179"/>
  <c r="L398" i="262"/>
  <c r="O398" i="262"/>
  <c r="Q398" i="262"/>
  <c r="L402" i="262"/>
  <c r="N402" i="262"/>
  <c r="O402" i="262"/>
  <c r="Q402" i="262"/>
  <c r="L403" i="262"/>
  <c r="L404" i="262"/>
  <c r="L405" i="262"/>
  <c r="L406" i="262"/>
  <c r="L407" i="262"/>
  <c r="L408" i="262"/>
  <c r="L409" i="262"/>
  <c r="L412" i="262"/>
  <c r="O412" i="262"/>
  <c r="J417" i="262"/>
  <c r="L421" i="262"/>
  <c r="L422" i="262"/>
  <c r="L423" i="262"/>
  <c r="L424" i="262"/>
  <c r="L425" i="262"/>
  <c r="S425" i="262"/>
  <c r="T425" i="262"/>
  <c r="L426" i="262"/>
  <c r="L427" i="262"/>
  <c r="L428" i="262"/>
  <c r="L429" i="262"/>
  <c r="L430" i="262"/>
  <c r="L431" i="262"/>
  <c r="L432" i="262"/>
  <c r="L433" i="262"/>
  <c r="L434" i="262"/>
  <c r="L435" i="262"/>
  <c r="L436" i="262"/>
  <c r="L437" i="262"/>
  <c r="L438" i="262"/>
  <c r="L439" i="262"/>
  <c r="L440" i="262"/>
  <c r="L441" i="262"/>
  <c r="L445" i="262"/>
  <c r="L446" i="262"/>
  <c r="L452" i="262"/>
  <c r="L453" i="262"/>
  <c r="L454" i="262"/>
  <c r="L455" i="262"/>
  <c r="L456" i="262"/>
  <c r="L457" i="262"/>
  <c r="L458" i="262"/>
  <c r="L459" i="262"/>
  <c r="L460" i="262"/>
  <c r="L461" i="262"/>
  <c r="L462" i="262"/>
  <c r="L463" i="262"/>
  <c r="L464" i="262"/>
  <c r="L465" i="262"/>
  <c r="L466" i="262"/>
  <c r="L467" i="262"/>
  <c r="L468" i="262"/>
  <c r="L469" i="262"/>
  <c r="L470" i="262"/>
  <c r="L471" i="262"/>
  <c r="L472" i="262"/>
  <c r="L473" i="262"/>
  <c r="L474" i="262"/>
  <c r="L475" i="262"/>
  <c r="L476" i="262"/>
  <c r="L477" i="262"/>
  <c r="L478" i="262"/>
  <c r="L479" i="262"/>
  <c r="L480" i="262"/>
  <c r="L481" i="262"/>
  <c r="L482" i="262"/>
  <c r="L483" i="262"/>
  <c r="L484" i="262"/>
  <c r="L485" i="262"/>
  <c r="L486" i="262"/>
  <c r="L487" i="262"/>
  <c r="L488" i="262"/>
  <c r="L489" i="262"/>
  <c r="L490" i="262"/>
  <c r="L491" i="262"/>
  <c r="L492" i="262"/>
  <c r="L493" i="262"/>
  <c r="L494" i="262"/>
  <c r="L495" i="262"/>
  <c r="L496" i="262"/>
  <c r="L497" i="262"/>
  <c r="L498" i="262"/>
  <c r="L499" i="262"/>
  <c r="L500" i="262"/>
  <c r="L501" i="262"/>
  <c r="L502" i="262"/>
  <c r="L503" i="262"/>
  <c r="L504" i="262"/>
  <c r="L505" i="262"/>
  <c r="L506" i="262"/>
  <c r="L507" i="262"/>
  <c r="L508" i="262"/>
  <c r="L509" i="262"/>
  <c r="L510" i="262"/>
  <c r="L511" i="262"/>
  <c r="L512" i="262"/>
  <c r="L513" i="262"/>
  <c r="L514" i="262"/>
  <c r="L515" i="262"/>
  <c r="L516" i="262"/>
  <c r="L517" i="262"/>
  <c r="L518" i="262"/>
  <c r="L519" i="262"/>
  <c r="L520" i="262"/>
  <c r="L521" i="262"/>
  <c r="L522" i="262"/>
  <c r="L523" i="262"/>
  <c r="L524" i="262"/>
  <c r="L525" i="262"/>
  <c r="L526" i="262"/>
  <c r="L527" i="262"/>
  <c r="L528" i="262"/>
  <c r="L529" i="262"/>
  <c r="L530" i="262"/>
  <c r="L531" i="262"/>
  <c r="L532" i="262"/>
  <c r="L533" i="262"/>
  <c r="L534" i="262"/>
  <c r="L535" i="262"/>
  <c r="L536" i="262"/>
  <c r="L537" i="262"/>
  <c r="L538" i="262"/>
  <c r="L539" i="262"/>
  <c r="L540" i="262"/>
  <c r="L541" i="262"/>
  <c r="L542" i="262"/>
  <c r="L543" i="262"/>
  <c r="L544" i="262"/>
  <c r="L545" i="262"/>
  <c r="L546" i="262"/>
  <c r="L547" i="262"/>
  <c r="L548" i="262"/>
  <c r="L549" i="262"/>
  <c r="L550" i="262"/>
  <c r="L551" i="262"/>
  <c r="L552" i="262"/>
  <c r="L553" i="262"/>
  <c r="L554" i="262"/>
  <c r="L555" i="262"/>
  <c r="L556" i="262"/>
  <c r="L557" i="262"/>
  <c r="L558" i="262"/>
  <c r="L559" i="262"/>
  <c r="L560" i="262"/>
  <c r="L561" i="262"/>
  <c r="L562" i="262"/>
  <c r="L563" i="262"/>
  <c r="L564" i="262"/>
  <c r="L565" i="262"/>
  <c r="L566" i="262"/>
  <c r="L567" i="262"/>
  <c r="L568" i="262"/>
  <c r="L569" i="262"/>
  <c r="L570" i="262"/>
  <c r="L571" i="262"/>
  <c r="L572" i="262"/>
  <c r="L573" i="262"/>
  <c r="L574" i="262"/>
  <c r="L575" i="262"/>
  <c r="L576" i="262"/>
  <c r="L577" i="262"/>
  <c r="L578" i="262"/>
  <c r="L579" i="262"/>
  <c r="L580" i="262"/>
  <c r="L581" i="262"/>
  <c r="L582" i="262"/>
  <c r="L583" i="262"/>
  <c r="L584" i="262"/>
  <c r="L585" i="262"/>
  <c r="L586" i="262"/>
  <c r="L587" i="262"/>
  <c r="L588" i="262"/>
  <c r="L589" i="262"/>
  <c r="L590" i="262"/>
  <c r="L591" i="262"/>
  <c r="L592" i="262"/>
  <c r="L593" i="262"/>
  <c r="L594" i="262"/>
  <c r="L595" i="262"/>
  <c r="L596" i="262"/>
  <c r="L597" i="262"/>
  <c r="L598" i="262"/>
  <c r="L599" i="262"/>
  <c r="L600" i="262"/>
  <c r="L601" i="262"/>
  <c r="L602" i="262"/>
  <c r="L603" i="262"/>
  <c r="L604" i="262"/>
  <c r="L605" i="262"/>
  <c r="L606" i="262"/>
  <c r="L607" i="262"/>
  <c r="L608" i="262"/>
  <c r="L609" i="262"/>
  <c r="L610" i="262"/>
  <c r="L611" i="262"/>
  <c r="L612" i="262"/>
  <c r="L613" i="262"/>
  <c r="L614" i="262"/>
  <c r="L615" i="262"/>
  <c r="L616" i="262"/>
  <c r="L617" i="262"/>
  <c r="L618" i="262"/>
  <c r="L619" i="262"/>
  <c r="L620" i="262"/>
  <c r="L621" i="262"/>
  <c r="L622" i="262"/>
  <c r="L623" i="262"/>
  <c r="L624" i="262"/>
  <c r="L625" i="262"/>
  <c r="L626" i="262"/>
  <c r="L627" i="262"/>
  <c r="L628" i="262"/>
  <c r="L629" i="262"/>
  <c r="L630" i="262"/>
  <c r="L631" i="262"/>
  <c r="L632" i="262"/>
  <c r="L633" i="262"/>
  <c r="L634" i="262"/>
  <c r="L635" i="262"/>
  <c r="L636" i="262"/>
  <c r="L637" i="262"/>
  <c r="L638" i="262"/>
  <c r="L639" i="262"/>
  <c r="L640" i="262"/>
  <c r="L641" i="262"/>
  <c r="L642" i="262"/>
  <c r="L643" i="262"/>
  <c r="L644" i="262"/>
  <c r="L645" i="262"/>
  <c r="L646" i="262"/>
  <c r="L647" i="262"/>
  <c r="L648" i="262"/>
  <c r="L649" i="262"/>
  <c r="L650" i="262"/>
  <c r="L651" i="262"/>
  <c r="L652" i="262"/>
  <c r="L653" i="262"/>
  <c r="L654" i="262"/>
  <c r="L655" i="262"/>
  <c r="L656" i="262"/>
  <c r="L657" i="262"/>
  <c r="L658" i="262"/>
  <c r="L659" i="262"/>
  <c r="L660" i="262"/>
  <c r="L661" i="262"/>
  <c r="L662" i="262"/>
  <c r="L663" i="262"/>
  <c r="L664" i="262"/>
  <c r="L665" i="262"/>
  <c r="L666" i="262"/>
  <c r="L667" i="262"/>
  <c r="L668" i="262"/>
  <c r="L669" i="262"/>
  <c r="L670" i="262"/>
  <c r="L671" i="262"/>
  <c r="L672" i="262"/>
  <c r="L673" i="262"/>
  <c r="L674" i="262"/>
  <c r="L675" i="262"/>
  <c r="L676" i="262"/>
  <c r="L677" i="262"/>
  <c r="L678" i="262"/>
  <c r="L679" i="262"/>
  <c r="L680" i="262"/>
  <c r="L681" i="262"/>
  <c r="L682" i="262"/>
  <c r="L683" i="262"/>
  <c r="L684" i="262"/>
  <c r="L685" i="262"/>
  <c r="L686" i="262"/>
  <c r="L687" i="262"/>
  <c r="L688" i="262"/>
  <c r="L689" i="262"/>
  <c r="L690" i="262"/>
  <c r="L691" i="262"/>
  <c r="L692" i="262"/>
  <c r="L693" i="262"/>
  <c r="L694" i="262"/>
  <c r="L695" i="262"/>
  <c r="L696" i="262"/>
  <c r="L697" i="262"/>
  <c r="L698" i="262"/>
  <c r="L699" i="262"/>
  <c r="L700" i="262"/>
  <c r="L701" i="262"/>
  <c r="L702" i="262"/>
  <c r="L703" i="262"/>
  <c r="L704" i="262"/>
  <c r="L705" i="262"/>
  <c r="L706" i="262"/>
  <c r="L707" i="262"/>
  <c r="L708" i="262"/>
  <c r="L709" i="262"/>
  <c r="L710" i="262"/>
  <c r="L711" i="262"/>
  <c r="L712" i="262"/>
  <c r="L713" i="262"/>
  <c r="L714" i="262"/>
  <c r="L715" i="262"/>
  <c r="L716" i="262"/>
  <c r="L717" i="262"/>
  <c r="L718" i="262"/>
  <c r="L719" i="262"/>
  <c r="L720" i="262"/>
  <c r="L721" i="262"/>
  <c r="L722" i="262"/>
  <c r="L723" i="262"/>
  <c r="L724" i="262"/>
  <c r="L725" i="262"/>
  <c r="L726" i="262"/>
  <c r="L727" i="262"/>
  <c r="L728" i="262"/>
  <c r="L729" i="262"/>
  <c r="L730" i="262"/>
  <c r="L731" i="262"/>
  <c r="L732" i="262"/>
  <c r="L733" i="262"/>
  <c r="L734" i="262"/>
  <c r="L735" i="262"/>
  <c r="L736" i="262"/>
  <c r="L737" i="262"/>
  <c r="L738" i="262"/>
  <c r="L739" i="262"/>
  <c r="L740" i="262"/>
  <c r="L741" i="262"/>
  <c r="L742" i="262"/>
  <c r="L743" i="262"/>
  <c r="L744" i="262"/>
  <c r="L745" i="262"/>
  <c r="L746" i="262"/>
  <c r="L747" i="262"/>
  <c r="L748" i="262"/>
  <c r="L749" i="262"/>
  <c r="L750" i="262"/>
  <c r="L751" i="262"/>
  <c r="L752" i="262"/>
  <c r="L753" i="262"/>
  <c r="L754" i="262"/>
  <c r="L755" i="262"/>
  <c r="L756" i="262"/>
  <c r="L757" i="262"/>
  <c r="L758" i="262"/>
  <c r="L759" i="262"/>
  <c r="L760" i="262"/>
  <c r="L761" i="262"/>
  <c r="L762" i="262"/>
  <c r="L763" i="262"/>
  <c r="L764" i="262"/>
  <c r="L765" i="262"/>
  <c r="L766" i="262"/>
  <c r="L767" i="262"/>
  <c r="L768" i="262"/>
  <c r="L769" i="262"/>
  <c r="L770" i="262"/>
  <c r="L863" i="262"/>
  <c r="Q863" i="262"/>
  <c r="D38" i="179"/>
  <c r="L864" i="262"/>
  <c r="L865" i="262"/>
  <c r="L866" i="262"/>
  <c r="L867" i="262"/>
  <c r="L869" i="262"/>
  <c r="L870" i="262"/>
  <c r="L871" i="262"/>
  <c r="N871" i="262"/>
  <c r="O871" i="262"/>
  <c r="Q871" i="262"/>
  <c r="L872" i="262"/>
  <c r="L873" i="262"/>
  <c r="L874" i="262"/>
  <c r="L875" i="262"/>
  <c r="L876" i="262"/>
  <c r="L877" i="262"/>
  <c r="L878" i="262"/>
  <c r="L879" i="262"/>
  <c r="L880" i="262"/>
  <c r="L881" i="262"/>
  <c r="L882" i="262"/>
  <c r="L883" i="262"/>
  <c r="L884" i="262"/>
  <c r="L885" i="262"/>
  <c r="L886" i="262"/>
  <c r="L887" i="262"/>
  <c r="L888" i="262"/>
  <c r="L889" i="262"/>
  <c r="L890" i="262"/>
  <c r="L891" i="262"/>
  <c r="L892" i="262"/>
  <c r="L893" i="262"/>
  <c r="L894" i="262"/>
  <c r="L895" i="262"/>
  <c r="L896" i="262"/>
  <c r="L897" i="262"/>
  <c r="L898" i="262"/>
  <c r="L899" i="262"/>
  <c r="L900" i="262"/>
  <c r="L901" i="262"/>
  <c r="L902" i="262"/>
  <c r="L903" i="262"/>
  <c r="L904" i="262"/>
  <c r="L905" i="262"/>
  <c r="L906" i="262"/>
  <c r="L907" i="262"/>
  <c r="L908" i="262"/>
  <c r="L909" i="262"/>
  <c r="L910" i="262"/>
  <c r="L911" i="262"/>
  <c r="L912" i="262"/>
  <c r="L913" i="262"/>
  <c r="L914" i="262"/>
  <c r="L917" i="262"/>
  <c r="L918" i="262"/>
  <c r="L919" i="262"/>
  <c r="L920" i="262"/>
  <c r="L921" i="262"/>
  <c r="L922" i="262"/>
  <c r="L923" i="262"/>
  <c r="L924" i="262"/>
  <c r="L925" i="262"/>
  <c r="L926" i="262"/>
  <c r="L927" i="262"/>
  <c r="L928" i="262"/>
  <c r="L929" i="262"/>
  <c r="L930" i="262"/>
  <c r="L931" i="262"/>
  <c r="L932" i="262"/>
  <c r="L934" i="262"/>
  <c r="L935" i="262"/>
  <c r="L936" i="262"/>
  <c r="L937" i="262"/>
  <c r="L938" i="262"/>
  <c r="L939" i="262"/>
  <c r="L940" i="262"/>
  <c r="L941" i="262"/>
  <c r="L942" i="262"/>
  <c r="L943" i="262"/>
  <c r="L944" i="262"/>
  <c r="L945" i="262"/>
  <c r="L946" i="262"/>
  <c r="L947" i="262"/>
  <c r="L948" i="262"/>
  <c r="L949" i="262"/>
  <c r="L950" i="262"/>
  <c r="L951" i="262"/>
  <c r="L952" i="262"/>
  <c r="L953" i="262"/>
  <c r="L954" i="262"/>
  <c r="L967" i="262"/>
  <c r="Q967" i="262"/>
  <c r="D41" i="179"/>
  <c r="L969" i="262"/>
  <c r="L970" i="262"/>
  <c r="L971" i="262"/>
  <c r="L972" i="262"/>
  <c r="L973" i="262"/>
  <c r="L974" i="262"/>
  <c r="L975" i="262"/>
  <c r="L1000" i="262"/>
  <c r="L1001" i="262"/>
  <c r="L1002" i="262"/>
  <c r="L1003" i="262"/>
  <c r="L1004" i="262"/>
  <c r="L1005" i="262"/>
  <c r="L1006" i="262"/>
  <c r="L1007" i="262"/>
  <c r="L1008" i="262"/>
  <c r="L1009" i="262"/>
  <c r="L1010" i="262"/>
  <c r="L1011" i="262"/>
  <c r="L1012" i="262"/>
  <c r="L1013" i="262"/>
  <c r="L1014" i="262"/>
  <c r="L1015" i="262"/>
  <c r="L1016" i="262"/>
  <c r="L1017" i="262"/>
  <c r="L1018" i="262"/>
  <c r="L1019" i="262"/>
  <c r="L1020" i="262"/>
  <c r="L1021" i="262"/>
  <c r="L1022" i="262"/>
  <c r="L1023" i="262"/>
  <c r="L1024" i="262"/>
  <c r="L1025" i="262"/>
  <c r="L1026" i="262"/>
  <c r="L1027" i="262"/>
  <c r="L1028" i="262"/>
  <c r="L1029" i="262"/>
  <c r="L1030" i="262"/>
  <c r="L1031" i="262"/>
  <c r="L1032" i="262"/>
  <c r="L1033" i="262"/>
  <c r="L1034" i="262"/>
  <c r="L1035" i="262"/>
  <c r="L1036" i="262"/>
  <c r="L1037" i="262"/>
  <c r="L1038" i="262"/>
  <c r="L1039" i="262"/>
  <c r="L1040" i="262"/>
  <c r="L1041" i="262"/>
  <c r="L1042" i="262"/>
  <c r="L1043" i="262"/>
  <c r="L1044" i="262"/>
  <c r="L1045" i="262"/>
  <c r="L1046" i="262"/>
  <c r="L1047" i="262"/>
  <c r="L1048" i="262"/>
  <c r="L1049" i="262"/>
  <c r="L1050" i="262"/>
  <c r="L1051" i="262"/>
  <c r="L1052" i="262"/>
  <c r="L1053" i="262"/>
  <c r="L1054" i="262"/>
  <c r="L1055" i="262"/>
  <c r="L1056" i="262"/>
  <c r="L1057" i="262"/>
  <c r="L1058" i="262"/>
  <c r="L1059" i="262"/>
  <c r="L1060" i="262"/>
  <c r="L1061" i="262"/>
  <c r="L1062" i="262"/>
  <c r="L1063" i="262"/>
  <c r="L1064" i="262"/>
  <c r="L1065" i="262"/>
  <c r="L1066" i="262"/>
  <c r="L1067" i="262"/>
  <c r="L1068" i="262"/>
  <c r="L1069" i="262"/>
  <c r="L1070" i="262"/>
  <c r="L1071" i="262"/>
  <c r="L1072" i="262"/>
  <c r="L1073" i="262"/>
  <c r="L1074" i="262"/>
  <c r="L1075" i="262"/>
  <c r="L1076" i="262"/>
  <c r="L1077" i="262"/>
  <c r="L1078" i="262"/>
  <c r="L1079" i="262"/>
  <c r="L1080" i="262"/>
  <c r="L1081" i="262"/>
  <c r="L1082" i="262"/>
  <c r="L1083" i="262"/>
  <c r="L1084" i="262"/>
  <c r="L1085" i="262"/>
  <c r="L1086" i="262"/>
  <c r="L1087" i="262"/>
  <c r="L1088" i="262"/>
  <c r="L1089" i="262"/>
  <c r="L1090" i="262"/>
  <c r="L1091" i="262"/>
  <c r="L1092" i="262"/>
  <c r="L1093" i="262"/>
  <c r="L1094" i="262"/>
  <c r="L1095" i="262"/>
  <c r="L1096" i="262"/>
  <c r="L1097" i="262"/>
  <c r="L1098" i="262"/>
  <c r="L1099" i="262"/>
  <c r="L1100" i="262"/>
  <c r="L1101" i="262"/>
  <c r="L1102" i="262"/>
  <c r="L1103" i="262"/>
  <c r="L1104" i="262"/>
  <c r="L1105" i="262"/>
  <c r="L1106" i="262"/>
  <c r="L1107" i="262"/>
  <c r="L1108" i="262"/>
  <c r="L1109" i="262"/>
  <c r="L1110" i="262"/>
  <c r="L1111" i="262"/>
  <c r="L1112" i="262"/>
  <c r="L1113" i="262"/>
  <c r="L1114" i="262"/>
  <c r="L1115" i="262"/>
  <c r="L1116" i="262"/>
  <c r="L1117" i="262"/>
  <c r="L1118" i="262"/>
  <c r="L1119" i="262"/>
  <c r="L1120" i="262"/>
  <c r="L1121" i="262"/>
  <c r="L1122" i="262"/>
  <c r="L1123" i="262"/>
  <c r="L1124" i="262"/>
  <c r="L1125" i="262"/>
  <c r="L1126" i="262"/>
  <c r="L1127" i="262"/>
  <c r="L1128" i="262"/>
  <c r="L1129" i="262"/>
  <c r="L1130" i="262"/>
  <c r="L1131" i="262"/>
  <c r="L1132" i="262"/>
  <c r="L1133" i="262"/>
  <c r="L1134" i="262"/>
  <c r="L1135" i="262"/>
  <c r="L1136" i="262"/>
  <c r="L1137" i="262"/>
  <c r="L1138" i="262"/>
  <c r="L1139" i="262"/>
  <c r="L1140" i="262"/>
  <c r="L1141" i="262"/>
  <c r="L1142" i="262"/>
  <c r="L1143" i="262"/>
  <c r="L1144" i="262"/>
  <c r="L1145" i="262"/>
  <c r="L1146" i="262"/>
  <c r="L1147" i="262"/>
  <c r="L1148" i="262"/>
  <c r="L1149" i="262"/>
  <c r="L1150" i="262"/>
  <c r="L1151" i="262"/>
  <c r="L1152" i="262"/>
  <c r="L1153" i="262"/>
  <c r="L1154" i="262"/>
  <c r="L1155" i="262"/>
  <c r="L1156" i="262"/>
  <c r="L1157" i="262"/>
  <c r="L1158" i="262"/>
  <c r="L1159" i="262"/>
  <c r="L1160" i="262"/>
  <c r="L1161" i="262"/>
  <c r="L1162" i="262"/>
  <c r="L1163" i="262"/>
  <c r="L1164" i="262"/>
  <c r="L1165" i="262"/>
  <c r="L1166" i="262"/>
  <c r="L1167" i="262"/>
  <c r="L1168" i="262"/>
  <c r="L1169" i="262"/>
  <c r="L1170" i="262"/>
  <c r="L1171" i="262"/>
  <c r="L1172" i="262"/>
  <c r="L1173" i="262"/>
  <c r="L1174" i="262"/>
  <c r="L1175" i="262"/>
  <c r="L1176" i="262"/>
  <c r="L1177" i="262"/>
  <c r="L1178" i="262"/>
  <c r="L1179" i="262"/>
  <c r="L1180" i="262"/>
  <c r="L1181" i="262"/>
  <c r="L1182" i="262"/>
  <c r="L1183" i="262"/>
  <c r="L1184" i="262"/>
  <c r="L1185" i="262"/>
  <c r="L1186" i="262"/>
  <c r="L1187" i="262"/>
  <c r="L1188" i="262"/>
  <c r="L1189" i="262"/>
  <c r="L1190" i="262"/>
  <c r="L1191" i="262"/>
  <c r="L1192" i="262"/>
  <c r="L1193" i="262"/>
  <c r="L1194" i="262"/>
  <c r="L1195" i="262"/>
  <c r="L1196" i="262"/>
  <c r="L1197" i="262"/>
  <c r="L1198" i="262"/>
  <c r="L1199" i="262"/>
  <c r="L1200" i="262"/>
  <c r="L1201" i="262"/>
  <c r="L1202" i="262"/>
  <c r="L1203" i="262"/>
  <c r="L1204" i="262"/>
  <c r="L1205" i="262"/>
  <c r="L1206" i="262"/>
  <c r="L1207" i="262"/>
  <c r="L1208" i="262"/>
  <c r="L1209" i="262"/>
  <c r="L1210" i="262"/>
  <c r="L1211" i="262"/>
  <c r="L1212" i="262"/>
  <c r="L1213" i="262"/>
  <c r="L1214" i="262"/>
  <c r="L1215" i="262"/>
  <c r="L1216" i="262"/>
  <c r="L1217" i="262"/>
  <c r="L1218" i="262"/>
  <c r="L1219" i="262"/>
  <c r="L1220" i="262"/>
  <c r="L1221" i="262"/>
  <c r="L1222" i="262"/>
  <c r="L1223" i="262"/>
  <c r="L1224" i="262"/>
  <c r="L1225" i="262"/>
  <c r="L1226" i="262"/>
  <c r="L1227" i="262"/>
  <c r="L1228" i="262"/>
  <c r="L1229" i="262"/>
  <c r="L1230" i="262"/>
  <c r="L1231" i="262"/>
  <c r="L1232" i="262"/>
  <c r="L1233" i="262"/>
  <c r="L1234" i="262"/>
  <c r="L1235" i="262"/>
  <c r="L1236" i="262"/>
  <c r="L1237" i="262"/>
  <c r="L1238" i="262"/>
  <c r="L1239" i="262"/>
  <c r="L1240" i="262"/>
  <c r="L1241" i="262"/>
  <c r="L1242" i="262"/>
  <c r="L1243" i="262"/>
  <c r="L1244" i="262"/>
  <c r="L1245" i="262"/>
  <c r="L1246" i="262"/>
  <c r="L1247" i="262"/>
  <c r="L1248" i="262"/>
  <c r="L1249" i="262"/>
  <c r="L1250" i="262"/>
  <c r="L1251" i="262"/>
  <c r="L1252" i="262"/>
  <c r="L1253" i="262"/>
  <c r="L1254" i="262"/>
  <c r="L1255" i="262"/>
  <c r="L1256" i="262"/>
  <c r="L1257" i="262"/>
  <c r="L1258" i="262"/>
  <c r="L1259" i="262"/>
  <c r="L1260" i="262"/>
  <c r="L1261" i="262"/>
  <c r="L1262" i="262"/>
  <c r="L1263" i="262"/>
  <c r="L1264" i="262"/>
  <c r="L1265" i="262"/>
  <c r="L1266" i="262"/>
  <c r="N1346" i="262"/>
  <c r="O1346" i="262"/>
  <c r="Q1346" i="262"/>
  <c r="D39" i="179"/>
  <c r="J39" i="179"/>
  <c r="L1347" i="262"/>
  <c r="L1349" i="262"/>
  <c r="L1351" i="262"/>
  <c r="L1352" i="262"/>
  <c r="N1352" i="262"/>
  <c r="O1352" i="262"/>
  <c r="Q1352" i="262"/>
  <c r="D42" i="179"/>
  <c r="J42" i="179"/>
  <c r="L1353" i="262"/>
  <c r="L1354" i="262"/>
  <c r="L1355" i="262"/>
  <c r="L1356" i="262"/>
  <c r="L1357" i="262"/>
  <c r="N1357" i="262"/>
  <c r="O1357" i="262"/>
  <c r="Q1357" i="262"/>
  <c r="L1359" i="262"/>
  <c r="L1360" i="262"/>
  <c r="L1364" i="262"/>
  <c r="L1365" i="262"/>
  <c r="L1366" i="262"/>
  <c r="L1367" i="262"/>
  <c r="L1368" i="262"/>
  <c r="L1369" i="262"/>
  <c r="L1370" i="262"/>
  <c r="L1371" i="262"/>
  <c r="L1372" i="262"/>
  <c r="L1373" i="262"/>
  <c r="L1374" i="262"/>
  <c r="L1375" i="262"/>
  <c r="L1376" i="262"/>
  <c r="L1377" i="262"/>
  <c r="L1378" i="262"/>
  <c r="L1379" i="262"/>
  <c r="L1380" i="262"/>
  <c r="L1381" i="262"/>
  <c r="L1382" i="262"/>
  <c r="L1383" i="262"/>
  <c r="L1384" i="262"/>
  <c r="L1385" i="262"/>
  <c r="N1400" i="262"/>
  <c r="O1400" i="262"/>
  <c r="Q1400" i="262"/>
  <c r="D40" i="179"/>
  <c r="L1402" i="262"/>
  <c r="L1418" i="262"/>
  <c r="L1419" i="262"/>
  <c r="L1420" i="262"/>
  <c r="L1421" i="262"/>
  <c r="L1422" i="262"/>
  <c r="L1423" i="262"/>
  <c r="L1424" i="262"/>
  <c r="L1425" i="262"/>
  <c r="L1426" i="262"/>
  <c r="L1427" i="262"/>
  <c r="L1428" i="262"/>
  <c r="L1429" i="262"/>
  <c r="L1430" i="262"/>
  <c r="L1431" i="262"/>
  <c r="L1432" i="262"/>
  <c r="L1433" i="262"/>
  <c r="L1434" i="262"/>
  <c r="L1435" i="262"/>
  <c r="L1436" i="262"/>
  <c r="L1437" i="262"/>
  <c r="L1438" i="262"/>
  <c r="L1439" i="262"/>
  <c r="L1440" i="262"/>
  <c r="L1441" i="262"/>
  <c r="L1442" i="262"/>
  <c r="L1443" i="262"/>
  <c r="L1444" i="262"/>
  <c r="L1445" i="262"/>
  <c r="L1446" i="262"/>
  <c r="L1447" i="262"/>
  <c r="L1448" i="262"/>
  <c r="L1449" i="262"/>
  <c r="L1450" i="262"/>
  <c r="L1451" i="262"/>
  <c r="L1452" i="262"/>
  <c r="L1453" i="262"/>
  <c r="L1454" i="262"/>
  <c r="L1455" i="262"/>
  <c r="L1456" i="262"/>
  <c r="L1457" i="262"/>
  <c r="L1458" i="262"/>
  <c r="L1459" i="262"/>
  <c r="L1460" i="262"/>
  <c r="L1461" i="262"/>
  <c r="L1462" i="262"/>
  <c r="L1463" i="262"/>
  <c r="L1464" i="262"/>
  <c r="L1465" i="262"/>
  <c r="L1466" i="262"/>
  <c r="L1467" i="262"/>
  <c r="L1468" i="262"/>
  <c r="L1469" i="262"/>
  <c r="L1470" i="262"/>
  <c r="L1471" i="262"/>
  <c r="L1472" i="262"/>
  <c r="L1473" i="262"/>
  <c r="L1474" i="262"/>
  <c r="L1475" i="262"/>
  <c r="L1476" i="262"/>
  <c r="L1477" i="262"/>
  <c r="L1478" i="262"/>
  <c r="L1479" i="262"/>
  <c r="L1480" i="262"/>
  <c r="L1481" i="262"/>
  <c r="L1482" i="262"/>
  <c r="L1483" i="262"/>
  <c r="L1484" i="262"/>
  <c r="L1485" i="262"/>
  <c r="L1486" i="262"/>
  <c r="L1487" i="262"/>
  <c r="L1488" i="262"/>
  <c r="L1489" i="262"/>
  <c r="L1490" i="262"/>
  <c r="L1491" i="262"/>
  <c r="L1492" i="262"/>
  <c r="L1493" i="262"/>
  <c r="L1494" i="262"/>
  <c r="L1495" i="262"/>
  <c r="L1496" i="262"/>
  <c r="L1497" i="262"/>
  <c r="L1498" i="262"/>
  <c r="L1499" i="262"/>
  <c r="L1500" i="262"/>
  <c r="L1501" i="262"/>
  <c r="L1502" i="262"/>
  <c r="L1503" i="262"/>
  <c r="L1504" i="262"/>
  <c r="L1505" i="262"/>
  <c r="L1506" i="262"/>
  <c r="L1507" i="262"/>
  <c r="L1508" i="262"/>
  <c r="L1509" i="262"/>
  <c r="L1510" i="262"/>
  <c r="L1511" i="262"/>
  <c r="L1512" i="262"/>
  <c r="L1513" i="262"/>
  <c r="L1514" i="262"/>
  <c r="L1515" i="262"/>
  <c r="L1516" i="262"/>
  <c r="L1517" i="262"/>
  <c r="L1518" i="262"/>
  <c r="L1519" i="262"/>
  <c r="L1520" i="262"/>
  <c r="L1521" i="262"/>
  <c r="L1522" i="262"/>
  <c r="L1523" i="262"/>
  <c r="L1524" i="262"/>
  <c r="L1525" i="262"/>
  <c r="L1526" i="262"/>
  <c r="L1527" i="262"/>
  <c r="L1528" i="262"/>
  <c r="L1529" i="262"/>
  <c r="L1530" i="262"/>
  <c r="L1531" i="262"/>
  <c r="L1532" i="262"/>
  <c r="L1533" i="262"/>
  <c r="L1534" i="262"/>
  <c r="L1535" i="262"/>
  <c r="L1536" i="262"/>
  <c r="L1537" i="262"/>
  <c r="L1538" i="262"/>
  <c r="L1539" i="262"/>
  <c r="L1540" i="262"/>
  <c r="L1541" i="262"/>
  <c r="L1542" i="262"/>
  <c r="L1543" i="262"/>
  <c r="L1544" i="262"/>
  <c r="L1545" i="262"/>
  <c r="L1546" i="262"/>
  <c r="L1547" i="262"/>
  <c r="L1548" i="262"/>
  <c r="L1549" i="262"/>
  <c r="L1550" i="262"/>
  <c r="L1551" i="262"/>
  <c r="L1552" i="262"/>
  <c r="L1553" i="262"/>
  <c r="L1554" i="262"/>
  <c r="L1555" i="262"/>
  <c r="L1556" i="262"/>
  <c r="L1587" i="262"/>
  <c r="N1587" i="262"/>
  <c r="O1587" i="262"/>
  <c r="Q1587" i="262"/>
  <c r="G1588" i="262"/>
  <c r="K1588" i="262"/>
  <c r="C9" i="351"/>
  <c r="J1588" i="262"/>
  <c r="L1591" i="262"/>
  <c r="N1591" i="262"/>
  <c r="O1591" i="262"/>
  <c r="L1592" i="262"/>
  <c r="N1592" i="262"/>
  <c r="O1592" i="262"/>
  <c r="N1594" i="262"/>
  <c r="O1594" i="262"/>
  <c r="N1595" i="262"/>
  <c r="O1595" i="262"/>
  <c r="N1596" i="262"/>
  <c r="O1596" i="262"/>
  <c r="N1597" i="262"/>
  <c r="P1597" i="262"/>
  <c r="D76" i="105"/>
  <c r="H76" i="105"/>
  <c r="D1598" i="262"/>
  <c r="G1598" i="262"/>
  <c r="K1598" i="262"/>
  <c r="C10" i="351"/>
  <c r="J1598" i="262"/>
  <c r="Q1598" i="262"/>
  <c r="N1601" i="262"/>
  <c r="N1602" i="262"/>
  <c r="O1601" i="262"/>
  <c r="O1602" i="262"/>
  <c r="D1602" i="262"/>
  <c r="D1658" i="262"/>
  <c r="G54" i="179"/>
  <c r="G1602" i="262"/>
  <c r="K1602" i="262"/>
  <c r="J1602" i="262"/>
  <c r="L1604" i="262"/>
  <c r="L1606" i="262"/>
  <c r="N1606" i="262"/>
  <c r="O1606" i="262"/>
  <c r="Q1606" i="262"/>
  <c r="D46" i="179"/>
  <c r="J46" i="179"/>
  <c r="L1607" i="262"/>
  <c r="L1608" i="262"/>
  <c r="N1608" i="262"/>
  <c r="O1608" i="262"/>
  <c r="Q1608" i="262"/>
  <c r="L1609" i="262"/>
  <c r="L1610" i="262"/>
  <c r="L1611" i="262"/>
  <c r="L1612" i="262"/>
  <c r="N1612" i="262"/>
  <c r="O1612" i="262"/>
  <c r="Q1612" i="262"/>
  <c r="L1613" i="262"/>
  <c r="N1616" i="262"/>
  <c r="O1616" i="262"/>
  <c r="Q1616" i="262"/>
  <c r="D47" i="179"/>
  <c r="N1620" i="262"/>
  <c r="O1620" i="262"/>
  <c r="Q1620" i="262"/>
  <c r="D48" i="179"/>
  <c r="N1621" i="262"/>
  <c r="O1621" i="262"/>
  <c r="Q1621" i="262"/>
  <c r="N1626" i="262"/>
  <c r="O1626" i="262"/>
  <c r="Q1626" i="262"/>
  <c r="D50" i="179"/>
  <c r="N1631" i="262"/>
  <c r="O1631" i="262"/>
  <c r="Q1631" i="262"/>
  <c r="D49" i="179"/>
  <c r="N1634" i="262"/>
  <c r="O1634" i="262"/>
  <c r="N1638" i="262"/>
  <c r="O1638" i="262"/>
  <c r="Q1638" i="262"/>
  <c r="D51" i="179"/>
  <c r="J51" i="179"/>
  <c r="N1640" i="262"/>
  <c r="O1640" i="262"/>
  <c r="Q1640" i="262"/>
  <c r="N1646" i="262"/>
  <c r="O1646" i="262"/>
  <c r="Q1646" i="262"/>
  <c r="G1648" i="262"/>
  <c r="J1648" i="262"/>
  <c r="L1654" i="262"/>
  <c r="O1654" i="262"/>
  <c r="O1658" i="262"/>
  <c r="Q1654" i="262"/>
  <c r="Q1658" i="262"/>
  <c r="D54" i="179"/>
  <c r="E54" i="179"/>
  <c r="J1658" i="262"/>
  <c r="L1661" i="262"/>
  <c r="L1662" i="262"/>
  <c r="N1662" i="262"/>
  <c r="O1662" i="262"/>
  <c r="Q1662" i="262"/>
  <c r="D57" i="179"/>
  <c r="J57" i="179"/>
  <c r="T1662" i="262"/>
  <c r="L1663" i="262"/>
  <c r="L1664" i="262"/>
  <c r="N1664" i="262"/>
  <c r="O1664" i="262"/>
  <c r="Q1664" i="262"/>
  <c r="L1665" i="262"/>
  <c r="L1666" i="262"/>
  <c r="N1666" i="262"/>
  <c r="O1666" i="262"/>
  <c r="Q1666" i="262"/>
  <c r="L1667" i="262"/>
  <c r="L1668" i="262"/>
  <c r="N1668" i="262"/>
  <c r="O1668" i="262"/>
  <c r="Q1668" i="262"/>
  <c r="D59" i="179"/>
  <c r="J59" i="179"/>
  <c r="L1669" i="262"/>
  <c r="L1670" i="262"/>
  <c r="N1670" i="262"/>
  <c r="Q1670" i="262"/>
  <c r="L1671" i="262"/>
  <c r="L1672" i="262"/>
  <c r="N1672" i="262"/>
  <c r="O1672" i="262"/>
  <c r="L1673" i="262"/>
  <c r="N1673" i="262"/>
  <c r="O1673" i="262"/>
  <c r="L1674" i="262"/>
  <c r="N1674" i="262"/>
  <c r="O1674" i="262"/>
  <c r="D1675" i="262"/>
  <c r="G1675" i="262"/>
  <c r="K1675" i="262"/>
  <c r="C13" i="351"/>
  <c r="J1675" i="262"/>
  <c r="L1679" i="262"/>
  <c r="L1687" i="262"/>
  <c r="N1687" i="262"/>
  <c r="O1687" i="262"/>
  <c r="L1689" i="262"/>
  <c r="L1690" i="262"/>
  <c r="L1691" i="262"/>
  <c r="N1691" i="262"/>
  <c r="O1691" i="262"/>
  <c r="L1692" i="262"/>
  <c r="L1693" i="262"/>
  <c r="L1694" i="262"/>
  <c r="N1694" i="262"/>
  <c r="O1694" i="262"/>
  <c r="Q1694" i="262"/>
  <c r="D89" i="179"/>
  <c r="J89" i="179"/>
  <c r="L1695" i="262"/>
  <c r="L1696" i="262"/>
  <c r="L1697" i="262"/>
  <c r="L1698" i="262"/>
  <c r="N1698" i="262"/>
  <c r="O1698" i="262"/>
  <c r="Q1698" i="262"/>
  <c r="D90" i="179"/>
  <c r="J90" i="179"/>
  <c r="L1699" i="262"/>
  <c r="N1699" i="262"/>
  <c r="O1699" i="262"/>
  <c r="Q1699" i="262"/>
  <c r="L1700" i="262"/>
  <c r="L1701" i="262"/>
  <c r="L1702" i="262"/>
  <c r="N1702" i="262"/>
  <c r="O1702" i="262"/>
  <c r="Q1702" i="262"/>
  <c r="R1702" i="262"/>
  <c r="D91" i="179"/>
  <c r="J91" i="179"/>
  <c r="L1703" i="262"/>
  <c r="L1704" i="262"/>
  <c r="L1705" i="262"/>
  <c r="L1706" i="262"/>
  <c r="N1706" i="262"/>
  <c r="O1706" i="262"/>
  <c r="Q1706" i="262"/>
  <c r="G1707" i="262"/>
  <c r="K1707" i="262"/>
  <c r="C14" i="351"/>
  <c r="J1707" i="262"/>
  <c r="L1710" i="262"/>
  <c r="N1710" i="262"/>
  <c r="O1710" i="262"/>
  <c r="S1710" i="262"/>
  <c r="A1711" i="262"/>
  <c r="L1711" i="262"/>
  <c r="N1711" i="262"/>
  <c r="O1711" i="262"/>
  <c r="S1711" i="262"/>
  <c r="G1712" i="262"/>
  <c r="J1712" i="262"/>
  <c r="I14" i="353"/>
  <c r="AG14" i="353"/>
  <c r="Q1712" i="262"/>
  <c r="D80" i="179"/>
  <c r="L1715" i="262"/>
  <c r="L1716" i="262"/>
  <c r="L1719" i="262"/>
  <c r="L1722" i="262"/>
  <c r="L1739" i="262"/>
  <c r="N1739" i="262"/>
  <c r="O1739" i="262"/>
  <c r="Q1739" i="262"/>
  <c r="D70" i="179"/>
  <c r="U1739" i="262"/>
  <c r="L1740" i="262"/>
  <c r="L1741" i="262"/>
  <c r="L1742" i="262"/>
  <c r="L1743" i="262"/>
  <c r="L1744" i="262"/>
  <c r="N1744" i="262"/>
  <c r="O1744" i="262"/>
  <c r="Q1744" i="262"/>
  <c r="L1745" i="262"/>
  <c r="L1746" i="262"/>
  <c r="L1747" i="262"/>
  <c r="L1748" i="262"/>
  <c r="L1749" i="262"/>
  <c r="N1749" i="262"/>
  <c r="O1749" i="262"/>
  <c r="Q1749" i="262"/>
  <c r="L1750" i="262"/>
  <c r="L1751" i="262"/>
  <c r="L1752" i="262"/>
  <c r="L1753" i="262"/>
  <c r="N1753" i="262"/>
  <c r="O1753" i="262"/>
  <c r="Q1753" i="262"/>
  <c r="L1754" i="262"/>
  <c r="L1760" i="262"/>
  <c r="N1760" i="262"/>
  <c r="O1760" i="262"/>
  <c r="L1761" i="262"/>
  <c r="L1762" i="262"/>
  <c r="L1763" i="262"/>
  <c r="L1764" i="262"/>
  <c r="L1765" i="262"/>
  <c r="L1766" i="262"/>
  <c r="L1767" i="262"/>
  <c r="L1768" i="262"/>
  <c r="L1769" i="262"/>
  <c r="L1771" i="262"/>
  <c r="N1771" i="262"/>
  <c r="O1771" i="262"/>
  <c r="Q1771" i="262"/>
  <c r="D75" i="179"/>
  <c r="L1772" i="262"/>
  <c r="L1773" i="262"/>
  <c r="L1775" i="262"/>
  <c r="L1776" i="262"/>
  <c r="N1776" i="262"/>
  <c r="O1776" i="262"/>
  <c r="Q1776" i="262"/>
  <c r="L1777" i="262"/>
  <c r="L1778" i="262"/>
  <c r="L1779" i="262"/>
  <c r="L1780" i="262"/>
  <c r="L1800" i="262"/>
  <c r="U1800" i="262"/>
  <c r="N1800" i="262"/>
  <c r="O1800" i="262"/>
  <c r="Q1800" i="262"/>
  <c r="D72" i="179"/>
  <c r="J72" i="179"/>
  <c r="L1801" i="262"/>
  <c r="L1802" i="262"/>
  <c r="L1803" i="262"/>
  <c r="L1804" i="262"/>
  <c r="L1805" i="262"/>
  <c r="L1831" i="262"/>
  <c r="N1831" i="262"/>
  <c r="O1831" i="262"/>
  <c r="Q1831" i="262"/>
  <c r="D71" i="179"/>
  <c r="J71" i="179"/>
  <c r="U1831" i="262"/>
  <c r="L1832" i="262"/>
  <c r="L1834" i="262"/>
  <c r="L1835" i="262"/>
  <c r="N1838" i="262"/>
  <c r="O1838" i="262"/>
  <c r="Q1838" i="262"/>
  <c r="D76" i="179"/>
  <c r="J76" i="179"/>
  <c r="T1838" i="262"/>
  <c r="L1839" i="262"/>
  <c r="L1840" i="262"/>
  <c r="L1844" i="262"/>
  <c r="N1844" i="262"/>
  <c r="O1844" i="262"/>
  <c r="Q1844" i="262"/>
  <c r="D74" i="179"/>
  <c r="J74" i="179"/>
  <c r="L1845" i="262"/>
  <c r="L1846" i="262"/>
  <c r="L1847" i="262"/>
  <c r="L1848" i="262"/>
  <c r="L1849" i="262"/>
  <c r="N1849" i="262"/>
  <c r="O1849" i="262"/>
  <c r="Q1849" i="262"/>
  <c r="L1850" i="262"/>
  <c r="L1855" i="262"/>
  <c r="N1855" i="262"/>
  <c r="O1855" i="262"/>
  <c r="Q1855" i="262"/>
  <c r="T1855" i="262"/>
  <c r="L1856" i="262"/>
  <c r="L1857" i="262"/>
  <c r="L1859" i="262"/>
  <c r="L1860" i="262"/>
  <c r="N1860" i="262"/>
  <c r="O1860" i="262"/>
  <c r="Q1860" i="262"/>
  <c r="T1860" i="262"/>
  <c r="G1861" i="262"/>
  <c r="M1861" i="262"/>
  <c r="S1861" i="262"/>
  <c r="V1861" i="262"/>
  <c r="L1863" i="262"/>
  <c r="L1865" i="262"/>
  <c r="L1866" i="262"/>
  <c r="L1867" i="262"/>
  <c r="L1880" i="262"/>
  <c r="N1880" i="262"/>
  <c r="O1880" i="262"/>
  <c r="L1882" i="262"/>
  <c r="L1883" i="262"/>
  <c r="L1884" i="262"/>
  <c r="L1885" i="262"/>
  <c r="O1885" i="262"/>
  <c r="P1885" i="262"/>
  <c r="Q1885" i="262"/>
  <c r="D63" i="179"/>
  <c r="J63" i="179"/>
  <c r="L1886" i="262"/>
  <c r="L1887" i="262"/>
  <c r="L1894" i="262"/>
  <c r="N1894" i="262"/>
  <c r="O1894" i="262"/>
  <c r="Q1894" i="262"/>
  <c r="D64" i="179"/>
  <c r="J64" i="179"/>
  <c r="L1895" i="262"/>
  <c r="L1896" i="262"/>
  <c r="N1898" i="262"/>
  <c r="O1898" i="262"/>
  <c r="Q1898" i="262"/>
  <c r="D65" i="179"/>
  <c r="J65" i="179"/>
  <c r="L1902" i="262"/>
  <c r="O1902" i="262"/>
  <c r="Q1902" i="262"/>
  <c r="L1905" i="262"/>
  <c r="L1911" i="262"/>
  <c r="L1912" i="262"/>
  <c r="N1912" i="262"/>
  <c r="O1912" i="262"/>
  <c r="L1913" i="262"/>
  <c r="L1914" i="262"/>
  <c r="L1915" i="262"/>
  <c r="N1915" i="262"/>
  <c r="O1915" i="262"/>
  <c r="Q1915" i="262"/>
  <c r="L1916" i="262"/>
  <c r="L1917" i="262"/>
  <c r="L1924" i="262"/>
  <c r="N1924" i="262"/>
  <c r="O1924" i="262"/>
  <c r="L1925" i="262"/>
  <c r="L1926" i="262"/>
  <c r="L1931" i="262"/>
  <c r="N1931" i="262"/>
  <c r="O1931" i="262"/>
  <c r="Q1931" i="262"/>
  <c r="D66" i="179"/>
  <c r="J66" i="179"/>
  <c r="L1932" i="262"/>
  <c r="L1933" i="262"/>
  <c r="N1933" i="262"/>
  <c r="O1933" i="262"/>
  <c r="Q1933" i="262"/>
  <c r="L1934" i="262"/>
  <c r="L1935" i="262"/>
  <c r="L1936" i="262"/>
  <c r="L1938" i="262"/>
  <c r="N1938" i="262"/>
  <c r="O1938" i="262"/>
  <c r="Q1938" i="262"/>
  <c r="L1939" i="262"/>
  <c r="L1940" i="262"/>
  <c r="L1942" i="262"/>
  <c r="N1942" i="262"/>
  <c r="O1942" i="262"/>
  <c r="L1943" i="262"/>
  <c r="G1944" i="262"/>
  <c r="J1944" i="262"/>
  <c r="N1945" i="262"/>
  <c r="O1945" i="262"/>
  <c r="L1948" i="262"/>
  <c r="L2851" i="262"/>
  <c r="N2105" i="262"/>
  <c r="O2105" i="262"/>
  <c r="Q2105" i="262"/>
  <c r="N2110" i="262"/>
  <c r="O2110" i="262"/>
  <c r="Q2110" i="262"/>
  <c r="D102" i="179"/>
  <c r="N2116" i="262"/>
  <c r="O2116" i="262"/>
  <c r="Q2116" i="262"/>
  <c r="D104" i="179"/>
  <c r="Q2262" i="262"/>
  <c r="D103" i="179"/>
  <c r="N2307" i="262"/>
  <c r="O2307" i="262"/>
  <c r="Q2307" i="262"/>
  <c r="D107" i="179"/>
  <c r="A2309" i="262"/>
  <c r="A2310" i="262"/>
  <c r="A2311" i="262"/>
  <c r="A2312" i="262"/>
  <c r="A2313" i="262"/>
  <c r="A2314" i="262"/>
  <c r="A2315" i="262"/>
  <c r="A2316" i="262"/>
  <c r="A2317" i="262"/>
  <c r="A2318" i="262"/>
  <c r="A2319" i="262"/>
  <c r="A2320" i="262"/>
  <c r="A2321" i="262"/>
  <c r="A2322" i="262"/>
  <c r="A2323" i="262"/>
  <c r="A2324" i="262"/>
  <c r="A2325" i="262"/>
  <c r="A2326" i="262"/>
  <c r="A2327" i="262"/>
  <c r="A2328" i="262"/>
  <c r="A2329" i="262"/>
  <c r="A2330" i="262"/>
  <c r="A2331" i="262"/>
  <c r="A2332" i="262"/>
  <c r="A2333" i="262"/>
  <c r="A2334" i="262"/>
  <c r="A2335" i="262"/>
  <c r="N2343" i="262"/>
  <c r="O2343" i="262"/>
  <c r="Q2343" i="262"/>
  <c r="D106" i="179"/>
  <c r="M2851" i="262"/>
  <c r="L2855" i="262"/>
  <c r="L2856" i="262"/>
  <c r="L2857" i="262"/>
  <c r="L2858" i="262"/>
  <c r="L2859" i="262"/>
  <c r="L2862" i="262"/>
  <c r="L2863" i="262"/>
  <c r="T2863" i="262"/>
  <c r="L2864" i="262"/>
  <c r="L2865" i="262"/>
  <c r="L2867" i="262"/>
  <c r="L2870" i="262"/>
  <c r="L2871" i="262"/>
  <c r="N2881" i="262"/>
  <c r="O2881" i="262"/>
  <c r="Q2881" i="262"/>
  <c r="D85" i="179"/>
  <c r="E85" i="179"/>
  <c r="L2883" i="262"/>
  <c r="T2883" i="262"/>
  <c r="L2884" i="262"/>
  <c r="T2884" i="262"/>
  <c r="N2884" i="262"/>
  <c r="O2884" i="262"/>
  <c r="Q2884" i="262"/>
  <c r="L2885" i="262"/>
  <c r="L2886" i="262"/>
  <c r="L2887" i="262"/>
  <c r="T2887" i="262"/>
  <c r="N2887" i="262" a="1"/>
  <c r="N2887" i="262"/>
  <c r="O2887" i="262" a="1"/>
  <c r="O2887" i="262"/>
  <c r="Q2887" i="262"/>
  <c r="L2888" i="262"/>
  <c r="L2889" i="262"/>
  <c r="L2890" i="262"/>
  <c r="T2890" i="262"/>
  <c r="N2890" i="262" a="1"/>
  <c r="N2891" i="262"/>
  <c r="O2890" i="262" a="1"/>
  <c r="O2890" i="262"/>
  <c r="Q2890" i="262"/>
  <c r="L2891" i="262"/>
  <c r="T2891" i="262"/>
  <c r="L2893" i="262"/>
  <c r="T2893" i="262"/>
  <c r="N2893" i="262"/>
  <c r="O2893" i="262"/>
  <c r="D2894" i="262"/>
  <c r="G85" i="179"/>
  <c r="G2894" i="262"/>
  <c r="K2894" i="262"/>
  <c r="C19" i="351"/>
  <c r="J2894" i="262"/>
  <c r="S2894" i="262"/>
  <c r="U2894" i="262"/>
  <c r="V2894" i="262"/>
  <c r="L2898" i="262"/>
  <c r="L2899" i="262"/>
  <c r="L2900" i="262"/>
  <c r="L2914" i="262"/>
  <c r="N2914" i="262"/>
  <c r="O2914" i="262"/>
  <c r="L2915" i="262"/>
  <c r="L2916" i="262"/>
  <c r="L2920" i="262"/>
  <c r="N2925" i="262"/>
  <c r="O2925" i="262"/>
  <c r="Q2925" i="262"/>
  <c r="D95" i="179"/>
  <c r="J95" i="179"/>
  <c r="N2929" i="262"/>
  <c r="O2929" i="262"/>
  <c r="Q2929" i="262"/>
  <c r="L2930" i="262"/>
  <c r="L2931" i="262"/>
  <c r="L2933" i="262"/>
  <c r="N2933" i="262"/>
  <c r="O2933" i="262"/>
  <c r="Q2933" i="262"/>
  <c r="L2934" i="262"/>
  <c r="L2938" i="262"/>
  <c r="N2938" i="262"/>
  <c r="O2938" i="262"/>
  <c r="Q2938" i="262"/>
  <c r="L2939" i="262"/>
  <c r="N2946" i="262"/>
  <c r="O2946" i="262"/>
  <c r="Q2946" i="262"/>
  <c r="D96" i="179"/>
  <c r="J96" i="179"/>
  <c r="L2947" i="262"/>
  <c r="L2949" i="262"/>
  <c r="L2963" i="262"/>
  <c r="L2964" i="262"/>
  <c r="L2965" i="262"/>
  <c r="L2966" i="262"/>
  <c r="L2967" i="262"/>
  <c r="L2968" i="262"/>
  <c r="L2969" i="262"/>
  <c r="L2971" i="262"/>
  <c r="N2971" i="262"/>
  <c r="O2971" i="262"/>
  <c r="Q2971" i="262"/>
  <c r="L2975" i="262"/>
  <c r="N2975" i="262"/>
  <c r="O2975" i="262"/>
  <c r="Q2975" i="262"/>
  <c r="L2976" i="262"/>
  <c r="L2977" i="262"/>
  <c r="L2978" i="262"/>
  <c r="N2978" i="262"/>
  <c r="O2978" i="262"/>
  <c r="Q2978" i="262"/>
  <c r="L2980" i="262"/>
  <c r="L2982" i="262"/>
  <c r="N2982" i="262"/>
  <c r="O2982" i="262"/>
  <c r="Q2982" i="262"/>
  <c r="L2983" i="262"/>
  <c r="L2984" i="262"/>
  <c r="N2984" i="262"/>
  <c r="O2984" i="262"/>
  <c r="L2987" i="262"/>
  <c r="L2988" i="262"/>
  <c r="L2990" i="262"/>
  <c r="N3007" i="262"/>
  <c r="O3007" i="262"/>
  <c r="Q3007" i="262"/>
  <c r="G3008" i="262"/>
  <c r="K3008" i="262"/>
  <c r="C20" i="351"/>
  <c r="J3008" i="262"/>
  <c r="L3011" i="262"/>
  <c r="L3015" i="262"/>
  <c r="L3016" i="262"/>
  <c r="L3029" i="262"/>
  <c r="N3029" i="262"/>
  <c r="O3029" i="262"/>
  <c r="Q3029" i="262"/>
  <c r="D111" i="179"/>
  <c r="J111" i="179"/>
  <c r="L3030" i="262"/>
  <c r="L3034" i="262"/>
  <c r="N3034" i="262"/>
  <c r="O3034" i="262"/>
  <c r="Q3034" i="262"/>
  <c r="D112" i="179"/>
  <c r="L3035" i="262"/>
  <c r="L3036" i="262"/>
  <c r="O3036" i="262"/>
  <c r="Q3036" i="262"/>
  <c r="L3037" i="262"/>
  <c r="N3037" i="262"/>
  <c r="O3037" i="262"/>
  <c r="L3038" i="262"/>
  <c r="N3038" i="262"/>
  <c r="O3038" i="262"/>
  <c r="L3039" i="262"/>
  <c r="L3040" i="262"/>
  <c r="O3040" i="262"/>
  <c r="N3042" i="262"/>
  <c r="O3042" i="262"/>
  <c r="L3043" i="262"/>
  <c r="N3043" i="262"/>
  <c r="O3043" i="262"/>
  <c r="Q3043" i="262"/>
  <c r="D113" i="179"/>
  <c r="L3045" i="262"/>
  <c r="Q3045" i="262"/>
  <c r="L3046" i="262"/>
  <c r="L3047" i="262"/>
  <c r="L3049" i="262"/>
  <c r="L3050" i="262"/>
  <c r="L3051" i="262"/>
  <c r="N3051" i="262"/>
  <c r="O3051" i="262"/>
  <c r="Q3051" i="262"/>
  <c r="D114" i="179"/>
  <c r="L3052" i="262"/>
  <c r="A3053" i="262"/>
  <c r="A3056" i="262"/>
  <c r="L3053" i="262"/>
  <c r="L3054" i="262"/>
  <c r="L3055" i="262"/>
  <c r="L3056" i="262"/>
  <c r="L3057" i="262"/>
  <c r="L3060" i="262"/>
  <c r="N3060" i="262"/>
  <c r="O3060" i="262"/>
  <c r="Q3060" i="262"/>
  <c r="D115" i="179"/>
  <c r="J115" i="179"/>
  <c r="L3061" i="262"/>
  <c r="L3062" i="262"/>
  <c r="L3063" i="262"/>
  <c r="N3063" i="262"/>
  <c r="O3063" i="262"/>
  <c r="Q3063" i="262"/>
  <c r="G3064" i="262"/>
  <c r="K3064" i="262"/>
  <c r="C21" i="351"/>
  <c r="J3064" i="262"/>
  <c r="M3064" i="262"/>
  <c r="H3067" i="262"/>
  <c r="I3067" i="262"/>
  <c r="M3067" i="262"/>
  <c r="K3069" i="262"/>
  <c r="Q3070" i="262"/>
  <c r="O3074" i="262"/>
  <c r="L3075" i="262"/>
  <c r="K3086" i="262"/>
  <c r="K3087" i="262"/>
  <c r="K3088" i="262"/>
  <c r="K3089" i="262"/>
  <c r="K3090" i="262"/>
  <c r="K3091" i="262"/>
  <c r="K3092" i="262"/>
  <c r="K3093" i="262"/>
  <c r="K3094" i="262"/>
  <c r="K3095" i="262"/>
  <c r="K3096" i="262"/>
  <c r="K3097" i="262"/>
  <c r="K3098" i="262"/>
  <c r="K3099" i="262"/>
  <c r="K3100" i="262"/>
  <c r="K3101" i="262"/>
  <c r="K3102" i="262"/>
  <c r="K3103" i="262"/>
  <c r="K3104" i="262"/>
  <c r="K3105" i="262"/>
  <c r="K3106" i="262"/>
  <c r="K3107" i="262"/>
  <c r="K3108" i="262"/>
  <c r="K3109" i="262"/>
  <c r="K3110" i="262"/>
  <c r="K3111" i="262"/>
  <c r="K3112" i="262"/>
  <c r="K3113" i="262"/>
  <c r="K3114" i="262"/>
  <c r="K3115" i="262"/>
  <c r="K3116" i="262"/>
  <c r="K3117" i="262"/>
  <c r="K3118" i="262"/>
  <c r="K3119" i="262"/>
  <c r="K3120" i="262"/>
  <c r="K3121" i="262"/>
  <c r="K3122" i="262"/>
  <c r="K3123" i="262"/>
  <c r="K3124" i="262"/>
  <c r="K3125" i="262"/>
  <c r="K3126" i="262"/>
  <c r="K3127" i="262"/>
  <c r="K3128" i="262"/>
  <c r="K3129" i="262"/>
  <c r="K3130" i="262"/>
  <c r="K3131" i="262"/>
  <c r="K3132" i="262"/>
  <c r="K3133" i="262"/>
  <c r="K3134" i="262"/>
  <c r="K3135" i="262"/>
  <c r="K3136" i="262"/>
  <c r="K3137" i="262"/>
  <c r="K3138" i="262"/>
  <c r="K3139" i="262"/>
  <c r="K3140" i="262"/>
  <c r="K3141" i="262"/>
  <c r="K3142" i="262"/>
  <c r="K3143" i="262"/>
  <c r="K3144" i="262"/>
  <c r="K3145" i="262"/>
  <c r="K3146" i="262"/>
  <c r="K3147" i="262"/>
  <c r="K3148" i="262"/>
  <c r="K3149" i="262"/>
  <c r="K3150" i="262"/>
  <c r="K3151" i="262"/>
  <c r="G14" i="179"/>
  <c r="A15" i="179"/>
  <c r="A25" i="179"/>
  <c r="A30" i="179"/>
  <c r="A36" i="179"/>
  <c r="A44" i="179"/>
  <c r="A52" i="179"/>
  <c r="A55" i="179"/>
  <c r="A60" i="179"/>
  <c r="A68" i="179"/>
  <c r="A78" i="179"/>
  <c r="A81" i="179"/>
  <c r="A86" i="179"/>
  <c r="A92" i="179"/>
  <c r="A97" i="179"/>
  <c r="A109" i="179"/>
  <c r="G23" i="179"/>
  <c r="H22" i="179"/>
  <c r="G35" i="179"/>
  <c r="J36" i="179"/>
  <c r="J37" i="179"/>
  <c r="L42" i="179"/>
  <c r="J44" i="179"/>
  <c r="C45" i="179"/>
  <c r="G51" i="179"/>
  <c r="C53" i="179"/>
  <c r="G67" i="179"/>
  <c r="H65" i="179"/>
  <c r="G77" i="179"/>
  <c r="G80" i="179"/>
  <c r="D83" i="179"/>
  <c r="J83" i="179"/>
  <c r="G83" i="179"/>
  <c r="G91" i="179"/>
  <c r="G96" i="179"/>
  <c r="G100" i="179"/>
  <c r="I116" i="179"/>
  <c r="E120" i="179"/>
  <c r="A3" i="105"/>
  <c r="A3" i="179"/>
  <c r="A38" i="105"/>
  <c r="A47" i="105"/>
  <c r="A58" i="105"/>
  <c r="A69" i="105"/>
  <c r="A78" i="105"/>
  <c r="A81" i="105"/>
  <c r="A95" i="105"/>
  <c r="A101" i="105"/>
  <c r="A111" i="105"/>
  <c r="A120" i="105"/>
  <c r="A124" i="105"/>
  <c r="A141" i="105"/>
  <c r="A155" i="105"/>
  <c r="A170" i="105"/>
  <c r="A177" i="105"/>
  <c r="A194" i="105"/>
  <c r="C39" i="105"/>
  <c r="C59" i="105"/>
  <c r="D65" i="105"/>
  <c r="H65" i="105"/>
  <c r="C70" i="105"/>
  <c r="C79" i="105"/>
  <c r="C82" i="105"/>
  <c r="C96" i="105"/>
  <c r="D99" i="105"/>
  <c r="H99" i="105"/>
  <c r="C102" i="105"/>
  <c r="D107" i="105"/>
  <c r="H107" i="105"/>
  <c r="C112" i="105"/>
  <c r="C121" i="105"/>
  <c r="C125" i="105"/>
  <c r="C142" i="105"/>
  <c r="C156" i="105"/>
  <c r="C171" i="105"/>
  <c r="D190" i="105"/>
  <c r="H190" i="105"/>
  <c r="D203" i="105"/>
  <c r="H203" i="105"/>
  <c r="M23" i="353"/>
  <c r="Y27" i="349"/>
  <c r="C56" i="179"/>
  <c r="C69" i="179"/>
  <c r="C26" i="179"/>
  <c r="C110" i="179"/>
  <c r="C93" i="179"/>
  <c r="C37" i="179"/>
  <c r="I11" i="350"/>
  <c r="C98" i="179"/>
  <c r="C87" i="179"/>
  <c r="C61" i="179"/>
  <c r="C195" i="105"/>
  <c r="G208" i="105"/>
  <c r="J11" i="350"/>
  <c r="K11" i="350"/>
  <c r="E24" i="350"/>
  <c r="I24" i="350"/>
  <c r="I13" i="350"/>
  <c r="J13" i="350"/>
  <c r="K13" i="350"/>
  <c r="J24" i="350"/>
  <c r="K24" i="350"/>
  <c r="P2105" i="262"/>
  <c r="D159" i="105"/>
  <c r="H159" i="105"/>
  <c r="J2895" i="262"/>
  <c r="P370" i="262"/>
  <c r="D45" i="105"/>
  <c r="H45" i="105"/>
  <c r="P213" i="262"/>
  <c r="D12" i="105"/>
  <c r="H12" i="105"/>
  <c r="P1691" i="262"/>
  <c r="D117" i="105"/>
  <c r="H117" i="105"/>
  <c r="P395" i="262"/>
  <c r="D51" i="105"/>
  <c r="H51" i="105"/>
  <c r="J354" i="262"/>
  <c r="P2100" i="262"/>
  <c r="D158" i="105"/>
  <c r="H158" i="105"/>
  <c r="X26" i="349"/>
  <c r="X28" i="349"/>
  <c r="Y26" i="349"/>
  <c r="Y28" i="349"/>
  <c r="AC29" i="349"/>
  <c r="F27" i="350"/>
  <c r="J27" i="350"/>
  <c r="K27" i="350"/>
  <c r="P295" i="262"/>
  <c r="D29" i="105"/>
  <c r="H29" i="105"/>
  <c r="P316" i="262"/>
  <c r="D31" i="105"/>
  <c r="H31" i="105"/>
  <c r="K353" i="262"/>
  <c r="C6" i="351"/>
  <c r="P863" i="262"/>
  <c r="D60" i="105"/>
  <c r="J1659" i="262"/>
  <c r="P217" i="262"/>
  <c r="D13" i="105"/>
  <c r="H13" i="105"/>
  <c r="U353" i="262"/>
  <c r="P1606" i="262"/>
  <c r="D83" i="105"/>
  <c r="P194" i="262"/>
  <c r="D18" i="105"/>
  <c r="H18" i="105"/>
  <c r="N3009" i="262"/>
  <c r="O3009" i="262"/>
  <c r="P387" i="262"/>
  <c r="D49" i="105"/>
  <c r="H49" i="105"/>
  <c r="P3037" i="262"/>
  <c r="D200" i="105"/>
  <c r="H200" i="105"/>
  <c r="P2971" i="262"/>
  <c r="D189" i="105"/>
  <c r="H189" i="105"/>
  <c r="P2887" i="262"/>
  <c r="D174" i="105"/>
  <c r="H174" i="105"/>
  <c r="P1587" i="262"/>
  <c r="D67" i="105"/>
  <c r="H67" i="105"/>
  <c r="P1400" i="262"/>
  <c r="D66" i="105"/>
  <c r="H66" i="105"/>
  <c r="P412" i="262"/>
  <c r="D56" i="105"/>
  <c r="H56" i="105"/>
  <c r="P225" i="262"/>
  <c r="D15" i="105"/>
  <c r="H15" i="105"/>
  <c r="P159" i="262"/>
  <c r="D17" i="105"/>
  <c r="H17" i="105"/>
  <c r="P1838" i="262"/>
  <c r="D133" i="105"/>
  <c r="H133" i="105"/>
  <c r="P1706" i="262"/>
  <c r="D119" i="105"/>
  <c r="P1672" i="262"/>
  <c r="D108" i="105"/>
  <c r="H108" i="105"/>
  <c r="P2843" i="262"/>
  <c r="D166" i="105"/>
  <c r="H166" i="105"/>
  <c r="P1346" i="262"/>
  <c r="D68" i="105"/>
  <c r="H68" i="105"/>
  <c r="P320" i="262"/>
  <c r="D32" i="105"/>
  <c r="H32" i="105"/>
  <c r="E83" i="179"/>
  <c r="P2988" i="262"/>
  <c r="D192" i="105"/>
  <c r="H192" i="105"/>
  <c r="P1938" i="262"/>
  <c r="D153" i="105"/>
  <c r="H153" i="105"/>
  <c r="P1931" i="262"/>
  <c r="D150" i="105"/>
  <c r="H150" i="105"/>
  <c r="P3060" i="262"/>
  <c r="D204" i="105"/>
  <c r="H204" i="105"/>
  <c r="P2110" i="262"/>
  <c r="D160" i="105"/>
  <c r="H160" i="105"/>
  <c r="P1612" i="262"/>
  <c r="D85" i="105"/>
  <c r="H85" i="105"/>
  <c r="P352" i="262"/>
  <c r="D37" i="105"/>
  <c r="H37" i="105"/>
  <c r="P3051" i="262"/>
  <c r="D202" i="105"/>
  <c r="H202" i="105"/>
  <c r="P1601" i="262"/>
  <c r="N1589" i="262"/>
  <c r="O1589" i="262"/>
  <c r="P283" i="262"/>
  <c r="D27" i="105"/>
  <c r="H27" i="105"/>
  <c r="N260" i="262"/>
  <c r="O260" i="262"/>
  <c r="P1592" i="262"/>
  <c r="D73" i="105"/>
  <c r="H73" i="105"/>
  <c r="P1664" i="262"/>
  <c r="D104" i="105"/>
  <c r="H104" i="105"/>
  <c r="P1915" i="262"/>
  <c r="D148" i="105"/>
  <c r="H148" i="105"/>
  <c r="P2933" i="262"/>
  <c r="D187" i="105"/>
  <c r="H187" i="105"/>
  <c r="J1649" i="262"/>
  <c r="P2055" i="262"/>
  <c r="D157" i="105"/>
  <c r="H157" i="105"/>
  <c r="P1638" i="262"/>
  <c r="D91" i="105"/>
  <c r="H91" i="105"/>
  <c r="P1621" i="262"/>
  <c r="D93" i="105"/>
  <c r="H93" i="105"/>
  <c r="P2850" i="262"/>
  <c r="D167" i="105"/>
  <c r="H167" i="105"/>
  <c r="P1771" i="262"/>
  <c r="D134" i="105"/>
  <c r="H134" i="105"/>
  <c r="P1894" i="262"/>
  <c r="D145" i="105"/>
  <c r="H145" i="105"/>
  <c r="J260" i="262"/>
  <c r="P1626" i="262"/>
  <c r="D87" i="105"/>
  <c r="H87" i="105"/>
  <c r="P1744" i="262"/>
  <c r="D127" i="105"/>
  <c r="H127" i="105"/>
  <c r="P2258" i="262"/>
  <c r="D164" i="105"/>
  <c r="H164" i="105"/>
  <c r="P258" i="262"/>
  <c r="D22" i="105"/>
  <c r="H22" i="105"/>
  <c r="P1710" i="262"/>
  <c r="D122" i="105"/>
  <c r="H122" i="105"/>
  <c r="O2891" i="262"/>
  <c r="P2343" i="262"/>
  <c r="D165" i="105"/>
  <c r="H165" i="105"/>
  <c r="P1942" i="262"/>
  <c r="D154" i="105"/>
  <c r="H154" i="105"/>
  <c r="P312" i="262"/>
  <c r="D30" i="105"/>
  <c r="H30" i="105"/>
  <c r="P3043" i="262"/>
  <c r="D198" i="105"/>
  <c r="H198" i="105"/>
  <c r="N2888" i="262"/>
  <c r="P2307" i="262"/>
  <c r="D168" i="105"/>
  <c r="H168" i="105"/>
  <c r="L1598" i="262"/>
  <c r="D10" i="351"/>
  <c r="E10" i="351"/>
  <c r="P402" i="262"/>
  <c r="D54" i="105"/>
  <c r="H54" i="105"/>
  <c r="P393" i="262"/>
  <c r="D52" i="105"/>
  <c r="H52" i="105"/>
  <c r="P357" i="262"/>
  <c r="D40" i="105"/>
  <c r="J1599" i="262"/>
  <c r="O1598" i="262"/>
  <c r="P1357" i="262"/>
  <c r="D63" i="105"/>
  <c r="H63" i="105"/>
  <c r="L373" i="262"/>
  <c r="D7" i="351"/>
  <c r="E7" i="351"/>
  <c r="P96" i="262"/>
  <c r="D8" i="105"/>
  <c r="H8" i="105"/>
  <c r="U1861" i="262"/>
  <c r="P1687" i="262"/>
  <c r="D113" i="105"/>
  <c r="P391" i="262"/>
  <c r="D50" i="105"/>
  <c r="H50" i="105"/>
  <c r="P967" i="262"/>
  <c r="D61" i="105"/>
  <c r="H61" i="105"/>
  <c r="P2262" i="262"/>
  <c r="P1668" i="262"/>
  <c r="D106" i="105"/>
  <c r="H106" i="105"/>
  <c r="P287" i="262"/>
  <c r="D28" i="105"/>
  <c r="H28" i="105"/>
  <c r="P1898" i="262"/>
  <c r="D146" i="105"/>
  <c r="H146" i="105"/>
  <c r="P1739" i="262"/>
  <c r="D126" i="105"/>
  <c r="H126" i="105"/>
  <c r="P243" i="262"/>
  <c r="D20" i="105"/>
  <c r="H20" i="105"/>
  <c r="P1694" i="262"/>
  <c r="D116" i="105"/>
  <c r="H116" i="105"/>
  <c r="P1646" i="262"/>
  <c r="D94" i="105"/>
  <c r="H94" i="105"/>
  <c r="P3007" i="262"/>
  <c r="D193" i="105"/>
  <c r="H193" i="105"/>
  <c r="P347" i="262"/>
  <c r="D36" i="105"/>
  <c r="H36" i="105"/>
  <c r="P1902" i="262"/>
  <c r="D149" i="105"/>
  <c r="H149" i="105"/>
  <c r="L1599" i="262"/>
  <c r="P1591" i="262"/>
  <c r="D71" i="105"/>
  <c r="H71" i="105"/>
  <c r="N3065" i="262"/>
  <c r="O3065" i="262"/>
  <c r="P2946" i="262"/>
  <c r="D184" i="105"/>
  <c r="H184" i="105"/>
  <c r="O2888" i="262"/>
  <c r="J85" i="179"/>
  <c r="P1912" i="262"/>
  <c r="D151" i="105"/>
  <c r="H151" i="105"/>
  <c r="P1855" i="262"/>
  <c r="D139" i="105"/>
  <c r="H139" i="105"/>
  <c r="P1711" i="262"/>
  <c r="D123" i="105"/>
  <c r="H123" i="105"/>
  <c r="N1649" i="262"/>
  <c r="O1649" i="262"/>
  <c r="P1634" i="262"/>
  <c r="D90" i="105"/>
  <c r="H90" i="105"/>
  <c r="N373" i="262"/>
  <c r="P2893" i="262"/>
  <c r="D176" i="105"/>
  <c r="H176" i="105"/>
  <c r="J1862" i="262"/>
  <c r="G59" i="179"/>
  <c r="N2852" i="262"/>
  <c r="O2852" i="262"/>
  <c r="P239" i="262"/>
  <c r="D11" i="105"/>
  <c r="H11" i="105"/>
  <c r="L1658" i="262"/>
  <c r="D12" i="351"/>
  <c r="E12" i="351"/>
  <c r="P1596" i="262"/>
  <c r="D74" i="105"/>
  <c r="H74" i="105"/>
  <c r="P372" i="262"/>
  <c r="D46" i="105"/>
  <c r="H46" i="105"/>
  <c r="P3029" i="262"/>
  <c r="D196" i="105"/>
  <c r="H196" i="105"/>
  <c r="O1944" i="262"/>
  <c r="N1599" i="262"/>
  <c r="O1599" i="262"/>
  <c r="P3063" i="262"/>
  <c r="D205" i="105"/>
  <c r="H205" i="105"/>
  <c r="P1666" i="262"/>
  <c r="D105" i="105"/>
  <c r="H105" i="105"/>
  <c r="P1608" i="262"/>
  <c r="D84" i="105"/>
  <c r="H84" i="105"/>
  <c r="K3068" i="262"/>
  <c r="P279" i="262"/>
  <c r="D26" i="105"/>
  <c r="H26" i="105"/>
  <c r="P3034" i="262"/>
  <c r="D197" i="105"/>
  <c r="H197" i="105"/>
  <c r="P2975" i="262"/>
  <c r="D185" i="105"/>
  <c r="H185" i="105"/>
  <c r="P1800" i="262"/>
  <c r="D131" i="105"/>
  <c r="H131" i="105"/>
  <c r="L1675" i="262"/>
  <c r="I12" i="353"/>
  <c r="AG12" i="353"/>
  <c r="J1589" i="262"/>
  <c r="P364" i="262"/>
  <c r="D43" i="105"/>
  <c r="H43" i="105"/>
  <c r="P2820" i="262"/>
  <c r="D169" i="105"/>
  <c r="H169" i="105"/>
  <c r="P2982" i="262"/>
  <c r="D186" i="105"/>
  <c r="H186" i="105"/>
  <c r="P1849" i="262"/>
  <c r="D137" i="105"/>
  <c r="H137" i="105"/>
  <c r="P1640" i="262"/>
  <c r="D92" i="105"/>
  <c r="H92" i="105"/>
  <c r="P1594" i="262"/>
  <c r="D75" i="105"/>
  <c r="H75" i="105"/>
  <c r="N354" i="262"/>
  <c r="O354" i="262"/>
  <c r="N1708" i="262"/>
  <c r="O1708" i="262"/>
  <c r="T1861" i="262"/>
  <c r="E51" i="179"/>
  <c r="H46" i="179"/>
  <c r="D73" i="179"/>
  <c r="J73" i="179"/>
  <c r="P1698" i="262"/>
  <c r="D118" i="105"/>
  <c r="H118" i="105"/>
  <c r="P1674" i="262"/>
  <c r="D110" i="105"/>
  <c r="J1708" i="262"/>
  <c r="P106" i="262"/>
  <c r="D9" i="105"/>
  <c r="H9" i="105"/>
  <c r="P398" i="262"/>
  <c r="D53" i="105"/>
  <c r="H53" i="105"/>
  <c r="P2978" i="262"/>
  <c r="D188" i="105"/>
  <c r="H188" i="105"/>
  <c r="O353" i="262"/>
  <c r="O259" i="262"/>
  <c r="P2881" i="262"/>
  <c r="D172" i="105"/>
  <c r="H172" i="105"/>
  <c r="K1648" i="262"/>
  <c r="C11" i="351"/>
  <c r="O417" i="262"/>
  <c r="N418" i="262"/>
  <c r="O418" i="262"/>
  <c r="P2884" i="262"/>
  <c r="D173" i="105"/>
  <c r="H173" i="105"/>
  <c r="P1760" i="262"/>
  <c r="D130" i="105"/>
  <c r="H130" i="105"/>
  <c r="P1749" i="262"/>
  <c r="D128" i="105"/>
  <c r="H128" i="105"/>
  <c r="P1702" i="262"/>
  <c r="D114" i="105"/>
  <c r="H114" i="105"/>
  <c r="P1654" i="262"/>
  <c r="P1658" i="262"/>
  <c r="D97" i="105"/>
  <c r="K1861" i="262"/>
  <c r="C16" i="351"/>
  <c r="J17" i="179"/>
  <c r="E24" i="179"/>
  <c r="E80" i="179"/>
  <c r="J80" i="179"/>
  <c r="N374" i="262"/>
  <c r="P1933" i="262"/>
  <c r="K2851" i="262"/>
  <c r="C18" i="351"/>
  <c r="Q1675" i="262"/>
  <c r="Q1588" i="262"/>
  <c r="Q373" i="262"/>
  <c r="D27" i="179"/>
  <c r="E29" i="179"/>
  <c r="L1588" i="262"/>
  <c r="I9" i="353"/>
  <c r="AG9" i="353"/>
  <c r="P1753" i="262"/>
  <c r="D129" i="105"/>
  <c r="H129" i="105"/>
  <c r="L1861" i="262"/>
  <c r="P366" i="262"/>
  <c r="D44" i="105"/>
  <c r="H44" i="105"/>
  <c r="O2851" i="262"/>
  <c r="N2890" i="262"/>
  <c r="P2890" i="262"/>
  <c r="D175" i="105"/>
  <c r="H175" i="105"/>
  <c r="P1844" i="262"/>
  <c r="D136" i="105"/>
  <c r="H136" i="105"/>
  <c r="N1676" i="262"/>
  <c r="O1676" i="262"/>
  <c r="P2914" i="262"/>
  <c r="D179" i="105"/>
  <c r="P1860" i="262"/>
  <c r="D140" i="105"/>
  <c r="H140" i="105"/>
  <c r="N1707" i="262"/>
  <c r="P1673" i="262"/>
  <c r="D109" i="105"/>
  <c r="H109" i="105"/>
  <c r="P2925" i="262"/>
  <c r="D180" i="105"/>
  <c r="H180" i="105"/>
  <c r="P1924" i="262"/>
  <c r="D147" i="105"/>
  <c r="H147" i="105"/>
  <c r="N1861" i="262"/>
  <c r="P361" i="262"/>
  <c r="D42" i="105"/>
  <c r="H42" i="105"/>
  <c r="L1707" i="262"/>
  <c r="I13" i="353"/>
  <c r="AG13" i="353"/>
  <c r="L353" i="262"/>
  <c r="D6" i="351"/>
  <c r="E6" i="351"/>
  <c r="P340" i="262"/>
  <c r="D34" i="105"/>
  <c r="H34" i="105"/>
  <c r="Q1648" i="262"/>
  <c r="N2895" i="262"/>
  <c r="O2895" i="262"/>
  <c r="E35" i="179"/>
  <c r="H32" i="179"/>
  <c r="N1862" i="262"/>
  <c r="O1862" i="262"/>
  <c r="N3064" i="262"/>
  <c r="P1776" i="262"/>
  <c r="D135" i="105"/>
  <c r="H135" i="105"/>
  <c r="O1707" i="262"/>
  <c r="J3065" i="262"/>
  <c r="L1944" i="262"/>
  <c r="D17" i="351"/>
  <c r="P221" i="262"/>
  <c r="D14" i="105"/>
  <c r="H14" i="105"/>
  <c r="O3008" i="262"/>
  <c r="I7" i="353"/>
  <c r="AG7" i="353"/>
  <c r="N417" i="262"/>
  <c r="U259" i="262"/>
  <c r="J3009" i="262"/>
  <c r="P3036" i="262"/>
  <c r="D199" i="105"/>
  <c r="H199" i="105"/>
  <c r="P2984" i="262"/>
  <c r="L3008" i="262"/>
  <c r="D20" i="351"/>
  <c r="E20" i="351"/>
  <c r="O1712" i="262"/>
  <c r="P1699" i="262"/>
  <c r="D115" i="105"/>
  <c r="H115" i="105"/>
  <c r="J1676" i="262"/>
  <c r="I6" i="353"/>
  <c r="AG6" i="353"/>
  <c r="N2851" i="262"/>
  <c r="P1616" i="262"/>
  <c r="D86" i="105"/>
  <c r="H86" i="105"/>
  <c r="J1945" i="262"/>
  <c r="P1831" i="262"/>
  <c r="D132" i="105"/>
  <c r="H132" i="105"/>
  <c r="N1712" i="262"/>
  <c r="P1620" i="262"/>
  <c r="D89" i="105"/>
  <c r="H89" i="105"/>
  <c r="O373" i="262"/>
  <c r="P112" i="262"/>
  <c r="D10" i="105"/>
  <c r="H10" i="105"/>
  <c r="Q417" i="262"/>
  <c r="Q3008" i="262"/>
  <c r="J54" i="179"/>
  <c r="E67" i="179"/>
  <c r="Q1944" i="262"/>
  <c r="E115" i="179"/>
  <c r="P2929" i="262"/>
  <c r="D183" i="105"/>
  <c r="H183" i="105"/>
  <c r="O1675" i="262"/>
  <c r="P228" i="262"/>
  <c r="D16" i="105"/>
  <c r="H16" i="105"/>
  <c r="J2852" i="262"/>
  <c r="J70" i="179"/>
  <c r="J3067" i="262"/>
  <c r="L259" i="262"/>
  <c r="K1944" i="262"/>
  <c r="O1648" i="262"/>
  <c r="N1603" i="262"/>
  <c r="Q1602" i="262"/>
  <c r="O1861" i="262"/>
  <c r="N1714" i="262"/>
  <c r="O1714" i="262"/>
  <c r="K1712" i="262"/>
  <c r="N1675" i="262"/>
  <c r="P1662" i="262"/>
  <c r="H60" i="105"/>
  <c r="D58" i="179"/>
  <c r="N259" i="262"/>
  <c r="G29" i="179"/>
  <c r="D3067" i="262"/>
  <c r="T2894" i="262"/>
  <c r="P1631" i="262"/>
  <c r="D88" i="105"/>
  <c r="H88" i="105"/>
  <c r="Q1861" i="262"/>
  <c r="P2116" i="262"/>
  <c r="P871" i="262"/>
  <c r="N1588" i="262"/>
  <c r="Q353" i="262"/>
  <c r="Q1707" i="262"/>
  <c r="D43" i="179"/>
  <c r="E43" i="179"/>
  <c r="J94" i="179"/>
  <c r="E96" i="179"/>
  <c r="L2894" i="262"/>
  <c r="G3067" i="262"/>
  <c r="Q2894" i="262"/>
  <c r="E91" i="179"/>
  <c r="N1648" i="262"/>
  <c r="N1598" i="262"/>
  <c r="P1352" i="262"/>
  <c r="D62" i="105"/>
  <c r="H62" i="105"/>
  <c r="O1588" i="262"/>
  <c r="P359" i="262"/>
  <c r="D41" i="105"/>
  <c r="E14" i="179"/>
  <c r="J9" i="179"/>
  <c r="E108" i="179"/>
  <c r="L417" i="262"/>
  <c r="D8" i="351"/>
  <c r="E8" i="351"/>
  <c r="L1648" i="262"/>
  <c r="N3008" i="262"/>
  <c r="P1880" i="262"/>
  <c r="N1944" i="262"/>
  <c r="O3064" i="262"/>
  <c r="P2938" i="262"/>
  <c r="D182" i="105"/>
  <c r="H182" i="105"/>
  <c r="P336" i="262"/>
  <c r="D33" i="105"/>
  <c r="H33" i="105"/>
  <c r="P3038" i="262"/>
  <c r="D201" i="105"/>
  <c r="H201" i="105"/>
  <c r="J101" i="179"/>
  <c r="L3064" i="262"/>
  <c r="N353" i="262"/>
  <c r="P1595" i="262"/>
  <c r="D77" i="105"/>
  <c r="H77" i="105"/>
  <c r="N1659" i="262"/>
  <c r="O1659" i="262"/>
  <c r="L1659" i="262"/>
  <c r="O2894" i="262"/>
  <c r="P1712" i="262"/>
  <c r="D80" i="105"/>
  <c r="P1602" i="262"/>
  <c r="O1603" i="262"/>
  <c r="E77" i="179"/>
  <c r="H76" i="179"/>
  <c r="L1862" i="262"/>
  <c r="P417" i="262"/>
  <c r="E123" i="105"/>
  <c r="B14" i="353"/>
  <c r="D14" i="353"/>
  <c r="E57" i="105"/>
  <c r="B7" i="353"/>
  <c r="H97" i="105"/>
  <c r="E46" i="105"/>
  <c r="B6" i="353"/>
  <c r="B7" i="351"/>
  <c r="F7" i="351"/>
  <c r="G7" i="351"/>
  <c r="D16" i="351"/>
  <c r="E16" i="351"/>
  <c r="L1589" i="262"/>
  <c r="D9" i="351"/>
  <c r="E9" i="351"/>
  <c r="J27" i="179"/>
  <c r="J116" i="179"/>
  <c r="D98" i="105"/>
  <c r="H98" i="105"/>
  <c r="I15" i="353"/>
  <c r="AG15" i="353"/>
  <c r="L1676" i="262"/>
  <c r="D13" i="351"/>
  <c r="E13" i="351"/>
  <c r="I11" i="353"/>
  <c r="AG11" i="353"/>
  <c r="L354" i="262"/>
  <c r="E23" i="105"/>
  <c r="B4" i="353"/>
  <c r="I5" i="353"/>
  <c r="AG5" i="353"/>
  <c r="N2894" i="262"/>
  <c r="P259" i="262"/>
  <c r="P1861" i="262"/>
  <c r="E176" i="105"/>
  <c r="B18" i="353"/>
  <c r="L3009" i="262"/>
  <c r="D14" i="351"/>
  <c r="E14" i="351"/>
  <c r="P1707" i="262"/>
  <c r="I19" i="353"/>
  <c r="AG19" i="353"/>
  <c r="L1708" i="262"/>
  <c r="K3067" i="262"/>
  <c r="E140" i="105"/>
  <c r="I141" i="105"/>
  <c r="E205" i="105"/>
  <c r="I206" i="105"/>
  <c r="J3068" i="262"/>
  <c r="P2894" i="262"/>
  <c r="D161" i="105"/>
  <c r="P2851" i="262"/>
  <c r="I4" i="353"/>
  <c r="L3067" i="262"/>
  <c r="D5" i="351"/>
  <c r="L260" i="262"/>
  <c r="E77" i="105"/>
  <c r="B9" i="353"/>
  <c r="H83" i="105"/>
  <c r="E94" i="105"/>
  <c r="E119" i="105"/>
  <c r="H113" i="105"/>
  <c r="L1649" i="262"/>
  <c r="D11" i="351"/>
  <c r="E11" i="351"/>
  <c r="I10" i="353"/>
  <c r="AG10" i="353"/>
  <c r="L3065" i="262"/>
  <c r="D21" i="351"/>
  <c r="E21" i="351"/>
  <c r="I20" i="353"/>
  <c r="AG20" i="353"/>
  <c r="L2895" i="262"/>
  <c r="D19" i="351"/>
  <c r="E19" i="351"/>
  <c r="I18" i="353"/>
  <c r="AG18" i="353"/>
  <c r="L1713" i="262"/>
  <c r="C15" i="351"/>
  <c r="I17" i="353"/>
  <c r="AG17" i="353"/>
  <c r="D18" i="351"/>
  <c r="E18" i="351"/>
  <c r="D103" i="105"/>
  <c r="P1675" i="262"/>
  <c r="P1598" i="262"/>
  <c r="H26" i="179"/>
  <c r="P1648" i="262"/>
  <c r="P3064" i="262"/>
  <c r="P3008" i="262"/>
  <c r="Q3064" i="262"/>
  <c r="E37" i="105"/>
  <c r="J58" i="179"/>
  <c r="E59" i="179"/>
  <c r="P373" i="262"/>
  <c r="O374" i="262"/>
  <c r="H179" i="105"/>
  <c r="E193" i="105"/>
  <c r="L2852" i="262"/>
  <c r="R2852" i="262"/>
  <c r="D143" i="105"/>
  <c r="P1944" i="262"/>
  <c r="H11" i="179"/>
  <c r="D64" i="105"/>
  <c r="H64" i="105"/>
  <c r="P1588" i="262"/>
  <c r="L1945" i="262"/>
  <c r="I16" i="353"/>
  <c r="AG16" i="353"/>
  <c r="C17" i="351"/>
  <c r="P353" i="262"/>
  <c r="E116" i="179"/>
  <c r="J118" i="179"/>
  <c r="B15" i="351"/>
  <c r="F15" i="351"/>
  <c r="I58" i="105"/>
  <c r="D6" i="353"/>
  <c r="E80" i="105"/>
  <c r="H80" i="105"/>
  <c r="I177" i="105"/>
  <c r="E100" i="105"/>
  <c r="B11" i="353"/>
  <c r="B20" i="353"/>
  <c r="B21" i="351"/>
  <c r="F21" i="351"/>
  <c r="G21" i="351"/>
  <c r="I23" i="105"/>
  <c r="L3069" i="262"/>
  <c r="I23" i="353"/>
  <c r="B15" i="353"/>
  <c r="D15" i="353"/>
  <c r="E15" i="353"/>
  <c r="E68" i="105"/>
  <c r="B8" i="353"/>
  <c r="D9" i="353"/>
  <c r="B10" i="351"/>
  <c r="F10" i="351"/>
  <c r="G10" i="351"/>
  <c r="B5" i="353"/>
  <c r="I38" i="105"/>
  <c r="E5" i="351"/>
  <c r="D22" i="351"/>
  <c r="H161" i="105"/>
  <c r="E169" i="105"/>
  <c r="D7" i="353"/>
  <c r="E7" i="353"/>
  <c r="B8" i="351"/>
  <c r="F8" i="351"/>
  <c r="G8" i="351"/>
  <c r="H103" i="105"/>
  <c r="E110" i="105"/>
  <c r="AG4" i="353"/>
  <c r="I21" i="353"/>
  <c r="E154" i="105"/>
  <c r="H143" i="105"/>
  <c r="D18" i="353"/>
  <c r="E18" i="353"/>
  <c r="B19" i="351"/>
  <c r="F19" i="351"/>
  <c r="G19" i="351"/>
  <c r="E17" i="351"/>
  <c r="I194" i="105"/>
  <c r="B19" i="353"/>
  <c r="B5" i="351"/>
  <c r="D4" i="353"/>
  <c r="B13" i="353"/>
  <c r="I119" i="105"/>
  <c r="E15" i="351"/>
  <c r="G15" i="351"/>
  <c r="C22" i="351"/>
  <c r="G22" i="351"/>
  <c r="I95" i="105"/>
  <c r="B10" i="353"/>
  <c r="D20" i="353"/>
  <c r="E20" i="353"/>
  <c r="E121" i="179"/>
  <c r="I69" i="105"/>
  <c r="B16" i="351"/>
  <c r="F16" i="351"/>
  <c r="G16" i="351"/>
  <c r="E206" i="105"/>
  <c r="H210" i="105"/>
  <c r="B12" i="351"/>
  <c r="F12" i="351"/>
  <c r="G12" i="351"/>
  <c r="D11" i="353"/>
  <c r="E22" i="351"/>
  <c r="F25" i="350"/>
  <c r="D13" i="353"/>
  <c r="E13" i="353"/>
  <c r="B14" i="351"/>
  <c r="F14" i="351"/>
  <c r="G14" i="351"/>
  <c r="B11" i="351"/>
  <c r="F11" i="351"/>
  <c r="G11" i="351"/>
  <c r="D10" i="353"/>
  <c r="E10" i="353"/>
  <c r="E4" i="353"/>
  <c r="F5" i="351"/>
  <c r="G5" i="351"/>
  <c r="B6" i="351"/>
  <c r="F6" i="351"/>
  <c r="G6" i="351"/>
  <c r="D5" i="353"/>
  <c r="E5" i="353"/>
  <c r="B20" i="351"/>
  <c r="F20" i="351"/>
  <c r="G20" i="351"/>
  <c r="D19" i="353"/>
  <c r="E19" i="353"/>
  <c r="B17" i="353"/>
  <c r="I170" i="105"/>
  <c r="I155" i="105"/>
  <c r="B16" i="353"/>
  <c r="T23" i="353"/>
  <c r="W24" i="353"/>
  <c r="AG21" i="353"/>
  <c r="I24" i="353"/>
  <c r="I110" i="105"/>
  <c r="B12" i="353"/>
  <c r="B9" i="351"/>
  <c r="F9" i="351"/>
  <c r="G9" i="351"/>
  <c r="D8" i="353"/>
  <c r="E8" i="353"/>
  <c r="E213" i="105"/>
  <c r="E208" i="105"/>
  <c r="D28" i="351"/>
  <c r="D30" i="351"/>
  <c r="B17" i="351"/>
  <c r="F17" i="351"/>
  <c r="G17" i="351"/>
  <c r="D16" i="353"/>
  <c r="E16" i="353"/>
  <c r="F26" i="350"/>
  <c r="J26" i="350"/>
  <c r="K26" i="350"/>
  <c r="J25" i="350"/>
  <c r="K25" i="350"/>
  <c r="B18" i="351"/>
  <c r="F18" i="351"/>
  <c r="G18" i="351"/>
  <c r="D17" i="353"/>
  <c r="E17" i="353"/>
  <c r="D12" i="353"/>
  <c r="B13" i="351"/>
  <c r="F13" i="351"/>
  <c r="G13" i="351"/>
  <c r="B21" i="353"/>
  <c r="I209" i="105"/>
  <c r="B22" i="351"/>
  <c r="G32" i="353"/>
  <c r="G33" i="353"/>
  <c r="B26" i="353"/>
  <c r="E12" i="353"/>
  <c r="D21" i="353"/>
  <c r="E21" i="353"/>
  <c r="Q106" i="262"/>
  <c r="A1853" i="10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03" authorId="0" shapeId="0" xr:uid="{A9CEDA8D-AC04-4F35-81A2-13E2C7598707}">
      <text>
        <r>
          <rPr>
            <sz val="11"/>
            <color indexed="8"/>
            <rFont val="Calibri"/>
            <family val="2"/>
          </rPr>
          <t>เริ่มผ่อนชำระ 41 งวด
1-40 งวดละ1000 บาท
งวด41 1360 บาท
ชำระไม่เกินวันที่ 5 ของทุกเดือน 
รวมเป็นยอดหนี้ 41,360.-
	-smutprakan ss</t>
        </r>
      </text>
    </comment>
    <comment ref="D303" authorId="0" shapeId="0" xr:uid="{C7DEE544-768F-4D3A-A03C-A3D962170DDA}">
      <text>
        <r>
          <rPr>
            <sz val="11"/>
            <color indexed="8"/>
            <rFont val="Calibri"/>
            <family val="2"/>
          </rPr>
          <t>ให้ลดหนี้เดือนละ1,000.- นะ
	-Home</t>
        </r>
      </text>
    </comment>
  </commentList>
</comments>
</file>

<file path=xl/sharedStrings.xml><?xml version="1.0" encoding="utf-8"?>
<sst xmlns="http://schemas.openxmlformats.org/spreadsheetml/2006/main" count="7996" uniqueCount="3734">
  <si>
    <t>มูลค่าหนี้ = ยอดหนี้ตามความเป็นจริงของลูกหนี้</t>
  </si>
  <si>
    <t xml:space="preserve">บ.เลาห์เรณู จำกัด   </t>
  </si>
  <si>
    <t>ไม่ต้องทำอะไร</t>
  </si>
  <si>
    <t xml:space="preserve">สำนักงานท่าเทียบเรือประมงปัตตานี </t>
  </si>
  <si>
    <t>สำนักงานท่าเทียบเรือประมงสงขลา</t>
  </si>
  <si>
    <t>ค้างชำระ 1-12 เดือน</t>
  </si>
  <si>
    <t>ค้างชำระ 12 เดือนขึ้นไป</t>
  </si>
  <si>
    <t>มีค.-กย.51</t>
  </si>
  <si>
    <t>น้ำดีผ่านการบำบัด</t>
  </si>
  <si>
    <t>นางพิสมัย เตละวานิช</t>
  </si>
  <si>
    <t>อาหาร ล.6</t>
  </si>
  <si>
    <t>อาหาร ล.7</t>
  </si>
  <si>
    <t>นางสุณีรัตน์ ณ นคร</t>
  </si>
  <si>
    <t>นายหลำ  ยูนุ้ย</t>
  </si>
  <si>
    <t>นายธีรวุฒิ  วรวิสุทธิพันธ์</t>
  </si>
  <si>
    <t>บ.ไทยเสรีการประมง จก</t>
  </si>
  <si>
    <t>บ.ศิริพงศ์การประมง(1991) จก.</t>
  </si>
  <si>
    <t>ศาล</t>
  </si>
  <si>
    <t>ค่าเช่าอาคารและที่ดิน (รายปี)</t>
  </si>
  <si>
    <t>โรงอุปกรณ์ 5</t>
  </si>
  <si>
    <t xml:space="preserve">โรงอุปกรณ์ </t>
  </si>
  <si>
    <t>นส.ประคอง ประคองศิลป์</t>
  </si>
  <si>
    <t>โรงเก็บกระบะ</t>
  </si>
  <si>
    <t>นส.ธัญยธรณ์ บวรวิชัยวัฒน์</t>
  </si>
  <si>
    <t>บ.ประมงไทย จก</t>
  </si>
  <si>
    <t>แพทะเล 125</t>
  </si>
  <si>
    <t>รวมเป็นเงินทั้งสิ้น</t>
  </si>
  <si>
    <t>ไฟฟ้าโรงแล่ปลา</t>
  </si>
  <si>
    <t>บ.สหไทยการประมง จก</t>
  </si>
  <si>
    <t>ไฟฟ้าโรงประมูล</t>
  </si>
  <si>
    <t>หัก หนี้ส่วนกลาง</t>
  </si>
  <si>
    <t>ค่าสัตว์น้ำผ่านท่า</t>
  </si>
  <si>
    <t>ค่ารถผ่านท่า</t>
  </si>
  <si>
    <t>ไฟฟ้า</t>
  </si>
  <si>
    <t>นายมนูญ แก้วเรียง</t>
  </si>
  <si>
    <t>ค่าน้ำประปา</t>
  </si>
  <si>
    <t>ค่าไฟฟ้า</t>
  </si>
  <si>
    <t>นายชิตชัย เมืองพิณ</t>
  </si>
  <si>
    <t>โรงดองสัตว์น้ำ 2</t>
  </si>
  <si>
    <t>นายลอมลี เพียรดี</t>
  </si>
  <si>
    <t>ไฟฟ้าทั่วไป</t>
  </si>
  <si>
    <t>เครื่องโม่น้ำแข็ง</t>
  </si>
  <si>
    <t>สำนักงานท่าเทียบเรือประมงสตูล</t>
  </si>
  <si>
    <t>ค่าธรรมเนียมน้ำมันผ่านท่า</t>
  </si>
  <si>
    <t>ใช้สถานที่</t>
  </si>
  <si>
    <t>บริการสัตว์น้ำ</t>
  </si>
  <si>
    <t>นางบุปผา  อรุณทอง</t>
  </si>
  <si>
    <t>สำนักงานท่าเทียบเรือประมงระนอง</t>
  </si>
  <si>
    <t>ค่าเช่า</t>
  </si>
  <si>
    <t>ค่าเช่าที่</t>
  </si>
  <si>
    <t>อาคารที่ดิน</t>
  </si>
  <si>
    <t>สัตว์น้ำ</t>
  </si>
  <si>
    <t>สัตว์น้ำผ่านท่า</t>
  </si>
  <si>
    <t>รถผ่านท่า</t>
  </si>
  <si>
    <t>น้ำแข็งผ่านท่า</t>
  </si>
  <si>
    <t>น้ำมันผ่านท่า</t>
  </si>
  <si>
    <t>ใช้เครื่องชั่ง</t>
  </si>
  <si>
    <t>อื่น ๆ</t>
  </si>
  <si>
    <t>ค่าเช่าที่วางสินค้า</t>
  </si>
  <si>
    <t>ที่วางสินค้า(6 ราย)</t>
  </si>
  <si>
    <t>นายสมชาย สุขเจริญ(ไล่ออก)</t>
  </si>
  <si>
    <t>บ.ปิ่นวรากาญจน์ จำกัด</t>
  </si>
  <si>
    <t>บ.บุญชัยการประมง จก</t>
  </si>
  <si>
    <t>เงินรับ</t>
  </si>
  <si>
    <t>ล่วงหน้า</t>
  </si>
  <si>
    <t>สำนักงานท่าเทียบเรือประมงสุราษฎร์ธานี</t>
  </si>
  <si>
    <t>ค่าเช่าอาคารและที่ดิน</t>
  </si>
  <si>
    <t>ค่าจำหน่ายน้ำประปา</t>
  </si>
  <si>
    <t>ค่าจำหน่ายไฟฟ้า</t>
  </si>
  <si>
    <t>สำนักงานสะพานปลานครศรีธรรมราช</t>
  </si>
  <si>
    <t>ค่าใช้สถานที่</t>
  </si>
  <si>
    <t>นางฮะมีเน๊าะ สุนทรพงษ์</t>
  </si>
  <si>
    <t>โรงดองสัตว์น้ำ 7</t>
  </si>
  <si>
    <t>ค่าสุขาภิบาล</t>
  </si>
  <si>
    <t>นายธนากร  สาครวิโรจน์</t>
  </si>
  <si>
    <t>โรงอุปกรณ์ 2</t>
  </si>
  <si>
    <t>ค่าธรรมเนียมสัตว์น้ำผ่านท่า</t>
  </si>
  <si>
    <t>ค่าธรรมเนียมรถผ่านท่า</t>
  </si>
  <si>
    <t>หน่วยงาน</t>
  </si>
  <si>
    <t>สำนักงานท่าเทียบเรือประมงปัตตานี</t>
  </si>
  <si>
    <t>น้ำโรงแล่ปลา</t>
  </si>
  <si>
    <t>น้ำทั่วไป</t>
  </si>
  <si>
    <t>บ.บุญชัยการประมง</t>
  </si>
  <si>
    <t>บ.พัฒนาการประมง</t>
  </si>
  <si>
    <t>บ.เมธี(ป.วณิช)</t>
  </si>
  <si>
    <t>บ.เลาห์เรณู</t>
  </si>
  <si>
    <t>บ.ไทยนำการประมง จก</t>
  </si>
  <si>
    <t>บ.พัฒนาการประมง จก</t>
  </si>
  <si>
    <t>ค่าน้ำแข็งผ่านท่า</t>
  </si>
  <si>
    <t>หนี้ที่เกิดขึ้นระหว่าง พค.55-เมย.56 จะต้องแยกเป็นหนี้ 12 เดือน และ12 เดือนขึ้นไป</t>
  </si>
  <si>
    <t>เปลี่ยนทุกเดือนโดยเอาเดือนที่ทำรายงานเป็นหลัก</t>
  </si>
  <si>
    <t>สป.กท และ สป.สป</t>
  </si>
  <si>
    <t>บ.สมิหลาปลาป่น จก</t>
  </si>
  <si>
    <t>เช่าที่วางสินค้า</t>
  </si>
  <si>
    <t>บ.สหไทยการประมง</t>
  </si>
  <si>
    <t>จำนวนเงิน</t>
  </si>
  <si>
    <t>โรงประมูลปลาทะเล</t>
  </si>
  <si>
    <t>เช่าที่ใช้ถังขยะ</t>
  </si>
  <si>
    <t>โรงประมูลน้ำจืด</t>
  </si>
  <si>
    <t>ค่าธรรมเนียมใช้สถานที่</t>
  </si>
  <si>
    <t>สำนักงานสะพานปลากรุงเทพ</t>
  </si>
  <si>
    <t>(บาท)</t>
  </si>
  <si>
    <t>องค์การสะพานปลา</t>
  </si>
  <si>
    <t>ส่วนกลาง</t>
  </si>
  <si>
    <t>ในห้อง อย.</t>
  </si>
  <si>
    <t>(ค่ารถผ่านท่า)</t>
  </si>
  <si>
    <t>อาคาร 127</t>
  </si>
  <si>
    <t>สำนักงานท่าเทียบเรือประมงภูเก็ต</t>
  </si>
  <si>
    <t>บ.ไต้ผิ๋งติมบี้อินดัสทรี จก.</t>
  </si>
  <si>
    <t>นายพงษ์อินทร์ โชควัฒนรัตน์</t>
  </si>
  <si>
    <t>รายการ</t>
  </si>
  <si>
    <t>หมายเหตุ</t>
  </si>
  <si>
    <t>น้ำประปา</t>
  </si>
  <si>
    <t>เช่าเครื่องจักร อย.</t>
  </si>
  <si>
    <t>โรงดองสัตว์น้ำ 9</t>
  </si>
  <si>
    <t>นางมะลิ(นางปราณี)(ดบ.15%)</t>
  </si>
  <si>
    <t>นางมะลิ(นางปราณี)(ดบ.7.5%)</t>
  </si>
  <si>
    <t>ตั้งแต่</t>
  </si>
  <si>
    <t>เดือน</t>
  </si>
  <si>
    <t>บ.เจ พี ไทยโฟรเซ็นฟู้ด จก</t>
  </si>
  <si>
    <t>เช่าที่อื่นๆ</t>
  </si>
  <si>
    <t>สำนักงานท่าเทียบเรือประมงหัวหิน</t>
  </si>
  <si>
    <t>สำนักงานท่าเทียบเรือประมงชุมพร</t>
  </si>
  <si>
    <t>สค.52-กค.54</t>
  </si>
  <si>
    <t>ค่าไฟ</t>
  </si>
  <si>
    <t>สำนักงานท่าเทียบเรือประมงสมุทรสาคร</t>
  </si>
  <si>
    <t>นางประภา สถานทรัพย์</t>
  </si>
  <si>
    <t>ลำดับ</t>
  </si>
  <si>
    <t>รายชื่อ</t>
  </si>
  <si>
    <t>สถานที่ตั้ง</t>
  </si>
  <si>
    <t>น้ำสุขาสาธารณะ</t>
  </si>
  <si>
    <t>รวม</t>
  </si>
  <si>
    <t>บ.ระนองอุตสาหกรรมห้องเย็น</t>
  </si>
  <si>
    <t>สำนักงานสะพานปลาสมุทรปราการ</t>
  </si>
  <si>
    <t>สำนักงานสะพานปลาสมุทรสาคร</t>
  </si>
  <si>
    <t>สำนักงานสะพานนครศรีธรรมราช</t>
  </si>
  <si>
    <t>ค/ธ สัตว์น้ำ</t>
  </si>
  <si>
    <t>สำนักงานท่าเทียบเรือประมงตราด</t>
  </si>
  <si>
    <t>เช่าที่ทร.ปราณฯ</t>
  </si>
  <si>
    <t>นางจิระพร สุขสมโสตร</t>
  </si>
  <si>
    <t>นายคมเดช บิลแลบา</t>
  </si>
  <si>
    <t>นายพินิจ  แจ่มแจ้ง</t>
  </si>
  <si>
    <t>สำนักงานท่าเทียบเรือประมงนราธิวาส</t>
  </si>
  <si>
    <t>ค่าธรรมเนียมน้ำแข็งผ่านท่า</t>
  </si>
  <si>
    <t>ค/ธ น้ำแข็ง</t>
  </si>
  <si>
    <t>อาหาร ล.9-10</t>
  </si>
  <si>
    <t>น้ำดีบำบัด</t>
  </si>
  <si>
    <t>สำนักงานท่าเทียบเรือประมงสงขลา(สะอ้าน)</t>
  </si>
  <si>
    <t>ขายอาหาร 7</t>
  </si>
  <si>
    <t>บ.น้ำแข็งเพ็ญพรรณ จก.</t>
  </si>
  <si>
    <t>2,400 วา</t>
  </si>
  <si>
    <t>สิทธิการเช่า</t>
  </si>
  <si>
    <t>ค่าผลประโยชน์ตอบแทนการได้สิทธิ</t>
  </si>
  <si>
    <t xml:space="preserve">          สป./ทร. ที่มีลูกหนี้ค้างชำระ มีดังนี้ :-</t>
  </si>
  <si>
    <t>ไฟสุขาสาธารณะ</t>
  </si>
  <si>
    <t>นางบุปผา อรุณทอง(นายปัญญา วงค์อยู่)วันดี นิลบุตร</t>
  </si>
  <si>
    <t>น้ำมัน</t>
  </si>
  <si>
    <t>ปรับปรุง 29 กย.58</t>
  </si>
  <si>
    <t>แพปลาลำดวน</t>
  </si>
  <si>
    <t>บจก.เอส.พี.เอ็ม.โกลด์ โดย นส.พรปวีณ์ ทองคำ</t>
  </si>
  <si>
    <t>ค่าเช่ารายปี</t>
  </si>
  <si>
    <t>นายขันทอง แก้วมา</t>
  </si>
  <si>
    <t>สำนักงานท่าเทียบเรือประมงอ่างศิลา</t>
  </si>
  <si>
    <t>ค่าเช่าที่อื่นๆ</t>
  </si>
  <si>
    <t>อาหาร ล.1</t>
  </si>
  <si>
    <t>เบ็ดเตล็ด</t>
  </si>
  <si>
    <t>รายได้เบ็ดเตล็ด</t>
  </si>
  <si>
    <t>เช่าพื้นที่ตลาดสัตว์น้ำ</t>
  </si>
  <si>
    <t>ใชสถานที่จำหน่ายอุปกรณ์</t>
  </si>
  <si>
    <t>ปริ้น 2 ใบ</t>
  </si>
  <si>
    <t>นายดิเรก สีเดือน (เครื่องล้างกระบะ)</t>
  </si>
  <si>
    <t xml:space="preserve">ค่าเช่าอาคารและที่ดิน </t>
  </si>
  <si>
    <t xml:space="preserve">ค่าธรรมเนียมสัตว์น้ำผ่านท่า </t>
  </si>
  <si>
    <t>นายเอกพล ฤทธิ์โต</t>
  </si>
  <si>
    <t>ค่าน้ำแข็ง</t>
  </si>
  <si>
    <t>นายดิเรก สีเดือน  (สัญญาใหม่)</t>
  </si>
  <si>
    <t>ค่าเช่าที่ขายน้ำแข็ง</t>
  </si>
  <si>
    <t>ยอดก่อนภาษี</t>
  </si>
  <si>
    <t>สุขาภิบาล</t>
  </si>
  <si>
    <t>บ.อุตสาหกรรมกรุงเทพสะพานปลาห้องเย็น จก</t>
  </si>
  <si>
    <t>เช่าอาคาร</t>
  </si>
  <si>
    <t>มค.58-พค.61</t>
  </si>
  <si>
    <t>พค.57-พค.61</t>
  </si>
  <si>
    <t>กพ.58-พค.61</t>
  </si>
  <si>
    <t>บ.แข็งประมงไทยสงขลา จก.</t>
  </si>
  <si>
    <t>นายดนุเดช คงเจริญ</t>
  </si>
  <si>
    <t>หจก.ศรีธนาสินธุ์</t>
  </si>
  <si>
    <t>สูง/ต่ำกว่าเดือนก่อน</t>
  </si>
  <si>
    <t>เดือนก่อน</t>
  </si>
  <si>
    <t>นายดิเรก สีเดือน (สัญญาเก่า)</t>
  </si>
  <si>
    <t>โรงอุปกรณ์ 6</t>
  </si>
  <si>
    <t>อื่นๆ</t>
  </si>
  <si>
    <t>ค่าธรรมเนียมอื่นๆ</t>
  </si>
  <si>
    <t>พค.-กย.61</t>
  </si>
  <si>
    <t>เช่าที่ตั้งเครื่องโม่</t>
  </si>
  <si>
    <t>มิย.-กย.61</t>
  </si>
  <si>
    <t>หจก.มหกิจมั่นคง</t>
  </si>
  <si>
    <t>พค.-ตค.61</t>
  </si>
  <si>
    <t>ใช้สถานที่จอดรถ</t>
  </si>
  <si>
    <t>พค.-พย.61</t>
  </si>
  <si>
    <t>นายจักรกฤษณ์ เกตุเหล็ก</t>
  </si>
  <si>
    <t>กค.58-ธค.61</t>
  </si>
  <si>
    <t>มค.60-ธค.61</t>
  </si>
  <si>
    <t>กพ.60-ธค.61</t>
  </si>
  <si>
    <t>อาคาร/โรงประมูล</t>
  </si>
  <si>
    <t>ค่าใช้สถานที่ทิ้งขยะ 4701420</t>
  </si>
  <si>
    <t>ค่าเช่าแฟลต</t>
  </si>
  <si>
    <t>กพ.-มิย.60</t>
  </si>
  <si>
    <t>อาคารที่ดิน 4700400</t>
  </si>
  <si>
    <t>เครื่องโม่ 4601100</t>
  </si>
  <si>
    <t>อื่นๆ 4700700</t>
  </si>
  <si>
    <t>ใช้สถานที่ 4600700</t>
  </si>
  <si>
    <t>มค.59-พค.61</t>
  </si>
  <si>
    <t>กพ.60-พค.61</t>
  </si>
  <si>
    <t>โรงอาหารและห้องน้ำสาธารณะ</t>
  </si>
  <si>
    <t>ปรับปรุงการเอจตามระยะเวลาผ่อนตามมติคกอ. ครั้งที่10/2561</t>
  </si>
  <si>
    <t>ค่าประกันอัคคีภัย</t>
  </si>
  <si>
    <t>ปี2551-2557</t>
  </si>
  <si>
    <t>ค่าเช่าที่โม่น้ำแข็ง</t>
  </si>
  <si>
    <t>ภาษีโรงเรือน</t>
  </si>
  <si>
    <t>อัคคีภัย</t>
  </si>
  <si>
    <t>ค่าเช่าที่จำหน่ายน้ำมัน</t>
  </si>
  <si>
    <t xml:space="preserve">นางวรีย์กานท์   วิชิตวงศกร </t>
  </si>
  <si>
    <t>ค่าภาษีโรงเรือน</t>
  </si>
  <si>
    <t>ไฟแถวยาว</t>
  </si>
  <si>
    <t>น้ำแถวยาว</t>
  </si>
  <si>
    <t>ไฟฟ้าเช่าแผงอาหาร</t>
  </si>
  <si>
    <t>พค.58-พค.61</t>
  </si>
  <si>
    <t>คุณเจะตีฟะห์  เจ๊ะโก๊ะ</t>
  </si>
  <si>
    <t>นายเกษม  มูซอ (ห้องน้ำซีแพคชั่วคราว)</t>
  </si>
  <si>
    <t>สรุปรายงานเปรียบเทียบลูกหนี้การค้า</t>
  </si>
  <si>
    <t>ไฟฟ้าสะพานไม้</t>
  </si>
  <si>
    <t>อัคคีภัยอ.2/24</t>
  </si>
  <si>
    <t xml:space="preserve">คุณบาฮารู   มูซอ  </t>
  </si>
  <si>
    <t>คุณอับดุลอาซิ จะปะกิยา</t>
  </si>
  <si>
    <t>คุณแวลีเมาะ  จะปะกิยา</t>
  </si>
  <si>
    <t>หจก.หนูเหิมซีฟู้ดโปรดักส์</t>
  </si>
  <si>
    <t>สิทธิการเช่าโอนเป็นรายได้</t>
  </si>
  <si>
    <t>กย.61-มค.63</t>
  </si>
  <si>
    <t>1</t>
  </si>
  <si>
    <t>มค.62-มค.63</t>
  </si>
  <si>
    <t>ค่าต่ออายุสัญญาห้องเย็น</t>
  </si>
  <si>
    <t>ค่าต่ออายุสัญญาเช่าอาคาร</t>
  </si>
  <si>
    <t>นายวสันต์ พันธุ์แดง(ปรับปรุงหนี้ค้างตามบันทึกอสป.ที่กษ.1705.1/1070ลว.26 กพ.63)</t>
  </si>
  <si>
    <t>รายงานหนี้ค้างชำระค่าเช่าและค่าธรรมเนียมต่าง ๆ</t>
  </si>
  <si>
    <t>รายงานเงินรับล่วงหน้าค่าเช่าและค่าธรรมเนียมต่างๆ</t>
  </si>
  <si>
    <t>รายละเอียดหนี้ค้างชำระค่าเช่าและค่าธรรมเนียมต่าง ๆ</t>
  </si>
  <si>
    <t>นางวราภา มะลิวัลย์</t>
  </si>
  <si>
    <t>เก็บสินค้าสัตว์น้ำ</t>
  </si>
  <si>
    <t>อาคารพาณิชย์ 263-264</t>
  </si>
  <si>
    <t>มีค.62-มีค.63</t>
  </si>
  <si>
    <t>ธค.61-สค.63</t>
  </si>
  <si>
    <t>3 ปี</t>
  </si>
  <si>
    <t>เช่าที่อื่นๆ 4700700</t>
  </si>
  <si>
    <t>ค่าใช้สถานที่ 4600700</t>
  </si>
  <si>
    <t>หมายเหตุ  :   ข้อมูลตัวเลขจากสป.ทร.ต่างๆ</t>
  </si>
  <si>
    <t>เช่าที่อื่นๆ4700700</t>
  </si>
  <si>
    <t>4600700ค่าธรรมเนียมใช้สถานที่</t>
  </si>
  <si>
    <t>กค.61-ธค.63</t>
  </si>
  <si>
    <t>มิย.61-พย.63</t>
  </si>
  <si>
    <t>บันทึกเจราผ่อนชำระหนี้ ลว.4 กค.2560</t>
  </si>
  <si>
    <t>ศาลแขวงพระนครใต้</t>
  </si>
  <si>
    <t>ศาลอุทธรณ์</t>
  </si>
  <si>
    <t>ศาลจังหวัดมีนบุรี</t>
  </si>
  <si>
    <t>ศาลแพ่งกรุงเทพใต้</t>
  </si>
  <si>
    <t>ศาลฎีกา</t>
  </si>
  <si>
    <t>บ.เลาห์เรณู จก</t>
  </si>
  <si>
    <t>ศาลสมุทรปราการ</t>
  </si>
  <si>
    <t xml:space="preserve">ศาลฎีกา </t>
  </si>
  <si>
    <t>ตค.62-มค.64</t>
  </si>
  <si>
    <t>พย.62-มค.64</t>
  </si>
  <si>
    <t xml:space="preserve">%คิดจาก เดือนที่แล้ว-เดือนปจด. =ผลต่าง*100/เดือนที่แล้ว </t>
  </si>
  <si>
    <t>ปี 2560-2562</t>
  </si>
  <si>
    <t>ศาลจังหวัดสงขลา</t>
  </si>
  <si>
    <t xml:space="preserve">ปรับปรุงยอดหนี้ตามคำพิพากษา คดีหมายเลขดำที่ ม8/2563 คดีหมายเลขแดงที่ ม36/2563 ศาลจังหวัดสงขลา 3 กันยายน 2563 ให้จำเลยชำระเงิน 215,104.80 </t>
  </si>
  <si>
    <t xml:space="preserve">พร้อมดอกเบี้ยร้อยละ 7.5 ต่อปี ของต้นเงิน 195,129.32 นับถัดจากวันฟ้อง (ดอกเบี้ย 19,975.48) </t>
  </si>
  <si>
    <t>นางดา แก้วสีเหลือง</t>
  </si>
  <si>
    <t>เพิ่ม/ลด</t>
  </si>
  <si>
    <t>บริษัท แมนเอโพรสเซนฟู้ดส์ จำกัด</t>
  </si>
  <si>
    <t>ค่าเช่าอาคาร1/9</t>
  </si>
  <si>
    <t>นางสุมล  ศักดิ์พรม</t>
  </si>
  <si>
    <t>ค่าเช่าอาคาร1/10</t>
  </si>
  <si>
    <t>ค่าเช่าอาคาร1/14</t>
  </si>
  <si>
    <t>นางวรรณี  ไชยแก้ว</t>
  </si>
  <si>
    <t>ค่าเช่าอาคาร1/16</t>
  </si>
  <si>
    <t>น.ส.ขนิษฐา  โอลำผล</t>
  </si>
  <si>
    <t>ค่าเช่าอาคาร1/17</t>
  </si>
  <si>
    <t>นายสุวิทธ์  แซ่ก้วย</t>
  </si>
  <si>
    <t>ค่าเช่าอาคาร1/22</t>
  </si>
  <si>
    <t>นางพวงเพ็ญ  อิทธิมัยกุล</t>
  </si>
  <si>
    <t>ค่าเช่าอาคาร1/23</t>
  </si>
  <si>
    <t>บ.ห้องเย็นเอเซี่ยนซีฟู้ด จำกัด(มหาชน) โดยนางสุดาวรรณ์ แซ่ชื้อ ผู้รับมอบอำนาจ</t>
  </si>
  <si>
    <t>ค่าเช่าอาคาร1/25</t>
  </si>
  <si>
    <t>นางข้อดีเย๊าะ  ละลิหมุด</t>
  </si>
  <si>
    <t>ค่าเช่าอาคาร1/29</t>
  </si>
  <si>
    <t>เช่าอาคารใต้ สนง.</t>
  </si>
  <si>
    <t>25ธ.ค.61-25ธ.ค.64</t>
  </si>
  <si>
    <t xml:space="preserve">ปรับปรุงยอดหนี้ตามคำพิพากษาศาลแพ่ง คดีหมายเลขดำที่ พ4351/2563 คดีหมายเลขแดงที่ พ6819/2563 วันที่ 30 ธ.ค.2563 </t>
  </si>
  <si>
    <t>ศาลแพ่ง</t>
  </si>
  <si>
    <t>สป.กท ปรับปรุงลดยอดเดือน กพ.64 ออก 1 เดือน กฎหมายส่งฟ้องถึง 31 มค.64</t>
  </si>
  <si>
    <t>พค.63-เมย.64</t>
  </si>
  <si>
    <t>4600200 สัตว์น้ำผ่านท่า</t>
  </si>
  <si>
    <t>4700300 ค่าไฟฟ้า</t>
  </si>
  <si>
    <t>ค่าใช้เครื่องชั่ง</t>
  </si>
  <si>
    <t>มิย.63-มค.64</t>
  </si>
  <si>
    <t>รายงานสรุปยอดหนี้ค้างชำระค่าเช่าและค่าธรรมเนียมต่าง ๆ ของ สป.ทร.</t>
  </si>
  <si>
    <t>หนี้ดำเนินดคี</t>
  </si>
  <si>
    <t>จำนวนรายการ</t>
  </si>
  <si>
    <t>การตั้งค่าเผื่อหนี้สงสัยจะสูญ</t>
  </si>
  <si>
    <t xml:space="preserve">ปรับปรุงยอดหนี้ตามคำพิพากษา ศาลอุทธรณ์ วันที่ 7 มค.2557 คดีหมายเลขดำที่ 454/2566 คดีหมายเลขแดงที่ 25/2557 </t>
  </si>
  <si>
    <t>ค่าเช่าอาคาร</t>
  </si>
  <si>
    <t>ค่าใช้เครน</t>
  </si>
  <si>
    <t>บ.ศิริพงศ์การประมง(1999) จำกัด</t>
  </si>
  <si>
    <t xml:space="preserve">ปรับปรุงยอดหนี้ให้เป็นไปตามคำพิพากษา ศาลแขวงพระนครใต้  คดีหมายเลขดำที่ ผบ.331/2554 คดีหมายเลขแดงที่ ผบ.633/2554 </t>
  </si>
  <si>
    <t xml:space="preserve">   - ต้องรับผิดค่าสินไหมทดแทน 1,185,803.80 รับชำระจากนายธนัส วัฒนิศร (ในฐานะผู้ค้ำประกันการเข้าทำงานในวงเงิน 100,000.- บาท) โดยได้หักเงินเดือนละ 1,000.- บาท ตั้งแต่ กค.-กย.53 เป็นเงิน 3,000.- บาท และ ตค.53 - 30 กย.54 เป็นเงิน 12,000.- บาทตค.54-กย.55 เป็นเงิน 12,000.- บาท </t>
  </si>
  <si>
    <t xml:space="preserve"> และเมื่อ 22 ตค.55 หักเงิน สท2 จำนวน 73,000.- บาท ตามสำเนาใบเสร็จรับเงิน 1515/151486 รวมเป็นเงินทั้งสิ้น 100,000.- บาท </t>
  </si>
  <si>
    <t>บ.ไทยเสรีการประมง จำกัด</t>
  </si>
  <si>
    <t>อาคาร 139</t>
  </si>
  <si>
    <t>ศาลอุทธรณ์ 28 ส.ค.2558</t>
  </si>
  <si>
    <t>อุทธรณ์ 10 มิย.2558</t>
  </si>
  <si>
    <t>บ.ไทยนำการประมง จำกัด</t>
  </si>
  <si>
    <t>อาคาร 121</t>
  </si>
  <si>
    <t>ศาลอุทธรณ์ 4 ธ.ค.2558</t>
  </si>
  <si>
    <t>อาคาร 119</t>
  </si>
  <si>
    <t>ศาลแขวงพระนครใต้ 16  มิ.ย.2557</t>
  </si>
  <si>
    <t>ศาลอุทธรณ์ 28 ส.ค.2557</t>
  </si>
  <si>
    <t>โรงประมูล</t>
  </si>
  <si>
    <t>น้ำประปาโรงประมูล</t>
  </si>
  <si>
    <t>ปรับปรุงยอดหนี้ให้เป็นไปตามคำพิพากษาศาลแขวงสมุทรปราการ คดีหมายเลขดำที่ ผบ.4069/2557 คดีหมายเลขแดงที่ ผบ.9557/2557</t>
  </si>
  <si>
    <t>ปรัปรุงยอดหนี้ให้เป็นไปตามคำพิพากษาศาลสมุทรปราการ คดีหมายเลขดำที่ 1251/2551 คดีหมายเลขแดงที่ 1620/2551  6 พย.2562 ผอ.อนุมัติให้นำเงินส่วนที่ชำระเกินในคดีแดง 30/2552 และเงินประกันสัญญามาหักชำระหนี้</t>
  </si>
  <si>
    <t>ปรับปรุงยอดหนี้ให้เป็นไปตามสัญญาประนีประนอมยอมความ ศาลจังหวัดสมุทรปราการ เมื่อ 26 พค.51 คดีหมายเลขดำที่ 40/2551 ชำระครั้งล่าสุด 10 มีค.2554</t>
  </si>
  <si>
    <t>บ.พัฒนาการประมง จำกัด</t>
  </si>
  <si>
    <t>บ.บุญชัยการประมง จำกัด</t>
  </si>
  <si>
    <t>นส.ภารดี/ธัญยธรณ์ บวรวิชัยวัฒน์</t>
  </si>
  <si>
    <t>ศาลอุทธรณ์ 8 ส.ค.2559</t>
  </si>
  <si>
    <t>ค่าภาษีโรงเรือน121</t>
  </si>
  <si>
    <t>ค่าภาษีโรงเรือน119</t>
  </si>
  <si>
    <t>บ.สหไทยการประมง จำกัด</t>
  </si>
  <si>
    <t>ภาษีโรงเรือน อ.125</t>
  </si>
  <si>
    <t xml:space="preserve">ศาลอุทธรณ์ 30 พย.2560 </t>
  </si>
  <si>
    <t>บ.เมธีประมงวณิช จำกัด</t>
  </si>
  <si>
    <t>ภาษีโรงเรือน อ.113</t>
  </si>
  <si>
    <t xml:space="preserve">ศาลแขวงธนบุรี 4 กย.2562 </t>
  </si>
  <si>
    <t>อาคารสนง.ริมน้ำ</t>
  </si>
  <si>
    <t xml:space="preserve">ศาลอุทธรณ์ 29 กค.2558 </t>
  </si>
  <si>
    <t>อาคารแพปลา 147</t>
  </si>
  <si>
    <t>ศาลฏีกา 21 กค.2559</t>
  </si>
  <si>
    <t>อาคาร 113</t>
  </si>
  <si>
    <t>อาคาร อย.20,21</t>
  </si>
  <si>
    <t>ศาลอุทธรณ์ 15 กย.2557</t>
  </si>
  <si>
    <t>อาคารแพปลา</t>
  </si>
  <si>
    <t>ศาลฎีกา  6 มิย.2561</t>
  </si>
  <si>
    <t>ค่าสัตว์น้ำ</t>
  </si>
  <si>
    <t>สิทธิการเช่าฯ</t>
  </si>
  <si>
    <t>สป.กท. ในส่วนที่อยู่ในที่ดิน อสป. เช่าสำนักงานทรัพย์สินส่วนพระมหากษัตริย์</t>
  </si>
  <si>
    <t>มิย.64</t>
  </si>
  <si>
    <t>ค่าเช่าอาคารที่ดิน</t>
  </si>
  <si>
    <t>ค่าใช้สถานที่(4607)</t>
  </si>
  <si>
    <t>สำนักงานท่าเทียบเรือประมงหลังสวน</t>
  </si>
  <si>
    <t>นางสาวสิริวรรณ จริยาธนธรรม</t>
  </si>
  <si>
    <t>นางสาวฐิตาภรณ์ คงคม</t>
  </si>
  <si>
    <t>นางสาวนิภาภัทร นิมิตสมุทร</t>
  </si>
  <si>
    <t>นางสาวทิฆัมพร ศิริโชคมงคลชัย</t>
  </si>
  <si>
    <t>นายกิตติการย์ มณีรัตน์</t>
  </si>
  <si>
    <t>นางจำเรียง ศิลปชัย</t>
  </si>
  <si>
    <t>นางสาวจิราภา  นพวงษ์</t>
  </si>
  <si>
    <t>นางสาวอุตรานุช คำดี</t>
  </si>
  <si>
    <t>นายซิ่วหมอ เจริญก่อบุญ</t>
  </si>
  <si>
    <t>นางสาวศดานันท์ ชมเพ็ญ</t>
  </si>
  <si>
    <t>นายชาคริท ศรีแจ้ง</t>
  </si>
  <si>
    <t>ค่าน้ำล็อคที่ 192</t>
  </si>
  <si>
    <t>จำหน่ายน้ำประปา 470200</t>
  </si>
  <si>
    <t>ค่าไฟฟ้า  470300</t>
  </si>
  <si>
    <t>กค.64</t>
  </si>
  <si>
    <t>ค่าใช้เครื่องชั่ง (460600</t>
  </si>
  <si>
    <t>ระหว่างดำเนินคดี</t>
  </si>
  <si>
    <t>ค่ารักษามิเตอร์ ล็อคที่ 4</t>
  </si>
  <si>
    <t>ค่ารักษามิเตอร์ ล็อคที่ 5</t>
  </si>
  <si>
    <t>ค่ารักษามิเตอร์ ล็อคที่ 13</t>
  </si>
  <si>
    <t>ค่ารักษามิเตอร์ ล็อคที่ 16</t>
  </si>
  <si>
    <t>ค่ารักษามิเตอร์ ล็อคที่ 21</t>
  </si>
  <si>
    <t>ค่ารักษามิเตอร์ ล็อคที่ 22</t>
  </si>
  <si>
    <t>ค่ารักษามิเตอร์ ล็อคที่ 31</t>
  </si>
  <si>
    <t>ค่ารักษามิเตอร์ ล็อคที่ 43</t>
  </si>
  <si>
    <t>ค่ารักษามิเตอร์ ล็อคที่ 71</t>
  </si>
  <si>
    <t>ค่ารักษามิเตอร์ ล็อคที่ 73</t>
  </si>
  <si>
    <t>ค่ารักษามิเตอร์ ล็อคที่ 74</t>
  </si>
  <si>
    <t>ค่ารักษามิเตอร์ ล็อคที่ 77</t>
  </si>
  <si>
    <t>ค่ารักษามิเตอร์ ล็อคที่ 78</t>
  </si>
  <si>
    <t>ค่ารักษามิเตอร์ ล็อคที่ 100</t>
  </si>
  <si>
    <t>ค่ารักษามิเตอร์ ล็อคที่ 123</t>
  </si>
  <si>
    <t>ค่ารักษามิเตอร์ ล็อคที่ 124</t>
  </si>
  <si>
    <t>ค่ารักษามิเตอร์ ล็อคที่ 125</t>
  </si>
  <si>
    <t>ค่ารักษามิเตอร์ ล็อคที่ 130</t>
  </si>
  <si>
    <t>ค่ารักษามิเตอร์ ล็อคที่ 233</t>
  </si>
  <si>
    <t>ค่ารักษามิเตอร์ ล็อคที่ 241</t>
  </si>
  <si>
    <t>ค่ารักษามิเตอร์ ล็อคที่ 249</t>
  </si>
  <si>
    <t>ค่ารักษามิเตอร์ ล็อคที่ 261</t>
  </si>
  <si>
    <t>ค่ารักษามิเตอร์ ล็อคที่ 291</t>
  </si>
  <si>
    <t>ค่ารักษามิเตอร์ ล็อคที่ 302</t>
  </si>
  <si>
    <t>ค่ารักษามิเตอร์ ล็อคที่ 303</t>
  </si>
  <si>
    <t>ค่ารักษามิเตอร์ ล็อคที่ 306</t>
  </si>
  <si>
    <t>ค่ารักษามิเตอร์ ล็อคที่ 314</t>
  </si>
  <si>
    <t>ค่ารักษามิเตอร์ ล็อคที่ 317</t>
  </si>
  <si>
    <t>รายได้ (อัตรา/</t>
  </si>
  <si>
    <t>เพิ่ม (ลด) เดือนก่อน</t>
  </si>
  <si>
    <t>สค.64</t>
  </si>
  <si>
    <t>ค่าเช่าอาคารที่ดิน (470400)</t>
  </si>
  <si>
    <t>เช่าที่อื่น เช่าโรงเก็บอุปกรณ์ อย.</t>
  </si>
  <si>
    <t>นางจิราภา ธรรมมัฆวรรณ</t>
  </si>
  <si>
    <t>กย.64</t>
  </si>
  <si>
    <t>นางสมพิศ  นันทกิจ</t>
  </si>
  <si>
    <t>นางสาวชลธิชา สนธิศิริ</t>
  </si>
  <si>
    <t>ค่าน้ำล็อคที่ 155</t>
  </si>
  <si>
    <t>ค่าน้ำล็อคที่ 156</t>
  </si>
  <si>
    <t>ค่ารักษามิเตอร์ ล็อคที่ 1</t>
  </si>
  <si>
    <t>ค่ารักษามิเตอร์ ล็อคที่ 17</t>
  </si>
  <si>
    <t>นายดนัย  ศรีทอง</t>
  </si>
  <si>
    <t>ค่ารักษามิเตอร์ ล็อคที่ 29</t>
  </si>
  <si>
    <t>ค่ารักษามิเตอร์ ล็อคที่ 32</t>
  </si>
  <si>
    <t>ค่ารักษามิเตอร์ ล็อคที่ 37</t>
  </si>
  <si>
    <t>ค่ารักษามิเตอร์ ล็อคที่ 41</t>
  </si>
  <si>
    <t>ค่ารักษามิเตอร์ ล็อคที่ 64</t>
  </si>
  <si>
    <t>ค่ารักษามิเตอร์ ล็อคที่ 76</t>
  </si>
  <si>
    <t>ค่ารักษามิเตอร์ ล็อคที่ 110</t>
  </si>
  <si>
    <t>นางสาววินัด ชะนะภา</t>
  </si>
  <si>
    <t>ค่ารักษามิเตอร์ ล็อคที่ 127</t>
  </si>
  <si>
    <t>ค่ารักษามิเตอร์ ล็อคที่ 134</t>
  </si>
  <si>
    <t>นางสาววารุณี เฟื่องฟูผล</t>
  </si>
  <si>
    <t>ค่ารักษามิเตอร์ ล็อคที่ 257</t>
  </si>
  <si>
    <t>นางสาวชนัฏดา ปิ่นแก้ว</t>
  </si>
  <si>
    <t>ค่ารักษามิเตอร์ ล็อคที่ 263</t>
  </si>
  <si>
    <t>ค่ารักษามิเตอร์ ล็อคที่ 280</t>
  </si>
  <si>
    <t>ค่ารักษามิเตอร์ ล็อคที่ 315</t>
  </si>
  <si>
    <t>รายได้เบ็ดเตล็ด(ค่ารักษามิเตอร์)</t>
  </si>
  <si>
    <t>ตค.64</t>
  </si>
  <si>
    <t>เดือน ตค. (รายงาน)</t>
  </si>
  <si>
    <t>ค่ารถผ่านท่า 46003</t>
  </si>
  <si>
    <t>ค่ารักษามิเตอร์ ล็อคที่ 264</t>
  </si>
  <si>
    <t>กค.60-ตค.63</t>
  </si>
  <si>
    <t>สำนักงานท่าเทียบเรือประมงปราณบุรี</t>
  </si>
  <si>
    <t>พย.64</t>
  </si>
  <si>
    <t>สำนักงานสะพานปลาสุมทรสาคร</t>
  </si>
  <si>
    <t>อาคารคูหา 1-51 ต่อสัญญา 1 สค.64-31 กค.67 ปรับเพิ่ม 15 %</t>
  </si>
  <si>
    <t>ผ่อนชำระหนี้ตามสัญญาประนีประนอมยอมความ</t>
  </si>
  <si>
    <t>น.ส.วรนุช วงค์ธิดีเดช(ห3/4/5)</t>
  </si>
  <si>
    <t>รายการรับชำระหนี้ ประกอบด้วย</t>
  </si>
  <si>
    <t>ธค.64</t>
  </si>
  <si>
    <t>ค่าเช่าล็อคที่ 233</t>
  </si>
  <si>
    <t>ธค.60-ธค.63</t>
  </si>
  <si>
    <t>เปรียบเทียบเดือนก่อน</t>
  </si>
  <si>
    <t>มค.65</t>
  </si>
  <si>
    <t>ค่าต่ออายุสัญญา 4700900</t>
  </si>
  <si>
    <t>ม.ค.65</t>
  </si>
  <si>
    <t>ค่าเช่าล็อคที่ 16</t>
  </si>
  <si>
    <t>ค่าเช่าล็อคที่ 17</t>
  </si>
  <si>
    <t>ค่าเช่าล็อคที่ 46</t>
  </si>
  <si>
    <t>ค่าเช่าล็อคที่ 100</t>
  </si>
  <si>
    <t>ค่าเช่าล็อคที่ 249</t>
  </si>
  <si>
    <t>ค่าเช่าล็อคที่ 257</t>
  </si>
  <si>
    <t>ค่าเช่าล็อคที่ 264</t>
  </si>
  <si>
    <t>ค่าเช่าล็อคที่ 280</t>
  </si>
  <si>
    <t>ค่าน้ำล็อคที่ 7</t>
  </si>
  <si>
    <t>ค่ารักษามิเตอร์ ล็อคที่ 26</t>
  </si>
  <si>
    <t>ค่าอัคคีภัย</t>
  </si>
  <si>
    <t>นางอริยา พลอาษา</t>
  </si>
  <si>
    <t>เพิ่ม(ลด) %</t>
  </si>
  <si>
    <t>กพ.65</t>
  </si>
  <si>
    <t>นางปัฎวลัย มลิวัลย์(ผ่อน)</t>
  </si>
  <si>
    <t>ค่าเช่าล็อคที่ 1</t>
  </si>
  <si>
    <t>ค่าเช่าล็อคที่ 7</t>
  </si>
  <si>
    <t>ค่าเช่าล็อคที่ 12</t>
  </si>
  <si>
    <t>ค่าเช่าล็อคที่ 21</t>
  </si>
  <si>
    <t>ค่าเช่าล็อคที่ 32</t>
  </si>
  <si>
    <t>ค่าเช่าล็อคที่ 41</t>
  </si>
  <si>
    <t>ค่าน้ำล็อคที่ 298</t>
  </si>
  <si>
    <t>ค่ารักษามิเตอร์ ล็อคที่ 24</t>
  </si>
  <si>
    <t>ค่าน้ำแข็งผ่านท่า 4600400</t>
  </si>
  <si>
    <t>%</t>
  </si>
  <si>
    <t>มีค.65</t>
  </si>
  <si>
    <t>ธค.62-เมย.64</t>
  </si>
  <si>
    <t>นางวิลัย ขุนพิทักษ์</t>
  </si>
  <si>
    <t>นายมติชัย นิลพันธ์</t>
  </si>
  <si>
    <t>กระบะ</t>
  </si>
  <si>
    <t>น.ส.อุบล เทพวารินทร์</t>
  </si>
  <si>
    <t>ค่าเช่าล็อคที่ 13</t>
  </si>
  <si>
    <t>ค่าเช่าล็อคที่ 24</t>
  </si>
  <si>
    <t>ค่าเช่าล็อคที่ 26</t>
  </si>
  <si>
    <t>ค่าเช่าล็อคที่ 226</t>
  </si>
  <si>
    <t>ค่าเช่าล็อคที่ 241</t>
  </si>
  <si>
    <t>ค่าเช่าล็อคที่ 261</t>
  </si>
  <si>
    <t>ค่ารักษามิเตอร์ ล็อคที่ 294</t>
  </si>
  <si>
    <t>ค่าบริการสัตว์น้ำ</t>
  </si>
  <si>
    <t>เมย.65</t>
  </si>
  <si>
    <t>4600400ค่าน้ำแข็งผ่านท่า</t>
  </si>
  <si>
    <t>น้ำพื้นที่ขั่วคราว</t>
  </si>
  <si>
    <t>ค่าเช่าล็อคที่ 22</t>
  </si>
  <si>
    <t>ค่าเช่าล็อคที่ 29</t>
  </si>
  <si>
    <t>ค่าเช่าล็อคที่ 263</t>
  </si>
  <si>
    <t>ห้องน้ำหน้าตลาด</t>
  </si>
  <si>
    <t>ค่าน้ำล็อคที่ 117</t>
  </si>
  <si>
    <t>ค่าน้ำล็อคที่ 143</t>
  </si>
  <si>
    <t>ค่าน้ำล็อคที่ 149</t>
  </si>
  <si>
    <t>ค่าน้ำล็อคที่ 150</t>
  </si>
  <si>
    <t>ค่าน้ำล็อคที่ 152</t>
  </si>
  <si>
    <t>ค่าน้ำล็อคที่ 167</t>
  </si>
  <si>
    <t>ค่าน้ำล็อคที่ 205</t>
  </si>
  <si>
    <t>ค่าน้ำล็อคที่ 208</t>
  </si>
  <si>
    <t>นางสาวอรอุมา  พูลทรัพย์</t>
  </si>
  <si>
    <t>ตั้งสำรอง(ประจำเดือน)</t>
  </si>
  <si>
    <t xml:space="preserve">รวมยอดหนี้ค้างชำระทั้งสิ้น </t>
  </si>
  <si>
    <t>พค.65 (TFRS9)</t>
  </si>
  <si>
    <t>ค่าเช่าที่ตั้งเครื่องโม่น้ำแข็ง</t>
  </si>
  <si>
    <t>ค่าเช่าอาคารที่ดิน 4700400</t>
  </si>
  <si>
    <t>ค่าเช่าล็อคที่ 43</t>
  </si>
  <si>
    <t>ค่าเช่าล็อคที่ 48</t>
  </si>
  <si>
    <t>ค่าเช่าล็อคที่ 303</t>
  </si>
  <si>
    <t>นายพฤทธิ์ พรหมเต็ม</t>
  </si>
  <si>
    <t>ค่าน้ำล็อคที่ 147</t>
  </si>
  <si>
    <t>ค่าน้ำล็อคที่ 148</t>
  </si>
  <si>
    <t>นายธนะเดช ศรีทอง</t>
  </si>
  <si>
    <t>ค่ารักษามิเตอร์ ล็อคที่ 10</t>
  </si>
  <si>
    <t>ค่ารักษามิเตอร์ ล็อคที่ 72</t>
  </si>
  <si>
    <t>ค่ารักษามิเตอร์ ล็อคที่ 231</t>
  </si>
  <si>
    <t>บ.ปิติสากลการประมง</t>
  </si>
  <si>
    <t>อายุหนี้เกิน 1 ปีขึ้นไป</t>
  </si>
  <si>
    <t>อายุหนี้ 1 วันไม่เกิน 1 ปี</t>
  </si>
  <si>
    <t>การตั้งสำรอง</t>
  </si>
  <si>
    <t>มิย.65 (TFRS9)</t>
  </si>
  <si>
    <t>นายธนะพัฒน์ โรจน์รัตติธรรม</t>
  </si>
  <si>
    <t>ไฟฟ้าพื้นที่ขั่วคราวล็อค3</t>
  </si>
  <si>
    <t>นายธนา ดาราทิพย์</t>
  </si>
  <si>
    <t>ไฟฟ้าพื้นที่ขั่วคราวล็อค4</t>
  </si>
  <si>
    <t>นางสาวสุธาดา กลิ่นปทุม</t>
  </si>
  <si>
    <t>ค่าเช่าล็อคที่ 10</t>
  </si>
  <si>
    <t>ค่าเช่าล็อคที่ 31</t>
  </si>
  <si>
    <t>ค่าเช่าล็อคที่ 113</t>
  </si>
  <si>
    <t>ค่าเช่าล็อคที่ 170</t>
  </si>
  <si>
    <t>ค่าเช่าล็อคที่ 307</t>
  </si>
  <si>
    <t>หนี้ปรับโครงสร้างหนี้</t>
  </si>
  <si>
    <t>รวมรับชำระทั้งสิ้น</t>
  </si>
  <si>
    <t>หนี้ค้างชำระสุทธิ</t>
  </si>
  <si>
    <t>กค.65 (TFRS9)</t>
  </si>
  <si>
    <t>ค่าเช่าล็อคที่ 134</t>
  </si>
  <si>
    <t>ค่าเช่าล็อคที่ 271</t>
  </si>
  <si>
    <t xml:space="preserve">นายธนะพล  ศรีทอง </t>
  </si>
  <si>
    <t>นางวราภา มะลิวัลย์ ชำระแทน นายบุญฤทธิ์ ปรีชาวณิวัฒน์ชัย(หมาป่า)</t>
  </si>
  <si>
    <t>นางสาวฐิติทิพย์ เอื้อจิตราเจริญ</t>
  </si>
  <si>
    <t>ไฟฟ้าพื้นที่ขั่วคราวล็อคA10,11</t>
  </si>
  <si>
    <t>- หนี้ค้างชำระเกิน 60 วันไม่เกิน 180 วัน</t>
  </si>
  <si>
    <t>- หนี้ค้างชำระเกิน 180 วันไม่เกิน 1 ปี</t>
  </si>
  <si>
    <t>- หนี้ค้างชำระเกิน 1 ปีขึ้นไป</t>
  </si>
  <si>
    <t>- หนี้ปรับโครงสร้างหนี้</t>
  </si>
  <si>
    <t>- หนี้อยู่ระหว่างดำเนินคดี</t>
  </si>
  <si>
    <t>สค.65 (TFRS9)</t>
  </si>
  <si>
    <t>ค่าที่อื่นๆ (4700700)</t>
  </si>
  <si>
    <t>ทร.ระนอง ยุติการเดินหนี้ ตามบันทึก กษ1709/3564 ลว.2 กย.63</t>
  </si>
  <si>
    <t>นางสาวณภัสร์สรา โชติอุดมวิวัฒน์</t>
  </si>
  <si>
    <t>ส.ค.65</t>
  </si>
  <si>
    <t>ค่าเช่าล็อคที่ 308</t>
  </si>
  <si>
    <t>กย.65 (TFRS9)</t>
  </si>
  <si>
    <t>นายพีระพงษ์  สุขสวัสดิ์</t>
  </si>
  <si>
    <t>อาคาร411-412</t>
  </si>
  <si>
    <t>ลานจอดรถล็อค5</t>
  </si>
  <si>
    <t>ใต้ตึก สป.กท.ล็อคA3</t>
  </si>
  <si>
    <t>นายวันชัย กันเรืองชัย 1</t>
  </si>
  <si>
    <t>นายนพดล เนตรวงค์</t>
  </si>
  <si>
    <t>น้ำพื้นที่ขั่วคราวล็อค2</t>
  </si>
  <si>
    <t xml:space="preserve">นายวันชัย กันเรืองชัย </t>
  </si>
  <si>
    <t>ไฟฟ้าพื้นที่ขั่วคราวล็อค1</t>
  </si>
  <si>
    <t>ไฟฟ้าพื้นที่ขั่วคราวล็อค2</t>
  </si>
  <si>
    <t>นายลำดวน สุภีพุฒ</t>
  </si>
  <si>
    <t>ไฟฟ้าพื้นที่ขั่วคราวล็อค5</t>
  </si>
  <si>
    <t>ค่าเช่าล็อคที่ 37</t>
  </si>
  <si>
    <t>นางสาวมายมูเนาะ  โตะเด็ง</t>
  </si>
  <si>
    <t>นางสาวปะอียะ  มะดีเยาะ</t>
  </si>
  <si>
    <t xml:space="preserve">  1. สะพานปลากรุงเทพ</t>
  </si>
  <si>
    <t xml:space="preserve">  2. สะพานปลาสมุทรปราการ</t>
  </si>
  <si>
    <t xml:space="preserve">  3. สะพานปลาสมุทรสาคร</t>
  </si>
  <si>
    <t xml:space="preserve">  4. ท่าเทียบเรือประมงตราด</t>
  </si>
  <si>
    <t xml:space="preserve">  5. ท่าเทียบเรือประมงอ่างศิลา</t>
  </si>
  <si>
    <t xml:space="preserve">  6. ท่าเทียบเรือประมงหัวหิน</t>
  </si>
  <si>
    <t xml:space="preserve">  7. ท่าเทียบเรือประมงชุมพร</t>
  </si>
  <si>
    <t xml:space="preserve">  8. ท่าเทียบเรือประมงหลังสวน</t>
  </si>
  <si>
    <t xml:space="preserve">  9. ท่าเทียบเรือประมงสุราษฎร์ธานี</t>
  </si>
  <si>
    <t>10. สะพานปลานครศรีธรรมราช</t>
  </si>
  <si>
    <t xml:space="preserve">11. ท่าเทียบเรือประมงสงขลา </t>
  </si>
  <si>
    <t>12. ท่าเทียบเรือประมงสงขลา(ท่าสะอ้าน)</t>
  </si>
  <si>
    <t>14. ท่าเทียบเรือประมงปัตตานี</t>
  </si>
  <si>
    <t>16. ท่าเทียบเรือประมงภูเก็ต</t>
  </si>
  <si>
    <t>17. ท่าเทียบเรือประมงสตูล</t>
  </si>
  <si>
    <t>15. ท่าเทียบเรือประมงนราธิวาส</t>
  </si>
  <si>
    <t>13. ท่าเทียบเรือประมงระนอง</t>
  </si>
  <si>
    <t>ตค.65 (TFRS9)</t>
  </si>
  <si>
    <t>นายกฤษณะ  เอี่ยมวงศ์นที (ปลาทอง)</t>
  </si>
  <si>
    <t>อาคารและที่ดินอู่เรือ-คานเรือและ</t>
  </si>
  <si>
    <t>ค่าเช่าที่อื่น ๆ 4700700</t>
  </si>
  <si>
    <t>บ.แมนเอโพรสเซนฟู้ดส์ จำกัด</t>
  </si>
  <si>
    <t>ไฟฟ้าโรงคลุมเล็ก</t>
  </si>
  <si>
    <t>มิย.60-กค.60</t>
  </si>
  <si>
    <t>ค่าน้ำมันผ่านท่า</t>
  </si>
  <si>
    <t>เรือโชคฐิติยา</t>
  </si>
  <si>
    <t>ค่าเช่าพื้นที่โซน Q (สัญญาเริ่ม ก.ย.65)</t>
  </si>
  <si>
    <t>273-276</t>
  </si>
  <si>
    <t>-</t>
  </si>
  <si>
    <t>นายกิตติ  เอ้งฉ้วน</t>
  </si>
  <si>
    <t>นายนนทชัย  ใหม่รักษา</t>
  </si>
  <si>
    <t>นายวันทา  ใหม่รักษา</t>
  </si>
  <si>
    <t xml:space="preserve">  มีค.-ตค.65</t>
  </si>
  <si>
    <t>ณัสรีณี บอเถาะ</t>
  </si>
  <si>
    <t>ค่าเช่าล็อคที่ 3</t>
  </si>
  <si>
    <t>ค่าเช่าล็อคที่ 11</t>
  </si>
  <si>
    <t>ค่าเช่าล็อคที่ 30</t>
  </si>
  <si>
    <t>ค่าเช่าล็อคที่ 44</t>
  </si>
  <si>
    <t>ค่าเช่าล็อคที่ 83</t>
  </si>
  <si>
    <t>ค่าเช่าล็อคที่ 87</t>
  </si>
  <si>
    <t>ค่าเช่าล็อคที่ 114</t>
  </si>
  <si>
    <t>ค่าเช่าล็อคที่ 116</t>
  </si>
  <si>
    <t>ค่าเช่าล็อคที่ 248</t>
  </si>
  <si>
    <t>ค่าเช่าล็อคที่ 258</t>
  </si>
  <si>
    <t>ค่าเช่าล็อคที่ 260</t>
  </si>
  <si>
    <t>ค่าเช่าล็อคที่ 272</t>
  </si>
  <si>
    <t>ค่าเช่าล็อคที่ 313</t>
  </si>
  <si>
    <t>ค่าน้ำล็อคที่ 144</t>
  </si>
  <si>
    <t>ค่าน้ำล็อคที่ 154</t>
  </si>
  <si>
    <t>ค่าน้ำล็อคที่ 171</t>
  </si>
  <si>
    <t>ค่ารักษามิเตอร์ ล็อคที่ 248</t>
  </si>
  <si>
    <t>ค่ารักษามิเตอร์ ล็อคที่ 260</t>
  </si>
  <si>
    <t>ค่ารักษามิเตอร์ ล็อคที่ 313</t>
  </si>
  <si>
    <t xml:space="preserve"> - </t>
  </si>
  <si>
    <t>นางหลาย คงอ่วมท่างาม</t>
  </si>
  <si>
    <t>ใต้ตึก สป.กท.ล็อคA4</t>
  </si>
  <si>
    <t>สป.กท.ปรับปรุงลดยอด5เดือน(พย63-มีค.64) เนื่องจากผู้เช่าได้ขนย้ายทรัพย์สินออก ณ 31 ตค.63)</t>
  </si>
  <si>
    <t>น้ำพื้นที่ขั่วคราวA5,A6</t>
  </si>
  <si>
    <t>ปีจจุบัน(TFRS9)</t>
  </si>
  <si>
    <t>รวมหนี้ค้างไม่เกิน 1 ปี</t>
  </si>
  <si>
    <t>รวมยอดหนี้ค้างชำระ</t>
  </si>
  <si>
    <t>นายณัฏฐ์เนศ ศิริกุลทินวุฒิ</t>
  </si>
  <si>
    <t>ไฟฟ้าพื้นที่ขั่วคราวล็อค11,20</t>
  </si>
  <si>
    <t>ไฟฟ้าพื้นที่ขั่วคราวล็อค16</t>
  </si>
  <si>
    <t>ใช้สถานที่ลงน้ำแข็ง</t>
  </si>
  <si>
    <t>ดต.สุชาติ ศักดิ์ณรงค์ (เก็บอุปกรณ์)</t>
  </si>
  <si>
    <t>นางสาววิภา ฟุ้งสุนทร</t>
  </si>
  <si>
    <t>นายธนสาร ศรีทอง</t>
  </si>
  <si>
    <t>นายสราวุธ ก๊อใจ</t>
  </si>
  <si>
    <t>นางสาวสุชาดา จูชากะสิก</t>
  </si>
  <si>
    <t>นางสาวสุภาพร พงษ์ยินดี</t>
  </si>
  <si>
    <t>นางสาวลูกอิน ทองละมูล</t>
  </si>
  <si>
    <t>นางสาวภัคจิรา ศรีทอง</t>
  </si>
  <si>
    <t>นางนฤมล บุญประสิทธิ์</t>
  </si>
  <si>
    <t>นางศิรินทรา บำรุงนา</t>
  </si>
  <si>
    <t>นางสาวอัมพวัน แซ่อึ้ง</t>
  </si>
  <si>
    <t>นางปานรดา เจริญสิทธากุล</t>
  </si>
  <si>
    <t>นางสาวสายรุ้ง ทรายหมอ</t>
  </si>
  <si>
    <t>นางสาวอาภรณ์ พิศสมัย</t>
  </si>
  <si>
    <t>นายระพิน สุขปาน</t>
  </si>
  <si>
    <t>ค่าเช่าล็อคที่ 25</t>
  </si>
  <si>
    <t>นางสาวนลินรัตน์ มณีรัตน์</t>
  </si>
  <si>
    <t>นางพัชรี ชูศรี</t>
  </si>
  <si>
    <t>นางสาวนฤมล สนธิศิริ</t>
  </si>
  <si>
    <t>นางสมพิศ นันทกิจ</t>
  </si>
  <si>
    <t>นางธัญญรัตน์ มณีรัตน์</t>
  </si>
  <si>
    <t>นายอภิวัฒน์ มณีโชติ</t>
  </si>
  <si>
    <t>นางสาวอัจฉรา นิ่มตงเสนะ</t>
  </si>
  <si>
    <t>นางสาวสุพรรณษา โชติชัย</t>
  </si>
  <si>
    <t>นางสาวปราลี รังสิโยภาสกุล</t>
  </si>
  <si>
    <t>นางสุขตา สีทอง</t>
  </si>
  <si>
    <t>นางบุปผา สุขปาน</t>
  </si>
  <si>
    <t>นางนงนุช สุดสวาสดิ์</t>
  </si>
  <si>
    <t>ค่าเช่าล็อคที่ 60</t>
  </si>
  <si>
    <t>ค่าเช่าล็อคที่ 63</t>
  </si>
  <si>
    <t xml:space="preserve">นายนฤดลน์ แสงใหญ่ </t>
  </si>
  <si>
    <t>นางสาวกุลรดา พงษ์ยินดี</t>
  </si>
  <si>
    <t>นายธีรยุทธ พงษ์ยินดี</t>
  </si>
  <si>
    <t>นางจินต์จุฑาณิศ พิพัฒน์</t>
  </si>
  <si>
    <t>นางสาวอัจฉรา นาคทอง</t>
  </si>
  <si>
    <t>นายสนธยา กลมกล่อม</t>
  </si>
  <si>
    <t>นางนงลักษณ์ เฉยศิริ</t>
  </si>
  <si>
    <t>นางสาวสุพพัต เกตุแก้ว</t>
  </si>
  <si>
    <t>ค่าเช่าล็อคที่ 82</t>
  </si>
  <si>
    <t>นางทัศนีย์ นิมิตรสมุทร</t>
  </si>
  <si>
    <t>นายธนะพล ศรีทอง</t>
  </si>
  <si>
    <t>ค่าเช่าล็อคที่ 92</t>
  </si>
  <si>
    <t>นายสิทธินันต์ คุณมี</t>
  </si>
  <si>
    <t>ค่าเช่าล็อคที่ 97</t>
  </si>
  <si>
    <t>นายวิษณุ คำมูล</t>
  </si>
  <si>
    <t>ค่าเช่าล็อคที่ 98</t>
  </si>
  <si>
    <t>ค่าเช่าล็อคที่ 112</t>
  </si>
  <si>
    <t>นางสาวญาณกร จันทร์ปิติกุล</t>
  </si>
  <si>
    <t>นางภรัณยา ไพเราะ</t>
  </si>
  <si>
    <t>นายนิธิพัฒน์ เกื้อทาน</t>
  </si>
  <si>
    <t>ค่าเช่าล็อคที่ 115</t>
  </si>
  <si>
    <t>นางสาวจิราวรรณ ธนเกษมไพศาล</t>
  </si>
  <si>
    <t>นายหรินทร์ แน่นหนา</t>
  </si>
  <si>
    <t>นายวีรศักดิ์ นันทกิจ</t>
  </si>
  <si>
    <t>นางธีราวรรณ์ มณีโชติ</t>
  </si>
  <si>
    <t>นายสมศักดิ์ รักษาศีล</t>
  </si>
  <si>
    <t>นางสาวแก้วใจ ทองละมูล</t>
  </si>
  <si>
    <t>นายอนิรุทธิ์ แว่วสวัสดิ์</t>
  </si>
  <si>
    <t>น.ส.อภิญญา คำหล้าทราย</t>
  </si>
  <si>
    <t>นางศุลีมาศ มณีรัตน์</t>
  </si>
  <si>
    <t>นายสุรศักดิ์ มูลทุม</t>
  </si>
  <si>
    <t>นางสาวบังอร เทศศิริ</t>
  </si>
  <si>
    <t>ค่าเช่าล็อคที่ 216</t>
  </si>
  <si>
    <t>นางสาวกล่อมจิต เจริญผลอนุสรณ์</t>
  </si>
  <si>
    <t>นางสาวณนัททิตา นันทกิจ</t>
  </si>
  <si>
    <t>นายพูลสวัสดิ์ สันหกรณ์</t>
  </si>
  <si>
    <t>นายทิวา พรหมเต็ม</t>
  </si>
  <si>
    <t>นางวารุณี จันทร์ขาว</t>
  </si>
  <si>
    <t>ค่าเช่าล็อคที่ 232</t>
  </si>
  <si>
    <t>นางสาวณิชากร เวสารัตน์</t>
  </si>
  <si>
    <t>นางสาวขวัญเรือน นาคทอง</t>
  </si>
  <si>
    <t>นางสาวกนิษฐา มณีโชติ</t>
  </si>
  <si>
    <t>ค่าเช่าล็อคที่ 252</t>
  </si>
  <si>
    <t>ค่าเช่าล็อคที่ 253</t>
  </si>
  <si>
    <t>นางนิภา สนธิศิริ</t>
  </si>
  <si>
    <t>นางกาญจนา จันทโรทัย</t>
  </si>
  <si>
    <t>นางสาววิไลพร สาครรัตน์</t>
  </si>
  <si>
    <t>ค่าเช่าล็อคที่ 259</t>
  </si>
  <si>
    <t>นางณัฐฐา หอมชะมด</t>
  </si>
  <si>
    <t>นางกันตนา ธนเกษมไพศาล</t>
  </si>
  <si>
    <t>นางนุชนาฎ แจ้งจำรัส</t>
  </si>
  <si>
    <t>นางสาวจิตรา จันทร์ขาว</t>
  </si>
  <si>
    <t>นางสาวอรวรรณ หรั่งนางโหง</t>
  </si>
  <si>
    <t>นายสุธรรม ศิริมัย</t>
  </si>
  <si>
    <t>นายวิเชฐษ์ ประดิษฐ์</t>
  </si>
  <si>
    <t>นางสาวปาณิศา รังสิโยภาสกุล</t>
  </si>
  <si>
    <t>นางกนกวรรณ สร้อยคีรี</t>
  </si>
  <si>
    <t>นายกมล บุญเรือง</t>
  </si>
  <si>
    <t>นางสาวประเทือง มาลัยทอง</t>
  </si>
  <si>
    <t>นางสุภาวดี เกษมาลา</t>
  </si>
  <si>
    <t>นางเรไร มณีรัตน์</t>
  </si>
  <si>
    <t>นางสาวศุภลักษณ์ งามสุวรรณ</t>
  </si>
  <si>
    <t>นางสาวอุมาภรณ์ มณีรัตน์</t>
  </si>
  <si>
    <t>นายชัพวิชญ์ นาวาพันธ์</t>
  </si>
  <si>
    <t>นางสาวจินดาพร ศิลปชัย</t>
  </si>
  <si>
    <t>นางสาววรุณยุพา โชติชัย</t>
  </si>
  <si>
    <t>นางขวัญใจ อัชฌาสัย</t>
  </si>
  <si>
    <t>นายเสกสรรค์ อุดมสวัสดิ์</t>
  </si>
  <si>
    <t>นางสาวจิรวดี ศิลปชัย</t>
  </si>
  <si>
    <t>นายธารทอง โรจน์ศิริกุลชัย</t>
  </si>
  <si>
    <t>นายณรงค์ชัย ถนอมแนบ</t>
  </si>
  <si>
    <t>นางสาวนนทวรรณ จารุเสรีนนท์</t>
  </si>
  <si>
    <t>นางสาวอัญชลี เรืองศรี</t>
  </si>
  <si>
    <t>นายพงษ์นรินทร์ ศิริตันหยง</t>
  </si>
  <si>
    <t>นายธารา นันทกิจ</t>
  </si>
  <si>
    <t>นายมารุตพงษ์ สันหกรณ์</t>
  </si>
  <si>
    <t>นางสาวเล็ก เฉยศิริ</t>
  </si>
  <si>
    <t>นางสาวสุทิศา บัวโทน</t>
  </si>
  <si>
    <t>ค่ารักษามิเตอร์ ล็อคที่ 25</t>
  </si>
  <si>
    <t>ค่ารักษามิเตอร์ ล็อคที่ 56</t>
  </si>
  <si>
    <t>ค่ารักษามิเตอร์ ล็อคที่ 63</t>
  </si>
  <si>
    <t>ค่ารักษามิเตอร์ ล็อคที่ 82</t>
  </si>
  <si>
    <t>ค่ารักษามิเตอร์ ล็อคที่ 112</t>
  </si>
  <si>
    <t>ค่ารักษามิเตอร์ ล็อคที่ 252</t>
  </si>
  <si>
    <t>ค่ารักษามิเตอร์ ล็อคที่ 253</t>
  </si>
  <si>
    <t>ค่ารักษามิเตอร์ ล็อคที่ 259</t>
  </si>
  <si>
    <t>นายจเร ศิลปชัย</t>
  </si>
  <si>
    <t>นางสาวเสาวภา นันทกิจ</t>
  </si>
  <si>
    <t>นายอมรศักดิ์ ศิลปชัย</t>
  </si>
  <si>
    <t>นางสาวธนาพร เฉยศิริ</t>
  </si>
  <si>
    <t>นายกฤติกร กลมกล่อม</t>
  </si>
  <si>
    <t>นายธวัชชัย พูลศิริมงคลชัย</t>
  </si>
  <si>
    <t>อาคารแปลง C ล.1,2</t>
  </si>
  <si>
    <t>อาคารช่วง 1 ล.53</t>
  </si>
  <si>
    <t>โรงอาหาร 1 ชั้น ล.16</t>
  </si>
  <si>
    <t>โรงอาหาร 1 ชั้น ล.19</t>
  </si>
  <si>
    <t>ตลาดเกษตร ล.16</t>
  </si>
  <si>
    <t>ตลาดเกษตร ล.24</t>
  </si>
  <si>
    <t>ใช้สถานที่ข้างสุขา</t>
  </si>
  <si>
    <t xml:space="preserve">ข้างปั๊มน้ำมัน </t>
  </si>
  <si>
    <t>ค่าน้ำ อ.แปลง C 1,2</t>
  </si>
  <si>
    <t>ไฟฟ้า ตลาดเกษตร ล.16</t>
  </si>
  <si>
    <t>ไฟฟ้า ตลาดเกษตร ล.24</t>
  </si>
  <si>
    <t>สุขา อ.แปลง A 3,4</t>
  </si>
  <si>
    <t>สุขา อ.แปลง C ล.1,2</t>
  </si>
  <si>
    <t>สุขาโรงอาหาร 1 ชั้น ล.19</t>
  </si>
  <si>
    <t>โรงอาหาร 1 ชั้น ล.15</t>
  </si>
  <si>
    <t>โรงอาหาร 1 ชั้น ล.17</t>
  </si>
  <si>
    <t>อาคารช่วง 1 ล.52,54</t>
  </si>
  <si>
    <t>พค.64-สค.65</t>
  </si>
  <si>
    <t>โรงอาหาร 1 ชั้น ล.24</t>
  </si>
  <si>
    <t>อาคารช่วง 2 ล.19,20</t>
  </si>
  <si>
    <t>มค.64-พค.65</t>
  </si>
  <si>
    <t>สุขาโรงอาหาร 1 ชั้น ล.15</t>
  </si>
  <si>
    <t>สุขาโรงอาหาร 1 ชั้น ล.17</t>
  </si>
  <si>
    <t>พค.-พย.65</t>
  </si>
  <si>
    <t>ส.ค.62-ธ.ค.62</t>
  </si>
  <si>
    <t>หน้าอาคารแปลง 6 พื้นที่ตากปลากะตัก</t>
  </si>
  <si>
    <t>พย.65 (TFRS9)</t>
  </si>
  <si>
    <t>ธค.65 (TFRS9)</t>
  </si>
  <si>
    <t>ใช้สถานที่ต้งเครื่องโม่น้ำแข็ง</t>
  </si>
  <si>
    <t>บ.แน่นแฟ้น(นายกฤษฎา บุญบัวเกิด)</t>
  </si>
  <si>
    <t>หจก.ปลาทองอุตสาหกรรม (นายกฤษณะ เอี่ยมวงศ์นที)</t>
  </si>
  <si>
    <t>บริษัท สยามชัยโภคภัณฑ์(สนง.ใหญ่)</t>
  </si>
  <si>
    <t>บ.โรงน้ำแข็งกิมซำ จก.</t>
  </si>
  <si>
    <t>บ.เจ พี ไทยโฟรเซ็นฟู้ด จก(สกม.แจ้งยกเลิกสัญญา)</t>
  </si>
  <si>
    <t>ห้องเย็น (ฟ้อง)</t>
  </si>
  <si>
    <t>สป.กท.ปรับปรุงลดยอดเดือน กพ.64 ออก 1 เดือน กฎหมายส่งฟ้องถึง 31 มค.64</t>
  </si>
  <si>
    <t>เช่าอาคาร (ฟ้อง)</t>
  </si>
  <si>
    <t>ค่าเช่าล็อคที่ 23</t>
  </si>
  <si>
    <t>ค่าเช่าล็อคที่ 69</t>
  </si>
  <si>
    <t>ค่าเช่าล็อคที่ 86</t>
  </si>
  <si>
    <t>ค่าเช่าล็อคที่ 128</t>
  </si>
  <si>
    <t>ค่าเช่าล็อคที่ 129</t>
  </si>
  <si>
    <t>ค่าเช่าล็อคที่ 220</t>
  </si>
  <si>
    <t>นายสมบัติ ยังทรัพย์</t>
  </si>
  <si>
    <t>ค่าเช่าล็อคที่ 267</t>
  </si>
  <si>
    <t>นางชญาณ์นันท์ นาวีรัตนวิทยา</t>
  </si>
  <si>
    <t>ธ.ค.62-ก.พ.63</t>
  </si>
  <si>
    <t>มิย.-ธค.61,มค.62</t>
  </si>
  <si>
    <t>มค.66 (TFRS9)</t>
  </si>
  <si>
    <t>กพ.66 (TFRS9)</t>
  </si>
  <si>
    <t>หนี้เกิน 12 เดือน</t>
  </si>
  <si>
    <t>สำรอง %</t>
  </si>
  <si>
    <t>พิพากษา</t>
  </si>
  <si>
    <t>อยู่ระหว่างดำเนินคดี</t>
  </si>
  <si>
    <t>ค่าเช่าล็อคที่ 285</t>
  </si>
  <si>
    <t>นายตรังปกรณ์  พรพิมลวัฒน์</t>
  </si>
  <si>
    <t xml:space="preserve"> กพ.-กย.65</t>
  </si>
  <si>
    <t>เมย.63-สค.64</t>
  </si>
  <si>
    <t>กพ.64-สค.64</t>
  </si>
  <si>
    <t>ค่าเช่าที่อื่น ๆ ปรับเพิ่มค่าเช่า 5% ที่ กษ 1709.2/260</t>
  </si>
  <si>
    <t>สุขาโรงอาหาร 1 ชั้น ล.</t>
  </si>
  <si>
    <t>นส.มูรีนา  นิมะ</t>
  </si>
  <si>
    <t>โรงอุปกรณ์ 9</t>
  </si>
  <si>
    <t>งวด 28 กค.58-28 กค.59</t>
  </si>
  <si>
    <t>น่ำโรงเก็บกระบะ</t>
  </si>
  <si>
    <t>ซอลาฮูดิง มะมิง</t>
  </si>
  <si>
    <t>ไฟฟ้า ตลาดเกษตร ล.58</t>
  </si>
  <si>
    <t>สุขา อ.แปลง C ล.12,13</t>
  </si>
  <si>
    <t>กย.64-กย.65</t>
  </si>
  <si>
    <t>กย.64-ตค.65</t>
  </si>
  <si>
    <t>พย.63-สค.64</t>
  </si>
  <si>
    <t>ธค.63-สค.64</t>
  </si>
  <si>
    <t>ตค.64-มิย.65</t>
  </si>
  <si>
    <t>มค.-กย.64</t>
  </si>
  <si>
    <t>พย.-ธค.63.</t>
  </si>
  <si>
    <t>ค่าเช่าล็อคที่ 242</t>
  </si>
  <si>
    <t>ค่าน้ำล็อคที่ 232</t>
  </si>
  <si>
    <t>ล็อคที่ 7</t>
  </si>
  <si>
    <t>ล็อคที่ 23</t>
  </si>
  <si>
    <t>ล็อคที่ 69</t>
  </si>
  <si>
    <t>ล็อคที่ 86</t>
  </si>
  <si>
    <t>ล็อคที่ 129</t>
  </si>
  <si>
    <t>ล็อคที่ 218</t>
  </si>
  <si>
    <t>ล็อคที่ 220</t>
  </si>
  <si>
    <t>ล็อคที่ 251</t>
  </si>
  <si>
    <t>ล็อคที่ 283</t>
  </si>
  <si>
    <t>ล็อคที่ 308</t>
  </si>
  <si>
    <t>ล็อคที่ 311</t>
  </si>
  <si>
    <t>ล็อคที่ 312</t>
  </si>
  <si>
    <t>ล็อคที่ 318</t>
  </si>
  <si>
    <t>นางรจนา มุสิแก้ว</t>
  </si>
  <si>
    <t xml:space="preserve">  -</t>
  </si>
  <si>
    <t>มี.ค.66-เม.ย.66</t>
  </si>
  <si>
    <t>นายมานพ แว่วสวัสดิ์</t>
  </si>
  <si>
    <t>นางสาวสรินญา สามทอง</t>
  </si>
  <si>
    <t>ค่าเช่าล็อคที่ 239</t>
  </si>
  <si>
    <t>นายสุทธิชัย จันทร์เกิด</t>
  </si>
  <si>
    <t>3.7 ปี</t>
  </si>
  <si>
    <t>โรงอาหาร 2 ชั้น ล.5</t>
  </si>
  <si>
    <t>นายกิตติ  เอ้งฉ้วน บอกเลิก กษ 1709.2/419 9พย.65</t>
  </si>
  <si>
    <t>สุขาโรงอาหาร 2 ชั้น ล.5</t>
  </si>
  <si>
    <t>คำพิพากษา ศาลแพ่งกรุงเทพใต้ วันที่ 31 สค.2553 คดีหมายเลขดำที่ 1652/2552 คดีหมายเลขแดงที่ 1536/2553</t>
  </si>
  <si>
    <t>คำพิพากษา ศาลอุทธรณ์ วันที่ 9 สค.2554 คดีหมายเลขดำที่ 3254/2553 คดีหมายเลขแดงที่ 12501/2554</t>
  </si>
  <si>
    <t>คำพิพากษา ศาลอุทธรณ์ วันที่ 20 มค.2556 คดีหมายเลขดำที่ 2025/2555 คดีหมายเลขแดงที่ 189/2556</t>
  </si>
  <si>
    <t>คำพิพากษา ศาลอุทธรณ์ วันที่ 29 สค.2557 คดีหมายเลขดำที่ ผบ.456/2557 คดีหมายเลขแดงที่ 15974/2557</t>
  </si>
  <si>
    <t>คำพิพากษา ศาลอุทธรณ์ วันที่ 28 สค.2558 คดีหมายเลขดำที่ ผบ.650/2558 คดีหมายเลขแดงที่ 13470/2558</t>
  </si>
  <si>
    <t>คำพิพากษา ศาลอุทธรณ์ วันที่ 10 มิย.2558 คดีหมายเลขดำที่ ผบ.1032/2557 คดีหมายเลขแดงที่ 8334/2558</t>
  </si>
  <si>
    <t>คำพิพากษา ศาลอุทธรณ์ วันที่ 13 มค.2559 คดีหมายเลขดำที่ ผบ.1058/2558 คดีหมายเลขแดงที่ 439/2559</t>
  </si>
  <si>
    <t>คำพิพากษา ศาลฎีกา วันที่ 6 มิย.2561 ที่ 4921/2560</t>
  </si>
  <si>
    <t>คำพิพากษา ศาลอุทธรณ์ วันที่ 10 มิย.2558 คดีหมายเลขดำที่ ผบ.1161/2557 คดีหมายเลขแดงที่ 8339/2558</t>
  </si>
  <si>
    <t>คำพิพากษา ศาลอุทธรณ์ วันที่ 29 กค.2558 คดีหมายเลขดำที่ ผบ.444/2558 คดีหมายเลขแดงที่ 11982/2558</t>
  </si>
  <si>
    <t>คำพิพากษา ศาลอุทธรณ์ วันที่ 15 กย.2557 คดีหมายเลขดำที่ ผบ.607/2557 คดีหมายเลขแดงที่ 16779/2557</t>
  </si>
  <si>
    <t>คำพิพากษา ศาลฎีกา วันที่ 21 กค.2559 ที่ 5116/2559</t>
  </si>
  <si>
    <t>กษ1708.1/116 ลว.30 พค.65 รายงานการติดตามหนี้ค้างชำระ (เสนอผออ. บอกเลิกสัญญา)</t>
  </si>
  <si>
    <t>นางจิตต์ณิช  ธชกฤศ</t>
  </si>
  <si>
    <t>บริการสัตว์น้ำ (4600100)</t>
  </si>
  <si>
    <t>ค่าต่ออายุสัญญา/สิทธิการโอนฯ (4700900)</t>
  </si>
  <si>
    <t>ค่าธรรมเนียมใช้สถานที่ (4600700)</t>
  </si>
  <si>
    <t>ค่าจำหน่ายไฟฟ้า (4700300)</t>
  </si>
  <si>
    <t>ค่าจำหน่ายน้ำประปา (4700200)</t>
  </si>
  <si>
    <t>ค่าเช่าแฟลต (4600700)</t>
  </si>
  <si>
    <t>ค่าใช้สถานที่ทิ้งขยะ (4600700)</t>
  </si>
  <si>
    <t>ค่าเช่าที่จำหน่าย่น้ำแข็งและเครื่องโม่ (4601100)</t>
  </si>
  <si>
    <t>ค่าภาษีโรงเรือนและที่ดิน (4701600)</t>
  </si>
  <si>
    <t>ค่าธรรมเนียมสัตว์น้ำผ่านท่า (4600200)</t>
  </si>
  <si>
    <t>ค่าธรรมเนียมรถผ่านท่า (4600300)</t>
  </si>
  <si>
    <t>ค่าธรรมเนียมน้ำแข็งผ่านท่า (4600400)</t>
  </si>
  <si>
    <t>ค่าสุขาภิบาล (4701420)</t>
  </si>
  <si>
    <t>รายได้เบ็ดเตล็ด (ค่าภาษีโรงเรือน 4701600)</t>
  </si>
  <si>
    <t>ค่าเช่าที่อื่นๆ (4700700)</t>
  </si>
  <si>
    <t xml:space="preserve">  - ภาษีโรงเรือน</t>
  </si>
  <si>
    <t xml:space="preserve">  - ประกันอัคคีภัย</t>
  </si>
  <si>
    <t>รายได้เบ็ดเตล็ด (4701600)</t>
  </si>
  <si>
    <t>ค่าเช่าที่จำหน่ายน้ำแข็งและเครื่องโม่ (4601100)</t>
  </si>
  <si>
    <t xml:space="preserve">  - ค่าประกันอีคคีภัย</t>
  </si>
  <si>
    <t xml:space="preserve">  - รายได้เบ็ดเตล็ด</t>
  </si>
  <si>
    <t>ค่าธรรมเนียมอื่นๆ (4600800)</t>
  </si>
  <si>
    <t>ค่าธรรมเนียมน้ำมันผ่านท่า (4600500)</t>
  </si>
  <si>
    <t>ค่าธรรมเนียมใช้เครน (4601300)</t>
  </si>
  <si>
    <t>ค่าธรรมเนียมใช้เครื่องชั่ง (4600600)</t>
  </si>
  <si>
    <t xml:space="preserve">  - ค่าภาษีโรงเรือนและที่ดิน</t>
  </si>
  <si>
    <t xml:space="preserve">  - ภาษีโรงเรือนและที่ดิน</t>
  </si>
  <si>
    <t>ค่าประกันอีคคีภัย (4701600)</t>
  </si>
  <si>
    <t xml:space="preserve">ค่าเช่าอาคารและที่ดิน (4700400) </t>
  </si>
  <si>
    <t>ค่าผลประโยชน์ตอบแทนการได้สิทธิ (</t>
  </si>
  <si>
    <t>ประเภทการรับชำระ</t>
  </si>
  <si>
    <t>ค่าเช่าที่จำหน่าย</t>
  </si>
  <si>
    <t>และที่ดิน</t>
  </si>
  <si>
    <t>ค่าจำหน่าย</t>
  </si>
  <si>
    <t>น่ำประปา</t>
  </si>
  <si>
    <t>ไฟฟ่า</t>
  </si>
  <si>
    <t>ค่าต่ออายุ</t>
  </si>
  <si>
    <t>สัญญา/สิทธิ</t>
  </si>
  <si>
    <t>การเช่า</t>
  </si>
  <si>
    <t>น้ำแข็งและ</t>
  </si>
  <si>
    <t>เครื่องโม่</t>
  </si>
  <si>
    <t>ประกันอัคคีภัย</t>
  </si>
  <si>
    <t>หนี้ดำเนินคดี/</t>
  </si>
  <si>
    <t>เปรียบเทียบ</t>
  </si>
  <si>
    <t>สูง(ต่ำ)</t>
  </si>
  <si>
    <t>มีค.66 (TFRS9)</t>
  </si>
  <si>
    <t>ค่าเช่าสถานที่</t>
  </si>
  <si>
    <t>จำหน่าย</t>
  </si>
  <si>
    <t>ค่ารักษา</t>
  </si>
  <si>
    <t>มิเตอร์</t>
  </si>
  <si>
    <t>ค่าบริการ  สัตว์น้ำ</t>
  </si>
  <si>
    <t>คธ</t>
  </si>
  <si>
    <t>บาท</t>
  </si>
  <si>
    <t>สูง (ต่ำ)</t>
  </si>
  <si>
    <t>เม.ย.66 (TFRS9)</t>
  </si>
  <si>
    <t>โรงอุปกรณ์ 7</t>
  </si>
  <si>
    <t>ค่าเช่าที่อื่นๆ 4700701</t>
  </si>
  <si>
    <t>ศาลอุทธรณ์ 29 ส.ค.2557</t>
  </si>
  <si>
    <t>ศาลอุทธรณ์ 29 ก.ค.2558</t>
  </si>
  <si>
    <t>งวดที่</t>
  </si>
  <si>
    <t>มิ.ย.65-พ.ค.66</t>
  </si>
  <si>
    <t>เม.ย.65-พ.ค.66</t>
  </si>
  <si>
    <t>พ.ค.65-พ.ค.66</t>
  </si>
  <si>
    <t>ส.ค.65-พ.ค.66</t>
  </si>
  <si>
    <t>พ.ค.65/ก.ค.65-พ.ค.66</t>
  </si>
  <si>
    <t>น.ส.อาริยา ทองแก้ว(ยกเลิก) (ทรัพย์เจริญทรัพย์)</t>
  </si>
  <si>
    <t>ค้างไม่เกิน ปี</t>
  </si>
  <si>
    <t>ค้างเกินปี</t>
  </si>
  <si>
    <t>ค่าใช้ไฟฟ้า</t>
  </si>
  <si>
    <t>**</t>
  </si>
  <si>
    <t>*</t>
  </si>
  <si>
    <t>***</t>
  </si>
  <si>
    <t>รับล่วงหน้า</t>
  </si>
  <si>
    <t>ก.ค.66</t>
  </si>
  <si>
    <t>ก.ย.61-มิ.ย64</t>
  </si>
  <si>
    <t>ต.ค.58-มิย64</t>
  </si>
  <si>
    <t>ธ.ค.58-มิย64</t>
  </si>
  <si>
    <t>พ.ค.55-ส.ค.56</t>
  </si>
  <si>
    <t>โรงอุปกรณ์ 8</t>
  </si>
  <si>
    <t>ตค.65-กค.66</t>
  </si>
  <si>
    <t>มีค.-กค.66</t>
  </si>
  <si>
    <t>นายสมพร  รุ่งเลิศสกุลหรู</t>
  </si>
  <si>
    <t>ค่าน้ำ โรงอาหาร 2 ชั้น ล.5</t>
  </si>
  <si>
    <t>.</t>
  </si>
  <si>
    <t xml:space="preserve">  -ค่าสิทธิการเช่าโอนเป็นรายได้</t>
  </si>
  <si>
    <t>นายวิชัย รุจิระวิไล</t>
  </si>
  <si>
    <t xml:space="preserve">งวดที่ </t>
  </si>
  <si>
    <t>น.สประดับ ศรีษะสมุทร(ชัยประเสริฐ จารุสาร)</t>
  </si>
  <si>
    <t>นายวิชา  ดารามั่น</t>
  </si>
  <si>
    <t>มี.ค-มิ.ย64</t>
  </si>
  <si>
    <t xml:space="preserve">นางสาวพรทิพย์ เบญจวรางกูร  </t>
  </si>
  <si>
    <t>2/50-51 ม.1 ต.รัษฎา อ.เมือง จ.ภูเก็ต (คูหา 24 - 25)</t>
  </si>
  <si>
    <t>เครื่องชั่ง</t>
  </si>
  <si>
    <t>ค่าเช่าอื่น ๆ</t>
  </si>
  <si>
    <t>ค่าเช่าอาคาร1/8</t>
  </si>
  <si>
    <t>นายพีระพงษ์ จันทรโชติ</t>
  </si>
  <si>
    <t>เช่าอ.แถวยาว</t>
  </si>
  <si>
    <t>กพ.-พย.58</t>
  </si>
  <si>
    <t>นางพิศมัย เตละวานิช</t>
  </si>
  <si>
    <t>เช่าอาคาร 2/24</t>
  </si>
  <si>
    <t>น้ำประปา อ.2/24</t>
  </si>
  <si>
    <t>ไฟฟ้า อ.2/24</t>
  </si>
  <si>
    <t>มีค.-พย.58</t>
  </si>
  <si>
    <t xml:space="preserve">ค่าเช่าอื่น ๆ </t>
  </si>
  <si>
    <t>สิทธิการเช่า (ค่าต่ออายุสัญญา)</t>
  </si>
  <si>
    <t>จอดรถเครน</t>
  </si>
  <si>
    <t>เอนกประสงค์ 340/77-78</t>
  </si>
  <si>
    <t>ค่าสถานที่</t>
  </si>
  <si>
    <t>ค่าใช้สถานที่ทิ้งขยะ</t>
  </si>
  <si>
    <t>ค่าเช่าที่จำหน่ายน้ำแข็ง</t>
  </si>
  <si>
    <t>กย.63-ก.ย.64</t>
  </si>
  <si>
    <t>สิทธิการเช่า (ต่อสัญญา)</t>
  </si>
  <si>
    <t>ค่าอาคารและที่ดิน</t>
  </si>
  <si>
    <t>ก.ย.65-ก.ค.66</t>
  </si>
  <si>
    <t>ค่าเช่าล็อคที่ 122</t>
  </si>
  <si>
    <t>รายได้เบ็ดเตล็ด 4701600 (ค่ารักษามิเตอร์น้ำประปา, ไฟฟ้า)</t>
  </si>
  <si>
    <t>ก.พ.65-ต.ค.65</t>
  </si>
  <si>
    <t>มี.ค.65-มี.ค.66</t>
  </si>
  <si>
    <t>ตลาดเกษตร ล.58</t>
  </si>
  <si>
    <t xml:space="preserve">  กย.64-กค.66</t>
  </si>
  <si>
    <t>มิย.64-ตค.65</t>
  </si>
  <si>
    <t>ล็อคที่ 119</t>
  </si>
  <si>
    <t>ล็อคที่ 231</t>
  </si>
  <si>
    <t>รวมหนี้ค้างชำระทั้งสิ้น</t>
  </si>
  <si>
    <t>หนี้ผ่อนชำระ</t>
  </si>
  <si>
    <t>หนี้บอกเลิกสัญญา</t>
  </si>
  <si>
    <t>ภาษีโรงเรือน อ.2/24</t>
  </si>
  <si>
    <t>ปี 2558-2562</t>
  </si>
  <si>
    <t>เม.ย.65-ส.ค.66</t>
  </si>
  <si>
    <t>พ.ย.65-ส.ค.66</t>
  </si>
  <si>
    <t>ก.พ.65-ส.ค.66</t>
  </si>
  <si>
    <t>มี.ค.65-ส.ค.66</t>
  </si>
  <si>
    <t>มิ.ย.65-ส.ค.66</t>
  </si>
  <si>
    <t>พ.ค.65-ส.ค.66</t>
  </si>
  <si>
    <t>นางสาวอรวรรณ  ฉิมพิทักษ์</t>
  </si>
  <si>
    <t>นายวัลลภ  ศรีทอง</t>
  </si>
  <si>
    <t>ส.ค.65-ส.ค.66</t>
  </si>
  <si>
    <t>นางสาวศิรินันท์ อินทโชติ</t>
  </si>
  <si>
    <t>ค่าเช่าล็อคที่ 33</t>
  </si>
  <si>
    <t>ก.ย.65-ส.ค.66</t>
  </si>
  <si>
    <t>ก.ค.65-ส.ค.66</t>
  </si>
  <si>
    <t>นายภารวี  พิพัฒน์</t>
  </si>
  <si>
    <t>นางสาวฤทัย  จุ้ยกลิ่น</t>
  </si>
  <si>
    <t>นางสมบัติ โครตสมบัติ</t>
  </si>
  <si>
    <t>นางธัญพร กลมกล่อม</t>
  </si>
  <si>
    <t>ค่าเช่าล็อคที่ 96</t>
  </si>
  <si>
    <t>นางสายไหม  วีระพล</t>
  </si>
  <si>
    <t>นางสาวพัทชาพันธ์ อินทโชติ</t>
  </si>
  <si>
    <t>ค่าเช่าล็อคที่ 103</t>
  </si>
  <si>
    <t>นางสุปราณี  จุ้ยกลิ่น</t>
  </si>
  <si>
    <t>พ.ค.66-ส.ค.66</t>
  </si>
  <si>
    <t>นายสกล  โครตสมบัติ</t>
  </si>
  <si>
    <t>นายสมยศ  กองสุข</t>
  </si>
  <si>
    <t>นายพรชัย  หนูขาว</t>
  </si>
  <si>
    <t>S1</t>
  </si>
  <si>
    <t xml:space="preserve">S2 </t>
  </si>
  <si>
    <t xml:space="preserve">S4 </t>
  </si>
  <si>
    <t xml:space="preserve">S6 </t>
  </si>
  <si>
    <t xml:space="preserve">S7 </t>
  </si>
  <si>
    <t>นายขวัญเมือง  เกิดปลื้มปิติ</t>
  </si>
  <si>
    <t>นายธนะเดช  ศรีทอง</t>
  </si>
  <si>
    <t>ค่ารักษามิเตอร์ ล็อคที่ 33</t>
  </si>
  <si>
    <t>ค่ารักษามิเตอร์ ล็อคที่ 96</t>
  </si>
  <si>
    <t>ค่ารักษามิเตอร์ ล็อคที่ 232</t>
  </si>
  <si>
    <t>นายภัทรวุธ  บุญทา</t>
  </si>
  <si>
    <t>ค่ารักษามิเตอร์ ล็อคที่ 305</t>
  </si>
  <si>
    <t>17 สค.64-17 สค.65'17สค65-17สค66,18ส.ค.66-17ส.ค.67</t>
  </si>
  <si>
    <t>18 ส.ค.66 - 17 ส.ค.67</t>
  </si>
  <si>
    <t>17 สค.65-17 สค.66,18 ส.ค.66 - 17 ส.ค.67</t>
  </si>
  <si>
    <t>ล็อคที่ 30</t>
  </si>
  <si>
    <t>ล็อคที่ 49</t>
  </si>
  <si>
    <t>ล็อคที่ 96</t>
  </si>
  <si>
    <t>ล็อคที่ 115</t>
  </si>
  <si>
    <t>ล็อคที่ 122</t>
  </si>
  <si>
    <t>ล็อคที่ 128</t>
  </si>
  <si>
    <t>นายโรจน์ศักดิ์ อิทธิตระกูลชัย</t>
  </si>
  <si>
    <t>ล็อคที่ 232</t>
  </si>
  <si>
    <t>ล็อคที่ 267</t>
  </si>
  <si>
    <t>นางสุนิตา คอนนอลลี</t>
  </si>
  <si>
    <t>ธ.ค.65-มิ.ย.66</t>
  </si>
  <si>
    <t>นายสุรัก  พันธ์อ้วน</t>
  </si>
  <si>
    <t>ค่าเช่าล็อคที่ 95</t>
  </si>
  <si>
    <t>ต.ค.65-พ.ค.66</t>
  </si>
  <si>
    <t>ค่าเช่าล็อคที่ 133</t>
  </si>
  <si>
    <t>ค่าเช่าล็อคที่ 297</t>
  </si>
  <si>
    <t>ค่าเช่าล็อคที่ 305</t>
  </si>
  <si>
    <t>ค่าเช่าล็อคที่ 4</t>
  </si>
  <si>
    <t>ค่าเช่าล็อคที่ 5</t>
  </si>
  <si>
    <t>ค่าเช่าล็อคที่ 56</t>
  </si>
  <si>
    <t>ค่าเช่าล็อคที่ 59</t>
  </si>
  <si>
    <t>ค่าเช่าล็อคที่ 64</t>
  </si>
  <si>
    <t>ค่าเช่าล็อคที่ 71</t>
  </si>
  <si>
    <t>ค่าเช่าล็อคที่ 72</t>
  </si>
  <si>
    <t>ค่าเช่าล็อคที่ 73</t>
  </si>
  <si>
    <t>ค่าเช่าล็อคที่ 74</t>
  </si>
  <si>
    <t>ค่าเช่าล็อคที่ 76</t>
  </si>
  <si>
    <t>ค่าเช่าล็อคที่ 77</t>
  </si>
  <si>
    <t>ค่าเช่าล็อคที่ 78</t>
  </si>
  <si>
    <t>นางกลอยใจ ปิ่นทอง</t>
  </si>
  <si>
    <t>ค่าเช่าล็อคที่ 80</t>
  </si>
  <si>
    <t>ก.ค.65-พ.ค.66</t>
  </si>
  <si>
    <t>นางสาวรุจิรา บัวทะราช</t>
  </si>
  <si>
    <t>ค่าเช่าล็อคที่ 85</t>
  </si>
  <si>
    <t>มี.ค.65-ต.ค.65</t>
  </si>
  <si>
    <t>นางสาวอังสนา ชมเพ็ญ</t>
  </si>
  <si>
    <t>ค่าเช่าล็อคที่ 94</t>
  </si>
  <si>
    <t>ค่าเช่าล็อคที่ 110</t>
  </si>
  <si>
    <t>ค่าเช่าล็อคที่ 119</t>
  </si>
  <si>
    <t>ค่าเช่าล็อคที่ 123</t>
  </si>
  <si>
    <t>ค่าเช่าล็อคที่ 124</t>
  </si>
  <si>
    <t>ค่าเช่าล็อคที่ 125</t>
  </si>
  <si>
    <t>ค่าเช่าล็อคที่ 126</t>
  </si>
  <si>
    <t>ค่าเช่าล็อคที่ 127</t>
  </si>
  <si>
    <t>ค่าเช่าล็อคที่ 130</t>
  </si>
  <si>
    <t>ค่าเช่าล็อคที่ 218</t>
  </si>
  <si>
    <t>ค่าเช่าล็อคที่ 231</t>
  </si>
  <si>
    <t>ค่าเช่าล็อคที่ 283</t>
  </si>
  <si>
    <t>ค่าเช่าล็อคที่ 291</t>
  </si>
  <si>
    <t>ค่าเช่าล็อคที่ 294</t>
  </si>
  <si>
    <t>ค่าเช่าล็อคที่ 302</t>
  </si>
  <si>
    <t>ค่าเช่าล็อคที่ 306</t>
  </si>
  <si>
    <t>ค่าเช่าล็อคที่ 311</t>
  </si>
  <si>
    <t>ค่าเช่าล็อคที่ 312</t>
  </si>
  <si>
    <t>ค่าเช่าล็อคที่ 314</t>
  </si>
  <si>
    <t>ค่าเช่าล็อคที่ 315</t>
  </si>
  <si>
    <t>ค่าเช่าล็อคที่ 317</t>
  </si>
  <si>
    <t>ค่าเช่าล็อคที่ 318</t>
  </si>
  <si>
    <t>ค่าน้ำล็อคที่ 119</t>
  </si>
  <si>
    <t>ก.พ./ส.ค.65,พ.ค.66,ก.ค.66</t>
  </si>
  <si>
    <t>ค่าน้ำล็อคที่ 283</t>
  </si>
  <si>
    <t>ค่าน้ำล็อคที่ 312</t>
  </si>
  <si>
    <t>พ.ค.-ม.ค.66</t>
  </si>
  <si>
    <t>ค่าน้ำล็อคที่ 318</t>
  </si>
  <si>
    <t>นิอิสเฮาะ นิกาจิ</t>
  </si>
  <si>
    <t>ตลาดเกษตร ล.60</t>
  </si>
  <si>
    <t>ไฟฟ้า ตลาดเกษตร ล.60</t>
  </si>
  <si>
    <t>สุขา ช่วง 2 ล.33</t>
  </si>
  <si>
    <t xml:space="preserve">  กย.64-กพ.66</t>
  </si>
  <si>
    <t>สค.-กย.66</t>
  </si>
  <si>
    <t>อาคารตลาดสัตว์น้ำคุณภาพ</t>
  </si>
  <si>
    <t>น.ส.คมขำ  ดรุณพันธ์</t>
  </si>
  <si>
    <t>ตลาดรายย่อย 7</t>
  </si>
  <si>
    <t>ห้างหุ้นส่วนจำกัดปลาป่นสินไพบูลย์ชัย</t>
  </si>
  <si>
    <t>62/1 ม.7 ถ.ท่าเรือใหม่ ต.รัษฎา อ.เมือง จ.ภูเก็ต</t>
  </si>
  <si>
    <t>2/8-14 ม.1 ต.รัษฎา อ.เมือง จ.ภูเก็ต</t>
  </si>
  <si>
    <t>2/53-54 ม.1 ต.รัษฎา อ.เมือง จ.ภูเก็ต</t>
  </si>
  <si>
    <t>2/81 ม.1 ถ.ศรีสุทัศน์ ต.รัษฎา อ.เมือง จ.ภูเก็ต</t>
  </si>
  <si>
    <t>นายสุนทร แกล้วทนงค์ (แพปลาส.ธนาวุธชัยนาวี)</t>
  </si>
  <si>
    <t>64/137 ม.3 ต.รัษฎา อ.เมือง จ.ภูเก็ต</t>
  </si>
  <si>
    <t>นายประเสริฐ เตรณานนท์</t>
  </si>
  <si>
    <t>นางกานดา สังข์ทอง (นวย)</t>
  </si>
  <si>
    <t>ภาษีโรงเรือน อ.2/46</t>
  </si>
  <si>
    <t>น้ำประปาอาหาร9</t>
  </si>
  <si>
    <t>ไฟฟ้าอาหาร9</t>
  </si>
  <si>
    <t>มีค..-มิย.66</t>
  </si>
  <si>
    <t>ค่าธรรมเนียมอื่นๆ 4600800</t>
  </si>
  <si>
    <t>รายได้ค่าปรับ 4701400</t>
  </si>
  <si>
    <t>ค่าเช่าที่อื่นๆ 4700700</t>
  </si>
  <si>
    <t>ค่าธรรมเนียมน้ำแข็งผ่านท่า 46000200</t>
  </si>
  <si>
    <t>เม.ย.65-ก.ย.66</t>
  </si>
  <si>
    <t>ต.ค.65-ก.ย.66</t>
  </si>
  <si>
    <t>ม.ค.66-ก.ย.66</t>
  </si>
  <si>
    <t>ค่าเช่าล็อคที่ 234</t>
  </si>
  <si>
    <t>นายพิภพ สร้อยคีรี</t>
  </si>
  <si>
    <t>พ.ย.65-ก.ย.66</t>
  </si>
  <si>
    <t>ค่ารักษามิเตอร์ ล็อคที่ 12</t>
  </si>
  <si>
    <t>พ.ค.65-ก.ย.66</t>
  </si>
  <si>
    <t>ค่ารักษามิเตอร์ ล็อคที่ 234</t>
  </si>
  <si>
    <t>ส.ค.65-ก.ย.66</t>
  </si>
  <si>
    <t>นายธนพร  ศิลปชัย</t>
  </si>
  <si>
    <t>ก.พ.65-มี.ค.66</t>
  </si>
  <si>
    <t xml:space="preserve">หมายเหตุ  :   ข้อมูลตัวเลขจากสป.ทร.ต่างๆ   </t>
  </si>
  <si>
    <t>นายประเสริฐ ชมเพ็ญ</t>
  </si>
  <si>
    <t>หนี้ปรับโครงสร้าง( ผ่อนชำระ)</t>
  </si>
  <si>
    <t>ค่ารักษามิเตอร์ ล็อคที่ 46</t>
  </si>
  <si>
    <t>หน่วย : บาท</t>
  </si>
  <si>
    <t xml:space="preserve">                         เดือน</t>
  </si>
  <si>
    <t>ก.พ.65-ต.ค.66</t>
  </si>
  <si>
    <t>ก.ค.66-ต.ค.66</t>
  </si>
  <si>
    <t>มี.ค.65-ต.ค.66</t>
  </si>
  <si>
    <t>ค่าเช่าล็อคที่ 14</t>
  </si>
  <si>
    <t>เม.ย.65-ต.ค.66</t>
  </si>
  <si>
    <t>ต.ค.65-ต.ค.66</t>
  </si>
  <si>
    <t>ก.ค.65-ต.ค.66</t>
  </si>
  <si>
    <t>นายสุภัทร์ อินทวิเชียร</t>
  </si>
  <si>
    <t>ค่าเช่าล็อคที่ 45</t>
  </si>
  <si>
    <t>นายอนุกูล  นันทกิจ</t>
  </si>
  <si>
    <t>ค่าเช่าล็อคที่ 47</t>
  </si>
  <si>
    <t>ค่าเช่าล็อคที่ 49</t>
  </si>
  <si>
    <t>พ.ย.65-ต.ค.66</t>
  </si>
  <si>
    <t>นายเชี่ยวชาญ ขนุนทอง</t>
  </si>
  <si>
    <t>นางสาวเกษร  สมบูรณ์ฐานะ</t>
  </si>
  <si>
    <t>ค่าเช่าล็อคที่ 287</t>
  </si>
  <si>
    <t>นางปุณฑรี ศรีทอง</t>
  </si>
  <si>
    <t>ค่าเช่าล็อคที่ 288</t>
  </si>
  <si>
    <t>นางสุวรรณา  เจริญแพทย์</t>
  </si>
  <si>
    <t>ค่าเช่าล็อคที่ 295</t>
  </si>
  <si>
    <t>ค่าน้ำล็อคที่ 102</t>
  </si>
  <si>
    <t>นายอติพล ประดิษฐ์ทรัพย์</t>
  </si>
  <si>
    <t>นางสาวกัลปพฤกษ์ มณีรัตน์</t>
  </si>
  <si>
    <t>นางสาวณัชชา  ยุติธรรม</t>
  </si>
  <si>
    <t>นายวรทัศน์  เจิมสวัสดิ์</t>
  </si>
  <si>
    <t>ค่าน้ำล็อคที่ 234</t>
  </si>
  <si>
    <t>ค่าน้ำล็อคที่ 239</t>
  </si>
  <si>
    <t>ค่าน้ำห้องน้ำหน้าตลาด</t>
  </si>
  <si>
    <t>ค่าน้ำห้องน้ำหลังตลาด</t>
  </si>
  <si>
    <t>ค่ารักษามิเตอร์ ล็อคที่ 14</t>
  </si>
  <si>
    <t>ค่ารักษามิเตอร์ ล็อคที่ 44</t>
  </si>
  <si>
    <t>ค่ารักษามิเตอร์ ล็อคที่ 45</t>
  </si>
  <si>
    <t>ค่ารักษามิเตอร์ ล็อคที่ 47</t>
  </si>
  <si>
    <t>ค่ารักษามิเตอร์ ล็อคที่ 97</t>
  </si>
  <si>
    <t>ค่ารักษามิเตอร์ ล็อคที่ 287</t>
  </si>
  <si>
    <t>ค่ารักษามิเตอร์ ล็อคที่ 295</t>
  </si>
  <si>
    <t>ค่าไฟห้องน้ำหน้าตลาด</t>
  </si>
  <si>
    <t>ก.พ.66-มิ.ย.66</t>
  </si>
  <si>
    <t>พ.ค.65-ต.ค.66</t>
  </si>
  <si>
    <t>นางพฤวรรณ เจริญก่อบุญ</t>
  </si>
  <si>
    <t>พ.ค./ก.ค.-ต.ค.66</t>
  </si>
  <si>
    <t>ส.ค.65-ต.ค.66</t>
  </si>
  <si>
    <t>ก.ค.66-ส.ค.66</t>
  </si>
  <si>
    <t>มิ.ย.66 - ส.ค.66</t>
  </si>
  <si>
    <t xml:space="preserve">ยอดหนี้ค้าง </t>
  </si>
  <si>
    <t>สำรองค่าเผื่อหนี้สูญ</t>
  </si>
  <si>
    <t>หนี้ 1 เดือนไม่เกิน 1 ปี</t>
  </si>
  <si>
    <t>หนี้เกิน 1 ปีขึ้นไป</t>
  </si>
  <si>
    <t>รวมสำรอง TFRS 9</t>
  </si>
  <si>
    <t>หมายเหตุ :  คิดค่าเผื่อหนี้สูญ อัตรา 20.85% (อัตราตามที่ผู้ตรวจสอบบัญชีประจำปี 2566 คำนวณ จากอัตรา</t>
  </si>
  <si>
    <t xml:space="preserve">                     1. อัตรา GDP ปี 2564 เท่ากับ 1.5%  ปี 2565 เท่ากับ 3.2% และ ปี 2566 เท่ากับ 3.7 %</t>
  </si>
  <si>
    <t xml:space="preserve">                    2. อัตราเงินเฟ้อปี 2564 เท่ากับ 1.2%  ปี 2565 เท่ากับ 6.3% และ ปี 2566 เท่ากับ 3 %</t>
  </si>
  <si>
    <t>ภาษีโรงเรือน411-412</t>
  </si>
  <si>
    <t>ค่าเช่าน้ำแข็ง /เครื่องโม่</t>
  </si>
  <si>
    <t>นางมนูญ แซ่อึ่ง</t>
  </si>
  <si>
    <t>น้ำจืดล็อค 3</t>
  </si>
  <si>
    <t>นางสาวชาลินีย์ ท้วมเหลือ</t>
  </si>
  <si>
    <t>น้ำจืดล็อค 5</t>
  </si>
  <si>
    <t>นางฝัดติม๊ะ สะระวุด</t>
  </si>
  <si>
    <t>นายมฆะพันธ์  พัฒนกิจการสาร</t>
  </si>
  <si>
    <t>ค่าเช่าอาคาร1/30</t>
  </si>
  <si>
    <t>น.ส.อนาธี มะนอ</t>
  </si>
  <si>
    <t>ค่าเช่าอาคาร1/31</t>
  </si>
  <si>
    <t>นางอารีรัตน์ วงศ์โชติ</t>
  </si>
  <si>
    <t>น.ส.หวันยาเร๊าะ หีบเห็ม</t>
  </si>
  <si>
    <t>นางร่อมิอ๊ะ การะวรรณ</t>
  </si>
  <si>
    <t>นายมฆะพงษ์ พัฒนาหิจหารสาร</t>
  </si>
  <si>
    <t>สุขาภิบาลสุขาภิบาล1/30</t>
  </si>
  <si>
    <t>สุขาภิบาล1/31</t>
  </si>
  <si>
    <t>นางรอมิอ๊ะ การะวรรณ</t>
  </si>
  <si>
    <t>น้ำประปา1/30</t>
  </si>
  <si>
    <t>น้ำประปา 1/31</t>
  </si>
  <si>
    <t>นส.ภัทร์รวี สุวรรณเดชาพงค์</t>
  </si>
  <si>
    <t>น้ำประปา2/12</t>
  </si>
  <si>
    <t>นางเพ็ญจันทร์ ฤทธิภักดี</t>
  </si>
  <si>
    <t>น้ำประปา2/23</t>
  </si>
  <si>
    <t>น้ำประปา7/2-3</t>
  </si>
  <si>
    <t>น้ำประปาA/8</t>
  </si>
  <si>
    <t>นส.สำรวย เกษตรกาลาม์</t>
  </si>
  <si>
    <t>น้ำประปาร้านขายไก่ทอด</t>
  </si>
  <si>
    <t>ไฟฟ้า1/30</t>
  </si>
  <si>
    <t>ไฟฟ้า 1/31</t>
  </si>
  <si>
    <t>ไฟฟ้า2/12</t>
  </si>
  <si>
    <t>ไฟฟ้า2/23</t>
  </si>
  <si>
    <t>ไฟฟ้า7/2-3</t>
  </si>
  <si>
    <t>ไฟฟ้าอาคาร 2 ใช้ดองปลา</t>
  </si>
  <si>
    <t>ไฟฟ้าร้านขายไก่ทอด</t>
  </si>
  <si>
    <t>นางพรนภา สิทธิพงศ์</t>
  </si>
  <si>
    <t>อาคารช่วง 1 ล.67</t>
  </si>
  <si>
    <t>นางปิอะ  ลาเต๊ะ</t>
  </si>
  <si>
    <t>อาคารช่วง 2 ล.12,13</t>
  </si>
  <si>
    <t>สค.-ตค.66</t>
  </si>
  <si>
    <t>โรงบรรจุ ล.6,14</t>
  </si>
  <si>
    <t>โรงบรรจุ ล.25</t>
  </si>
  <si>
    <t>รอบบาดาล ล.2</t>
  </si>
  <si>
    <t>รอบบาดาล ล.13</t>
  </si>
  <si>
    <t>ตลาดเกษตร ล.27,29,31</t>
  </si>
  <si>
    <t>ตลาดเกษตร ล.38</t>
  </si>
  <si>
    <t>ค่าน้ำ อ.ช่วง2 ล.12,13</t>
  </si>
  <si>
    <t>ค่าน้ำ อ.โรงบรรจุ ล.25</t>
  </si>
  <si>
    <t>ค่าน้ำ รอบบ่อบาดาล 2</t>
  </si>
  <si>
    <t>ไฟฟ้า ตลาดเกษตร 
ล.27,29,31</t>
  </si>
  <si>
    <t>ไฟฟ้า ตลาดเกษตร ล.38</t>
  </si>
  <si>
    <t>สุขา อ.แปลง B 7</t>
  </si>
  <si>
    <t>สุขา ช่วง 2 ล.12,13</t>
  </si>
  <si>
    <t xml:space="preserve">  </t>
  </si>
  <si>
    <t>กย58-ธค.61</t>
  </si>
  <si>
    <t>นายชัยสมบัติ  หวานเย็น</t>
  </si>
  <si>
    <t>อุปกรณ์เกษตร</t>
  </si>
  <si>
    <t>พ.ย.66</t>
  </si>
  <si>
    <t>ค่าเช่าล็อคที่ 105</t>
  </si>
  <si>
    <t>ค่าเช่าล็อคที่ 106</t>
  </si>
  <si>
    <t>ก.ย.66-พ.ย.66</t>
  </si>
  <si>
    <t>นางสาวนิภา เกตุแก้ว</t>
  </si>
  <si>
    <t>ค่าเช่าล็อคที่ 118</t>
  </si>
  <si>
    <t>ค่าเช่าล็อคที่ 228</t>
  </si>
  <si>
    <t>ค่าเช่าล็อคที่ 229</t>
  </si>
  <si>
    <t>ค่าเช่าล็อคที่ 251</t>
  </si>
  <si>
    <t>นางสาวธนิดา ปิ่นณรงค์</t>
  </si>
  <si>
    <t>ค่าน้ำล็อคที่ 157</t>
  </si>
  <si>
    <t>ค่าน้ำล็อคที่ 181</t>
  </si>
  <si>
    <t>ค่ารักษามิเตอร์ ล็อคที่ 118</t>
  </si>
  <si>
    <t>ค่ารักษามิเตอร์ ล็อคที่ 226</t>
  </si>
  <si>
    <t>นางสาวนิภา เรืองศรี</t>
  </si>
  <si>
    <t>ค่ารักษามิเตอร์ ล็อคที่ 243</t>
  </si>
  <si>
    <t>ค่ารักษามิเตอร์ ล็อคที่ 251</t>
  </si>
  <si>
    <t>นส.ละออ จอมสุริยะ</t>
  </si>
  <si>
    <t>น้ำประปาดองปลา อ.2</t>
  </si>
  <si>
    <t>อาคารแปลง D ล.1,2,3</t>
  </si>
  <si>
    <t>อาคารแปลง D ล.5,6</t>
  </si>
  <si>
    <t>อาคารช่วง 2 ล.14</t>
  </si>
  <si>
    <t>อ.โรงดอง ล.9</t>
  </si>
  <si>
    <t>บริเวณซีแพคเก่า</t>
  </si>
  <si>
    <t>นางสาววานิดา   มอลอ</t>
  </si>
  <si>
    <t>ตลาดเกษตร ล.2</t>
  </si>
  <si>
    <t>ตลาดเกษตร ล.23</t>
  </si>
  <si>
    <t>ตลาดเกษตร ล.72,79</t>
  </si>
  <si>
    <t>นายสิทธิโชค  เฉลิมโชคปรีชา</t>
  </si>
  <si>
    <t>ค่าน้ำ อ.แปลง D 5,6</t>
  </si>
  <si>
    <t>ค่าน้ำ อ.ช่วง2 ล.14</t>
  </si>
  <si>
    <t>ค่าน้ำ โรงดอง ล.9</t>
  </si>
  <si>
    <t>ค่าน้ำ อ.ซีแพคเก่า</t>
  </si>
  <si>
    <t>ไฟฟ้า ตลาดเกษตร ล.2</t>
  </si>
  <si>
    <t>ไฟฟ้า ตลาดเกษตร ล.23</t>
  </si>
  <si>
    <t>ไฟฟ้า ตลาดเกษตร ล.72,79</t>
  </si>
  <si>
    <t>สุขา อ.แปลง D ล.1-3</t>
  </si>
  <si>
    <t>สุขา อ.แปลง D ล.5,6</t>
  </si>
  <si>
    <t>สุขา ช่วง 2 ล.14</t>
  </si>
  <si>
    <t>สุขาโรงดองข้าง สนง.ล.9</t>
  </si>
  <si>
    <t>นางสมลักษณ์ หมวดทิพย์</t>
  </si>
  <si>
    <t>สหภาพแรงงานรัฐวิสาหกิจ อสป.</t>
  </si>
  <si>
    <t>นายสุเรนทร์ หมวดทิพย์</t>
  </si>
  <si>
    <t>ไฟฟ้าพื้นที่ชั่วคราวล็อค23</t>
  </si>
  <si>
    <t>แพปลาคุณเร</t>
  </si>
  <si>
    <t>74/261 หมู่บ้านซิตี้โฮม ต.รัษฎา อ.เมือง จ.ภูเก็ต</t>
  </si>
  <si>
    <t>กย. 66-พย.66</t>
  </si>
  <si>
    <t>ตค.66-พย.66</t>
  </si>
  <si>
    <t>น.ส.ปาลีด๊ะห์ จิ (นายดลยาร์ สาแลบิง</t>
  </si>
  <si>
    <t>อาหาร ล.8</t>
  </si>
  <si>
    <t>จำหน่ายอาหาร12</t>
  </si>
  <si>
    <t>จำหน่ายอาหาร11</t>
  </si>
  <si>
    <t>นางสะอุเดาะ  มะมิง</t>
  </si>
  <si>
    <t>นายแจ่ม ไชยทิศ</t>
  </si>
  <si>
    <t>นางผ่องศรี มาชนา</t>
  </si>
  <si>
    <t>แพโชคอุดมชัย</t>
  </si>
  <si>
    <t>นายประชาธิป ราศีวิสทธิ์</t>
  </si>
  <si>
    <t xml:space="preserve">ค่าจำหน่ายน้ำประปา </t>
  </si>
  <si>
    <t>ธ.ค.66</t>
  </si>
  <si>
    <t>น้ำประปา2/4</t>
  </si>
  <si>
    <t>ไฟฟ้า2/4</t>
  </si>
  <si>
    <t>นายมนตรี ศิริตันหยง</t>
  </si>
  <si>
    <t>ค่าเช่าล็อคที่ 6</t>
  </si>
  <si>
    <t>นางสาวพัชรินทร์ ครองยุทธ</t>
  </si>
  <si>
    <t>ค่าเช่าล็อคที่ 20</t>
  </si>
  <si>
    <t>นายสุนทร ชาญสมร</t>
  </si>
  <si>
    <t>ค่าเช่าล็อคที่ 27</t>
  </si>
  <si>
    <t>ค่าเช่าล็อคที่ 39</t>
  </si>
  <si>
    <t>ค่าเช่าล็อคที่ 40</t>
  </si>
  <si>
    <t>นางจิราพร พร้อมสกุลเดช</t>
  </si>
  <si>
    <t>ค่าเช่าล็อคที่ 42</t>
  </si>
  <si>
    <t>นางสาวมณีรัตน์ ทองอ่วม</t>
  </si>
  <si>
    <t>ค่าเช่าล็อคที่ 68</t>
  </si>
  <si>
    <t>ค่าเช่าล็อคที่ 70</t>
  </si>
  <si>
    <t>ค่าเช่าล็อคที่ 79</t>
  </si>
  <si>
    <t>นางวรลักษณ์ เนตรสงคราม</t>
  </si>
  <si>
    <t>ค่าเช่าล็อคที่ 81</t>
  </si>
  <si>
    <t>นายชุมพล ผาติเสนะ</t>
  </si>
  <si>
    <t>ค่าเช่าล็อคที่ 88</t>
  </si>
  <si>
    <t>นางลัดดา สุขแผ่นทอง</t>
  </si>
  <si>
    <t>ค่าเช่าล็อคที่ 99</t>
  </si>
  <si>
    <t>ค่าเช่าล็อคที่ 102</t>
  </si>
  <si>
    <t>นางสาวกัลยา จันทร์เต็ม</t>
  </si>
  <si>
    <t>ค่าเช่าล็อคที่ 108</t>
  </si>
  <si>
    <t>ค่าเช่าล็อคที่ 120</t>
  </si>
  <si>
    <t>นายพิพัฒน์ อำพล</t>
  </si>
  <si>
    <t>ค่าเช่าล็อคที่ 121</t>
  </si>
  <si>
    <t>นางสาวนัฐยา เฉยศิริ</t>
  </si>
  <si>
    <t>ค่าเช่าล็อคที่ 225</t>
  </si>
  <si>
    <t>นางศิริพร ขันคลาย</t>
  </si>
  <si>
    <t>ค่าเช่าล็อคที่ 238</t>
  </si>
  <si>
    <t>ค่าเช่าล็อคที่ 243</t>
  </si>
  <si>
    <t>นายชัชวาลย์ พงษ์ยินดี</t>
  </si>
  <si>
    <t>ค่าเช่าล็อคที่ 244</t>
  </si>
  <si>
    <t>นางสุกัญญา พงษ์วุฒิธรรม</t>
  </si>
  <si>
    <t>ค่าเช่าล็อคที่ 246</t>
  </si>
  <si>
    <t>นางสาวยุภาพรรณ คติวานิช</t>
  </si>
  <si>
    <t>ค่าเช่าล็อคที่ 255</t>
  </si>
  <si>
    <t>นายประสิทธิ์ เนตรสงคราม</t>
  </si>
  <si>
    <t>ค่าเช่าล็อคที่ 262</t>
  </si>
  <si>
    <t>ค่าเช่าล็อคที่ 265</t>
  </si>
  <si>
    <t>นางศิริพรรณ เฉยศิริ</t>
  </si>
  <si>
    <t>ค่าเช่าล็อคที่ 266</t>
  </si>
  <si>
    <t>นางสาววรัญญา นันทกิจ</t>
  </si>
  <si>
    <t>ค่าเช่าล็อคที่ 269</t>
  </si>
  <si>
    <t>นางสาวสรินธร เอี่ยมสำอางค์</t>
  </si>
  <si>
    <t>ค่าเช่าล็อคที่ 270</t>
  </si>
  <si>
    <t>นางวันเพ็ญ เฟื่องฟูผล</t>
  </si>
  <si>
    <t>ค่าเช่าล็อคที่ 276</t>
  </si>
  <si>
    <t>นายเจริญสุข เอี่ยมอุสาหะ</t>
  </si>
  <si>
    <t>ค่าเช่าล็อคที่ 277</t>
  </si>
  <si>
    <t>นายวุฒิพงษ์ เฉยศิริ</t>
  </si>
  <si>
    <t>ค่าเช่าล็อคที่ 278</t>
  </si>
  <si>
    <t>นางสาวบุหงา นิลดาสี</t>
  </si>
  <si>
    <t>ค่าเช่าล็อคที่ 282</t>
  </si>
  <si>
    <t>นายธารินทร์ ศรีทอง</t>
  </si>
  <si>
    <t>ค่าเช่าล็อคที่ 284</t>
  </si>
  <si>
    <t>นางสาวอัปสร ศรีทอง</t>
  </si>
  <si>
    <t>ค่าเช่าล็อคที่ 286</t>
  </si>
  <si>
    <t>นางพรทิพย์ สุวรรณกิจ</t>
  </si>
  <si>
    <t>ค่าเช่าล็อคที่ 289</t>
  </si>
  <si>
    <t>นายทรงศักดิ์ สันหกรณ์</t>
  </si>
  <si>
    <t>ค่าเช่าล็อคที่ 290</t>
  </si>
  <si>
    <t>นายนวพร  แสงใหญ่</t>
  </si>
  <si>
    <t>ค่าเช่าล็อคที่ 296</t>
  </si>
  <si>
    <t>นางสาววิภาพร พร้อมสกุลเดช</t>
  </si>
  <si>
    <t>ค่าเช่าล็อคที่ 301</t>
  </si>
  <si>
    <t>นายนพเก้า เอี่ยมอุสาหะ</t>
  </si>
  <si>
    <t>ค่าเช่าล็อคที่ 316</t>
  </si>
  <si>
    <t>นายสมยศ สิงขาม</t>
  </si>
  <si>
    <t>ค่าน้ำล็อคที่ 258</t>
  </si>
  <si>
    <t>ค่าน้ำล็อคที่ 260</t>
  </si>
  <si>
    <t>ค่าน้ำล็อคที่ 315</t>
  </si>
  <si>
    <t>ค่ารักษามิเตอร์ ล็อคที่ 6</t>
  </si>
  <si>
    <t>ค่ารักษามิเตอร์ ล็อคที่ 20</t>
  </si>
  <si>
    <t>ค่ารักษามิเตอร์ ล็อคที่ 27</t>
  </si>
  <si>
    <t>ค่ารักษามิเตอร์ ล็อคที่ 40</t>
  </si>
  <si>
    <t>ค่ารักษามิเตอร์ ล็อคที่ 42</t>
  </si>
  <si>
    <t>ค่ารักษามิเตอร์ ล็อคที่ 60</t>
  </si>
  <si>
    <t>ค่ารักษามิเตอร์ ล็อคที่ 68</t>
  </si>
  <si>
    <t xml:space="preserve">นางจินตนา เวสารัตน์ </t>
  </si>
  <si>
    <t>ค่ารักษามิเตอร์ ล็อคที่ 79</t>
  </si>
  <si>
    <t>ค่ารักษามิเตอร์ ล็อคที่ 81</t>
  </si>
  <si>
    <t>ค่ารักษามิเตอร์ ล็อคที่ 85</t>
  </si>
  <si>
    <t>ค่ารักษามิเตอร์ ล็อคที่ 88</t>
  </si>
  <si>
    <t>ค่ารักษามิเตอร์ ล็อคที่ 99</t>
  </si>
  <si>
    <t>ค่ารักษามิเตอร์ ล็อคที่ 102</t>
  </si>
  <si>
    <t>ค่ารักษามิเตอร์ ล็อคที่ 105</t>
  </si>
  <si>
    <t>ค่ารักษามิเตอร์ ล็อคที่ 106</t>
  </si>
  <si>
    <t>ค่ารักษามิเตอร์ ล็อคที่ 108</t>
  </si>
  <si>
    <t>ค่ารักษามิเตอร์ ล็อคที่ 120</t>
  </si>
  <si>
    <t>ค่ารักษามิเตอร์ ล็อคที่ 121</t>
  </si>
  <si>
    <t>ค่ารักษามิเตอร์ ล็อคที่ 126</t>
  </si>
  <si>
    <t>ค่ารักษามิเตอร์ ล็อคที่ 225</t>
  </si>
  <si>
    <t>ค่ารักษามิเตอร์ ล็อคที่ 238</t>
  </si>
  <si>
    <t>ค่ารักษามิเตอร์ ล็อคที่ 244</t>
  </si>
  <si>
    <t>ค่ารักษามิเตอร์ ล็อคที่ 246</t>
  </si>
  <si>
    <t>ค่ารักษามิเตอร์ ล็อคที่ 255</t>
  </si>
  <si>
    <t>ค่ารักษามิเตอร์ ล็อคที่ 262</t>
  </si>
  <si>
    <t>ค่ารักษามิเตอร์ ล็อคที่ 265</t>
  </si>
  <si>
    <t>ค่ารักษามิเตอร์ ล็อคที่ 266</t>
  </si>
  <si>
    <t>ค่ารักษามิเตอร์ ล็อคที่ 269</t>
  </si>
  <si>
    <t>ค่ารักษามิเตอร์ ล็อคที่ 270</t>
  </si>
  <si>
    <t>ค่ารักษามิเตอร์ ล็อคที่ 276</t>
  </si>
  <si>
    <t>ค่ารักษามิเตอร์ ล็อคที่ 277</t>
  </si>
  <si>
    <t>ค่ารักษามิเตอร์ ล็อคที่ 278</t>
  </si>
  <si>
    <t>ค่ารักษามิเตอร์ ล็อคที่ 282</t>
  </si>
  <si>
    <t>ค่ารักษามิเตอร์ ล็อคที่ 284</t>
  </si>
  <si>
    <t>ค่ารักษามิเตอร์ ล็อคที่ 285</t>
  </si>
  <si>
    <t>ค่ารักษามิเตอร์ ล็อคที่ 286</t>
  </si>
  <si>
    <t>ค่ารักษามิเตอร์ ล็อคที่ 289</t>
  </si>
  <si>
    <t>ค่ารักษามิเตอร์ ล็อคที่ 296</t>
  </si>
  <si>
    <t>ค่ารักษามิเตอร์ ล็อคที่ 301</t>
  </si>
  <si>
    <t>ค่ารักษามิเตอร์ ล็อคที่ 316</t>
  </si>
  <si>
    <t>17 สค.64-17 สค.65'17สค65-17สค66,18 ส.ค.66 - 17 ส.ค.67</t>
  </si>
  <si>
    <t>ล็อคที่ 174</t>
  </si>
  <si>
    <t>ล็อคที่ 198</t>
  </si>
  <si>
    <t>นางสาวอามารี  สูเลาะ</t>
  </si>
  <si>
    <t>ตลาดเกษตร ล.1</t>
  </si>
  <si>
    <t>นายแวฮามิ   แวนุเซ็ง</t>
  </si>
  <si>
    <t>ตลาดเกษตร ล.3</t>
  </si>
  <si>
    <t>นางรอซือน๊ะ     สะมาแอ</t>
  </si>
  <si>
    <t>ตลาดเกษตร ล.
28,30,65,69,68</t>
  </si>
  <si>
    <t>ตลาดเกษตร ล.33,35</t>
  </si>
  <si>
    <t>ตลาดเกษตร ล.54</t>
  </si>
  <si>
    <t>ข้างสุขาภิบาล</t>
  </si>
  <si>
    <t>นางสาวรัชนี   กลับแดง</t>
  </si>
  <si>
    <t>ท่าเรือเล็ก</t>
  </si>
  <si>
    <t>ค่าธ.รถผ่านท่า</t>
  </si>
  <si>
    <t>ค่าน้ำ แปลง 14.8</t>
  </si>
  <si>
    <t>ไฟฟ้า ตลาดเกษตร ล.1</t>
  </si>
  <si>
    <t>ไฟฟ้า ตลาดเกษตร ล.3</t>
  </si>
  <si>
    <t>ไฟฟ้า ตลาดเกษตร ล.
28,30,65,69,68</t>
  </si>
  <si>
    <t>ไฟฟ้า ตลาดเกษตร ล.33,35</t>
  </si>
  <si>
    <t>สุขา อ.แปลง C ล.17-19</t>
  </si>
  <si>
    <t>บอกเลิกสัญญา กษ 1704.2/3007 ลว.16 กย.65</t>
  </si>
  <si>
    <t>ค่าเช่าตั้งโม่</t>
  </si>
  <si>
    <t>ค่าเช่าตั้งโม่ 4601100</t>
  </si>
  <si>
    <t>นายฉลอม สุขสมบูรณ์</t>
  </si>
  <si>
    <t>เนื้อที่ 76 ตรว.</t>
  </si>
  <si>
    <t>นางสาวชไมพร รัตนวาร</t>
  </si>
  <si>
    <t>ที่ดิน</t>
  </si>
  <si>
    <t>ไฟฟ้าพื้นที่ขั่วคราวล็อค12</t>
  </si>
  <si>
    <t>นายสุภาพ พิเชฐพงศ์ธร</t>
  </si>
  <si>
    <t>ไฟฟ้าพื้นที่ขั่วคราวล็อค27</t>
  </si>
  <si>
    <t>ไฟฟ้าพื้นที่ขั่วคราวล็อคA5</t>
  </si>
  <si>
    <t>น้ำแผงอาหาร</t>
  </si>
  <si>
    <t xml:space="preserve">นางสาวสุธาดา กลิ่นปทุม </t>
  </si>
  <si>
    <t>น้ำพื้นที่ขั่วคราวล็อค 12</t>
  </si>
  <si>
    <t xml:space="preserve">ค่าเช่าที่อื่นๆ </t>
  </si>
  <si>
    <t>- รายได้อยู่ระหว่างจัดเก็บ 1-30  วัน</t>
  </si>
  <si>
    <t>- รายได้อยู่ระหว่างจัดเก็บ 30 วันไม่เกิน 60 วัน</t>
  </si>
  <si>
    <t>ม.ค.67</t>
  </si>
  <si>
    <t>ค/ธ รถผ่านท่า</t>
  </si>
  <si>
    <t>นายสุเมธ คุ้มวงษ์(โกแมว-เจ๊ทุ่ม)</t>
  </si>
  <si>
    <t>นายสุเมธ คุ้มวงษ์ (โกแมว-เจ๊ทุ่ม)</t>
  </si>
  <si>
    <t>ล็อค A3</t>
  </si>
  <si>
    <t>บริษัท แน่นแฟ้น จำกัด โดยนายยุทธนา</t>
  </si>
  <si>
    <t>อาคารและที่ดินโรงงาน</t>
  </si>
  <si>
    <t>บริษัทพรานอันดามันทราเวลจำกัด</t>
  </si>
  <si>
    <t>นางสาวิตรี เหลืองอร่ามจิตร</t>
  </si>
  <si>
    <t>นายวรศักดิ์ วรรณะ</t>
  </si>
  <si>
    <t>นายอภิโชค ตันแต๋ว</t>
  </si>
  <si>
    <t>นางสาวสุจิตรา พินิจฉัย</t>
  </si>
  <si>
    <t>นางสาวสุรัตน แก้วสีเหลือง</t>
  </si>
  <si>
    <t>2/86-87 ม.1 ต.รัษฎา อ.เมือง จ.ภูเก็ต (คูหา 1 - 2)</t>
  </si>
  <si>
    <t>นายอนันต์ ทับสุวรรณ</t>
  </si>
  <si>
    <t>2/100-101 ม.1 ต.รัษฎา อ.เมือง จ.ภูเก็ต (คูหา 4 - 5)</t>
  </si>
  <si>
    <t>2</t>
  </si>
  <si>
    <t>3</t>
  </si>
  <si>
    <t>เนื้อที่ 16 ตรว.</t>
  </si>
  <si>
    <t>คุณยุภา  ชัยเฉลิมวุฒิพงศ์</t>
  </si>
  <si>
    <t>อาคารแผงลอย B ล.12</t>
  </si>
  <si>
    <t>โรงอาหาร 1 ชั้น ล.5,9</t>
  </si>
  <si>
    <t>โรงอาหาร 2 ชั้น ล.4</t>
  </si>
  <si>
    <t>โรงบรรจุ ล.20</t>
  </si>
  <si>
    <t>รอบบาดาล ล.11</t>
  </si>
  <si>
    <t>รอบบาดาล ล.12</t>
  </si>
  <si>
    <t>นายอรุณ   หมิเหร็ม</t>
  </si>
  <si>
    <t>ตลาดเกษตร ล.6</t>
  </si>
  <si>
    <t>ตลาดเกษตร ล.14</t>
  </si>
  <si>
    <t>ตลาดเกษตร ล.36</t>
  </si>
  <si>
    <t>ตลาดเกษตร ล.37</t>
  </si>
  <si>
    <t>ตลาดเกษตร ล.55</t>
  </si>
  <si>
    <t>นายนิอาบัส  นิกะจิ</t>
  </si>
  <si>
    <t>ตลาดเกษตร ล.57</t>
  </si>
  <si>
    <t>ตลาดเกษตร ล.64</t>
  </si>
  <si>
    <t>ตลาดเกษตร ล.67</t>
  </si>
  <si>
    <t>ตลาดเกษตร ล.71</t>
  </si>
  <si>
    <t xml:space="preserve">นายมะรอปี โตะเฮง </t>
  </si>
  <si>
    <t>ตค.66</t>
  </si>
  <si>
    <t>ค่าน้ำ อ.แผงลอยบี 12</t>
  </si>
  <si>
    <t>นางศรีสมร  อุดมเดช</t>
  </si>
  <si>
    <t>ค่าน้ำ โรงอาหาร 2 ชั้น ล.4</t>
  </si>
  <si>
    <t>นายว้า  หิรัณย์รักษ์</t>
  </si>
  <si>
    <t>ไฟฟ้า ตลาดเกษตร ล.6</t>
  </si>
  <si>
    <t>ไฟฟ้า ตลาดเกษตร ล.14</t>
  </si>
  <si>
    <t>ไฟฟ้า ตลาดเกษตร ล.36</t>
  </si>
  <si>
    <t>ไฟฟ้า ตลาดเกษตร ล.55</t>
  </si>
  <si>
    <t>ไฟฟ้า ตลาดเกษตร ล.57</t>
  </si>
  <si>
    <t>ไฟฟ้า ตลาดเกษตร ล.67</t>
  </si>
  <si>
    <t>สุขา อ.แปลง B 11,12</t>
  </si>
  <si>
    <t>สุขา แผงลอย บี 12</t>
  </si>
  <si>
    <t>สุขาโรงอาหาร 1 ชั้น ล.5,9</t>
  </si>
  <si>
    <t>สุขาโรงอาหาร 2 ชั้น ล.4</t>
  </si>
  <si>
    <t>คุณบาฮารู   มูซอ   บอกเลิกสัญญา กษ 1704.2/3007 ลว.16 กย.65</t>
  </si>
  <si>
    <t>นายศุภชัย ทองนวล</t>
  </si>
  <si>
    <t xml:space="preserve">นางสาวอันชัน ปั่นมี </t>
  </si>
  <si>
    <t>ลานจอดรถล็อค16</t>
  </si>
  <si>
    <t>ใช้สถานที่จำหน่ายก๋วยเตี๋ยว</t>
  </si>
  <si>
    <t>ไฟฟ้าพื้นที่ขั่วคราวล็อค13</t>
  </si>
  <si>
    <t>นายสุรชัย ผลเวช</t>
  </si>
  <si>
    <t>ค่าสุขา ย่อย 7</t>
  </si>
  <si>
    <t>นายมูฮำหมัด เบ็ญโส๊ะ</t>
  </si>
  <si>
    <t>รถผ่านท่า งขบ-726</t>
  </si>
  <si>
    <t>นางกนกวรรณ สำราญเจริญสุข</t>
  </si>
  <si>
    <t>รถผ่านท่า ครค-521</t>
  </si>
  <si>
    <t>รถผ่านท่า คขท-160</t>
  </si>
  <si>
    <t>นางจรัสศรี สวัสดิรักษา</t>
  </si>
  <si>
    <t>น้ำประปา2/17</t>
  </si>
  <si>
    <t>ไฟฟ้า2/17</t>
  </si>
  <si>
    <t>นางสธนธร โชติวรธนิน</t>
  </si>
  <si>
    <t>เช่าอาหาร 9</t>
  </si>
  <si>
    <t>นายมารุต ทับดารา</t>
  </si>
  <si>
    <t>ค่าเช่าล็อคที่ 8</t>
  </si>
  <si>
    <t>นางสาวสุกัญญา กองสุข</t>
  </si>
  <si>
    <t>ค่าเช่าล็อคที่ 36</t>
  </si>
  <si>
    <t>นางนวลน้อย นันทกิจ</t>
  </si>
  <si>
    <t>ค่าเช่าล็อคที่ 57</t>
  </si>
  <si>
    <t>นายปิยะวัฒน์ เอี่ยมอุสาหะ</t>
  </si>
  <si>
    <t>ค่าเช่าล็อคที่ 109</t>
  </si>
  <si>
    <t>นางสาวอนงค์อร มัติโก</t>
  </si>
  <si>
    <t>ค่าเช่าล็อคที่ 215</t>
  </si>
  <si>
    <t>นางนภา ยังทรัพย์</t>
  </si>
  <si>
    <t>ค่าเช่าล็อคที่ 217</t>
  </si>
  <si>
    <t>นายพรชัย กลิ่นบุปผา</t>
  </si>
  <si>
    <t>ค่าเช่าล็อคที่ 221</t>
  </si>
  <si>
    <t>นางรำพึง  พรหมเต็ม</t>
  </si>
  <si>
    <t>ค่าเช่าล็อคที่ 247</t>
  </si>
  <si>
    <t>นางกานต์ชนา  คงฤทธิ์ระจัน</t>
  </si>
  <si>
    <t>นายคมสัน ทับดารา</t>
  </si>
  <si>
    <t>ค่าเช่าล็อคที่ 268</t>
  </si>
  <si>
    <t>นางสาวพิมพ์ชนก ดวงเฉลิม</t>
  </si>
  <si>
    <t>นางรุ่งทิพย์ จันทร</t>
  </si>
  <si>
    <t>ค่าเช่าล็อคที่ 310</t>
  </si>
  <si>
    <t>ค่าเช่าล็อคที่ S1</t>
  </si>
  <si>
    <t xml:space="preserve">ค่าเช่าล็อคที่ S2 </t>
  </si>
  <si>
    <t>ค่าเช่าล็อคที่ S4</t>
  </si>
  <si>
    <t xml:space="preserve">ค่าเช่าล็อคที่ S6 </t>
  </si>
  <si>
    <t xml:space="preserve">ค่าเช่าล็อคที่ S7 </t>
  </si>
  <si>
    <t xml:space="preserve">ค่าเช่าล็อคที่ S16 </t>
  </si>
  <si>
    <t>ค่าเช่าล็อคที่ S21</t>
  </si>
  <si>
    <t>ค่าน้ำล็อคที่ 22</t>
  </si>
  <si>
    <t>ต.ค.66,ธ.ค.66-ม.ค.67</t>
  </si>
  <si>
    <t>ค่าน้ำล็อคที่ 231</t>
  </si>
  <si>
    <t xml:space="preserve">ค่าน้ำล็อคที่ S4 </t>
  </si>
  <si>
    <t>ค่ารักษามิเตอร์ ล็อคที่ 8</t>
  </si>
  <si>
    <t>ค่ารักษามิเตอร์ ล็อคที่ 36</t>
  </si>
  <si>
    <t>ค่ารักษามิเตอร์ ล็อคที่ 57</t>
  </si>
  <si>
    <t>ค่ารักษามิเตอร์ ล็อคที่ 87</t>
  </si>
  <si>
    <t>ค่ารักษามิเตอร์ ล็อคที่ 103</t>
  </si>
  <si>
    <t>ค่ารักษามิเตอร์ ล็อคที่ 215</t>
  </si>
  <si>
    <t>ค่ารักษามิเตอร์ ล็อคที่ 217</t>
  </si>
  <si>
    <t>ค่ารักษามิเตอร์ ล็อคที่ 221</t>
  </si>
  <si>
    <t>ค่ารักษามิเตอร์ ล็อคที่ 239</t>
  </si>
  <si>
    <t>ค่ารักษามิเตอร์ ล็อคที่ 247</t>
  </si>
  <si>
    <t>ค่ารักษามิเตอร์ ล็อคที่ 268</t>
  </si>
  <si>
    <t>ค่ารักษามิเตอร์ ล็อคที่ 271</t>
  </si>
  <si>
    <t>ค่ารักษามิเตอร์ ล็อคที่ 310</t>
  </si>
  <si>
    <t>ค่ารักษามิเตอร์ ล็อคที่ S1</t>
  </si>
  <si>
    <t xml:space="preserve">ค่ารักษามิเตอร์ ล็อคที่ S2 </t>
  </si>
  <si>
    <t xml:space="preserve">ค่ารักษามิเตอร์ ล็อคที่ S6 </t>
  </si>
  <si>
    <t xml:space="preserve">ค่ารักษามิเตอร์ ล็อคที่ S7 </t>
  </si>
  <si>
    <t>เม.ย.65-ก.ค.66</t>
  </si>
  <si>
    <t>มี.ค.65-ก.ค.66</t>
  </si>
  <si>
    <t>ก.พ.65-ก.ย.66</t>
  </si>
  <si>
    <t>ส.ค.66-ต.ค.66</t>
  </si>
  <si>
    <t>ต.ค.65-ก.ค.66</t>
  </si>
  <si>
    <t>ก.พ.66-ต.ค.66</t>
  </si>
  <si>
    <t>ธ.ค.65-ต.ค.66</t>
  </si>
  <si>
    <t>ส.ค.65-ต.ค.65</t>
  </si>
  <si>
    <t>ก.ย.65-พ.ค.66</t>
  </si>
  <si>
    <t>นางสาวชุติมา ไทยกำเนิด</t>
  </si>
  <si>
    <t>ค่าเช่าล็อคที่ 75</t>
  </si>
  <si>
    <t>ก.พ.66-ก.ย.66</t>
  </si>
  <si>
    <t>ธ.ค.65-ก.ค.66</t>
  </si>
  <si>
    <t>เม.ย.65-ต.ค.65</t>
  </si>
  <si>
    <t>ม.ค.66-ต.ค.66</t>
  </si>
  <si>
    <t>ก.พ.65-พ.ค.66</t>
  </si>
  <si>
    <t>เม.ย.65-มี.ค.66</t>
  </si>
  <si>
    <t>ก.ค.65-มี.ค.66</t>
  </si>
  <si>
    <t>มิ.ย.65-มี.ค.66</t>
  </si>
  <si>
    <t>ก.ย.66-ต.ค.66</t>
  </si>
  <si>
    <t>ก.ค.66 - ต.ค.66</t>
  </si>
  <si>
    <t>พ.ย.65-มี.ค.66</t>
  </si>
  <si>
    <t>เม.ย.66-ต.ค.66</t>
  </si>
  <si>
    <t>พ.ค.65-มี.ค.66</t>
  </si>
  <si>
    <t>ม.ค.66-มิ.ย.66</t>
  </si>
  <si>
    <t>มี.ค.65(บางส่วน)-ส.ค.66</t>
  </si>
  <si>
    <t>ต.ค.65-ส.ค.66</t>
  </si>
  <si>
    <t>พ.ค.65/ก.ย.65-ส.ค.66</t>
  </si>
  <si>
    <t>มี.ค.65,-พ.ค.65,ก.ค.65-ก.ค.66,ต.ค.66</t>
  </si>
  <si>
    <t>พ.ย.65-ก.พ.66,เม.ย.66-ต.ค.66</t>
  </si>
  <si>
    <t>ม.ค.65-ส.ค.66</t>
  </si>
  <si>
    <t>ต.ค.65-ธ.ค.65,ก.พ.66-ส.ค.66</t>
  </si>
  <si>
    <t>มิ.ย.65-ก.ย.66</t>
  </si>
  <si>
    <t>ต.ค.66</t>
  </si>
  <si>
    <t>พ.ค.66,ก.ค.-ส.ค.66</t>
  </si>
  <si>
    <t>พ.ค./ก.ค.65-พ.ค.66</t>
  </si>
  <si>
    <t>ค่ารักษามิเตอร์ ล็อคที่ 75</t>
  </si>
  <si>
    <t>ธ.ค.65-มิ.ย.66,ส.ค.66</t>
  </si>
  <si>
    <t>ก.พ.66-มี.ค.66</t>
  </si>
  <si>
    <t>ส.ค.65-มี.ค.66</t>
  </si>
  <si>
    <t>มี.ค.66-พ.ค.66</t>
  </si>
  <si>
    <t>มี.ค.65-ก.ค.65,ต.ค.65-มี.ค.66</t>
  </si>
  <si>
    <t>ม.ค.65-ก.ค.66</t>
  </si>
  <si>
    <t>มี.ค.65,ก.พ.66-ก.ย.66</t>
  </si>
  <si>
    <t>พ.ค.66,ก.ค.66-ส.ค.66</t>
  </si>
  <si>
    <t>เม.ย.66-ก.ย.66</t>
  </si>
  <si>
    <t>ก.ค.65-ก.ย.66</t>
  </si>
  <si>
    <t>ก.ค.65-ก.ค.66</t>
  </si>
  <si>
    <t>ก.ค.66-ก.ย.66</t>
  </si>
  <si>
    <t>มิ.ย.65-ก.ค.66</t>
  </si>
  <si>
    <t>พ.ค.65-ก.ค.65,ก.ย.65-ก.ย.66</t>
  </si>
  <si>
    <t>พ.ค.65,ก.ค.65-ก.ค.66</t>
  </si>
  <si>
    <t>พ.ค.65-ก.ค.66</t>
  </si>
  <si>
    <t>ก.พ.65-ก.ค.66</t>
  </si>
  <si>
    <t>ธ.ค.65-พ.ย.66</t>
  </si>
  <si>
    <t>-หนี้บอกเลิกสัญญา</t>
  </si>
  <si>
    <t>ก.พ.67</t>
  </si>
  <si>
    <t>นายทักษิณ  สุภาพ</t>
  </si>
  <si>
    <t>นายทองพูน แก้วอ่องคำ</t>
  </si>
  <si>
    <t>นายปภาวิน ทองพยงค์</t>
  </si>
  <si>
    <t>นายชัยพร ธีระทีป</t>
  </si>
  <si>
    <t>ค่าเช่าล็อคที่ 2</t>
  </si>
  <si>
    <t>ม.ค.67-ก.พ.67</t>
  </si>
  <si>
    <t>นายอนันต์ โพธิโชติ</t>
  </si>
  <si>
    <t>ค่าเช่าล็อคที่ 34</t>
  </si>
  <si>
    <t>นางวัชรา โพธิโชติ</t>
  </si>
  <si>
    <t>ค่าเช่าล็อคที่ 61</t>
  </si>
  <si>
    <t>นางบังเอิญ  มณีโชติ</t>
  </si>
  <si>
    <t>ค่าน้ำล็อคที่ 67</t>
  </si>
  <si>
    <t>ค่ารักษามิเตอร์ ล็อคที่ 2</t>
  </si>
  <si>
    <t>ค่ารักษามิเตอร์ ล็อคที่ 11</t>
  </si>
  <si>
    <t>ค่ารักษามิเตอร์ ล็อคที่ 34</t>
  </si>
  <si>
    <t>ค่ารักษามิเตอร์ ล็อคที่ 61</t>
  </si>
  <si>
    <t>ค่ารักษามิเตอร์ ล็อคที่ 92</t>
  </si>
  <si>
    <t>ค่ารักษามิเตอร์ ล็อคที่ 94</t>
  </si>
  <si>
    <t>ค่ารักษามิเตอร์ ล็อคที่ 98</t>
  </si>
  <si>
    <t>ค่ารักษามิเตอร์ ล็อคที่ 109</t>
  </si>
  <si>
    <t>ค่ารักษามิเตอร์ ล็อคที่ 115</t>
  </si>
  <si>
    <t>ค่ารักษามิเตอร์ ล็อคที่ 216</t>
  </si>
  <si>
    <t>ค่ารักษามิเตอร์ ล็อคที่ 242</t>
  </si>
  <si>
    <t>ค่ารักษามิเตอร์ ล็อคที่ 272</t>
  </si>
  <si>
    <t>ค่ารักษามิเตอร์ ล็อคที่ 288</t>
  </si>
  <si>
    <t>ค่ารักษามิเตอร์ ล็อคที่ 297</t>
  </si>
  <si>
    <t>นายรชต ตราชูวณิช</t>
  </si>
  <si>
    <t>ค่าเช่าล็อคที่ 15</t>
  </si>
  <si>
    <t>มี.ค.65-ธ.ค.66</t>
  </si>
  <si>
    <t>นางสาวอภิชญา เต๊ะอั๊น</t>
  </si>
  <si>
    <t>ค่าเช่าล็อคที่ 18</t>
  </si>
  <si>
    <t>มิ.ย.65-ต.ค.66</t>
  </si>
  <si>
    <t>ค่ารักษามิเตอร์ ล็อคที่ 15</t>
  </si>
  <si>
    <t>ก.พ.65-ธ.ค.66</t>
  </si>
  <si>
    <t>ค่ารักษามิเตอร์ ล็อคที่ 18</t>
  </si>
  <si>
    <t>ค่ารักษามิเตอร์ ล็อคที่ 7</t>
  </si>
  <si>
    <t>ค่ารักษามิเตอร์ ล็อคที่ 23</t>
  </si>
  <si>
    <t>ค่ารักษามิเตอร์ ล็อคที่ 30</t>
  </si>
  <si>
    <t>ค่ารักษามิเตอร์ ล็อคที่ 69</t>
  </si>
  <si>
    <t>ค่ารักษามิเตอร์ ล็อคที่ 86</t>
  </si>
  <si>
    <t>ค่ารักษามิเตอร์ ล็อคที่ 119</t>
  </si>
  <si>
    <t>ค่ารักษามิเตอร์ ล็อคที่ 128</t>
  </si>
  <si>
    <t>ค่ารักษามิเตอร์ ล็อคที่ 129</t>
  </si>
  <si>
    <t>ค่ารักษามิเตอร์ ล็อคที่ 218</t>
  </si>
  <si>
    <t>เม.ย.66-ส.ค.66</t>
  </si>
  <si>
    <t>ค่ารักษามิเตอร์ ล็อคที่ 220</t>
  </si>
  <si>
    <t>ค่ารักษามิเตอร์ ล็อคที่ 267</t>
  </si>
  <si>
    <t>ค่ารักษามิเตอร์ ล็อคที่ 283</t>
  </si>
  <si>
    <t>ส.ค.65-ก.ค.66</t>
  </si>
  <si>
    <t>ค่ารักษามิเตอร์ ล็อคที่ 308</t>
  </si>
  <si>
    <t>ค่ารักษามิเตอร์ ล็อคที่ 311</t>
  </si>
  <si>
    <t>ค่ารักษามิเตอร์ ล็อคที่ 312</t>
  </si>
  <si>
    <t>ค่ารักษามิเตอร์ ล็อคที่ 318</t>
  </si>
  <si>
    <t>อาคารแปลง E ล.13</t>
  </si>
  <si>
    <t>นางวัชรี  เลิศสุรวัฒน์</t>
  </si>
  <si>
    <t>อาคารช่วง 1 ล.37</t>
  </si>
  <si>
    <t>นายอุดมศักดิ์   คุรุปรีชารักษ์</t>
  </si>
  <si>
    <t>ใต้ถุนสนง. ล.21,22</t>
  </si>
  <si>
    <t>นางสาวอรวรรณ แซเจียม</t>
  </si>
  <si>
    <t>อาคารแปลง E ล.12</t>
  </si>
  <si>
    <t>นางสาวณัชปภา  ล้วนเล็ก</t>
  </si>
  <si>
    <t>นางวัชรี  ศรีทองนวล</t>
  </si>
  <si>
    <t>นายวรุต  ชคทิศ</t>
  </si>
  <si>
    <t>นายสุรศักดิ์  ศรีทองนวล</t>
  </si>
  <si>
    <t>นางจุฑารัตน์  มโนมัยเสถียร</t>
  </si>
  <si>
    <t>นางสาวชนิสรา ศรีทองนวล</t>
  </si>
  <si>
    <t>ค่าธรรมเนียมน้ำแข็งผ่านท่า 46000400</t>
  </si>
  <si>
    <t>สรุปรายงานสำรองค่าเผื่อหนี้สูญ</t>
  </si>
  <si>
    <t>มี.ค.67</t>
  </si>
  <si>
    <t>นางสาวศุภกรณ์ แก้วแก่น (รับสภาพหนี้)</t>
  </si>
  <si>
    <t>ลานจอดรถล็อค32,33,34</t>
  </si>
  <si>
    <t>นางสาวศุภกรณ์ แก้วแก่น</t>
  </si>
  <si>
    <t>ลานจอดรถล็อค34</t>
  </si>
  <si>
    <t>กพ.66-ธค.66</t>
  </si>
  <si>
    <t>ค่าเช่าล็อคที่ 131</t>
  </si>
  <si>
    <t>นายอนันต์ มณีศรี</t>
  </si>
  <si>
    <t>ค่าเช่าล็อคที่ 224</t>
  </si>
  <si>
    <t>ค่าเช่าล็อคที่ 230</t>
  </si>
  <si>
    <t>นางธิชาภัทร์ เจริญพงรุ่งโรจน์</t>
  </si>
  <si>
    <t>ค่าเช่าล็อคที่ 237</t>
  </si>
  <si>
    <t>นางฒมิกา ลี</t>
  </si>
  <si>
    <t>ค่าเช่าล็อคที่ 256</t>
  </si>
  <si>
    <t>นางพูลสุข สร้อยคีรี</t>
  </si>
  <si>
    <t>ค่าเช่าล็อคที่ 292</t>
  </si>
  <si>
    <t>นางปาริฉัตร พุทธธรรมธร</t>
  </si>
  <si>
    <t>ค่าเช่าล็อคที่ 293</t>
  </si>
  <si>
    <t>ม.ค.66-ก.พ.66/เม.ย.66-ก.ค.66</t>
  </si>
  <si>
    <t>ค่าน้ำล็อคที่ 137</t>
  </si>
  <si>
    <t>นางสาววัลภา เจริญก่อบุญ</t>
  </si>
  <si>
    <t>ค่าน้ำล็อคที่ 291</t>
  </si>
  <si>
    <t>ค่ารักษามิเตอร์ ล็อคที่ 3</t>
  </si>
  <si>
    <t>ค่ารักษามิเตอร์ ล็อคที่ 114</t>
  </si>
  <si>
    <t>ค่ารักษามิเตอร์ ล็อคที่ 131</t>
  </si>
  <si>
    <t>ค่ารักษามิเตอร์ ล็อคที่ 224</t>
  </si>
  <si>
    <t>ค่ารักษามิเตอร์ ล็อคที่ 230</t>
  </si>
  <si>
    <t>ค่ารักษามิเตอร์ ล็อคที่ 237</t>
  </si>
  <si>
    <t>ค่ารักษามิเตอร์ ล็อคที่ 256</t>
  </si>
  <si>
    <t>ค่ารักษามิเตอร์ ล็อคที่ 292</t>
  </si>
  <si>
    <t>ค่ารักษามิเตอร์ ล็อคที่ 293</t>
  </si>
  <si>
    <t>นางอุทุมพร นันทกิจ</t>
  </si>
  <si>
    <t>ล็อคที่ 131</t>
  </si>
  <si>
    <t>นางสาวอังค์วรา ศริ</t>
  </si>
  <si>
    <t>ค่าเช่าล็อคที่ 35</t>
  </si>
  <si>
    <t>ค่ารักษามิเตอร์ ล็อคที่ 35</t>
  </si>
  <si>
    <t>ค่าน้ำล็อคที่ 35</t>
  </si>
  <si>
    <t>ล็อคที่ 35</t>
  </si>
  <si>
    <t>ก.ค.65(บางส่วน)-พ.ค.66</t>
  </si>
  <si>
    <t>รับชำระ</t>
  </si>
  <si>
    <t>เม.ย.67</t>
  </si>
  <si>
    <t>ลานจอดรถล็อค6</t>
  </si>
  <si>
    <t>ค่าน้ำล็อคที่ 4</t>
  </si>
  <si>
    <t>พ.ย.66-ก.พ.67,เม.ย.67</t>
  </si>
  <si>
    <t>นางมลิวัลย์ สาครรัตน์</t>
  </si>
  <si>
    <t>ค่าน้ำล็อคที่ 211</t>
  </si>
  <si>
    <t>ค่ารักษามิเตอร์ ล็อคที่ 113</t>
  </si>
  <si>
    <t xml:space="preserve">ค่ารักษามิเตอร์ ล็อคที่ S4 </t>
  </si>
  <si>
    <t>นางจันทร์จิรา สันหกรณ์</t>
  </si>
  <si>
    <t>ค่าน้ำล็อคที่ 145</t>
  </si>
  <si>
    <t>ค่ารักษามิเตอร์ ล็อคที่ 258</t>
  </si>
  <si>
    <t>นางสาวเมทิกา สุณัฐชามณิกา</t>
  </si>
  <si>
    <t>ค่าเช่าล็อคที่ 53</t>
  </si>
  <si>
    <t>นายไตรทศ ยังทรัพย์</t>
  </si>
  <si>
    <t>ค่าเช่าล็อคที่ 84</t>
  </si>
  <si>
    <t>นางสาวบงกช โรจน์ศิริกุลชัย</t>
  </si>
  <si>
    <t>นายนิเวศน์ ไทยอารี</t>
  </si>
  <si>
    <t>ค่าเช่าล็อคที่ 91</t>
  </si>
  <si>
    <t>นายศุภอัฐ ยังทรัพย์</t>
  </si>
  <si>
    <t>ค่าเช่าล็อคที่ 93</t>
  </si>
  <si>
    <t>นายเอกลักษณ์ มณีโชติ</t>
  </si>
  <si>
    <t>ค่าเช่าล็อคที่ 219</t>
  </si>
  <si>
    <t>นางสุดารัตน์ วัฒนะอินทร์</t>
  </si>
  <si>
    <t>ค่าเช่าล็อคที่ 279</t>
  </si>
  <si>
    <t>นางณชาพัธ นันทกิจ</t>
  </si>
  <si>
    <t>ค่าเช่าล็อคที่ 281</t>
  </si>
  <si>
    <t>ค่าเช่าล็อคที่ 298</t>
  </si>
  <si>
    <t>ค่าน้ำล็อคที่ 228</t>
  </si>
  <si>
    <t>ค่ารักษามิเตอร์ ล็อคที่ 90</t>
  </si>
  <si>
    <t>ค่ารักษามิเตอร์ ล็อคที่ 91</t>
  </si>
  <si>
    <t>ค่ารักษามิเตอร์ ล็อคที่ 95</t>
  </si>
  <si>
    <t>ค่ารักษามิเตอร์ ล็อคที่ 133</t>
  </si>
  <si>
    <t>ค่ารักษามิเตอร์ ล็อคที่ 219</t>
  </si>
  <si>
    <t>ค่ารักษามิเตอร์ ล็อคที่ 228</t>
  </si>
  <si>
    <t>ค่ารักษามิเตอร์ ล็อคที่ 298</t>
  </si>
  <si>
    <t>สค.-กย.60</t>
  </si>
  <si>
    <t xml:space="preserve">  มีค.65-ตค.66</t>
  </si>
  <si>
    <t>คุณอับดุลอาซิ จะปะกิยา บอกเลิกสัญญา กษ 1704.2/3007 ลว.16 กย.65</t>
  </si>
  <si>
    <t>ก.ค.67</t>
  </si>
  <si>
    <t>มิ.ย.67-ก.ค.67</t>
  </si>
  <si>
    <t>นางอิสรีย์   ทองแก้ว</t>
  </si>
  <si>
    <t>ค่าน้ำ อ.ช่วง2 ล.10,11</t>
  </si>
  <si>
    <t>สุขาโรงดองข้าง สนง.ล.5</t>
  </si>
  <si>
    <t>มี.ค.67-ก.ค.67</t>
  </si>
  <si>
    <t>พ.ค.67-ก.ค.67</t>
  </si>
  <si>
    <t>นายมงคลชัย ขนุนทอง</t>
  </si>
  <si>
    <t>ค่าเช่าล็อคที่ 250</t>
  </si>
  <si>
    <t>นายอริณชัย ละวะนาวิก</t>
  </si>
  <si>
    <t>ค่าน้ำล็อคที่ 201</t>
  </si>
  <si>
    <t>ค่ารักษามิเตอร์ ล็อคที่ 83</t>
  </si>
  <si>
    <t>ค่ารักษามิเตอร์ ล็อคที่ 116</t>
  </si>
  <si>
    <t>ค่ารักษามิเตอร์ ล็อคที่ 250</t>
  </si>
  <si>
    <t>ส.ค.67</t>
  </si>
  <si>
    <t xml:space="preserve">               </t>
  </si>
  <si>
    <t xml:space="preserve"> </t>
  </si>
  <si>
    <t>ค่าเช่าล็อคที่ 137</t>
  </si>
  <si>
    <t>ค่าน้ำล็อคที่ 103</t>
  </si>
  <si>
    <t>ค่าน้ำล็อคที่ 284</t>
  </si>
  <si>
    <t>ค่ารักษามิเตอร์ ล็อคที่ 229</t>
  </si>
  <si>
    <t>ค่ารักษามิเตอร์ ล็อคที่ 290</t>
  </si>
  <si>
    <t>1 ปี</t>
  </si>
  <si>
    <t>ผ่อนชำระน้ำแข็งผ่านท่า</t>
  </si>
  <si>
    <t>ค่าเช่าอาคารและสถานที่</t>
  </si>
  <si>
    <t>นายธัญญา  ศิริรัตน์</t>
  </si>
  <si>
    <t>นางสาวอรวรรณ  เหมราช</t>
  </si>
  <si>
    <t>นายเกียรติพฬ คำดี</t>
  </si>
  <si>
    <t>มิ.ย.67-ก.ค.67,กย.67</t>
  </si>
  <si>
    <t>นายชุมพล  ยุติธรรม</t>
  </si>
  <si>
    <t>ค่าน้ำล็อคที่ 159</t>
  </si>
  <si>
    <t>นายกฤติกา มณีรัตน์</t>
  </si>
  <si>
    <t>ค่ารักษามิเตอร์ ล็อคที่ 48</t>
  </si>
  <si>
    <t>ล็อคที่ 1</t>
  </si>
  <si>
    <t>ล็อคที่ 2</t>
  </si>
  <si>
    <t>ล็อคที่ 3</t>
  </si>
  <si>
    <t>ล็อคที่ 4</t>
  </si>
  <si>
    <t>ล็อคที่ 5</t>
  </si>
  <si>
    <t>ล็อคที่ 6</t>
  </si>
  <si>
    <t>ล็อคที่ 8</t>
  </si>
  <si>
    <t>ล็อคที่ 10</t>
  </si>
  <si>
    <t>ล็อคที่ 11</t>
  </si>
  <si>
    <t>ล็อคที่ 12</t>
  </si>
  <si>
    <t>ล็อคที่ 13</t>
  </si>
  <si>
    <t>ล็อคที่ 14</t>
  </si>
  <si>
    <t>ล็อคที่ 16</t>
  </si>
  <si>
    <t>ล็อคที่ 17</t>
  </si>
  <si>
    <t>ล็อคที่ 20</t>
  </si>
  <si>
    <t>ล็อคที่ 21</t>
  </si>
  <si>
    <t>ล็อคที่ 22</t>
  </si>
  <si>
    <t>ล็อคที่ 24</t>
  </si>
  <si>
    <t>ล็อคที่ 25</t>
  </si>
  <si>
    <t>ล็อคที่ 26</t>
  </si>
  <si>
    <t>ล็อคที่ 27</t>
  </si>
  <si>
    <t>ล็อคที่ 29</t>
  </si>
  <si>
    <t>ล็อคที่ 31</t>
  </si>
  <si>
    <t>ล็อคที่ 32</t>
  </si>
  <si>
    <t>ล็อคที่ 33</t>
  </si>
  <si>
    <t>ล็อคที่ 34</t>
  </si>
  <si>
    <t>ล็อคที่ 36</t>
  </si>
  <si>
    <t>ล็อคที่ 37</t>
  </si>
  <si>
    <t>ล็อคที่ 40</t>
  </si>
  <si>
    <t>ล็อคที่ 41</t>
  </si>
  <si>
    <t>ล็อคที่ 42</t>
  </si>
  <si>
    <t>ล็อคที่ 43</t>
  </si>
  <si>
    <t>ล็อคที่ 44</t>
  </si>
  <si>
    <t>ล็อคที่ 45</t>
  </si>
  <si>
    <t>ล็อคที่ 46</t>
  </si>
  <si>
    <t>ล็อคที่ 47</t>
  </si>
  <si>
    <t>ล็อคที่ 56</t>
  </si>
  <si>
    <t>ล็อคที่ 57</t>
  </si>
  <si>
    <t>ล็อคที่ 60</t>
  </si>
  <si>
    <t>ล็อคที่ 61</t>
  </si>
  <si>
    <t>ล็อคที่ 64</t>
  </si>
  <si>
    <t>ล็อคที่ 68</t>
  </si>
  <si>
    <t>ล็อคที่ 71</t>
  </si>
  <si>
    <t>ล็อคที่ 72</t>
  </si>
  <si>
    <t>ล็อคที่ 73</t>
  </si>
  <si>
    <t>ล็อคที่ 74</t>
  </si>
  <si>
    <t>ล็อคที่ 76</t>
  </si>
  <si>
    <t>ล็อคที่ 77</t>
  </si>
  <si>
    <t>ล็อคที่ 78</t>
  </si>
  <si>
    <t>ล็อคที่ 79</t>
  </si>
  <si>
    <t>ล็อคที่ 81</t>
  </si>
  <si>
    <t>ล็อคที่ 82</t>
  </si>
  <si>
    <t>ล็อคที่ 83</t>
  </si>
  <si>
    <t>ล็อคที่ 85</t>
  </si>
  <si>
    <t>ล็อคที่ 87</t>
  </si>
  <si>
    <t>ล็อคที่ 88</t>
  </si>
  <si>
    <t>ล็อคที่ 90</t>
  </si>
  <si>
    <t>ล็อคที่ 91</t>
  </si>
  <si>
    <t>ล็อคที่ 92</t>
  </si>
  <si>
    <t>ล็อคที่ 94</t>
  </si>
  <si>
    <t>ล็อคที่ 95</t>
  </si>
  <si>
    <t>ล็อคที่ 97</t>
  </si>
  <si>
    <t>ล็อคที่ 98</t>
  </si>
  <si>
    <t>ล็อคที่ 99</t>
  </si>
  <si>
    <t>ล็อคที่ 100</t>
  </si>
  <si>
    <t>ล็อคที่ 102</t>
  </si>
  <si>
    <t>ล็อคที่ 103</t>
  </si>
  <si>
    <t>ล็อคที่ 105</t>
  </si>
  <si>
    <t>ล็อคที่ 106</t>
  </si>
  <si>
    <t>ล็อคที่ 108</t>
  </si>
  <si>
    <t>ล็อคที่ 109</t>
  </si>
  <si>
    <t>ล็อคที่ 110</t>
  </si>
  <si>
    <t>ล็อคที่ 112</t>
  </si>
  <si>
    <t>ล็อคที่ 113</t>
  </si>
  <si>
    <t>ล็อคที่ 114</t>
  </si>
  <si>
    <t>ล็อคที่ 116</t>
  </si>
  <si>
    <t>ล็อคที่ 118</t>
  </si>
  <si>
    <t>ล็อคที่ 120</t>
  </si>
  <si>
    <t>ล็อคที่ 121</t>
  </si>
  <si>
    <t>ล็อคที่ 123</t>
  </si>
  <si>
    <t>ล็อคที่ 124</t>
  </si>
  <si>
    <t>ล็อคที่ 125</t>
  </si>
  <si>
    <t>ล็อคที่ 126</t>
  </si>
  <si>
    <t>ล็อคที่ 127</t>
  </si>
  <si>
    <t>ล็อคที่ 130</t>
  </si>
  <si>
    <t>ล็อคที่ 133</t>
  </si>
  <si>
    <t>ล็อคที่ 134</t>
  </si>
  <si>
    <t>ล็อคที่ 148</t>
  </si>
  <si>
    <t>ล็อคที่ 215</t>
  </si>
  <si>
    <t>ล็อคที่ 216</t>
  </si>
  <si>
    <t>ล็อคที่ 217</t>
  </si>
  <si>
    <t>ล็อคที่ 219</t>
  </si>
  <si>
    <t>ล็อคที่ 221</t>
  </si>
  <si>
    <t>ล็อคที่ 224</t>
  </si>
  <si>
    <t>ล็อคที่ 225</t>
  </si>
  <si>
    <t>ล็อคที่ 226</t>
  </si>
  <si>
    <t>ล็อคที่ 228</t>
  </si>
  <si>
    <t>ล็อคที่ 229</t>
  </si>
  <si>
    <t>ล็อคที่ 230</t>
  </si>
  <si>
    <t>ล็อคที่ 233</t>
  </si>
  <si>
    <t>ล็อคที่ 234</t>
  </si>
  <si>
    <t>ล็อคที่ 237</t>
  </si>
  <si>
    <t>ล็อคที่ 238</t>
  </si>
  <si>
    <t>ล็อคที่ 239</t>
  </si>
  <si>
    <t>ล็อคที่ 241</t>
  </si>
  <si>
    <t>ล็อคที่ 242</t>
  </si>
  <si>
    <t>ล็อคที่ 243</t>
  </si>
  <si>
    <t>ล็อคที่ 244</t>
  </si>
  <si>
    <t>ล็อคที่ 246</t>
  </si>
  <si>
    <t>ล็อคที่ 247</t>
  </si>
  <si>
    <t>ล็อคที่ 248</t>
  </si>
  <si>
    <t>ล็อคที่ 249</t>
  </si>
  <si>
    <t>ล็อคที่ 250</t>
  </si>
  <si>
    <t>ล็อคที่ 252</t>
  </si>
  <si>
    <t>ล็อคที่ 253</t>
  </si>
  <si>
    <t>ล็อคที่ 255</t>
  </si>
  <si>
    <t>ล็อคที่ 256</t>
  </si>
  <si>
    <t>ล็อคที่ 257</t>
  </si>
  <si>
    <t>ล็อคที่ 258</t>
  </si>
  <si>
    <t>ล็อคที่ 259</t>
  </si>
  <si>
    <t>ล็อคที่ 260</t>
  </si>
  <si>
    <t>ล็อคที่ 261</t>
  </si>
  <si>
    <t>ล็อคที่ 262</t>
  </si>
  <si>
    <t>ล็อคที่ 263</t>
  </si>
  <si>
    <t>ล็อคที่ 264</t>
  </si>
  <si>
    <t>ล็อคที่ 265</t>
  </si>
  <si>
    <t>ล็อคที่ 266</t>
  </si>
  <si>
    <t>ล็อคที่ 268</t>
  </si>
  <si>
    <t>ล็อคที่ 269</t>
  </si>
  <si>
    <t>ล็อคที่ 270</t>
  </si>
  <si>
    <t>ล็อคที่ 271</t>
  </si>
  <si>
    <t>ล็อคที่ 272</t>
  </si>
  <si>
    <t>ล็อคที่ 276</t>
  </si>
  <si>
    <t>ล็อคที่ 277</t>
  </si>
  <si>
    <t>ล็อคที่ 278</t>
  </si>
  <si>
    <t>ล็อคที่ 280</t>
  </si>
  <si>
    <t>ล็อคที่ 282</t>
  </si>
  <si>
    <t>ล็อคที่ 284</t>
  </si>
  <si>
    <t>ล็อคที่ 285</t>
  </si>
  <si>
    <t>ล็อคที่ 286</t>
  </si>
  <si>
    <t>ล็อคที่ 287</t>
  </si>
  <si>
    <t>ล็อคที่ 288</t>
  </si>
  <si>
    <t>ล็อคที่ 289</t>
  </si>
  <si>
    <t>ล็อคที่ 290</t>
  </si>
  <si>
    <t>ล็อคที่ 291</t>
  </si>
  <si>
    <t>ล็อคที่ 292</t>
  </si>
  <si>
    <t>ล็อคที่ 293</t>
  </si>
  <si>
    <t>ล็อคที่ 294</t>
  </si>
  <si>
    <t>ล็อคที่ 295</t>
  </si>
  <si>
    <t>ล็อคที่ 296</t>
  </si>
  <si>
    <t>ล็อคที่ 297</t>
  </si>
  <si>
    <t>ล็อคที่ 298</t>
  </si>
  <si>
    <t>ล็อคที่ 301</t>
  </si>
  <si>
    <t>ล็อคที่ 302</t>
  </si>
  <si>
    <t>ล็อคที่ 303</t>
  </si>
  <si>
    <t>ล็อคที่ 305</t>
  </si>
  <si>
    <t>ล็อคที่ 306</t>
  </si>
  <si>
    <t>ล็อคที่ 310</t>
  </si>
  <si>
    <t>ล็อคที่ 313</t>
  </si>
  <si>
    <t>ล็อคที่ 314</t>
  </si>
  <si>
    <t>ล็อคที่ 315</t>
  </si>
  <si>
    <t>ล็อคที่ 316</t>
  </si>
  <si>
    <t>ล็อคที่ 317</t>
  </si>
  <si>
    <t>ค่าเช่าติดตั้งเครื่องโม่</t>
  </si>
  <si>
    <t>ตค.67</t>
  </si>
  <si>
    <t>นำเงินประกันสัญญามาหัก จำนวน 69,200 บาท (ตามคำพิพากษา)</t>
  </si>
  <si>
    <t>บอกเลิกสัญญา</t>
  </si>
  <si>
    <t>พย.67</t>
  </si>
  <si>
    <t>ค่าต่ออายุสัญญา</t>
  </si>
  <si>
    <t>ค่าต่ออายุสัญญา/สิทธิการเช่าโอนเป็นรายได้ (4700900)</t>
  </si>
  <si>
    <t>ค่าต่ออายุสัญญา/สิทธิการเช่าโอนเป็นรายได้</t>
  </si>
  <si>
    <t>นางสาวจรรยา พงษ์วุฒิธรรม</t>
  </si>
  <si>
    <t>ค่าน้ำล็อคที่ 183</t>
  </si>
  <si>
    <t>ค่าน้ำล็อคที่ 249</t>
  </si>
  <si>
    <t>ค่ารักษามิเตอร์ ล็อคที่ 84</t>
  </si>
  <si>
    <t>ค่ารักษามิเตอร์ ล็อคที่ 93</t>
  </si>
  <si>
    <t>นางหมวย  สุนทรกุมาร</t>
  </si>
  <si>
    <t>ค่าน้ำที่ดินแปลง 8.12</t>
  </si>
  <si>
    <t>จอดรถบ่อบำบัด(1)</t>
  </si>
  <si>
    <t>จอดรถบ่อบำบัด (2)</t>
  </si>
  <si>
    <t xml:space="preserve">จอดรถบ่อบำบัด </t>
  </si>
  <si>
    <t>นางกฤติยา จิรภาวสุทธิ์</t>
  </si>
  <si>
    <t>อุตสาหกรรมห้องเย็นปลาทะเล</t>
  </si>
  <si>
    <t>มิย.-พย.65</t>
  </si>
  <si>
    <t>แพปลาน้ำจืด 54,60(รับสภาพหนี้)</t>
  </si>
  <si>
    <t>นางกฤติยา จิรภาวสุทธิ</t>
  </si>
  <si>
    <t>น้ำพื้นที่ขั่วคราวล็อค 31</t>
  </si>
  <si>
    <t>ไฟฟ้าพื้นที่ขั่วคราวล็อค31</t>
  </si>
  <si>
    <t>นางวศิณี มดทอง</t>
  </si>
  <si>
    <t>นางเย็นตา ศิริตันหยง</t>
  </si>
  <si>
    <t>ค่าน้ำล็อคที่ 170</t>
  </si>
  <si>
    <t>นายเกรียงศักดิ์  ศรีทอง</t>
  </si>
  <si>
    <t>ค่าน้ำล็อคที่ 184</t>
  </si>
  <si>
    <t>ค่าน้ำล็อคที่ 209</t>
  </si>
  <si>
    <t>ธ.ค.66,พย.67</t>
  </si>
  <si>
    <t>ค่าน้ำล็อคที่ 294</t>
  </si>
  <si>
    <t>ค่าน้ำล็อคที่ 313</t>
  </si>
  <si>
    <t>ก.พ.67-มี.ค.,พย.67</t>
  </si>
  <si>
    <t>นายสมเดช ทักษิน (ชั่วคราว)</t>
  </si>
  <si>
    <t>มิ.ย.66-เม.ย.67,มิ.ย.67,ส.ค.67</t>
  </si>
  <si>
    <t>สุขา อ.แปลง A 10</t>
  </si>
  <si>
    <t>มีค.*-กค.66</t>
  </si>
  <si>
    <t>ดูแลสุขาสาธารณะ</t>
  </si>
  <si>
    <t>พื้นที่จอดรถ</t>
  </si>
  <si>
    <t>สำนักงานความสูงเกิน 5 ชั้น</t>
  </si>
  <si>
    <t>ธค.66-กพ.67</t>
  </si>
  <si>
    <t>พย.-ธค.67</t>
  </si>
  <si>
    <t xml:space="preserve">ค่าน้ำล็อคที่ S19 </t>
  </si>
  <si>
    <t>นางไส่หน๊ะ ชูชีพ</t>
  </si>
  <si>
    <t>มค.68</t>
  </si>
  <si>
    <t>สุขา อ.แปลง A 7</t>
  </si>
  <si>
    <t>สุขา อ.แปลง B 10</t>
  </si>
  <si>
    <t>สุขา อ.แปลง C ล.5</t>
  </si>
  <si>
    <r>
      <rPr>
        <b/>
        <u/>
        <sz val="16"/>
        <rFont val="TH SarabunPSK"/>
        <family val="2"/>
      </rPr>
      <t>หมายเหตุ</t>
    </r>
    <r>
      <rPr>
        <b/>
        <sz val="16"/>
        <rFont val="TH SarabunPSK"/>
        <family val="2"/>
      </rPr>
      <t xml:space="preserve">  :   เดือน พ.ค. 64 สบน. ปรับยอดหนี้ให้เป็นไปตามคำพิพากษาฎีกาและศาลอุทธรณ์ จากลูกหนี้ </t>
    </r>
  </si>
  <si>
    <t>นายสมนึก    สุภาพ</t>
  </si>
  <si>
    <t>เรือน้ำมันอินเตอร์(นายธนัทดสฎฐ์</t>
  </si>
  <si>
    <t>จอดเรือ</t>
  </si>
  <si>
    <t>ใช้สถานที่รถดองสัตว์น้ำ</t>
  </si>
  <si>
    <t>ค่าน้ำล็อคที่ S26</t>
  </si>
  <si>
    <t>ค่ารักษามิเตอร์ ล็อคที่ 307</t>
  </si>
  <si>
    <t>ธ.ค.66 - ต.ค.67</t>
  </si>
  <si>
    <t>ก.พ.67 - ต.ค.67</t>
  </si>
  <si>
    <t>ธ.ค.66 - กย.67</t>
  </si>
  <si>
    <t>ม.ค.67-ต.ค.67</t>
  </si>
  <si>
    <t>ธ.ค.66 - ก.ย.67</t>
  </si>
  <si>
    <t>ต.ค.66- ต.ค.67</t>
  </si>
  <si>
    <t>ม.ค. บางส่วน - ก.ค.67</t>
  </si>
  <si>
    <t>มี.ค.67 - ต.ค.67</t>
  </si>
  <si>
    <t>มิ.ย.67 - ต.ค.67</t>
  </si>
  <si>
    <t>ธ.ค.65-ส.ค.66</t>
  </si>
  <si>
    <t>ส.ค.67-ต.ค.67</t>
  </si>
  <si>
    <t>ส.ค.66-ต.ค.67</t>
  </si>
  <si>
    <t>ก.ย.66 - ต.ค.67</t>
  </si>
  <si>
    <t>พ.ย.66 - ต.ค.67</t>
  </si>
  <si>
    <t>พ.ค.67 - ต.ค.67</t>
  </si>
  <si>
    <t>ก.ค.65 - พ.ค.66</t>
  </si>
  <si>
    <t>มี.ค.65 - ต.ค.65</t>
  </si>
  <si>
    <t>มิ.ย.65 - พ.ค.66</t>
  </si>
  <si>
    <t>เม.ย.65 - พ.ค.66</t>
  </si>
  <si>
    <t>ม.ค.66 - ก.ย.66</t>
  </si>
  <si>
    <t>ก.ย.65 - ก.ย.66</t>
  </si>
  <si>
    <t>ม.ค.67 - ต.ค.67</t>
  </si>
  <si>
    <t>ก.ค.66 - ต.ค.67</t>
  </si>
  <si>
    <t>ห้องน้ำหลังตลาด</t>
  </si>
  <si>
    <t>มิ.ย.66-ก.พ.67</t>
  </si>
  <si>
    <t>ก.ย.66-ต.ค.67</t>
  </si>
  <si>
    <t>ค่าน้ำล็อคที่ 226</t>
  </si>
  <si>
    <t>ค่าน้ำล็อคที่ 255</t>
  </si>
  <si>
    <t>มี.ค.67 - ก.ย.67</t>
  </si>
  <si>
    <t>ก.พ.67 - ก.ย.67</t>
  </si>
  <si>
    <t>ต.ค.66 - ต.ค.67</t>
  </si>
  <si>
    <t>ก.พ.65-มี.ค.66,พ.ค.-ต.ค.66</t>
  </si>
  <si>
    <t>ม.ค.65-ก.ย.66</t>
  </si>
  <si>
    <t>มี.ค.65-ก.ย.66</t>
  </si>
  <si>
    <t>ก.ย.67 - ต.ค.67</t>
  </si>
  <si>
    <t>ก.ค.67 - ต.ค.67</t>
  </si>
  <si>
    <t>ส.ค.67 - ต.ค.67</t>
  </si>
  <si>
    <t>ส.ค.66 - ต.ค.67</t>
  </si>
  <si>
    <t>ม.ค.66-พ.ค.66</t>
  </si>
  <si>
    <t>เม.ย.67 - ต.ค.67</t>
  </si>
  <si>
    <t>พ.ย.66 - ม.ค.68</t>
  </si>
  <si>
    <t>เม.ย.67 - ม.ค.68</t>
  </si>
  <si>
    <t>ก.ย.66 - ม.ค.68</t>
  </si>
  <si>
    <t>ค่าตอบแทนเพื่อใช้ประโยชน์พื้นที่</t>
  </si>
  <si>
    <t>ภาษีปี 2567</t>
  </si>
  <si>
    <t>นายสาธิต  พยนต์รัตน์</t>
  </si>
  <si>
    <t>นางวรรณา  ศิริทัศน์</t>
  </si>
  <si>
    <t>นางสาวทิพรัตน์  เลิศสุรวัฒน์</t>
  </si>
  <si>
    <t>นายวิฑูรย์  ตั้งเบญจกุล</t>
  </si>
  <si>
    <t>นางสาวพัชรินทร์  แซ่ไหล</t>
  </si>
  <si>
    <t>นางสาวจิรัญยา  ขจรมหาลาภ</t>
  </si>
  <si>
    <t xml:space="preserve">นางสาวพัชรินทร์ พลายด้วง </t>
  </si>
  <si>
    <t>อาคารช่วง 1 ล.77</t>
  </si>
  <si>
    <t>อาคารช่วง 1 ล.79</t>
  </si>
  <si>
    <t>นางสุนันท์  เจริญทรัพย์</t>
  </si>
  <si>
    <t>นายอิสมาแอล  มูหนะ</t>
  </si>
  <si>
    <t>นางพรนภา  สิทธิพงศ์</t>
  </si>
  <si>
    <t>นายโซฟีย๊ะ อาแว</t>
  </si>
  <si>
    <t>นางสาวณัชปภา ล้วนเล็ก</t>
  </si>
  <si>
    <t>นายอับดุลเลาะ บาราเฮง</t>
  </si>
  <si>
    <t>นางปิอะ   ลาเต๊ะ</t>
  </si>
  <si>
    <t>นางรมลี  มีนา</t>
  </si>
  <si>
    <t>นายม๊ะกรือสง  สาหวี</t>
  </si>
  <si>
    <t>นายอาหามะรอยาลี  เจะเหาะ</t>
  </si>
  <si>
    <t>นายอับดุลฮาเล็ม ลาเตะ</t>
  </si>
  <si>
    <t>นางสาวซารีนา  สุมรอด</t>
  </si>
  <si>
    <t>นางสาวกามารียะห์  อาแว</t>
  </si>
  <si>
    <t>ข้างสุขาภิบาล(แผงบีลอย)</t>
  </si>
  <si>
    <t>นางเณรัญคภา บูรณวัฒน์</t>
  </si>
  <si>
    <t>นางยุภา ชัยเฉลิมวุฒิพงศ์</t>
  </si>
  <si>
    <t>นางสาวนิเส๊าะ ดารานิง</t>
  </si>
  <si>
    <t>นางสาวสุวรรณี ลาเต๊ะ</t>
  </si>
  <si>
    <t>ตลาดเช้าจำหน่ายสัตว์น้ำ 11</t>
  </si>
  <si>
    <t>นางนูรี มะหะหมัด</t>
  </si>
  <si>
    <t>ตลาดเช้าจำหน่ายสัตว์น้ำ 12</t>
  </si>
  <si>
    <t>ตลาดเช้าจำหน่ายสัตว์น้ำ 14</t>
  </si>
  <si>
    <t>นางอุศนี เหมสุริยา</t>
  </si>
  <si>
    <t>นางสรินยา ดุลยไชย</t>
  </si>
  <si>
    <t>นายเจริญรัตน์ จวนถิ่น</t>
  </si>
  <si>
    <t>นางสาวสุมาลี ศรีสุข</t>
  </si>
  <si>
    <t>นางแมะด๊ะ ดาราโอะ</t>
  </si>
  <si>
    <t>นายมะยากี เส็น</t>
  </si>
  <si>
    <t>นางสาวนูรีสัน มะดาโอะ</t>
  </si>
  <si>
    <t>นายวรภพ สุขหอม</t>
  </si>
  <si>
    <t>นายสุลัยมาน โต๊ะหลาง</t>
  </si>
  <si>
    <t>นางสาวประคอง อินทรวิเชียร</t>
  </si>
  <si>
    <t>นายสุเลิศ เสาะสมบูรณ์</t>
  </si>
  <si>
    <t>นางจำปี ชูแสน</t>
  </si>
  <si>
    <t>นางสาวสายใจ ระเหม</t>
  </si>
  <si>
    <t>นางเซาเดาะ เจะยาปาร์</t>
  </si>
  <si>
    <t>นางแมะดะห์ สาเมาะ</t>
  </si>
  <si>
    <t>นางปาตีเมาะ เจะยาปาร์</t>
  </si>
  <si>
    <t>นางสะริฝ๊ะ หวันตุหมัน</t>
  </si>
  <si>
    <t>นายดอเลาะ สาและ</t>
  </si>
  <si>
    <t>นางเจ๊ะเยาะ เจ๊ะแว</t>
  </si>
  <si>
    <t>นางสาวฟารีดา โพธิ์บุญมา</t>
  </si>
  <si>
    <t>นางประภาศรี ประกอบชาติ</t>
  </si>
  <si>
    <t>นายอภิชาติ เกลี้ยงกลิ่น</t>
  </si>
  <si>
    <t>นายชลทิศ ดอแม</t>
  </si>
  <si>
    <t>นางแดง แซ่ฉั่ว</t>
  </si>
  <si>
    <t>ตลาดเช้าจำหน่ายสัตว์น้ำ 88</t>
  </si>
  <si>
    <t>นางปราณี เดือนฉาย</t>
  </si>
  <si>
    <t>ตลาดเช้าจำหน่ายสัตว์น้ำ 90</t>
  </si>
  <si>
    <t>นางกอบกุล บุญเหลือ</t>
  </si>
  <si>
    <t>นางสำรวย ชนะพิน</t>
  </si>
  <si>
    <t>นางสาวทิพย์ชัญญา ลาเต๊ะ</t>
  </si>
  <si>
    <t>ตลาดเช้าจำหน่ายสัตว์น้ำ 96</t>
  </si>
  <si>
    <t>นางฮาสะน๊ะ คงทอง</t>
  </si>
  <si>
    <t>นางจินดา อินทชาติ</t>
  </si>
  <si>
    <t>นายธนิน ยอดรักษ์</t>
  </si>
  <si>
    <t>นางสาวรัชนก ดอกอ</t>
  </si>
  <si>
    <t>นางสาวอาทิตยา สุททรกุมาร</t>
  </si>
  <si>
    <t>นางสาวนริศรา ผันแปร</t>
  </si>
  <si>
    <t>นายมาหมะ เต็ง</t>
  </si>
  <si>
    <t>นายอับอุลเล๊าะ ลือแบซา</t>
  </si>
  <si>
    <t>นางศุภากร เวชพิทักษ์</t>
  </si>
  <si>
    <t>นางสาวมัสยา ยูนุ๊</t>
  </si>
  <si>
    <t>นางสาวสุวิภา ระเหม</t>
  </si>
  <si>
    <t>นายพลเทพ เวชพิทักษ์</t>
  </si>
  <si>
    <t>นางดลภา ภัชษนัญย์</t>
  </si>
  <si>
    <t>นางสาวณัฐณิชา สินสมบูรณ์สถิต</t>
  </si>
  <si>
    <t>นางจันทร์เพ็ญ สระโร</t>
  </si>
  <si>
    <t>นายอิทธิพล การีนา</t>
  </si>
  <si>
    <t>นายนัสซูวันดี ยูโซะ</t>
  </si>
  <si>
    <t>นายยูโซะ โต๊ะหลี</t>
  </si>
  <si>
    <t>ตลาดเช้าจำหน่ายสัตว์น้ำ 146</t>
  </si>
  <si>
    <t>ตลาดเช้าจำหน่ายสัตว์น้ำ 147</t>
  </si>
  <si>
    <t>นางสาวสุวรรณี กระสาราศร</t>
  </si>
  <si>
    <t>ตลาดเช้าจำหน่ายสัตว์น้ำ 155</t>
  </si>
  <si>
    <t>นางญาวีญะ คงทอง</t>
  </si>
  <si>
    <t>นางสาวฮาซีซะห์ ดือราแม</t>
  </si>
  <si>
    <t>นายอนุชา สะเหรม</t>
  </si>
  <si>
    <t>นายทศพล เดือนฉาย</t>
  </si>
  <si>
    <t>นางจิราภรณ์ เดือนฉาย</t>
  </si>
  <si>
    <t>นายสยุมภู มฤคพันธุ์</t>
  </si>
  <si>
    <t>นางไมตรี กาญจโน</t>
  </si>
  <si>
    <t>นางชิดชนก จันทร์ศิริ</t>
  </si>
  <si>
    <t>นายบุญลือ บริเพ็ชร</t>
  </si>
  <si>
    <t>นางรองไร ทองสำราญ</t>
  </si>
  <si>
    <t>นางสาวซูไวบะห์ สอดรอนอ</t>
  </si>
  <si>
    <t>นางสาวสุดารัตน์ ถนอมรักษ์</t>
  </si>
  <si>
    <t>นายฉัตรชัย สามนกฤษณะ</t>
  </si>
  <si>
    <t>นายสุรชัย เจ๊ะหยาง</t>
  </si>
  <si>
    <t>ตลาดเช้าจำหน่ายสัตว์น้ำ 217</t>
  </si>
  <si>
    <t>นายเจะมูฮัมหมัดรอสีดี กูนา</t>
  </si>
  <si>
    <t>นางระเบียบ สามนกฤษณะ</t>
  </si>
  <si>
    <t>นายอดิศักดิ์ ผันแปร</t>
  </si>
  <si>
    <t>นางแวปาซียะห์ เจ๊ะมามะ</t>
  </si>
  <si>
    <t>นางสาวคอสีอมะห์ เจ๊ะบือเฮง</t>
  </si>
  <si>
    <t>นางสาวเจะแย มามะ</t>
  </si>
  <si>
    <t>นายอูเซ็ง สาและ</t>
  </si>
  <si>
    <t>นางสาวบริมาส เสนทอง</t>
  </si>
  <si>
    <t>ตลาดเช้าจำหน่ายสัตว์น้ำ 233</t>
  </si>
  <si>
    <t>นายสุรินทร์ หวะหวอ</t>
  </si>
  <si>
    <t>ตลาดเช้าจำหน่ายสัตว์น้ำ 234</t>
  </si>
  <si>
    <t>นางสาวฮัปเซาะห์ มะแช</t>
  </si>
  <si>
    <t>นางวัชรี ศรีทองนวล</t>
  </si>
  <si>
    <t>นายนิติพัฒน์ มโนมัยเสถียร</t>
  </si>
  <si>
    <t>ตลาดเช้าจำหน่ายสัตว์น้ำ 267</t>
  </si>
  <si>
    <t>ตลาดเช้าจำหน่ายสัตว์น้ำ 268</t>
  </si>
  <si>
    <t>ตลาดเช้าจำหน่ายสัตว์น้ำ 269</t>
  </si>
  <si>
    <t>ตลาดเช้าจำหน่ายสัตว์น้ำ 270</t>
  </si>
  <si>
    <t>ตลาดเช้าจำหน่ายสัตว์น้ำ 272</t>
  </si>
  <si>
    <t>นายดนัยธร ตั้งเบญจกุล</t>
  </si>
  <si>
    <t>นางพัทราวดี จินดาไพศาล</t>
  </si>
  <si>
    <t>นางสาวยุพิน หวังสุข</t>
  </si>
  <si>
    <t>นายอรุณ สระโร</t>
  </si>
  <si>
    <t>นางสาวเรไร สุคนธามาส</t>
  </si>
  <si>
    <t>นางสาวรอฮานี สาและ</t>
  </si>
  <si>
    <t>นางสาวโสภาพรรณ จินดาไพศาล</t>
  </si>
  <si>
    <t>ตลาดเช้าจำหน่ายสัตว์น้ำ 299</t>
  </si>
  <si>
    <t>ตลาดเช้าจำหน่ายสัตว์น้ำ 301</t>
  </si>
  <si>
    <t>ตลาดเช้าจำหน่ายสัตว์น้ำ 302</t>
  </si>
  <si>
    <t>ตลาดเช้าจำหน่ายสัตว์น้ำ 303</t>
  </si>
  <si>
    <t>ตลาดเช้าจำหน่ายสัตว์น้ำ 304</t>
  </si>
  <si>
    <t>ตลาดเช้าจำหน่ายสัตว์น้ำ 305</t>
  </si>
  <si>
    <t>นางปิอะ ลาเต๊ะ</t>
  </si>
  <si>
    <t>นางแมะซง อาแว</t>
  </si>
  <si>
    <t>นายมะกอซี ปาแดปูเต๊ะ</t>
  </si>
  <si>
    <t>นายไชยวัฒน์ จันทร์แก้ว</t>
  </si>
  <si>
    <t>นายตติยะ  ฉิมพาลี</t>
  </si>
  <si>
    <t>นางสาวโซฟีย๊ะ อาแว</t>
  </si>
  <si>
    <t>กพ.68</t>
  </si>
  <si>
    <t>สุขา ช่วง 2 ล.10,11</t>
  </si>
  <si>
    <t>นางยลดา   เฮ่ากุลมงคล</t>
  </si>
  <si>
    <t>นางสาว อามีเนาะ   มูซอ</t>
  </si>
  <si>
    <t>นางสาว อามีเนาะ   นิเต็ม</t>
  </si>
  <si>
    <t>นายไชย์วัฒน์ จันทร์แก้ว</t>
  </si>
  <si>
    <t xml:space="preserve">นายซอลาฮูดิง มะมิง </t>
  </si>
  <si>
    <t>นางนิอิสเฮาะ นิกาจิ</t>
  </si>
  <si>
    <t>นายพล เจริญรัตน์</t>
  </si>
  <si>
    <t>เนื้อที่ 22 ตรว.</t>
  </si>
  <si>
    <t>ปรับโครงสร้างหนี้/ผ่อนชำระ</t>
  </si>
  <si>
    <t>ค่าเธรรมเนียมใช้สถานที่ ล็อคที่ S9</t>
  </si>
  <si>
    <t>ค่าธรรมเนียมใช้สถานที่ ล็อค S10</t>
  </si>
  <si>
    <t>ค่าธรรมเนียมใช้สถานที่ ล็อค S26</t>
  </si>
  <si>
    <t>ธค.67-กพ.68</t>
  </si>
  <si>
    <t>ค่าน้ำล็อคที่ 93</t>
  </si>
  <si>
    <t>มค.-กพ.68</t>
  </si>
  <si>
    <t>ส.ค.65-มค.68</t>
  </si>
  <si>
    <t>ค่าเช่าล็อคที่ 90</t>
  </si>
  <si>
    <t>นางสาวประนอม เดือนฉาย</t>
  </si>
  <si>
    <t>นางรอมละ สาและ</t>
  </si>
  <si>
    <t>หนี้ปรับโครงสร้าง</t>
  </si>
  <si>
    <t>มค.-มีค.68</t>
  </si>
  <si>
    <t>นายดอเลาะ  สาและ</t>
  </si>
  <si>
    <t>อาคารช่วง 1 ล.81,82</t>
  </si>
  <si>
    <t>อาคารช่วง 1 ล.84</t>
  </si>
  <si>
    <t>นายอิบราแฮม เจะมิง</t>
  </si>
  <si>
    <t>นางสาวจันทรัศม์ จันทร์แก้ว</t>
  </si>
  <si>
    <t>นางสาวยารีย๊ะ มามะ</t>
  </si>
  <si>
    <t>นางลอรีเยาะ มายศรี</t>
  </si>
  <si>
    <t>นางสาวพัชรี แซ่ฉั่ว</t>
  </si>
  <si>
    <t>นางรอเบ๊าะ อุมา</t>
  </si>
  <si>
    <t>นางสาวมีมี สุหลง</t>
  </si>
  <si>
    <t>นายกามารูเด็น แวดาราแม</t>
  </si>
  <si>
    <t>อาคารช่วง 1 ล.63,ค่าผลประโยชน์ตอบแทน</t>
  </si>
  <si>
    <t xml:space="preserve">นางธารทิพย์ เงินเอนก (แพปลานิวัฒน์ชัยนาวี) (ทร.10.1) </t>
  </si>
  <si>
    <t>บริษัท รอแยลอันดามันซีฟูด จำกัด (สำนักงานใหญ่) (รอแยลอันดามันซีฟูด)</t>
  </si>
  <si>
    <t>ค่าเช่าล็อคที่ 273</t>
  </si>
  <si>
    <t>ค่ารักษามิเตอร์ ล็อคที่ 273</t>
  </si>
  <si>
    <t>ค่ารักษามิเตอร์ ล็อคที่ S26</t>
  </si>
  <si>
    <t>ค่าน้ำล็อคที่ 13</t>
  </si>
  <si>
    <t>ค่าน้ำล็อคที่ 23</t>
  </si>
  <si>
    <t>ค่าน้ำล็อคที่ 30</t>
  </si>
  <si>
    <t>ค่าน้ำล็อคที่ 44</t>
  </si>
  <si>
    <t>ค่าน้ำล็อคที่ 48</t>
  </si>
  <si>
    <t>ค่าน้ำล็อคที่ 63</t>
  </si>
  <si>
    <t>ค่าน้ำล็อคที่ 73</t>
  </si>
  <si>
    <t>ค่าน้ำล็อคที่ 83</t>
  </si>
  <si>
    <t>ค่าน้ำล็อคที่ 97</t>
  </si>
  <si>
    <t>ค่าน้ำล็อคที่ 105</t>
  </si>
  <si>
    <t>ค่าน้ำล็อคที่ 115</t>
  </si>
  <si>
    <t>ค่าน้ำล็อคที่ 120</t>
  </si>
  <si>
    <t>ค่าน้ำล็อคที่ 125</t>
  </si>
  <si>
    <t>ค่าน้ำล็อคที่ 131</t>
  </si>
  <si>
    <t>มี.ค.67,ก.ค.,พย.,ธค.67,มค.-มีค.68</t>
  </si>
  <si>
    <t>4. ท่าเทียบเรือประมงตราด</t>
  </si>
  <si>
    <t>1. สะพานปลากรุงเทพ</t>
  </si>
  <si>
    <t>3. สะพานปลาสมุทรสาคร</t>
  </si>
  <si>
    <t>2. สะพานปลาสมุทรปราการ</t>
  </si>
  <si>
    <t>5. ท่าเทียบเรือประมงอ่างศิลา</t>
  </si>
  <si>
    <t>7. ท่าเทียบเรือประมงชุมพร</t>
  </si>
  <si>
    <t>6. ท่าเทียบเรือประมงหัวหิน</t>
  </si>
  <si>
    <t>8. ท่าเทียบเรือประมงหลังสวน</t>
  </si>
  <si>
    <t>9. ท่าเทียบเรือประมงสุราษฎร์ธานี</t>
  </si>
  <si>
    <t>13.ท่าเทียบเรือประมงระนอง</t>
  </si>
  <si>
    <t>นางสาวพัชระภรณ์ บุญบารมี</t>
  </si>
  <si>
    <t>น้ำจืดล็อค 18-19</t>
  </si>
  <si>
    <t>ต.ค.66 - พ.ค.67</t>
  </si>
  <si>
    <t>ก.พ.67,พ.ค.67,มค.,กพ.-เมย.68</t>
  </si>
  <si>
    <t>นางสาวพัชรี  แซ่ฉั่ว</t>
  </si>
  <si>
    <t xml:space="preserve">นางหมวย สุนทรกุมาร </t>
  </si>
  <si>
    <t>นายสะอารี บือราเฮง</t>
  </si>
  <si>
    <t>นายอับดุลเลาะ เปาะแล๊ะ</t>
  </si>
  <si>
    <t>นางสาวสายสุณี เจ๊ะสุหลง</t>
  </si>
  <si>
    <t>นางทองห่อ ถนอมรักษ์</t>
  </si>
  <si>
    <t>นายมณี  เบ้งฮ้อ</t>
  </si>
  <si>
    <t>สุขาภิบาลตลาดเช้า ล.1</t>
  </si>
  <si>
    <t>สุขาภิบาลตลาดเช้า ล.2</t>
  </si>
  <si>
    <t>สุขาภิบาลตลาดเช้า ล.3</t>
  </si>
  <si>
    <t>สุขาภิบาลตลาดเช้า ล.4</t>
  </si>
  <si>
    <t>สุขาภิบาลตลาดเช้า ล.5</t>
  </si>
  <si>
    <t>สุขาภิบาลตลาดเช้า ล.6</t>
  </si>
  <si>
    <t>สุขาภิบาลตลาดเช้า ล.7</t>
  </si>
  <si>
    <t>สุขาภิบาลตลาดเช้า ล.8</t>
  </si>
  <si>
    <t>สุขาภิบาลตลาดเช้า ล.9</t>
  </si>
  <si>
    <t>สุขาภิบาลตลาดเช้า ล.10</t>
  </si>
  <si>
    <t>สุขาภิบาลตลาดเช้า ล.11</t>
  </si>
  <si>
    <t>สุขาภิบาลตลาดเช้า ล.12</t>
  </si>
  <si>
    <t>สุขาภิบาลตลาดเช้า ล.13</t>
  </si>
  <si>
    <t>สุขาภิบาลตลาดเช้า ล.14</t>
  </si>
  <si>
    <t>สุขาภิบาลตลาดเช้า ล.15</t>
  </si>
  <si>
    <t>สุขาภิบาลตลาดเช้า ล.16</t>
  </si>
  <si>
    <t>สุขาภิบาลตลาดเช้า ล.17</t>
  </si>
  <si>
    <t xml:space="preserve">สุขาภิบาลตลาดเช้า ล.18 </t>
  </si>
  <si>
    <t>สุขาภิบาลตลาดเช้า ล.19</t>
  </si>
  <si>
    <t>สุขาภิบาลตลาดเช้า ล.20</t>
  </si>
  <si>
    <t>สุขาภิบาลตลาดเช้า ล.21</t>
  </si>
  <si>
    <t>สุขาภิบาลตลาดเช้า ล.25</t>
  </si>
  <si>
    <t>สุขาภิบาลตลาดเช้า ล.26</t>
  </si>
  <si>
    <t>สุขาภิบาลตลาดเช้า ล.27</t>
  </si>
  <si>
    <t>สุขาภิบาลตลาดเช้า ล.28</t>
  </si>
  <si>
    <t>สุขาภิบาลตลาดเช้า ล.34</t>
  </si>
  <si>
    <t>สุขาภิบาลตลาดเช้า ล.37</t>
  </si>
  <si>
    <t>สุขาภิบาลตลาดเช้า ล.39</t>
  </si>
  <si>
    <t>สุขาภิบาลตลาดเช้า ล.40</t>
  </si>
  <si>
    <t>สุขาภิบาลตลาดเช้า ล.44</t>
  </si>
  <si>
    <t>สุขาภิบาลตลาดเช้า ล.45</t>
  </si>
  <si>
    <t>สุขาภิบาลตลาดเช้า ล.46</t>
  </si>
  <si>
    <t>สุขาภิบาลตลาดเช้า ล.47</t>
  </si>
  <si>
    <t>สุขาภิบาลตลาดเช้า ล.48</t>
  </si>
  <si>
    <t>สุขาภิบาลตลาดเช้า ล.49</t>
  </si>
  <si>
    <t>สุขาภิบาลตลาดเช้า ล.50</t>
  </si>
  <si>
    <t>สุขาภิบาลตลาดเช้า ล.51</t>
  </si>
  <si>
    <t>สุขาภิบาลตลาดเช้า ล.52</t>
  </si>
  <si>
    <t>สุขาภิบาลตลาดเช้า ล.53</t>
  </si>
  <si>
    <t>สุขาภิบาลตลาดเช้า ล.54</t>
  </si>
  <si>
    <t>สุขาภิบาลตลาดเช้า ล.55</t>
  </si>
  <si>
    <t>สุขาภิบาลตลาดเช้า ล.56</t>
  </si>
  <si>
    <t>สุขาภิบาลตลาดเช้า ล.57</t>
  </si>
  <si>
    <t>สุขาภิบาลตลาดเช้า ล.58</t>
  </si>
  <si>
    <t>สุขาภิบาลตลาดเช้า ล.59</t>
  </si>
  <si>
    <t>สุขาภิบาลตลาดเช้า ล.60</t>
  </si>
  <si>
    <t>สุขาภิบาลตลาดเช้า ล.61</t>
  </si>
  <si>
    <t>สุขาภิบาลตลาดเช้า ล.62</t>
  </si>
  <si>
    <t>สุขาภิบาลตลาดเช้า ล.63</t>
  </si>
  <si>
    <t>สุขาภิบาลตลาดเช้า ล.64</t>
  </si>
  <si>
    <t>สุขาภิบาลตลาดเช้า ล.65</t>
  </si>
  <si>
    <t>สุขาภิบาลตลาดเช้า ล.66</t>
  </si>
  <si>
    <t>สุขาภิบาลตลาดเช้า ล.67</t>
  </si>
  <si>
    <t>สุขาภิบาลตลาดเช้า ล.68</t>
  </si>
  <si>
    <t>นางสาวมีเนาะ สาเรส</t>
  </si>
  <si>
    <t>สุขาภิบาลตลาดเช้า ล.70</t>
  </si>
  <si>
    <t>สุขาภิบาลตลาดเช้า ล.71</t>
  </si>
  <si>
    <t>สุขาภิบาลตลาดเช้า ล.72</t>
  </si>
  <si>
    <t>สุขาภิบาลตลาดเช้า ล.74</t>
  </si>
  <si>
    <t>สุขาภิบาลตลาดเช้า ล.76</t>
  </si>
  <si>
    <t>สุขาภิบาลตลาดเช้า ล.77</t>
  </si>
  <si>
    <t>สุขาภิบาลตลาดเช้า ล.82</t>
  </si>
  <si>
    <t>สุขาภิบาลตลาดเช้า ล.88</t>
  </si>
  <si>
    <t>สุขาภิบาลตลาดเช้า ล.89</t>
  </si>
  <si>
    <t>สุขาภิบาลตลาดเช้า ล.90</t>
  </si>
  <si>
    <t>สุขาภิบาลตลาดเช้า ล.91</t>
  </si>
  <si>
    <t>สุขาภิบาลตลาดเช้า ล.92</t>
  </si>
  <si>
    <t>สุขาภิบาลตลาดเช้า ล.93</t>
  </si>
  <si>
    <t>สุขาภิบาลตลาดเช้า ล.94</t>
  </si>
  <si>
    <t>สุขาภิบาลตลาดเช้า ล.95</t>
  </si>
  <si>
    <t>สุขาภิบาลตลาดเช้า ล.98</t>
  </si>
  <si>
    <t>สุขาภิบาลตลาดเช้า ล.99</t>
  </si>
  <si>
    <t>สุขาภิบาลตลาดเช้า ล.100</t>
  </si>
  <si>
    <t>สุขาภิบาลตลาดเช้า ล.101</t>
  </si>
  <si>
    <t>สุขาภิบาลตลาดเช้า ล.102</t>
  </si>
  <si>
    <t>สุขาภิบาลตลาดเช้า ล.103</t>
  </si>
  <si>
    <t>สุขาภิบาลตลาดเช้า ล.104</t>
  </si>
  <si>
    <t>นายวานิ อาแว</t>
  </si>
  <si>
    <t>สุขาภิบาลตลาดเช้า ล.105</t>
  </si>
  <si>
    <t>นายซากานิยาร์ เจ๊ะมามะ</t>
  </si>
  <si>
    <t>นางรอฮานิง มีซา</t>
  </si>
  <si>
    <t>สุขาภิบาลตลาดเช้า ล.107</t>
  </si>
  <si>
    <t>สุขาภิบาลตลาดเช้า ล.108</t>
  </si>
  <si>
    <t>สุขาภิบาลตลาดเช้า ล.109</t>
  </si>
  <si>
    <t>สุขาภิบาลตลาดเช้า ล.110</t>
  </si>
  <si>
    <t>สุขาภิบาลตลาดเช้า ล.111</t>
  </si>
  <si>
    <t>สุขาภิบาลตลาดเช้า ล.112</t>
  </si>
  <si>
    <t>สุขาภิบาลตลาดเช้า ล.113</t>
  </si>
  <si>
    <t>สุขาภิบาลตลาดเช้า ล.114</t>
  </si>
  <si>
    <t>สุขาภิบาลตลาดเช้า ล.115</t>
  </si>
  <si>
    <t>สุขาภิบาลตลาดเช้า ล.117</t>
  </si>
  <si>
    <t>สุขาภิบาลตลาดเช้า ล.118</t>
  </si>
  <si>
    <t>สุขาภิบาลตลาดเช้า ล.119</t>
  </si>
  <si>
    <t>สุขาภิบาลตลาดเช้า ล.120</t>
  </si>
  <si>
    <t>นายณรงค์ ใบระหมาน</t>
  </si>
  <si>
    <t>สุขาภิบาลตลาดเช้า ล.124</t>
  </si>
  <si>
    <t>สุขาภิบาลตลาดเช้า ล.125</t>
  </si>
  <si>
    <t>สุขาภิบาลตลาดเช้า ล.127</t>
  </si>
  <si>
    <t>สุขาภิบาลตลาดเช้า ล.129</t>
  </si>
  <si>
    <t>สุขาภิบาลตลาดเช้า ล.130</t>
  </si>
  <si>
    <t>สุขาภิบาลตลาดเช้า ล.131</t>
  </si>
  <si>
    <t>สุขาภิบาลตลาดเช้า ล.132</t>
  </si>
  <si>
    <t>สุขาภิบาลตลาดเช้า ล.138</t>
  </si>
  <si>
    <t>สุขาภิบาลตลาดเช้า ล.139</t>
  </si>
  <si>
    <t>สุขาภิบาลตลาดเช้า ล.140</t>
  </si>
  <si>
    <t>สุขาภิบาลตลาดเช้า ล.141</t>
  </si>
  <si>
    <t>สุขาภิบาลตลาดเช้า ล.142</t>
  </si>
  <si>
    <t>สุขาภิบาลตลาดเช้า ล.143</t>
  </si>
  <si>
    <t>สุขาภิบาลตลาดเช้า ล.144</t>
  </si>
  <si>
    <t>สุขาภิบาลตลาดเช้า ล.146</t>
  </si>
  <si>
    <t>สุขาภิบาลตลาดเช้า ล.147</t>
  </si>
  <si>
    <t>สุขาภิบาลตลาดเช้า ล.153</t>
  </si>
  <si>
    <t>สุขาภิบาลตลาดเช้า ล.155</t>
  </si>
  <si>
    <t>สุขาภิบาลตลาดเช้า ล.156</t>
  </si>
  <si>
    <t>สุขาภิบาลตลาดเช้า ล.157</t>
  </si>
  <si>
    <t>สุขาภิบาลตลาดเช้า ล.158</t>
  </si>
  <si>
    <t>สุขาภิบาลตลาดเช้า ล.168</t>
  </si>
  <si>
    <t>สุขาภิบาลตลาดเช้า ล.169</t>
  </si>
  <si>
    <t>สุขาภิบาลตลาดเช้า ล.170</t>
  </si>
  <si>
    <t>สุขาภิบาลตลาดเช้า ล.171</t>
  </si>
  <si>
    <t>สุขาภิบาลตลาดเช้า ล.172</t>
  </si>
  <si>
    <t>สุขาภิบาลตลาดเช้า ล.173</t>
  </si>
  <si>
    <t>สุขาภิบาลตลาดเช้า ล.174</t>
  </si>
  <si>
    <t>สุขาภิบาลตลาดเช้า ล.175</t>
  </si>
  <si>
    <t>สุขาภิบาลตลาดเช้า ล.176</t>
  </si>
  <si>
    <t>สุขาภิบาลตลาดเช้า ล.177</t>
  </si>
  <si>
    <t>สุขาภิบาลตลาดเช้า ล.178</t>
  </si>
  <si>
    <t>สุขาภิบาลตลาดเช้า ล.179</t>
  </si>
  <si>
    <t>สุขาภิบาลตลาดเช้า ล.180</t>
  </si>
  <si>
    <t>สุขาภิบาลตลาดเช้า ล.181</t>
  </si>
  <si>
    <t>สุขาภิบาลตลาดเช้า ล.182</t>
  </si>
  <si>
    <t>สุขาภิบาลตลาดเช้า ล.188</t>
  </si>
  <si>
    <t>สุขาภิบาลตลาดเช้า ล.189</t>
  </si>
  <si>
    <t>สุขาภิบาลตลาดเช้า ล.190</t>
  </si>
  <si>
    <t>สุขาภิบาลตลาดเช้า ล.191</t>
  </si>
  <si>
    <t>สุขาภิบาลตลาดเช้า ล.192</t>
  </si>
  <si>
    <t>สุขาภิบาลตลาดเช้า ล.193</t>
  </si>
  <si>
    <t>สุขาภิบาลตลาดเช้า ล.194</t>
  </si>
  <si>
    <t>สุขาภิบาลตลาดเช้า ล.195</t>
  </si>
  <si>
    <t>สุขาภิบาลตลาดเช้า ล.196</t>
  </si>
  <si>
    <t>สุขาภิบาลตลาดเช้า ล.197</t>
  </si>
  <si>
    <t>สุขาภิบาลตลาดเช้า ล.198</t>
  </si>
  <si>
    <t>สุขาภิบาลตลาดเช้า ล.199</t>
  </si>
  <si>
    <t>สุขาภิบาลตลาดเช้า ล.203</t>
  </si>
  <si>
    <t>สุขาภิบาลตลาดเช้า ล.204</t>
  </si>
  <si>
    <t>สุขาภิบาลตลาดเช้า ล.205</t>
  </si>
  <si>
    <t>สุขาภิบาลตลาดเช้า ล.206</t>
  </si>
  <si>
    <t>สุขาภิบาลตลาดเช้า ล.207</t>
  </si>
  <si>
    <t>สุขาภิบาลตลาดเช้า ล.210</t>
  </si>
  <si>
    <t>สุขาภิบาลตลาดเช้า ล.211</t>
  </si>
  <si>
    <t>สุขาภิบาลตลาดเช้า ล.212</t>
  </si>
  <si>
    <t>นายประสพชัย อร่ามเมือง</t>
  </si>
  <si>
    <t>สุขาภิบาลตลาดเช้า ล.213</t>
  </si>
  <si>
    <t>สุขาภิบาลตลาดเช้า ล.214</t>
  </si>
  <si>
    <t>สุขาภิบาลตลาดเช้า ล.215</t>
  </si>
  <si>
    <t>สุขาภิบาลตลาดเช้า ล.216</t>
  </si>
  <si>
    <t>สุขาภิบาลตลาดเช้า ล.217</t>
  </si>
  <si>
    <t>สุขาภิบาลตลาดเช้า ล.218</t>
  </si>
  <si>
    <t>สุขาภิบาลตลาดเช้า ล.219</t>
  </si>
  <si>
    <t>สุขาภิบาลตลาดเช้า ล.220</t>
  </si>
  <si>
    <t>สุขาภิบาลตลาดเช้า ล.221</t>
  </si>
  <si>
    <t>สุขาภิบาลตลาดเช้า ล.222</t>
  </si>
  <si>
    <t>สุขาภิบาลตลาดเช้า ล.223</t>
  </si>
  <si>
    <t>สุขาภิบาลตลาดเช้า ล.224</t>
  </si>
  <si>
    <t>สุขาภิบาลตลาดเช้า ล.225</t>
  </si>
  <si>
    <t>สุขาภิบาลตลาดเช้า ล.226</t>
  </si>
  <si>
    <t>สุขาภิบาลตลาดเช้า ล.227</t>
  </si>
  <si>
    <t>สุขาภิบาลตลาดเช้า ล.228</t>
  </si>
  <si>
    <t>สุขาภิบาลตลาดเช้า ล.229</t>
  </si>
  <si>
    <t>นางอิสรีย์ ทองแก้ว</t>
  </si>
  <si>
    <t>สุขาภิบาลตลาดเช้า ล.230</t>
  </si>
  <si>
    <t>สุขาภิบาลตลาดเช้า ล.231</t>
  </si>
  <si>
    <t>สุขาภิบาลตลาดเช้า ล.232</t>
  </si>
  <si>
    <t>สุขาภิบาลตลาดเช้า ล.233</t>
  </si>
  <si>
    <t>สุขาภิบาลตลาดเช้า ล.234</t>
  </si>
  <si>
    <t>สุขาภิบาลตลาดเช้า ล.235</t>
  </si>
  <si>
    <t>สุขาภิบาลตลาดเช้า ล.236</t>
  </si>
  <si>
    <t>สุขาภิบาลตลาดเช้า ล.237</t>
  </si>
  <si>
    <t>สุขาภิบาลตลาดเช้า ล.238</t>
  </si>
  <si>
    <t>สุขาภิบาลตลาดเช้า ล.239</t>
  </si>
  <si>
    <t>สุขาภิบาลตลาดเช้า ล.240</t>
  </si>
  <si>
    <t>สุขาภิบาลตลาดเช้า ล.241</t>
  </si>
  <si>
    <t>สุขาภิบาลตลาดเช้า ล.242</t>
  </si>
  <si>
    <t>สุขาภิบาลตลาดเช้า ล.243</t>
  </si>
  <si>
    <t>สุขาภิบาลตลาดเช้า ล.244</t>
  </si>
  <si>
    <t>นางสาวรอวียะ ดือเระ</t>
  </si>
  <si>
    <t>สุขาภิบาลตลาดเช้า ล.245</t>
  </si>
  <si>
    <t>สุขาภิบาลตลาดเช้า ล.246</t>
  </si>
  <si>
    <t>สุขาภิบาลตลาดเช้า ล.247</t>
  </si>
  <si>
    <t>สุขาภิบาลตลาดเช้า ล.248</t>
  </si>
  <si>
    <t>สุขาภิบาลตลาดเช้า ล.249</t>
  </si>
  <si>
    <t>สุขาภิบาลตลาดเช้า ล.250</t>
  </si>
  <si>
    <t>สุขาภิบาลตลาดเช้า ล.251</t>
  </si>
  <si>
    <t>สุขาภิบาลตลาดเช้า ล.252</t>
  </si>
  <si>
    <t>สุขาภิบาลตลาดเช้า ล.253</t>
  </si>
  <si>
    <t>สุขาภิบาลตลาดเช้า ล.254</t>
  </si>
  <si>
    <t>สุขาภิบาลตลาดเช้า ล.255</t>
  </si>
  <si>
    <t>สุขาภิบาลตลาดเช้า ล.256</t>
  </si>
  <si>
    <t>สุขาภิบาลตลาดเช้า ล.257</t>
  </si>
  <si>
    <t>สุขาภิบาลตลาดเช้า ล.258</t>
  </si>
  <si>
    <t>สุขาภิบาลตลาดเช้า ล.259</t>
  </si>
  <si>
    <t>สุขาภิบาลตลาดเช้า ล.260</t>
  </si>
  <si>
    <t>นางสาวปิลันทา พงษ์ธัญญะวิริยะ</t>
  </si>
  <si>
    <t>สุขาภิบาลตลาดเช้า ล.261</t>
  </si>
  <si>
    <t>สุขาภิบาลตลาดเช้า ล.262</t>
  </si>
  <si>
    <t>สุขาภิบาลตลาดเช้า ล.263</t>
  </si>
  <si>
    <t>สุขาภิบาลตลาดเช้า ล.264</t>
  </si>
  <si>
    <t>นายสิทธิโชค เฉลิมโชคปรีชา</t>
  </si>
  <si>
    <t>สุขาภิบาลตลาดเช้า ล.265</t>
  </si>
  <si>
    <t>สุขาภิบาลตลาดเช้า ล.266</t>
  </si>
  <si>
    <t>สุขาภิบาลตลาดเช้า ล.267</t>
  </si>
  <si>
    <t>สุขาภิบาลตลาดเช้า ล.268</t>
  </si>
  <si>
    <t>สุขาภิบาลตลาดเช้า ล.269</t>
  </si>
  <si>
    <t>สุขาภิบาลตลาดเช้า ล.270</t>
  </si>
  <si>
    <t>สุขาภิบาลตลาดเช้า ล.271</t>
  </si>
  <si>
    <t>สุขาภิบาลตลาดเช้า ล.272</t>
  </si>
  <si>
    <t>สุขาภิบาลตลาดเช้า ล.273</t>
  </si>
  <si>
    <t>สุขาภิบาลตลาดเช้า ล.274</t>
  </si>
  <si>
    <t>สุขาภิบาลตลาดเช้า ล.275</t>
  </si>
  <si>
    <t>สุขาภิบาลตลาดเช้า ล.276</t>
  </si>
  <si>
    <t>สุขาภิบาลตลาดเช้า ล.277</t>
  </si>
  <si>
    <t>สุขาภิบาลตลาดเช้า ล.278</t>
  </si>
  <si>
    <t>สุขาภิบาลตลาดเช้า ล.279</t>
  </si>
  <si>
    <t>สุขาภิบาลตลาดเช้า ล.280</t>
  </si>
  <si>
    <t>สุขาภิบาลตลาดเช้า ล.281</t>
  </si>
  <si>
    <t>สุขาภิบาลตลาดเช้า ล.282</t>
  </si>
  <si>
    <t>สุขาภิบาลตลาดเช้า ล.283</t>
  </si>
  <si>
    <t>สุขาภิบาลตลาดเช้า ล.284</t>
  </si>
  <si>
    <t>สุขาภิบาลตลาดเช้า ล.285</t>
  </si>
  <si>
    <t>สุขาภิบาลตลาดเช้า ล.286</t>
  </si>
  <si>
    <t xml:space="preserve">สุขาภิบาลตลาดเช้า ล.287
</t>
  </si>
  <si>
    <t>สุขาภิบาลตลาดเช้า ล.288</t>
  </si>
  <si>
    <t>สุขาภิบาลตลาดเช้า ล.289</t>
  </si>
  <si>
    <t>สุขาภิบาลตลาดเช้า ล.290</t>
  </si>
  <si>
    <t>สุขาภิบาลตลาดเช้า ล.291</t>
  </si>
  <si>
    <t>สุขาภิบาลตลาดเช้า ล.292</t>
  </si>
  <si>
    <t>สุขาภิบาลตลาดเช้า ล.293</t>
  </si>
  <si>
    <t>สุขาภิบาลตลาดเช้า ล.294</t>
  </si>
  <si>
    <t>สุขาภิบาลตลาดเช้า ล.295</t>
  </si>
  <si>
    <t>สุขาภิบาลตลาดเช้า ล.296</t>
  </si>
  <si>
    <t>สุขาภิบาลตลาดเช้า ล.297</t>
  </si>
  <si>
    <t>สุขาภิบาลตลาดเช้า ล.298</t>
  </si>
  <si>
    <t>สุขาภิบาลตลาดเช้า ล.299</t>
  </si>
  <si>
    <t>สุขาภิบาลตลาดเช้า ล.301</t>
  </si>
  <si>
    <t>นายรวีพล มโนมัยเสถียร</t>
  </si>
  <si>
    <t>สุขาภิบาลตลาดเช้า ล.302</t>
  </si>
  <si>
    <t>สุขาภิบาลตลาดเช้า ล.303</t>
  </si>
  <si>
    <t>สุขาภิบาลตลาดเช้า ล.304</t>
  </si>
  <si>
    <t>สุขาภิบาลตลาดเช้า ล.305</t>
  </si>
  <si>
    <t>สุขาภิบาลตลาดเช้า ล.306</t>
  </si>
  <si>
    <t>สุขาภิบาลตลาดเช้า ล.307</t>
  </si>
  <si>
    <t>สุขาภิบาลตลาดเช้า ล.310</t>
  </si>
  <si>
    <t>สุขาภิบาลตลาดเช้า ล.311</t>
  </si>
  <si>
    <t>สุขาภิบาลตลาดเช้า ล.312</t>
  </si>
  <si>
    <t>สุขาภิบาลตลาดเช้า ล.313</t>
  </si>
  <si>
    <t>สุขาภิบาลตลาดเช้า ล.314</t>
  </si>
  <si>
    <t>สุขาภิบาลตลาดเช้า ล.315</t>
  </si>
  <si>
    <t>สุขาภิบาลตลาดเช้า ล.316</t>
  </si>
  <si>
    <t>สุขาภิบาลตลาดเช้า ล.317</t>
  </si>
  <si>
    <t>สุขาภิบาลตลาดเช้า ล.318</t>
  </si>
  <si>
    <t>สุขาภิบาลตลาดเช้า ล.319</t>
  </si>
  <si>
    <t>สุขาภิบาลตลาดเช้าล.320</t>
  </si>
  <si>
    <t>สุขาภิบาลตลาดเช้า ล.321</t>
  </si>
  <si>
    <t>สุขาภิบาลตลาดเช้า ล.322</t>
  </si>
  <si>
    <t>สุขาภิบาลตลาดเช้า ล.323</t>
  </si>
  <si>
    <t>สุขาภิบาลตลาดเช้า ล.324</t>
  </si>
  <si>
    <t>สุขาตลาดเกษตร ล.16</t>
  </si>
  <si>
    <t>สุขา ตลาดเกษตร ล.18</t>
  </si>
  <si>
    <t>สุขาตลาดเกษตร ล.24</t>
  </si>
  <si>
    <t>นางสาวกูรูนี   เปาะนุ</t>
  </si>
  <si>
    <t>สุขา ตลาดเกษตร ล.70,80</t>
  </si>
  <si>
    <t>สุขาตลาดเกษตร ล.72,79</t>
  </si>
  <si>
    <t>สุขา ตลาดเกษตร ล.81</t>
  </si>
  <si>
    <t>นส.กุหลาบ สารีบุตร</t>
  </si>
  <si>
    <t xml:space="preserve">    สูง (ต่ำ)                               (71,516.86)</t>
  </si>
  <si>
    <t>จำนวน 12 งวด</t>
  </si>
  <si>
    <t>รถผ่านท่า กย.67.66</t>
  </si>
  <si>
    <t>นางสาว จิราภา ธรรมมัฆวรรณ</t>
  </si>
  <si>
    <t>อาคารแปลง A 3</t>
  </si>
  <si>
    <t>อาคารแปลง A 4</t>
  </si>
  <si>
    <t>อาคารแปลง B 3</t>
  </si>
  <si>
    <t>อาคารแปลง B 4</t>
  </si>
  <si>
    <t>อาคารแปลง B 5</t>
  </si>
  <si>
    <t>อาคารแปลง B 6</t>
  </si>
  <si>
    <t>อาคารแปลง B 8</t>
  </si>
  <si>
    <t>อาคารแปลง B 9</t>
  </si>
  <si>
    <t>นายอับดุลเราะห์มาน สะอิ</t>
  </si>
  <si>
    <t>นายแวมุกตาร์  แวอีซอ</t>
  </si>
  <si>
    <t>นางสาววลัยนุช  แสงอรุณ</t>
  </si>
  <si>
    <t>นางฟารีดา สาและ</t>
  </si>
  <si>
    <t>นายมะแอ อุมา(เสียชีวิต) นส.มารียะ บื่อภารบัง</t>
  </si>
  <si>
    <t>นางสาวเสาวณี หวันโส๊ะ</t>
  </si>
  <si>
    <t>นางสาวรอพีอะห์ เจ๊ะหม๊ะ</t>
  </si>
  <si>
    <t>นางเกวลี ชลทิศ</t>
  </si>
  <si>
    <t>นางสาวมลฤดี รัตนศิธร(เสียชีวิต) นายชัชวาลย์ รัตนศิธร (ชำระ)</t>
  </si>
  <si>
    <t>นางวรรณดี ใบระหมาน</t>
  </si>
  <si>
    <t>สุขาภิบาลตลาดเช้า ล.300</t>
  </si>
  <si>
    <t xml:space="preserve">นางซูไรดา มากาสะ </t>
  </si>
  <si>
    <t>นายกิตติพัฒน์  ยงวานิชากร</t>
  </si>
  <si>
    <t>ค่าเช่าล็อคที่ 38</t>
  </si>
  <si>
    <t>นายศุภณัฐ  สิทธิศาสตร์</t>
  </si>
  <si>
    <t>ค่าเช่าล็อคที่ 58</t>
  </si>
  <si>
    <t>นายชาญจิต  สิทธิศาสตร์</t>
  </si>
  <si>
    <t>ค่าเช่าล็อคที่ 66</t>
  </si>
  <si>
    <t>นางสาวธมลชนก สิทธิศาสตร์</t>
  </si>
  <si>
    <t>ค่าเช่าล็อคที่ 111</t>
  </si>
  <si>
    <t>นางสุกัญญา สิทธิศาสตร์</t>
  </si>
  <si>
    <t>ค่าเช่าล็อคที่ 309</t>
  </si>
  <si>
    <t>ค่ารักษามิเตอร์ ล็อคที่ 38</t>
  </si>
  <si>
    <t>ค่ารักษามิเตอร์ ล็อคที่ 66</t>
  </si>
  <si>
    <t>ค่ารักษามิเตอร์ ล็อคที่ 309</t>
  </si>
  <si>
    <t>ล็อคที่ 38</t>
  </si>
  <si>
    <t>17 ส.ค. 67 - 17 ส.ค.68</t>
  </si>
  <si>
    <t>ล็อคที่ 66</t>
  </si>
  <si>
    <t>ล็อคที่ 273</t>
  </si>
  <si>
    <t>ล็อคที่ 309</t>
  </si>
  <si>
    <t>ปี 2568</t>
  </si>
  <si>
    <t>พ.ย.67 - มีค.68</t>
  </si>
  <si>
    <t>ล็อคที่ 84</t>
  </si>
  <si>
    <t>ล็อคที่ 93</t>
  </si>
  <si>
    <t xml:space="preserve"> ห้องน้ำหน้าตลาด</t>
  </si>
  <si>
    <t>มี.ค.- มิ.ย.68</t>
  </si>
  <si>
    <t>มี.ค.-มิ.ย.68</t>
  </si>
  <si>
    <t>นางบุญยิ่ง จันทร (นายสุทิน วิเศษพันธ์)</t>
  </si>
  <si>
    <t>เนื้อที่ 30 ตรว.</t>
  </si>
  <si>
    <t>เรือตรวจการประมงทะเล 612</t>
  </si>
  <si>
    <t>จำหน่ายไฟฟ้า/(ชั่วคราว)</t>
  </si>
  <si>
    <t>ภาษีโรงเรือนเนื้อที่ 30 ตรว.</t>
  </si>
  <si>
    <t>นายสุภาพ พิเชษฐพงศ์ธร</t>
  </si>
  <si>
    <t>ลานจอดรถล็อค27</t>
  </si>
  <si>
    <t>นายจิรายุ เนตรกระจ่าง</t>
  </si>
  <si>
    <t>บจก.ระนองอุตสาหกรรมห้องเย็นประมง</t>
  </si>
  <si>
    <t>นางสาว ปิโยรส  ศิริทัศน์</t>
  </si>
  <si>
    <t>นางสาววรรณเพ็ญ   ฤทธิชัย</t>
  </si>
  <si>
    <t>อ.โรงดอง ล.10</t>
  </si>
  <si>
    <t>ที่ดินแปลงหมายเลข 8.5 (1ธค.64-30พย.65)</t>
  </si>
  <si>
    <t>ที่ดินแปลงหมายเลข 8.5 (1ธค.65-30พย.66)</t>
  </si>
  <si>
    <t>ที่ดินแปลงหมายเลข 8.5 (1ธค.66-30พย.67)</t>
  </si>
  <si>
    <t>ตลาดเช้าจำหน่ายสัตว์น้ำ 206</t>
  </si>
  <si>
    <t>ตลาดเช้าจำหน่ายสัตว์น้ำ 207</t>
  </si>
  <si>
    <t>นางสาวยุพิน   หวังสุข -จันทร์เพ็ญ</t>
  </si>
  <si>
    <t>นางสาวยุพิน   หวังสุข</t>
  </si>
  <si>
    <t>ค่าน้ำ อ.ช่วง1 ล.81</t>
  </si>
  <si>
    <t>ค่าน้ำ โรงดอง ล.10</t>
  </si>
  <si>
    <t>นายพิทวัส ธรรมมัฆวรรณ</t>
  </si>
  <si>
    <t>นายศักดา   ตระกูลมณี</t>
  </si>
  <si>
    <t>สุขา อ.แปลง A 6</t>
  </si>
  <si>
    <t>สุขา อ.แปลง C ล.3,4</t>
  </si>
  <si>
    <t>สุขา อ.แปลง C ล.16</t>
  </si>
  <si>
    <t>สุขา อ.แปลง C ล.9</t>
  </si>
  <si>
    <t>นายอภิชัย  หลีกุล</t>
  </si>
  <si>
    <t>สุขา อ.แปลง C ล.10,11</t>
  </si>
  <si>
    <t>สุขาตลาดเกษตร ล.41</t>
  </si>
  <si>
    <t>สุขาตลาดเกษตร ล.42</t>
  </si>
  <si>
    <t>สุขาตลาดเกษตร ล.43</t>
  </si>
  <si>
    <t>สุขาตลาดเกษตร ล.44</t>
  </si>
  <si>
    <t>สุขาโรงดองข้าง สนง.ล.10</t>
  </si>
  <si>
    <t>มีค.65-ตค.65</t>
  </si>
  <si>
    <t>ตค.66-สค.67</t>
  </si>
  <si>
    <t>ตค.66-กค.67</t>
  </si>
  <si>
    <t>ธค.66-กค.67</t>
  </si>
  <si>
    <t>รายงานรายได้ของสะพานปลาและท่าเทียบเรือประมงประจำเดือน กรกฎาคม 2568 เปรียบเทียบเดือนมิถุนายน 2568</t>
  </si>
  <si>
    <t>สัญญาเช่าเริ่มตั้งแต่ 1 พค.67-31 เมย.68</t>
  </si>
  <si>
    <t>ค่าเช่าที่จำหน่ายน้ำมมัน</t>
  </si>
  <si>
    <t>ส.ค.66,ต.ค.66,ก.พ.67,ส.ค.67</t>
  </si>
  <si>
    <t>นายสุพีภัทร บุษยะพันธ์</t>
  </si>
  <si>
    <t>ตลาดรายย่อย 1-2</t>
  </si>
  <si>
    <t>นางสาววรรณี สุยฉ่อง</t>
  </si>
  <si>
    <t>ตลาดเช้าจำหน่ายสัตว์น้ำ 97</t>
  </si>
  <si>
    <t>ตลาดเช้าจำหน่ายสัตว์น้ำ 140</t>
  </si>
  <si>
    <t>ตลาดเช้าจำหน่ายสัตว์น้ำ 142</t>
  </si>
  <si>
    <t>สุขาภิบาลตลาดเช้า ล.42</t>
  </si>
  <si>
    <t>สุขาภิบาลตลาดเช้า ล.80</t>
  </si>
  <si>
    <t>นายยาการียา ยูโซะ</t>
  </si>
  <si>
    <t xml:space="preserve">นายบาฮารู   มูซอ  </t>
  </si>
  <si>
    <t>นายอับดุลอาซิ จะปะกิยา</t>
  </si>
  <si>
    <t>นางสาวมารียะ  ตาเยะ</t>
  </si>
  <si>
    <t>นางเพียงเพ็ญ   ก้อนแก้ว</t>
  </si>
  <si>
    <t>ค่าเช่าอาคารโรงดองสัตว์น้ำ ล็อค 5-6</t>
  </si>
  <si>
    <t>นายมุสตาปา  ปันยี</t>
  </si>
  <si>
    <t>นางสาวแวลีเมาะ  จะปะกิยา</t>
  </si>
  <si>
    <t>นางวาสนา คงเหมือนเพชร</t>
  </si>
  <si>
    <t>ส่งฟ้อง ดำเนินคดี 1709.2/154</t>
  </si>
  <si>
    <t xml:space="preserve">  4. ตราด</t>
  </si>
  <si>
    <t>ค่าเช่าที่ดิน สัญญา 3 ปี</t>
  </si>
  <si>
    <t>นายณัฐพงศ์ วายุภักดิ์</t>
  </si>
  <si>
    <t>นายสุนทร แกล้วทนงค์</t>
  </si>
  <si>
    <t>บริษัทอาวังการ์ดฯ</t>
  </si>
  <si>
    <t>ค่าเช่าพื้นที่โซน L</t>
  </si>
  <si>
    <t>ต่อเติมห้องน้ำ ห้องครัว</t>
  </si>
  <si>
    <t>บ.แปะแชสงขลา จก.</t>
  </si>
  <si>
    <t>นางสาวดารณี รู้ฤกษ์</t>
  </si>
  <si>
    <t>นางสาวรดาทิพย์ รู้ฤกษ์</t>
  </si>
  <si>
    <t>อาคารช่วง 1 ล.71</t>
  </si>
  <si>
    <t>นายยมนา  รู้ฤกษ์</t>
  </si>
  <si>
    <t xml:space="preserve">อาคารช่วง 1 ล.76
</t>
  </si>
  <si>
    <t>อาคารช่วง 1 ล.
113,114</t>
  </si>
  <si>
    <t>นายโยชนันตร์ รู้ฤกษ์</t>
  </si>
  <si>
    <t>อาคารช่วง 1 ล.
107,108,109,110</t>
  </si>
  <si>
    <t>อาคารช่วง 2 ล.15</t>
  </si>
  <si>
    <t>นางสาวเจ๊ะตีเมาะ การีนี</t>
  </si>
  <si>
    <t>นางสาวอาอีเสาะ ตาเยะ</t>
  </si>
  <si>
    <t>นายธิรพล แซ่เฮง</t>
  </si>
  <si>
    <t>นายธีระศักดิ์ อึ้งรังษี</t>
  </si>
  <si>
    <t>นายเชื่อง เพ็ชภักดี</t>
  </si>
  <si>
    <t>นางสาวบุญรวย จิตบรรจง</t>
  </si>
  <si>
    <t>นางสาวสารีฟะห์ มูซอ</t>
  </si>
  <si>
    <t>พค.-สค.68</t>
  </si>
  <si>
    <t>สุขา อ.แปลง C ล.6,7</t>
  </si>
  <si>
    <t>นางสาวอำพัน  แซ่ผ่อง</t>
  </si>
  <si>
    <t>1 กค.67-1กค.68</t>
  </si>
  <si>
    <t>นางสาวณัชปภา   ล้วนเล็ก</t>
  </si>
  <si>
    <t>นางกัญญาพัชณ์  สรวียะวิวัศ</t>
  </si>
  <si>
    <t>นางยุภา  ชัยเฉลิมวุฒิพงศ์</t>
  </si>
  <si>
    <t>นายอรุณสวัสดิ์ อิสริยะภิญโญ</t>
  </si>
  <si>
    <t>นางสาวสุพัตรา  อิสริยะภิญโญ</t>
  </si>
  <si>
    <t>ค่าภาษีที่ดินและสิ่งปลูกสร้างอาคารช่วง 1 ล.77</t>
  </si>
  <si>
    <t>ค่าภาษีที่ดินและสิ่งปลูกสร้างอาคารช่วง 1 ล.79</t>
  </si>
  <si>
    <t>ค่าภาษีที่ดินและสิ่งปลูกสร้างอาคารช่วง 2 ล.12,13</t>
  </si>
  <si>
    <t>ค่าภาษีที่ดินและสิ่งปลูกสร้างอาคารช่วง 2 ล.14</t>
  </si>
  <si>
    <t>นางกอบกุล  บุญเหลือ</t>
  </si>
  <si>
    <t>ค่าภาษีที่ดินและสิ่งปลูกสร้าง</t>
  </si>
  <si>
    <t>ค่าน้ำล็อคที่ 54</t>
  </si>
  <si>
    <t>ปี 2567</t>
  </si>
  <si>
    <t>หนี้อยู่ระหว่างดำเนินคดี</t>
  </si>
  <si>
    <t>น.ส.อุไรวรรณ  หีบแก้ว (ชั่วคราว)</t>
  </si>
  <si>
    <t>ส.ค.67 - มี.ค.68</t>
  </si>
  <si>
    <t>นายภัทรพล  เวสารัตน์</t>
  </si>
  <si>
    <t xml:space="preserve">ม.ค.68  - มี.ค.68 </t>
  </si>
  <si>
    <t>18 ส.ค. 67 - 17 ส.ค.68</t>
  </si>
  <si>
    <t>19 ส.ค. 67 - 17 ส.ค.68</t>
  </si>
  <si>
    <t>20 ส.ค. 67 - 17 ส.ค.68</t>
  </si>
  <si>
    <t>ปี 2567-2568</t>
  </si>
  <si>
    <t>นายวัทน์สิริ เปรมเดชา</t>
  </si>
  <si>
    <t>แฟลต 211/54</t>
  </si>
  <si>
    <t>น้ำลานจอดรถ</t>
  </si>
  <si>
    <t xml:space="preserve">ค่าเช่าล็อคที่ S13 </t>
  </si>
  <si>
    <t xml:space="preserve">ค่าเช่าล็อคที่ S14 </t>
  </si>
  <si>
    <t xml:space="preserve">ค่าเช่าล็อคที่ S18 </t>
  </si>
  <si>
    <t xml:space="preserve">ค่าเช่าล็อคที่ S19 </t>
  </si>
  <si>
    <t xml:space="preserve">ค่าเช่าล็อคที่ S23 </t>
  </si>
  <si>
    <t xml:space="preserve">ค่าเช่าล็อคที่ S24 </t>
  </si>
  <si>
    <t xml:space="preserve">ค่าเช่าล็อคที่ S28 </t>
  </si>
  <si>
    <t xml:space="preserve">ค่าเช่าล็อคที่ S29 </t>
  </si>
  <si>
    <t>ค่ารักษามิเตอร์ ล็อคที่ 148</t>
  </si>
  <si>
    <t xml:space="preserve">ค่ารักษามิเตอร์ ล็อคที่ S13 </t>
  </si>
  <si>
    <t xml:space="preserve">ค่ารักษามิเตอร์ ล็อคที่ S14 </t>
  </si>
  <si>
    <t xml:space="preserve">ค่ารักษามิเตอร์ ล็อคที่ S18 </t>
  </si>
  <si>
    <t xml:space="preserve">ค่ารักษามิเตอร์ ล็อคที่ S19 </t>
  </si>
  <si>
    <t xml:space="preserve">ค่ารักษามิเตอร์ ล็อคที่ S23 </t>
  </si>
  <si>
    <t xml:space="preserve">ค่ารักษามิเตอร์ ล็อคที่ S24 </t>
  </si>
  <si>
    <t xml:space="preserve">ค่ารักษามิเตอร์ ล็อคที่ S28 </t>
  </si>
  <si>
    <t xml:space="preserve">ค่ารักษามิเตอร์ ล็อคที่ S29 </t>
  </si>
  <si>
    <t>ภาษีโรงเรือนเนื้อที่ 22 ตรว.</t>
  </si>
  <si>
    <t>ล็อค B2 (เริ่มเช่า 1 ก.ย. 68)</t>
  </si>
  <si>
    <t>ค่าศูนย์อาหารพร้อมดอกเบี้ย</t>
  </si>
  <si>
    <t>สัญญาหมด 31 สค.60 ส่วนต่างค่าเช่าสัญญาใหม่ 15%  เดือนละ 2,250.- ตั้งแต่ กย.60 เป็นต้นไป</t>
  </si>
  <si>
    <t>ค่าเช่าศูนย์อาหารพร้อมดอกเบี้ย</t>
  </si>
  <si>
    <t>กย.63-กพ.64</t>
  </si>
  <si>
    <t>ค่าเสียหายพร้อมดอกเบี้ย</t>
  </si>
  <si>
    <t>กย.63-ธค.64</t>
  </si>
  <si>
    <t>ค่าภาษีโรงเรือนอาคารศูนย์อาหารและสุขาสาธารณะพร้อมดอกเบี้ย</t>
  </si>
  <si>
    <t>(1ก.ย.57-31 ส.ค.60) ก่อนดอกเบี้ย 46,630.43</t>
  </si>
  <si>
    <t>อัคคีภัย อยู่ระหว่างดำเนินคดี</t>
  </si>
  <si>
    <t>(25 ธ.ค. 61 - 25 ธ.ค. 63) ก่อนดอกเบี้ย 27,747.24</t>
  </si>
  <si>
    <t>อยู่ในขั้นตอนสบน.สืบทรัพย์</t>
  </si>
  <si>
    <t>โรงคลุม</t>
  </si>
  <si>
    <t>นายเมธา อินคล้าย</t>
  </si>
  <si>
    <t>บ.เพียววอเตอร์แอนด์ไอซ์ จก.</t>
  </si>
  <si>
    <t>นางหงสนาถ ประชากิตติกุล</t>
  </si>
  <si>
    <t>มี.ค.67,ตค.68</t>
  </si>
  <si>
    <t>เม.ย.67-ธค.67,มค.,มีค.68,ตค.68</t>
  </si>
  <si>
    <t>มิ.ย.66-ตค.68</t>
  </si>
  <si>
    <t>ตค.67-มีค.68</t>
  </si>
  <si>
    <t>ธ.ค.67 - มี.ค.68</t>
  </si>
  <si>
    <t>นางสาวอุไรวรรณ  หีบแก้ว</t>
  </si>
  <si>
    <t>ส.ค.-ธค.67,ตค.68</t>
  </si>
  <si>
    <t>ล็อคที่ 307</t>
  </si>
  <si>
    <t>นายนิติพัฒน์ กาญจนจำนงค์</t>
  </si>
  <si>
    <t>นางจินตนา วลัญชพร</t>
  </si>
  <si>
    <t>นางห้วน  ปานบุญทอง</t>
  </si>
  <si>
    <t>นางสาวธิดา  คูหามุกข์</t>
  </si>
  <si>
    <t>นางสุมนา  อุทัยรัตน์</t>
  </si>
  <si>
    <t xml:space="preserve">นางอิสรีย์ ทองแก้ว </t>
  </si>
  <si>
    <t>นายสมชาย  ร่าหมาน</t>
  </si>
  <si>
    <t>นายคำรณ  ร่าหมาน</t>
  </si>
  <si>
    <t>นายสมาณ บิลเฮม</t>
  </si>
  <si>
    <t>นางอุราวรรณ์ สินมณี</t>
  </si>
  <si>
    <t>นางฮามีด๊ะ มูซอ</t>
  </si>
  <si>
    <t>น้ำประปาข้างสุขาภิบาล</t>
  </si>
  <si>
    <t xml:space="preserve">นางสาวซามียะ แม็ง </t>
  </si>
  <si>
    <t xml:space="preserve">น้ำข้างสุขา </t>
  </si>
  <si>
    <t xml:space="preserve">นางสาวกรวรรณ นันตะมาศ </t>
  </si>
  <si>
    <t>ไฟฟ้า ตลาดเกษตร ล.41</t>
  </si>
  <si>
    <t>ไฟฟ้า ตลาดเกษตร ล.42</t>
  </si>
  <si>
    <t>ไฟฟ้า ตลาดเกษตร ล.43</t>
  </si>
  <si>
    <t>ไฟฟ้า ตลาดเกษตร ล.44</t>
  </si>
  <si>
    <t xml:space="preserve">ศักดา ตระกูลมณี </t>
  </si>
  <si>
    <t>สุขาภิบาล ด้านหลังโรงล้างกระบะ</t>
  </si>
  <si>
    <t>ค่าธรรมเนียมต่ออายุสัญญาอาคารแปลง A 1</t>
  </si>
  <si>
    <t>1 กย.67 - 31 สค.70</t>
  </si>
  <si>
    <t>ค่าธรรมเนียมต่ออายุสัญญาอาคารแปลง A 2</t>
  </si>
  <si>
    <t>ค่าธรรมเนียมต่ออายุสัญญาอาคารแปลง A 3</t>
  </si>
  <si>
    <t>ค่าธรรมเนียมต่ออายุสัญญาอาคารแปลง A 4</t>
  </si>
  <si>
    <t>ค่าธรรมเนียมต่ออายุสัญญาอาคารแปลง A 5</t>
  </si>
  <si>
    <t>นายโก ไค ซัว</t>
  </si>
  <si>
    <t>ค่าธรรมเนียมต่ออายุสัญญาอาคารแปลง B 8</t>
  </si>
  <si>
    <t>ค่าธรรมเนียมต่ออายุสัญญาอาคารแปลง B 9</t>
  </si>
  <si>
    <t>ค่าธรรมเนียมต่ออายุสัญญาอาคารแปลง C ล.1</t>
  </si>
  <si>
    <t>ค่าธรรมเนียมต่ออายุสัญญาอาคารแปลง C ล.2</t>
  </si>
  <si>
    <t>ค่าธรรมเนียมต่ออายุสัญญาอาคารแผงลอย B ล.1</t>
  </si>
  <si>
    <t>1กย.50-31สค.53</t>
  </si>
  <si>
    <t>ค่าธรรมเนียมต่ออายุสัญญาอาคารแผงลอย B ล.2</t>
  </si>
  <si>
    <t>ค่าธรรมเนียมต่ออายุสัญญาอาคารแผงลอย B ล.3</t>
  </si>
  <si>
    <t>ค่าธรรมเนียมต่ออายุสัญญาอาคารแผงลอย B ล.4</t>
  </si>
  <si>
    <t>ค่าธรรมเนียมต่ออายุสัญญาอาคารแผงลอย B ล.5</t>
  </si>
  <si>
    <t>ค่าธรรมเนียมต่ออายุสัญญาอาคารแผงลอย B ล.7</t>
  </si>
  <si>
    <t>นายพิชัย  แซ่ฉั่ว</t>
  </si>
  <si>
    <t>ค่าธรรมเนียมต่ออายุสัญญาอาคารแผงลอย B ล.8</t>
  </si>
  <si>
    <t>ค่าธรรมเนียมต่ออายุสัญญาอาคารแผงลอย B ล.9</t>
  </si>
  <si>
    <t>ค่าธรรมเนียมต่ออายุสัญญาอาคารแผงลอย B ล.10</t>
  </si>
  <si>
    <t>ค่าธรรมเนียมต่ออายุสัญญาอาคารแผงลอย B ล.11</t>
  </si>
  <si>
    <t>ค่าธรรมเนียมต่ออายุสัญญาอาคารแผงลอย B ล.12</t>
  </si>
  <si>
    <t>ค่าธรรมเนียมต่ออายุสัญญาอาคารช่วง 1 ล.77</t>
  </si>
  <si>
    <t>1ตค.65-30กย.68</t>
  </si>
  <si>
    <t>ค่าธรรมเนียมต่ออายุสัญญาอาคารช่วง 1 ล.79</t>
  </si>
  <si>
    <t>ค่าธรรมเนียมต่ออายุสัญญาอาคารช่วง 1 ล.105,106</t>
  </si>
  <si>
    <t>ค่าธรรมเนียมต่ออายุสัญญาอาคารช่วง 2 ล.12,13</t>
  </si>
  <si>
    <t>1กย.64-31สค.67</t>
  </si>
  <si>
    <t>ค่าธรรมเนียมต่ออายุสัญญาโรงบรรจุ ล.1,2,4,5,9,
10,11,12,13</t>
  </si>
  <si>
    <t>นางอุไร  สำราญรัตน์</t>
  </si>
  <si>
    <t>ค่าธรรมเนียมต่ออายุสัญญาโรงบรรจุ ล.33,34,45,46</t>
  </si>
  <si>
    <t>นางสาวแวรอสะนี  แวหามะ</t>
  </si>
  <si>
    <t xml:space="preserve">ค่าธรรมเนียมต่ออายุสัญญาโรงบรรจุ ล.36,47 </t>
  </si>
  <si>
    <t>ค่าธรรมเนียมต่ออายุสัญญาโรงบรรจุ ล.38</t>
  </si>
  <si>
    <t>ค่าธรรมเนียมต่ออายุสัญญาโรงบรรจุ ล.48</t>
  </si>
  <si>
    <t>1มีค.65-30กย.67</t>
  </si>
  <si>
    <t>ค่าธรรมเนียมต่ออายุสัญญาใต้ถุนสนง. ล.21,22</t>
  </si>
  <si>
    <t>ค่าธรรมเนียมต่ออายุสัญญา อ.โรงดอง ล.9</t>
  </si>
  <si>
    <t>นายสมพล พลหินกอง</t>
  </si>
  <si>
    <t>น้ำจืดล็อค 17</t>
  </si>
  <si>
    <t>ตลาดปลาน้ำเค็ม1-12</t>
  </si>
  <si>
    <t>ตลาดปลาน้ำเค็ม13-24</t>
  </si>
  <si>
    <t>บริษัสร้อยสุดา แลนด์ จำกัด</t>
  </si>
  <si>
    <t>ตลาดน้ำเค็ม 1-12</t>
  </si>
  <si>
    <t>ตลาดน้ำเค็ม 13-24</t>
  </si>
  <si>
    <t>นางสาวอาภากร วรณิชนันท์</t>
  </si>
  <si>
    <t>ใช้สถานที่วางเครื่องปั๊มน้ำ</t>
  </si>
  <si>
    <t>นางกฤติยา จิรภาวสุทธิ์  รายใหม่</t>
  </si>
  <si>
    <t>ลานจอดรถล็อค31</t>
  </si>
  <si>
    <t>นายคมกฤษ คุ้มชัย</t>
  </si>
  <si>
    <t>แฟลต 211/28</t>
  </si>
  <si>
    <t>นายสันติ สุธรรม</t>
  </si>
  <si>
    <t>น้ำพื้นที่ใต้แฟลต2 ล็อคที่ 1</t>
  </si>
  <si>
    <t>บริษัท โคตรทะเล เดอะ ริเวอร์ฟร้อนท์ เจริญกรุง 58 จำกัด</t>
  </si>
  <si>
    <t>- หนี้ดำเนินคดี(ตามคำพิพากษา)</t>
  </si>
  <si>
    <t>ค่าเช่าล็อคที่ 179</t>
  </si>
  <si>
    <t>ค่าเช่าล็อคที่ 213</t>
  </si>
  <si>
    <t>สค.66-ตค.66</t>
  </si>
  <si>
    <t>มี.ค.66-มิ.ย.66</t>
  </si>
  <si>
    <t>กย.66 - ตค.66</t>
  </si>
  <si>
    <t>สค.66 - ตค.66</t>
  </si>
  <si>
    <t>มิ.ย.66-ต.ค.66</t>
  </si>
  <si>
    <t>มิย.66 - ตค.66</t>
  </si>
  <si>
    <t>กย.66-ตค.66</t>
  </si>
  <si>
    <t>พย.65 - ตค.66</t>
  </si>
  <si>
    <t>มิ.ย.66 - ต.ค.66</t>
  </si>
  <si>
    <t>พ.ย.65 - ต.ค.66</t>
  </si>
  <si>
    <t>เมย.66 - ตค.66</t>
  </si>
  <si>
    <t>ม.ค.67 - ก.ย.67</t>
  </si>
  <si>
    <t>เม.ย.65-มี.ค.66,ต.ค.66</t>
  </si>
  <si>
    <t>ธค.66 - ตค.67</t>
  </si>
  <si>
    <t>พย.65-ตค.66</t>
  </si>
  <si>
    <t>มิย.66 -ตค.66</t>
  </si>
  <si>
    <t>มี.ค.65-ธ.ค.65,มี.ค.66-พ.ค.66,มิย.66-ตค.66</t>
  </si>
  <si>
    <t>มิ.ย.65-ก.ค.65,ก.ย.65-มี.ค.66</t>
  </si>
  <si>
    <t>สค.66-ตค66</t>
  </si>
  <si>
    <t>สค.66 - ตค66</t>
  </si>
  <si>
    <t>นส.หทัยรัตน์ ดาราพงษ์</t>
  </si>
  <si>
    <t>เนื้อที่ 110 ตรว.</t>
  </si>
  <si>
    <t>ภาษีโรงเรือนเนื้อที่ 110 ตรว.  (รายปี)</t>
  </si>
  <si>
    <t>ภาษีโรงเรือนเนื้อที่ 16 ตรว.(รายปี)</t>
  </si>
  <si>
    <t>นายนิสิทธิ์ หลงสาระ</t>
  </si>
  <si>
    <t>นางตุ๊กตา สุขจันทร์</t>
  </si>
  <si>
    <t>ธค.66-สค.67</t>
  </si>
  <si>
    <t>แฟลต 211/18</t>
  </si>
  <si>
    <t>นางชนนิกานต์ นันกลาง</t>
  </si>
  <si>
    <t>น้ำพื้นที่ใต้แฟลต2ล็อคที่1</t>
  </si>
  <si>
    <t>นางสาวยาวาเอ สาและ</t>
  </si>
  <si>
    <t>สุขาอาคารช่วง 1 ล.5</t>
  </si>
  <si>
    <t>นางสาวอาทิตยา  สุนทรกุมาร</t>
  </si>
  <si>
    <t>สุขาอาคารช่วง 1 ล.7,8,9,10,11,12</t>
  </si>
  <si>
    <t>สุขาอาคารช่วง 1 ล.27,28,29,30,31,32,33,34</t>
  </si>
  <si>
    <t>สุขาอาคารช่วง 1 ล.59</t>
  </si>
  <si>
    <t>สุขาอาคารช่วง 1 ล.61,62</t>
  </si>
  <si>
    <t>สุขาอาคารช่วง 1 ล.65</t>
  </si>
  <si>
    <t>สุขาอาคารช่วง 1 ล.70</t>
  </si>
  <si>
    <t>สุขาอาคารช่วง 1 ล.13,14,15,16</t>
  </si>
  <si>
    <t>สุขาอาคารช่วง 1 ล.17,18</t>
  </si>
  <si>
    <t>สุขาอาคารช่วง 1 ล.89</t>
  </si>
  <si>
    <t>สุขาอาคารช่วง 1 ล. 19,20,21,22,23,24</t>
  </si>
  <si>
    <t>สุขาอาคารช่วง 1 ล.25,26</t>
  </si>
  <si>
    <t>สุขาอาคารช่วง 1 ล.92</t>
  </si>
  <si>
    <t>นายฤกษ์ โมรากุล</t>
  </si>
  <si>
    <t>สุขาอาคารช่วง 1 ล.35</t>
  </si>
  <si>
    <t>สุขาอาคารช่วง 1 ล.36</t>
  </si>
  <si>
    <t>สุขาอาคารช่วง 1 ล.38</t>
  </si>
  <si>
    <t>สุขาอาคารช่วง 1 ล.37</t>
  </si>
  <si>
    <t>นางสาวจันทรัศม์   จันทรแก้ว</t>
  </si>
  <si>
    <t>สุขาอาคารช่วง 1 ล.45</t>
  </si>
  <si>
    <t>สุขาอาคารช่วง 1 ล.47</t>
  </si>
  <si>
    <t>สุขาอาคารช่วง 1 ล.48</t>
  </si>
  <si>
    <t>สุขาอาคารช่วง 1 ล.85,86</t>
  </si>
  <si>
    <t>นางนิภา  หลีกุล</t>
  </si>
  <si>
    <t>สุขาอาคารช่วง 1 ล.57</t>
  </si>
  <si>
    <t>สุขาอาคารช่วง 1 ล.64</t>
  </si>
  <si>
    <t>สุขาอาคารช่วง 1 ล.73,74</t>
  </si>
  <si>
    <t>สุขาอาคารช่วง 1 ล.66</t>
  </si>
  <si>
    <t>สุขาอาคารช่วง 1 ล.72</t>
  </si>
  <si>
    <t>สุขาอาคารช่วง 1 ล.67</t>
  </si>
  <si>
    <t>สุขาอาคารช่วง 1 ล.68</t>
  </si>
  <si>
    <t>สุขาอาคารช่วง 1 ล.75</t>
  </si>
  <si>
    <t>สุขาอาคารช่วง 1 ล.90</t>
  </si>
  <si>
    <t>สุขาอาคารช่วง 1 ล.77</t>
  </si>
  <si>
    <t>สุขาอาคารช่วง 1 ล.79</t>
  </si>
  <si>
    <t>สุขาอาคารช่วง 1 ล.78</t>
  </si>
  <si>
    <t>สุขาอาคารช่วง 1 ล.80</t>
  </si>
  <si>
    <t>สุขาอาคารช่วง 1 ล.105,106</t>
  </si>
  <si>
    <t>สุขาอาคารช่วง 1 ล.81,82</t>
  </si>
  <si>
    <t>สุขาอาคารช่วง 1 ล.84</t>
  </si>
  <si>
    <t>สุขาอาคารช่วง 1 ล.83</t>
  </si>
  <si>
    <t>สุขาอาคารช่วง 1 ล.99</t>
  </si>
  <si>
    <t>สุขาอาคารช่วง 1 ล.87,88</t>
  </si>
  <si>
    <t>สุขาอาคารช่วง 1 ล.93,94</t>
  </si>
  <si>
    <t>สุขาอาคารช่วง 1 ล.95</t>
  </si>
  <si>
    <t>สุขาอาคารช่วง 1 ล.97,98</t>
  </si>
  <si>
    <t>สุขาอาคารช่วง 1 ล.100,101,102</t>
  </si>
  <si>
    <t>สุขาอาคารช่วง 1 ล.103,104</t>
  </si>
  <si>
    <t>ค่าธรรมเนียมต่ออายุสัญญาอาคารช่วง 1 ล.
1,2,3,4</t>
  </si>
  <si>
    <t>1 ตค.68-30 กย.71</t>
  </si>
  <si>
    <t>ค่าธรรมเนียมต่ออายุสัญญาอาคารช่วง 1 ล.
39,40,41</t>
  </si>
  <si>
    <t>ค่าธรรมเนียมต่ออายุสัญญาอาคารช่วง 1 ล.
91</t>
  </si>
  <si>
    <t>ค่าธรรมเนียมต่ออายุสัญญาอาคารช่วง 1 ล.67</t>
  </si>
  <si>
    <t>ค่าธรรมเนียมต่ออายุสัญญาอาคารช่วง 1 ล.81,82</t>
  </si>
  <si>
    <t>ค่าธรรมเนียมต่ออายุสัญญาอาคารช่วง 1 ล.84</t>
  </si>
  <si>
    <t>ค่าธรรมเนียมต่ออายุสัญญาอาคารช่วง 1 ล.93,94</t>
  </si>
  <si>
    <t>ค่าธรรมเนียมต่ออายุสัญญาอาคารช่วง 1 ล.96</t>
  </si>
  <si>
    <t>ต่ออายุสัญญา</t>
  </si>
  <si>
    <t>ค่าเช่าที่จำหน่ายน้ำแข็งและเครื่องโม่</t>
  </si>
  <si>
    <t>ค่าต่ออายุสัญญา/สิทธิการโอน</t>
  </si>
  <si>
    <t>รายได้เบ็ดเตล็ด 4701600 (มิตเตอร์)</t>
  </si>
  <si>
    <t>ค่าอัคคีภัย/ภาษีโรงเรือน</t>
  </si>
  <si>
    <t>ภาษีโรงเรือนและที่ดิน</t>
  </si>
  <si>
    <r>
      <t>มติคอก.ครั้งที่ 10/2561 เมื่อวันที่ 19 ต.ค.2561</t>
    </r>
    <r>
      <rPr>
        <b/>
        <u/>
        <sz val="16"/>
        <rFont val="TH SarabunPSK"/>
        <family val="2"/>
      </rPr>
      <t xml:space="preserve"> (ได้ปรับลดยอดหนี้ให้เป็นตามมติ คกอ. ในเดือน ก.ย.64)</t>
    </r>
  </si>
  <si>
    <t>พย.67-มค.68</t>
  </si>
  <si>
    <t>อาคารช่วง 2 ล.24</t>
  </si>
  <si>
    <t>นางสุปราณี  แซ่ซิว</t>
  </si>
  <si>
    <t>โรงบรรจุ ล.3,42</t>
  </si>
  <si>
    <t xml:space="preserve">นางรอพีอะ เจ๊ะมห๊ะ </t>
  </si>
  <si>
    <t>ใต้ถุนสนง. ล.17,18</t>
  </si>
  <si>
    <t>นางเกวลี ชคทิศ</t>
  </si>
  <si>
    <t>ตลาดเช้าจำหน่ายสัตว์น้ำ 259</t>
  </si>
  <si>
    <t>ตลาดเช้าจำหน่ายสัตว์น้ำ 260</t>
  </si>
  <si>
    <t>ตลาดเช้าจำหน่ายสัตว์น้ำ 261</t>
  </si>
  <si>
    <t>ตลาดเช้าจำหน่ายสัตว์น้ำ 262</t>
  </si>
  <si>
    <t>ตลาดเช้าจำหน่ายสัตว์น้ำ 311</t>
  </si>
  <si>
    <t>สุขาตลาดเกษตร ล.2</t>
  </si>
  <si>
    <t>สุขา ตลาดเกษตร ล.23</t>
  </si>
  <si>
    <t>สุขาตลาดเกษตร ล.
28,30,65,69,68</t>
  </si>
  <si>
    <t>ก.พ.-ก.ค.66</t>
  </si>
  <si>
    <t>นายสมหมาย  คาคะวารีย์</t>
  </si>
  <si>
    <t>นางสาวนพารัตน์ อินแป้น</t>
  </si>
  <si>
    <t>นภารัตน์ปลาทะเล</t>
  </si>
  <si>
    <t>หจก.เอสเอฟเค ฟิชเชอรี่ (นส.กรกช) (ฝ้าย-โสภา)</t>
  </si>
  <si>
    <t>ล็อค B7</t>
  </si>
  <si>
    <t xml:space="preserve">คธน.สัตว์น้ำผ่านท่า </t>
  </si>
  <si>
    <t>ค่าจำหน่ายไฟฟ้า แม่ค้าย่อย</t>
  </si>
  <si>
    <t>นางสาวจารุวรรณ อินทร์อ่ำ</t>
  </si>
  <si>
    <t>ค่าเช่าล็อคที่ 206</t>
  </si>
  <si>
    <t>นางเสาวลักษณ์ อุดมสวัสดิ์</t>
  </si>
  <si>
    <t>ค่าน้ำล็อคที่ 227</t>
  </si>
  <si>
    <t>นางสาวพูนทรัพย์ นันทกิจ</t>
  </si>
  <si>
    <t>ค่าน้ำล็อคที่ 245</t>
  </si>
  <si>
    <t>นางสาววราภรณ์ แสงเจริญโรจน์</t>
  </si>
  <si>
    <t>ค่าน้ำล็อคที่ 254</t>
  </si>
  <si>
    <t>นายวัลลภ สร้อยบุ/น.สวันเพ็ญ งามขำ</t>
  </si>
  <si>
    <t>น้ำจืดล็อค 16</t>
  </si>
  <si>
    <t>นางสาวรำไพ เฒ่าทอง</t>
  </si>
  <si>
    <t>นางสาวมานิตย์  เทียนขาว</t>
  </si>
  <si>
    <t>นางสาวอารยา  ลิว</t>
  </si>
  <si>
    <t xml:space="preserve">นางซามียะ แม็ง </t>
  </si>
  <si>
    <t>ตลาดเช้าจำหน่ายสัตว์น้ำ 45</t>
  </si>
  <si>
    <t>นางสาวอำนวย ทิพย์มณเฑียร</t>
  </si>
  <si>
    <t>สุขาภิบาลตลาดเช้า ล.22</t>
  </si>
  <si>
    <t>สุขาภิบาลตลาดเช้า ล.23</t>
  </si>
  <si>
    <t>สุขาภิบาลตลาดเช้า ล.24</t>
  </si>
  <si>
    <t>สุขาภิบาลตลาดเช้า ล.29</t>
  </si>
  <si>
    <t>สุขาภิบาลตลาดเช้า ล.30</t>
  </si>
  <si>
    <t>สุขาภิบาลตลาดเช้า ล.31</t>
  </si>
  <si>
    <t>สุขาภิบาลตลาดเช้า ล.32</t>
  </si>
  <si>
    <t>สุขาภิบาลตลาดเช้า ล.33</t>
  </si>
  <si>
    <t>สุขาภิบาลตลาดเช้า ล.36</t>
  </si>
  <si>
    <t>สุขาภิบาลตลาดเช้า ล.38</t>
  </si>
  <si>
    <t>สุขาภิบาลตลาดเช้า ล.41</t>
  </si>
  <si>
    <t>สุขาภิบาลตลาดเช้า ล.43</t>
  </si>
  <si>
    <t>สุขาภิบาลตลาดเช้า ล.79</t>
  </si>
  <si>
    <t>สุขาภิบาลตลาดเช้า ล.96</t>
  </si>
  <si>
    <t>สุขาภิบาลตลาดเช้า ล.97</t>
  </si>
  <si>
    <t>นางสาวพเยาว์ คงแก้ว</t>
  </si>
  <si>
    <t>นางสุวรรลี ใบระหมาน</t>
  </si>
  <si>
    <t>สุขาภิบาลตลาดเช้า ล.183</t>
  </si>
  <si>
    <t>สุขาภิบาลตลาดเช้า ล.184</t>
  </si>
  <si>
    <t>สุขาภิบาลตลาดเช้า ล.185</t>
  </si>
  <si>
    <t>สุขาภิบาลตลาดเช้า ล.186</t>
  </si>
  <si>
    <t>สุขาภิบาลตลาดเช้า ล.187</t>
  </si>
  <si>
    <t>นายสุมลฑา บุนนาค</t>
  </si>
  <si>
    <t>สุขาภิบาลตลาดเช้า ล.200</t>
  </si>
  <si>
    <t>สุขาภิบาลตลาดเช้า ล.201</t>
  </si>
  <si>
    <t>สุขาภิบาลตลาดเช้า ล.202</t>
  </si>
  <si>
    <t>นายสะอารี มีชา</t>
  </si>
  <si>
    <t>สุขาภิบาลตลาดเช้า ล.208</t>
  </si>
  <si>
    <t>สุขาภิบาลตลาดเช้า ล.209</t>
  </si>
  <si>
    <t>สุขาตลาดเกษตร ล.1</t>
  </si>
  <si>
    <t>ใต้ตึก สป.กท.ล็อคA8</t>
  </si>
  <si>
    <t>ใต้แฟลต2 ล็อคที่ 2</t>
  </si>
  <si>
    <t>แฟลต 211/16</t>
  </si>
  <si>
    <t>แฟลต 211/42</t>
  </si>
  <si>
    <t>แฟลต 211/60</t>
  </si>
  <si>
    <t>นางจีรมล สายคำเคือง</t>
  </si>
  <si>
    <t xml:space="preserve">นายสุชาติ ฤกษโรจี/นายทนงศักดิ์  </t>
  </si>
  <si>
    <t>นายพิเชษฐ์ เอี่ยมพร (เริ่ม1ธค.68)</t>
  </si>
  <si>
    <t>นางชนนิกานต์ นันกลาง(เริ่ม1ตค.68ถึง31ธค.69)</t>
  </si>
  <si>
    <t>ไฟฟ้าพื้นที่ใต้แฟลต2ล็อคที่1</t>
  </si>
  <si>
    <t xml:space="preserve">ไฟฟ้า 3 ชั้น 6 คูหา </t>
  </si>
  <si>
    <t>ไฟฟ้าทั้วไป</t>
  </si>
  <si>
    <t>นางประภา สถานทรัพย์ (ภาษีที่ดินปี 65,66,67)</t>
  </si>
  <si>
    <t>ภาษีปี 65,66,67</t>
  </si>
  <si>
    <t>ไฟฟ้าพื้นที่ชั่วคราว ล็อค 34</t>
  </si>
  <si>
    <t>น้ำพื้นที่ชั่วคราว ล็อค 34</t>
  </si>
  <si>
    <t>ปรับปรุงยอดหนี้ตามคำพิพากษา คดีหมายเลขดำที่ ม15/2567 คดีหมายเลขแดงที่ ม28/2567 ศาลจังหวัดสตูล  10 มิถุนายน 2567 ให้จำเลยชำระเงิน 192,852.76</t>
  </si>
  <si>
    <t>พร้อมดอกเบี้ยร้อยละ 5 ต่อปี ของต้นเงิน 88,770.00 นับถัดจากวันฟ้อง (ฟ้องวันที่ 9 เม.ย.2567) ค่าเช่า 88,770 ดอกเบี้ย 44,982.76 เรื่อง รับสภาพหนี้</t>
  </si>
  <si>
    <t>ศาลจังหวัดสตูล</t>
  </si>
  <si>
    <t xml:space="preserve">นางอารีย์  วนิชกุลพิทักษ์  </t>
  </si>
  <si>
    <t>ปรับปรุงยอดหนี้ตามคำพิพากษา คดีหมายเลขดำที่ พ34/2567 คดีหมายเลขแดงที่ พ57/2567 ศาลจังหวัดสตูล  7 พ.ค. 2567 ให้จำเลยชำระเงิน 304,935.70</t>
  </si>
  <si>
    <t>พร้อมดอกเบี้ยร้อยละ 5 ต่อปี ของต้นเงิน 193,600.00 นับถัดจากวันฟ้อง (ฟ้องวันที่ 15 มีนาคม 2567) เรื่องเช่าทรัพย์ ขับไล่ รับสภาพหนี้</t>
  </si>
  <si>
    <t>ปรับปรุงยอดหนี้ตามสัญญาประนีประนอมยอมความ คดีหมายเลขดำที่ พ256/2561 คดีหมายเลขแดงที่ พ1071/2561 ศาลจังหวัดสงขลา 20 สิงหาคม 2561 ให้จำเลยชำระเงิน 388,472.89</t>
  </si>
  <si>
    <t xml:space="preserve"> เรื่อง ผิดสัญญาเรียกค่าเช่าค้างชำระ</t>
  </si>
  <si>
    <t>ปรับปรุงยอดหนี้ตามคำพิพากษา คดีหมายเลขดำที่ ผบ253/2566 คดีหมายเลขแดงที่ ผบ400/2566 ศาลแขวงสงขลา  26 มิถุนายน 2566 ให้จำเลยชำระเงิน 41,151.47</t>
  </si>
  <si>
    <t>พร้อมดอกเบี้ยร้อยละ 5 ต่อปี ของต้นเงิน 36,955.07 นับถัดจากวันฟ้อง (ฟ้องวันที่ 22 พ.ค.2566) เรื่อง เช่าทรัพย์ ค่าเสียหาย</t>
  </si>
  <si>
    <t>ปรับปรุงยอดหนี้ตามคำพิพากษา คดีหมายเลขดำที่ ม 587/2567 คดีหมายเลขแดงที่ ม 706/2567 ศาล  10 มิถุนแพ่งมีนบุรี  1 ตุลาคม 2567 ให้จำเลยชำระเงิน 39,933.51 บาท</t>
  </si>
  <si>
    <t>พร้อมดอกเบี้ยร้อยละ 5 ต่อปี ของต้นเงิน 31,032.00 บาท นับถัดจากวันฟ้อง (ฟ้องวันที่ 29 สิงหาคม 2567) เรื่อง  ผิดสัญญา รับสภาพหนี้</t>
  </si>
  <si>
    <t>ค่าเช่าล็อคที่ 148</t>
  </si>
  <si>
    <t>นายวัชรพงษ์ วรรณรัตน์</t>
  </si>
  <si>
    <t>ค่าเช่าล็อคที่ 214</t>
  </si>
  <si>
    <t>กย.67</t>
  </si>
  <si>
    <t>ห้องน้ำสาธารณะ</t>
  </si>
  <si>
    <t xml:space="preserve">นางสาวนฤมนต์ ตัมพานุวัตร </t>
  </si>
  <si>
    <t>2/59,23-24,46-47 ม.1 ต.รัษฎา อ.เมือง จ.ภูเก็ต(คูหา 5,18-21)</t>
  </si>
  <si>
    <t>2/60-61 ม.1 ต.รัษฎา อ.เมือง จ.ภูเก็ต (คูหา 6 - 7)</t>
  </si>
  <si>
    <t>นายมนตรี ขุนพิทักษ์</t>
  </si>
  <si>
    <t>บริษัทสร้อยสุดา แลนด์ จำกัด</t>
  </si>
  <si>
    <t>บริษัทสร้อยสุดาแลนด์</t>
  </si>
  <si>
    <t>อาคารช่วง 1 ล.75</t>
  </si>
  <si>
    <t>อาคารช่วง 1 ล.90</t>
  </si>
  <si>
    <t>นางสาวฮามีเนาะ มูดาเล็ง</t>
  </si>
  <si>
    <t>นางสาวมีนี  สุหลง</t>
  </si>
  <si>
    <t>โรงบรรจุ ล.35</t>
  </si>
  <si>
    <t>นางสาวกรวรรณ  นันตะมาศ</t>
  </si>
  <si>
    <t>ตลาดเกษตร ล.41,42,43,44</t>
  </si>
  <si>
    <t>สุขาอาคารช่วง 1 ล.49,50</t>
  </si>
  <si>
    <t>สุขา ตลาดเกษตร ล.3</t>
  </si>
  <si>
    <t>สุขาตลาดเกษตร ล.6</t>
  </si>
  <si>
    <t>1 กค.68-1 กค.69</t>
  </si>
  <si>
    <t>ค่าประกันอัคคีภัยอาคารแปลง C ล.5</t>
  </si>
  <si>
    <t>ค่าประกันอัคคีภัยอาคารแปลง D ล.5</t>
  </si>
  <si>
    <t>ค่าประกันอัคคีภัยอาคารแปลง D ล.6</t>
  </si>
  <si>
    <t>ค่าประกันอัคคีภัยอาคารช่วง 1 ล.67</t>
  </si>
  <si>
    <t>ค่าประกันอัคคีภัยอาคารช่วง 2 ล.1</t>
  </si>
  <si>
    <t>นายพงศ์ชัย  ชัยเฉลิมวุฒิพงศ์</t>
  </si>
  <si>
    <t>ค่าประกันอัคคีภัยอาคารช่วง 2 ล.2,6,34</t>
  </si>
  <si>
    <t>ค่าประกันอัคคีภัยอาคารช่วง 2 ล.3</t>
  </si>
  <si>
    <t>ค่าประกันอัคคีภัยอาคารช่วง 2 ล.4</t>
  </si>
  <si>
    <t>ค่าประกันอัคคีภัยอาคารช่วง 2 ล.5,29,30</t>
  </si>
  <si>
    <t>นายเตชทัต-ธัชพล  หลีกุล</t>
  </si>
  <si>
    <t>ค่าประกันอัคคีภัยอาคารช่วง 2 ล.7,8</t>
  </si>
  <si>
    <t>นางณัฐพร นูนน้อย</t>
  </si>
  <si>
    <t>ค่าประกันอัคคีภัยอาคารช่วง 2 ล.9</t>
  </si>
  <si>
    <t>ค่าประกันอัคคีภัยอาคารช่วง 2 ล.10,11</t>
  </si>
  <si>
    <t>ค่าประกันอัคคีภัยอาคารช่วง 2 ล.15</t>
  </si>
  <si>
    <t>นางยลดา เฮ่ากุลมงคล</t>
  </si>
  <si>
    <t>ค่าประกันอัคคีภัยอาคารช่วง 2 ล.16</t>
  </si>
  <si>
    <t>ค่าประกันอัคคีภัยอาคารช่วง 2 ล.17</t>
  </si>
  <si>
    <t>นางประภาพรรณ  ธรรมเนียม</t>
  </si>
  <si>
    <t>ค่าประกันอัคคีภัยอาคารช่วง 2 ล.18</t>
  </si>
  <si>
    <t>นางพรรณี  ธรรมมัฆวรรณ</t>
  </si>
  <si>
    <t>ค่าประกันอัคคีภัยอาคารช่วง 2 ล.23</t>
  </si>
  <si>
    <t>ค่าประกันอัคคีภัยอาคารช่วง 2 ล.31</t>
  </si>
  <si>
    <t>ค่าประกันอัคคีภัยโรงบรรจุ ล.25</t>
  </si>
  <si>
    <t>ค่าประกันอัคคีภัยใต้ถุนสนง. ล.21,22</t>
  </si>
  <si>
    <t>บริษัท คุ้มทะเล จำกัด(ค่าเช่าเดือนละ400,000.- เริ่มเดือนธค.68)</t>
  </si>
  <si>
    <t>สำนักงาน 2 ชั้น ชั้นที่ 2</t>
  </si>
  <si>
    <t xml:space="preserve">นายสุชาติ ฤกษ์โรจี </t>
  </si>
  <si>
    <t>น้ำพื้นที่ขั่วคราว 35</t>
  </si>
  <si>
    <t>น.ส.บุษราคัม ตันติศิริรักษ์</t>
  </si>
  <si>
    <t>บ.แหลมทองการประมง จก</t>
  </si>
  <si>
    <t>ไฟฟ้าพื้นที่ขั่วคราวล็อคA1,2</t>
  </si>
  <si>
    <t>ไฟฟ้าลานจอดรถ</t>
  </si>
  <si>
    <t>ป้ายโฆณา 2 จุด</t>
  </si>
  <si>
    <t>ปรับปรุงยอดหนี้ตามคำพิพากษา คดีหมายเลขดำที่ ผบ.96/2563 คดีหมายเลขแดงที่ ผบ 1680/2563  ศาลจังหวัดแขวงพระนครใต้ วันที่ 3 สิงหาคม 2563  ให้จำเลยชำระเงิน 19,748.34 บาท</t>
  </si>
  <si>
    <t>พร้อมดอกเบี้ยร้อยละ 7.5 ต่อปี ของต้นเงิน 17,716.34 บาท นับถัดจากวันฟ้อง (ฟ้องวันที่ 16 มกราคม 2563) เรื่องเช่าทรัพย์(อื่นๆ)</t>
  </si>
  <si>
    <t>ปรับปรุงยอดหนี้ตามคำพิพากษา คดีหมายเลขดำที่ ผบ.725/2566 คดีหมายเลขแดงที่ ผบ 929/2566  ศาลจังหวัดแขวงสมุทรปราการ  วันที่ 8 สิงหาคม 2566  ให้จำเลยชำระเงิน 125,033.84 บาท</t>
  </si>
  <si>
    <t>ค่าเช่า 130,000 หักประกัน20,000 คงเหลือ110,000+11767.13 (ดอกเบี้ย)</t>
  </si>
  <si>
    <t>ปรับปรุงยอดหนี้ตามคำพิพากษา คดีหมายเลขดำที่ ม61/2566 คดีหมายเลขแดงที่ ม142/2566  ศาลจังหวัดแขวงพระนครใต้  วันที่ 2 พค 2566  ให้จำเลยชำระเงิน 82,666.76 บาท</t>
  </si>
  <si>
    <t>พร้อมดอกเบี้ยร้อยละ7.5 ต่อปี ของต้นเงิน 69,201 บาท นับถัดจากวันฟ้อง (ฟ้องวันที่ 28 กพ 2566) เรื่องเช่าทรัพย์</t>
  </si>
  <si>
    <t>พร้อมดอกเบี้ยร้อยละ  5 ต่อปี ของต้นเงิน 112,794 บาท นับถัดจากวันฟ้อง (ฟ้องวันที่ 27 มิถุนายน 2566) เรื่อง สัญญา</t>
  </si>
  <si>
    <t>ยอดหนี้ตามคำพิพากษา คดีหมายเลขดำที่ ม23/2564 คดีหมายเลขแดงที่ ม11/2565 ศาลจังหวัดภูเก็ต  7 มีนาคม 2565 ให้จำเลยชำระเงิน 436,601.18 บาท</t>
  </si>
  <si>
    <t>ผ่อนชำระไม่ต่ำกว่า งวดละ 9,095.75 จำนวน 48 งวด ชำระแล้ว 20 งวดรวมเป็นเงิน 111,191.50  คงเหลือ 325,409.68 บาท เรื่อง ผิดสัญญาเช่า ให้ชำระหนี้ค่าเช่า ค่าเสียหาย และขับไล่</t>
  </si>
  <si>
    <t>ปรับปรุงยอดหนี้ตามคำพิพากษา คดีหมายเลขดำที่ ม124/2566 คดีหมายเลขแดงที่ ม159/2566 ศาลแขวงภูเก็ต  4 กันยายน 2566 ให้จำเลยชำระเงิน 39,949.17</t>
  </si>
  <si>
    <t>พร้อมดอกเบี้ยร้อยละ 5 ต่อปี ของต้นเงิน 32,500 นับถัดจากวันฟ้อง (ฟ้องวันที่ 26 ก.ค.2566) เรื่อง สัญญา</t>
  </si>
  <si>
    <t>พร้อมดอกเบี้ยร้อยละ 5 ต่อปี ของต้นเงิน 74,600.88 นับถัดจากวันฟ้อง (ฟ้องวันที่ 31 สิงหาคม 2565)  เรื่อง เช่าทรัพย์</t>
  </si>
  <si>
    <t>บังคับคดี ได้รับเงิน 250,704.90 บาท (ตามใบเสร็จ 016/0758 ลว.25/3/68)</t>
  </si>
  <si>
    <t>ปรับปรุงยอดหนี้ตามคำพิพากษา คดีหมายเลขดำที่ ผบ.258/2565 คดีหมายเลขแดงที่ ผบ 1175/2565  ศาลจังหวัดแพ่งพระโขนง  วันที่ 10 ก.ค.20565  คิดดอกเบี้ยถึง 17 พ.ย. 2566</t>
  </si>
  <si>
    <t>ภาษีที่ดิน ล็อค 33,34</t>
  </si>
  <si>
    <t>กษ1708.1/52  ลงวันที่ 23 มกราคม 2567  ผออ.อนุมัติฟ้องดำเนินคดี วันที่ 27 ก.พ.267 (คิดหนี้ค้างชำระที่ กษ1704.2/568 ลว 27 พ.ย. 2567)</t>
  </si>
  <si>
    <t>ยอดหนี้ตามคำพิพากษา คดีหมายเลขดำที่ ม 194/2565 คดีหมายเลขแดงที่ ม 392/2565 ศาลแขวงภูเก็ต 8 พฤศจิกายน 2565 ให้จำเลยชำระเงิน 97,528.11</t>
  </si>
  <si>
    <t>ปรับปรุงยอดหนี้ตามบัญชีแสดงรายการรับ-จ่ายเงิน ครั้งที่ 1 (คิดดอกเบี้ยถึงวันที่ 6 ม.ค.2568)  (97,528.11+4000 ฤชา +8,768.15 ดบ -1,927.08 เงินอายัดหักคชจ)</t>
  </si>
  <si>
    <t>ปรับปรุง ที่ กษ 1710/95 ลว 27 มีนาคม 2569 นำเงินประกันสัญญาหักชำระหนี้ จำนวน 4600 บาท  36800-4600= 32200</t>
  </si>
  <si>
    <t>นายเลิศ แซ่หุ่น</t>
  </si>
  <si>
    <t>ค่าสุขา ย่อย 4-5</t>
  </si>
  <si>
    <t>นางสาววันเพ็ญ  งามขำ</t>
  </si>
  <si>
    <t>ค่าสุขาปลาน้ำจืด ล็อค 16</t>
  </si>
  <si>
    <t>ตลาดรายย่อย4-5</t>
  </si>
  <si>
    <t>นางสาวอภิรดา โคติโชติ</t>
  </si>
  <si>
    <t>ค่าเช่าล็อคที่ 203</t>
  </si>
  <si>
    <t>ค่าน้ำล็อคที่ 203</t>
  </si>
  <si>
    <t>ธค.67-มค.68</t>
  </si>
  <si>
    <t>สง</t>
  </si>
  <si>
    <t>น้ำประปาอาหาร  4</t>
  </si>
  <si>
    <t>ธค.67-มิย.68</t>
  </si>
  <si>
    <t>นางสาวบุษราคัม ตันติศิริรักษ์ (เริ่มสัญญา พย.68)</t>
  </si>
  <si>
    <t>น้ำพื้นที่ขั่วคราวล็อค 25</t>
  </si>
  <si>
    <t>นางสาวอันชัน ปั้นมี</t>
  </si>
  <si>
    <t>นายขันทอง แก้วมา(ยอด21,233.- ผ่อน6งวด)</t>
  </si>
  <si>
    <t>ผ่อนชำระหนี้ตามสัญญาประนีประนอมยอมความ (เดือนละ 5,000)</t>
  </si>
  <si>
    <t xml:space="preserve">นายสะอูดี บือราเฮง </t>
  </si>
  <si>
    <t>โรงล้างกระบะ</t>
  </si>
  <si>
    <t xml:space="preserve">นางสาวฮามีด๊ะ มูซอ </t>
  </si>
  <si>
    <t>ตลาดเช้าจำหน่ายสัตว์น้ำ 9</t>
  </si>
  <si>
    <t>ตลาดเช้าจำหน่ายสัตว์น้ำ 10</t>
  </si>
  <si>
    <t>นายวัชรี เลิศสุรวัฒน์</t>
  </si>
  <si>
    <t>ค่าน้ำ อ.ช่วง1 ล.37</t>
  </si>
  <si>
    <t>ค่าน้ำหลังโรงล้างกระบะ</t>
  </si>
  <si>
    <t>สุขาอาคารช่วง 1 ล.71</t>
  </si>
  <si>
    <t xml:space="preserve">สุขาอาคารช่วง 1 ล.76
</t>
  </si>
  <si>
    <t>สุขาอาคารช่วง 1 ล.113,114</t>
  </si>
  <si>
    <t>สุขาอาคารช่วง 1 ล.107,108,109,110</t>
  </si>
  <si>
    <t>สุขาภิบาลตลาดเช้า ล.106</t>
  </si>
  <si>
    <t xml:space="preserve">      </t>
  </si>
  <si>
    <t>ธค.60-มิย.64</t>
  </si>
  <si>
    <t>นายจรุง บัตรพรรธนะ</t>
  </si>
  <si>
    <t>2/106-107 ม.1 ต.รัษฎา อ.เมือง จ.ภูเก็ต (คูหา 1 - 2)</t>
  </si>
  <si>
    <t>ม.ค.69</t>
  </si>
  <si>
    <t>นายกอบกฤต มัตสยาวณิช</t>
  </si>
  <si>
    <t>นายสราวุฒิ  วายุภักดิ์ (แพไอลดา) วิชัย</t>
  </si>
  <si>
    <t>ล็อค A1</t>
  </si>
  <si>
    <t>นางสาวพรประภา เขตา</t>
  </si>
  <si>
    <t>ค่าเช่าล็อคที่ 222</t>
  </si>
  <si>
    <t>ค่าเช่าล็อคที่ 300</t>
  </si>
  <si>
    <t>นายยุทธนา เฉยศิริ</t>
  </si>
  <si>
    <t>ค่าน้ำล็อคที่ 160</t>
  </si>
  <si>
    <t>ค่าน้ำล็อคที่ 213</t>
  </si>
  <si>
    <t>ค่ารักษามิเตอร์ ล็อคที่ 222</t>
  </si>
  <si>
    <t>ส.ค.67,ตค.-ธค.68</t>
  </si>
  <si>
    <t>p;+</t>
  </si>
  <si>
    <t>ค่าสุขา ย่อย 1-2</t>
  </si>
  <si>
    <t>340/48-49</t>
  </si>
  <si>
    <t>นางสาวมะลิ พรมมินทร์ (ยอดคำพิพากษา 452,633.59 บาท)</t>
  </si>
  <si>
    <t>ลานจอดรถล็อค4</t>
  </si>
  <si>
    <t>นางกรชนก  วณิชย์วงค์วาน</t>
  </si>
  <si>
    <t>ลานจอดรถล็อค29</t>
  </si>
  <si>
    <t>นายศดิศ สวัสดี(เช่ารายใหม่เริ่ม มีค.69)</t>
  </si>
  <si>
    <t>นายศดิศ สวัสดี (เริ่มเช่า มี.ค.69)</t>
  </si>
  <si>
    <t>นายธนา ดาราทิพย์(ยอด 30,000.- ผ่อน6งวด)</t>
  </si>
  <si>
    <t>นางศิวภัสร์  ชัยอิสราพัชณ์</t>
  </si>
  <si>
    <t>อาคารแปลง D ล.4</t>
  </si>
  <si>
    <t>อาคารแปลง D ล.7</t>
  </si>
  <si>
    <t>อาคารช่วง 1 ล.5</t>
  </si>
  <si>
    <t>อาคารช่วง 1 ล.7,8,9,10,11,12</t>
  </si>
  <si>
    <t>อาคารช่วง 1 ล.27,28,29,30,31,32,33,34</t>
  </si>
  <si>
    <t>อาคารช่วง 1 ล.59</t>
  </si>
  <si>
    <t>อาคารช่วง 1 ล.61,62</t>
  </si>
  <si>
    <t>อาคารช่วง 1 ล.65</t>
  </si>
  <si>
    <t>อาคารช่วง 1 ล.70</t>
  </si>
  <si>
    <t>นางนิเสาะ  เจะเตะ</t>
  </si>
  <si>
    <t>นางแมะยะ  มะแซ</t>
  </si>
  <si>
    <t>ตลาดเกษตร ล.48</t>
  </si>
  <si>
    <t>ตลาดเช้าจำหน่ายสัตว์น้ำ 257</t>
  </si>
  <si>
    <t>ตลาดเช้าจำหน่ายสัตว์น้ำ 258</t>
  </si>
  <si>
    <t>นายอาทิตยา สุนทรกุมาร</t>
  </si>
  <si>
    <t>ค่าน้ำ อ.ช่วง1 ล.9,10</t>
  </si>
  <si>
    <t>ค่าน้ำ อ.ช่วง1 ล.11</t>
  </si>
  <si>
    <t>ค่าน้ำ อ.ช่วง1 ล.61</t>
  </si>
  <si>
    <t>ค่าน้ำ อ.ช่วง1 ล.65</t>
  </si>
  <si>
    <t xml:space="preserve">นายอาทิตยา สุนทรกุมาร </t>
  </si>
  <si>
    <t>ค่าน้ำ อ.ช่วง1 ล.7</t>
  </si>
  <si>
    <t>ไฟฟ้า ตลาดเกษตร ล.48</t>
  </si>
  <si>
    <t xml:space="preserve">สุขา อ.แปลง A 11 </t>
  </si>
  <si>
    <t>น.ส.สิริกานต์ ดือราซอ รับโอนจากนางคอดิเยาะ นิโสะ</t>
  </si>
  <si>
    <t>สุขาตลาดเกษตร ล.14</t>
  </si>
  <si>
    <t>สุขาตลาดเกษตร ล.64</t>
  </si>
  <si>
    <t>ค่าธรรมเนียมต่ออายุสัญญาอาคารแปลง D ล.1</t>
  </si>
  <si>
    <t>ค่าธรรมเนียมต่ออายุสัญญาอาคารแปลง D ล.2</t>
  </si>
  <si>
    <t>ค่าธรรมเนียมต่ออายุสัญญาอาคารแปลง D ล.3</t>
  </si>
  <si>
    <t>ค่าธรรมเนียมต่ออายุสัญญาอาคารแปลง D ล.4</t>
  </si>
  <si>
    <t>ค่าธรรมเนียมต่ออายุสัญญาอาคารแปลง D ล.5</t>
  </si>
  <si>
    <t>ค่าธรรมเนียมต่ออายุสัญญาอาคารแปลง D ล.6</t>
  </si>
  <si>
    <t>ค่าธรรมเนียมต่ออายุสัญญาอาคารแปลง D ล.7</t>
  </si>
  <si>
    <t>ค่าธรรมเนียมต่ออายุสัญญาอาคารแปลง E ล.12</t>
  </si>
  <si>
    <t>ค่าธรรมเนียมต่ออายุสัญญาอาคารแปลง E ล.13</t>
  </si>
  <si>
    <t>ยอดหนี้ลูกหนี้การค้า</t>
  </si>
  <si>
    <t>ค่าเช่าล็อคที่ 67</t>
  </si>
  <si>
    <t>นางสาวพัชรินทร์ ยุติธรรม</t>
  </si>
  <si>
    <t>ค่าเช่าล็อคที่ 132</t>
  </si>
  <si>
    <t>ค่ารักษามิเตอร์ ล็อคที่ 67</t>
  </si>
  <si>
    <t>ค่ารักษามิเตอร์ ล็อคที่ 132</t>
  </si>
  <si>
    <t>มีค.-มิย.68</t>
  </si>
  <si>
    <t>มีค.-'มิย.68</t>
  </si>
  <si>
    <t>นายจงเจริญชัย คุ้มวงษ์ (เปลี่ยนชื่อจากนายสุเมธ คุ้มวงษ์)</t>
  </si>
  <si>
    <t>นางสาวบุญมา หรั่งสอาด (พื้นที่ตากปลา)</t>
  </si>
  <si>
    <t xml:space="preserve">พื้นที่โซน Q </t>
  </si>
  <si>
    <t>โรงต้ม</t>
  </si>
  <si>
    <t xml:space="preserve">นางสาวิตรี เหลืองอร่ามจิตร </t>
  </si>
  <si>
    <t>ท่าทูน่า</t>
  </si>
  <si>
    <t xml:space="preserve">นายวรศักดิ์ วรรณะ </t>
  </si>
  <si>
    <t>บริเวณเครน</t>
  </si>
  <si>
    <t xml:space="preserve">นางอมร แก้วสีเหลือง </t>
  </si>
  <si>
    <t xml:space="preserve">นางสาวศรีลาวรรณ คงตะโก </t>
  </si>
  <si>
    <t>นางธารทิพย์ เงินเอนก</t>
  </si>
  <si>
    <t>นางกันยา พงษ์เพ็ชรวิเศษ</t>
  </si>
  <si>
    <t>2/108 ม.1 ต.รัษฎา อ.เมือง จ.ภูเก็ต (คูหา 3 )</t>
  </si>
  <si>
    <t>นายวาทิตย์ วรทัศน์</t>
  </si>
  <si>
    <t>นายธนะพัมน์ จิระตระกูลรัตน์</t>
  </si>
  <si>
    <t>วางตู้คอนเทรนเนอร์</t>
  </si>
  <si>
    <t>340/33</t>
  </si>
  <si>
    <t>นายมานิตย์ แซ่ลี้</t>
  </si>
  <si>
    <t>นางสาวคมขำ  ดรุณพันธ์</t>
  </si>
  <si>
    <t>340/75-76</t>
  </si>
  <si>
    <t>นายมนตรี  จงกมลวิวัฒน์</t>
  </si>
  <si>
    <t>ตลาดรายย่อย 9</t>
  </si>
  <si>
    <t>ค่าสุขา 48-49</t>
  </si>
  <si>
    <t xml:space="preserve">นางสาวคมขำ ดรุณพันธ์ </t>
  </si>
  <si>
    <t>ค่าสุขา 75-76</t>
  </si>
  <si>
    <t>น.ส.คมขำ ดรุณพันธ์</t>
  </si>
  <si>
    <t>ค่าสุขา ย่อย 9</t>
  </si>
  <si>
    <t>นางสุดสงวน  อุดมสินธุ์สาคร</t>
  </si>
  <si>
    <t>340/43</t>
  </si>
  <si>
    <t>340/44</t>
  </si>
  <si>
    <t>นายณัฐพงศ์  อรัญชราธร</t>
  </si>
  <si>
    <t>340/59-60</t>
  </si>
  <si>
    <t xml:space="preserve">บริษัทสร้อยสุดาแลนด์ </t>
  </si>
  <si>
    <t>นส.ช่อผกา แซ่แห้ง</t>
  </si>
  <si>
    <t>กย.67-เมย.69(ค่าเช่าปรับเพิ่ม 20 ด.)</t>
  </si>
  <si>
    <t>นางโรสมะห์ ศาสน์พิสุทธิกุล</t>
  </si>
  <si>
    <t>โรงบรรจุ ล.1,2,4,5,9,
10,11,12,13</t>
  </si>
  <si>
    <t>ค่าเช่าปรับเพิ่ม 15%(กย.67-เมย.69=21 ด.)</t>
  </si>
  <si>
    <t>นายสรศักดิ์  ภัทธิยประเสริฐ</t>
  </si>
  <si>
    <t>โรงบรรจุ ล.17</t>
  </si>
  <si>
    <t>นายพิศลย์ ภัทธิยประเสริฐ</t>
  </si>
  <si>
    <t>โรงบรรจุ ล.18</t>
  </si>
  <si>
    <t>นางสาวลัดดา  สุวัฒน์กุล</t>
  </si>
  <si>
    <t>นายจตุรนต์  อาแว</t>
  </si>
  <si>
    <t>โรงบรรจุ ล.21,22,29,30</t>
  </si>
  <si>
    <t>นางสรินยา  ดุลยไชย</t>
  </si>
  <si>
    <t>โรงบรรจุ ล.26</t>
  </si>
  <si>
    <t>โรงบรรจุ ล.33,34,45,46</t>
  </si>
  <si>
    <t>นายเราหมาน  แวหะมะ</t>
  </si>
  <si>
    <t>โรงบรรจุ ล.48</t>
  </si>
  <si>
    <t xml:space="preserve">นางสาวศิริจิตร อ่อนแก้ว </t>
  </si>
  <si>
    <t>ค่าน้ำ อ.แปลง D 4</t>
  </si>
  <si>
    <t>นางสาวจิรัญยา ขจรมหาลาภ</t>
  </si>
  <si>
    <t>ค่าน้ำ อ.แปลง E 12</t>
  </si>
  <si>
    <t xml:space="preserve">นางศิริจิตร อ่อนแก้ว </t>
  </si>
  <si>
    <t>ไฟฟ้าตลาดเกษตร ล.54</t>
  </si>
  <si>
    <t>สุขา อ.แปลง C ล.8</t>
  </si>
  <si>
    <t>นางสาวศิวภัสร์  ชัยอิสราพัชณ์</t>
  </si>
  <si>
    <t>สุขา อ.แปลง D ล.4</t>
  </si>
  <si>
    <t>นางอังคณา   ปานมัจฉา</t>
  </si>
  <si>
    <t>สุขา อ.แปลง D ล.8</t>
  </si>
  <si>
    <t>สุขา อ.แปลง E ล.12</t>
  </si>
  <si>
    <t>สุขาอาคารช่วง 1 ล.6</t>
  </si>
  <si>
    <t>ตค.68-พค.69</t>
  </si>
  <si>
    <t>นายซารีฟ เจะรอจิ รับโดนจากนายอิสมาแอ เจ๊ะรอจิ</t>
  </si>
  <si>
    <t>นางกฤษณา  พันธ์สิทธิ</t>
  </si>
  <si>
    <t>สุขาตลาดเกษตร ล.54</t>
  </si>
  <si>
    <t>สุขาตลาดเกษตร ล.67</t>
  </si>
  <si>
    <t xml:space="preserve">1กย.67-31สค.70 </t>
  </si>
  <si>
    <t>ค่าธรรมเนียมต่ออายุสัญญาโรงบรรจุ ล.6,14</t>
  </si>
  <si>
    <t>ค่าธรรมเนียมต่ออายุสัญญาโรงบรรจุ ล.21,22,29,30</t>
  </si>
  <si>
    <t>ค่าธรรมเนียมต่ออายุสัญญาโรงบรรจุ ล.25</t>
  </si>
  <si>
    <t>นางสาวมีนี่  สุหลง</t>
  </si>
  <si>
    <t>ค่าธรรมเนียมต่ออายุสัญญาโรงบรรจุ ล.35</t>
  </si>
  <si>
    <t>ลานจอดรถล็อค13</t>
  </si>
  <si>
    <t>นายสุชาติ ฤกษ์โรจี (เริ่มสัญญา พย.68)</t>
  </si>
  <si>
    <t>ลานจอดรถล็อค35</t>
  </si>
  <si>
    <t>บ.ปิติสากลการประมง จก (ค่าเช่าใหม่ 44,100.- เริ่ม 1มค.69)</t>
  </si>
  <si>
    <t>แฟลต 211/6</t>
  </si>
  <si>
    <t>บ.ปิิติสากลการประมง จก.(เริ่มพค.69)</t>
  </si>
  <si>
    <t>น้ำพื้นที่ชั่วคราวA8</t>
  </si>
  <si>
    <t>นส.กานต์ติมา จิตติ</t>
  </si>
  <si>
    <t>ไฟฟ้าพื้นที่ชั่วคราวล็อค22</t>
  </si>
  <si>
    <t>นส.ดวงกลม เชตุราช</t>
  </si>
  <si>
    <t>หน้าอาคารจรูญ</t>
  </si>
  <si>
    <t>นายวรพจน์ พจนปรีชากุล(ยอด 30,000.- ผ่อน6งวด)</t>
  </si>
  <si>
    <t>ลานจอดรถล็อค15</t>
  </si>
  <si>
    <t>ส่วนต่างเดือนพ.ค.-เม.ย.</t>
  </si>
  <si>
    <t xml:space="preserve">  สำรองค่าเผื่อหนี้สูญ เดือน มิ.ย.69   </t>
  </si>
  <si>
    <t xml:space="preserve"> มิ.ย.69</t>
  </si>
  <si>
    <t>เดือน พ.ค.69</t>
  </si>
  <si>
    <t>G-E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</si>
  <si>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</si>
  <si>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ภาษีโรงเรือนเนื้อที่ 76 ตรว.(รายปี)</t>
  </si>
  <si>
    <t>มิ.ย.69</t>
  </si>
  <si>
    <t>นายอนนท์ รอดภัย</t>
  </si>
  <si>
    <t>นายสุชาติ  นิสัยชล (สุชาติ-กะสาว)</t>
  </si>
  <si>
    <t>ล็อค B1</t>
  </si>
  <si>
    <t>นางสาวธัญมน แมชัยภูมิ (เมย์-อุ๊)</t>
  </si>
  <si>
    <t>ล็อค B5</t>
  </si>
  <si>
    <t>นางสาวมะดิหน๊ะ เจ๊ะดุหมัน (เจ๊กุ-เจ๊สุ)</t>
  </si>
  <si>
    <t>ต่อเติม340/59-60</t>
  </si>
  <si>
    <t>ค่าสุขา 59-60</t>
  </si>
  <si>
    <t>ตลาดรายย่อย 4-5</t>
  </si>
  <si>
    <t>นางณัชชา ณ สงขลา</t>
  </si>
  <si>
    <t>น้ำประปา2/1</t>
  </si>
  <si>
    <t>ไฟฟ้า2/1</t>
  </si>
  <si>
    <t>ไฟฟ้าจัดเรือ</t>
  </si>
  <si>
    <t>พค.-มิย.69</t>
  </si>
  <si>
    <t>ค่าน้ำล็อคที่ 214</t>
  </si>
  <si>
    <t>นายสมเดช  ทักษิน (เช่าชั่วคราว)</t>
  </si>
  <si>
    <t>ค่าน้ำล็อคที่ S8</t>
  </si>
  <si>
    <t>ค่าน้ำล็อคที่ S25</t>
  </si>
  <si>
    <t>กย.67-พค.69</t>
  </si>
  <si>
    <t>ค่าเช่าปรับเพิ่ม มิย.69</t>
  </si>
  <si>
    <t>อาคารช่วง 1 ล.
78</t>
  </si>
  <si>
    <t>อาคารช่วง 1 ล.
80</t>
  </si>
  <si>
    <t>อาคารช่วง 1 ล.96</t>
  </si>
  <si>
    <t>นางสาวยารีย๊ะ  มามะ</t>
  </si>
  <si>
    <t>มค.-มิย.69</t>
  </si>
  <si>
    <t>กพ.-มิย.69</t>
  </si>
  <si>
    <t>นายรมลี  มีนา</t>
  </si>
  <si>
    <t>นางสาวนุรีฮัน  หะยีเจะอามะ</t>
  </si>
  <si>
    <t>ตลาดเกษตร ล.39</t>
  </si>
  <si>
    <t>นางสาวนูรีฮะ  แยนา</t>
  </si>
  <si>
    <t>ตลาดเกษตร ล.49,50</t>
  </si>
  <si>
    <t>ตลาดเช้าจำหน่ายสัตว์น้ำ 53</t>
  </si>
  <si>
    <t>ตลาดเช้าจำหน่ายสัตว์น้ำ 106</t>
  </si>
  <si>
    <t>ตลาดเช้าจำหน่ายสัตว์น้ำ 112</t>
  </si>
  <si>
    <t>มค.-พย.68</t>
  </si>
  <si>
    <t>ค่าน้ำ อ.โรงบรรจุ ล.
21,22,29,30</t>
  </si>
  <si>
    <t>บริษัท ดี แอล เอส จำกัด</t>
  </si>
  <si>
    <t>ค่าน้ำ 8.3.1(2)</t>
  </si>
  <si>
    <t>ไฟฟ้า ตลาดเกษตร ล.39</t>
  </si>
  <si>
    <t>ค่าสุขาภาบาลโรงบรรจุ ล.1,2,4,5,9,
10,11,12,13</t>
  </si>
  <si>
    <t>สุขาโรงบรรจุ ล.3,42</t>
  </si>
  <si>
    <t>สุขาโรงบรรจุ ล.6,14</t>
  </si>
  <si>
    <t>สุขาโรงบรรจุ ล.17</t>
  </si>
  <si>
    <t>สุขาโรงบรรจุ ล.18</t>
  </si>
  <si>
    <t>สุขาโรงบรรจุ ล.20</t>
  </si>
  <si>
    <t>สุขาภิบาลโรงบรรจุ ล.26</t>
  </si>
  <si>
    <t>นางสาวปาตีเมาะ   ละตียามู</t>
  </si>
  <si>
    <t>โรงบรรจุ ล.27</t>
  </si>
  <si>
    <t>สุขาโรงบรรจุ ล.33,34,45,46</t>
  </si>
  <si>
    <t>โรงบรรจุ ล.36,47</t>
  </si>
  <si>
    <t>สุขาโรงบรรจุ ล.39,41</t>
  </si>
  <si>
    <t>สุขาโรงบรรจุ ล.38</t>
  </si>
  <si>
    <t>นางสาวแตแอเสาะ สาเมาะ</t>
  </si>
  <si>
    <t>สุขาภิบาลตลาดเช้า ล.75</t>
  </si>
  <si>
    <t>สุขาตลาดเกษตร ล.33,35</t>
  </si>
  <si>
    <t>นางซากียะห์  คาเร็ง</t>
  </si>
  <si>
    <t>สุขาตลาดเกษตร ล.38</t>
  </si>
  <si>
    <t>สุขาตลาดเกษตร ล.49,50</t>
  </si>
  <si>
    <t>ล่วงหน้า สค.69(บางส่วน)</t>
  </si>
  <si>
    <t>นส.กานต์ติมา จิตติ (รายใหม่เริ่มมี.ค.69 ค่าเช่า 15000 บาท)</t>
  </si>
  <si>
    <t>ลานจอดรถล็อค22</t>
  </si>
  <si>
    <t>นางชนนิกานต์ นันกลาง (เริ่ม1ตค.68ถึง31ธค.69)</t>
  </si>
  <si>
    <t>สหกรณ์ออมทรัพย์พนักงาน จำกัด</t>
  </si>
  <si>
    <t>นส.พรพรรณ โพธิ์งาม</t>
  </si>
  <si>
    <t>แฟลต 211/52</t>
  </si>
  <si>
    <t>นส.รัตนา เขมะวิริยะ</t>
  </si>
  <si>
    <t>ไฟฟ้าพื้นที่ขั่วคราวล็อค21</t>
  </si>
  <si>
    <t>ไฟฟ้าพื้นที่ขั่วคราว 25</t>
  </si>
  <si>
    <t>ไฟฟ้าพื้นที่ขั่วคราว ล็อค26</t>
  </si>
  <si>
    <t>นางสาวเมษณี จิตติ</t>
  </si>
  <si>
    <t>ไฟฟ้าพื้นที่ขั่วคราวล็อค30</t>
  </si>
  <si>
    <t>ค่าธรรมเนียมสัตว์น้ำ สป.กท.ไม่บันทึกตั้งแต่เดือน มิ.ย.69</t>
  </si>
  <si>
    <t>เดือน มิถุนายน 2569</t>
  </si>
  <si>
    <t>ณ วันที่ 31 กรกฎาคม 2569</t>
  </si>
  <si>
    <t>รายได้ค้างรับประจำเดือนกรกฎาคม 2569</t>
  </si>
  <si>
    <t>เงินรับฝากประจำเดือนกรกฎาคม 2569</t>
  </si>
  <si>
    <t xml:space="preserve"> ก.ค.69</t>
  </si>
  <si>
    <t>ณ.วันที่ 31 กรกฎาคม 2569</t>
  </si>
  <si>
    <t xml:space="preserve">  สำรองค่าเผื่อหนี้สูญ เดือน ก.ค.69 </t>
  </si>
  <si>
    <t>เดือน มิ.ย.2569</t>
  </si>
  <si>
    <t>รวมรับชำระ ก.ค. 2569</t>
  </si>
  <si>
    <t>เปรียบเทียบ มิ.ย.2569</t>
  </si>
  <si>
    <t>เดือน กรกฎาคม 2569</t>
  </si>
  <si>
    <t>กค.69</t>
  </si>
  <si>
    <t>ภาษีโรงเรือนที่ดินและสิ่งปลูกสร้าง</t>
  </si>
  <si>
    <t xml:space="preserve">นายมนูญ  ปิยะปัญญาวงศ์ </t>
  </si>
  <si>
    <t>คูหาที่ 31-33</t>
  </si>
  <si>
    <t>ก.ค.69</t>
  </si>
  <si>
    <t>นางสาวภคพร วัฒนมณี (ก้อยเนย)</t>
  </si>
  <si>
    <t>นายไกรณัฏฐนันท์  ทับสุวรรณ (แพสาคร)</t>
  </si>
  <si>
    <t>ล็อค B6</t>
  </si>
  <si>
    <t>นายไกรณฏัฐนันท์  ทับสุวรรณ (แพสาคร)</t>
  </si>
  <si>
    <t>มิ.ย.69-ก.ค.69</t>
  </si>
  <si>
    <t>นางสาวกนกพร แพ่งยัง (นกอ้วน)</t>
  </si>
  <si>
    <t>ล็อค A5</t>
  </si>
  <si>
    <t>นางสาวศศิกานต์  วรรณประภักดิ์ (แพเอกนคร)</t>
  </si>
  <si>
    <t>ล็อค A7 (เริ่มเช่า 16 ส.ค. 65)</t>
  </si>
  <si>
    <t>นายมนูญ  ปิยะปัญญาวงศ์</t>
  </si>
  <si>
    <t>คูหาที่ 31</t>
  </si>
  <si>
    <t>คูหาที่ 32</t>
  </si>
  <si>
    <t>คูหาที่ 33</t>
  </si>
  <si>
    <t>ก.ค.-69</t>
  </si>
  <si>
    <t>มิย.69-กค.69</t>
  </si>
  <si>
    <t>พค.69-กค.69</t>
  </si>
  <si>
    <t>มิย.-กค.69</t>
  </si>
  <si>
    <t>นายสุกิตติ สนธิศิริ</t>
  </si>
  <si>
    <t>ค่าน้ำล็อคที่ 177</t>
  </si>
  <si>
    <t xml:space="preserve">ค่าน้ำล็อคที่ S23 </t>
  </si>
  <si>
    <t>พค.-กค.69</t>
  </si>
  <si>
    <t>นางแววตา มณีโชติ</t>
  </si>
  <si>
    <t>ธ.ค.66 - มิย.69</t>
  </si>
  <si>
    <t>นางสมพร จตุภุช แพปลาเจ้เล็ก (ส.พรชัย) (ทร.10.1)</t>
  </si>
  <si>
    <t>นางสาวปริมล ไพรสำราญ (แพปลาส.จิตต์ชัยเจริญ) (ทร.10.1)</t>
  </si>
  <si>
    <t>ก.ค.69 (บางส่วน)</t>
  </si>
  <si>
    <t xml:space="preserve">นายสุระสิทธิ์ ศรีพันธมาศ (แพปลาส.จิตต์ชัยเจริญ) </t>
  </si>
  <si>
    <t>ด้านอก</t>
  </si>
  <si>
    <t>ด้านใน</t>
  </si>
  <si>
    <t xml:space="preserve">นางสมพร จตุภุช (แพปลาส.พรชัยนาวี) (เจ้เล็ก) </t>
  </si>
  <si>
    <t>นางชนม์ณกานต์ ลิ้มสวัสดิ์ (แพปลาทองเจริญทรัพย์)</t>
  </si>
  <si>
    <t>นายคำภีร์ ชาญกิจธนโภคิน (แพปลาคุณเร)</t>
  </si>
  <si>
    <t>นางสาวรัชนี ขนเม่น</t>
  </si>
  <si>
    <t>นางชนม์ณกานต์ ลิ้มสวัสดิ์</t>
  </si>
  <si>
    <t>2/95-96 ม.1 ต.รัษฎา อ.เมือง จ.ภูเก็ต (คูหา 10 - 11)</t>
  </si>
  <si>
    <t>นางชนม์กานต์ ลิ้มสวัสดิ์ (สัญญาเริ่ม มิ.ย.-ธ.ค.66)</t>
  </si>
  <si>
    <t xml:space="preserve">2/109-110 ต.รัษฎา อ.เมือง จ.ภูเก็ต (คูหา 4-5) </t>
  </si>
  <si>
    <t>พื้นที่โซน G</t>
  </si>
  <si>
    <t>ปี 2569</t>
  </si>
  <si>
    <t>บริษัท อาวัง การ์ด อาร์คิเทคเจอร์ จำกัด
(ตลาดสัตว์น้ำ)</t>
  </si>
  <si>
    <t>พื้นที่โซน L</t>
  </si>
  <si>
    <t>นางสาวปภัสรินทร์ ภัทรเมธีเศรษฐี</t>
  </si>
  <si>
    <t>นางสาวสุรัตน์ แก้วสีเหลือง</t>
  </si>
  <si>
    <t>นายชาลี แสนสุข</t>
  </si>
  <si>
    <t>นายเดชา สุเพ็ญพร</t>
  </si>
  <si>
    <t>นางอมร แก้วสีเหลือง</t>
  </si>
  <si>
    <t>นางสาวนฤมนต์ ตัมพานุวัตร</t>
  </si>
  <si>
    <t>นางสาวพรทิพย์ เบญจวรางกูล</t>
  </si>
  <si>
    <t>นางชนม์กานต์ ลิ้มสวัสดิ์</t>
  </si>
  <si>
    <t>นางสาววรรณษา อรุณฉาย</t>
  </si>
  <si>
    <t>นายมยูสรี บือซา</t>
  </si>
  <si>
    <t xml:space="preserve">นายจรุง บัตรพรรธนะ </t>
  </si>
  <si>
    <t>บ.รวมไทยบรรจุภัณฑ์ จก.</t>
  </si>
  <si>
    <t xml:space="preserve">ค่าใช้เส้นทาง </t>
  </si>
  <si>
    <t>ชำระล่วงหน้า สค.69</t>
  </si>
  <si>
    <t>นายพงษ์เจริญ สดไธง</t>
  </si>
  <si>
    <t>น้ำจืดล็อค 15</t>
  </si>
  <si>
    <t>นางสาวรุ่งนภา พรมชินวงศ์</t>
  </si>
  <si>
    <t>นายมณูศักดิ์ สายกี่เส็ง</t>
  </si>
  <si>
    <t>340/52</t>
  </si>
  <si>
    <t>ค่าสุขา 33</t>
  </si>
  <si>
    <t>ค่าสุขา 52</t>
  </si>
  <si>
    <t>ค่าสุขา ย่อย 15</t>
  </si>
  <si>
    <t>ค่าน้ำ ย่อย 7</t>
  </si>
  <si>
    <t>บ.รวมไทยบรรจุภัณฑ์ จก</t>
  </si>
  <si>
    <t>ค่าไฟทางสาธารณะ</t>
  </si>
  <si>
    <t>เมย.69-กค.69</t>
  </si>
  <si>
    <t>ก.พ.-ก.ค.69</t>
  </si>
  <si>
    <t>มี.ค.-ก.ค.69</t>
  </si>
  <si>
    <t xml:space="preserve"> พ.ค.-ก.ค.69</t>
  </si>
  <si>
    <t>อาคารแปลง A 1</t>
  </si>
  <si>
    <t>อาคารแปลง A 2</t>
  </si>
  <si>
    <t>กย.67-ธค.68(ค่าเช่าปรับเพิ่ม)มิย.-กค.69</t>
  </si>
  <si>
    <t>อาคารแปลง A 5</t>
  </si>
  <si>
    <t>กค.69ค่าเช่าปรับเพิ่ม(6 ด.) ตั้งแต่ มิย.-พย.68</t>
  </si>
  <si>
    <t>อาคารแปลง C ล.5</t>
  </si>
  <si>
    <t>อาคารแปลง C ล.8</t>
  </si>
  <si>
    <t>อาคารแปลง C ล.9</t>
  </si>
  <si>
    <t>ตค.67-มีค.69(ค่าเช่าปรับเพิ่ม 18 ด.)เมย.(บางส่วน1,605.-) พค.-กค.69</t>
  </si>
  <si>
    <t>กย.67-เมย.69(ค่าเช่าปรับเพิ่ม 20 ด.)กค.69</t>
  </si>
  <si>
    <t>กย.67-มีค.69(ค่าเช่าปรับเพิ่ม 19 ด.)มค.-กค.69</t>
  </si>
  <si>
    <t>กย.67-เมย.69(ค่าเช่าปรับเพิ่ม 20 ด.)พค.-กค.69</t>
  </si>
  <si>
    <t>กย.67-กค.69(ค่าเช่าปรับเพิ่ม 23 ด.) ค้างเก่า 1 ด.</t>
  </si>
  <si>
    <t>อาคารแผงลอย B ล.7</t>
  </si>
  <si>
    <t>อาคารแผงลอย B ล.9,10,11</t>
  </si>
  <si>
    <t>ตค.68-กค.69</t>
  </si>
  <si>
    <t>มิย.69(บางส่วน) กค.69</t>
  </si>
  <si>
    <t>เมย.-กค.69</t>
  </si>
  <si>
    <t>มีค.-กค.69</t>
  </si>
  <si>
    <t>นายเกียรติศักดิ์  สุทธิสงค์</t>
  </si>
  <si>
    <t>อาคารช่วง 2 ล.33</t>
  </si>
  <si>
    <t>ค่าเช่าปรับเพิ่ม 15%(กย.67-กค.69=23 ด.)</t>
  </si>
  <si>
    <t>กค.69(บางส่วน)</t>
  </si>
  <si>
    <t>ค่าเช่าปรับเพิ่ม 15(กย.67-เมย.69=21 ด.)มิย.-กค.69</t>
  </si>
  <si>
    <t>ค่าเช่าปรับเพิ่ม 15(กย.67-กค.69=23 ด.)</t>
  </si>
  <si>
    <t>มิย.69 ค่าเช่าปรับเพิ่ม 15(กย.67-มิย.69=21 ด.) กค.69</t>
  </si>
  <si>
    <t>นายเสน่ห์  รัตนศิธร</t>
  </si>
  <si>
    <t>อ.โรงดอง ล.1,2</t>
  </si>
  <si>
    <t>นายประจิต  อึ้งรังษี</t>
  </si>
  <si>
    <t>ค่าเช่าที่ดินรายปี</t>
  </si>
  <si>
    <t>นายอับดุลรอนิง  อาแว</t>
  </si>
  <si>
    <t>รอบบาดาล ล.8,9</t>
  </si>
  <si>
    <t>นางสุมลฑา  บุนนาค</t>
  </si>
  <si>
    <t>นางรัตรยา  อุดมวานิช</t>
  </si>
  <si>
    <t>เช่าที่อื่นๆ ร.7</t>
  </si>
  <si>
    <t>นางสาวพายีย๊ะ  สาและ</t>
  </si>
  <si>
    <t>ตลาดเกษตร ล.13</t>
  </si>
  <si>
    <t>นายสะมะแอ  แวหะมะ</t>
  </si>
  <si>
    <t>นางงือแย  มีนา</t>
  </si>
  <si>
    <t>นางสาวซากียะห์  คาเร็ง</t>
  </si>
  <si>
    <t>กพ.-กค.69</t>
  </si>
  <si>
    <t>นางมารีแย  สาเระ</t>
  </si>
  <si>
    <t>ตลาดเกษตร ล.53</t>
  </si>
  <si>
    <t>นายจิรวัฒน์   ทรัพย์ไพบูลย์</t>
  </si>
  <si>
    <t>นายอับดุลเลาะ เจ๊ะอูมา</t>
  </si>
  <si>
    <t xml:space="preserve">นางสุมลฑา บุนนาค </t>
  </si>
  <si>
    <t>ข้างลานขยะ7.50</t>
  </si>
  <si>
    <t xml:space="preserve">นายอดิศักดิ์ ผันแปร </t>
  </si>
  <si>
    <t>ตลาดเช้าจำหน่ายสัตว์น้ำ 34</t>
  </si>
  <si>
    <t>ตลาดเช้าจำหน่ายสัตว์น้ำ 66</t>
  </si>
  <si>
    <t>ตลาดเช้าจำหน่ายสัตว์น้ำ 67</t>
  </si>
  <si>
    <t>ตลาดเช้าจำหน่ายสัตว์น้ำ 68</t>
  </si>
  <si>
    <t>ตลาดเช้าจำหน่ายสัตว์น้ำ 80</t>
  </si>
  <si>
    <t>ตลาดเช้าจำหน่ายสัตว์น้ำ 129</t>
  </si>
  <si>
    <t>ตลาดเช้าจำหน่ายสัตว์น้ำ 143</t>
  </si>
  <si>
    <t>ตลาดเช้าจำหน่ายสัตว์น้ำ 168</t>
  </si>
  <si>
    <t>ตลาดเช้าจำหน่ายสัตว์น้ำ 169</t>
  </si>
  <si>
    <t>ตลาดเช้าจำหน่ายสัตว์น้ำ 170</t>
  </si>
  <si>
    <t>ตลาดเช้าจำหน่ายสัตว์น้ำ 171</t>
  </si>
  <si>
    <t>ตลาดเช้าจำหน่ายสัตว์น้ำ 172</t>
  </si>
  <si>
    <t>ตลาดเช้าจำหน่ายสัตว์น้ำ 173</t>
  </si>
  <si>
    <t>ตลาดเช้าจำหน่ายสัตว์น้ำ 180</t>
  </si>
  <si>
    <t>ตลาดเช้าจำหน่ายสัตว์น้ำ 181</t>
  </si>
  <si>
    <t>ตลาดเช้าจำหน่ายสัตว์น้ำ 183</t>
  </si>
  <si>
    <t>ตลาดเช้าจำหน่ายสัตว์น้ำ 185</t>
  </si>
  <si>
    <t>ตลาดเช้าจำหน่ายสัตว์น้ำ 187</t>
  </si>
  <si>
    <t>ตลาดเช้าจำหน่ายสัตว์น้ำ 188</t>
  </si>
  <si>
    <t>ตลาดเช้าจำหน่ายสัตว์น้ำ 189</t>
  </si>
  <si>
    <t>ตลาดเช้าจำหน่ายสัตว์น้ำ 193</t>
  </si>
  <si>
    <t>ตลาดเช้าจำหน่ายสัตว์น้ำ 194</t>
  </si>
  <si>
    <t>ตลาดเช้าจำหน่ายสัตว์น้ำ 195</t>
  </si>
  <si>
    <t>ตลาดเช้าจำหน่ายสัตว์น้ำ 196</t>
  </si>
  <si>
    <t>ตลาดเช้าจำหน่ายสัตว์น้ำ 219</t>
  </si>
  <si>
    <t>ตลาดเช้าจำหน่ายสัตว์น้ำ 235</t>
  </si>
  <si>
    <t>ตลาดเช้าจำหน่ายสัตว์น้ำ 236</t>
  </si>
  <si>
    <t>นางชิดชนก  จันทร์ศิริ</t>
  </si>
  <si>
    <t>ท่าเรือเล็ก 6</t>
  </si>
  <si>
    <t>นางสาววลี สุวัฒน์กุล</t>
  </si>
  <si>
    <t xml:space="preserve">บริเวณฟุตบาลหลังโรงงานน้ำแข็ง </t>
  </si>
  <si>
    <t xml:space="preserve">นางชิดชนก  จันทร์ศิริ   </t>
  </si>
  <si>
    <t>นายชูศักดิ์ สุนทรกุมาร</t>
  </si>
  <si>
    <t>ค่าธ.รถผ่านท่า 4 ล้อ</t>
  </si>
  <si>
    <t>นางสาววิไลพร เชื้อวงษ์</t>
  </si>
  <si>
    <t>นางสาวปิโยรส  ศิริทัศน์</t>
  </si>
  <si>
    <t>ค่าน้ำ อ.แปลง A 1,2</t>
  </si>
  <si>
    <t>ค่าน้ำ อ.แปลง A 5</t>
  </si>
  <si>
    <t>ค่าน้ำ อ.แปลง C 5</t>
  </si>
  <si>
    <t>ค่าน้ำ อ.แปลง C 9</t>
  </si>
  <si>
    <t>มค.-กค.69</t>
  </si>
  <si>
    <t>ค่าน้ำ อ.แผงลอยบี 7</t>
  </si>
  <si>
    <t>ค่าน้ำ อ.แผงลอยบี 9-11</t>
  </si>
  <si>
    <t>ค่าน้ำ อ.ช่วง2 ล.33</t>
  </si>
  <si>
    <t>นายอาตียะ  บือราเฮง</t>
  </si>
  <si>
    <t>ค่าน้ำ โรงอาหาร 2 ชั้น ล.1</t>
  </si>
  <si>
    <t>ค่าน้ำ โรงดอง ล.1,2</t>
  </si>
  <si>
    <t>นายสุมลฑา  บุนนาค</t>
  </si>
  <si>
    <t>ค่าน้ำท่าเรือเล็ก ล.6</t>
  </si>
  <si>
    <t>นายเกียรติศักดิ์ สุทธิสงศ์</t>
  </si>
  <si>
    <t xml:space="preserve">นางสาวพศวีร์ ไฝ่จันทร์ </t>
  </si>
  <si>
    <t>ค่าน้ำที่ดินแปลง 8.5</t>
  </si>
  <si>
    <t>ไฟฟ้า ตลาดเกษตร ล.13</t>
  </si>
  <si>
    <t>ไฟฟ้า ตลาดเกษตร ล.53</t>
  </si>
  <si>
    <t>ไฟฟ้า ตลาดเกษตร ล.71</t>
  </si>
  <si>
    <t>สุขา อ.แปลง A 1,2</t>
  </si>
  <si>
    <t>สุขา อ.แปลง A 5</t>
  </si>
  <si>
    <t>สุขา อ.แปลง A 8,9</t>
  </si>
  <si>
    <t>สุขา อ.แปลง E ล.9,10</t>
  </si>
  <si>
    <t>สุขา แผงลอย บี 7</t>
  </si>
  <si>
    <t>สุขา แผงลอย บี 9-11</t>
  </si>
  <si>
    <t>กย.67-กค.69</t>
  </si>
  <si>
    <t>สุขาโรงบรรจุ ล.21,22,29,30</t>
  </si>
  <si>
    <t>สุขาโรงบรรจุ ล.35</t>
  </si>
  <si>
    <t>สุขาโรงบรรจุ ล.36,47</t>
  </si>
  <si>
    <t>สุขาภิบาลตลาดเช้า ล.35</t>
  </si>
  <si>
    <t>สุขาภิบาลตลาดเช้า ล.69</t>
  </si>
  <si>
    <t>สุขาภิบาลตลาดเช้า ล.73</t>
  </si>
  <si>
    <t>สุขาภิบาลตลาดเช้า ล.78</t>
  </si>
  <si>
    <t>สุขาภิบาลตลาดเช้า ล.81</t>
  </si>
  <si>
    <t>สุขาภิบาลตลาดเช้า ล.83</t>
  </si>
  <si>
    <t>สุขาภิบาลตลาดเช้า ล.84</t>
  </si>
  <si>
    <t>สุขาภิบาลตลาดเช้า ล.85</t>
  </si>
  <si>
    <t>สุขาภิบาลตลาดเช้า ล.86</t>
  </si>
  <si>
    <t>สุขาภิบาลตลาดเช้า ล.87</t>
  </si>
  <si>
    <t>สุขาภิบาลตลาดเช้า ล.116</t>
  </si>
  <si>
    <t>สุขาภิบาลตลาดเช้า ล.121</t>
  </si>
  <si>
    <t>สุขาภิบาลตลาดเช้า ล.122</t>
  </si>
  <si>
    <t>สุขาภิบาลตลาดเช้า ล.123</t>
  </si>
  <si>
    <t>สุขาภิบาลตลาดเช้า ล.126</t>
  </si>
  <si>
    <t>สุขาภิบาลตลาดเช้า ล.128</t>
  </si>
  <si>
    <t>สุขาภิบาลตลาดเช้า ล.133</t>
  </si>
  <si>
    <t>สุขาภิบาลตลาดเช้า ล.134</t>
  </si>
  <si>
    <t>สุขาภิบาลตลาดเช้า ล.135</t>
  </si>
  <si>
    <t>สุขาภิบาลตลาดเช้า ล.136</t>
  </si>
  <si>
    <t>สุขาภิบาลตลาดเช้า ล.137</t>
  </si>
  <si>
    <t>สุขาภิบาลตลาดเช้า ล.159</t>
  </si>
  <si>
    <t>สุขาภิบาลตลาดเช้า ล.160</t>
  </si>
  <si>
    <t>นางสาวปริชาติ อินทร์แก้ว</t>
  </si>
  <si>
    <t>นางสาวรัตรยา อุดมวานิช</t>
  </si>
  <si>
    <t>นางสาววรุณี คะเนสม</t>
  </si>
  <si>
    <t>นายคงเทพ แก้วมาก</t>
  </si>
  <si>
    <t>นางสาวกิตติมา ปินตุหวัด</t>
  </si>
  <si>
    <t>นางสาววันทนา รายา</t>
  </si>
  <si>
    <t>นางสาวดุษฎี ใบระหมาน</t>
  </si>
  <si>
    <t>สุขาภิบาลตลาดเช้า  ล.148</t>
  </si>
  <si>
    <t>สุขาภิบาลตลาดเช้า  ล.149</t>
  </si>
  <si>
    <t>สุขาภิบาลตลาดเช้า  ล.150</t>
  </si>
  <si>
    <t>สุขาภิบาลตลาดเช้า  ล.151</t>
  </si>
  <si>
    <t>สุขาภิบาลตลาดเช้า  ล.152</t>
  </si>
  <si>
    <t>สุขาภิบาลตลาดเช้า  ล.154</t>
  </si>
  <si>
    <t>สุขาภิบาลตลาดเช้า ล.161</t>
  </si>
  <si>
    <t>สุขาภิบาลตลาดเช้า ล.162</t>
  </si>
  <si>
    <t>สุขาภิบาลตลาดเช้า ล.163</t>
  </si>
  <si>
    <t>สุขาภิบาลตลาดเช้า ล.164</t>
  </si>
  <si>
    <t>สุขาภิบาลตลาดเช้า ล.165</t>
  </si>
  <si>
    <t>สุขาภิบาลตลาดเช้า ล.166</t>
  </si>
  <si>
    <t>สุขาภิบาลตลาดเช้า ล.167</t>
  </si>
  <si>
    <t>สุขาภิบาลตลาดเช้า ล.308</t>
  </si>
  <si>
    <t>สุขาภิบาลตลาดเช้า ล.309</t>
  </si>
  <si>
    <t>สุขา ตลาดเกษตร ล.13</t>
  </si>
  <si>
    <t>สุขา ตลาดเกษตร 
ล.27,29,31</t>
  </si>
  <si>
    <t>สุขาตลาดเกษตร ล.36</t>
  </si>
  <si>
    <t>เมย.68-กค.69</t>
  </si>
  <si>
    <t>สุขาตลาดเกษตร ล.48</t>
  </si>
  <si>
    <t>สุขาตลาดเกษตร ล.53</t>
  </si>
  <si>
    <t>สุขาตลาดเกษตร ล.55</t>
  </si>
  <si>
    <t>สุขาตลาดเกษตร ล.57</t>
  </si>
  <si>
    <t xml:space="preserve">นายอับดุลเล๊าะ เจ๊ะอุมา </t>
  </si>
  <si>
    <t>สุขาตลาดเกษตร ล.71</t>
  </si>
  <si>
    <t>สุขาโรงดองข้าง สนง. ล.1,2</t>
  </si>
  <si>
    <t>สุขาบริเวณฟุตบาลหลังโรงน้ำแข็ง</t>
  </si>
  <si>
    <t>ค่าประกันอัคคีภัยอาคารช่วง 2 ล.12,13</t>
  </si>
  <si>
    <t>หนี้ดำเนินคดี</t>
  </si>
  <si>
    <t>ค่าเช่าปรับเพิ่ม 15%(กย.67-เมย.69=21 ด.)กค.68-พค.69</t>
  </si>
  <si>
    <t>กย.67-ธค.68,มค.-พค.69</t>
  </si>
  <si>
    <t>สค.68-พค.69</t>
  </si>
  <si>
    <t>สุขาโรงบรรจุ ล.25</t>
  </si>
  <si>
    <t>21-31กค.69</t>
  </si>
  <si>
    <t>1-31กค.69</t>
  </si>
  <si>
    <t>นางธาริกา มงคลสุข</t>
  </si>
  <si>
    <t>ค่าเช่าอาคาร1/7</t>
  </si>
  <si>
    <t>นางมุกดา  บัวงาม</t>
  </si>
  <si>
    <t>ค่าเช่าอาคาร1/12,13</t>
  </si>
  <si>
    <t>สุขาภิบาล1/7</t>
  </si>
  <si>
    <t>นางมุกดา บัวงาม</t>
  </si>
  <si>
    <t>สุขาภิบาล1/12,13</t>
  </si>
  <si>
    <t>น้ำประปา1/7</t>
  </si>
  <si>
    <t>น้ำประปา1/12,13</t>
  </si>
  <si>
    <t>นางแจ่มศิริ พรหมจิตต์</t>
  </si>
  <si>
    <t>น้ำประปา2/7</t>
  </si>
  <si>
    <t>นางสะฝิย๊ะ เพ็ญโส๊ะ</t>
  </si>
  <si>
    <t>น้ำประปา3/6</t>
  </si>
  <si>
    <t>นายอร่าม จางอิสระกุล</t>
  </si>
  <si>
    <t>น้ำประปา6/5</t>
  </si>
  <si>
    <t>นายมฆะพงษ์ พัฒนากิจการสาร</t>
  </si>
  <si>
    <t>น.ส.พัชรินทร์ เรืองเพชร(กวาง)</t>
  </si>
  <si>
    <t>น้าประปาท่าเรือเล็ก</t>
  </si>
  <si>
    <t>ไฟฟ้า1/7</t>
  </si>
  <si>
    <t>ไฟฟ้า1/12,13</t>
  </si>
  <si>
    <t>นายมฆะพันธ์ พัฒนากิจการสาร</t>
  </si>
  <si>
    <t>ไฟฟ้า2/7</t>
  </si>
  <si>
    <t>นางสะฝีย๊ะ เบ็ญโส๊ะ</t>
  </si>
  <si>
    <t>ไฟฟ้า3/6</t>
  </si>
  <si>
    <t>ไฟฟ้า6/5</t>
  </si>
  <si>
    <t>นายกิตติพงษ์ บูรณะพันธ์</t>
  </si>
  <si>
    <t>นายสมชาย หมุดโต๊ะหมัด</t>
  </si>
  <si>
    <t>ไฟฟ้า ปั๊มน้ำเค็ม</t>
  </si>
  <si>
    <t>นางจิราภรณ์ มาลิคอาลี</t>
  </si>
  <si>
    <t>ไฟฟ้า โรงคลุมเล็ก</t>
  </si>
  <si>
    <t>นายจรัส บูรณวัฒน์</t>
  </si>
  <si>
    <t>ไฟฟ้าท่าเรือเล็ก</t>
  </si>
  <si>
    <t>นางอำพร  อินทรพงษา</t>
  </si>
  <si>
    <t>ไฟฟ้าเรือ โชคอำนาจ</t>
  </si>
  <si>
    <t>นายสมมาต ภูริศิริไพบุรณ์</t>
  </si>
  <si>
    <t>นายประเสริฐ ภักดี</t>
  </si>
  <si>
    <t>พ.ค.-ก.ค.69</t>
  </si>
  <si>
    <t>มิย.69*-กค.69</t>
  </si>
  <si>
    <t>นายชำนาญ สาจุ้ย</t>
  </si>
  <si>
    <t>ลานจอดรถล็อค17</t>
  </si>
  <si>
    <t>นางพัชราลักษณ์ ตันติศิริรักษ์</t>
  </si>
  <si>
    <t>ลานจอดรถล็อค18</t>
  </si>
  <si>
    <t>ลานจอดรถล็อค26</t>
  </si>
  <si>
    <t>มิ.ย.-กค.69</t>
  </si>
  <si>
    <t>มิ.ย*-กค.69</t>
  </si>
  <si>
    <t>กพ.-พค.69</t>
  </si>
  <si>
    <t>บริษัท โครตทะเล เดอะ ริเวอร์ฟร้อนท์ เจริญกรุง 58 จำกัด</t>
  </si>
  <si>
    <t>3ชั้น 6 คูหา เลขที่ 64</t>
  </si>
  <si>
    <t>น้ำพื้นที่ขั่วคราวล็อค 17</t>
  </si>
  <si>
    <t>พค-กค.69</t>
  </si>
  <si>
    <t>นส.พศวีร์ ไฝ่จันทร์(เริ่ม1พย.68)</t>
  </si>
  <si>
    <t>น้ำพื้นที่ขั่วคราวA9</t>
  </si>
  <si>
    <t>มิ.ย.-ก.ค.69</t>
  </si>
  <si>
    <t>มิ.ย.*-กค.69</t>
  </si>
  <si>
    <t>นายชำนาญ  สาจุ้ย</t>
  </si>
  <si>
    <t>ไฟฟ้าพื้นที่ขั่วคราวล็อค17</t>
  </si>
  <si>
    <t>ไฟฟ้าพื้นที่ขั่วคราวล็อค29</t>
  </si>
  <si>
    <t>ไฟฟ้าพื้นที่ขั่วคราวล็อค33</t>
  </si>
  <si>
    <t>ไฟฟ้าพื้นที่ชั่วคราวล็อคA9</t>
  </si>
  <si>
    <t>พค.- กค.69</t>
  </si>
  <si>
    <t>งวดที่ี่ 5/6</t>
  </si>
  <si>
    <t>งวดที่ 5/6</t>
  </si>
  <si>
    <t>นางพัชราลักษณ์ ตันติศิริรักษ์ (ยอด30000 ผ่อน 5 งวด)</t>
  </si>
  <si>
    <t>งวดที่2/5</t>
  </si>
  <si>
    <t>งวดที่ี่ 10/19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</si>
</sst>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(* #,##0_);_(* \(#,##0\);_(* &quot;-&quot;_);_(@_)"/>
    <numFmt numFmtId="43" formatCode="_(* #,##0.00_);_(* \(#,##0.00\);_(* &quot;-&quot;??_);_(@_)"/>
    <numFmt numFmtId="171" formatCode="_-* #,##0.00_-;\-* #,##0.00_-;_-* &quot;-&quot;??_-;_-@_-"/>
    <numFmt numFmtId="176" formatCode="0_);\(0\)"/>
    <numFmt numFmtId="177" formatCode="_-* #,##0_-;\-* #,##0_-;_-* &quot;-&quot;??_-;_-@_-"/>
    <numFmt numFmtId="178" formatCode="#,##0.00_ ;[Red]\-#,##0.00\ "/>
    <numFmt numFmtId="179" formatCode="#,##0.00;\(#,##0.00\)"/>
    <numFmt numFmtId="180" formatCode="#,##0;\(#,##0\)"/>
    <numFmt numFmtId="181" formatCode="_-* #,##0.00_-;\-* #,##0.00_-;_-* &quot;-&quot;??_-;_-@"/>
    <numFmt numFmtId="182" formatCode="_-* #,##0_-;\-* #,##0_-;_-* &quot;-&quot;??_-;_-@"/>
    <numFmt numFmtId="183" formatCode="#,##0.00;[Red]\(#,##0.00\)"/>
    <numFmt numFmtId="184" formatCode="0_ ;\-0\ "/>
    <numFmt numFmtId="185" formatCode="#,##0_ ;\-#,##0\ "/>
    <numFmt numFmtId="187" formatCode="_(* #,##0_);_(* \(#,##0\);_(* &quot;-&quot;??_);_(@_)"/>
    <numFmt numFmtId="188" formatCode="0.0"/>
  </numFmts>
  <fonts count="54">
    <font>
      <sz val="10"/>
      <name val="Arial"/>
    </font>
    <font>
      <sz val="10"/>
      <name val="Arial"/>
    </font>
    <font>
      <sz val="14"/>
      <name val="AngsanaUPC"/>
      <family val="1"/>
      <charset val="222"/>
    </font>
    <font>
      <sz val="8"/>
      <name val="Arial"/>
      <family val="2"/>
    </font>
    <font>
      <sz val="10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sz val="14"/>
      <name val="AngsanaUPC"/>
      <family val="1"/>
    </font>
    <font>
      <sz val="11"/>
      <color indexed="8"/>
      <name val="Tahoma"/>
      <family val="2"/>
      <charset val="222"/>
    </font>
    <font>
      <sz val="11"/>
      <color indexed="8"/>
      <name val="Tahoma"/>
      <family val="2"/>
    </font>
    <font>
      <sz val="11"/>
      <color indexed="8"/>
      <name val="Tahoma"/>
      <family val="2"/>
      <charset val="222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10"/>
      <name val="TH SarabunPSK"/>
      <family val="2"/>
    </font>
    <font>
      <sz val="11"/>
      <color indexed="8"/>
      <name val="Tahoma"/>
      <family val="2"/>
    </font>
    <font>
      <sz val="11"/>
      <color indexed="8"/>
      <name val="Tahoma"/>
      <family val="2"/>
      <charset val="222"/>
    </font>
    <font>
      <sz val="11"/>
      <color indexed="8"/>
      <name val="Tahoma"/>
      <family val="2"/>
    </font>
    <font>
      <sz val="11"/>
      <color indexed="8"/>
      <name val="Tahoma"/>
      <family val="2"/>
      <charset val="222"/>
    </font>
    <font>
      <sz val="11"/>
      <color indexed="8"/>
      <name val="Tahoma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name val="TH SarabunPSK"/>
      <family val="2"/>
    </font>
    <font>
      <b/>
      <u/>
      <sz val="16"/>
      <name val="TH SarabunPSK"/>
      <family val="2"/>
    </font>
    <font>
      <b/>
      <sz val="10"/>
      <name val="TH SarabunPSK"/>
      <family val="2"/>
    </font>
    <font>
      <b/>
      <u/>
      <sz val="14"/>
      <name val="TH SarabunPSK"/>
      <family val="2"/>
    </font>
    <font>
      <b/>
      <sz val="13"/>
      <name val="TH SarabunPSK"/>
      <family val="2"/>
    </font>
    <font>
      <b/>
      <u val="doubleAccounting"/>
      <sz val="16"/>
      <name val="TH SarabunPSK"/>
      <family val="2"/>
    </font>
    <font>
      <b/>
      <u val="singleAccounting"/>
      <sz val="16"/>
      <name val="TH SarabunPSK"/>
      <family val="2"/>
    </font>
    <font>
      <b/>
      <sz val="16"/>
      <name val="TH SarabunPSK"/>
      <family val="2"/>
      <charset val="222"/>
    </font>
    <font>
      <u/>
      <sz val="16"/>
      <name val="TH SarabunPSK"/>
      <family val="2"/>
      <charset val="222"/>
    </font>
    <font>
      <b/>
      <u/>
      <sz val="16"/>
      <name val="TH SarabunPSK"/>
      <family val="2"/>
      <charset val="222"/>
    </font>
    <font>
      <b/>
      <u val="singleAccounting"/>
      <sz val="16"/>
      <name val="TH SarabunPSK"/>
      <family val="2"/>
      <charset val="222"/>
    </font>
    <font>
      <sz val="16"/>
      <name val="TH SarabunPSK"/>
      <family val="2"/>
      <charset val="222"/>
    </font>
    <font>
      <sz val="16"/>
      <name val="TH Sarabun New"/>
      <family val="2"/>
      <charset val="222"/>
    </font>
    <font>
      <sz val="11"/>
      <color theme="1"/>
      <name val="Tahoma"/>
      <family val="2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14"/>
      <color rgb="FF000000"/>
      <name val="Tahoma"/>
      <family val="2"/>
    </font>
    <font>
      <b/>
      <sz val="14"/>
      <color rgb="FFFF0000"/>
      <name val="TH SarabunPSK"/>
      <family val="2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13"/>
        <bgColor indexed="9"/>
      </patternFill>
    </fill>
    <fill>
      <patternFill patternType="solid">
        <fgColor indexed="9"/>
        <bgColor indexed="13"/>
      </patternFill>
    </fill>
    <fill>
      <patternFill patternType="solid">
        <fgColor indexed="27"/>
        <bgColor indexed="13"/>
      </patternFill>
    </fill>
    <fill>
      <patternFill patternType="solid">
        <fgColor indexed="2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9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rgb="FFFFFFFF"/>
        <bgColor rgb="FFFFFFFF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10"/>
      </top>
      <bottom style="double">
        <color indexed="64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40"/>
      </left>
      <right style="thick">
        <color indexed="40"/>
      </right>
      <top style="thick">
        <color indexed="40"/>
      </top>
      <bottom/>
      <diagonal/>
    </border>
    <border>
      <left style="thick">
        <color indexed="40"/>
      </left>
      <right style="thick">
        <color indexed="40"/>
      </right>
      <top/>
      <bottom style="thick">
        <color indexed="4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49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8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45" fillId="0" borderId="0" applyFont="0" applyFill="0" applyBorder="0" applyAlignment="0" applyProtection="0"/>
    <xf numFmtId="0" fontId="4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1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45" fillId="0" borderId="0"/>
    <xf numFmtId="0" fontId="5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7" fillId="0" borderId="0"/>
    <xf numFmtId="0" fontId="47" fillId="0" borderId="0"/>
    <xf numFmtId="0" fontId="10" fillId="0" borderId="0"/>
    <xf numFmtId="171" fontId="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24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5" fillId="0" borderId="0"/>
    <xf numFmtId="0" fontId="11" fillId="0" borderId="0"/>
    <xf numFmtId="0" fontId="4" fillId="0" borderId="0"/>
    <xf numFmtId="0" fontId="4" fillId="0" borderId="0"/>
    <xf numFmtId="0" fontId="48" fillId="0" borderId="0"/>
    <xf numFmtId="0" fontId="45" fillId="0" borderId="0"/>
    <xf numFmtId="0" fontId="47" fillId="0" borderId="0"/>
    <xf numFmtId="0" fontId="44" fillId="0" borderId="0"/>
    <xf numFmtId="0" fontId="4" fillId="0" borderId="0"/>
    <xf numFmtId="0" fontId="45" fillId="0" borderId="0"/>
    <xf numFmtId="0" fontId="46" fillId="0" borderId="0"/>
    <xf numFmtId="0" fontId="45" fillId="0" borderId="0"/>
    <xf numFmtId="0" fontId="49" fillId="0" borderId="0"/>
    <xf numFmtId="0" fontId="45" fillId="0" borderId="0"/>
    <xf numFmtId="0" fontId="50" fillId="0" borderId="0"/>
    <xf numFmtId="0" fontId="4" fillId="0" borderId="0"/>
    <xf numFmtId="0" fontId="5" fillId="0" borderId="0"/>
    <xf numFmtId="0" fontId="46" fillId="0" borderId="0"/>
    <xf numFmtId="0" fontId="45" fillId="0" borderId="0"/>
    <xf numFmtId="0" fontId="47" fillId="0" borderId="0"/>
    <xf numFmtId="0" fontId="49" fillId="0" borderId="0"/>
    <xf numFmtId="0" fontId="51" fillId="0" borderId="0"/>
    <xf numFmtId="0" fontId="46" fillId="0" borderId="0"/>
    <xf numFmtId="0" fontId="45" fillId="0" borderId="0"/>
    <xf numFmtId="0" fontId="47" fillId="0" borderId="0"/>
    <xf numFmtId="0" fontId="49" fillId="0" borderId="0"/>
    <xf numFmtId="0" fontId="52" fillId="0" borderId="0"/>
    <xf numFmtId="0" fontId="46" fillId="0" borderId="0"/>
    <xf numFmtId="0" fontId="45" fillId="0" borderId="0"/>
    <xf numFmtId="0" fontId="47" fillId="0" borderId="0"/>
    <xf numFmtId="0" fontId="15" fillId="0" borderId="0"/>
    <xf numFmtId="0" fontId="45" fillId="0" borderId="0"/>
    <xf numFmtId="0" fontId="47" fillId="0" borderId="0"/>
    <xf numFmtId="0" fontId="20" fillId="0" borderId="0"/>
    <xf numFmtId="0" fontId="47" fillId="0" borderId="0"/>
    <xf numFmtId="0" fontId="10" fillId="0" borderId="0"/>
  </cellStyleXfs>
  <cellXfs count="1576">
    <xf numFmtId="0" fontId="0" fillId="0" borderId="0" xfId="0"/>
    <xf numFmtId="0" fontId="21" fillId="0" borderId="0" xfId="0" applyFont="1" applyFill="1" applyBorder="1" applyAlignment="1">
      <alignment horizontal="center" vertical="center"/>
    </xf>
    <xf numFmtId="3" fontId="21" fillId="0" borderId="0" xfId="0" applyNumberFormat="1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horizontal="center" vertical="center"/>
    </xf>
    <xf numFmtId="1" fontId="21" fillId="0" borderId="0" xfId="1" applyNumberFormat="1" applyFont="1" applyFill="1" applyBorder="1" applyAlignment="1">
      <alignment horizontal="center" vertical="center"/>
    </xf>
    <xf numFmtId="180" fontId="21" fillId="0" borderId="0" xfId="1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3" fontId="21" fillId="0" borderId="2" xfId="1" applyNumberFormat="1" applyFont="1" applyFill="1" applyBorder="1" applyAlignment="1">
      <alignment horizontal="center" vertical="distributed"/>
    </xf>
    <xf numFmtId="43" fontId="21" fillId="0" borderId="2" xfId="1" applyFont="1" applyFill="1" applyBorder="1" applyAlignment="1">
      <alignment horizontal="center" vertical="center"/>
    </xf>
    <xf numFmtId="180" fontId="21" fillId="0" borderId="2" xfId="1" applyNumberFormat="1" applyFont="1" applyFill="1" applyBorder="1" applyAlignment="1">
      <alignment horizontal="center" vertical="distributed"/>
    </xf>
    <xf numFmtId="43" fontId="21" fillId="0" borderId="3" xfId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3" fontId="21" fillId="0" borderId="1" xfId="0" applyNumberFormat="1" applyFont="1" applyFill="1" applyBorder="1" applyAlignment="1">
      <alignment horizontal="left" vertical="center"/>
    </xf>
    <xf numFmtId="43" fontId="21" fillId="0" borderId="1" xfId="1" applyFont="1" applyFill="1" applyBorder="1" applyAlignment="1">
      <alignment horizontal="left" vertical="center"/>
    </xf>
    <xf numFmtId="180" fontId="21" fillId="0" borderId="1" xfId="1" applyNumberFormat="1" applyFont="1" applyFill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3" fontId="21" fillId="0" borderId="1" xfId="0" applyNumberFormat="1" applyFont="1" applyFill="1" applyBorder="1" applyAlignment="1">
      <alignment horizontal="center" vertical="center"/>
    </xf>
    <xf numFmtId="180" fontId="21" fillId="0" borderId="1" xfId="0" applyNumberFormat="1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49" fontId="21" fillId="0" borderId="1" xfId="0" applyNumberFormat="1" applyFont="1" applyFill="1" applyBorder="1" applyAlignment="1">
      <alignment horizontal="left" vertical="center"/>
    </xf>
    <xf numFmtId="0" fontId="21" fillId="0" borderId="4" xfId="0" applyFont="1" applyFill="1" applyBorder="1" applyAlignment="1">
      <alignment horizontal="center" vertical="center"/>
    </xf>
    <xf numFmtId="49" fontId="21" fillId="0" borderId="4" xfId="0" applyNumberFormat="1" applyFont="1" applyFill="1" applyBorder="1" applyAlignment="1">
      <alignment horizontal="left" vertical="center"/>
    </xf>
    <xf numFmtId="3" fontId="21" fillId="0" borderId="4" xfId="0" applyNumberFormat="1" applyFont="1" applyFill="1" applyBorder="1" applyAlignment="1">
      <alignment horizontal="center" vertical="center"/>
    </xf>
    <xf numFmtId="43" fontId="21" fillId="0" borderId="4" xfId="1" applyFont="1" applyFill="1" applyBorder="1" applyAlignment="1">
      <alignment horizontal="left" vertical="center"/>
    </xf>
    <xf numFmtId="180" fontId="21" fillId="0" borderId="4" xfId="1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49" fontId="21" fillId="0" borderId="3" xfId="0" applyNumberFormat="1" applyFont="1" applyFill="1" applyBorder="1" applyAlignment="1">
      <alignment horizontal="center" vertical="center"/>
    </xf>
    <xf numFmtId="3" fontId="21" fillId="0" borderId="3" xfId="1" applyNumberFormat="1" applyFont="1" applyFill="1" applyBorder="1" applyAlignment="1">
      <alignment horizontal="center" vertical="center"/>
    </xf>
    <xf numFmtId="180" fontId="21" fillId="0" borderId="3" xfId="1" applyNumberFormat="1" applyFont="1" applyFill="1" applyBorder="1" applyAlignment="1">
      <alignment horizontal="center" vertical="center"/>
    </xf>
    <xf numFmtId="43" fontId="21" fillId="0" borderId="3" xfId="1" applyFont="1" applyFill="1" applyBorder="1" applyAlignment="1">
      <alignment horizontal="left" vertical="center"/>
    </xf>
    <xf numFmtId="49" fontId="21" fillId="0" borderId="2" xfId="0" applyNumberFormat="1" applyFont="1" applyFill="1" applyBorder="1" applyAlignment="1">
      <alignment horizontal="left" vertical="center"/>
    </xf>
    <xf numFmtId="3" fontId="21" fillId="0" borderId="2" xfId="0" applyNumberFormat="1" applyFont="1" applyFill="1" applyBorder="1" applyAlignment="1">
      <alignment horizontal="left" vertical="center"/>
    </xf>
    <xf numFmtId="180" fontId="21" fillId="0" borderId="2" xfId="1" applyNumberFormat="1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left" vertical="center"/>
    </xf>
    <xf numFmtId="3" fontId="21" fillId="0" borderId="0" xfId="0" applyNumberFormat="1" applyFont="1" applyFill="1" applyBorder="1" applyAlignment="1">
      <alignment horizontal="left" vertical="center"/>
    </xf>
    <xf numFmtId="43" fontId="21" fillId="0" borderId="0" xfId="1" applyFont="1" applyFill="1" applyBorder="1" applyAlignment="1">
      <alignment horizontal="left" vertical="center"/>
    </xf>
    <xf numFmtId="49" fontId="21" fillId="0" borderId="5" xfId="0" applyNumberFormat="1" applyFont="1" applyFill="1" applyBorder="1" applyAlignment="1">
      <alignment horizontal="left" vertical="center"/>
    </xf>
    <xf numFmtId="49" fontId="21" fillId="0" borderId="6" xfId="0" applyNumberFormat="1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43" fontId="21" fillId="0" borderId="0" xfId="1" applyFont="1" applyFill="1" applyAlignment="1">
      <alignment vertical="center"/>
    </xf>
    <xf numFmtId="3" fontId="21" fillId="0" borderId="3" xfId="0" applyNumberFormat="1" applyFont="1" applyFill="1" applyBorder="1" applyAlignment="1">
      <alignment horizontal="center" vertical="center"/>
    </xf>
    <xf numFmtId="3" fontId="21" fillId="0" borderId="2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3" fontId="21" fillId="0" borderId="5" xfId="0" applyNumberFormat="1" applyFont="1" applyFill="1" applyBorder="1" applyAlignment="1">
      <alignment horizontal="center" vertical="center"/>
    </xf>
    <xf numFmtId="43" fontId="21" fillId="0" borderId="5" xfId="1" applyFont="1" applyFill="1" applyBorder="1" applyAlignment="1">
      <alignment horizontal="left" vertical="center"/>
    </xf>
    <xf numFmtId="180" fontId="21" fillId="0" borderId="5" xfId="1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3" fontId="21" fillId="0" borderId="6" xfId="0" applyNumberFormat="1" applyFont="1" applyFill="1" applyBorder="1" applyAlignment="1">
      <alignment horizontal="center" vertical="center"/>
    </xf>
    <xf numFmtId="43" fontId="21" fillId="0" borderId="6" xfId="1" applyFont="1" applyFill="1" applyBorder="1" applyAlignment="1">
      <alignment horizontal="left" vertical="center"/>
    </xf>
    <xf numFmtId="180" fontId="21" fillId="0" borderId="6" xfId="1" applyNumberFormat="1" applyFont="1" applyFill="1" applyBorder="1" applyAlignment="1">
      <alignment horizontal="center" vertical="center"/>
    </xf>
    <xf numFmtId="3" fontId="21" fillId="0" borderId="3" xfId="0" applyNumberFormat="1" applyFont="1" applyFill="1" applyBorder="1" applyAlignment="1">
      <alignment horizontal="left" vertical="center"/>
    </xf>
    <xf numFmtId="43" fontId="21" fillId="0" borderId="0" xfId="1" applyNumberFormat="1" applyFont="1" applyFill="1" applyBorder="1" applyAlignment="1">
      <alignment horizontal="center" vertical="center"/>
    </xf>
    <xf numFmtId="43" fontId="21" fillId="0" borderId="2" xfId="1" applyNumberFormat="1" applyFont="1" applyFill="1" applyBorder="1" applyAlignment="1">
      <alignment horizontal="center" vertical="center"/>
    </xf>
    <xf numFmtId="43" fontId="21" fillId="0" borderId="1" xfId="1" applyNumberFormat="1" applyFont="1" applyFill="1" applyBorder="1" applyAlignment="1">
      <alignment horizontal="left" vertical="center"/>
    </xf>
    <xf numFmtId="43" fontId="21" fillId="0" borderId="4" xfId="1" applyNumberFormat="1" applyFont="1" applyFill="1" applyBorder="1" applyAlignment="1">
      <alignment horizontal="left" vertical="center"/>
    </xf>
    <xf numFmtId="43" fontId="21" fillId="0" borderId="3" xfId="1" applyNumberFormat="1" applyFont="1" applyFill="1" applyBorder="1" applyAlignment="1">
      <alignment horizontal="left" vertical="center"/>
    </xf>
    <xf numFmtId="43" fontId="21" fillId="0" borderId="2" xfId="1" applyNumberFormat="1" applyFont="1" applyFill="1" applyBorder="1" applyAlignment="1">
      <alignment horizontal="left" vertical="center"/>
    </xf>
    <xf numFmtId="43" fontId="21" fillId="0" borderId="5" xfId="1" applyNumberFormat="1" applyFont="1" applyFill="1" applyBorder="1" applyAlignment="1">
      <alignment horizontal="left" vertical="center"/>
    </xf>
    <xf numFmtId="43" fontId="21" fillId="0" borderId="6" xfId="1" applyNumberFormat="1" applyFont="1" applyFill="1" applyBorder="1" applyAlignment="1">
      <alignment horizontal="left" vertical="center"/>
    </xf>
    <xf numFmtId="43" fontId="21" fillId="0" borderId="3" xfId="1" applyNumberFormat="1" applyFont="1" applyFill="1" applyBorder="1" applyAlignment="1">
      <alignment horizontal="center" vertical="center"/>
    </xf>
    <xf numFmtId="43" fontId="21" fillId="0" borderId="0" xfId="1" applyNumberFormat="1" applyFont="1" applyFill="1" applyBorder="1" applyAlignment="1">
      <alignment horizontal="left" vertical="center"/>
    </xf>
    <xf numFmtId="43" fontId="21" fillId="0" borderId="0" xfId="1" applyFont="1" applyAlignment="1">
      <alignment vertical="center"/>
    </xf>
    <xf numFmtId="0" fontId="21" fillId="0" borderId="0" xfId="0" applyFont="1" applyAlignment="1">
      <alignment vertical="center"/>
    </xf>
    <xf numFmtId="39" fontId="31" fillId="0" borderId="2" xfId="0" applyNumberFormat="1" applyFont="1" applyBorder="1" applyAlignment="1">
      <alignment horizontal="center" vertical="center"/>
    </xf>
    <xf numFmtId="43" fontId="21" fillId="0" borderId="3" xfId="1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43" fontId="21" fillId="0" borderId="3" xfId="0" applyNumberFormat="1" applyFont="1" applyBorder="1" applyAlignment="1">
      <alignment horizontal="right" vertical="center"/>
    </xf>
    <xf numFmtId="0" fontId="21" fillId="0" borderId="0" xfId="0" applyFont="1"/>
    <xf numFmtId="43" fontId="21" fillId="0" borderId="0" xfId="0" applyNumberFormat="1" applyFont="1" applyAlignment="1">
      <alignment horizontal="right" vertical="center"/>
    </xf>
    <xf numFmtId="39" fontId="21" fillId="0" borderId="0" xfId="0" applyNumberFormat="1" applyFont="1" applyAlignment="1">
      <alignment vertical="center"/>
    </xf>
    <xf numFmtId="171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43" fontId="21" fillId="0" borderId="0" xfId="0" applyNumberFormat="1" applyFont="1" applyFill="1" applyAlignment="1">
      <alignment horizontal="center" vertical="center"/>
    </xf>
    <xf numFmtId="39" fontId="21" fillId="0" borderId="3" xfId="0" applyNumberFormat="1" applyFont="1" applyBorder="1" applyAlignment="1">
      <alignment horizontal="right" vertical="center"/>
    </xf>
    <xf numFmtId="43" fontId="21" fillId="0" borderId="3" xfId="0" applyNumberFormat="1" applyFont="1" applyBorder="1" applyAlignment="1">
      <alignment horizontal="right" indent="1"/>
    </xf>
    <xf numFmtId="43" fontId="21" fillId="0" borderId="0" xfId="1" applyFont="1" applyAlignment="1">
      <alignment horizontal="right" vertical="center"/>
    </xf>
    <xf numFmtId="39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43" fontId="21" fillId="0" borderId="0" xfId="1" applyFont="1" applyBorder="1" applyAlignment="1">
      <alignment horizontal="right" vertical="center"/>
    </xf>
    <xf numFmtId="10" fontId="21" fillId="0" borderId="0" xfId="0" applyNumberFormat="1" applyFont="1" applyAlignment="1">
      <alignment horizontal="right" vertical="center"/>
    </xf>
    <xf numFmtId="10" fontId="21" fillId="0" borderId="0" xfId="0" applyNumberFormat="1" applyFont="1" applyFill="1" applyAlignment="1">
      <alignment vertical="center"/>
    </xf>
    <xf numFmtId="10" fontId="21" fillId="0" borderId="0" xfId="0" applyNumberFormat="1" applyFont="1" applyFill="1" applyAlignment="1">
      <alignment horizontal="left" vertical="center"/>
    </xf>
    <xf numFmtId="43" fontId="21" fillId="19" borderId="0" xfId="1" applyFont="1" applyFill="1" applyAlignment="1">
      <alignment vertical="center"/>
    </xf>
    <xf numFmtId="4" fontId="33" fillId="0" borderId="0" xfId="0" applyNumberFormat="1" applyFont="1"/>
    <xf numFmtId="0" fontId="23" fillId="0" borderId="0" xfId="0" applyFont="1"/>
    <xf numFmtId="4" fontId="23" fillId="0" borderId="0" xfId="0" applyNumberFormat="1" applyFont="1"/>
    <xf numFmtId="0" fontId="23" fillId="0" borderId="0" xfId="0" applyFont="1" applyFill="1"/>
    <xf numFmtId="4" fontId="23" fillId="0" borderId="7" xfId="0" applyNumberFormat="1" applyFont="1" applyBorder="1"/>
    <xf numFmtId="0" fontId="23" fillId="0" borderId="1" xfId="0" applyFont="1" applyFill="1" applyBorder="1" applyAlignment="1">
      <alignment horizontal="center"/>
    </xf>
    <xf numFmtId="4" fontId="33" fillId="0" borderId="1" xfId="0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center"/>
    </xf>
    <xf numFmtId="4" fontId="23" fillId="0" borderId="8" xfId="0" applyNumberFormat="1" applyFont="1" applyBorder="1" applyAlignment="1">
      <alignment horizontal="center"/>
    </xf>
    <xf numFmtId="4" fontId="23" fillId="0" borderId="7" xfId="0" applyNumberFormat="1" applyFont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4" fontId="33" fillId="0" borderId="4" xfId="0" applyNumberFormat="1" applyFont="1" applyBorder="1" applyAlignment="1">
      <alignment horizontal="center"/>
    </xf>
    <xf numFmtId="4" fontId="23" fillId="0" borderId="4" xfId="0" applyNumberFormat="1" applyFont="1" applyBorder="1" applyAlignment="1">
      <alignment horizontal="center"/>
    </xf>
    <xf numFmtId="4" fontId="23" fillId="0" borderId="0" xfId="0" applyNumberFormat="1" applyFont="1" applyBorder="1" applyAlignment="1">
      <alignment horizontal="center"/>
    </xf>
    <xf numFmtId="49" fontId="23" fillId="0" borderId="4" xfId="0" applyNumberFormat="1" applyFont="1" applyFill="1" applyBorder="1" applyAlignment="1">
      <alignment horizontal="center"/>
    </xf>
    <xf numFmtId="49" fontId="23" fillId="0" borderId="0" xfId="0" applyNumberFormat="1" applyFont="1"/>
    <xf numFmtId="4" fontId="23" fillId="0" borderId="2" xfId="0" applyNumberFormat="1" applyFont="1" applyBorder="1" applyAlignment="1">
      <alignment horizontal="center"/>
    </xf>
    <xf numFmtId="4" fontId="23" fillId="0" borderId="2" xfId="0" applyNumberFormat="1" applyFont="1" applyBorder="1"/>
    <xf numFmtId="4" fontId="23" fillId="0" borderId="9" xfId="0" applyNumberFormat="1" applyFont="1" applyBorder="1"/>
    <xf numFmtId="0" fontId="23" fillId="0" borderId="2" xfId="0" applyFont="1" applyFill="1" applyBorder="1" applyAlignment="1">
      <alignment horizontal="center"/>
    </xf>
    <xf numFmtId="4" fontId="33" fillId="0" borderId="2" xfId="0" applyNumberFormat="1" applyFont="1" applyBorder="1" applyAlignment="1">
      <alignment horizontal="center"/>
    </xf>
    <xf numFmtId="1" fontId="23" fillId="0" borderId="0" xfId="0" applyNumberFormat="1" applyFont="1" applyFill="1" applyBorder="1" applyAlignment="1">
      <alignment vertical="center"/>
    </xf>
    <xf numFmtId="4" fontId="23" fillId="0" borderId="0" xfId="0" applyNumberFormat="1" applyFont="1" applyFill="1" applyBorder="1"/>
    <xf numFmtId="4" fontId="33" fillId="0" borderId="0" xfId="0" applyNumberFormat="1" applyFont="1" applyFill="1" applyBorder="1"/>
    <xf numFmtId="1" fontId="23" fillId="3" borderId="0" xfId="0" applyNumberFormat="1" applyFont="1" applyFill="1" applyBorder="1" applyAlignment="1">
      <alignment vertical="center"/>
    </xf>
    <xf numFmtId="4" fontId="23" fillId="3" borderId="0" xfId="0" applyNumberFormat="1" applyFont="1" applyFill="1" applyBorder="1"/>
    <xf numFmtId="4" fontId="33" fillId="3" borderId="0" xfId="0" applyNumberFormat="1" applyFont="1" applyFill="1" applyBorder="1"/>
    <xf numFmtId="0" fontId="23" fillId="3" borderId="0" xfId="0" applyFont="1" applyFill="1"/>
    <xf numFmtId="4" fontId="23" fillId="0" borderId="0" xfId="0" applyNumberFormat="1" applyFont="1" applyBorder="1" applyAlignment="1"/>
    <xf numFmtId="0" fontId="23" fillId="0" borderId="0" xfId="0" applyFont="1" applyAlignment="1">
      <alignment horizontal="right"/>
    </xf>
    <xf numFmtId="4" fontId="23" fillId="0" borderId="0" xfId="0" applyNumberFormat="1" applyFont="1" applyFill="1" applyBorder="1" applyAlignment="1"/>
    <xf numFmtId="4" fontId="23" fillId="0" borderId="9" xfId="0" applyNumberFormat="1" applyFont="1" applyBorder="1" applyAlignment="1"/>
    <xf numFmtId="4" fontId="23" fillId="0" borderId="0" xfId="0" applyNumberFormat="1" applyFont="1" applyFill="1" applyAlignment="1"/>
    <xf numFmtId="43" fontId="33" fillId="0" borderId="10" xfId="0" applyNumberFormat="1" applyFont="1" applyBorder="1" applyAlignment="1"/>
    <xf numFmtId="43" fontId="33" fillId="0" borderId="0" xfId="0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3" fontId="22" fillId="0" borderId="0" xfId="1" applyFont="1" applyFill="1" applyBorder="1" applyAlignment="1">
      <alignment vertical="center"/>
    </xf>
    <xf numFmtId="4" fontId="22" fillId="0" borderId="0" xfId="0" applyNumberFormat="1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171" fontId="22" fillId="0" borderId="11" xfId="0" applyNumberFormat="1" applyFont="1" applyFill="1" applyBorder="1" applyAlignment="1">
      <alignment vertical="center"/>
    </xf>
    <xf numFmtId="171" fontId="22" fillId="0" borderId="4" xfId="0" applyNumberFormat="1" applyFont="1" applyFill="1" applyBorder="1" applyAlignment="1">
      <alignment vertical="center"/>
    </xf>
    <xf numFmtId="171" fontId="22" fillId="0" borderId="0" xfId="0" applyNumberFormat="1" applyFont="1" applyFill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71" fontId="22" fillId="0" borderId="4" xfId="0" applyNumberFormat="1" applyFont="1" applyBorder="1" applyAlignment="1">
      <alignment vertical="center"/>
    </xf>
    <xf numFmtId="171" fontId="22" fillId="0" borderId="0" xfId="0" applyNumberFormat="1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4" fillId="0" borderId="12" xfId="0" applyFont="1" applyBorder="1" applyAlignment="1">
      <alignment vertical="center"/>
    </xf>
    <xf numFmtId="171" fontId="22" fillId="0" borderId="12" xfId="0" applyNumberFormat="1" applyFont="1" applyBorder="1" applyAlignment="1">
      <alignment vertical="center"/>
    </xf>
    <xf numFmtId="171" fontId="22" fillId="0" borderId="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1" fontId="22" fillId="0" borderId="0" xfId="0" applyNumberFormat="1" applyFont="1" applyBorder="1" applyAlignment="1">
      <alignment horizontal="center" vertical="center"/>
    </xf>
    <xf numFmtId="43" fontId="22" fillId="0" borderId="0" xfId="1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171" fontId="22" fillId="0" borderId="0" xfId="0" applyNumberFormat="1" applyFont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71" fontId="22" fillId="0" borderId="7" xfId="0" applyNumberFormat="1" applyFont="1" applyBorder="1" applyAlignment="1">
      <alignment horizontal="center" vertical="center"/>
    </xf>
    <xf numFmtId="171" fontId="22" fillId="0" borderId="1" xfId="0" applyNumberFormat="1" applyFont="1" applyBorder="1" applyAlignment="1">
      <alignment horizontal="center" vertical="center"/>
    </xf>
    <xf numFmtId="171" fontId="22" fillId="0" borderId="0" xfId="0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1" fontId="22" fillId="0" borderId="15" xfId="0" applyNumberFormat="1" applyFont="1" applyBorder="1" applyAlignment="1">
      <alignment horizontal="center" vertical="center"/>
    </xf>
    <xf numFmtId="171" fontId="22" fillId="0" borderId="2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22" fillId="0" borderId="11" xfId="0" applyNumberFormat="1" applyFont="1" applyBorder="1" applyAlignment="1">
      <alignment vertical="center"/>
    </xf>
    <xf numFmtId="43" fontId="22" fillId="0" borderId="0" xfId="1" applyFont="1" applyAlignment="1">
      <alignment vertical="center"/>
    </xf>
    <xf numFmtId="171" fontId="22" fillId="4" borderId="0" xfId="0" applyNumberFormat="1" applyFont="1" applyFill="1" applyAlignment="1">
      <alignment vertical="center"/>
    </xf>
    <xf numFmtId="49" fontId="22" fillId="0" borderId="0" xfId="0" applyNumberFormat="1" applyFont="1" applyFill="1" applyBorder="1" applyAlignment="1">
      <alignment vertical="center"/>
    </xf>
    <xf numFmtId="171" fontId="22" fillId="0" borderId="11" xfId="0" applyNumberFormat="1" applyFont="1" applyFill="1" applyBorder="1" applyAlignment="1">
      <alignment horizontal="right" vertical="top"/>
    </xf>
    <xf numFmtId="171" fontId="22" fillId="0" borderId="15" xfId="0" applyNumberFormat="1" applyFont="1" applyBorder="1" applyAlignment="1">
      <alignment vertical="center"/>
    </xf>
    <xf numFmtId="171" fontId="22" fillId="0" borderId="15" xfId="0" applyNumberFormat="1" applyFont="1" applyBorder="1" applyAlignment="1">
      <alignment horizontal="right" vertical="center"/>
    </xf>
    <xf numFmtId="0" fontId="22" fillId="0" borderId="4" xfId="0" applyFont="1" applyFill="1" applyBorder="1" applyAlignment="1">
      <alignment horizontal="center" vertical="center"/>
    </xf>
    <xf numFmtId="171" fontId="22" fillId="0" borderId="15" xfId="0" applyNumberFormat="1" applyFont="1" applyFill="1" applyBorder="1" applyAlignment="1">
      <alignment vertical="center"/>
    </xf>
    <xf numFmtId="171" fontId="22" fillId="0" borderId="0" xfId="0" applyNumberFormat="1" applyFont="1" applyFill="1" applyAlignment="1">
      <alignment vertical="center"/>
    </xf>
    <xf numFmtId="43" fontId="22" fillId="0" borderId="0" xfId="1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171" fontId="22" fillId="0" borderId="0" xfId="0" applyNumberFormat="1" applyFont="1" applyBorder="1" applyAlignment="1">
      <alignment horizontal="left" vertical="center"/>
    </xf>
    <xf numFmtId="171" fontId="22" fillId="0" borderId="12" xfId="0" applyNumberFormat="1" applyFont="1" applyFill="1" applyBorder="1" applyAlignment="1">
      <alignment vertical="center"/>
    </xf>
    <xf numFmtId="171" fontId="22" fillId="0" borderId="11" xfId="0" applyNumberFormat="1" applyFont="1" applyBorder="1" applyAlignment="1">
      <alignment horizontal="right" vertical="center"/>
    </xf>
    <xf numFmtId="171" fontId="22" fillId="0" borderId="7" xfId="0" applyNumberFormat="1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22" fillId="0" borderId="9" xfId="0" applyFont="1" applyFill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1" fillId="3" borderId="16" xfId="0" applyFont="1" applyFill="1" applyBorder="1" applyAlignment="1">
      <alignment vertical="center"/>
    </xf>
    <xf numFmtId="43" fontId="22" fillId="2" borderId="0" xfId="1" applyFont="1" applyFill="1" applyAlignment="1">
      <alignment vertical="center"/>
    </xf>
    <xf numFmtId="0" fontId="35" fillId="0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1" fontId="22" fillId="0" borderId="0" xfId="0" applyNumberFormat="1" applyFont="1" applyAlignment="1">
      <alignment vertical="center"/>
    </xf>
    <xf numFmtId="0" fontId="21" fillId="0" borderId="0" xfId="0" applyFont="1" applyBorder="1" applyAlignment="1">
      <alignment horizontal="center" vertical="center"/>
    </xf>
    <xf numFmtId="171" fontId="21" fillId="0" borderId="0" xfId="0" applyNumberFormat="1" applyFont="1" applyBorder="1" applyAlignment="1">
      <alignment horizontal="center" vertical="center"/>
    </xf>
    <xf numFmtId="171" fontId="21" fillId="0" borderId="0" xfId="0" applyNumberFormat="1" applyFont="1" applyBorder="1" applyAlignment="1">
      <alignment vertical="center"/>
    </xf>
    <xf numFmtId="43" fontId="21" fillId="0" borderId="0" xfId="1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171" fontId="21" fillId="0" borderId="0" xfId="0" applyNumberFormat="1" applyFont="1" applyAlignment="1">
      <alignment vertical="center"/>
    </xf>
    <xf numFmtId="4" fontId="21" fillId="0" borderId="0" xfId="0" applyNumberFormat="1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71" fontId="21" fillId="0" borderId="7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1" fontId="21" fillId="0" borderId="15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171" fontId="21" fillId="0" borderId="11" xfId="0" applyNumberFormat="1" applyFont="1" applyFill="1" applyBorder="1" applyAlignment="1">
      <alignment vertical="center"/>
    </xf>
    <xf numFmtId="171" fontId="21" fillId="0" borderId="4" xfId="0" applyNumberFormat="1" applyFont="1" applyFill="1" applyBorder="1" applyAlignment="1">
      <alignment vertical="center"/>
    </xf>
    <xf numFmtId="171" fontId="21" fillId="0" borderId="0" xfId="0" applyNumberFormat="1" applyFont="1" applyFill="1" applyBorder="1" applyAlignment="1">
      <alignment vertical="center"/>
    </xf>
    <xf numFmtId="0" fontId="21" fillId="0" borderId="12" xfId="0" applyFont="1" applyFill="1" applyBorder="1" applyAlignment="1">
      <alignment horizontal="center" vertical="center"/>
    </xf>
    <xf numFmtId="171" fontId="21" fillId="0" borderId="11" xfId="0" applyNumberFormat="1" applyFont="1" applyBorder="1" applyAlignment="1">
      <alignment vertical="center"/>
    </xf>
    <xf numFmtId="0" fontId="32" fillId="0" borderId="12" xfId="0" applyFont="1" applyFill="1" applyBorder="1" applyAlignment="1">
      <alignment vertical="center"/>
    </xf>
    <xf numFmtId="171" fontId="21" fillId="0" borderId="15" xfId="0" applyNumberFormat="1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171" fontId="21" fillId="0" borderId="15" xfId="0" applyNumberFormat="1" applyFont="1" applyFill="1" applyBorder="1" applyAlignment="1">
      <alignment vertical="center"/>
    </xf>
    <xf numFmtId="171" fontId="21" fillId="0" borderId="0" xfId="0" applyNumberFormat="1" applyFont="1" applyFill="1" applyAlignment="1">
      <alignment vertical="center"/>
    </xf>
    <xf numFmtId="0" fontId="32" fillId="0" borderId="12" xfId="0" applyFont="1" applyBorder="1" applyAlignment="1">
      <alignment vertical="center"/>
    </xf>
    <xf numFmtId="171" fontId="21" fillId="0" borderId="9" xfId="0" applyNumberFormat="1" applyFont="1" applyBorder="1" applyAlignment="1">
      <alignment vertical="center"/>
    </xf>
    <xf numFmtId="0" fontId="21" fillId="3" borderId="0" xfId="0" applyFont="1" applyFill="1" applyBorder="1" applyAlignment="1">
      <alignment vertical="center"/>
    </xf>
    <xf numFmtId="43" fontId="21" fillId="5" borderId="0" xfId="1" applyFont="1" applyFill="1" applyBorder="1" applyAlignment="1">
      <alignment horizontal="center" vertical="center"/>
    </xf>
    <xf numFmtId="171" fontId="21" fillId="0" borderId="0" xfId="0" applyNumberFormat="1" applyFont="1" applyAlignment="1">
      <alignment horizontal="center" vertical="center"/>
    </xf>
    <xf numFmtId="171" fontId="21" fillId="0" borderId="1" xfId="0" applyNumberFormat="1" applyFont="1" applyFill="1" applyBorder="1" applyAlignment="1">
      <alignment horizontal="center" vertical="center"/>
    </xf>
    <xf numFmtId="171" fontId="21" fillId="0" borderId="2" xfId="0" applyNumberFormat="1" applyFont="1" applyFill="1" applyBorder="1" applyAlignment="1">
      <alignment horizontal="center" vertical="center"/>
    </xf>
    <xf numFmtId="43" fontId="21" fillId="5" borderId="0" xfId="1" applyFont="1" applyFill="1" applyBorder="1" applyAlignment="1">
      <alignment vertical="center"/>
    </xf>
    <xf numFmtId="0" fontId="21" fillId="0" borderId="4" xfId="0" applyFont="1" applyFill="1" applyBorder="1" applyAlignment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171" fontId="21" fillId="3" borderId="11" xfId="0" applyNumberFormat="1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171" fontId="21" fillId="3" borderId="0" xfId="0" applyNumberFormat="1" applyFont="1" applyFill="1" applyBorder="1" applyAlignment="1">
      <alignment vertical="center"/>
    </xf>
    <xf numFmtId="43" fontId="21" fillId="3" borderId="0" xfId="1" applyFont="1" applyFill="1" applyBorder="1" applyAlignment="1">
      <alignment vertical="center"/>
    </xf>
    <xf numFmtId="171" fontId="21" fillId="3" borderId="0" xfId="0" applyNumberFormat="1" applyFont="1" applyFill="1" applyAlignment="1">
      <alignment vertical="center"/>
    </xf>
    <xf numFmtId="171" fontId="36" fillId="0" borderId="4" xfId="0" applyNumberFormat="1" applyFont="1" applyFill="1" applyBorder="1" applyAlignment="1">
      <alignment vertical="center"/>
    </xf>
    <xf numFmtId="43" fontId="21" fillId="5" borderId="0" xfId="1" applyFont="1" applyFill="1" applyAlignment="1">
      <alignment vertical="center"/>
    </xf>
    <xf numFmtId="171" fontId="37" fillId="0" borderId="15" xfId="0" applyNumberFormat="1" applyFont="1" applyFill="1" applyBorder="1" applyAlignment="1">
      <alignment vertical="center"/>
    </xf>
    <xf numFmtId="171" fontId="21" fillId="0" borderId="11" xfId="0" applyNumberFormat="1" applyFont="1" applyFill="1" applyBorder="1" applyAlignment="1">
      <alignment horizontal="right" vertical="center"/>
    </xf>
    <xf numFmtId="43" fontId="21" fillId="0" borderId="11" xfId="1" applyFont="1" applyBorder="1" applyAlignment="1">
      <alignment vertical="center"/>
    </xf>
    <xf numFmtId="43" fontId="21" fillId="0" borderId="4" xfId="1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2" fillId="0" borderId="9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171" fontId="21" fillId="0" borderId="2" xfId="0" applyNumberFormat="1" applyFont="1" applyFill="1" applyBorder="1" applyAlignment="1">
      <alignment vertical="center"/>
    </xf>
    <xf numFmtId="171" fontId="21" fillId="0" borderId="17" xfId="0" applyNumberFormat="1" applyFont="1" applyFill="1" applyBorder="1" applyAlignment="1">
      <alignment vertical="center"/>
    </xf>
    <xf numFmtId="171" fontId="21" fillId="5" borderId="0" xfId="0" applyNumberFormat="1" applyFont="1" applyFill="1" applyAlignment="1">
      <alignment horizontal="right" vertical="center"/>
    </xf>
    <xf numFmtId="171" fontId="21" fillId="2" borderId="0" xfId="0" applyNumberFormat="1" applyFont="1" applyFill="1" applyAlignment="1">
      <alignment vertical="center"/>
    </xf>
    <xf numFmtId="43" fontId="21" fillId="0" borderId="18" xfId="1" applyFont="1" applyFill="1" applyBorder="1" applyAlignment="1">
      <alignment vertical="center"/>
    </xf>
    <xf numFmtId="43" fontId="21" fillId="6" borderId="18" xfId="1" applyFont="1" applyFill="1" applyBorder="1" applyAlignment="1">
      <alignment vertical="center"/>
    </xf>
    <xf numFmtId="43" fontId="21" fillId="6" borderId="0" xfId="1" applyFont="1" applyFill="1" applyAlignment="1">
      <alignment vertical="center"/>
    </xf>
    <xf numFmtId="43" fontId="21" fillId="0" borderId="0" xfId="0" applyNumberFormat="1" applyFont="1" applyFill="1" applyBorder="1" applyAlignment="1">
      <alignment vertical="center"/>
    </xf>
    <xf numFmtId="4" fontId="21" fillId="0" borderId="0" xfId="0" applyNumberFormat="1" applyFont="1" applyAlignment="1">
      <alignment vertical="center"/>
    </xf>
    <xf numFmtId="43" fontId="21" fillId="0" borderId="0" xfId="1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43" fontId="21" fillId="7" borderId="19" xfId="1" applyFont="1" applyFill="1" applyBorder="1" applyAlignment="1">
      <alignment vertical="center"/>
    </xf>
    <xf numFmtId="43" fontId="21" fillId="7" borderId="20" xfId="1" applyFont="1" applyFill="1" applyBorder="1" applyAlignment="1">
      <alignment vertical="center"/>
    </xf>
    <xf numFmtId="43" fontId="21" fillId="7" borderId="21" xfId="1" applyFont="1" applyFill="1" applyBorder="1" applyAlignment="1">
      <alignment vertical="center"/>
    </xf>
    <xf numFmtId="43" fontId="21" fillId="7" borderId="7" xfId="1" applyFont="1" applyFill="1" applyBorder="1" applyAlignment="1">
      <alignment horizontal="center" vertical="center"/>
    </xf>
    <xf numFmtId="43" fontId="21" fillId="7" borderId="3" xfId="1" applyFont="1" applyFill="1" applyBorder="1" applyAlignment="1">
      <alignment horizontal="center" vertical="center"/>
    </xf>
    <xf numFmtId="43" fontId="21" fillId="0" borderId="0" xfId="0" applyNumberFormat="1" applyFont="1" applyFill="1" applyAlignment="1">
      <alignment vertical="center"/>
    </xf>
    <xf numFmtId="4" fontId="21" fillId="0" borderId="0" xfId="0" applyNumberFormat="1" applyFont="1" applyFill="1" applyAlignment="1">
      <alignment vertical="center"/>
    </xf>
    <xf numFmtId="179" fontId="21" fillId="0" borderId="0" xfId="0" applyNumberFormat="1" applyFont="1" applyAlignment="1">
      <alignment vertical="center"/>
    </xf>
    <xf numFmtId="176" fontId="21" fillId="0" borderId="0" xfId="0" applyNumberFormat="1" applyFont="1" applyAlignment="1">
      <alignment vertical="center"/>
    </xf>
    <xf numFmtId="178" fontId="21" fillId="0" borderId="0" xfId="0" applyNumberFormat="1" applyFont="1" applyAlignment="1">
      <alignment vertical="center"/>
    </xf>
    <xf numFmtId="179" fontId="21" fillId="0" borderId="0" xfId="0" applyNumberFormat="1" applyFont="1" applyAlignment="1">
      <alignment horizontal="right" vertical="center"/>
    </xf>
    <xf numFmtId="176" fontId="21" fillId="0" borderId="0" xfId="0" applyNumberFormat="1" applyFont="1" applyAlignment="1">
      <alignment horizontal="right" vertical="center"/>
    </xf>
    <xf numFmtId="43" fontId="21" fillId="6" borderId="22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17" fontId="21" fillId="0" borderId="3" xfId="0" quotePrefix="1" applyNumberFormat="1" applyFont="1" applyFill="1" applyBorder="1" applyAlignment="1">
      <alignment horizontal="center" vertical="center"/>
    </xf>
    <xf numFmtId="17" fontId="21" fillId="0" borderId="3" xfId="0" quotePrefix="1" applyNumberFormat="1" applyFont="1" applyBorder="1" applyAlignment="1">
      <alignment horizontal="center" vertical="center"/>
    </xf>
    <xf numFmtId="179" fontId="21" fillId="0" borderId="3" xfId="0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43" fontId="21" fillId="6" borderId="23" xfId="1" applyFont="1" applyFill="1" applyBorder="1" applyAlignment="1">
      <alignment vertical="center"/>
    </xf>
    <xf numFmtId="43" fontId="21" fillId="0" borderId="0" xfId="1" applyFont="1" applyAlignment="1">
      <alignment horizontal="center" vertical="center"/>
    </xf>
    <xf numFmtId="43" fontId="21" fillId="0" borderId="3" xfId="0" applyNumberFormat="1" applyFont="1" applyFill="1" applyBorder="1" applyAlignment="1">
      <alignment horizontal="right" vertical="center"/>
    </xf>
    <xf numFmtId="179" fontId="21" fillId="0" borderId="3" xfId="0" applyNumberFormat="1" applyFont="1" applyBorder="1" applyAlignment="1">
      <alignment vertical="center"/>
    </xf>
    <xf numFmtId="176" fontId="21" fillId="0" borderId="3" xfId="0" applyNumberFormat="1" applyFont="1" applyBorder="1" applyAlignment="1">
      <alignment vertical="center"/>
    </xf>
    <xf numFmtId="178" fontId="21" fillId="0" borderId="17" xfId="0" applyNumberFormat="1" applyFont="1" applyBorder="1" applyAlignment="1">
      <alignment vertical="center"/>
    </xf>
    <xf numFmtId="0" fontId="21" fillId="0" borderId="0" xfId="0" applyFont="1" applyAlignment="1"/>
    <xf numFmtId="43" fontId="21" fillId="0" borderId="0" xfId="1" applyFont="1" applyBorder="1" applyAlignment="1">
      <alignment horizontal="center" vertical="center"/>
    </xf>
    <xf numFmtId="10" fontId="21" fillId="0" borderId="0" xfId="0" applyNumberFormat="1" applyFont="1" applyBorder="1" applyAlignment="1">
      <alignment horizontal="center" vertical="center"/>
    </xf>
    <xf numFmtId="179" fontId="21" fillId="0" borderId="0" xfId="0" applyNumberFormat="1" applyFont="1" applyBorder="1" applyAlignment="1">
      <alignment vertical="center"/>
    </xf>
    <xf numFmtId="43" fontId="21" fillId="0" borderId="0" xfId="0" applyNumberFormat="1" applyFont="1" applyFill="1" applyAlignment="1">
      <alignment horizontal="center"/>
    </xf>
    <xf numFmtId="179" fontId="21" fillId="0" borderId="0" xfId="0" applyNumberFormat="1" applyFont="1" applyAlignment="1"/>
    <xf numFmtId="179" fontId="21" fillId="0" borderId="0" xfId="0" applyNumberFormat="1" applyFont="1"/>
    <xf numFmtId="4" fontId="21" fillId="0" borderId="0" xfId="0" applyNumberFormat="1" applyFont="1" applyAlignment="1">
      <alignment horizontal="right" vertical="center"/>
    </xf>
    <xf numFmtId="179" fontId="21" fillId="0" borderId="0" xfId="0" applyNumberFormat="1" applyFont="1" applyBorder="1" applyAlignment="1">
      <alignment horizontal="center" vertical="center"/>
    </xf>
    <xf numFmtId="176" fontId="21" fillId="0" borderId="0" xfId="0" applyNumberFormat="1" applyFont="1" applyBorder="1" applyAlignment="1">
      <alignment horizontal="center" vertical="center"/>
    </xf>
    <xf numFmtId="4" fontId="21" fillId="0" borderId="0" xfId="0" applyNumberFormat="1" applyFont="1" applyAlignment="1">
      <alignment horizontal="right"/>
    </xf>
    <xf numFmtId="43" fontId="21" fillId="0" borderId="0" xfId="1" applyNumberFormat="1" applyFont="1" applyFill="1" applyAlignment="1">
      <alignment vertical="center"/>
    </xf>
    <xf numFmtId="3" fontId="21" fillId="0" borderId="0" xfId="0" applyNumberFormat="1" applyFont="1" applyFill="1" applyAlignment="1">
      <alignment vertical="center"/>
    </xf>
    <xf numFmtId="1" fontId="21" fillId="0" borderId="0" xfId="1" applyNumberFormat="1" applyFont="1" applyFill="1" applyAlignment="1">
      <alignment horizontal="center" vertical="center"/>
    </xf>
    <xf numFmtId="180" fontId="21" fillId="0" borderId="0" xfId="1" applyNumberFormat="1" applyFont="1" applyFill="1" applyAlignment="1">
      <alignment horizontal="center" vertical="center"/>
    </xf>
    <xf numFmtId="4" fontId="33" fillId="0" borderId="5" xfId="0" applyNumberFormat="1" applyFont="1" applyFill="1" applyBorder="1"/>
    <xf numFmtId="12" fontId="22" fillId="0" borderId="0" xfId="0" applyNumberFormat="1" applyFont="1" applyFill="1" applyBorder="1" applyAlignment="1">
      <alignment vertical="center"/>
    </xf>
    <xf numFmtId="0" fontId="38" fillId="0" borderId="4" xfId="0" applyFont="1" applyFill="1" applyBorder="1" applyAlignment="1">
      <alignment horizontal="center" vertical="center"/>
    </xf>
    <xf numFmtId="0" fontId="38" fillId="3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43" fontId="38" fillId="0" borderId="11" xfId="1" applyFont="1" applyFill="1" applyBorder="1" applyAlignment="1">
      <alignment vertical="center"/>
    </xf>
    <xf numFmtId="43" fontId="38" fillId="3" borderId="4" xfId="1" applyFont="1" applyFill="1" applyBorder="1" applyAlignment="1">
      <alignment vertical="center"/>
    </xf>
    <xf numFmtId="43" fontId="38" fillId="0" borderId="4" xfId="1" applyFont="1" applyFill="1" applyBorder="1" applyAlignment="1">
      <alignment vertical="center"/>
    </xf>
    <xf numFmtId="0" fontId="38" fillId="0" borderId="4" xfId="0" applyFont="1" applyFill="1" applyBorder="1" applyAlignment="1">
      <alignment vertical="center"/>
    </xf>
    <xf numFmtId="43" fontId="38" fillId="8" borderId="4" xfId="1" applyFont="1" applyFill="1" applyBorder="1" applyAlignment="1">
      <alignment vertical="center"/>
    </xf>
    <xf numFmtId="4" fontId="38" fillId="3" borderId="0" xfId="0" applyNumberFormat="1" applyFont="1" applyFill="1" applyBorder="1" applyAlignment="1">
      <alignment horizontal="center" vertical="center"/>
    </xf>
    <xf numFmtId="4" fontId="38" fillId="0" borderId="0" xfId="0" applyNumberFormat="1" applyFont="1" applyFill="1" applyBorder="1" applyAlignment="1">
      <alignment horizontal="center" vertical="center"/>
    </xf>
    <xf numFmtId="43" fontId="38" fillId="6" borderId="11" xfId="1" applyFont="1" applyFill="1" applyBorder="1" applyAlignment="1">
      <alignment horizontal="center" vertical="center"/>
    </xf>
    <xf numFmtId="43" fontId="38" fillId="6" borderId="4" xfId="1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vertical="center"/>
    </xf>
    <xf numFmtId="43" fontId="38" fillId="8" borderId="11" xfId="1" applyFont="1" applyFill="1" applyBorder="1" applyAlignment="1">
      <alignment vertical="center"/>
    </xf>
    <xf numFmtId="1" fontId="38" fillId="2" borderId="5" xfId="0" applyNumberFormat="1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vertical="center"/>
    </xf>
    <xf numFmtId="49" fontId="38" fillId="2" borderId="5" xfId="0" applyNumberFormat="1" applyFont="1" applyFill="1" applyBorder="1" applyAlignment="1">
      <alignment horizontal="center" vertical="center" shrinkToFit="1"/>
    </xf>
    <xf numFmtId="43" fontId="38" fillId="2" borderId="5" xfId="1" applyFont="1" applyFill="1" applyBorder="1" applyAlignment="1">
      <alignment horizontal="center" vertical="center" shrinkToFit="1"/>
    </xf>
    <xf numFmtId="43" fontId="38" fillId="2" borderId="3" xfId="1" applyFont="1" applyFill="1" applyBorder="1" applyAlignment="1">
      <alignment vertical="center"/>
    </xf>
    <xf numFmtId="1" fontId="38" fillId="2" borderId="3" xfId="0" applyNumberFormat="1" applyFont="1" applyFill="1" applyBorder="1" applyAlignment="1">
      <alignment horizontal="center" vertical="center"/>
    </xf>
    <xf numFmtId="4" fontId="38" fillId="2" borderId="3" xfId="1" applyNumberFormat="1" applyFont="1" applyFill="1" applyBorder="1" applyAlignment="1">
      <alignment horizontal="right" vertical="center"/>
    </xf>
    <xf numFmtId="43" fontId="38" fillId="2" borderId="11" xfId="1" applyFont="1" applyFill="1" applyBorder="1" applyAlignment="1">
      <alignment horizontal="center" vertical="center"/>
    </xf>
    <xf numFmtId="43" fontId="38" fillId="2" borderId="4" xfId="1" applyFont="1" applyFill="1" applyBorder="1" applyAlignment="1">
      <alignment vertical="center"/>
    </xf>
    <xf numFmtId="43" fontId="38" fillId="2" borderId="12" xfId="1" applyFont="1" applyFill="1" applyBorder="1" applyAlignment="1">
      <alignment vertical="center"/>
    </xf>
    <xf numFmtId="0" fontId="38" fillId="2" borderId="11" xfId="0" applyFont="1" applyFill="1" applyBorder="1" applyAlignment="1">
      <alignment vertical="center"/>
    </xf>
    <xf numFmtId="0" fontId="38" fillId="2" borderId="4" xfId="0" applyFont="1" applyFill="1" applyBorder="1" applyAlignment="1">
      <alignment vertical="center"/>
    </xf>
    <xf numFmtId="1" fontId="38" fillId="2" borderId="24" xfId="0" applyNumberFormat="1" applyFont="1" applyFill="1" applyBorder="1" applyAlignment="1">
      <alignment horizontal="center" vertical="center"/>
    </xf>
    <xf numFmtId="0" fontId="38" fillId="2" borderId="24" xfId="0" applyFont="1" applyFill="1" applyBorder="1" applyAlignment="1">
      <alignment horizontal="center" vertical="center"/>
    </xf>
    <xf numFmtId="49" fontId="38" fillId="2" borderId="24" xfId="0" applyNumberFormat="1" applyFont="1" applyFill="1" applyBorder="1" applyAlignment="1">
      <alignment horizontal="center" vertical="center" shrinkToFit="1"/>
    </xf>
    <xf numFmtId="43" fontId="38" fillId="2" borderId="24" xfId="1" applyFont="1" applyFill="1" applyBorder="1" applyAlignment="1">
      <alignment horizontal="center" vertical="center" shrinkToFit="1"/>
    </xf>
    <xf numFmtId="43" fontId="38" fillId="2" borderId="2" xfId="1" applyFont="1" applyFill="1" applyBorder="1" applyAlignment="1">
      <alignment horizontal="center" vertical="center"/>
    </xf>
    <xf numFmtId="1" fontId="38" fillId="2" borderId="2" xfId="0" applyNumberFormat="1" applyFont="1" applyFill="1" applyBorder="1" applyAlignment="1">
      <alignment horizontal="center" vertical="center"/>
    </xf>
    <xf numFmtId="4" fontId="38" fillId="2" borderId="2" xfId="1" applyNumberFormat="1" applyFont="1" applyFill="1" applyBorder="1" applyAlignment="1">
      <alignment horizontal="right" vertical="center"/>
    </xf>
    <xf numFmtId="4" fontId="38" fillId="2" borderId="2" xfId="0" applyNumberFormat="1" applyFont="1" applyFill="1" applyBorder="1" applyAlignment="1">
      <alignment horizontal="center" vertical="center"/>
    </xf>
    <xf numFmtId="43" fontId="38" fillId="2" borderId="2" xfId="1" applyFont="1" applyFill="1" applyBorder="1" applyAlignment="1">
      <alignment horizontal="right" vertical="center"/>
    </xf>
    <xf numFmtId="43" fontId="38" fillId="2" borderId="3" xfId="1" applyFont="1" applyFill="1" applyBorder="1" applyAlignment="1">
      <alignment horizontal="center" vertical="center" shrinkToFit="1"/>
    </xf>
    <xf numFmtId="43" fontId="38" fillId="2" borderId="4" xfId="1" applyFont="1" applyFill="1" applyBorder="1" applyAlignment="1">
      <alignment horizontal="center" vertical="center" shrinkToFit="1"/>
    </xf>
    <xf numFmtId="1" fontId="38" fillId="0" borderId="25" xfId="0" applyNumberFormat="1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left" vertical="center"/>
    </xf>
    <xf numFmtId="49" fontId="38" fillId="3" borderId="25" xfId="0" applyNumberFormat="1" applyFont="1" applyFill="1" applyBorder="1" applyAlignment="1">
      <alignment horizontal="center" vertical="center" shrinkToFit="1"/>
    </xf>
    <xf numFmtId="43" fontId="38" fillId="0" borderId="25" xfId="1" applyFont="1" applyFill="1" applyBorder="1" applyAlignment="1">
      <alignment horizontal="center" vertical="center" shrinkToFit="1"/>
    </xf>
    <xf numFmtId="43" fontId="38" fillId="0" borderId="25" xfId="1" applyFont="1" applyFill="1" applyBorder="1" applyAlignment="1">
      <alignment vertical="center"/>
    </xf>
    <xf numFmtId="4" fontId="38" fillId="0" borderId="25" xfId="1" applyNumberFormat="1" applyFont="1" applyFill="1" applyBorder="1" applyAlignment="1">
      <alignment horizontal="right" vertical="center"/>
    </xf>
    <xf numFmtId="4" fontId="38" fillId="0" borderId="25" xfId="0" applyNumberFormat="1" applyFont="1" applyFill="1" applyBorder="1" applyAlignment="1">
      <alignment horizontal="center" vertical="center"/>
    </xf>
    <xf numFmtId="43" fontId="38" fillId="0" borderId="25" xfId="1" applyFont="1" applyFill="1" applyBorder="1" applyAlignment="1">
      <alignment horizontal="right" vertical="center"/>
    </xf>
    <xf numFmtId="43" fontId="38" fillId="3" borderId="4" xfId="1" applyFont="1" applyFill="1" applyBorder="1" applyAlignment="1">
      <alignment horizontal="right" vertical="center"/>
    </xf>
    <xf numFmtId="43" fontId="38" fillId="0" borderId="4" xfId="1" applyFont="1" applyFill="1" applyBorder="1" applyAlignment="1">
      <alignment horizontal="right" vertical="center"/>
    </xf>
    <xf numFmtId="1" fontId="38" fillId="0" borderId="16" xfId="0" applyNumberFormat="1" applyFont="1" applyFill="1" applyBorder="1" applyAlignment="1">
      <alignment horizontal="center" vertical="center"/>
    </xf>
    <xf numFmtId="0" fontId="38" fillId="0" borderId="16" xfId="0" applyFont="1" applyFill="1" applyBorder="1" applyAlignment="1">
      <alignment vertical="center"/>
    </xf>
    <xf numFmtId="49" fontId="38" fillId="3" borderId="16" xfId="0" applyNumberFormat="1" applyFont="1" applyFill="1" applyBorder="1" applyAlignment="1">
      <alignment horizontal="left" vertical="center"/>
    </xf>
    <xf numFmtId="43" fontId="38" fillId="0" borderId="16" xfId="1" applyFont="1" applyFill="1" applyBorder="1" applyAlignment="1">
      <alignment horizontal="left" vertical="center"/>
    </xf>
    <xf numFmtId="43" fontId="38" fillId="0" borderId="16" xfId="1" applyFont="1" applyFill="1" applyBorder="1" applyAlignment="1">
      <alignment vertical="center"/>
    </xf>
    <xf numFmtId="4" fontId="38" fillId="0" borderId="16" xfId="1" applyNumberFormat="1" applyFont="1" applyFill="1" applyBorder="1" applyAlignment="1">
      <alignment horizontal="right" vertical="center"/>
    </xf>
    <xf numFmtId="4" fontId="38" fillId="0" borderId="16" xfId="0" applyNumberFormat="1" applyFont="1" applyFill="1" applyBorder="1" applyAlignment="1">
      <alignment horizontal="center" vertical="center"/>
    </xf>
    <xf numFmtId="43" fontId="38" fillId="0" borderId="16" xfId="1" applyFont="1" applyFill="1" applyBorder="1" applyAlignment="1">
      <alignment horizontal="right" vertical="center"/>
    </xf>
    <xf numFmtId="0" fontId="38" fillId="3" borderId="24" xfId="0" applyFont="1" applyFill="1" applyBorder="1" applyAlignment="1">
      <alignment vertical="center"/>
    </xf>
    <xf numFmtId="49" fontId="38" fillId="3" borderId="6" xfId="0" applyNumberFormat="1" applyFont="1" applyFill="1" applyBorder="1" applyAlignment="1">
      <alignment horizontal="left" vertical="center"/>
    </xf>
    <xf numFmtId="43" fontId="38" fillId="0" borderId="6" xfId="1" applyFont="1" applyFill="1" applyBorder="1" applyAlignment="1">
      <alignment horizontal="left" vertical="center"/>
    </xf>
    <xf numFmtId="43" fontId="38" fillId="0" borderId="6" xfId="1" applyFont="1" applyFill="1" applyBorder="1" applyAlignment="1">
      <alignment vertical="center"/>
    </xf>
    <xf numFmtId="1" fontId="38" fillId="0" borderId="6" xfId="0" applyNumberFormat="1" applyFont="1" applyFill="1" applyBorder="1" applyAlignment="1">
      <alignment horizontal="center" vertical="center"/>
    </xf>
    <xf numFmtId="4" fontId="38" fillId="0" borderId="6" xfId="1" applyNumberFormat="1" applyFont="1" applyFill="1" applyBorder="1" applyAlignment="1">
      <alignment horizontal="right" vertical="center"/>
    </xf>
    <xf numFmtId="4" fontId="38" fillId="0" borderId="6" xfId="0" applyNumberFormat="1" applyFont="1" applyFill="1" applyBorder="1" applyAlignment="1">
      <alignment horizontal="center" vertical="center"/>
    </xf>
    <xf numFmtId="43" fontId="38" fillId="0" borderId="6" xfId="1" applyFont="1" applyFill="1" applyBorder="1" applyAlignment="1">
      <alignment horizontal="right" vertical="center"/>
    </xf>
    <xf numFmtId="0" fontId="38" fillId="3" borderId="25" xfId="0" applyFont="1" applyFill="1" applyBorder="1" applyAlignment="1">
      <alignment vertical="center"/>
    </xf>
    <xf numFmtId="49" fontId="38" fillId="3" borderId="18" xfId="0" applyNumberFormat="1" applyFont="1" applyFill="1" applyBorder="1" applyAlignment="1">
      <alignment horizontal="right" vertical="center"/>
    </xf>
    <xf numFmtId="43" fontId="38" fillId="0" borderId="18" xfId="1" applyFont="1" applyFill="1" applyBorder="1" applyAlignment="1">
      <alignment horizontal="right" vertical="center"/>
    </xf>
    <xf numFmtId="43" fontId="38" fillId="0" borderId="18" xfId="1" applyFont="1" applyFill="1" applyBorder="1" applyAlignment="1">
      <alignment vertical="center"/>
    </xf>
    <xf numFmtId="1" fontId="38" fillId="0" borderId="18" xfId="0" applyNumberFormat="1" applyFont="1" applyFill="1" applyBorder="1" applyAlignment="1">
      <alignment horizontal="center" vertical="center"/>
    </xf>
    <xf numFmtId="4" fontId="38" fillId="0" borderId="18" xfId="1" applyNumberFormat="1" applyFont="1" applyFill="1" applyBorder="1" applyAlignment="1">
      <alignment horizontal="right" vertical="center"/>
    </xf>
    <xf numFmtId="4" fontId="38" fillId="0" borderId="18" xfId="0" applyNumberFormat="1" applyFont="1" applyFill="1" applyBorder="1" applyAlignment="1">
      <alignment horizontal="left" vertical="center"/>
    </xf>
    <xf numFmtId="0" fontId="38" fillId="6" borderId="0" xfId="0" applyFont="1" applyFill="1" applyAlignment="1">
      <alignment horizontal="center"/>
    </xf>
    <xf numFmtId="0" fontId="40" fillId="6" borderId="6" xfId="0" applyFont="1" applyFill="1" applyBorder="1" applyAlignment="1">
      <alignment horizontal="left" vertical="center"/>
    </xf>
    <xf numFmtId="49" fontId="38" fillId="6" borderId="4" xfId="0" applyNumberFormat="1" applyFont="1" applyFill="1" applyBorder="1" applyAlignment="1">
      <alignment horizontal="center" vertical="center" shrinkToFit="1"/>
    </xf>
    <xf numFmtId="43" fontId="38" fillId="6" borderId="0" xfId="1" applyFont="1" applyFill="1"/>
    <xf numFmtId="43" fontId="38" fillId="6" borderId="4" xfId="1" applyFont="1" applyFill="1" applyBorder="1" applyAlignment="1">
      <alignment vertical="center"/>
    </xf>
    <xf numFmtId="4" fontId="38" fillId="0" borderId="0" xfId="1" applyNumberFormat="1" applyFont="1" applyFill="1"/>
    <xf numFmtId="0" fontId="38" fillId="6" borderId="0" xfId="0" applyFont="1" applyFill="1"/>
    <xf numFmtId="43" fontId="38" fillId="6" borderId="4" xfId="1" applyFont="1" applyFill="1" applyBorder="1" applyAlignment="1">
      <alignment horizontal="right" vertical="center"/>
    </xf>
    <xf numFmtId="0" fontId="38" fillId="0" borderId="16" xfId="0" applyFont="1" applyBorder="1" applyAlignment="1">
      <alignment horizontal="center"/>
    </xf>
    <xf numFmtId="0" fontId="38" fillId="0" borderId="16" xfId="0" applyFont="1" applyFill="1" applyBorder="1" applyAlignment="1">
      <alignment horizontal="left" vertical="center"/>
    </xf>
    <xf numFmtId="0" fontId="38" fillId="0" borderId="16" xfId="0" applyFont="1" applyBorder="1"/>
    <xf numFmtId="43" fontId="38" fillId="0" borderId="16" xfId="1" applyFont="1" applyFill="1" applyBorder="1"/>
    <xf numFmtId="0" fontId="38" fillId="0" borderId="16" xfId="0" applyFont="1" applyFill="1" applyBorder="1" applyAlignment="1">
      <alignment horizontal="center"/>
    </xf>
    <xf numFmtId="4" fontId="38" fillId="0" borderId="16" xfId="1" applyNumberFormat="1" applyFont="1" applyFill="1" applyBorder="1"/>
    <xf numFmtId="0" fontId="38" fillId="0" borderId="16" xfId="0" applyFont="1" applyFill="1" applyBorder="1"/>
    <xf numFmtId="43" fontId="38" fillId="0" borderId="11" xfId="1" applyFont="1" applyFill="1" applyBorder="1" applyAlignment="1">
      <alignment horizontal="right" vertical="center"/>
    </xf>
    <xf numFmtId="43" fontId="38" fillId="0" borderId="0" xfId="1" applyFont="1" applyFill="1"/>
    <xf numFmtId="0" fontId="38" fillId="0" borderId="0" xfId="0" applyFont="1" applyFill="1"/>
    <xf numFmtId="49" fontId="38" fillId="3" borderId="16" xfId="0" applyNumberFormat="1" applyFont="1" applyFill="1" applyBorder="1" applyAlignment="1">
      <alignment horizontal="left" vertical="center" shrinkToFit="1"/>
    </xf>
    <xf numFmtId="4" fontId="38" fillId="0" borderId="16" xfId="0" applyNumberFormat="1" applyFont="1" applyFill="1" applyBorder="1" applyAlignment="1">
      <alignment vertical="center"/>
    </xf>
    <xf numFmtId="43" fontId="38" fillId="3" borderId="16" xfId="1" applyFont="1" applyFill="1" applyBorder="1" applyAlignment="1">
      <alignment horizontal="right" vertical="center"/>
    </xf>
    <xf numFmtId="49" fontId="38" fillId="0" borderId="16" xfId="0" applyNumberFormat="1" applyFont="1" applyFill="1" applyBorder="1" applyAlignment="1">
      <alignment vertical="center" shrinkToFit="1"/>
    </xf>
    <xf numFmtId="0" fontId="38" fillId="0" borderId="16" xfId="0" quotePrefix="1" applyFont="1" applyFill="1" applyBorder="1" applyAlignment="1">
      <alignment vertical="center"/>
    </xf>
    <xf numFmtId="49" fontId="38" fillId="0" borderId="16" xfId="0" applyNumberFormat="1" applyFont="1" applyFill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vertical="center" shrinkToFit="1"/>
    </xf>
    <xf numFmtId="1" fontId="38" fillId="3" borderId="16" xfId="0" applyNumberFormat="1" applyFont="1" applyFill="1" applyBorder="1" applyAlignment="1">
      <alignment horizontal="center" vertical="center"/>
    </xf>
    <xf numFmtId="0" fontId="38" fillId="3" borderId="16" xfId="0" quotePrefix="1" applyFont="1" applyFill="1" applyBorder="1" applyAlignment="1">
      <alignment vertical="center"/>
    </xf>
    <xf numFmtId="4" fontId="38" fillId="3" borderId="16" xfId="1" applyNumberFormat="1" applyFont="1" applyFill="1" applyBorder="1" applyAlignment="1">
      <alignment horizontal="right" vertical="center"/>
    </xf>
    <xf numFmtId="43" fontId="38" fillId="3" borderId="16" xfId="1" applyFont="1" applyFill="1" applyBorder="1" applyAlignment="1">
      <alignment vertical="center"/>
    </xf>
    <xf numFmtId="4" fontId="38" fillId="3" borderId="16" xfId="0" applyNumberFormat="1" applyFont="1" applyFill="1" applyBorder="1" applyAlignment="1">
      <alignment vertical="center"/>
    </xf>
    <xf numFmtId="43" fontId="38" fillId="3" borderId="11" xfId="1" applyFont="1" applyFill="1" applyBorder="1" applyAlignment="1">
      <alignment horizontal="right" vertical="center"/>
    </xf>
    <xf numFmtId="0" fontId="38" fillId="3" borderId="4" xfId="0" applyFont="1" applyFill="1" applyBorder="1" applyAlignment="1">
      <alignment vertical="center"/>
    </xf>
    <xf numFmtId="4" fontId="38" fillId="0" borderId="16" xfId="1" applyNumberFormat="1" applyFont="1" applyFill="1" applyBorder="1" applyAlignment="1">
      <alignment vertical="center"/>
    </xf>
    <xf numFmtId="0" fontId="38" fillId="3" borderId="16" xfId="0" applyFont="1" applyFill="1" applyBorder="1" applyAlignment="1">
      <alignment vertical="center"/>
    </xf>
    <xf numFmtId="0" fontId="38" fillId="3" borderId="16" xfId="0" applyFont="1" applyFill="1" applyBorder="1" applyAlignment="1">
      <alignment horizontal="center" vertical="center"/>
    </xf>
    <xf numFmtId="43" fontId="38" fillId="0" borderId="15" xfId="1" applyFont="1" applyFill="1" applyBorder="1" applyAlignment="1">
      <alignment horizontal="right" vertical="center"/>
    </xf>
    <xf numFmtId="43" fontId="38" fillId="0" borderId="2" xfId="1" applyFont="1" applyFill="1" applyBorder="1" applyAlignment="1">
      <alignment vertical="center"/>
    </xf>
    <xf numFmtId="0" fontId="38" fillId="0" borderId="2" xfId="0" applyFont="1" applyFill="1" applyBorder="1" applyAlignment="1">
      <alignment vertical="center"/>
    </xf>
    <xf numFmtId="43" fontId="38" fillId="8" borderId="2" xfId="1" applyFont="1" applyFill="1" applyBorder="1" applyAlignment="1">
      <alignment vertical="center"/>
    </xf>
    <xf numFmtId="49" fontId="38" fillId="0" borderId="16" xfId="0" applyNumberFormat="1" applyFont="1" applyFill="1" applyBorder="1" applyAlignment="1">
      <alignment vertical="center"/>
    </xf>
    <xf numFmtId="0" fontId="38" fillId="0" borderId="16" xfId="0" applyFont="1" applyFill="1" applyBorder="1" applyAlignment="1">
      <alignment vertical="center" shrinkToFit="1"/>
    </xf>
    <xf numFmtId="49" fontId="38" fillId="3" borderId="16" xfId="0" applyNumberFormat="1" applyFont="1" applyFill="1" applyBorder="1" applyAlignment="1">
      <alignment vertical="center"/>
    </xf>
    <xf numFmtId="183" fontId="38" fillId="0" borderId="16" xfId="0" applyNumberFormat="1" applyFont="1" applyBorder="1" applyAlignment="1">
      <alignment horizontal="right" vertical="center"/>
    </xf>
    <xf numFmtId="0" fontId="38" fillId="0" borderId="16" xfId="0" applyFont="1" applyFill="1" applyBorder="1" applyAlignment="1">
      <alignment horizontal="center" vertical="center"/>
    </xf>
    <xf numFmtId="1" fontId="38" fillId="20" borderId="16" xfId="0" applyNumberFormat="1" applyFont="1" applyFill="1" applyBorder="1" applyAlignment="1">
      <alignment horizontal="center" vertical="center"/>
    </xf>
    <xf numFmtId="0" fontId="38" fillId="20" borderId="16" xfId="0" applyFont="1" applyFill="1" applyBorder="1" applyAlignment="1">
      <alignment vertical="center"/>
    </xf>
    <xf numFmtId="49" fontId="38" fillId="20" borderId="16" xfId="0" applyNumberFormat="1" applyFont="1" applyFill="1" applyBorder="1" applyAlignment="1">
      <alignment vertical="center" shrinkToFit="1"/>
    </xf>
    <xf numFmtId="43" fontId="38" fillId="20" borderId="16" xfId="1" applyFont="1" applyFill="1" applyBorder="1" applyAlignment="1">
      <alignment horizontal="right" vertical="center"/>
    </xf>
    <xf numFmtId="43" fontId="38" fillId="20" borderId="16" xfId="1" applyFont="1" applyFill="1" applyBorder="1" applyAlignment="1">
      <alignment vertical="center"/>
    </xf>
    <xf numFmtId="4" fontId="38" fillId="20" borderId="16" xfId="1" applyNumberFormat="1" applyFont="1" applyFill="1" applyBorder="1" applyAlignment="1">
      <alignment horizontal="right" vertical="center"/>
    </xf>
    <xf numFmtId="183" fontId="38" fillId="20" borderId="16" xfId="0" applyNumberFormat="1" applyFont="1" applyFill="1" applyBorder="1" applyAlignment="1">
      <alignment horizontal="left" vertical="center"/>
    </xf>
    <xf numFmtId="3" fontId="38" fillId="20" borderId="16" xfId="0" applyNumberFormat="1" applyFont="1" applyFill="1" applyBorder="1" applyAlignment="1">
      <alignment horizontal="center" vertical="center"/>
    </xf>
    <xf numFmtId="43" fontId="38" fillId="20" borderId="11" xfId="1" applyFont="1" applyFill="1" applyBorder="1" applyAlignment="1">
      <alignment horizontal="right" vertical="center"/>
    </xf>
    <xf numFmtId="43" fontId="38" fillId="20" borderId="4" xfId="1" applyFont="1" applyFill="1" applyBorder="1" applyAlignment="1">
      <alignment vertical="center"/>
    </xf>
    <xf numFmtId="0" fontId="38" fillId="20" borderId="4" xfId="0" applyFont="1" applyFill="1" applyBorder="1" applyAlignment="1">
      <alignment vertical="center"/>
    </xf>
    <xf numFmtId="43" fontId="38" fillId="0" borderId="16" xfId="1" applyFont="1" applyBorder="1"/>
    <xf numFmtId="43" fontId="38" fillId="0" borderId="0" xfId="1" applyFont="1"/>
    <xf numFmtId="0" fontId="38" fillId="0" borderId="0" xfId="0" applyFont="1"/>
    <xf numFmtId="1" fontId="38" fillId="21" borderId="16" xfId="0" applyNumberFormat="1" applyFont="1" applyFill="1" applyBorder="1" applyAlignment="1">
      <alignment horizontal="center" vertical="center"/>
    </xf>
    <xf numFmtId="0" fontId="38" fillId="21" borderId="16" xfId="0" applyFont="1" applyFill="1" applyBorder="1" applyAlignment="1">
      <alignment vertical="center"/>
    </xf>
    <xf numFmtId="0" fontId="38" fillId="21" borderId="16" xfId="0" applyFont="1" applyFill="1" applyBorder="1"/>
    <xf numFmtId="43" fontId="38" fillId="21" borderId="16" xfId="1" applyFont="1" applyFill="1" applyBorder="1" applyAlignment="1">
      <alignment horizontal="right" vertical="center"/>
    </xf>
    <xf numFmtId="43" fontId="38" fillId="21" borderId="16" xfId="1" applyFont="1" applyFill="1" applyBorder="1"/>
    <xf numFmtId="0" fontId="38" fillId="21" borderId="16" xfId="0" applyFont="1" applyFill="1" applyBorder="1" applyAlignment="1">
      <alignment horizontal="center"/>
    </xf>
    <xf numFmtId="4" fontId="38" fillId="21" borderId="16" xfId="1" applyNumberFormat="1" applyFont="1" applyFill="1" applyBorder="1"/>
    <xf numFmtId="43" fontId="38" fillId="21" borderId="11" xfId="1" applyFont="1" applyFill="1" applyBorder="1" applyAlignment="1">
      <alignment horizontal="right" vertical="center"/>
    </xf>
    <xf numFmtId="43" fontId="38" fillId="21" borderId="4" xfId="1" applyFont="1" applyFill="1" applyBorder="1" applyAlignment="1">
      <alignment vertical="center"/>
    </xf>
    <xf numFmtId="43" fontId="38" fillId="21" borderId="16" xfId="1" applyFont="1" applyFill="1" applyBorder="1" applyAlignment="1">
      <alignment vertical="center"/>
    </xf>
    <xf numFmtId="43" fontId="38" fillId="21" borderId="0" xfId="1" applyFont="1" applyFill="1"/>
    <xf numFmtId="0" fontId="38" fillId="21" borderId="4" xfId="0" applyFont="1" applyFill="1" applyBorder="1" applyAlignment="1">
      <alignment vertical="center"/>
    </xf>
    <xf numFmtId="0" fontId="38" fillId="21" borderId="0" xfId="0" applyFont="1" applyFill="1"/>
    <xf numFmtId="1" fontId="38" fillId="22" borderId="16" xfId="0" applyNumberFormat="1" applyFont="1" applyFill="1" applyBorder="1" applyAlignment="1">
      <alignment horizontal="center" vertical="center"/>
    </xf>
    <xf numFmtId="0" fontId="38" fillId="22" borderId="16" xfId="0" applyFont="1" applyFill="1" applyBorder="1" applyAlignment="1">
      <alignment vertical="center"/>
    </xf>
    <xf numFmtId="0" fontId="38" fillId="22" borderId="16" xfId="0" applyFont="1" applyFill="1" applyBorder="1"/>
    <xf numFmtId="43" fontId="38" fillId="22" borderId="16" xfId="1" applyFont="1" applyFill="1" applyBorder="1" applyAlignment="1">
      <alignment horizontal="right" vertical="center"/>
    </xf>
    <xf numFmtId="43" fontId="38" fillId="22" borderId="16" xfId="1" applyFont="1" applyFill="1" applyBorder="1"/>
    <xf numFmtId="0" fontId="38" fillId="22" borderId="16" xfId="0" applyFont="1" applyFill="1" applyBorder="1" applyAlignment="1">
      <alignment horizontal="center"/>
    </xf>
    <xf numFmtId="4" fontId="38" fillId="22" borderId="16" xfId="1" applyNumberFormat="1" applyFont="1" applyFill="1" applyBorder="1"/>
    <xf numFmtId="43" fontId="38" fillId="22" borderId="11" xfId="1" applyFont="1" applyFill="1" applyBorder="1" applyAlignment="1">
      <alignment horizontal="right" vertical="center"/>
    </xf>
    <xf numFmtId="43" fontId="38" fillId="22" borderId="4" xfId="1" applyFont="1" applyFill="1" applyBorder="1" applyAlignment="1">
      <alignment vertical="center"/>
    </xf>
    <xf numFmtId="43" fontId="38" fillId="22" borderId="16" xfId="1" applyFont="1" applyFill="1" applyBorder="1" applyAlignment="1">
      <alignment vertical="center"/>
    </xf>
    <xf numFmtId="43" fontId="38" fillId="22" borderId="0" xfId="1" applyFont="1" applyFill="1"/>
    <xf numFmtId="0" fontId="38" fillId="22" borderId="4" xfId="0" applyFont="1" applyFill="1" applyBorder="1" applyAlignment="1">
      <alignment vertical="center"/>
    </xf>
    <xf numFmtId="0" fontId="38" fillId="22" borderId="0" xfId="0" applyFont="1" applyFill="1"/>
    <xf numFmtId="0" fontId="38" fillId="20" borderId="16" xfId="0" applyFont="1" applyFill="1" applyBorder="1"/>
    <xf numFmtId="43" fontId="38" fillId="20" borderId="16" xfId="1" applyFont="1" applyFill="1" applyBorder="1"/>
    <xf numFmtId="0" fontId="38" fillId="20" borderId="16" xfId="0" applyFont="1" applyFill="1" applyBorder="1" applyAlignment="1">
      <alignment horizontal="center"/>
    </xf>
    <xf numFmtId="4" fontId="38" fillId="20" borderId="16" xfId="1" applyNumberFormat="1" applyFont="1" applyFill="1" applyBorder="1"/>
    <xf numFmtId="43" fontId="38" fillId="20" borderId="0" xfId="1" applyFont="1" applyFill="1"/>
    <xf numFmtId="0" fontId="38" fillId="20" borderId="0" xfId="0" applyFont="1" applyFill="1"/>
    <xf numFmtId="0" fontId="38" fillId="23" borderId="16" xfId="0" applyFont="1" applyFill="1" applyBorder="1" applyAlignment="1">
      <alignment vertical="center"/>
    </xf>
    <xf numFmtId="0" fontId="38" fillId="23" borderId="16" xfId="0" applyFont="1" applyFill="1" applyBorder="1"/>
    <xf numFmtId="43" fontId="38" fillId="23" borderId="16" xfId="1" applyFont="1" applyFill="1" applyBorder="1" applyAlignment="1">
      <alignment horizontal="right" vertical="center"/>
    </xf>
    <xf numFmtId="43" fontId="38" fillId="23" borderId="16" xfId="1" applyFont="1" applyFill="1" applyBorder="1"/>
    <xf numFmtId="0" fontId="38" fillId="23" borderId="16" xfId="0" applyFont="1" applyFill="1" applyBorder="1" applyAlignment="1">
      <alignment horizontal="center"/>
    </xf>
    <xf numFmtId="4" fontId="38" fillId="23" borderId="16" xfId="1" applyNumberFormat="1" applyFont="1" applyFill="1" applyBorder="1"/>
    <xf numFmtId="1" fontId="38" fillId="23" borderId="16" xfId="0" applyNumberFormat="1" applyFont="1" applyFill="1" applyBorder="1" applyAlignment="1">
      <alignment horizontal="center" vertical="center"/>
    </xf>
    <xf numFmtId="43" fontId="38" fillId="23" borderId="11" xfId="1" applyFont="1" applyFill="1" applyBorder="1" applyAlignment="1">
      <alignment horizontal="right" vertical="center"/>
    </xf>
    <xf numFmtId="43" fontId="38" fillId="23" borderId="4" xfId="1" applyFont="1" applyFill="1" applyBorder="1" applyAlignment="1">
      <alignment vertical="center"/>
    </xf>
    <xf numFmtId="43" fontId="38" fillId="23" borderId="16" xfId="1" applyFont="1" applyFill="1" applyBorder="1" applyAlignment="1">
      <alignment vertical="center"/>
    </xf>
    <xf numFmtId="43" fontId="38" fillId="23" borderId="0" xfId="1" applyFont="1" applyFill="1"/>
    <xf numFmtId="0" fontId="38" fillId="23" borderId="4" xfId="0" applyFont="1" applyFill="1" applyBorder="1" applyAlignment="1">
      <alignment vertical="center"/>
    </xf>
    <xf numFmtId="0" fontId="38" fillId="23" borderId="0" xfId="0" applyFont="1" applyFill="1"/>
    <xf numFmtId="49" fontId="38" fillId="10" borderId="16" xfId="0" applyNumberFormat="1" applyFont="1" applyFill="1" applyBorder="1" applyAlignment="1">
      <alignment vertical="center"/>
    </xf>
    <xf numFmtId="0" fontId="38" fillId="10" borderId="16" xfId="0" applyFont="1" applyFill="1" applyBorder="1" applyAlignment="1">
      <alignment horizontal="center" vertical="center"/>
    </xf>
    <xf numFmtId="0" fontId="38" fillId="21" borderId="16" xfId="0" quotePrefix="1" applyFont="1" applyFill="1" applyBorder="1" applyAlignment="1">
      <alignment vertical="center"/>
    </xf>
    <xf numFmtId="49" fontId="38" fillId="21" borderId="16" xfId="0" applyNumberFormat="1" applyFont="1" applyFill="1" applyBorder="1" applyAlignment="1">
      <alignment horizontal="left" vertical="center" shrinkToFit="1"/>
    </xf>
    <xf numFmtId="4" fontId="38" fillId="21" borderId="16" xfId="1" applyNumberFormat="1" applyFont="1" applyFill="1" applyBorder="1" applyAlignment="1">
      <alignment vertical="center"/>
    </xf>
    <xf numFmtId="0" fontId="38" fillId="21" borderId="16" xfId="0" applyFont="1" applyFill="1" applyBorder="1" applyAlignment="1">
      <alignment horizontal="center" vertical="center"/>
    </xf>
    <xf numFmtId="43" fontId="38" fillId="3" borderId="0" xfId="1" applyFont="1" applyFill="1" applyBorder="1" applyAlignment="1">
      <alignment vertical="center"/>
    </xf>
    <xf numFmtId="0" fontId="38" fillId="24" borderId="16" xfId="0" applyFont="1" applyFill="1" applyBorder="1" applyAlignment="1">
      <alignment horizontal="center"/>
    </xf>
    <xf numFmtId="0" fontId="38" fillId="24" borderId="16" xfId="0" applyFont="1" applyFill="1" applyBorder="1"/>
    <xf numFmtId="43" fontId="38" fillId="24" borderId="16" xfId="1" applyFont="1" applyFill="1" applyBorder="1" applyAlignment="1">
      <alignment vertical="center"/>
    </xf>
    <xf numFmtId="43" fontId="38" fillId="24" borderId="16" xfId="1" applyFont="1" applyFill="1" applyBorder="1"/>
    <xf numFmtId="4" fontId="38" fillId="24" borderId="16" xfId="1" applyNumberFormat="1" applyFont="1" applyFill="1" applyBorder="1" applyAlignment="1">
      <alignment vertical="center"/>
    </xf>
    <xf numFmtId="0" fontId="38" fillId="24" borderId="0" xfId="0" applyFont="1" applyFill="1"/>
    <xf numFmtId="43" fontId="38" fillId="24" borderId="4" xfId="1" applyFont="1" applyFill="1" applyBorder="1" applyAlignment="1">
      <alignment vertical="center"/>
    </xf>
    <xf numFmtId="43" fontId="38" fillId="24" borderId="0" xfId="1" applyFont="1" applyFill="1"/>
    <xf numFmtId="43" fontId="41" fillId="3" borderId="4" xfId="1" applyFont="1" applyFill="1" applyBorder="1" applyAlignment="1">
      <alignment vertical="center"/>
    </xf>
    <xf numFmtId="49" fontId="38" fillId="10" borderId="16" xfId="0" applyNumberFormat="1" applyFont="1" applyFill="1" applyBorder="1" applyAlignment="1">
      <alignment horizontal="left" vertical="center" shrinkToFit="1"/>
    </xf>
    <xf numFmtId="3" fontId="38" fillId="10" borderId="16" xfId="0" applyNumberFormat="1" applyFont="1" applyFill="1" applyBorder="1" applyAlignment="1">
      <alignment horizontal="center" vertical="center"/>
    </xf>
    <xf numFmtId="43" fontId="38" fillId="0" borderId="16" xfId="1" applyFont="1" applyBorder="1" applyAlignment="1">
      <alignment vertical="center"/>
    </xf>
    <xf numFmtId="3" fontId="38" fillId="0" borderId="16" xfId="0" applyNumberFormat="1" applyFont="1" applyBorder="1" applyAlignment="1">
      <alignment horizontal="center" vertical="center"/>
    </xf>
    <xf numFmtId="49" fontId="38" fillId="0" borderId="16" xfId="0" applyNumberFormat="1" applyFont="1" applyFill="1" applyBorder="1" applyAlignment="1">
      <alignment horizontal="left" vertical="center"/>
    </xf>
    <xf numFmtId="43" fontId="38" fillId="0" borderId="12" xfId="1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49" fontId="38" fillId="10" borderId="16" xfId="0" applyNumberFormat="1" applyFont="1" applyFill="1" applyBorder="1" applyAlignment="1">
      <alignment vertical="center" shrinkToFit="1"/>
    </xf>
    <xf numFmtId="43" fontId="38" fillId="10" borderId="12" xfId="1" applyFont="1" applyFill="1" applyBorder="1" applyAlignment="1">
      <alignment vertical="center"/>
    </xf>
    <xf numFmtId="171" fontId="38" fillId="10" borderId="26" xfId="0" applyNumberFormat="1" applyFont="1" applyFill="1" applyBorder="1" applyAlignment="1">
      <alignment vertical="center"/>
    </xf>
    <xf numFmtId="43" fontId="38" fillId="10" borderId="11" xfId="1" applyFont="1" applyFill="1" applyBorder="1" applyAlignment="1">
      <alignment vertical="center"/>
    </xf>
    <xf numFmtId="171" fontId="38" fillId="0" borderId="4" xfId="0" applyNumberFormat="1" applyFont="1" applyFill="1" applyBorder="1" applyAlignment="1">
      <alignment vertical="center"/>
    </xf>
    <xf numFmtId="4" fontId="38" fillId="22" borderId="16" xfId="1" applyNumberFormat="1" applyFont="1" applyFill="1" applyBorder="1" applyAlignment="1">
      <alignment horizontal="right" vertical="center"/>
    </xf>
    <xf numFmtId="4" fontId="38" fillId="22" borderId="16" xfId="0" applyNumberFormat="1" applyFont="1" applyFill="1" applyBorder="1" applyAlignment="1">
      <alignment vertical="center"/>
    </xf>
    <xf numFmtId="3" fontId="38" fillId="0" borderId="16" xfId="0" applyNumberFormat="1" applyFont="1" applyFill="1" applyBorder="1" applyAlignment="1">
      <alignment horizontal="center" vertical="center"/>
    </xf>
    <xf numFmtId="43" fontId="38" fillId="0" borderId="0" xfId="1" applyFont="1" applyFill="1" applyBorder="1" applyAlignment="1">
      <alignment horizontal="right" vertical="center"/>
    </xf>
    <xf numFmtId="43" fontId="38" fillId="0" borderId="0" xfId="1" applyFont="1" applyFill="1" applyBorder="1" applyAlignment="1">
      <alignment vertical="center"/>
    </xf>
    <xf numFmtId="43" fontId="38" fillId="8" borderId="0" xfId="1" applyFont="1" applyFill="1" applyBorder="1" applyAlignment="1">
      <alignment vertical="center"/>
    </xf>
    <xf numFmtId="43" fontId="38" fillId="3" borderId="16" xfId="1" applyFont="1" applyFill="1" applyBorder="1" applyAlignment="1">
      <alignment horizontal="left" vertical="center" shrinkToFit="1"/>
    </xf>
    <xf numFmtId="0" fontId="38" fillId="0" borderId="16" xfId="216" applyFont="1" applyBorder="1" applyAlignment="1">
      <alignment vertical="center"/>
    </xf>
    <xf numFmtId="0" fontId="42" fillId="0" borderId="16" xfId="216" applyFont="1" applyBorder="1" applyAlignment="1">
      <alignment horizontal="left" vertical="center" shrinkToFit="1"/>
    </xf>
    <xf numFmtId="43" fontId="42" fillId="0" borderId="16" xfId="1" applyFont="1" applyBorder="1" applyAlignment="1">
      <alignment horizontal="center" vertical="center"/>
    </xf>
    <xf numFmtId="49" fontId="42" fillId="0" borderId="27" xfId="216" applyNumberFormat="1" applyFont="1" applyBorder="1" applyAlignment="1">
      <alignment horizontal="left" vertical="center"/>
    </xf>
    <xf numFmtId="1" fontId="42" fillId="0" borderId="16" xfId="216" applyNumberFormat="1" applyFont="1" applyBorder="1" applyAlignment="1">
      <alignment horizontal="center" vertical="center"/>
    </xf>
    <xf numFmtId="43" fontId="42" fillId="0" borderId="27" xfId="163" applyFont="1" applyBorder="1" applyAlignment="1">
      <alignment horizontal="right" vertical="center"/>
    </xf>
    <xf numFmtId="0" fontId="38" fillId="10" borderId="16" xfId="0" applyFont="1" applyFill="1" applyBorder="1" applyAlignment="1">
      <alignment vertical="center" shrinkToFit="1"/>
    </xf>
    <xf numFmtId="4" fontId="38" fillId="10" borderId="16" xfId="1" applyNumberFormat="1" applyFont="1" applyFill="1" applyBorder="1" applyAlignment="1">
      <alignment vertical="center"/>
    </xf>
    <xf numFmtId="4" fontId="38" fillId="0" borderId="16" xfId="163" applyNumberFormat="1" applyFont="1" applyFill="1" applyBorder="1" applyAlignment="1">
      <alignment vertical="center"/>
    </xf>
    <xf numFmtId="49" fontId="38" fillId="0" borderId="16" xfId="0" applyNumberFormat="1" applyFont="1" applyBorder="1" applyAlignment="1">
      <alignment horizontal="left" vertical="center" shrinkToFit="1"/>
    </xf>
    <xf numFmtId="43" fontId="38" fillId="0" borderId="16" xfId="1" applyFont="1" applyBorder="1" applyAlignment="1">
      <alignment horizontal="center" vertical="center"/>
    </xf>
    <xf numFmtId="43" fontId="38" fillId="0" borderId="16" xfId="0" applyNumberFormat="1" applyFont="1" applyBorder="1" applyAlignment="1">
      <alignment horizontal="center" vertical="center"/>
    </xf>
    <xf numFmtId="43" fontId="38" fillId="0" borderId="16" xfId="0" applyNumberFormat="1" applyFont="1" applyBorder="1" applyAlignment="1">
      <alignment horizontal="right" vertical="center"/>
    </xf>
    <xf numFmtId="43" fontId="38" fillId="0" borderId="16" xfId="1" applyFont="1" applyFill="1" applyBorder="1" applyAlignment="1">
      <alignment horizontal="center" vertical="center"/>
    </xf>
    <xf numFmtId="0" fontId="38" fillId="0" borderId="16" xfId="0" applyFont="1" applyBorder="1" applyAlignment="1">
      <alignment vertical="center"/>
    </xf>
    <xf numFmtId="0" fontId="38" fillId="0" borderId="16" xfId="0" applyFont="1" applyBorder="1" applyAlignment="1">
      <alignment horizontal="left" vertical="center" shrinkToFit="1"/>
    </xf>
    <xf numFmtId="0" fontId="38" fillId="10" borderId="16" xfId="0" applyFont="1" applyFill="1" applyBorder="1" applyAlignment="1">
      <alignment horizontal="left" vertical="center" shrinkToFit="1"/>
    </xf>
    <xf numFmtId="183" fontId="38" fillId="10" borderId="16" xfId="0" applyNumberFormat="1" applyFont="1" applyFill="1" applyBorder="1" applyAlignment="1">
      <alignment horizontal="left" vertical="center"/>
    </xf>
    <xf numFmtId="183" fontId="38" fillId="10" borderId="16" xfId="0" applyNumberFormat="1" applyFont="1" applyFill="1" applyBorder="1" applyAlignment="1">
      <alignment horizontal="center" vertical="center"/>
    </xf>
    <xf numFmtId="183" fontId="38" fillId="10" borderId="16" xfId="0" applyNumberFormat="1" applyFont="1" applyFill="1" applyBorder="1" applyAlignment="1">
      <alignment horizontal="right" vertical="center"/>
    </xf>
    <xf numFmtId="0" fontId="38" fillId="0" borderId="16" xfId="0" applyFont="1" applyFill="1" applyBorder="1" applyAlignment="1">
      <alignment horizontal="left" vertical="center" shrinkToFit="1"/>
    </xf>
    <xf numFmtId="43" fontId="38" fillId="0" borderId="16" xfId="1" applyFont="1" applyFill="1" applyBorder="1" applyAlignment="1">
      <alignment horizontal="left" vertical="center" shrinkToFit="1"/>
    </xf>
    <xf numFmtId="49" fontId="38" fillId="21" borderId="16" xfId="0" applyNumberFormat="1" applyFont="1" applyFill="1" applyBorder="1" applyAlignment="1">
      <alignment vertical="center"/>
    </xf>
    <xf numFmtId="4" fontId="38" fillId="0" borderId="4" xfId="0" applyNumberFormat="1" applyFont="1" applyFill="1" applyBorder="1" applyAlignment="1">
      <alignment vertical="center"/>
    </xf>
    <xf numFmtId="4" fontId="38" fillId="3" borderId="4" xfId="0" applyNumberFormat="1" applyFont="1" applyFill="1" applyBorder="1" applyAlignment="1">
      <alignment vertical="center"/>
    </xf>
    <xf numFmtId="49" fontId="38" fillId="20" borderId="16" xfId="0" applyNumberFormat="1" applyFont="1" applyFill="1" applyBorder="1" applyAlignment="1">
      <alignment vertical="center"/>
    </xf>
    <xf numFmtId="4" fontId="38" fillId="20" borderId="16" xfId="0" applyNumberFormat="1" applyFont="1" applyFill="1" applyBorder="1" applyAlignment="1">
      <alignment vertical="center"/>
    </xf>
    <xf numFmtId="4" fontId="38" fillId="20" borderId="4" xfId="0" applyNumberFormat="1" applyFont="1" applyFill="1" applyBorder="1" applyAlignment="1">
      <alignment vertical="center"/>
    </xf>
    <xf numFmtId="4" fontId="38" fillId="0" borderId="0" xfId="0" applyNumberFormat="1" applyFont="1" applyFill="1" applyBorder="1" applyAlignment="1">
      <alignment vertical="center"/>
    </xf>
    <xf numFmtId="43" fontId="38" fillId="10" borderId="26" xfId="1" applyFont="1" applyFill="1" applyBorder="1" applyAlignment="1">
      <alignment vertical="center"/>
    </xf>
    <xf numFmtId="4" fontId="38" fillId="10" borderId="16" xfId="1" applyNumberFormat="1" applyFont="1" applyFill="1" applyBorder="1" applyAlignment="1">
      <alignment horizontal="right" vertical="center"/>
    </xf>
    <xf numFmtId="43" fontId="38" fillId="10" borderId="0" xfId="1" applyFont="1" applyFill="1" applyBorder="1" applyAlignment="1">
      <alignment vertical="center"/>
    </xf>
    <xf numFmtId="0" fontId="38" fillId="3" borderId="16" xfId="0" applyFont="1" applyFill="1" applyBorder="1" applyAlignment="1">
      <alignment horizontal="left" vertical="center"/>
    </xf>
    <xf numFmtId="0" fontId="38" fillId="3" borderId="0" xfId="0" applyFont="1" applyFill="1" applyBorder="1" applyAlignment="1">
      <alignment vertical="center"/>
    </xf>
    <xf numFmtId="0" fontId="38" fillId="10" borderId="24" xfId="0" applyFont="1" applyFill="1" applyBorder="1" applyAlignment="1">
      <alignment horizontal="center"/>
    </xf>
    <xf numFmtId="0" fontId="38" fillId="10" borderId="24" xfId="0" applyFont="1" applyFill="1" applyBorder="1"/>
    <xf numFmtId="49" fontId="38" fillId="10" borderId="24" xfId="0" applyNumberFormat="1" applyFont="1" applyFill="1" applyBorder="1" applyAlignment="1">
      <alignment vertical="center"/>
    </xf>
    <xf numFmtId="43" fontId="38" fillId="10" borderId="24" xfId="1" applyFont="1" applyFill="1" applyBorder="1" applyAlignment="1">
      <alignment horizontal="right" vertical="center"/>
    </xf>
    <xf numFmtId="43" fontId="38" fillId="10" borderId="24" xfId="1" applyFont="1" applyFill="1" applyBorder="1"/>
    <xf numFmtId="4" fontId="38" fillId="0" borderId="24" xfId="1" applyNumberFormat="1" applyFont="1" applyFill="1" applyBorder="1" applyAlignment="1">
      <alignment horizontal="right" vertical="center"/>
    </xf>
    <xf numFmtId="49" fontId="38" fillId="3" borderId="25" xfId="0" applyNumberFormat="1" applyFont="1" applyFill="1" applyBorder="1" applyAlignment="1">
      <alignment horizontal="right" vertical="center"/>
    </xf>
    <xf numFmtId="43" fontId="38" fillId="0" borderId="17" xfId="1" applyFont="1" applyFill="1" applyBorder="1" applyAlignment="1">
      <alignment horizontal="right" vertical="center"/>
    </xf>
    <xf numFmtId="43" fontId="38" fillId="0" borderId="17" xfId="1" applyFont="1" applyFill="1" applyBorder="1" applyAlignment="1">
      <alignment vertical="center"/>
    </xf>
    <xf numFmtId="1" fontId="38" fillId="0" borderId="17" xfId="0" applyNumberFormat="1" applyFont="1" applyFill="1" applyBorder="1" applyAlignment="1">
      <alignment horizontal="center" vertical="center"/>
    </xf>
    <xf numFmtId="4" fontId="38" fillId="0" borderId="17" xfId="1" applyNumberFormat="1" applyFont="1" applyFill="1" applyBorder="1" applyAlignment="1">
      <alignment horizontal="right" vertical="center"/>
    </xf>
    <xf numFmtId="4" fontId="38" fillId="0" borderId="17" xfId="0" applyNumberFormat="1" applyFont="1" applyFill="1" applyBorder="1" applyAlignment="1">
      <alignment vertical="center"/>
    </xf>
    <xf numFmtId="43" fontId="38" fillId="3" borderId="17" xfId="1" applyFont="1" applyFill="1" applyBorder="1" applyAlignment="1">
      <alignment horizontal="right" vertical="center"/>
    </xf>
    <xf numFmtId="43" fontId="38" fillId="0" borderId="1" xfId="1" applyFont="1" applyFill="1" applyBorder="1" applyAlignment="1">
      <alignment horizontal="right" vertical="center"/>
    </xf>
    <xf numFmtId="43" fontId="38" fillId="20" borderId="3" xfId="1" applyFont="1" applyFill="1" applyBorder="1" applyAlignment="1">
      <alignment vertical="center"/>
    </xf>
    <xf numFmtId="1" fontId="38" fillId="0" borderId="4" xfId="0" applyNumberFormat="1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vertical="center"/>
    </xf>
    <xf numFmtId="49" fontId="38" fillId="3" borderId="6" xfId="0" applyNumberFormat="1" applyFont="1" applyFill="1" applyBorder="1" applyAlignment="1">
      <alignment horizontal="right" vertical="center"/>
    </xf>
    <xf numFmtId="4" fontId="38" fillId="0" borderId="4" xfId="1" applyNumberFormat="1" applyFont="1" applyFill="1" applyBorder="1" applyAlignment="1">
      <alignment horizontal="right" vertical="center"/>
    </xf>
    <xf numFmtId="43" fontId="38" fillId="20" borderId="11" xfId="1" applyFont="1" applyFill="1" applyBorder="1" applyAlignment="1">
      <alignment vertical="center"/>
    </xf>
    <xf numFmtId="43" fontId="38" fillId="20" borderId="18" xfId="163" applyFont="1" applyFill="1" applyBorder="1" applyAlignment="1">
      <alignment horizontal="center" vertical="center"/>
    </xf>
    <xf numFmtId="4" fontId="40" fillId="6" borderId="16" xfId="0" applyNumberFormat="1" applyFont="1" applyFill="1" applyBorder="1" applyAlignment="1">
      <alignment vertical="center"/>
    </xf>
    <xf numFmtId="49" fontId="38" fillId="6" borderId="16" xfId="0" applyNumberFormat="1" applyFont="1" applyFill="1" applyBorder="1" applyAlignment="1">
      <alignment vertical="center"/>
    </xf>
    <xf numFmtId="171" fontId="38" fillId="0" borderId="16" xfId="128" applyFont="1" applyBorder="1"/>
    <xf numFmtId="0" fontId="38" fillId="10" borderId="16" xfId="0" applyFont="1" applyFill="1" applyBorder="1" applyAlignment="1">
      <alignment horizontal="left" vertical="center"/>
    </xf>
    <xf numFmtId="43" fontId="38" fillId="10" borderId="4" xfId="1" applyFont="1" applyFill="1" applyBorder="1" applyAlignment="1">
      <alignment horizontal="right" vertical="center"/>
    </xf>
    <xf numFmtId="0" fontId="38" fillId="10" borderId="26" xfId="0" applyFont="1" applyFill="1" applyBorder="1" applyAlignment="1">
      <alignment vertical="center"/>
    </xf>
    <xf numFmtId="43" fontId="38" fillId="3" borderId="12" xfId="1" applyFont="1" applyFill="1" applyBorder="1" applyAlignment="1">
      <alignment vertical="center"/>
    </xf>
    <xf numFmtId="43" fontId="38" fillId="3" borderId="11" xfId="1" applyFont="1" applyFill="1" applyBorder="1" applyAlignment="1">
      <alignment vertical="center"/>
    </xf>
    <xf numFmtId="49" fontId="38" fillId="10" borderId="16" xfId="0" applyNumberFormat="1" applyFont="1" applyFill="1" applyBorder="1" applyAlignment="1">
      <alignment horizontal="left" vertical="center"/>
    </xf>
    <xf numFmtId="49" fontId="38" fillId="0" borderId="16" xfId="58" applyNumberFormat="1" applyFont="1" applyBorder="1" applyAlignment="1">
      <alignment vertical="center"/>
    </xf>
    <xf numFmtId="43" fontId="38" fillId="0" borderId="16" xfId="1" applyFont="1" applyBorder="1" applyAlignment="1">
      <alignment horizontal="right" vertical="center"/>
    </xf>
    <xf numFmtId="1" fontId="38" fillId="5" borderId="16" xfId="0" applyNumberFormat="1" applyFont="1" applyFill="1" applyBorder="1" applyAlignment="1">
      <alignment horizontal="center" vertical="center"/>
    </xf>
    <xf numFmtId="49" fontId="38" fillId="5" borderId="16" xfId="0" applyNumberFormat="1" applyFont="1" applyFill="1" applyBorder="1" applyAlignment="1">
      <alignment vertical="center"/>
    </xf>
    <xf numFmtId="49" fontId="38" fillId="5" borderId="16" xfId="0" applyNumberFormat="1" applyFont="1" applyFill="1" applyBorder="1" applyAlignment="1">
      <alignment horizontal="left" vertical="center"/>
    </xf>
    <xf numFmtId="43" fontId="38" fillId="5" borderId="16" xfId="1" applyFont="1" applyFill="1" applyBorder="1" applyAlignment="1">
      <alignment vertical="center"/>
    </xf>
    <xf numFmtId="0" fontId="38" fillId="5" borderId="16" xfId="0" applyFont="1" applyFill="1" applyBorder="1" applyAlignment="1">
      <alignment vertical="center"/>
    </xf>
    <xf numFmtId="0" fontId="38" fillId="5" borderId="16" xfId="0" applyFont="1" applyFill="1" applyBorder="1" applyAlignment="1">
      <alignment horizontal="center" vertical="center"/>
    </xf>
    <xf numFmtId="43" fontId="38" fillId="5" borderId="16" xfId="1" applyFont="1" applyFill="1" applyBorder="1" applyAlignment="1">
      <alignment horizontal="right" vertical="center"/>
    </xf>
    <xf numFmtId="43" fontId="38" fillId="5" borderId="4" xfId="1" applyFont="1" applyFill="1" applyBorder="1" applyAlignment="1">
      <alignment horizontal="right" vertical="center"/>
    </xf>
    <xf numFmtId="43" fontId="38" fillId="5" borderId="4" xfId="1" applyFont="1" applyFill="1" applyBorder="1" applyAlignment="1">
      <alignment vertical="center"/>
    </xf>
    <xf numFmtId="43" fontId="38" fillId="5" borderId="12" xfId="1" applyFont="1" applyFill="1" applyBorder="1" applyAlignment="1">
      <alignment vertical="center"/>
    </xf>
    <xf numFmtId="0" fontId="38" fillId="5" borderId="26" xfId="0" applyFont="1" applyFill="1" applyBorder="1" applyAlignment="1">
      <alignment vertical="center"/>
    </xf>
    <xf numFmtId="43" fontId="38" fillId="5" borderId="11" xfId="1" applyFont="1" applyFill="1" applyBorder="1" applyAlignment="1">
      <alignment vertical="center"/>
    </xf>
    <xf numFmtId="0" fontId="38" fillId="5" borderId="4" xfId="0" applyFont="1" applyFill="1" applyBorder="1" applyAlignment="1">
      <alignment vertical="center"/>
    </xf>
    <xf numFmtId="49" fontId="38" fillId="0" borderId="28" xfId="58" applyNumberFormat="1" applyFont="1" applyBorder="1" applyAlignment="1">
      <alignment horizontal="left" vertical="center"/>
    </xf>
    <xf numFmtId="43" fontId="38" fillId="0" borderId="28" xfId="1" applyFont="1" applyBorder="1" applyAlignment="1">
      <alignment horizontal="right" vertical="center"/>
    </xf>
    <xf numFmtId="0" fontId="38" fillId="0" borderId="28" xfId="58" applyFont="1" applyBorder="1" applyAlignment="1">
      <alignment horizontal="center"/>
    </xf>
    <xf numFmtId="43" fontId="38" fillId="10" borderId="28" xfId="1" applyFont="1" applyFill="1" applyBorder="1" applyAlignment="1">
      <alignment horizontal="right" vertical="center"/>
    </xf>
    <xf numFmtId="39" fontId="38" fillId="10" borderId="16" xfId="0" applyNumberFormat="1" applyFont="1" applyFill="1" applyBorder="1" applyAlignment="1">
      <alignment horizontal="left" vertical="center"/>
    </xf>
    <xf numFmtId="43" fontId="38" fillId="10" borderId="16" xfId="1" applyFont="1" applyFill="1" applyBorder="1" applyAlignment="1">
      <alignment horizontal="center" vertical="center"/>
    </xf>
    <xf numFmtId="49" fontId="38" fillId="0" borderId="16" xfId="0" applyNumberFormat="1" applyFont="1" applyBorder="1" applyAlignment="1">
      <alignment vertical="center"/>
    </xf>
    <xf numFmtId="49" fontId="38" fillId="0" borderId="16" xfId="0" applyNumberFormat="1" applyFont="1" applyBorder="1" applyAlignment="1">
      <alignment horizontal="left" vertical="center"/>
    </xf>
    <xf numFmtId="0" fontId="38" fillId="0" borderId="16" xfId="0" applyFont="1" applyBorder="1" applyAlignment="1">
      <alignment horizontal="center" vertical="center"/>
    </xf>
    <xf numFmtId="4" fontId="38" fillId="0" borderId="16" xfId="0" applyNumberFormat="1" applyFont="1" applyFill="1" applyBorder="1" applyAlignment="1">
      <alignment horizontal="left" vertical="center"/>
    </xf>
    <xf numFmtId="43" fontId="38" fillId="10" borderId="2" xfId="1" applyFont="1" applyFill="1" applyBorder="1" applyAlignment="1">
      <alignment vertical="center"/>
    </xf>
    <xf numFmtId="43" fontId="38" fillId="10" borderId="14" xfId="1" applyFont="1" applyFill="1" applyBorder="1" applyAlignment="1">
      <alignment vertical="center"/>
    </xf>
    <xf numFmtId="1" fontId="38" fillId="3" borderId="16" xfId="1" applyNumberFormat="1" applyFont="1" applyFill="1" applyBorder="1" applyAlignment="1">
      <alignment horizontal="center" vertical="center"/>
    </xf>
    <xf numFmtId="0" fontId="38" fillId="0" borderId="16" xfId="0" applyFont="1" applyBorder="1" applyAlignment="1">
      <alignment horizontal="left" vertical="center"/>
    </xf>
    <xf numFmtId="171" fontId="38" fillId="0" borderId="0" xfId="0" applyNumberFormat="1" applyFont="1" applyFill="1" applyBorder="1" applyAlignment="1">
      <alignment vertical="center"/>
    </xf>
    <xf numFmtId="4" fontId="38" fillId="0" borderId="16" xfId="1" applyNumberFormat="1" applyFont="1" applyFill="1" applyBorder="1" applyAlignment="1">
      <alignment horizontal="center" vertical="center"/>
    </xf>
    <xf numFmtId="171" fontId="38" fillId="3" borderId="4" xfId="0" applyNumberFormat="1" applyFont="1" applyFill="1" applyBorder="1" applyAlignment="1">
      <alignment vertical="center"/>
    </xf>
    <xf numFmtId="1" fontId="38" fillId="10" borderId="24" xfId="0" applyNumberFormat="1" applyFont="1" applyFill="1" applyBorder="1" applyAlignment="1">
      <alignment horizontal="center" vertical="center"/>
    </xf>
    <xf numFmtId="49" fontId="38" fillId="10" borderId="24" xfId="0" applyNumberFormat="1" applyFont="1" applyFill="1" applyBorder="1" applyAlignment="1">
      <alignment horizontal="left" vertical="center"/>
    </xf>
    <xf numFmtId="43" fontId="38" fillId="10" borderId="24" xfId="1" applyFont="1" applyFill="1" applyBorder="1" applyAlignment="1">
      <alignment vertical="center"/>
    </xf>
    <xf numFmtId="4" fontId="38" fillId="0" borderId="24" xfId="1" applyNumberFormat="1" applyFont="1" applyFill="1" applyBorder="1" applyAlignment="1">
      <alignment horizontal="center" vertical="center"/>
    </xf>
    <xf numFmtId="0" fontId="38" fillId="10" borderId="24" xfId="0" applyFont="1" applyFill="1" applyBorder="1" applyAlignment="1">
      <alignment vertical="center"/>
    </xf>
    <xf numFmtId="0" fontId="38" fillId="10" borderId="24" xfId="0" applyFont="1" applyFill="1" applyBorder="1" applyAlignment="1">
      <alignment horizontal="center" vertical="center"/>
    </xf>
    <xf numFmtId="1" fontId="38" fillId="3" borderId="25" xfId="0" applyNumberFormat="1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vertical="center"/>
    </xf>
    <xf numFmtId="49" fontId="38" fillId="3" borderId="17" xfId="0" applyNumberFormat="1" applyFont="1" applyFill="1" applyBorder="1" applyAlignment="1">
      <alignment horizontal="right" vertical="center"/>
    </xf>
    <xf numFmtId="4" fontId="38" fillId="0" borderId="17" xfId="0" applyNumberFormat="1" applyFont="1" applyFill="1" applyBorder="1" applyAlignment="1">
      <alignment horizontal="left" vertical="center"/>
    </xf>
    <xf numFmtId="43" fontId="38" fillId="11" borderId="17" xfId="1" applyFont="1" applyFill="1" applyBorder="1" applyAlignment="1">
      <alignment horizontal="right" vertical="center"/>
    </xf>
    <xf numFmtId="43" fontId="38" fillId="11" borderId="18" xfId="1" applyFont="1" applyFill="1" applyBorder="1" applyAlignment="1">
      <alignment horizontal="right" vertical="center"/>
    </xf>
    <xf numFmtId="49" fontId="38" fillId="3" borderId="4" xfId="0" applyNumberFormat="1" applyFont="1" applyFill="1" applyBorder="1" applyAlignment="1">
      <alignment horizontal="right" vertical="center"/>
    </xf>
    <xf numFmtId="4" fontId="38" fillId="0" borderId="4" xfId="0" applyNumberFormat="1" applyFont="1" applyFill="1" applyBorder="1" applyAlignment="1">
      <alignment horizontal="left" vertical="center"/>
    </xf>
    <xf numFmtId="43" fontId="38" fillId="11" borderId="11" xfId="1" applyFont="1" applyFill="1" applyBorder="1" applyAlignment="1">
      <alignment horizontal="right" vertical="center"/>
    </xf>
    <xf numFmtId="43" fontId="38" fillId="11" borderId="4" xfId="1" applyFont="1" applyFill="1" applyBorder="1" applyAlignment="1">
      <alignment vertical="center"/>
    </xf>
    <xf numFmtId="171" fontId="38" fillId="4" borderId="0" xfId="119" applyFont="1" applyFill="1"/>
    <xf numFmtId="4" fontId="40" fillId="6" borderId="25" xfId="0" applyNumberFormat="1" applyFont="1" applyFill="1" applyBorder="1" applyAlignment="1">
      <alignment vertical="center"/>
    </xf>
    <xf numFmtId="49" fontId="38" fillId="6" borderId="25" xfId="0" applyNumberFormat="1" applyFont="1" applyFill="1" applyBorder="1" applyAlignment="1">
      <alignment vertical="center"/>
    </xf>
    <xf numFmtId="43" fontId="38" fillId="6" borderId="25" xfId="1" applyFont="1" applyFill="1" applyBorder="1" applyAlignment="1">
      <alignment vertical="center"/>
    </xf>
    <xf numFmtId="43" fontId="38" fillId="3" borderId="16" xfId="1" applyFont="1" applyFill="1" applyBorder="1" applyAlignment="1">
      <alignment vertical="center" shrinkToFit="1"/>
    </xf>
    <xf numFmtId="43" fontId="38" fillId="10" borderId="16" xfId="1" applyFont="1" applyFill="1" applyBorder="1" applyAlignment="1">
      <alignment vertical="center" shrinkToFit="1"/>
    </xf>
    <xf numFmtId="39" fontId="38" fillId="10" borderId="16" xfId="0" applyNumberFormat="1" applyFont="1" applyFill="1" applyBorder="1" applyAlignment="1">
      <alignment vertical="center"/>
    </xf>
    <xf numFmtId="49" fontId="38" fillId="3" borderId="6" xfId="0" applyNumberFormat="1" applyFont="1" applyFill="1" applyBorder="1" applyAlignment="1">
      <alignment vertical="center"/>
    </xf>
    <xf numFmtId="43" fontId="38" fillId="3" borderId="6" xfId="1" applyFont="1" applyFill="1" applyBorder="1" applyAlignment="1">
      <alignment vertical="center"/>
    </xf>
    <xf numFmtId="39" fontId="38" fillId="3" borderId="6" xfId="0" applyNumberFormat="1" applyFont="1" applyFill="1" applyBorder="1" applyAlignment="1">
      <alignment vertical="center"/>
    </xf>
    <xf numFmtId="0" fontId="38" fillId="3" borderId="6" xfId="0" applyFont="1" applyFill="1" applyBorder="1" applyAlignment="1">
      <alignment horizontal="center" vertical="center"/>
    </xf>
    <xf numFmtId="49" fontId="38" fillId="10" borderId="6" xfId="0" applyNumberFormat="1" applyFont="1" applyFill="1" applyBorder="1" applyAlignment="1">
      <alignment vertical="center"/>
    </xf>
    <xf numFmtId="43" fontId="38" fillId="10" borderId="6" xfId="1" applyFont="1" applyFill="1" applyBorder="1" applyAlignment="1">
      <alignment vertical="center"/>
    </xf>
    <xf numFmtId="1" fontId="38" fillId="10" borderId="25" xfId="0" applyNumberFormat="1" applyFont="1" applyFill="1" applyBorder="1" applyAlignment="1">
      <alignment horizontal="center" vertical="center"/>
    </xf>
    <xf numFmtId="39" fontId="38" fillId="10" borderId="6" xfId="0" applyNumberFormat="1" applyFont="1" applyFill="1" applyBorder="1" applyAlignment="1">
      <alignment vertical="center"/>
    </xf>
    <xf numFmtId="0" fontId="38" fillId="10" borderId="6" xfId="0" applyFont="1" applyFill="1" applyBorder="1" applyAlignment="1">
      <alignment horizontal="center" vertical="center"/>
    </xf>
    <xf numFmtId="43" fontId="38" fillId="0" borderId="16" xfId="1" applyFont="1" applyFill="1" applyBorder="1" applyAlignment="1">
      <alignment vertical="center" shrinkToFit="1"/>
    </xf>
    <xf numFmtId="49" fontId="38" fillId="10" borderId="16" xfId="0" applyNumberFormat="1" applyFont="1" applyFill="1" applyBorder="1" applyAlignment="1">
      <alignment horizontal="center" vertical="center"/>
    </xf>
    <xf numFmtId="4" fontId="38" fillId="10" borderId="16" xfId="0" applyNumberFormat="1" applyFont="1" applyFill="1" applyBorder="1" applyAlignment="1">
      <alignment vertical="center"/>
    </xf>
    <xf numFmtId="49" fontId="38" fillId="10" borderId="25" xfId="0" applyNumberFormat="1" applyFont="1" applyFill="1" applyBorder="1" applyAlignment="1">
      <alignment vertical="center"/>
    </xf>
    <xf numFmtId="4" fontId="38" fillId="10" borderId="24" xfId="0" applyNumberFormat="1" applyFont="1" applyFill="1" applyBorder="1" applyAlignment="1">
      <alignment vertical="center"/>
    </xf>
    <xf numFmtId="43" fontId="38" fillId="0" borderId="3" xfId="1" applyFont="1" applyFill="1" applyBorder="1" applyAlignment="1">
      <alignment horizontal="right" vertical="center"/>
    </xf>
    <xf numFmtId="4" fontId="40" fillId="0" borderId="12" xfId="0" applyNumberFormat="1" applyFont="1" applyFill="1" applyBorder="1" applyAlignment="1">
      <alignment vertical="center"/>
    </xf>
    <xf numFmtId="49" fontId="40" fillId="0" borderId="11" xfId="0" applyNumberFormat="1" applyFont="1" applyFill="1" applyBorder="1" applyAlignment="1">
      <alignment vertical="center"/>
    </xf>
    <xf numFmtId="0" fontId="38" fillId="0" borderId="0" xfId="0" applyFont="1" applyFill="1" applyAlignment="1">
      <alignment horizontal="center"/>
    </xf>
    <xf numFmtId="4" fontId="40" fillId="0" borderId="16" xfId="0" applyNumberFormat="1" applyFont="1" applyFill="1" applyBorder="1" applyAlignment="1">
      <alignment vertical="center"/>
    </xf>
    <xf numFmtId="49" fontId="40" fillId="0" borderId="16" xfId="0" applyNumberFormat="1" applyFont="1" applyFill="1" applyBorder="1" applyAlignment="1">
      <alignment vertical="center"/>
    </xf>
    <xf numFmtId="49" fontId="40" fillId="6" borderId="16" xfId="0" applyNumberFormat="1" applyFont="1" applyFill="1" applyBorder="1" applyAlignment="1">
      <alignment vertical="center"/>
    </xf>
    <xf numFmtId="39" fontId="38" fillId="0" borderId="29" xfId="218" applyNumberFormat="1" applyFont="1" applyFill="1" applyBorder="1" applyAlignment="1">
      <alignment horizontal="center" vertical="center"/>
    </xf>
    <xf numFmtId="1" fontId="38" fillId="0" borderId="29" xfId="218" applyNumberFormat="1" applyFont="1" applyFill="1" applyBorder="1" applyAlignment="1">
      <alignment horizontal="center" vertical="center"/>
    </xf>
    <xf numFmtId="43" fontId="38" fillId="0" borderId="29" xfId="218" applyNumberFormat="1" applyFont="1" applyFill="1" applyBorder="1" applyAlignment="1">
      <alignment horizontal="right" vertical="center"/>
    </xf>
    <xf numFmtId="43" fontId="38" fillId="0" borderId="30" xfId="1" applyFont="1" applyFill="1" applyBorder="1" applyAlignment="1">
      <alignment horizontal="right" vertical="center"/>
    </xf>
    <xf numFmtId="1" fontId="38" fillId="0" borderId="31" xfId="218" applyNumberFormat="1" applyFont="1" applyBorder="1" applyAlignment="1">
      <alignment horizontal="center" vertical="center"/>
    </xf>
    <xf numFmtId="43" fontId="38" fillId="0" borderId="29" xfId="218" applyNumberFormat="1" applyFont="1" applyBorder="1" applyAlignment="1">
      <alignment horizontal="right" vertical="center"/>
    </xf>
    <xf numFmtId="0" fontId="38" fillId="0" borderId="32" xfId="218" applyFont="1" applyBorder="1" applyAlignment="1">
      <alignment vertical="center"/>
    </xf>
    <xf numFmtId="0" fontId="38" fillId="0" borderId="33" xfId="218" applyFont="1" applyBorder="1" applyAlignment="1">
      <alignment vertical="center"/>
    </xf>
    <xf numFmtId="43" fontId="38" fillId="0" borderId="33" xfId="1" applyFont="1" applyBorder="1" applyAlignment="1">
      <alignment vertical="center"/>
    </xf>
    <xf numFmtId="1" fontId="38" fillId="0" borderId="33" xfId="218" applyNumberFormat="1" applyFont="1" applyBorder="1" applyAlignment="1">
      <alignment horizontal="center" vertical="center"/>
    </xf>
    <xf numFmtId="43" fontId="38" fillId="0" borderId="34" xfId="218" applyNumberFormat="1" applyFont="1" applyBorder="1" applyAlignment="1">
      <alignment horizontal="right" vertical="center"/>
    </xf>
    <xf numFmtId="43" fontId="38" fillId="0" borderId="35" xfId="1" applyFont="1" applyFill="1" applyBorder="1" applyAlignment="1">
      <alignment vertical="center"/>
    </xf>
    <xf numFmtId="39" fontId="38" fillId="0" borderId="36" xfId="218" applyNumberFormat="1" applyFont="1" applyBorder="1" applyAlignment="1">
      <alignment horizontal="center" vertical="center"/>
    </xf>
    <xf numFmtId="43" fontId="38" fillId="0" borderId="37" xfId="218" applyNumberFormat="1" applyFont="1" applyBorder="1" applyAlignment="1">
      <alignment horizontal="right" vertical="center"/>
    </xf>
    <xf numFmtId="43" fontId="38" fillId="10" borderId="27" xfId="1" applyFont="1" applyFill="1" applyBorder="1" applyAlignment="1">
      <alignment horizontal="right" vertical="center"/>
    </xf>
    <xf numFmtId="1" fontId="38" fillId="0" borderId="16" xfId="0" applyNumberFormat="1" applyFont="1" applyBorder="1" applyAlignment="1">
      <alignment horizontal="center" vertical="center"/>
    </xf>
    <xf numFmtId="43" fontId="38" fillId="0" borderId="38" xfId="1" applyFont="1" applyFill="1" applyBorder="1" applyAlignment="1">
      <alignment horizontal="right" vertical="center"/>
    </xf>
    <xf numFmtId="0" fontId="38" fillId="0" borderId="26" xfId="0" applyFont="1" applyFill="1" applyBorder="1" applyAlignment="1">
      <alignment vertical="center"/>
    </xf>
    <xf numFmtId="0" fontId="38" fillId="0" borderId="61" xfId="218" applyFont="1" applyBorder="1" applyAlignment="1">
      <alignment vertical="center"/>
    </xf>
    <xf numFmtId="43" fontId="38" fillId="0" borderId="29" xfId="1" applyFont="1" applyBorder="1" applyAlignment="1">
      <alignment vertical="center"/>
    </xf>
    <xf numFmtId="39" fontId="38" fillId="0" borderId="29" xfId="218" applyNumberFormat="1" applyFont="1" applyBorder="1" applyAlignment="1">
      <alignment horizontal="center" vertical="center"/>
    </xf>
    <xf numFmtId="1" fontId="38" fillId="0" borderId="39" xfId="218" applyNumberFormat="1" applyFont="1" applyBorder="1" applyAlignment="1">
      <alignment horizontal="center" vertical="center"/>
    </xf>
    <xf numFmtId="43" fontId="38" fillId="10" borderId="38" xfId="1" applyFont="1" applyFill="1" applyBorder="1" applyAlignment="1">
      <alignment horizontal="right" vertical="center"/>
    </xf>
    <xf numFmtId="0" fontId="38" fillId="10" borderId="11" xfId="0" applyFont="1" applyFill="1" applyBorder="1" applyAlignment="1">
      <alignment vertical="center"/>
    </xf>
    <xf numFmtId="39" fontId="38" fillId="0" borderId="16" xfId="0" applyNumberFormat="1" applyFont="1" applyBorder="1" applyAlignment="1">
      <alignment horizontal="left" vertical="center"/>
    </xf>
    <xf numFmtId="43" fontId="38" fillId="10" borderId="16" xfId="0" applyNumberFormat="1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vertical="center"/>
    </xf>
    <xf numFmtId="0" fontId="40" fillId="0" borderId="16" xfId="0" applyFont="1" applyFill="1" applyBorder="1" applyAlignment="1">
      <alignment vertical="center"/>
    </xf>
    <xf numFmtId="1" fontId="38" fillId="0" borderId="29" xfId="218" applyNumberFormat="1" applyFont="1" applyBorder="1" applyAlignment="1">
      <alignment horizontal="center" vertical="center"/>
    </xf>
    <xf numFmtId="1" fontId="38" fillId="0" borderId="5" xfId="0" applyNumberFormat="1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vertical="center"/>
    </xf>
    <xf numFmtId="49" fontId="38" fillId="0" borderId="5" xfId="0" applyNumberFormat="1" applyFont="1" applyFill="1" applyBorder="1" applyAlignment="1">
      <alignment horizontal="left" vertical="center"/>
    </xf>
    <xf numFmtId="43" fontId="38" fillId="0" borderId="5" xfId="1" applyFont="1" applyFill="1" applyBorder="1" applyAlignment="1">
      <alignment horizontal="right" vertical="center"/>
    </xf>
    <xf numFmtId="43" fontId="38" fillId="0" borderId="5" xfId="1" applyFont="1" applyFill="1" applyBorder="1" applyAlignment="1">
      <alignment vertical="center"/>
    </xf>
    <xf numFmtId="4" fontId="38" fillId="0" borderId="5" xfId="1" applyNumberFormat="1" applyFont="1" applyFill="1" applyBorder="1" applyAlignment="1">
      <alignment horizontal="right" vertical="center"/>
    </xf>
    <xf numFmtId="4" fontId="38" fillId="0" borderId="5" xfId="0" applyNumberFormat="1" applyFont="1" applyFill="1" applyBorder="1" applyAlignment="1">
      <alignment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25" xfId="0" applyFont="1" applyFill="1" applyBorder="1" applyAlignment="1">
      <alignment vertical="center"/>
    </xf>
    <xf numFmtId="49" fontId="38" fillId="0" borderId="25" xfId="0" applyNumberFormat="1" applyFont="1" applyFill="1" applyBorder="1" applyAlignment="1">
      <alignment horizontal="left" vertical="center"/>
    </xf>
    <xf numFmtId="4" fontId="38" fillId="0" borderId="25" xfId="0" applyNumberFormat="1" applyFont="1" applyFill="1" applyBorder="1" applyAlignment="1">
      <alignment vertical="center"/>
    </xf>
    <xf numFmtId="0" fontId="38" fillId="0" borderId="25" xfId="0" applyFont="1" applyFill="1" applyBorder="1" applyAlignment="1">
      <alignment horizontal="center" vertical="center"/>
    </xf>
    <xf numFmtId="1" fontId="38" fillId="25" borderId="16" xfId="0" applyNumberFormat="1" applyFont="1" applyFill="1" applyBorder="1" applyAlignment="1">
      <alignment horizontal="center" vertical="center"/>
    </xf>
    <xf numFmtId="0" fontId="38" fillId="25" borderId="16" xfId="0" applyFont="1" applyFill="1" applyBorder="1" applyAlignment="1">
      <alignment vertical="center"/>
    </xf>
    <xf numFmtId="49" fontId="38" fillId="25" borderId="16" xfId="0" applyNumberFormat="1" applyFont="1" applyFill="1" applyBorder="1" applyAlignment="1">
      <alignment horizontal="left" vertical="center"/>
    </xf>
    <xf numFmtId="43" fontId="38" fillId="25" borderId="16" xfId="1" applyFont="1" applyFill="1" applyBorder="1" applyAlignment="1">
      <alignment horizontal="right" vertical="center"/>
    </xf>
    <xf numFmtId="43" fontId="38" fillId="25" borderId="16" xfId="1" applyFont="1" applyFill="1" applyBorder="1" applyAlignment="1">
      <alignment vertical="center"/>
    </xf>
    <xf numFmtId="4" fontId="38" fillId="25" borderId="16" xfId="1" applyNumberFormat="1" applyFont="1" applyFill="1" applyBorder="1" applyAlignment="1">
      <alignment horizontal="right" vertical="center"/>
    </xf>
    <xf numFmtId="4" fontId="38" fillId="25" borderId="16" xfId="0" applyNumberFormat="1" applyFont="1" applyFill="1" applyBorder="1" applyAlignment="1">
      <alignment vertical="center"/>
    </xf>
    <xf numFmtId="0" fontId="38" fillId="25" borderId="16" xfId="0" applyFont="1" applyFill="1" applyBorder="1" applyAlignment="1">
      <alignment horizontal="center" vertical="center"/>
    </xf>
    <xf numFmtId="43" fontId="38" fillId="25" borderId="11" xfId="1" applyFont="1" applyFill="1" applyBorder="1" applyAlignment="1">
      <alignment horizontal="right" vertical="center"/>
    </xf>
    <xf numFmtId="43" fontId="38" fillId="25" borderId="4" xfId="1" applyFont="1" applyFill="1" applyBorder="1" applyAlignment="1">
      <alignment vertical="center"/>
    </xf>
    <xf numFmtId="43" fontId="38" fillId="25" borderId="12" xfId="1" applyFont="1" applyFill="1" applyBorder="1" applyAlignment="1">
      <alignment vertical="center"/>
    </xf>
    <xf numFmtId="0" fontId="38" fillId="25" borderId="0" xfId="0" applyFont="1" applyFill="1" applyBorder="1" applyAlignment="1">
      <alignment vertical="center"/>
    </xf>
    <xf numFmtId="0" fontId="38" fillId="25" borderId="11" xfId="0" applyFont="1" applyFill="1" applyBorder="1" applyAlignment="1">
      <alignment vertical="center"/>
    </xf>
    <xf numFmtId="0" fontId="38" fillId="25" borderId="4" xfId="0" applyFont="1" applyFill="1" applyBorder="1" applyAlignment="1">
      <alignment vertical="center"/>
    </xf>
    <xf numFmtId="0" fontId="38" fillId="0" borderId="17" xfId="0" applyFont="1" applyFill="1" applyBorder="1" applyAlignment="1">
      <alignment vertical="center"/>
    </xf>
    <xf numFmtId="43" fontId="38" fillId="12" borderId="18" xfId="1" applyFont="1" applyFill="1" applyBorder="1" applyAlignment="1">
      <alignment horizontal="right" vertical="center"/>
    </xf>
    <xf numFmtId="49" fontId="38" fillId="0" borderId="25" xfId="0" applyNumberFormat="1" applyFont="1" applyFill="1" applyBorder="1" applyAlignment="1">
      <alignment vertical="center"/>
    </xf>
    <xf numFmtId="43" fontId="38" fillId="3" borderId="25" xfId="1" applyFont="1" applyFill="1" applyBorder="1" applyAlignment="1">
      <alignment vertical="center"/>
    </xf>
    <xf numFmtId="43" fontId="38" fillId="0" borderId="0" xfId="0" applyNumberFormat="1" applyFont="1"/>
    <xf numFmtId="1" fontId="38" fillId="6" borderId="6" xfId="0" applyNumberFormat="1" applyFont="1" applyFill="1" applyBorder="1" applyAlignment="1">
      <alignment horizontal="center" vertical="center"/>
    </xf>
    <xf numFmtId="4" fontId="40" fillId="6" borderId="6" xfId="0" applyNumberFormat="1" applyFont="1" applyFill="1" applyBorder="1" applyAlignment="1">
      <alignment vertical="center"/>
    </xf>
    <xf numFmtId="49" fontId="38" fillId="6" borderId="0" xfId="0" applyNumberFormat="1" applyFont="1" applyFill="1" applyBorder="1" applyAlignment="1">
      <alignment vertical="center"/>
    </xf>
    <xf numFmtId="0" fontId="38" fillId="13" borderId="16" xfId="0" applyFont="1" applyFill="1" applyBorder="1" applyAlignment="1">
      <alignment horizontal="left" vertical="center" wrapText="1"/>
    </xf>
    <xf numFmtId="0" fontId="38" fillId="13" borderId="16" xfId="0" applyFont="1" applyFill="1" applyBorder="1"/>
    <xf numFmtId="43" fontId="38" fillId="13" borderId="16" xfId="1" applyFont="1" applyFill="1" applyBorder="1"/>
    <xf numFmtId="0" fontId="38" fillId="13" borderId="16" xfId="0" applyFont="1" applyFill="1" applyBorder="1" applyAlignment="1">
      <alignment horizontal="center" vertical="center"/>
    </xf>
    <xf numFmtId="181" fontId="38" fillId="0" borderId="16" xfId="0" applyNumberFormat="1" applyFont="1" applyFill="1" applyBorder="1"/>
    <xf numFmtId="43" fontId="38" fillId="0" borderId="4" xfId="0" applyNumberFormat="1" applyFont="1" applyFill="1" applyBorder="1" applyAlignment="1">
      <alignment vertical="center"/>
    </xf>
    <xf numFmtId="17" fontId="38" fillId="0" borderId="16" xfId="0" applyNumberFormat="1" applyFont="1" applyBorder="1" applyAlignment="1">
      <alignment horizontal="center" vertical="center"/>
    </xf>
    <xf numFmtId="0" fontId="38" fillId="0" borderId="16" xfId="0" applyFont="1" applyFill="1" applyBorder="1" applyAlignment="1">
      <alignment horizontal="left" vertical="center" wrapText="1"/>
    </xf>
    <xf numFmtId="0" fontId="38" fillId="14" borderId="16" xfId="218" applyFont="1" applyFill="1" applyBorder="1" applyAlignment="1">
      <alignment horizontal="left" vertical="center" wrapText="1"/>
    </xf>
    <xf numFmtId="0" fontId="38" fillId="14" borderId="16" xfId="218" applyFont="1" applyFill="1" applyBorder="1" applyAlignment="1">
      <alignment horizontal="center" vertical="center"/>
    </xf>
    <xf numFmtId="43" fontId="38" fillId="14" borderId="16" xfId="1" applyFont="1" applyFill="1" applyBorder="1" applyAlignment="1">
      <alignment horizontal="center" vertical="center"/>
    </xf>
    <xf numFmtId="0" fontId="38" fillId="10" borderId="16" xfId="218" applyFont="1" applyFill="1" applyBorder="1" applyAlignment="1">
      <alignment horizontal="center" vertical="center"/>
    </xf>
    <xf numFmtId="4" fontId="38" fillId="10" borderId="16" xfId="1" applyNumberFormat="1" applyFont="1" applyFill="1" applyBorder="1" applyAlignment="1">
      <alignment horizontal="center" vertical="center"/>
    </xf>
    <xf numFmtId="43" fontId="38" fillId="10" borderId="25" xfId="1" applyFont="1" applyFill="1" applyBorder="1" applyAlignment="1">
      <alignment vertical="center"/>
    </xf>
    <xf numFmtId="0" fontId="38" fillId="0" borderId="16" xfId="218" applyFont="1" applyFill="1" applyBorder="1" applyAlignment="1">
      <alignment horizontal="left" vertical="center" wrapText="1"/>
    </xf>
    <xf numFmtId="0" fontId="38" fillId="0" borderId="16" xfId="218" applyFont="1" applyFill="1" applyBorder="1" applyAlignment="1">
      <alignment horizontal="center" vertical="center"/>
    </xf>
    <xf numFmtId="0" fontId="38" fillId="25" borderId="16" xfId="218" applyFont="1" applyFill="1" applyBorder="1" applyAlignment="1">
      <alignment horizontal="left" vertical="center" wrapText="1"/>
    </xf>
    <xf numFmtId="0" fontId="38" fillId="25" borderId="16" xfId="218" applyFont="1" applyFill="1" applyBorder="1" applyAlignment="1">
      <alignment horizontal="center" vertical="center"/>
    </xf>
    <xf numFmtId="43" fontId="38" fillId="25" borderId="16" xfId="1" applyFont="1" applyFill="1" applyBorder="1" applyAlignment="1">
      <alignment horizontal="center" vertical="center"/>
    </xf>
    <xf numFmtId="4" fontId="38" fillId="25" borderId="16" xfId="1" applyNumberFormat="1" applyFont="1" applyFill="1" applyBorder="1" applyAlignment="1">
      <alignment horizontal="center" vertical="center"/>
    </xf>
    <xf numFmtId="43" fontId="38" fillId="25" borderId="4" xfId="1" applyFont="1" applyFill="1" applyBorder="1" applyAlignment="1">
      <alignment horizontal="right" vertical="center"/>
    </xf>
    <xf numFmtId="43" fontId="38" fillId="25" borderId="25" xfId="1" applyFont="1" applyFill="1" applyBorder="1" applyAlignment="1">
      <alignment vertical="center"/>
    </xf>
    <xf numFmtId="0" fontId="38" fillId="13" borderId="16" xfId="218" applyFont="1" applyFill="1" applyBorder="1" applyAlignment="1">
      <alignment horizontal="left" vertical="center" wrapText="1"/>
    </xf>
    <xf numFmtId="0" fontId="38" fillId="13" borderId="16" xfId="218" applyFont="1" applyFill="1" applyBorder="1" applyAlignment="1">
      <alignment horizontal="center" vertical="center"/>
    </xf>
    <xf numFmtId="43" fontId="38" fillId="13" borderId="16" xfId="1" applyFont="1" applyFill="1" applyBorder="1" applyAlignment="1">
      <alignment horizontal="center" vertical="center"/>
    </xf>
    <xf numFmtId="0" fontId="38" fillId="0" borderId="16" xfId="218" applyFont="1" applyBorder="1" applyAlignment="1">
      <alignment horizontal="center" vertical="center"/>
    </xf>
    <xf numFmtId="181" fontId="38" fillId="0" borderId="16" xfId="0" applyNumberFormat="1" applyFont="1" applyFill="1" applyBorder="1" applyAlignment="1">
      <alignment horizontal="right" vertical="center"/>
    </xf>
    <xf numFmtId="49" fontId="38" fillId="0" borderId="16" xfId="0" applyNumberFormat="1" applyFont="1" applyBorder="1" applyAlignment="1">
      <alignment horizontal="center" vertical="center"/>
    </xf>
    <xf numFmtId="0" fontId="38" fillId="0" borderId="16" xfId="0" applyFont="1" applyBorder="1" applyAlignment="1">
      <alignment horizontal="left" vertical="center" wrapText="1"/>
    </xf>
    <xf numFmtId="49" fontId="38" fillId="0" borderId="16" xfId="0" applyNumberFormat="1" applyFont="1" applyFill="1" applyBorder="1" applyAlignment="1">
      <alignment horizontal="center" vertical="center"/>
    </xf>
    <xf numFmtId="0" fontId="38" fillId="10" borderId="16" xfId="218" applyFont="1" applyFill="1" applyBorder="1" applyAlignment="1">
      <alignment horizontal="left" vertical="center"/>
    </xf>
    <xf numFmtId="0" fontId="38" fillId="0" borderId="16" xfId="218" applyFont="1" applyBorder="1" applyAlignment="1">
      <alignment horizontal="left" vertical="center"/>
    </xf>
    <xf numFmtId="1" fontId="38" fillId="0" borderId="16" xfId="0" applyNumberFormat="1" applyFont="1" applyBorder="1" applyAlignment="1">
      <alignment horizontal="center" vertical="top"/>
    </xf>
    <xf numFmtId="1" fontId="38" fillId="0" borderId="16" xfId="0" applyNumberFormat="1" applyFont="1" applyFill="1" applyBorder="1" applyAlignment="1">
      <alignment horizontal="center" vertical="top"/>
    </xf>
    <xf numFmtId="0" fontId="38" fillId="3" borderId="11" xfId="0" applyFont="1" applyFill="1" applyBorder="1" applyAlignment="1">
      <alignment vertical="center"/>
    </xf>
    <xf numFmtId="0" fontId="38" fillId="14" borderId="16" xfId="0" applyFont="1" applyFill="1" applyBorder="1" applyAlignment="1">
      <alignment horizontal="left" vertical="center" wrapText="1"/>
    </xf>
    <xf numFmtId="43" fontId="38" fillId="0" borderId="16" xfId="1" applyFont="1" applyBorder="1" applyAlignment="1">
      <alignment horizontal="center"/>
    </xf>
    <xf numFmtId="43" fontId="38" fillId="22" borderId="16" xfId="1" applyFont="1" applyFill="1" applyBorder="1" applyAlignment="1">
      <alignment horizontal="center"/>
    </xf>
    <xf numFmtId="49" fontId="38" fillId="22" borderId="16" xfId="0" applyNumberFormat="1" applyFont="1" applyFill="1" applyBorder="1" applyAlignment="1">
      <alignment horizontal="center" vertical="center"/>
    </xf>
    <xf numFmtId="1" fontId="38" fillId="22" borderId="16" xfId="0" applyNumberFormat="1" applyFont="1" applyFill="1" applyBorder="1" applyAlignment="1">
      <alignment horizontal="center" vertical="top"/>
    </xf>
    <xf numFmtId="181" fontId="38" fillId="22" borderId="16" xfId="0" applyNumberFormat="1" applyFont="1" applyFill="1" applyBorder="1" applyAlignment="1">
      <alignment horizontal="right" vertical="center"/>
    </xf>
    <xf numFmtId="43" fontId="38" fillId="22" borderId="4" xfId="1" applyFont="1" applyFill="1" applyBorder="1" applyAlignment="1">
      <alignment horizontal="right" vertical="center"/>
    </xf>
    <xf numFmtId="43" fontId="38" fillId="22" borderId="25" xfId="1" applyFont="1" applyFill="1" applyBorder="1" applyAlignment="1">
      <alignment vertical="center"/>
    </xf>
    <xf numFmtId="181" fontId="38" fillId="0" borderId="16" xfId="0" applyNumberFormat="1" applyFont="1" applyBorder="1" applyAlignment="1">
      <alignment horizontal="center" vertical="center"/>
    </xf>
    <xf numFmtId="0" fontId="42" fillId="13" borderId="3" xfId="0" applyFont="1" applyFill="1" applyBorder="1" applyAlignment="1">
      <alignment horizontal="left" vertical="center" wrapText="1"/>
    </xf>
    <xf numFmtId="0" fontId="42" fillId="13" borderId="40" xfId="0" applyFont="1" applyFill="1" applyBorder="1" applyAlignment="1">
      <alignment horizontal="left" vertical="center" wrapText="1"/>
    </xf>
    <xf numFmtId="0" fontId="42" fillId="13" borderId="41" xfId="0" applyFont="1" applyFill="1" applyBorder="1" applyAlignment="1">
      <alignment horizontal="left" vertical="center" wrapText="1"/>
    </xf>
    <xf numFmtId="181" fontId="38" fillId="0" borderId="16" xfId="0" applyNumberFormat="1" applyFont="1" applyFill="1" applyBorder="1" applyAlignment="1">
      <alignment horizontal="center" vertical="center"/>
    </xf>
    <xf numFmtId="0" fontId="38" fillId="26" borderId="16" xfId="0" applyFont="1" applyFill="1" applyBorder="1" applyAlignment="1">
      <alignment horizontal="left" vertical="center" wrapText="1"/>
    </xf>
    <xf numFmtId="0" fontId="38" fillId="25" borderId="16" xfId="0" applyFont="1" applyFill="1" applyBorder="1"/>
    <xf numFmtId="43" fontId="38" fillId="25" borderId="16" xfId="1" applyFont="1" applyFill="1" applyBorder="1"/>
    <xf numFmtId="181" fontId="38" fillId="25" borderId="16" xfId="0" applyNumberFormat="1" applyFont="1" applyFill="1" applyBorder="1" applyAlignment="1">
      <alignment horizontal="center" vertical="center"/>
    </xf>
    <xf numFmtId="1" fontId="38" fillId="25" borderId="16" xfId="0" applyNumberFormat="1" applyFont="1" applyFill="1" applyBorder="1" applyAlignment="1">
      <alignment horizontal="center" vertical="top"/>
    </xf>
    <xf numFmtId="181" fontId="38" fillId="25" borderId="16" xfId="0" applyNumberFormat="1" applyFont="1" applyFill="1" applyBorder="1" applyAlignment="1">
      <alignment horizontal="right" vertical="center"/>
    </xf>
    <xf numFmtId="0" fontId="38" fillId="13" borderId="24" xfId="0" applyFont="1" applyFill="1" applyBorder="1" applyAlignment="1">
      <alignment horizontal="left" vertical="center" wrapText="1"/>
    </xf>
    <xf numFmtId="0" fontId="38" fillId="27" borderId="62" xfId="0" applyFont="1" applyFill="1" applyBorder="1" applyAlignment="1">
      <alignment horizontal="left" vertical="center" wrapText="1"/>
    </xf>
    <xf numFmtId="0" fontId="38" fillId="27" borderId="63" xfId="0" applyFont="1" applyFill="1" applyBorder="1" applyAlignment="1">
      <alignment horizontal="left" vertical="center" wrapText="1"/>
    </xf>
    <xf numFmtId="0" fontId="38" fillId="27" borderId="63" xfId="0" applyFont="1" applyFill="1" applyBorder="1"/>
    <xf numFmtId="0" fontId="42" fillId="27" borderId="62" xfId="0" applyFont="1" applyFill="1" applyBorder="1"/>
    <xf numFmtId="0" fontId="38" fillId="0" borderId="62" xfId="0" applyFont="1" applyBorder="1"/>
    <xf numFmtId="0" fontId="42" fillId="0" borderId="62" xfId="0" applyFont="1" applyBorder="1"/>
    <xf numFmtId="43" fontId="38" fillId="10" borderId="4" xfId="0" applyNumberFormat="1" applyFont="1" applyFill="1" applyBorder="1" applyAlignment="1">
      <alignment vertical="center"/>
    </xf>
    <xf numFmtId="49" fontId="38" fillId="0" borderId="17" xfId="0" applyNumberFormat="1" applyFont="1" applyFill="1" applyBorder="1" applyAlignment="1">
      <alignment horizontal="right" vertical="center"/>
    </xf>
    <xf numFmtId="43" fontId="38" fillId="0" borderId="17" xfId="1" applyFont="1" applyFill="1" applyBorder="1" applyAlignment="1">
      <alignment horizontal="center" vertical="center"/>
    </xf>
    <xf numFmtId="49" fontId="38" fillId="0" borderId="4" xfId="0" applyNumberFormat="1" applyFont="1" applyFill="1" applyBorder="1" applyAlignment="1">
      <alignment horizontal="right" vertical="center"/>
    </xf>
    <xf numFmtId="43" fontId="38" fillId="3" borderId="42" xfId="1" applyFont="1" applyFill="1" applyBorder="1" applyAlignment="1">
      <alignment horizontal="right" vertical="center"/>
    </xf>
    <xf numFmtId="43" fontId="38" fillId="11" borderId="4" xfId="1" applyFont="1" applyFill="1" applyBorder="1" applyAlignment="1">
      <alignment horizontal="right" vertical="center"/>
    </xf>
    <xf numFmtId="171" fontId="38" fillId="3" borderId="0" xfId="120" applyFont="1" applyFill="1" applyBorder="1"/>
    <xf numFmtId="4" fontId="40" fillId="6" borderId="4" xfId="0" applyNumberFormat="1" applyFont="1" applyFill="1" applyBorder="1" applyAlignment="1">
      <alignment vertical="center"/>
    </xf>
    <xf numFmtId="49" fontId="38" fillId="6" borderId="4" xfId="0" applyNumberFormat="1" applyFont="1" applyFill="1" applyBorder="1" applyAlignment="1">
      <alignment vertical="center"/>
    </xf>
    <xf numFmtId="43" fontId="38" fillId="6" borderId="4" xfId="163" applyFont="1" applyFill="1" applyBorder="1" applyAlignment="1">
      <alignment vertical="center"/>
    </xf>
    <xf numFmtId="4" fontId="38" fillId="0" borderId="0" xfId="163" applyNumberFormat="1" applyFont="1" applyFill="1"/>
    <xf numFmtId="43" fontId="38" fillId="6" borderId="0" xfId="163" applyFont="1" applyFill="1"/>
    <xf numFmtId="43" fontId="38" fillId="6" borderId="4" xfId="163" applyFont="1" applyFill="1" applyBorder="1" applyAlignment="1">
      <alignment horizontal="right" vertical="center"/>
    </xf>
    <xf numFmtId="43" fontId="38" fillId="10" borderId="16" xfId="163" applyFont="1" applyFill="1" applyBorder="1" applyAlignment="1">
      <alignment vertical="center"/>
    </xf>
    <xf numFmtId="43" fontId="38" fillId="10" borderId="16" xfId="163" applyFont="1" applyFill="1" applyBorder="1" applyAlignment="1">
      <alignment horizontal="right" vertical="center"/>
    </xf>
    <xf numFmtId="43" fontId="38" fillId="10" borderId="4" xfId="163" applyFont="1" applyFill="1" applyBorder="1" applyAlignment="1">
      <alignment horizontal="right" vertical="center"/>
    </xf>
    <xf numFmtId="43" fontId="38" fillId="10" borderId="4" xfId="163" applyFont="1" applyFill="1" applyBorder="1" applyAlignment="1">
      <alignment vertical="center"/>
    </xf>
    <xf numFmtId="43" fontId="38" fillId="10" borderId="12" xfId="163" applyFont="1" applyFill="1" applyBorder="1" applyAlignment="1">
      <alignment vertical="center"/>
    </xf>
    <xf numFmtId="43" fontId="38" fillId="10" borderId="26" xfId="163" applyFont="1" applyFill="1" applyBorder="1" applyAlignment="1">
      <alignment vertical="center"/>
    </xf>
    <xf numFmtId="4" fontId="38" fillId="0" borderId="16" xfId="163" applyNumberFormat="1" applyFont="1" applyFill="1" applyBorder="1" applyAlignment="1">
      <alignment horizontal="right" vertical="center"/>
    </xf>
    <xf numFmtId="0" fontId="38" fillId="0" borderId="16" xfId="234" applyFont="1" applyBorder="1" applyAlignment="1">
      <alignment horizontal="left"/>
    </xf>
    <xf numFmtId="43" fontId="38" fillId="0" borderId="16" xfId="1" applyFont="1" applyBorder="1" applyAlignment="1">
      <alignment horizontal="right"/>
    </xf>
    <xf numFmtId="43" fontId="38" fillId="0" borderId="16" xfId="163" applyFont="1" applyBorder="1" applyAlignment="1"/>
    <xf numFmtId="0" fontId="38" fillId="0" borderId="16" xfId="234" applyFont="1" applyBorder="1" applyAlignment="1">
      <alignment horizontal="center"/>
    </xf>
    <xf numFmtId="4" fontId="38" fillId="0" borderId="16" xfId="163" applyNumberFormat="1" applyFont="1" applyFill="1" applyBorder="1" applyAlignment="1">
      <alignment horizontal="right"/>
    </xf>
    <xf numFmtId="43" fontId="38" fillId="3" borderId="16" xfId="163" applyFont="1" applyFill="1" applyBorder="1" applyAlignment="1">
      <alignment horizontal="right" vertical="center"/>
    </xf>
    <xf numFmtId="43" fontId="38" fillId="0" borderId="4" xfId="163" applyFont="1" applyFill="1" applyBorder="1" applyAlignment="1">
      <alignment horizontal="right" vertical="center"/>
    </xf>
    <xf numFmtId="43" fontId="38" fillId="0" borderId="4" xfId="163" applyFont="1" applyFill="1" applyBorder="1" applyAlignment="1">
      <alignment vertical="center"/>
    </xf>
    <xf numFmtId="43" fontId="38" fillId="0" borderId="12" xfId="163" applyFont="1" applyFill="1" applyBorder="1" applyAlignment="1">
      <alignment vertical="center"/>
    </xf>
    <xf numFmtId="43" fontId="38" fillId="0" borderId="0" xfId="163" applyFont="1" applyFill="1" applyBorder="1" applyAlignment="1">
      <alignment vertical="center"/>
    </xf>
    <xf numFmtId="0" fontId="38" fillId="0" borderId="4" xfId="0" applyFont="1" applyBorder="1" applyAlignment="1">
      <alignment vertical="center"/>
    </xf>
    <xf numFmtId="49" fontId="38" fillId="10" borderId="24" xfId="0" applyNumberFormat="1" applyFont="1" applyFill="1" applyBorder="1" applyAlignment="1">
      <alignment horizontal="left" vertical="center" shrinkToFit="1"/>
    </xf>
    <xf numFmtId="43" fontId="38" fillId="10" borderId="24" xfId="1" applyFont="1" applyFill="1" applyBorder="1" applyAlignment="1">
      <alignment horizontal="center" vertical="center"/>
    </xf>
    <xf numFmtId="43" fontId="38" fillId="10" borderId="24" xfId="163" applyFont="1" applyFill="1" applyBorder="1" applyAlignment="1">
      <alignment vertical="center"/>
    </xf>
    <xf numFmtId="4" fontId="38" fillId="0" borderId="24" xfId="163" applyNumberFormat="1" applyFont="1" applyFill="1" applyBorder="1" applyAlignment="1">
      <alignment horizontal="right" vertical="center"/>
    </xf>
    <xf numFmtId="1" fontId="38" fillId="0" borderId="25" xfId="0" applyNumberFormat="1" applyFont="1" applyBorder="1" applyAlignment="1">
      <alignment horizontal="center" vertical="center"/>
    </xf>
    <xf numFmtId="4" fontId="38" fillId="0" borderId="17" xfId="0" applyNumberFormat="1" applyFont="1" applyBorder="1" applyAlignment="1">
      <alignment vertical="center"/>
    </xf>
    <xf numFmtId="49" fontId="38" fillId="0" borderId="17" xfId="0" applyNumberFormat="1" applyFont="1" applyBorder="1" applyAlignment="1">
      <alignment horizontal="right" vertical="center"/>
    </xf>
    <xf numFmtId="43" fontId="38" fillId="0" borderId="17" xfId="163" applyFont="1" applyFill="1" applyBorder="1" applyAlignment="1">
      <alignment vertical="center"/>
    </xf>
    <xf numFmtId="1" fontId="38" fillId="0" borderId="17" xfId="0" applyNumberFormat="1" applyFont="1" applyBorder="1" applyAlignment="1">
      <alignment horizontal="center" vertical="center"/>
    </xf>
    <xf numFmtId="4" fontId="38" fillId="0" borderId="17" xfId="163" applyNumberFormat="1" applyFont="1" applyFill="1" applyBorder="1" applyAlignment="1">
      <alignment horizontal="right" vertical="center"/>
    </xf>
    <xf numFmtId="43" fontId="38" fillId="0" borderId="17" xfId="163" applyFont="1" applyFill="1" applyBorder="1" applyAlignment="1">
      <alignment horizontal="right" vertical="center"/>
    </xf>
    <xf numFmtId="43" fontId="38" fillId="3" borderId="4" xfId="163" applyFont="1" applyFill="1" applyBorder="1" applyAlignment="1">
      <alignment horizontal="right" vertical="center"/>
    </xf>
    <xf numFmtId="43" fontId="38" fillId="11" borderId="18" xfId="163" applyFont="1" applyFill="1" applyBorder="1" applyAlignment="1">
      <alignment horizontal="right" vertical="center"/>
    </xf>
    <xf numFmtId="43" fontId="38" fillId="3" borderId="17" xfId="163" applyFont="1" applyFill="1" applyBorder="1" applyAlignment="1">
      <alignment horizontal="right" vertical="center"/>
    </xf>
    <xf numFmtId="43" fontId="38" fillId="8" borderId="4" xfId="163" applyFont="1" applyFill="1" applyBorder="1" applyAlignment="1">
      <alignment vertical="center"/>
    </xf>
    <xf numFmtId="4" fontId="38" fillId="0" borderId="4" xfId="0" applyNumberFormat="1" applyFont="1" applyBorder="1" applyAlignment="1">
      <alignment vertical="center"/>
    </xf>
    <xf numFmtId="49" fontId="38" fillId="0" borderId="4" xfId="0" applyNumberFormat="1" applyFont="1" applyBorder="1" applyAlignment="1">
      <alignment horizontal="right" vertical="center"/>
    </xf>
    <xf numFmtId="1" fontId="38" fillId="0" borderId="4" xfId="0" applyNumberFormat="1" applyFont="1" applyBorder="1" applyAlignment="1">
      <alignment horizontal="center" vertical="center"/>
    </xf>
    <xf numFmtId="4" fontId="38" fillId="0" borderId="4" xfId="163" applyNumberFormat="1" applyFont="1" applyFill="1" applyBorder="1" applyAlignment="1">
      <alignment horizontal="right" vertical="center"/>
    </xf>
    <xf numFmtId="43" fontId="38" fillId="3" borderId="42" xfId="163" applyFont="1" applyFill="1" applyBorder="1" applyAlignment="1">
      <alignment horizontal="right" vertical="center"/>
    </xf>
    <xf numFmtId="43" fontId="38" fillId="0" borderId="0" xfId="163" applyFont="1" applyFill="1" applyBorder="1" applyAlignment="1">
      <alignment horizontal="right" vertical="center"/>
    </xf>
    <xf numFmtId="43" fontId="38" fillId="11" borderId="11" xfId="163" applyFont="1" applyFill="1" applyBorder="1" applyAlignment="1">
      <alignment horizontal="right" vertical="center"/>
    </xf>
    <xf numFmtId="43" fontId="38" fillId="11" borderId="4" xfId="163" applyFont="1" applyFill="1" applyBorder="1" applyAlignment="1">
      <alignment horizontal="right" vertical="center"/>
    </xf>
    <xf numFmtId="43" fontId="38" fillId="15" borderId="43" xfId="163" applyFont="1" applyFill="1" applyBorder="1" applyAlignment="1">
      <alignment horizontal="right"/>
    </xf>
    <xf numFmtId="1" fontId="38" fillId="6" borderId="25" xfId="0" applyNumberFormat="1" applyFont="1" applyFill="1" applyBorder="1" applyAlignment="1">
      <alignment horizontal="center" vertical="center"/>
    </xf>
    <xf numFmtId="4" fontId="38" fillId="6" borderId="25" xfId="1" applyNumberFormat="1" applyFont="1" applyFill="1" applyBorder="1" applyAlignment="1">
      <alignment horizontal="right" vertical="center"/>
    </xf>
    <xf numFmtId="43" fontId="38" fillId="6" borderId="25" xfId="1" applyFont="1" applyFill="1" applyBorder="1" applyAlignment="1">
      <alignment horizontal="right" vertical="center"/>
    </xf>
    <xf numFmtId="43" fontId="38" fillId="6" borderId="44" xfId="1" applyFont="1" applyFill="1" applyBorder="1" applyAlignment="1">
      <alignment vertical="center"/>
    </xf>
    <xf numFmtId="49" fontId="38" fillId="6" borderId="6" xfId="0" applyNumberFormat="1" applyFont="1" applyFill="1" applyBorder="1" applyAlignment="1">
      <alignment horizontal="left" vertical="center" shrinkToFit="1"/>
    </xf>
    <xf numFmtId="43" fontId="38" fillId="6" borderId="6" xfId="1" applyFont="1" applyFill="1" applyBorder="1" applyAlignment="1">
      <alignment horizontal="left" vertical="center" shrinkToFit="1"/>
    </xf>
    <xf numFmtId="43" fontId="38" fillId="6" borderId="2" xfId="1" applyFont="1" applyFill="1" applyBorder="1" applyAlignment="1">
      <alignment vertical="center"/>
    </xf>
    <xf numFmtId="4" fontId="38" fillId="6" borderId="6" xfId="1" applyNumberFormat="1" applyFont="1" applyFill="1" applyBorder="1" applyAlignment="1">
      <alignment vertical="center"/>
    </xf>
    <xf numFmtId="0" fontId="38" fillId="6" borderId="6" xfId="0" applyFont="1" applyFill="1" applyBorder="1" applyAlignment="1">
      <alignment vertical="center"/>
    </xf>
    <xf numFmtId="0" fontId="38" fillId="6" borderId="6" xfId="0" applyFont="1" applyFill="1" applyBorder="1" applyAlignment="1">
      <alignment horizontal="center" vertical="center"/>
    </xf>
    <xf numFmtId="43" fontId="38" fillId="6" borderId="6" xfId="1" applyFont="1" applyFill="1" applyBorder="1" applyAlignment="1">
      <alignment vertical="center"/>
    </xf>
    <xf numFmtId="4" fontId="38" fillId="6" borderId="18" xfId="0" applyNumberFormat="1" applyFont="1" applyFill="1" applyBorder="1" applyAlignment="1">
      <alignment vertical="center"/>
    </xf>
    <xf numFmtId="49" fontId="38" fillId="6" borderId="18" xfId="0" applyNumberFormat="1" applyFont="1" applyFill="1" applyBorder="1" applyAlignment="1">
      <alignment horizontal="right" vertical="center"/>
    </xf>
    <xf numFmtId="43" fontId="38" fillId="6" borderId="18" xfId="1" applyFont="1" applyFill="1" applyBorder="1" applyAlignment="1">
      <alignment horizontal="right" vertical="center"/>
    </xf>
    <xf numFmtId="43" fontId="38" fillId="6" borderId="18" xfId="1" applyFont="1" applyFill="1" applyBorder="1" applyAlignment="1">
      <alignment vertical="center"/>
    </xf>
    <xf numFmtId="1" fontId="38" fillId="6" borderId="18" xfId="0" applyNumberFormat="1" applyFont="1" applyFill="1" applyBorder="1" applyAlignment="1">
      <alignment horizontal="center" vertical="center"/>
    </xf>
    <xf numFmtId="4" fontId="38" fillId="6" borderId="18" xfId="1" applyNumberFormat="1" applyFont="1" applyFill="1" applyBorder="1" applyAlignment="1">
      <alignment horizontal="right" vertical="center"/>
    </xf>
    <xf numFmtId="43" fontId="38" fillId="6" borderId="17" xfId="1" applyFont="1" applyFill="1" applyBorder="1" applyAlignment="1">
      <alignment horizontal="right" vertical="center"/>
    </xf>
    <xf numFmtId="4" fontId="38" fillId="6" borderId="0" xfId="1" applyNumberFormat="1" applyFont="1" applyFill="1"/>
    <xf numFmtId="4" fontId="38" fillId="0" borderId="16" xfId="1" applyNumberFormat="1" applyFont="1" applyBorder="1"/>
    <xf numFmtId="0" fontId="38" fillId="16" borderId="16" xfId="220" applyFont="1" applyFill="1" applyBorder="1" applyAlignment="1">
      <alignment vertical="center"/>
    </xf>
    <xf numFmtId="0" fontId="38" fillId="16" borderId="16" xfId="220" applyFont="1" applyFill="1" applyBorder="1" applyAlignment="1">
      <alignment horizontal="left" vertical="center"/>
    </xf>
    <xf numFmtId="43" fontId="38" fillId="16" borderId="16" xfId="1" applyFont="1" applyFill="1" applyBorder="1" applyAlignment="1">
      <alignment horizontal="right" vertical="center"/>
    </xf>
    <xf numFmtId="43" fontId="38" fillId="16" borderId="16" xfId="1" applyFont="1" applyFill="1" applyBorder="1" applyAlignment="1">
      <alignment vertical="center"/>
    </xf>
    <xf numFmtId="0" fontId="38" fillId="16" borderId="16" xfId="220" applyFont="1" applyFill="1" applyBorder="1" applyAlignment="1">
      <alignment horizontal="center"/>
    </xf>
    <xf numFmtId="0" fontId="38" fillId="17" borderId="16" xfId="220" applyFont="1" applyFill="1" applyBorder="1" applyAlignment="1">
      <alignment vertical="center"/>
    </xf>
    <xf numFmtId="0" fontId="38" fillId="17" borderId="16" xfId="220" applyFont="1" applyFill="1" applyBorder="1" applyAlignment="1">
      <alignment horizontal="left" vertical="center"/>
    </xf>
    <xf numFmtId="43" fontId="38" fillId="17" borderId="16" xfId="1" applyFont="1" applyFill="1" applyBorder="1" applyAlignment="1">
      <alignment horizontal="right" vertical="center"/>
    </xf>
    <xf numFmtId="43" fontId="38" fillId="17" borderId="16" xfId="1" applyFont="1" applyFill="1" applyBorder="1" applyAlignment="1">
      <alignment vertical="center"/>
    </xf>
    <xf numFmtId="0" fontId="38" fillId="17" borderId="16" xfId="220" applyFont="1" applyFill="1" applyBorder="1" applyAlignment="1">
      <alignment horizontal="center"/>
    </xf>
    <xf numFmtId="0" fontId="38" fillId="0" borderId="16" xfId="220" applyFont="1" applyFill="1" applyBorder="1" applyAlignment="1">
      <alignment vertical="center"/>
    </xf>
    <xf numFmtId="0" fontId="38" fillId="0" borderId="16" xfId="220" applyFont="1" applyFill="1" applyBorder="1" applyAlignment="1">
      <alignment horizontal="left" vertical="center"/>
    </xf>
    <xf numFmtId="0" fontId="38" fillId="0" borderId="28" xfId="220" applyFont="1" applyFill="1" applyBorder="1" applyAlignment="1">
      <alignment horizontal="center"/>
    </xf>
    <xf numFmtId="1" fontId="38" fillId="3" borderId="28" xfId="0" applyNumberFormat="1" applyFont="1" applyFill="1" applyBorder="1" applyAlignment="1">
      <alignment horizontal="center" vertical="center"/>
    </xf>
    <xf numFmtId="2" fontId="38" fillId="10" borderId="16" xfId="0" applyNumberFormat="1" applyFont="1" applyFill="1" applyBorder="1" applyAlignment="1">
      <alignment horizontal="left" vertical="center"/>
    </xf>
    <xf numFmtId="43" fontId="38" fillId="10" borderId="16" xfId="1" applyFont="1" applyFill="1" applyBorder="1" applyAlignment="1">
      <alignment horizontal="center" vertical="center" wrapText="1"/>
    </xf>
    <xf numFmtId="0" fontId="38" fillId="0" borderId="16" xfId="58" applyFont="1" applyFill="1" applyBorder="1" applyAlignment="1">
      <alignment vertical="center"/>
    </xf>
    <xf numFmtId="1" fontId="38" fillId="10" borderId="16" xfId="100" applyNumberFormat="1" applyFont="1" applyFill="1" applyBorder="1" applyAlignment="1">
      <alignment horizontal="center" vertical="center"/>
    </xf>
    <xf numFmtId="0" fontId="38" fillId="10" borderId="16" xfId="58" applyFont="1" applyFill="1" applyBorder="1" applyAlignment="1">
      <alignment vertical="center"/>
    </xf>
    <xf numFmtId="49" fontId="40" fillId="10" borderId="16" xfId="100" applyNumberFormat="1" applyFont="1" applyFill="1" applyBorder="1" applyAlignment="1">
      <alignment vertical="center"/>
    </xf>
    <xf numFmtId="49" fontId="40" fillId="3" borderId="16" xfId="100" applyNumberFormat="1" applyFont="1" applyFill="1" applyBorder="1" applyAlignment="1">
      <alignment vertical="center"/>
    </xf>
    <xf numFmtId="43" fontId="38" fillId="3" borderId="28" xfId="1" applyFont="1" applyFill="1" applyBorder="1" applyAlignment="1">
      <alignment horizontal="right" vertical="center"/>
    </xf>
    <xf numFmtId="0" fontId="38" fillId="0" borderId="0" xfId="244" applyFont="1" applyBorder="1" applyAlignment="1">
      <alignment horizontal="left" vertical="center"/>
    </xf>
    <xf numFmtId="0" fontId="38" fillId="0" borderId="45" xfId="244" applyFont="1" applyBorder="1" applyAlignment="1">
      <alignment horizontal="left" vertical="center"/>
    </xf>
    <xf numFmtId="43" fontId="38" fillId="0" borderId="45" xfId="1" applyFont="1" applyBorder="1" applyAlignment="1">
      <alignment horizontal="right"/>
    </xf>
    <xf numFmtId="49" fontId="38" fillId="0" borderId="45" xfId="244" applyNumberFormat="1" applyFont="1" applyBorder="1" applyAlignment="1">
      <alignment horizontal="center" vertical="center"/>
    </xf>
    <xf numFmtId="1" fontId="38" fillId="0" borderId="45" xfId="244" applyNumberFormat="1" applyFont="1" applyBorder="1" applyAlignment="1">
      <alignment horizontal="center" vertical="center"/>
    </xf>
    <xf numFmtId="181" fontId="38" fillId="0" borderId="4" xfId="244" applyNumberFormat="1" applyFont="1" applyBorder="1" applyAlignment="1">
      <alignment vertical="center"/>
    </xf>
    <xf numFmtId="49" fontId="38" fillId="3" borderId="16" xfId="100" applyNumberFormat="1" applyFont="1" applyFill="1" applyBorder="1" applyAlignment="1">
      <alignment vertical="center"/>
    </xf>
    <xf numFmtId="49" fontId="40" fillId="10" borderId="16" xfId="58" applyNumberFormat="1" applyFont="1" applyFill="1" applyBorder="1" applyAlignment="1">
      <alignment horizontal="left" vertical="center"/>
    </xf>
    <xf numFmtId="1" fontId="38" fillId="10" borderId="28" xfId="0" applyNumberFormat="1" applyFont="1" applyFill="1" applyBorder="1" applyAlignment="1">
      <alignment horizontal="center" vertical="center"/>
    </xf>
    <xf numFmtId="0" fontId="38" fillId="0" borderId="28" xfId="58" applyFont="1" applyFill="1" applyBorder="1" applyAlignment="1">
      <alignment vertical="center"/>
    </xf>
    <xf numFmtId="49" fontId="40" fillId="0" borderId="16" xfId="58" applyNumberFormat="1" applyFont="1" applyFill="1" applyBorder="1" applyAlignment="1">
      <alignment horizontal="left" vertical="center"/>
    </xf>
    <xf numFmtId="43" fontId="38" fillId="0" borderId="28" xfId="1" applyFont="1" applyFill="1" applyBorder="1" applyAlignment="1">
      <alignment horizontal="center" vertical="center"/>
    </xf>
    <xf numFmtId="43" fontId="38" fillId="0" borderId="28" xfId="1" applyFont="1" applyFill="1" applyBorder="1" applyAlignment="1">
      <alignment vertical="center"/>
    </xf>
    <xf numFmtId="1" fontId="38" fillId="0" borderId="28" xfId="0" applyNumberFormat="1" applyFont="1" applyFill="1" applyBorder="1" applyAlignment="1">
      <alignment horizontal="center" vertical="center"/>
    </xf>
    <xf numFmtId="49" fontId="38" fillId="0" borderId="0" xfId="244" applyNumberFormat="1" applyFont="1" applyBorder="1" applyAlignment="1">
      <alignment horizontal="left" vertical="center"/>
    </xf>
    <xf numFmtId="43" fontId="38" fillId="0" borderId="12" xfId="1" applyFont="1" applyBorder="1" applyAlignment="1">
      <alignment horizontal="right"/>
    </xf>
    <xf numFmtId="39" fontId="38" fillId="0" borderId="12" xfId="244" applyNumberFormat="1" applyFont="1" applyBorder="1" applyAlignment="1">
      <alignment horizontal="center" vertical="center"/>
    </xf>
    <xf numFmtId="49" fontId="38" fillId="0" borderId="28" xfId="58" applyNumberFormat="1" applyFont="1" applyFill="1" applyBorder="1" applyAlignment="1">
      <alignment horizontal="left" vertical="center"/>
    </xf>
    <xf numFmtId="43" fontId="38" fillId="10" borderId="16" xfId="1" applyFont="1" applyFill="1" applyBorder="1" applyAlignment="1">
      <alignment horizontal="left" vertical="center"/>
    </xf>
    <xf numFmtId="49" fontId="40" fillId="3" borderId="16" xfId="0" applyNumberFormat="1" applyFont="1" applyFill="1" applyBorder="1" applyAlignment="1">
      <alignment vertical="center"/>
    </xf>
    <xf numFmtId="49" fontId="38" fillId="16" borderId="16" xfId="220" applyNumberFormat="1" applyFont="1" applyFill="1" applyBorder="1" applyAlignment="1">
      <alignment horizontal="left" vertical="center"/>
    </xf>
    <xf numFmtId="43" fontId="38" fillId="16" borderId="16" xfId="1" applyFont="1" applyFill="1" applyBorder="1" applyAlignment="1">
      <alignment horizontal="center" vertical="center" wrapText="1"/>
    </xf>
    <xf numFmtId="0" fontId="38" fillId="16" borderId="16" xfId="220" applyFont="1" applyFill="1" applyBorder="1" applyAlignment="1">
      <alignment horizontal="center" vertical="center"/>
    </xf>
    <xf numFmtId="49" fontId="38" fillId="10" borderId="16" xfId="220" applyNumberFormat="1" applyFont="1" applyFill="1" applyBorder="1" applyAlignment="1">
      <alignment horizontal="left" vertical="center"/>
    </xf>
    <xf numFmtId="0" fontId="38" fillId="10" borderId="16" xfId="220" applyFont="1" applyFill="1" applyBorder="1" applyAlignment="1">
      <alignment horizontal="left" vertical="center"/>
    </xf>
    <xf numFmtId="0" fontId="38" fillId="10" borderId="16" xfId="220" applyFont="1" applyFill="1" applyBorder="1" applyAlignment="1">
      <alignment horizontal="center"/>
    </xf>
    <xf numFmtId="43" fontId="38" fillId="0" borderId="16" xfId="1" applyFont="1" applyFill="1" applyBorder="1" applyAlignment="1">
      <alignment vertical="center" readingOrder="1"/>
    </xf>
    <xf numFmtId="49" fontId="38" fillId="10" borderId="16" xfId="58" applyNumberFormat="1" applyFont="1" applyFill="1" applyBorder="1" applyAlignment="1">
      <alignment horizontal="left" vertical="center"/>
    </xf>
    <xf numFmtId="43" fontId="38" fillId="10" borderId="16" xfId="1" applyFont="1" applyFill="1" applyBorder="1" applyAlignment="1">
      <alignment vertical="center" readingOrder="1"/>
    </xf>
    <xf numFmtId="0" fontId="38" fillId="3" borderId="0" xfId="220" applyFont="1" applyFill="1" applyBorder="1" applyAlignment="1">
      <alignment vertical="center"/>
    </xf>
    <xf numFmtId="0" fontId="38" fillId="3" borderId="12" xfId="220" applyFont="1" applyFill="1" applyBorder="1" applyAlignment="1">
      <alignment horizontal="center"/>
    </xf>
    <xf numFmtId="0" fontId="38" fillId="3" borderId="45" xfId="220" applyFont="1" applyFill="1" applyBorder="1" applyAlignment="1">
      <alignment horizontal="left" vertical="center" wrapText="1"/>
    </xf>
    <xf numFmtId="43" fontId="38" fillId="3" borderId="45" xfId="1" applyFont="1" applyFill="1" applyBorder="1" applyAlignment="1">
      <alignment horizontal="center" vertical="center"/>
    </xf>
    <xf numFmtId="4" fontId="38" fillId="0" borderId="25" xfId="1" applyNumberFormat="1" applyFont="1" applyFill="1" applyBorder="1"/>
    <xf numFmtId="0" fontId="38" fillId="10" borderId="16" xfId="220" applyFont="1" applyFill="1" applyBorder="1" applyAlignment="1">
      <alignment vertical="center"/>
    </xf>
    <xf numFmtId="2" fontId="38" fillId="10" borderId="16" xfId="220" applyNumberFormat="1" applyFont="1" applyFill="1" applyBorder="1" applyAlignment="1">
      <alignment horizontal="left" vertical="center"/>
    </xf>
    <xf numFmtId="43" fontId="38" fillId="10" borderId="28" xfId="1" applyFont="1" applyFill="1" applyBorder="1" applyAlignment="1">
      <alignment horizontal="center" vertical="center"/>
    </xf>
    <xf numFmtId="43" fontId="38" fillId="17" borderId="28" xfId="1" applyFont="1" applyFill="1" applyBorder="1" applyAlignment="1">
      <alignment vertical="center"/>
    </xf>
    <xf numFmtId="1" fontId="38" fillId="0" borderId="24" xfId="0" applyNumberFormat="1" applyFont="1" applyFill="1" applyBorder="1" applyAlignment="1">
      <alignment horizontal="center" vertical="center"/>
    </xf>
    <xf numFmtId="0" fontId="38" fillId="3" borderId="24" xfId="100" applyFont="1" applyFill="1" applyBorder="1" applyAlignment="1">
      <alignment vertical="center"/>
    </xf>
    <xf numFmtId="49" fontId="38" fillId="3" borderId="24" xfId="100" applyNumberFormat="1" applyFont="1" applyFill="1" applyBorder="1" applyAlignment="1">
      <alignment vertical="center"/>
    </xf>
    <xf numFmtId="43" fontId="38" fillId="0" borderId="24" xfId="1" applyFont="1" applyFill="1" applyBorder="1" applyAlignment="1">
      <alignment vertical="center"/>
    </xf>
    <xf numFmtId="1" fontId="38" fillId="0" borderId="24" xfId="100" applyNumberFormat="1" applyFont="1" applyFill="1" applyBorder="1" applyAlignment="1">
      <alignment horizontal="center" vertical="center"/>
    </xf>
    <xf numFmtId="4" fontId="38" fillId="0" borderId="24" xfId="1" applyNumberFormat="1" applyFont="1" applyFill="1" applyBorder="1" applyAlignment="1">
      <alignment vertical="center"/>
    </xf>
    <xf numFmtId="4" fontId="38" fillId="0" borderId="24" xfId="0" applyNumberFormat="1" applyFont="1" applyFill="1" applyBorder="1" applyAlignment="1">
      <alignment vertical="center"/>
    </xf>
    <xf numFmtId="0" fontId="38" fillId="0" borderId="24" xfId="0" applyFont="1" applyFill="1" applyBorder="1" applyAlignment="1">
      <alignment horizontal="center" vertical="center"/>
    </xf>
    <xf numFmtId="43" fontId="38" fillId="3" borderId="17" xfId="0" applyNumberFormat="1" applyFont="1" applyFill="1" applyBorder="1" applyAlignment="1">
      <alignment vertical="center"/>
    </xf>
    <xf numFmtId="43" fontId="38" fillId="6" borderId="3" xfId="1" applyFont="1" applyFill="1" applyBorder="1" applyAlignment="1">
      <alignment horizontal="right" vertical="center"/>
    </xf>
    <xf numFmtId="43" fontId="38" fillId="3" borderId="4" xfId="0" applyNumberFormat="1" applyFont="1" applyFill="1" applyBorder="1" applyAlignment="1">
      <alignment vertical="center"/>
    </xf>
    <xf numFmtId="43" fontId="38" fillId="6" borderId="0" xfId="1" applyFont="1" applyFill="1" applyAlignment="1">
      <alignment vertical="center"/>
    </xf>
    <xf numFmtId="43" fontId="38" fillId="7" borderId="4" xfId="1" applyFont="1" applyFill="1" applyBorder="1" applyAlignment="1">
      <alignment horizontal="right" vertical="center"/>
    </xf>
    <xf numFmtId="43" fontId="38" fillId="0" borderId="1" xfId="1" applyFont="1" applyFill="1" applyBorder="1" applyAlignment="1">
      <alignment vertical="center"/>
    </xf>
    <xf numFmtId="49" fontId="38" fillId="25" borderId="16" xfId="0" applyNumberFormat="1" applyFont="1" applyFill="1" applyBorder="1" applyAlignment="1">
      <alignment vertical="center"/>
    </xf>
    <xf numFmtId="4" fontId="38" fillId="25" borderId="16" xfId="1" applyNumberFormat="1" applyFont="1" applyFill="1" applyBorder="1" applyAlignment="1">
      <alignment vertical="center"/>
    </xf>
    <xf numFmtId="43" fontId="38" fillId="25" borderId="12" xfId="1" applyFont="1" applyFill="1" applyBorder="1" applyAlignment="1">
      <alignment horizontal="right" vertical="center"/>
    </xf>
    <xf numFmtId="43" fontId="38" fillId="25" borderId="11" xfId="1" applyFont="1" applyFill="1" applyBorder="1" applyAlignment="1">
      <alignment vertical="center"/>
    </xf>
    <xf numFmtId="0" fontId="38" fillId="25" borderId="26" xfId="0" applyFont="1" applyFill="1" applyBorder="1" applyAlignment="1">
      <alignment vertical="center"/>
    </xf>
    <xf numFmtId="0" fontId="38" fillId="0" borderId="6" xfId="0" applyFont="1" applyFill="1" applyBorder="1" applyAlignment="1">
      <alignment vertical="center"/>
    </xf>
    <xf numFmtId="49" fontId="38" fillId="0" borderId="6" xfId="0" applyNumberFormat="1" applyFont="1" applyFill="1" applyBorder="1" applyAlignment="1">
      <alignment vertical="center"/>
    </xf>
    <xf numFmtId="4" fontId="38" fillId="0" borderId="6" xfId="1" applyNumberFormat="1" applyFont="1" applyFill="1" applyBorder="1" applyAlignment="1">
      <alignment vertical="center"/>
    </xf>
    <xf numFmtId="0" fontId="38" fillId="0" borderId="6" xfId="0" applyFont="1" applyFill="1" applyBorder="1" applyAlignment="1">
      <alignment horizontal="center" vertical="center"/>
    </xf>
    <xf numFmtId="43" fontId="38" fillId="0" borderId="12" xfId="1" applyFont="1" applyFill="1" applyBorder="1" applyAlignment="1">
      <alignment horizontal="right" vertical="center"/>
    </xf>
    <xf numFmtId="0" fontId="38" fillId="0" borderId="24" xfId="0" applyFont="1" applyFill="1" applyBorder="1" applyAlignment="1">
      <alignment vertical="center"/>
    </xf>
    <xf numFmtId="49" fontId="38" fillId="0" borderId="24" xfId="0" applyNumberFormat="1" applyFont="1" applyFill="1" applyBorder="1" applyAlignment="1">
      <alignment horizontal="center" vertical="center" shrinkToFit="1"/>
    </xf>
    <xf numFmtId="43" fontId="38" fillId="0" borderId="24" xfId="1" applyFont="1" applyFill="1" applyBorder="1" applyAlignment="1">
      <alignment horizontal="center" vertical="center" shrinkToFit="1"/>
    </xf>
    <xf numFmtId="1" fontId="38" fillId="25" borderId="3" xfId="0" applyNumberFormat="1" applyFont="1" applyFill="1" applyBorder="1" applyAlignment="1">
      <alignment horizontal="center" vertical="center"/>
    </xf>
    <xf numFmtId="0" fontId="38" fillId="25" borderId="3" xfId="0" applyFont="1" applyFill="1" applyBorder="1" applyAlignment="1">
      <alignment vertical="center"/>
    </xf>
    <xf numFmtId="49" fontId="38" fillId="25" borderId="3" xfId="0" applyNumberFormat="1" applyFont="1" applyFill="1" applyBorder="1" applyAlignment="1">
      <alignment horizontal="center" vertical="center" shrinkToFit="1"/>
    </xf>
    <xf numFmtId="43" fontId="38" fillId="25" borderId="4" xfId="1" applyFont="1" applyFill="1" applyBorder="1" applyAlignment="1">
      <alignment horizontal="center" vertical="center" shrinkToFit="1"/>
    </xf>
    <xf numFmtId="1" fontId="38" fillId="25" borderId="4" xfId="0" applyNumberFormat="1" applyFont="1" applyFill="1" applyBorder="1" applyAlignment="1">
      <alignment horizontal="center" vertical="center"/>
    </xf>
    <xf numFmtId="4" fontId="38" fillId="25" borderId="4" xfId="1" applyNumberFormat="1" applyFont="1" applyFill="1" applyBorder="1" applyAlignment="1">
      <alignment horizontal="right" vertical="center"/>
    </xf>
    <xf numFmtId="4" fontId="38" fillId="25" borderId="4" xfId="0" applyNumberFormat="1" applyFont="1" applyFill="1" applyBorder="1" applyAlignment="1">
      <alignment vertical="center"/>
    </xf>
    <xf numFmtId="0" fontId="38" fillId="25" borderId="4" xfId="0" applyFont="1" applyFill="1" applyBorder="1" applyAlignment="1">
      <alignment horizontal="center" vertical="center"/>
    </xf>
    <xf numFmtId="43" fontId="38" fillId="0" borderId="17" xfId="0" applyNumberFormat="1" applyFont="1" applyFill="1" applyBorder="1" applyAlignment="1">
      <alignment vertical="center"/>
    </xf>
    <xf numFmtId="43" fontId="38" fillId="3" borderId="18" xfId="1" applyFont="1" applyFill="1" applyBorder="1" applyAlignment="1">
      <alignment horizontal="right" vertical="center"/>
    </xf>
    <xf numFmtId="43" fontId="38" fillId="0" borderId="18" xfId="1" applyFont="1" applyFill="1" applyBorder="1" applyAlignment="1">
      <alignment horizontal="center" vertical="center"/>
    </xf>
    <xf numFmtId="43" fontId="38" fillId="3" borderId="1" xfId="1" applyFont="1" applyFill="1" applyBorder="1" applyAlignment="1">
      <alignment horizontal="right" vertical="center"/>
    </xf>
    <xf numFmtId="43" fontId="38" fillId="0" borderId="4" xfId="1" applyFont="1" applyFill="1" applyBorder="1" applyAlignment="1">
      <alignment horizontal="center" vertical="center"/>
    </xf>
    <xf numFmtId="171" fontId="38" fillId="24" borderId="10" xfId="124" applyFont="1" applyFill="1" applyBorder="1" applyAlignment="1">
      <alignment horizontal="right" vertical="center"/>
    </xf>
    <xf numFmtId="0" fontId="38" fillId="3" borderId="28" xfId="0" applyFont="1" applyFill="1" applyBorder="1" applyAlignment="1">
      <alignment horizontal="left" vertical="center"/>
    </xf>
    <xf numFmtId="4" fontId="38" fillId="0" borderId="6" xfId="1" applyNumberFormat="1" applyFont="1" applyFill="1" applyBorder="1" applyAlignment="1">
      <alignment horizontal="center" vertical="center"/>
    </xf>
    <xf numFmtId="0" fontId="38" fillId="10" borderId="28" xfId="0" applyFont="1" applyFill="1" applyBorder="1" applyAlignment="1">
      <alignment horizontal="left" vertical="center" shrinkToFit="1"/>
    </xf>
    <xf numFmtId="49" fontId="38" fillId="10" borderId="6" xfId="0" applyNumberFormat="1" applyFont="1" applyFill="1" applyBorder="1" applyAlignment="1">
      <alignment horizontal="left" vertical="center"/>
    </xf>
    <xf numFmtId="43" fontId="38" fillId="10" borderId="6" xfId="1" applyFont="1" applyFill="1" applyBorder="1" applyAlignment="1">
      <alignment horizontal="right" vertical="center"/>
    </xf>
    <xf numFmtId="1" fontId="38" fillId="10" borderId="6" xfId="0" applyNumberFormat="1" applyFont="1" applyFill="1" applyBorder="1" applyAlignment="1">
      <alignment horizontal="center" vertical="center"/>
    </xf>
    <xf numFmtId="0" fontId="38" fillId="10" borderId="26" xfId="0" applyFont="1" applyFill="1" applyBorder="1" applyAlignment="1">
      <alignment horizontal="left" vertical="center"/>
    </xf>
    <xf numFmtId="0" fontId="38" fillId="3" borderId="28" xfId="0" applyFont="1" applyFill="1" applyBorder="1" applyAlignment="1">
      <alignment horizontal="left" vertical="center" shrinkToFit="1"/>
    </xf>
    <xf numFmtId="4" fontId="38" fillId="0" borderId="27" xfId="1" applyNumberFormat="1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left" vertical="center"/>
    </xf>
    <xf numFmtId="0" fontId="38" fillId="3" borderId="28" xfId="0" applyFont="1" applyFill="1" applyBorder="1" applyAlignment="1">
      <alignment horizontal="left" vertical="center" wrapText="1"/>
    </xf>
    <xf numFmtId="49" fontId="38" fillId="0" borderId="16" xfId="0" applyNumberFormat="1" applyFont="1" applyFill="1" applyBorder="1" applyAlignment="1">
      <alignment vertical="center" readingOrder="1"/>
    </xf>
    <xf numFmtId="43" fontId="38" fillId="0" borderId="6" xfId="1" applyFont="1" applyFill="1" applyBorder="1" applyAlignment="1">
      <alignment vertical="center" readingOrder="1"/>
    </xf>
    <xf numFmtId="1" fontId="38" fillId="0" borderId="6" xfId="0" applyNumberFormat="1" applyFont="1" applyFill="1" applyBorder="1" applyAlignment="1">
      <alignment horizontal="center" vertical="center" readingOrder="1"/>
    </xf>
    <xf numFmtId="4" fontId="38" fillId="0" borderId="27" xfId="1" applyNumberFormat="1" applyFont="1" applyFill="1" applyBorder="1" applyAlignment="1">
      <alignment vertical="center" readingOrder="1"/>
    </xf>
    <xf numFmtId="0" fontId="38" fillId="14" borderId="36" xfId="0" applyFont="1" applyFill="1" applyBorder="1" applyAlignment="1">
      <alignment vertical="center" wrapText="1"/>
    </xf>
    <xf numFmtId="0" fontId="38" fillId="10" borderId="46" xfId="0" applyFont="1" applyFill="1" applyBorder="1"/>
    <xf numFmtId="43" fontId="38" fillId="14" borderId="29" xfId="1" applyFont="1" applyFill="1" applyBorder="1" applyAlignment="1">
      <alignment horizontal="right" vertical="center"/>
    </xf>
    <xf numFmtId="43" fontId="38" fillId="10" borderId="0" xfId="1" applyFont="1" applyFill="1" applyAlignment="1">
      <alignment vertical="center"/>
    </xf>
    <xf numFmtId="37" fontId="38" fillId="10" borderId="25" xfId="0" applyNumberFormat="1" applyFont="1" applyFill="1" applyBorder="1" applyAlignment="1">
      <alignment horizontal="center" vertical="center"/>
    </xf>
    <xf numFmtId="171" fontId="38" fillId="10" borderId="0" xfId="128" applyFont="1" applyFill="1" applyAlignment="1">
      <alignment vertical="center"/>
    </xf>
    <xf numFmtId="4" fontId="38" fillId="3" borderId="6" xfId="0" applyNumberFormat="1" applyFont="1" applyFill="1" applyBorder="1" applyAlignment="1">
      <alignment vertical="center"/>
    </xf>
    <xf numFmtId="0" fontId="38" fillId="10" borderId="6" xfId="0" applyFont="1" applyFill="1" applyBorder="1" applyAlignment="1">
      <alignment vertical="center"/>
    </xf>
    <xf numFmtId="43" fontId="38" fillId="3" borderId="18" xfId="0" applyNumberFormat="1" applyFont="1" applyFill="1" applyBorder="1" applyAlignment="1">
      <alignment vertical="center"/>
    </xf>
    <xf numFmtId="0" fontId="38" fillId="13" borderId="16" xfId="0" applyFont="1" applyFill="1" applyBorder="1" applyAlignment="1">
      <alignment horizontal="left" vertical="center"/>
    </xf>
    <xf numFmtId="49" fontId="38" fillId="13" borderId="16" xfId="0" applyNumberFormat="1" applyFont="1" applyFill="1" applyBorder="1" applyAlignment="1">
      <alignment vertical="center"/>
    </xf>
    <xf numFmtId="43" fontId="38" fillId="13" borderId="16" xfId="1" applyFont="1" applyFill="1" applyBorder="1" applyAlignment="1">
      <alignment horizontal="right" vertical="center"/>
    </xf>
    <xf numFmtId="43" fontId="38" fillId="13" borderId="16" xfId="1" applyFont="1" applyFill="1" applyBorder="1" applyAlignment="1">
      <alignment vertical="center"/>
    </xf>
    <xf numFmtId="43" fontId="38" fillId="13" borderId="29" xfId="1" applyFont="1" applyFill="1" applyBorder="1" applyAlignment="1">
      <alignment horizontal="left" vertical="center"/>
    </xf>
    <xf numFmtId="43" fontId="38" fillId="13" borderId="39" xfId="1" applyFont="1" applyFill="1" applyBorder="1" applyAlignment="1">
      <alignment horizontal="right" vertical="center"/>
    </xf>
    <xf numFmtId="0" fontId="38" fillId="0" borderId="16" xfId="81" applyFont="1" applyFill="1" applyBorder="1" applyAlignment="1">
      <alignment vertical="center"/>
    </xf>
    <xf numFmtId="1" fontId="38" fillId="0" borderId="16" xfId="81" applyNumberFormat="1" applyFont="1" applyFill="1" applyBorder="1" applyAlignment="1">
      <alignment horizontal="center" vertical="center"/>
    </xf>
    <xf numFmtId="0" fontId="38" fillId="0" borderId="0" xfId="213" applyFont="1" applyFill="1" applyBorder="1" applyAlignment="1">
      <alignment horizontal="left" vertical="center"/>
    </xf>
    <xf numFmtId="49" fontId="38" fillId="0" borderId="12" xfId="213" applyNumberFormat="1" applyFont="1" applyFill="1" applyBorder="1" applyAlignment="1">
      <alignment vertical="center"/>
    </xf>
    <xf numFmtId="181" fontId="38" fillId="0" borderId="12" xfId="213" applyNumberFormat="1" applyFont="1" applyFill="1" applyBorder="1" applyAlignment="1">
      <alignment vertical="center"/>
    </xf>
    <xf numFmtId="1" fontId="38" fillId="0" borderId="12" xfId="213" applyNumberFormat="1" applyFont="1" applyFill="1" applyBorder="1" applyAlignment="1">
      <alignment horizontal="center" vertical="center"/>
    </xf>
    <xf numFmtId="43" fontId="38" fillId="0" borderId="4" xfId="119" applyNumberFormat="1" applyFont="1" applyFill="1" applyBorder="1" applyAlignment="1">
      <alignment horizontal="center" vertical="center"/>
    </xf>
    <xf numFmtId="43" fontId="38" fillId="13" borderId="0" xfId="1" applyFont="1" applyFill="1" applyBorder="1" applyAlignment="1">
      <alignment horizontal="left" vertical="center"/>
    </xf>
    <xf numFmtId="49" fontId="38" fillId="0" borderId="45" xfId="213" applyNumberFormat="1" applyFont="1" applyFill="1" applyBorder="1" applyAlignment="1">
      <alignment vertical="center"/>
    </xf>
    <xf numFmtId="43" fontId="38" fillId="0" borderId="45" xfId="1" applyFont="1" applyFill="1" applyBorder="1" applyAlignment="1">
      <alignment vertical="center"/>
    </xf>
    <xf numFmtId="181" fontId="38" fillId="0" borderId="45" xfId="213" applyNumberFormat="1" applyFont="1" applyFill="1" applyBorder="1" applyAlignment="1">
      <alignment vertical="center"/>
    </xf>
    <xf numFmtId="1" fontId="38" fillId="0" borderId="45" xfId="213" applyNumberFormat="1" applyFont="1" applyFill="1" applyBorder="1" applyAlignment="1">
      <alignment horizontal="center" vertical="center"/>
    </xf>
    <xf numFmtId="43" fontId="38" fillId="0" borderId="25" xfId="119" applyNumberFormat="1" applyFont="1" applyFill="1" applyBorder="1" applyAlignment="1">
      <alignment horizontal="center" vertical="center"/>
    </xf>
    <xf numFmtId="0" fontId="38" fillId="3" borderId="16" xfId="81" applyFont="1" applyFill="1" applyBorder="1" applyAlignment="1">
      <alignment horizontal="left" vertical="center"/>
    </xf>
    <xf numFmtId="49" fontId="38" fillId="3" borderId="16" xfId="81" applyNumberFormat="1" applyFont="1" applyFill="1" applyBorder="1" applyAlignment="1">
      <alignment vertical="center"/>
    </xf>
    <xf numFmtId="0" fontId="38" fillId="0" borderId="16" xfId="81" applyFont="1" applyFill="1" applyBorder="1" applyAlignment="1">
      <alignment horizontal="center" vertical="center"/>
    </xf>
    <xf numFmtId="49" fontId="38" fillId="13" borderId="16" xfId="0" applyNumberFormat="1" applyFont="1" applyFill="1" applyBorder="1" applyAlignment="1">
      <alignment horizontal="left" vertical="center"/>
    </xf>
    <xf numFmtId="49" fontId="38" fillId="14" borderId="16" xfId="0" applyNumberFormat="1" applyFont="1" applyFill="1" applyBorder="1" applyAlignment="1">
      <alignment horizontal="left" vertical="center"/>
    </xf>
    <xf numFmtId="49" fontId="38" fillId="14" borderId="16" xfId="0" applyNumberFormat="1" applyFont="1" applyFill="1" applyBorder="1" applyAlignment="1">
      <alignment vertical="center"/>
    </xf>
    <xf numFmtId="43" fontId="38" fillId="14" borderId="16" xfId="1" applyFont="1" applyFill="1" applyBorder="1" applyAlignment="1">
      <alignment horizontal="right" vertical="center"/>
    </xf>
    <xf numFmtId="43" fontId="38" fillId="14" borderId="16" xfId="1" applyFont="1" applyFill="1" applyBorder="1" applyAlignment="1">
      <alignment vertical="center"/>
    </xf>
    <xf numFmtId="0" fontId="38" fillId="14" borderId="16" xfId="0" applyFont="1" applyFill="1" applyBorder="1" applyAlignment="1">
      <alignment horizontal="center" vertical="center"/>
    </xf>
    <xf numFmtId="39" fontId="38" fillId="3" borderId="16" xfId="0" applyNumberFormat="1" applyFont="1" applyFill="1" applyBorder="1" applyAlignment="1">
      <alignment horizontal="left" vertical="center"/>
    </xf>
    <xf numFmtId="171" fontId="38" fillId="0" borderId="16" xfId="0" applyNumberFormat="1" applyFont="1" applyFill="1" applyBorder="1" applyAlignment="1">
      <alignment horizontal="right" vertical="center"/>
    </xf>
    <xf numFmtId="171" fontId="38" fillId="10" borderId="16" xfId="0" applyNumberFormat="1" applyFont="1" applyFill="1" applyBorder="1" applyAlignment="1">
      <alignment horizontal="right" vertical="center"/>
    </xf>
    <xf numFmtId="171" fontId="38" fillId="10" borderId="4" xfId="0" applyNumberFormat="1" applyFont="1" applyFill="1" applyBorder="1" applyAlignment="1">
      <alignment vertical="center"/>
    </xf>
    <xf numFmtId="49" fontId="38" fillId="14" borderId="24" xfId="0" applyNumberFormat="1" applyFont="1" applyFill="1" applyBorder="1" applyAlignment="1">
      <alignment horizontal="left" vertical="center"/>
    </xf>
    <xf numFmtId="49" fontId="38" fillId="14" borderId="24" xfId="0" applyNumberFormat="1" applyFont="1" applyFill="1" applyBorder="1" applyAlignment="1">
      <alignment vertical="center"/>
    </xf>
    <xf numFmtId="43" fontId="38" fillId="14" borderId="24" xfId="1" applyFont="1" applyFill="1" applyBorder="1" applyAlignment="1">
      <alignment horizontal="right" vertical="center"/>
    </xf>
    <xf numFmtId="43" fontId="38" fillId="14" borderId="24" xfId="1" applyFont="1" applyFill="1" applyBorder="1" applyAlignment="1">
      <alignment vertical="center"/>
    </xf>
    <xf numFmtId="0" fontId="38" fillId="14" borderId="24" xfId="0" applyFont="1" applyFill="1" applyBorder="1" applyAlignment="1">
      <alignment horizontal="center" vertical="center"/>
    </xf>
    <xf numFmtId="4" fontId="38" fillId="3" borderId="17" xfId="0" applyNumberFormat="1" applyFont="1" applyFill="1" applyBorder="1" applyAlignment="1">
      <alignment horizontal="left" vertical="center"/>
    </xf>
    <xf numFmtId="4" fontId="38" fillId="0" borderId="25" xfId="0" applyNumberFormat="1" applyFont="1" applyFill="1" applyBorder="1" applyAlignment="1">
      <alignment horizontal="left" vertical="center"/>
    </xf>
    <xf numFmtId="43" fontId="38" fillId="11" borderId="11" xfId="1" applyFont="1" applyFill="1" applyBorder="1" applyAlignment="1">
      <alignment vertical="center"/>
    </xf>
    <xf numFmtId="181" fontId="42" fillId="0" borderId="0" xfId="213" applyNumberFormat="1" applyFont="1" applyFill="1" applyBorder="1" applyAlignment="1">
      <alignment horizontal="right" vertical="center"/>
    </xf>
    <xf numFmtId="43" fontId="38" fillId="6" borderId="0" xfId="1" applyFont="1" applyFill="1" applyBorder="1" applyAlignment="1">
      <alignment horizontal="right" vertical="center"/>
    </xf>
    <xf numFmtId="43" fontId="38" fillId="0" borderId="4" xfId="1" applyFont="1" applyFill="1" applyBorder="1" applyAlignment="1">
      <alignment horizontal="left" vertical="center"/>
    </xf>
    <xf numFmtId="43" fontId="38" fillId="9" borderId="4" xfId="1" applyFont="1" applyFill="1" applyBorder="1" applyAlignment="1">
      <alignment horizontal="right" vertical="center"/>
    </xf>
    <xf numFmtId="43" fontId="38" fillId="3" borderId="47" xfId="1" applyFont="1" applyFill="1" applyBorder="1" applyAlignment="1">
      <alignment horizontal="right" vertical="center"/>
    </xf>
    <xf numFmtId="43" fontId="38" fillId="12" borderId="4" xfId="1" applyFont="1" applyFill="1" applyBorder="1" applyAlignment="1">
      <alignment horizontal="right" vertical="center"/>
    </xf>
    <xf numFmtId="49" fontId="38" fillId="6" borderId="16" xfId="0" applyNumberFormat="1" applyFont="1" applyFill="1" applyBorder="1" applyAlignment="1">
      <alignment horizontal="right" vertical="center"/>
    </xf>
    <xf numFmtId="0" fontId="38" fillId="0" borderId="16" xfId="94" applyFont="1" applyBorder="1" applyAlignment="1">
      <alignment vertical="center" shrinkToFit="1"/>
    </xf>
    <xf numFmtId="43" fontId="38" fillId="3" borderId="16" xfId="1" applyFont="1" applyFill="1" applyBorder="1" applyAlignment="1">
      <alignment horizontal="left" vertical="center"/>
    </xf>
    <xf numFmtId="4" fontId="38" fillId="5" borderId="16" xfId="1" applyNumberFormat="1" applyFont="1" applyFill="1" applyBorder="1" applyAlignment="1">
      <alignment vertical="center"/>
    </xf>
    <xf numFmtId="43" fontId="38" fillId="5" borderId="28" xfId="1" applyFont="1" applyFill="1" applyBorder="1" applyAlignment="1">
      <alignment vertical="center"/>
    </xf>
    <xf numFmtId="43" fontId="38" fillId="5" borderId="27" xfId="1" applyFont="1" applyFill="1" applyBorder="1" applyAlignment="1">
      <alignment vertical="center"/>
    </xf>
    <xf numFmtId="43" fontId="38" fillId="0" borderId="16" xfId="1" applyFont="1" applyBorder="1" applyAlignment="1">
      <alignment horizontal="left" vertical="center"/>
    </xf>
    <xf numFmtId="0" fontId="38" fillId="0" borderId="48" xfId="0" applyFont="1" applyFill="1" applyBorder="1" applyAlignment="1">
      <alignment vertical="center"/>
    </xf>
    <xf numFmtId="0" fontId="38" fillId="5" borderId="16" xfId="0" applyFont="1" applyFill="1" applyBorder="1" applyAlignment="1">
      <alignment horizontal="left" vertical="center"/>
    </xf>
    <xf numFmtId="4" fontId="38" fillId="5" borderId="16" xfId="0" applyNumberFormat="1" applyFont="1" applyFill="1" applyBorder="1" applyAlignment="1">
      <alignment horizontal="left" vertical="center"/>
    </xf>
    <xf numFmtId="43" fontId="38" fillId="5" borderId="49" xfId="0" applyNumberFormat="1" applyFont="1" applyFill="1" applyBorder="1" applyAlignment="1">
      <alignment vertical="center"/>
    </xf>
    <xf numFmtId="4" fontId="38" fillId="3" borderId="16" xfId="0" applyNumberFormat="1" applyFont="1" applyFill="1" applyBorder="1" applyAlignment="1">
      <alignment horizontal="left" vertical="center"/>
    </xf>
    <xf numFmtId="43" fontId="38" fillId="0" borderId="16" xfId="1" applyFont="1" applyBorder="1" applyAlignment="1">
      <alignment horizontal="center" vertical="center" shrinkToFit="1"/>
    </xf>
    <xf numFmtId="0" fontId="38" fillId="5" borderId="16" xfId="94" applyFont="1" applyFill="1" applyBorder="1" applyAlignment="1">
      <alignment vertical="center" shrinkToFit="1"/>
    </xf>
    <xf numFmtId="49" fontId="38" fillId="5" borderId="16" xfId="0" applyNumberFormat="1" applyFont="1" applyFill="1" applyBorder="1" applyAlignment="1">
      <alignment horizontal="left" vertical="center" shrinkToFit="1"/>
    </xf>
    <xf numFmtId="43" fontId="38" fillId="5" borderId="26" xfId="0" applyNumberFormat="1" applyFont="1" applyFill="1" applyBorder="1" applyAlignment="1">
      <alignment vertical="center"/>
    </xf>
    <xf numFmtId="0" fontId="38" fillId="0" borderId="16" xfId="94" applyFont="1" applyFill="1" applyBorder="1" applyAlignment="1">
      <alignment vertical="center" shrinkToFit="1"/>
    </xf>
    <xf numFmtId="43" fontId="38" fillId="0" borderId="0" xfId="0" applyNumberFormat="1" applyFont="1" applyFill="1" applyBorder="1" applyAlignment="1">
      <alignment vertical="center"/>
    </xf>
    <xf numFmtId="49" fontId="38" fillId="0" borderId="16" xfId="248" applyNumberFormat="1" applyFont="1" applyBorder="1" applyAlignment="1">
      <alignment horizontal="left" vertical="center"/>
    </xf>
    <xf numFmtId="178" fontId="38" fillId="0" borderId="16" xfId="121" applyNumberFormat="1" applyFont="1" applyFill="1" applyBorder="1" applyAlignment="1">
      <alignment horizontal="right" vertical="center"/>
    </xf>
    <xf numFmtId="4" fontId="38" fillId="0" borderId="16" xfId="248" applyNumberFormat="1" applyFont="1" applyBorder="1" applyAlignment="1">
      <alignment vertical="center"/>
    </xf>
    <xf numFmtId="16" fontId="42" fillId="0" borderId="16" xfId="87" applyNumberFormat="1" applyFont="1" applyBorder="1" applyAlignment="1">
      <alignment vertical="center" shrinkToFit="1"/>
    </xf>
    <xf numFmtId="1" fontId="42" fillId="0" borderId="16" xfId="87" applyNumberFormat="1" applyFont="1" applyBorder="1" applyAlignment="1">
      <alignment horizontal="center" vertical="center" shrinkToFit="1"/>
    </xf>
    <xf numFmtId="4" fontId="38" fillId="5" borderId="16" xfId="0" applyNumberFormat="1" applyFont="1" applyFill="1" applyBorder="1" applyAlignment="1">
      <alignment vertical="center"/>
    </xf>
    <xf numFmtId="43" fontId="38" fillId="5" borderId="16" xfId="1" applyFont="1" applyFill="1" applyBorder="1" applyAlignment="1">
      <alignment horizontal="left" vertical="center"/>
    </xf>
    <xf numFmtId="43" fontId="38" fillId="5" borderId="16" xfId="1" applyFont="1" applyFill="1" applyBorder="1" applyAlignment="1">
      <alignment vertical="center" shrinkToFit="1"/>
    </xf>
    <xf numFmtId="4" fontId="38" fillId="5" borderId="16" xfId="1" applyNumberFormat="1" applyFont="1" applyFill="1" applyBorder="1" applyAlignment="1">
      <alignment horizontal="right" vertical="center"/>
    </xf>
    <xf numFmtId="0" fontId="38" fillId="0" borderId="16" xfId="0" applyFont="1" applyBorder="1" applyAlignment="1">
      <alignment horizontal="right" vertical="center" shrinkToFit="1"/>
    </xf>
    <xf numFmtId="43" fontId="38" fillId="18" borderId="4" xfId="1" applyFont="1" applyFill="1" applyBorder="1" applyAlignment="1">
      <alignment vertical="center"/>
    </xf>
    <xf numFmtId="0" fontId="38" fillId="18" borderId="4" xfId="0" applyFont="1" applyFill="1" applyBorder="1" applyAlignment="1">
      <alignment vertical="center"/>
    </xf>
    <xf numFmtId="43" fontId="38" fillId="3" borderId="16" xfId="1" applyFont="1" applyFill="1" applyBorder="1" applyAlignment="1">
      <alignment horizontal="right" vertical="center" shrinkToFit="1"/>
    </xf>
    <xf numFmtId="0" fontId="38" fillId="5" borderId="16" xfId="0" applyFont="1" applyFill="1" applyBorder="1" applyAlignment="1">
      <alignment horizontal="left" vertical="center" shrinkToFit="1"/>
    </xf>
    <xf numFmtId="43" fontId="38" fillId="5" borderId="16" xfId="1" applyFont="1" applyFill="1" applyBorder="1" applyAlignment="1">
      <alignment horizontal="right" vertical="center" shrinkToFit="1"/>
    </xf>
    <xf numFmtId="0" fontId="38" fillId="5" borderId="11" xfId="0" applyFont="1" applyFill="1" applyBorder="1" applyAlignment="1">
      <alignment vertical="center"/>
    </xf>
    <xf numFmtId="43" fontId="38" fillId="0" borderId="16" xfId="1" applyFont="1" applyBorder="1" applyAlignment="1">
      <alignment vertical="center" shrinkToFit="1"/>
    </xf>
    <xf numFmtId="43" fontId="38" fillId="0" borderId="16" xfId="1" applyFont="1" applyBorder="1" applyAlignment="1">
      <alignment horizontal="left" vertical="center" shrinkToFit="1"/>
    </xf>
    <xf numFmtId="0" fontId="38" fillId="0" borderId="16" xfId="0" applyFont="1" applyBorder="1" applyAlignment="1">
      <alignment vertical="center" shrinkToFit="1"/>
    </xf>
    <xf numFmtId="49" fontId="38" fillId="0" borderId="16" xfId="0" applyNumberFormat="1" applyFont="1" applyBorder="1" applyAlignment="1">
      <alignment vertical="center" shrinkToFit="1"/>
    </xf>
    <xf numFmtId="43" fontId="38" fillId="5" borderId="16" xfId="1" applyFont="1" applyFill="1" applyBorder="1" applyAlignment="1">
      <alignment shrinkToFit="1"/>
    </xf>
    <xf numFmtId="43" fontId="38" fillId="0" borderId="16" xfId="1" applyFont="1" applyFill="1" applyBorder="1" applyAlignment="1">
      <alignment shrinkToFit="1"/>
    </xf>
    <xf numFmtId="39" fontId="38" fillId="5" borderId="16" xfId="0" applyNumberFormat="1" applyFont="1" applyFill="1" applyBorder="1" applyAlignment="1">
      <alignment horizontal="left" vertical="center"/>
    </xf>
    <xf numFmtId="1" fontId="38" fillId="0" borderId="16" xfId="1" applyNumberFormat="1" applyFont="1" applyFill="1" applyBorder="1" applyAlignment="1">
      <alignment horizontal="center" vertical="center"/>
    </xf>
    <xf numFmtId="0" fontId="38" fillId="5" borderId="16" xfId="0" applyFont="1" applyFill="1" applyBorder="1" applyAlignment="1">
      <alignment horizontal="left" vertical="center" wrapText="1"/>
    </xf>
    <xf numFmtId="43" fontId="38" fillId="5" borderId="16" xfId="1" applyFont="1" applyFill="1" applyBorder="1" applyAlignment="1">
      <alignment horizontal="center" vertical="center"/>
    </xf>
    <xf numFmtId="0" fontId="40" fillId="0" borderId="16" xfId="0" applyFont="1" applyFill="1" applyBorder="1" applyAlignment="1">
      <alignment horizontal="left" vertical="center"/>
    </xf>
    <xf numFmtId="1" fontId="38" fillId="28" borderId="16" xfId="0" applyNumberFormat="1" applyFont="1" applyFill="1" applyBorder="1" applyAlignment="1">
      <alignment horizontal="center" vertical="center"/>
    </xf>
    <xf numFmtId="0" fontId="38" fillId="28" borderId="16" xfId="0" applyFont="1" applyFill="1" applyBorder="1" applyAlignment="1">
      <alignment horizontal="left" vertical="center"/>
    </xf>
    <xf numFmtId="43" fontId="38" fillId="28" borderId="16" xfId="1" applyFont="1" applyFill="1" applyBorder="1" applyAlignment="1">
      <alignment horizontal="right" vertical="center"/>
    </xf>
    <xf numFmtId="43" fontId="38" fillId="28" borderId="16" xfId="1" applyFont="1" applyFill="1" applyBorder="1" applyAlignment="1">
      <alignment vertical="center"/>
    </xf>
    <xf numFmtId="4" fontId="38" fillId="28" borderId="16" xfId="1" applyNumberFormat="1" applyFont="1" applyFill="1" applyBorder="1" applyAlignment="1">
      <alignment vertical="center"/>
    </xf>
    <xf numFmtId="0" fontId="38" fillId="28" borderId="16" xfId="0" applyFont="1" applyFill="1" applyBorder="1" applyAlignment="1">
      <alignment vertical="center"/>
    </xf>
    <xf numFmtId="1" fontId="38" fillId="28" borderId="16" xfId="1" applyNumberFormat="1" applyFont="1" applyFill="1" applyBorder="1" applyAlignment="1">
      <alignment horizontal="center" vertical="center"/>
    </xf>
    <xf numFmtId="43" fontId="38" fillId="28" borderId="4" xfId="1" applyFont="1" applyFill="1" applyBorder="1" applyAlignment="1">
      <alignment horizontal="right" vertical="center"/>
    </xf>
    <xf numFmtId="43" fontId="38" fillId="28" borderId="4" xfId="1" applyFont="1" applyFill="1" applyBorder="1" applyAlignment="1">
      <alignment vertical="center"/>
    </xf>
    <xf numFmtId="0" fontId="38" fillId="28" borderId="4" xfId="0" applyFont="1" applyFill="1" applyBorder="1" applyAlignment="1">
      <alignment vertical="center"/>
    </xf>
    <xf numFmtId="0" fontId="40" fillId="3" borderId="16" xfId="0" applyFont="1" applyFill="1" applyBorder="1" applyAlignment="1">
      <alignment horizontal="left" vertical="center"/>
    </xf>
    <xf numFmtId="43" fontId="38" fillId="3" borderId="16" xfId="1" applyNumberFormat="1" applyFont="1" applyFill="1" applyBorder="1" applyAlignment="1">
      <alignment vertical="center"/>
    </xf>
    <xf numFmtId="43" fontId="38" fillId="5" borderId="2" xfId="1" applyFont="1" applyFill="1" applyBorder="1" applyAlignment="1">
      <alignment vertical="center"/>
    </xf>
    <xf numFmtId="0" fontId="38" fillId="3" borderId="6" xfId="0" applyFont="1" applyFill="1" applyBorder="1" applyAlignment="1">
      <alignment horizontal="left" vertical="center"/>
    </xf>
    <xf numFmtId="43" fontId="38" fillId="3" borderId="6" xfId="1" applyFont="1" applyFill="1" applyBorder="1" applyAlignment="1">
      <alignment horizontal="right" vertical="center"/>
    </xf>
    <xf numFmtId="43" fontId="38" fillId="0" borderId="6" xfId="1" applyFont="1" applyBorder="1" applyAlignment="1">
      <alignment vertical="center"/>
    </xf>
    <xf numFmtId="1" fontId="38" fillId="0" borderId="6" xfId="0" applyNumberFormat="1" applyFont="1" applyBorder="1" applyAlignment="1">
      <alignment horizontal="center" vertical="center"/>
    </xf>
    <xf numFmtId="1" fontId="38" fillId="3" borderId="6" xfId="1" applyNumberFormat="1" applyFont="1" applyFill="1" applyBorder="1" applyAlignment="1">
      <alignment horizontal="center" vertical="center"/>
    </xf>
    <xf numFmtId="1" fontId="38" fillId="3" borderId="24" xfId="0" applyNumberFormat="1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left" vertical="center"/>
    </xf>
    <xf numFmtId="49" fontId="38" fillId="3" borderId="24" xfId="0" applyNumberFormat="1" applyFont="1" applyFill="1" applyBorder="1" applyAlignment="1">
      <alignment horizontal="left" vertical="center"/>
    </xf>
    <xf numFmtId="43" fontId="38" fillId="3" borderId="24" xfId="1" applyFont="1" applyFill="1" applyBorder="1" applyAlignment="1">
      <alignment horizontal="right" vertical="center"/>
    </xf>
    <xf numFmtId="43" fontId="38" fillId="3" borderId="24" xfId="1" applyFont="1" applyFill="1" applyBorder="1" applyAlignment="1">
      <alignment vertical="center"/>
    </xf>
    <xf numFmtId="4" fontId="38" fillId="3" borderId="24" xfId="1" applyNumberFormat="1" applyFont="1" applyFill="1" applyBorder="1" applyAlignment="1">
      <alignment vertical="center"/>
    </xf>
    <xf numFmtId="1" fontId="38" fillId="3" borderId="24" xfId="1" applyNumberFormat="1" applyFont="1" applyFill="1" applyBorder="1" applyAlignment="1">
      <alignment horizontal="center" vertical="center"/>
    </xf>
    <xf numFmtId="1" fontId="38" fillId="5" borderId="25" xfId="0" applyNumberFormat="1" applyFont="1" applyFill="1" applyBorder="1" applyAlignment="1">
      <alignment horizontal="center" vertical="center"/>
    </xf>
    <xf numFmtId="49" fontId="38" fillId="5" borderId="2" xfId="0" applyNumberFormat="1" applyFont="1" applyFill="1" applyBorder="1" applyAlignment="1">
      <alignment horizontal="left" vertical="center"/>
    </xf>
    <xf numFmtId="0" fontId="38" fillId="5" borderId="2" xfId="0" applyFont="1" applyFill="1" applyBorder="1" applyAlignment="1">
      <alignment horizontal="left" vertical="center"/>
    </xf>
    <xf numFmtId="43" fontId="38" fillId="5" borderId="2" xfId="1" applyFont="1" applyFill="1" applyBorder="1" applyAlignment="1">
      <alignment horizontal="left" vertical="center"/>
    </xf>
    <xf numFmtId="43" fontId="38" fillId="5" borderId="2" xfId="1" applyFont="1" applyFill="1" applyBorder="1" applyAlignment="1">
      <alignment horizontal="center" vertical="center"/>
    </xf>
    <xf numFmtId="4" fontId="38" fillId="5" borderId="2" xfId="1" applyNumberFormat="1" applyFont="1" applyFill="1" applyBorder="1" applyAlignment="1">
      <alignment horizontal="right" vertical="center"/>
    </xf>
    <xf numFmtId="0" fontId="38" fillId="5" borderId="2" xfId="1" applyNumberFormat="1" applyFont="1" applyFill="1" applyBorder="1" applyAlignment="1">
      <alignment horizontal="left" vertical="center"/>
    </xf>
    <xf numFmtId="43" fontId="38" fillId="5" borderId="2" xfId="1" applyFont="1" applyFill="1" applyBorder="1" applyAlignment="1">
      <alignment horizontal="right" vertical="center"/>
    </xf>
    <xf numFmtId="43" fontId="38" fillId="5" borderId="14" xfId="1" applyFont="1" applyFill="1" applyBorder="1" applyAlignment="1">
      <alignment vertical="center"/>
    </xf>
    <xf numFmtId="43" fontId="40" fillId="5" borderId="26" xfId="1" applyFont="1" applyFill="1" applyBorder="1" applyAlignment="1">
      <alignment horizontal="left" vertical="center"/>
    </xf>
    <xf numFmtId="4" fontId="38" fillId="3" borderId="18" xfId="0" applyNumberFormat="1" applyFont="1" applyFill="1" applyBorder="1" applyAlignment="1">
      <alignment vertical="center"/>
    </xf>
    <xf numFmtId="1" fontId="38" fillId="0" borderId="18" xfId="1" applyNumberFormat="1" applyFont="1" applyFill="1" applyBorder="1" applyAlignment="1">
      <alignment horizontal="center" vertical="center"/>
    </xf>
    <xf numFmtId="43" fontId="38" fillId="10" borderId="1" xfId="1" applyFont="1" applyFill="1" applyBorder="1" applyAlignment="1">
      <alignment horizontal="right" vertical="center"/>
    </xf>
    <xf numFmtId="1" fontId="38" fillId="0" borderId="4" xfId="1" applyNumberFormat="1" applyFont="1" applyFill="1" applyBorder="1" applyAlignment="1">
      <alignment horizontal="center" vertical="center"/>
    </xf>
    <xf numFmtId="43" fontId="38" fillId="0" borderId="42" xfId="1" applyFont="1" applyFill="1" applyBorder="1" applyAlignment="1">
      <alignment horizontal="right" vertical="center"/>
    </xf>
    <xf numFmtId="171" fontId="38" fillId="4" borderId="18" xfId="30" applyFont="1" applyFill="1" applyBorder="1" applyAlignment="1">
      <alignment horizontal="right" vertical="center" shrinkToFit="1"/>
    </xf>
    <xf numFmtId="4" fontId="38" fillId="6" borderId="4" xfId="0" applyNumberFormat="1" applyFont="1" applyFill="1" applyBorder="1" applyAlignment="1">
      <alignment vertical="center"/>
    </xf>
    <xf numFmtId="49" fontId="38" fillId="6" borderId="44" xfId="0" applyNumberFormat="1" applyFont="1" applyFill="1" applyBorder="1" applyAlignment="1">
      <alignment horizontal="center" vertical="center" shrinkToFit="1"/>
    </xf>
    <xf numFmtId="43" fontId="38" fillId="6" borderId="6" xfId="1" applyFont="1" applyFill="1" applyBorder="1" applyAlignment="1">
      <alignment horizontal="right" vertical="center"/>
    </xf>
    <xf numFmtId="49" fontId="38" fillId="0" borderId="16" xfId="0" applyNumberFormat="1" applyFont="1" applyFill="1" applyBorder="1" applyAlignment="1">
      <alignment horizontal="center" vertical="center" shrinkToFit="1"/>
    </xf>
    <xf numFmtId="0" fontId="38" fillId="0" borderId="16" xfId="112" applyFont="1" applyBorder="1" applyAlignment="1">
      <alignment horizontal="left"/>
    </xf>
    <xf numFmtId="0" fontId="38" fillId="5" borderId="48" xfId="0" applyFont="1" applyFill="1" applyBorder="1" applyAlignment="1">
      <alignment vertical="center"/>
    </xf>
    <xf numFmtId="0" fontId="38" fillId="0" borderId="3" xfId="0" applyFont="1" applyFill="1" applyBorder="1" applyAlignment="1">
      <alignment vertical="center"/>
    </xf>
    <xf numFmtId="39" fontId="38" fillId="5" borderId="16" xfId="0" applyNumberFormat="1" applyFont="1" applyFill="1" applyBorder="1" applyAlignment="1">
      <alignment vertical="center"/>
    </xf>
    <xf numFmtId="39" fontId="38" fillId="3" borderId="16" xfId="0" applyNumberFormat="1" applyFont="1" applyFill="1" applyBorder="1" applyAlignment="1">
      <alignment vertical="center"/>
    </xf>
    <xf numFmtId="49" fontId="38" fillId="0" borderId="16" xfId="243" applyNumberFormat="1" applyFont="1" applyBorder="1" applyAlignment="1">
      <alignment horizontal="left" vertical="center"/>
    </xf>
    <xf numFmtId="49" fontId="38" fillId="0" borderId="16" xfId="243" applyNumberFormat="1" applyFont="1" applyBorder="1" applyAlignment="1">
      <alignment vertical="center"/>
    </xf>
    <xf numFmtId="1" fontId="38" fillId="0" borderId="16" xfId="243" applyNumberFormat="1" applyFont="1" applyBorder="1" applyAlignment="1">
      <alignment horizontal="center" vertical="center"/>
    </xf>
    <xf numFmtId="39" fontId="38" fillId="0" borderId="16" xfId="0" applyNumberFormat="1" applyFont="1" applyFill="1" applyBorder="1" applyAlignment="1">
      <alignment vertical="center"/>
    </xf>
    <xf numFmtId="0" fontId="38" fillId="5" borderId="16" xfId="112" applyFont="1" applyFill="1" applyBorder="1" applyAlignment="1">
      <alignment horizontal="left"/>
    </xf>
    <xf numFmtId="0" fontId="38" fillId="5" borderId="16" xfId="112" applyFont="1" applyFill="1" applyBorder="1" applyAlignment="1">
      <alignment horizontal="left" indent="1"/>
    </xf>
    <xf numFmtId="43" fontId="38" fillId="5" borderId="16" xfId="1" applyFont="1" applyFill="1" applyBorder="1" applyAlignment="1">
      <alignment horizontal="left" indent="1"/>
    </xf>
    <xf numFmtId="43" fontId="38" fillId="5" borderId="16" xfId="1" applyFont="1" applyFill="1" applyBorder="1" applyAlignment="1"/>
    <xf numFmtId="184" fontId="38" fillId="5" borderId="16" xfId="128" applyNumberFormat="1" applyFont="1" applyFill="1" applyBorder="1" applyAlignment="1">
      <alignment horizontal="center"/>
    </xf>
    <xf numFmtId="4" fontId="38" fillId="5" borderId="16" xfId="1" applyNumberFormat="1" applyFont="1" applyFill="1" applyBorder="1"/>
    <xf numFmtId="43" fontId="38" fillId="5" borderId="12" xfId="1" applyFont="1" applyFill="1" applyBorder="1" applyAlignment="1">
      <alignment horizontal="right" vertical="center"/>
    </xf>
    <xf numFmtId="39" fontId="38" fillId="0" borderId="16" xfId="0" applyNumberFormat="1" applyFont="1" applyBorder="1" applyAlignment="1">
      <alignment vertical="center"/>
    </xf>
    <xf numFmtId="0" fontId="38" fillId="5" borderId="15" xfId="0" applyFont="1" applyFill="1" applyBorder="1" applyAlignment="1">
      <alignment vertical="center"/>
    </xf>
    <xf numFmtId="0" fontId="38" fillId="5" borderId="2" xfId="0" applyFont="1" applyFill="1" applyBorder="1" applyAlignment="1">
      <alignment vertical="center"/>
    </xf>
    <xf numFmtId="39" fontId="38" fillId="5" borderId="16" xfId="0" applyNumberFormat="1" applyFont="1" applyFill="1" applyBorder="1" applyAlignment="1">
      <alignment horizontal="center" vertical="center"/>
    </xf>
    <xf numFmtId="3" fontId="38" fillId="5" borderId="16" xfId="0" applyNumberFormat="1" applyFont="1" applyFill="1" applyBorder="1" applyAlignment="1">
      <alignment horizontal="center" vertical="center"/>
    </xf>
    <xf numFmtId="4" fontId="38" fillId="5" borderId="16" xfId="1" applyNumberFormat="1" applyFont="1" applyFill="1" applyBorder="1" applyAlignment="1">
      <alignment horizontal="center" vertical="center"/>
    </xf>
    <xf numFmtId="4" fontId="38" fillId="0" borderId="16" xfId="0" applyNumberFormat="1" applyFont="1" applyBorder="1" applyAlignment="1">
      <alignment vertical="center"/>
    </xf>
    <xf numFmtId="4" fontId="38" fillId="5" borderId="16" xfId="0" applyNumberFormat="1" applyFont="1" applyFill="1" applyBorder="1" applyAlignment="1">
      <alignment horizontal="center" vertical="center"/>
    </xf>
    <xf numFmtId="49" fontId="38" fillId="0" borderId="24" xfId="0" applyNumberFormat="1" applyFont="1" applyBorder="1" applyAlignment="1">
      <alignment horizontal="left" vertical="center"/>
    </xf>
    <xf numFmtId="49" fontId="38" fillId="3" borderId="24" xfId="0" applyNumberFormat="1" applyFont="1" applyFill="1" applyBorder="1" applyAlignment="1">
      <alignment vertical="center"/>
    </xf>
    <xf numFmtId="43" fontId="38" fillId="3" borderId="24" xfId="1" applyFont="1" applyFill="1" applyBorder="1" applyAlignment="1">
      <alignment horizontal="right" vertical="center" shrinkToFit="1"/>
    </xf>
    <xf numFmtId="4" fontId="38" fillId="3" borderId="24" xfId="0" applyNumberFormat="1" applyFont="1" applyFill="1" applyBorder="1" applyAlignment="1">
      <alignment vertical="center"/>
    </xf>
    <xf numFmtId="4" fontId="38" fillId="3" borderId="24" xfId="0" applyNumberFormat="1" applyFont="1" applyFill="1" applyBorder="1" applyAlignment="1">
      <alignment horizontal="center" vertical="center"/>
    </xf>
    <xf numFmtId="0" fontId="38" fillId="3" borderId="17" xfId="0" applyFont="1" applyFill="1" applyBorder="1" applyAlignment="1">
      <alignment vertical="center"/>
    </xf>
    <xf numFmtId="1" fontId="38" fillId="0" borderId="17" xfId="1" applyNumberFormat="1" applyFont="1" applyFill="1" applyBorder="1" applyAlignment="1">
      <alignment horizontal="center" vertical="center"/>
    </xf>
    <xf numFmtId="4" fontId="40" fillId="0" borderId="25" xfId="0" applyNumberFormat="1" applyFont="1" applyFill="1" applyBorder="1" applyAlignment="1">
      <alignment vertical="center"/>
    </xf>
    <xf numFmtId="43" fontId="38" fillId="11" borderId="0" xfId="1" applyFont="1" applyFill="1"/>
    <xf numFmtId="4" fontId="38" fillId="0" borderId="0" xfId="0" applyNumberFormat="1" applyFont="1" applyAlignment="1">
      <alignment vertical="center"/>
    </xf>
    <xf numFmtId="1" fontId="38" fillId="6" borderId="4" xfId="0" applyNumberFormat="1" applyFont="1" applyFill="1" applyBorder="1" applyAlignment="1">
      <alignment horizontal="center" vertical="center"/>
    </xf>
    <xf numFmtId="4" fontId="38" fillId="6" borderId="4" xfId="1" applyNumberFormat="1" applyFont="1" applyFill="1" applyBorder="1" applyAlignment="1">
      <alignment horizontal="right" vertical="center"/>
    </xf>
    <xf numFmtId="4" fontId="38" fillId="6" borderId="4" xfId="0" applyNumberFormat="1" applyFont="1" applyFill="1" applyBorder="1" applyAlignment="1">
      <alignment horizontal="left" vertical="center"/>
    </xf>
    <xf numFmtId="49" fontId="38" fillId="0" borderId="4" xfId="0" applyNumberFormat="1" applyFont="1" applyFill="1" applyBorder="1" applyAlignment="1">
      <alignment vertical="center"/>
    </xf>
    <xf numFmtId="0" fontId="38" fillId="0" borderId="16" xfId="220" applyFont="1" applyBorder="1" applyAlignment="1">
      <alignment vertical="center"/>
    </xf>
    <xf numFmtId="0" fontId="38" fillId="0" borderId="28" xfId="220" applyFont="1" applyBorder="1" applyAlignment="1">
      <alignment horizontal="left" vertical="center"/>
    </xf>
    <xf numFmtId="43" fontId="38" fillId="0" borderId="50" xfId="1" applyFont="1" applyBorder="1" applyAlignment="1">
      <alignment vertical="center"/>
    </xf>
    <xf numFmtId="0" fontId="38" fillId="0" borderId="16" xfId="220" applyFont="1" applyBorder="1" applyAlignment="1">
      <alignment horizontal="center" vertical="center"/>
    </xf>
    <xf numFmtId="4" fontId="38" fillId="0" borderId="27" xfId="1" applyNumberFormat="1" applyFont="1" applyFill="1" applyBorder="1"/>
    <xf numFmtId="0" fontId="38" fillId="0" borderId="16" xfId="220" applyFont="1" applyBorder="1" applyAlignment="1">
      <alignment horizontal="left" vertical="center"/>
    </xf>
    <xf numFmtId="181" fontId="38" fillId="0" borderId="16" xfId="0" applyNumberFormat="1" applyFont="1" applyFill="1" applyBorder="1" applyAlignment="1">
      <alignment vertical="center"/>
    </xf>
    <xf numFmtId="182" fontId="38" fillId="0" borderId="16" xfId="0" applyNumberFormat="1" applyFont="1" applyFill="1" applyBorder="1" applyAlignment="1">
      <alignment horizontal="center" vertical="center"/>
    </xf>
    <xf numFmtId="181" fontId="38" fillId="0" borderId="16" xfId="0" applyNumberFormat="1" applyFont="1" applyBorder="1" applyAlignment="1">
      <alignment vertical="center"/>
    </xf>
    <xf numFmtId="182" fontId="38" fillId="0" borderId="16" xfId="0" applyNumberFormat="1" applyFont="1" applyBorder="1" applyAlignment="1">
      <alignment horizontal="center" vertical="center"/>
    </xf>
    <xf numFmtId="43" fontId="38" fillId="10" borderId="26" xfId="0" applyNumberFormat="1" applyFont="1" applyFill="1" applyBorder="1" applyAlignment="1">
      <alignment vertical="center"/>
    </xf>
    <xf numFmtId="1" fontId="38" fillId="0" borderId="16" xfId="220" applyNumberFormat="1" applyFont="1" applyBorder="1" applyAlignment="1">
      <alignment horizontal="center" vertical="center"/>
    </xf>
    <xf numFmtId="0" fontId="38" fillId="0" borderId="16" xfId="57" applyFont="1" applyBorder="1" applyAlignment="1">
      <alignment vertical="center"/>
    </xf>
    <xf numFmtId="0" fontId="38" fillId="0" borderId="16" xfId="57" applyFont="1" applyBorder="1" applyAlignment="1">
      <alignment horizontal="left" vertical="center"/>
    </xf>
    <xf numFmtId="43" fontId="38" fillId="10" borderId="28" xfId="1" applyFont="1" applyFill="1" applyBorder="1" applyAlignment="1">
      <alignment vertical="center"/>
    </xf>
    <xf numFmtId="0" fontId="38" fillId="0" borderId="16" xfId="57" applyFont="1" applyBorder="1" applyAlignment="1">
      <alignment horizontal="center" vertical="center"/>
    </xf>
    <xf numFmtId="0" fontId="38" fillId="10" borderId="16" xfId="57" applyFont="1" applyFill="1" applyBorder="1" applyAlignment="1">
      <alignment vertical="center"/>
    </xf>
    <xf numFmtId="0" fontId="38" fillId="10" borderId="16" xfId="57" applyFont="1" applyFill="1" applyBorder="1" applyAlignment="1">
      <alignment horizontal="left" vertical="center"/>
    </xf>
    <xf numFmtId="0" fontId="38" fillId="10" borderId="16" xfId="57" applyFont="1" applyFill="1" applyBorder="1" applyAlignment="1">
      <alignment horizontal="center" vertical="center"/>
    </xf>
    <xf numFmtId="4" fontId="38" fillId="10" borderId="16" xfId="57" applyNumberFormat="1" applyFont="1" applyFill="1" applyBorder="1" applyAlignment="1">
      <alignment horizontal="left" vertical="center"/>
    </xf>
    <xf numFmtId="49" fontId="38" fillId="10" borderId="16" xfId="57" applyNumberFormat="1" applyFont="1" applyFill="1" applyBorder="1" applyAlignment="1">
      <alignment horizontal="left" vertical="center"/>
    </xf>
    <xf numFmtId="4" fontId="38" fillId="10" borderId="26" xfId="0" applyNumberFormat="1" applyFont="1" applyFill="1" applyBorder="1" applyAlignment="1">
      <alignment vertical="center"/>
    </xf>
    <xf numFmtId="182" fontId="38" fillId="10" borderId="16" xfId="0" applyNumberFormat="1" applyFont="1" applyFill="1" applyBorder="1" applyAlignment="1">
      <alignment horizontal="center" vertical="center"/>
    </xf>
    <xf numFmtId="4" fontId="38" fillId="10" borderId="26" xfId="1" applyNumberFormat="1" applyFont="1" applyFill="1" applyBorder="1" applyAlignment="1">
      <alignment vertical="center"/>
    </xf>
    <xf numFmtId="4" fontId="38" fillId="3" borderId="4" xfId="1" applyNumberFormat="1" applyFont="1" applyFill="1" applyBorder="1" applyAlignment="1">
      <alignment vertical="center"/>
    </xf>
    <xf numFmtId="43" fontId="38" fillId="3" borderId="45" xfId="1" applyFont="1" applyFill="1" applyBorder="1" applyAlignment="1">
      <alignment vertical="center"/>
    </xf>
    <xf numFmtId="4" fontId="38" fillId="3" borderId="0" xfId="1" applyNumberFormat="1" applyFont="1" applyFill="1" applyBorder="1" applyAlignment="1">
      <alignment vertical="center"/>
    </xf>
    <xf numFmtId="43" fontId="38" fillId="10" borderId="45" xfId="1" applyFont="1" applyFill="1" applyBorder="1" applyAlignment="1">
      <alignment vertical="center"/>
    </xf>
    <xf numFmtId="4" fontId="38" fillId="0" borderId="4" xfId="1" applyNumberFormat="1" applyFont="1" applyFill="1" applyBorder="1" applyAlignment="1">
      <alignment vertical="center"/>
    </xf>
    <xf numFmtId="4" fontId="38" fillId="0" borderId="0" xfId="1" applyNumberFormat="1" applyFont="1" applyFill="1" applyBorder="1" applyAlignment="1">
      <alignment vertical="center"/>
    </xf>
    <xf numFmtId="0" fontId="38" fillId="10" borderId="24" xfId="0" applyFont="1" applyFill="1" applyBorder="1" applyAlignment="1">
      <alignment horizontal="left" vertical="center"/>
    </xf>
    <xf numFmtId="182" fontId="38" fillId="10" borderId="24" xfId="0" applyNumberFormat="1" applyFont="1" applyFill="1" applyBorder="1" applyAlignment="1">
      <alignment horizontal="center" vertical="center"/>
    </xf>
    <xf numFmtId="4" fontId="38" fillId="10" borderId="24" xfId="1" applyNumberFormat="1" applyFont="1" applyFill="1" applyBorder="1" applyAlignment="1">
      <alignment vertical="center"/>
    </xf>
    <xf numFmtId="0" fontId="38" fillId="0" borderId="4" xfId="0" applyFont="1" applyFill="1" applyBorder="1" applyAlignment="1">
      <alignment horizontal="left" vertical="center"/>
    </xf>
    <xf numFmtId="182" fontId="38" fillId="0" borderId="4" xfId="0" applyNumberFormat="1" applyFont="1" applyFill="1" applyBorder="1" applyAlignment="1">
      <alignment horizontal="center" vertical="center"/>
    </xf>
    <xf numFmtId="1" fontId="38" fillId="29" borderId="4" xfId="0" applyNumberFormat="1" applyFont="1" applyFill="1" applyBorder="1" applyAlignment="1">
      <alignment horizontal="center" vertical="center"/>
    </xf>
    <xf numFmtId="0" fontId="38" fillId="29" borderId="4" xfId="0" applyFont="1" applyFill="1" applyBorder="1" applyAlignment="1">
      <alignment vertical="center"/>
    </xf>
    <xf numFmtId="0" fontId="38" fillId="29" borderId="4" xfId="0" applyFont="1" applyFill="1" applyBorder="1" applyAlignment="1">
      <alignment horizontal="left" vertical="center"/>
    </xf>
    <xf numFmtId="43" fontId="38" fillId="29" borderId="4" xfId="1" applyFont="1" applyFill="1" applyBorder="1" applyAlignment="1">
      <alignment vertical="center"/>
    </xf>
    <xf numFmtId="182" fontId="38" fillId="29" borderId="4" xfId="0" applyNumberFormat="1" applyFont="1" applyFill="1" applyBorder="1" applyAlignment="1">
      <alignment horizontal="center" vertical="center"/>
    </xf>
    <xf numFmtId="4" fontId="38" fillId="29" borderId="4" xfId="1" applyNumberFormat="1" applyFont="1" applyFill="1" applyBorder="1" applyAlignment="1">
      <alignment vertical="center"/>
    </xf>
    <xf numFmtId="0" fontId="38" fillId="29" borderId="4" xfId="0" applyFont="1" applyFill="1" applyBorder="1" applyAlignment="1">
      <alignment horizontal="center" vertical="center"/>
    </xf>
    <xf numFmtId="43" fontId="38" fillId="29" borderId="4" xfId="1" applyFont="1" applyFill="1" applyBorder="1" applyAlignment="1">
      <alignment horizontal="right" vertical="center"/>
    </xf>
    <xf numFmtId="4" fontId="38" fillId="29" borderId="0" xfId="1" applyNumberFormat="1" applyFont="1" applyFill="1" applyBorder="1" applyAlignment="1">
      <alignment vertical="center"/>
    </xf>
    <xf numFmtId="4" fontId="38" fillId="29" borderId="4" xfId="0" applyNumberFormat="1" applyFont="1" applyFill="1" applyBorder="1" applyAlignment="1">
      <alignment vertical="center"/>
    </xf>
    <xf numFmtId="43" fontId="38" fillId="29" borderId="16" xfId="1" applyFont="1" applyFill="1" applyBorder="1" applyAlignment="1">
      <alignment horizontal="right" vertical="center"/>
    </xf>
    <xf numFmtId="176" fontId="38" fillId="3" borderId="17" xfId="0" applyNumberFormat="1" applyFont="1" applyFill="1" applyBorder="1" applyAlignment="1">
      <alignment horizontal="center" vertical="center"/>
    </xf>
    <xf numFmtId="4" fontId="40" fillId="0" borderId="4" xfId="0" applyNumberFormat="1" applyFont="1" applyFill="1" applyBorder="1" applyAlignment="1">
      <alignment vertical="center"/>
    </xf>
    <xf numFmtId="4" fontId="38" fillId="0" borderId="11" xfId="1" applyNumberFormat="1" applyFont="1" applyFill="1" applyBorder="1" applyAlignment="1">
      <alignment horizontal="right" vertical="center"/>
    </xf>
    <xf numFmtId="43" fontId="38" fillId="0" borderId="4" xfId="1" applyFont="1" applyBorder="1" applyAlignment="1">
      <alignment vertical="center"/>
    </xf>
    <xf numFmtId="4" fontId="38" fillId="0" borderId="16" xfId="0" applyNumberFormat="1" applyFont="1" applyBorder="1" applyAlignment="1">
      <alignment horizontal="left" vertical="center"/>
    </xf>
    <xf numFmtId="4" fontId="38" fillId="0" borderId="16" xfId="0" applyNumberFormat="1" applyFont="1" applyBorder="1" applyAlignment="1">
      <alignment vertical="center" shrinkToFit="1"/>
    </xf>
    <xf numFmtId="43" fontId="38" fillId="5" borderId="16" xfId="0" applyNumberFormat="1" applyFont="1" applyFill="1" applyBorder="1" applyAlignment="1">
      <alignment vertical="center"/>
    </xf>
    <xf numFmtId="43" fontId="38" fillId="5" borderId="11" xfId="1" applyFont="1" applyFill="1" applyBorder="1" applyAlignment="1">
      <alignment horizontal="right" vertical="center"/>
    </xf>
    <xf numFmtId="43" fontId="38" fillId="0" borderId="16" xfId="0" applyNumberFormat="1" applyFont="1" applyFill="1" applyBorder="1" applyAlignment="1">
      <alignment vertical="center"/>
    </xf>
    <xf numFmtId="0" fontId="38" fillId="5" borderId="16" xfId="0" applyNumberFormat="1" applyFont="1" applyFill="1" applyBorder="1" applyAlignment="1">
      <alignment horizontal="center" vertical="center"/>
    </xf>
    <xf numFmtId="171" fontId="38" fillId="5" borderId="26" xfId="0" applyNumberFormat="1" applyFont="1" applyFill="1" applyBorder="1" applyAlignment="1">
      <alignment vertical="center"/>
    </xf>
    <xf numFmtId="0" fontId="38" fillId="0" borderId="16" xfId="0" applyNumberFormat="1" applyFont="1" applyFill="1" applyBorder="1" applyAlignment="1">
      <alignment horizontal="center" vertical="center"/>
    </xf>
    <xf numFmtId="171" fontId="38" fillId="0" borderId="26" xfId="0" applyNumberFormat="1" applyFont="1" applyFill="1" applyBorder="1" applyAlignment="1">
      <alignment vertical="center"/>
    </xf>
    <xf numFmtId="1" fontId="38" fillId="5" borderId="24" xfId="0" applyNumberFormat="1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vertical="center"/>
    </xf>
    <xf numFmtId="49" fontId="38" fillId="5" borderId="24" xfId="0" applyNumberFormat="1" applyFont="1" applyFill="1" applyBorder="1" applyAlignment="1">
      <alignment vertical="center"/>
    </xf>
    <xf numFmtId="43" fontId="38" fillId="5" borderId="24" xfId="1" applyFont="1" applyFill="1" applyBorder="1" applyAlignment="1">
      <alignment vertical="center"/>
    </xf>
    <xf numFmtId="4" fontId="38" fillId="5" borderId="24" xfId="1" applyNumberFormat="1" applyFont="1" applyFill="1" applyBorder="1" applyAlignment="1">
      <alignment vertical="center"/>
    </xf>
    <xf numFmtId="43" fontId="38" fillId="5" borderId="24" xfId="0" applyNumberFormat="1" applyFont="1" applyFill="1" applyBorder="1" applyAlignment="1">
      <alignment vertical="center" shrinkToFit="1"/>
    </xf>
    <xf numFmtId="0" fontId="38" fillId="5" borderId="24" xfId="0" applyNumberFormat="1" applyFont="1" applyFill="1" applyBorder="1" applyAlignment="1">
      <alignment horizontal="center" vertical="center"/>
    </xf>
    <xf numFmtId="43" fontId="38" fillId="5" borderId="24" xfId="1" applyFont="1" applyFill="1" applyBorder="1" applyAlignment="1">
      <alignment horizontal="right" vertical="center"/>
    </xf>
    <xf numFmtId="4" fontId="38" fillId="3" borderId="17" xfId="0" applyNumberFormat="1" applyFont="1" applyFill="1" applyBorder="1" applyAlignment="1">
      <alignment vertical="center"/>
    </xf>
    <xf numFmtId="43" fontId="38" fillId="11" borderId="44" xfId="1" applyFont="1" applyFill="1" applyBorder="1" applyAlignment="1">
      <alignment vertical="center"/>
    </xf>
    <xf numFmtId="43" fontId="38" fillId="6" borderId="0" xfId="1" applyFont="1" applyFill="1" applyAlignment="1">
      <alignment horizontal="center" vertical="center"/>
    </xf>
    <xf numFmtId="43" fontId="38" fillId="0" borderId="0" xfId="1" applyFont="1" applyFill="1" applyAlignment="1">
      <alignment horizontal="center" vertical="center"/>
    </xf>
    <xf numFmtId="49" fontId="38" fillId="3" borderId="16" xfId="0" applyNumberFormat="1" applyFont="1" applyFill="1" applyBorder="1" applyAlignment="1">
      <alignment horizontal="center" vertical="center"/>
    </xf>
    <xf numFmtId="43" fontId="38" fillId="3" borderId="0" xfId="1" applyFont="1" applyFill="1" applyBorder="1" applyAlignment="1">
      <alignment horizontal="right" vertical="center"/>
    </xf>
    <xf numFmtId="43" fontId="38" fillId="3" borderId="0" xfId="1" applyFont="1" applyFill="1" applyAlignment="1">
      <alignment horizontal="center" vertical="center"/>
    </xf>
    <xf numFmtId="43" fontId="38" fillId="3" borderId="16" xfId="1" applyFont="1" applyFill="1" applyBorder="1" applyAlignment="1">
      <alignment horizontal="center" vertical="center"/>
    </xf>
    <xf numFmtId="43" fontId="38" fillId="10" borderId="0" xfId="1" applyFont="1" applyFill="1" applyBorder="1" applyAlignment="1">
      <alignment horizontal="right" vertical="center"/>
    </xf>
    <xf numFmtId="1" fontId="38" fillId="10" borderId="16" xfId="0" applyNumberFormat="1" applyFont="1" applyFill="1" applyBorder="1" applyAlignment="1">
      <alignment horizontal="center" vertical="center" shrinkToFit="1"/>
    </xf>
    <xf numFmtId="1" fontId="38" fillId="0" borderId="16" xfId="0" applyNumberFormat="1" applyFont="1" applyFill="1" applyBorder="1" applyAlignment="1">
      <alignment horizontal="center" vertical="center" shrinkToFit="1"/>
    </xf>
    <xf numFmtId="1" fontId="38" fillId="3" borderId="16" xfId="0" applyNumberFormat="1" applyFont="1" applyFill="1" applyBorder="1" applyAlignment="1">
      <alignment horizontal="center" vertical="center" shrinkToFit="1"/>
    </xf>
    <xf numFmtId="1" fontId="38" fillId="5" borderId="16" xfId="0" applyNumberFormat="1" applyFont="1" applyFill="1" applyBorder="1" applyAlignment="1">
      <alignment horizontal="center" vertical="center" shrinkToFit="1"/>
    </xf>
    <xf numFmtId="0" fontId="38" fillId="0" borderId="16" xfId="216" applyFont="1" applyBorder="1"/>
    <xf numFmtId="0" fontId="38" fillId="0" borderId="16" xfId="216" applyFont="1" applyBorder="1" applyAlignment="1">
      <alignment horizontal="left"/>
    </xf>
    <xf numFmtId="43" fontId="38" fillId="0" borderId="16" xfId="1" applyFont="1" applyBorder="1" applyAlignment="1">
      <alignment horizontal="left"/>
    </xf>
    <xf numFmtId="0" fontId="38" fillId="0" borderId="16" xfId="216" applyFont="1" applyBorder="1" applyAlignment="1">
      <alignment horizontal="center"/>
    </xf>
    <xf numFmtId="49" fontId="38" fillId="0" borderId="16" xfId="216" applyNumberFormat="1" applyFont="1" applyBorder="1" applyAlignment="1">
      <alignment horizontal="center"/>
    </xf>
    <xf numFmtId="178" fontId="38" fillId="0" borderId="16" xfId="216" applyNumberFormat="1" applyFont="1" applyBorder="1"/>
    <xf numFmtId="0" fontId="38" fillId="13" borderId="16" xfId="216" applyFont="1" applyFill="1" applyBorder="1" applyAlignment="1">
      <alignment horizontal="left"/>
    </xf>
    <xf numFmtId="43" fontId="38" fillId="13" borderId="16" xfId="1" applyFont="1" applyFill="1" applyBorder="1" applyAlignment="1">
      <alignment horizontal="left"/>
    </xf>
    <xf numFmtId="17" fontId="38" fillId="0" borderId="16" xfId="216" applyNumberFormat="1" applyFont="1" applyBorder="1" applyAlignment="1">
      <alignment horizontal="center"/>
    </xf>
    <xf numFmtId="178" fontId="38" fillId="0" borderId="16" xfId="216" applyNumberFormat="1" applyFont="1" applyBorder="1" applyAlignment="1">
      <alignment horizontal="right"/>
    </xf>
    <xf numFmtId="49" fontId="38" fillId="5" borderId="16" xfId="228" applyNumberFormat="1" applyFont="1" applyFill="1" applyBorder="1" applyAlignment="1">
      <alignment horizontal="center" vertical="center"/>
    </xf>
    <xf numFmtId="49" fontId="38" fillId="0" borderId="16" xfId="228" applyNumberFormat="1" applyFont="1" applyFill="1" applyBorder="1" applyAlignment="1">
      <alignment horizontal="center" vertical="center"/>
    </xf>
    <xf numFmtId="0" fontId="38" fillId="10" borderId="16" xfId="216" applyFont="1" applyFill="1" applyBorder="1" applyAlignment="1">
      <alignment horizontal="center"/>
    </xf>
    <xf numFmtId="0" fontId="38" fillId="3" borderId="16" xfId="216" applyFont="1" applyFill="1" applyBorder="1" applyAlignment="1">
      <alignment horizontal="center"/>
    </xf>
    <xf numFmtId="4" fontId="38" fillId="10" borderId="16" xfId="0" applyNumberFormat="1" applyFont="1" applyFill="1" applyBorder="1" applyAlignment="1">
      <alignment horizontal="left" vertical="center"/>
    </xf>
    <xf numFmtId="4" fontId="38" fillId="3" borderId="16" xfId="1" applyNumberFormat="1" applyFont="1" applyFill="1" applyBorder="1" applyAlignment="1">
      <alignment horizontal="left" vertical="center"/>
    </xf>
    <xf numFmtId="3" fontId="38" fillId="3" borderId="16" xfId="1" applyNumberFormat="1" applyFont="1" applyFill="1" applyBorder="1" applyAlignment="1">
      <alignment horizontal="center" vertical="center"/>
    </xf>
    <xf numFmtId="177" fontId="38" fillId="10" borderId="16" xfId="128" applyNumberFormat="1" applyFont="1" applyFill="1" applyBorder="1" applyAlignment="1">
      <alignment horizontal="center" vertical="center"/>
    </xf>
    <xf numFmtId="171" fontId="38" fillId="10" borderId="16" xfId="128" applyFont="1" applyFill="1" applyBorder="1" applyAlignment="1">
      <alignment horizontal="left" vertical="center"/>
    </xf>
    <xf numFmtId="43" fontId="38" fillId="10" borderId="11" xfId="1" applyFont="1" applyFill="1" applyBorder="1" applyAlignment="1">
      <alignment horizontal="center" vertical="center"/>
    </xf>
    <xf numFmtId="4" fontId="38" fillId="10" borderId="11" xfId="0" applyNumberFormat="1" applyFont="1" applyFill="1" applyBorder="1" applyAlignment="1">
      <alignment vertical="center"/>
    </xf>
    <xf numFmtId="177" fontId="38" fillId="0" borderId="16" xfId="128" applyNumberFormat="1" applyFont="1" applyFill="1" applyBorder="1" applyAlignment="1">
      <alignment horizontal="center" vertical="center"/>
    </xf>
    <xf numFmtId="171" fontId="38" fillId="0" borderId="16" xfId="128" applyFont="1" applyFill="1" applyBorder="1" applyAlignment="1">
      <alignment horizontal="left" vertical="center"/>
    </xf>
    <xf numFmtId="43" fontId="38" fillId="0" borderId="11" xfId="1" applyFont="1" applyFill="1" applyBorder="1" applyAlignment="1">
      <alignment horizontal="center" vertical="center"/>
    </xf>
    <xf numFmtId="4" fontId="38" fillId="0" borderId="11" xfId="0" applyNumberFormat="1" applyFont="1" applyFill="1" applyBorder="1" applyAlignment="1">
      <alignment vertical="center"/>
    </xf>
    <xf numFmtId="0" fontId="38" fillId="0" borderId="16" xfId="228" applyFont="1" applyBorder="1" applyAlignment="1">
      <alignment vertical="center"/>
    </xf>
    <xf numFmtId="0" fontId="38" fillId="0" borderId="16" xfId="228" applyFont="1" applyBorder="1" applyAlignment="1">
      <alignment horizontal="left" vertical="center"/>
    </xf>
    <xf numFmtId="177" fontId="38" fillId="3" borderId="16" xfId="128" applyNumberFormat="1" applyFont="1" applyFill="1" applyBorder="1" applyAlignment="1">
      <alignment horizontal="center" vertical="center"/>
    </xf>
    <xf numFmtId="171" fontId="38" fillId="3" borderId="16" xfId="128" applyFont="1" applyFill="1" applyBorder="1" applyAlignment="1">
      <alignment horizontal="left" vertical="center"/>
    </xf>
    <xf numFmtId="43" fontId="38" fillId="3" borderId="11" xfId="1" applyFont="1" applyFill="1" applyBorder="1" applyAlignment="1">
      <alignment horizontal="center" vertical="center"/>
    </xf>
    <xf numFmtId="1" fontId="38" fillId="5" borderId="24" xfId="0" applyNumberFormat="1" applyFont="1" applyFill="1" applyBorder="1" applyAlignment="1">
      <alignment horizontal="center" vertical="center" shrinkToFit="1"/>
    </xf>
    <xf numFmtId="0" fontId="38" fillId="5" borderId="24" xfId="0" applyFont="1" applyFill="1" applyBorder="1" applyAlignment="1">
      <alignment horizontal="left" vertical="center"/>
    </xf>
    <xf numFmtId="43" fontId="38" fillId="5" borderId="24" xfId="1" applyFont="1" applyFill="1" applyBorder="1" applyAlignment="1">
      <alignment horizontal="center" vertical="center"/>
    </xf>
    <xf numFmtId="0" fontId="38" fillId="5" borderId="24" xfId="216" applyFont="1" applyFill="1" applyBorder="1" applyAlignment="1">
      <alignment horizontal="center"/>
    </xf>
    <xf numFmtId="177" fontId="38" fillId="5" borderId="24" xfId="128" applyNumberFormat="1" applyFont="1" applyFill="1" applyBorder="1" applyAlignment="1">
      <alignment horizontal="center" vertical="center"/>
    </xf>
    <xf numFmtId="4" fontId="38" fillId="10" borderId="24" xfId="1" applyNumberFormat="1" applyFont="1" applyFill="1" applyBorder="1" applyAlignment="1">
      <alignment horizontal="center" vertical="center"/>
    </xf>
    <xf numFmtId="171" fontId="38" fillId="5" borderId="24" xfId="128" applyFont="1" applyFill="1" applyBorder="1" applyAlignment="1">
      <alignment horizontal="left" vertical="center"/>
    </xf>
    <xf numFmtId="43" fontId="38" fillId="5" borderId="11" xfId="1" applyFont="1" applyFill="1" applyBorder="1" applyAlignment="1">
      <alignment horizontal="center" vertical="center"/>
    </xf>
    <xf numFmtId="43" fontId="38" fillId="5" borderId="51" xfId="1" applyFont="1" applyFill="1" applyBorder="1" applyAlignment="1">
      <alignment vertical="center"/>
    </xf>
    <xf numFmtId="4" fontId="38" fillId="5" borderId="11" xfId="0" applyNumberFormat="1" applyFont="1" applyFill="1" applyBorder="1" applyAlignment="1">
      <alignment vertical="center"/>
    </xf>
    <xf numFmtId="49" fontId="38" fillId="0" borderId="17" xfId="0" applyNumberFormat="1" applyFont="1" applyFill="1" applyBorder="1" applyAlignment="1">
      <alignment horizontal="left" vertical="center"/>
    </xf>
    <xf numFmtId="0" fontId="38" fillId="0" borderId="17" xfId="216" applyFont="1" applyBorder="1" applyAlignment="1">
      <alignment horizontal="center"/>
    </xf>
    <xf numFmtId="43" fontId="38" fillId="0" borderId="52" xfId="1" applyFont="1" applyFill="1" applyBorder="1" applyAlignment="1">
      <alignment horizontal="right" vertical="center"/>
    </xf>
    <xf numFmtId="49" fontId="38" fillId="3" borderId="4" xfId="0" applyNumberFormat="1" applyFont="1" applyFill="1" applyBorder="1" applyAlignment="1">
      <alignment horizontal="left" vertical="center"/>
    </xf>
    <xf numFmtId="0" fontId="38" fillId="0" borderId="4" xfId="216" applyFont="1" applyBorder="1" applyAlignment="1">
      <alignment horizontal="center"/>
    </xf>
    <xf numFmtId="171" fontId="38" fillId="0" borderId="0" xfId="0" applyNumberFormat="1" applyFont="1"/>
    <xf numFmtId="0" fontId="38" fillId="6" borderId="4" xfId="216" applyFont="1" applyFill="1" applyBorder="1" applyAlignment="1">
      <alignment horizontal="center"/>
    </xf>
    <xf numFmtId="43" fontId="38" fillId="6" borderId="11" xfId="1" applyFont="1" applyFill="1" applyBorder="1" applyAlignment="1">
      <alignment vertical="center"/>
    </xf>
    <xf numFmtId="39" fontId="38" fillId="0" borderId="16" xfId="0" applyNumberFormat="1" applyFont="1" applyFill="1" applyBorder="1" applyAlignment="1">
      <alignment horizontal="left" vertical="center"/>
    </xf>
    <xf numFmtId="187" fontId="38" fillId="0" borderId="16" xfId="1" applyNumberFormat="1" applyFont="1" applyFill="1" applyBorder="1" applyAlignment="1">
      <alignment horizontal="center" vertical="center"/>
    </xf>
    <xf numFmtId="0" fontId="38" fillId="5" borderId="16" xfId="216" applyFont="1" applyFill="1" applyBorder="1" applyAlignment="1">
      <alignment horizontal="center"/>
    </xf>
    <xf numFmtId="4" fontId="38" fillId="5" borderId="16" xfId="1" applyNumberFormat="1" applyFont="1" applyFill="1" applyBorder="1" applyAlignment="1">
      <alignment horizontal="left" vertical="center"/>
    </xf>
    <xf numFmtId="4" fontId="38" fillId="0" borderId="16" xfId="1" applyNumberFormat="1" applyFont="1" applyFill="1" applyBorder="1" applyAlignment="1">
      <alignment horizontal="left" vertical="center"/>
    </xf>
    <xf numFmtId="0" fontId="38" fillId="5" borderId="16" xfId="0" applyFont="1" applyFill="1" applyBorder="1"/>
    <xf numFmtId="43" fontId="38" fillId="5" borderId="16" xfId="1" applyFont="1" applyFill="1" applyBorder="1"/>
    <xf numFmtId="0" fontId="38" fillId="0" borderId="3" xfId="0" applyFont="1" applyBorder="1"/>
    <xf numFmtId="49" fontId="38" fillId="5" borderId="24" xfId="0" applyNumberFormat="1" applyFont="1" applyFill="1" applyBorder="1" applyAlignment="1">
      <alignment horizontal="left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216" applyFont="1" applyBorder="1" applyAlignment="1">
      <alignment horizontal="center"/>
    </xf>
    <xf numFmtId="0" fontId="38" fillId="0" borderId="0" xfId="0" applyFont="1" applyAlignment="1">
      <alignment horizontal="center"/>
    </xf>
    <xf numFmtId="171" fontId="38" fillId="0" borderId="0" xfId="158" applyFont="1" applyFill="1" applyBorder="1"/>
    <xf numFmtId="0" fontId="38" fillId="0" borderId="6" xfId="0" applyFont="1" applyBorder="1"/>
    <xf numFmtId="0" fontId="38" fillId="0" borderId="6" xfId="216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1" fontId="38" fillId="0" borderId="3" xfId="0" applyNumberFormat="1" applyFont="1" applyFill="1" applyBorder="1" applyAlignment="1">
      <alignment horizontal="center" vertical="center"/>
    </xf>
    <xf numFmtId="0" fontId="38" fillId="0" borderId="3" xfId="216" applyFont="1" applyBorder="1" applyAlignment="1">
      <alignment horizontal="center"/>
    </xf>
    <xf numFmtId="4" fontId="38" fillId="10" borderId="3" xfId="1" applyNumberFormat="1" applyFont="1" applyFill="1" applyBorder="1" applyAlignment="1">
      <alignment horizontal="right" vertical="center"/>
    </xf>
    <xf numFmtId="4" fontId="38" fillId="10" borderId="3" xfId="1" applyNumberFormat="1" applyFont="1" applyFill="1" applyBorder="1" applyAlignment="1">
      <alignment horizontal="center" vertical="center"/>
    </xf>
    <xf numFmtId="0" fontId="38" fillId="6" borderId="3" xfId="0" applyFont="1" applyFill="1" applyBorder="1"/>
    <xf numFmtId="43" fontId="38" fillId="6" borderId="3" xfId="1" applyFont="1" applyFill="1" applyBorder="1"/>
    <xf numFmtId="0" fontId="38" fillId="6" borderId="3" xfId="216" applyFont="1" applyFill="1" applyBorder="1" applyAlignment="1">
      <alignment horizontal="center"/>
    </xf>
    <xf numFmtId="1" fontId="38" fillId="6" borderId="3" xfId="0" applyNumberFormat="1" applyFont="1" applyFill="1" applyBorder="1" applyAlignment="1">
      <alignment horizontal="center" vertical="center"/>
    </xf>
    <xf numFmtId="4" fontId="38" fillId="6" borderId="3" xfId="1" applyNumberFormat="1" applyFont="1" applyFill="1" applyBorder="1" applyAlignment="1">
      <alignment horizontal="right" vertical="center"/>
    </xf>
    <xf numFmtId="4" fontId="38" fillId="6" borderId="3" xfId="0" applyNumberFormat="1" applyFont="1" applyFill="1" applyBorder="1" applyAlignment="1">
      <alignment horizontal="left" vertical="center"/>
    </xf>
    <xf numFmtId="43" fontId="38" fillId="3" borderId="3" xfId="1" applyFont="1" applyFill="1" applyBorder="1" applyAlignment="1">
      <alignment horizontal="right" vertical="center"/>
    </xf>
    <xf numFmtId="43" fontId="38" fillId="6" borderId="0" xfId="0" applyNumberFormat="1" applyFont="1" applyFill="1"/>
    <xf numFmtId="0" fontId="38" fillId="3" borderId="0" xfId="216" applyFont="1" applyFill="1" applyBorder="1" applyAlignment="1">
      <alignment horizontal="center"/>
    </xf>
    <xf numFmtId="1" fontId="38" fillId="3" borderId="0" xfId="0" applyNumberFormat="1" applyFont="1" applyFill="1" applyBorder="1" applyAlignment="1">
      <alignment horizontal="center" vertical="center"/>
    </xf>
    <xf numFmtId="4" fontId="38" fillId="0" borderId="0" xfId="1" applyNumberFormat="1" applyFont="1" applyFill="1" applyBorder="1" applyAlignment="1">
      <alignment horizontal="right" vertical="center"/>
    </xf>
    <xf numFmtId="1" fontId="23" fillId="0" borderId="5" xfId="0" applyNumberFormat="1" applyFont="1" applyFill="1" applyBorder="1" applyAlignment="1">
      <alignment vertical="center"/>
    </xf>
    <xf numFmtId="4" fontId="23" fillId="0" borderId="5" xfId="0" applyNumberFormat="1" applyFont="1" applyFill="1" applyBorder="1"/>
    <xf numFmtId="43" fontId="23" fillId="0" borderId="5" xfId="163" applyFont="1" applyFill="1" applyBorder="1" applyAlignment="1">
      <alignment horizontal="right" vertical="center"/>
    </xf>
    <xf numFmtId="4" fontId="33" fillId="0" borderId="1" xfId="0" applyNumberFormat="1" applyFont="1" applyFill="1" applyBorder="1"/>
    <xf numFmtId="4" fontId="33" fillId="0" borderId="4" xfId="0" applyNumberFormat="1" applyFont="1" applyFill="1" applyBorder="1"/>
    <xf numFmtId="43" fontId="38" fillId="13" borderId="36" xfId="1" applyFont="1" applyFill="1" applyBorder="1" applyAlignment="1">
      <alignment horizontal="left" vertical="center"/>
    </xf>
    <xf numFmtId="43" fontId="38" fillId="13" borderId="34" xfId="1" applyFont="1" applyFill="1" applyBorder="1" applyAlignment="1">
      <alignment horizontal="right" vertical="center"/>
    </xf>
    <xf numFmtId="43" fontId="38" fillId="13" borderId="4" xfId="1" applyFont="1" applyFill="1" applyBorder="1" applyAlignment="1">
      <alignment horizontal="right" vertical="center"/>
    </xf>
    <xf numFmtId="1" fontId="21" fillId="0" borderId="5" xfId="0" applyNumberFormat="1" applyFont="1" applyFill="1" applyBorder="1" applyAlignment="1">
      <alignment vertical="center"/>
    </xf>
    <xf numFmtId="43" fontId="21" fillId="0" borderId="5" xfId="1" applyFont="1" applyFill="1" applyBorder="1" applyAlignment="1">
      <alignment vertical="center"/>
    </xf>
    <xf numFmtId="179" fontId="21" fillId="0" borderId="5" xfId="0" applyNumberFormat="1" applyFont="1" applyFill="1" applyBorder="1" applyAlignment="1">
      <alignment vertical="center"/>
    </xf>
    <xf numFmtId="179" fontId="21" fillId="0" borderId="1" xfId="0" applyNumberFormat="1" applyFont="1" applyFill="1" applyBorder="1" applyAlignment="1">
      <alignment vertical="center"/>
    </xf>
    <xf numFmtId="176" fontId="21" fillId="0" borderId="5" xfId="0" applyNumberFormat="1" applyFont="1" applyFill="1" applyBorder="1" applyAlignment="1">
      <alignment vertical="center"/>
    </xf>
    <xf numFmtId="43" fontId="21" fillId="6" borderId="50" xfId="1" applyFont="1" applyFill="1" applyBorder="1" applyAlignment="1">
      <alignment vertical="center"/>
    </xf>
    <xf numFmtId="43" fontId="21" fillId="0" borderId="25" xfId="1" applyFont="1" applyFill="1" applyBorder="1" applyAlignment="1">
      <alignment vertical="center"/>
    </xf>
    <xf numFmtId="178" fontId="21" fillId="0" borderId="5" xfId="0" applyNumberFormat="1" applyFont="1" applyFill="1" applyBorder="1" applyAlignment="1">
      <alignment vertical="center"/>
    </xf>
    <xf numFmtId="1" fontId="21" fillId="0" borderId="25" xfId="0" applyNumberFormat="1" applyFont="1" applyBorder="1" applyAlignment="1">
      <alignment horizontal="left" vertical="center"/>
    </xf>
    <xf numFmtId="43" fontId="21" fillId="0" borderId="25" xfId="1" applyFont="1" applyFill="1" applyBorder="1" applyAlignment="1">
      <alignment horizontal="right" indent="1"/>
    </xf>
    <xf numFmtId="43" fontId="21" fillId="0" borderId="25" xfId="1" applyFont="1" applyFill="1" applyBorder="1" applyAlignment="1">
      <alignment horizontal="right" vertical="center"/>
    </xf>
    <xf numFmtId="39" fontId="21" fillId="0" borderId="25" xfId="0" applyNumberFormat="1" applyFont="1" applyBorder="1" applyAlignment="1">
      <alignment horizontal="right" vertical="center"/>
    </xf>
    <xf numFmtId="171" fontId="21" fillId="0" borderId="5" xfId="0" applyNumberFormat="1" applyFont="1" applyBorder="1" applyAlignment="1">
      <alignment horizontal="right" vertical="center"/>
    </xf>
    <xf numFmtId="171" fontId="53" fillId="0" borderId="11" xfId="0" applyNumberFormat="1" applyFont="1" applyBorder="1" applyAlignment="1">
      <alignment vertical="center"/>
    </xf>
    <xf numFmtId="171" fontId="22" fillId="22" borderId="10" xfId="0" applyNumberFormat="1" applyFont="1" applyFill="1" applyBorder="1" applyAlignment="1">
      <alignment vertical="center"/>
    </xf>
    <xf numFmtId="171" fontId="22" fillId="20" borderId="0" xfId="0" applyNumberFormat="1" applyFont="1" applyFill="1" applyAlignment="1">
      <alignment vertical="center"/>
    </xf>
    <xf numFmtId="171" fontId="22" fillId="29" borderId="17" xfId="0" applyNumberFormat="1" applyFont="1" applyFill="1" applyBorder="1" applyAlignment="1">
      <alignment vertical="center"/>
    </xf>
    <xf numFmtId="43" fontId="22" fillId="29" borderId="0" xfId="1" applyFont="1" applyFill="1" applyBorder="1" applyAlignment="1">
      <alignment vertical="center"/>
    </xf>
    <xf numFmtId="171" fontId="22" fillId="20" borderId="0" xfId="0" applyNumberFormat="1" applyFont="1" applyFill="1" applyBorder="1" applyAlignment="1">
      <alignment vertical="center"/>
    </xf>
    <xf numFmtId="171" fontId="33" fillId="0" borderId="0" xfId="0" applyNumberFormat="1" applyFont="1" applyFill="1" applyBorder="1" applyAlignment="1">
      <alignment vertical="center"/>
    </xf>
    <xf numFmtId="1" fontId="21" fillId="0" borderId="16" xfId="0" applyNumberFormat="1" applyFont="1" applyFill="1" applyBorder="1" applyAlignment="1">
      <alignment horizontal="left" vertical="center"/>
    </xf>
    <xf numFmtId="179" fontId="21" fillId="0" borderId="16" xfId="0" applyNumberFormat="1" applyFont="1" applyFill="1" applyBorder="1" applyAlignment="1">
      <alignment vertical="center"/>
    </xf>
    <xf numFmtId="176" fontId="21" fillId="0" borderId="16" xfId="0" applyNumberFormat="1" applyFont="1" applyFill="1" applyBorder="1" applyAlignment="1">
      <alignment vertical="center"/>
    </xf>
    <xf numFmtId="178" fontId="21" fillId="0" borderId="16" xfId="0" applyNumberFormat="1" applyFont="1" applyFill="1" applyBorder="1" applyAlignment="1">
      <alignment vertical="center"/>
    </xf>
    <xf numFmtId="1" fontId="21" fillId="0" borderId="16" xfId="0" applyNumberFormat="1" applyFont="1" applyBorder="1" applyAlignment="1">
      <alignment horizontal="left" vertical="center"/>
    </xf>
    <xf numFmtId="43" fontId="21" fillId="0" borderId="16" xfId="1" applyFont="1" applyBorder="1" applyAlignment="1">
      <alignment vertical="center"/>
    </xf>
    <xf numFmtId="179" fontId="21" fillId="0" borderId="6" xfId="0" applyNumberFormat="1" applyFont="1" applyFill="1" applyBorder="1" applyAlignment="1">
      <alignment vertical="center"/>
    </xf>
    <xf numFmtId="171" fontId="21" fillId="0" borderId="16" xfId="0" applyNumberFormat="1" applyFont="1" applyBorder="1" applyAlignment="1">
      <alignment horizontal="right" vertical="center"/>
    </xf>
    <xf numFmtId="43" fontId="21" fillId="0" borderId="16" xfId="1" applyFont="1" applyBorder="1" applyAlignment="1">
      <alignment horizontal="right" vertical="center"/>
    </xf>
    <xf numFmtId="39" fontId="21" fillId="0" borderId="16" xfId="0" applyNumberFormat="1" applyFont="1" applyBorder="1" applyAlignment="1">
      <alignment horizontal="right" vertical="center"/>
    </xf>
    <xf numFmtId="1" fontId="23" fillId="0" borderId="16" xfId="0" applyNumberFormat="1" applyFont="1" applyFill="1" applyBorder="1" applyAlignment="1">
      <alignment vertical="center"/>
    </xf>
    <xf numFmtId="4" fontId="23" fillId="0" borderId="16" xfId="0" applyNumberFormat="1" applyFont="1" applyFill="1" applyBorder="1"/>
    <xf numFmtId="4" fontId="33" fillId="0" borderId="16" xfId="0" applyNumberFormat="1" applyFont="1" applyFill="1" applyBorder="1"/>
    <xf numFmtId="0" fontId="23" fillId="0" borderId="50" xfId="0" applyFont="1" applyFill="1" applyBorder="1"/>
    <xf numFmtId="4" fontId="23" fillId="0" borderId="25" xfId="0" applyNumberFormat="1" applyFont="1" applyFill="1" applyBorder="1"/>
    <xf numFmtId="43" fontId="38" fillId="0" borderId="27" xfId="1" applyFont="1" applyBorder="1"/>
    <xf numFmtId="4" fontId="38" fillId="0" borderId="27" xfId="1" applyNumberFormat="1" applyFont="1" applyFill="1" applyBorder="1" applyAlignment="1">
      <alignment horizontal="right" vertical="center"/>
    </xf>
    <xf numFmtId="1" fontId="38" fillId="30" borderId="16" xfId="0" applyNumberFormat="1" applyFont="1" applyFill="1" applyBorder="1" applyAlignment="1">
      <alignment horizontal="center" vertical="center"/>
    </xf>
    <xf numFmtId="0" fontId="38" fillId="30" borderId="16" xfId="0" applyFont="1" applyFill="1" applyBorder="1" applyAlignment="1">
      <alignment vertical="center"/>
    </xf>
    <xf numFmtId="49" fontId="38" fillId="30" borderId="16" xfId="0" applyNumberFormat="1" applyFont="1" applyFill="1" applyBorder="1" applyAlignment="1">
      <alignment vertical="center"/>
    </xf>
    <xf numFmtId="43" fontId="38" fillId="30" borderId="16" xfId="1" applyFont="1" applyFill="1" applyBorder="1" applyAlignment="1">
      <alignment horizontal="right" vertical="center"/>
    </xf>
    <xf numFmtId="43" fontId="38" fillId="30" borderId="16" xfId="1" applyFont="1" applyFill="1" applyBorder="1" applyAlignment="1">
      <alignment vertical="center"/>
    </xf>
    <xf numFmtId="4" fontId="38" fillId="30" borderId="16" xfId="1" applyNumberFormat="1" applyFont="1" applyFill="1" applyBorder="1" applyAlignment="1">
      <alignment horizontal="right" vertical="center"/>
    </xf>
    <xf numFmtId="4" fontId="38" fillId="30" borderId="16" xfId="0" applyNumberFormat="1" applyFont="1" applyFill="1" applyBorder="1" applyAlignment="1">
      <alignment vertical="center"/>
    </xf>
    <xf numFmtId="43" fontId="38" fillId="30" borderId="0" xfId="1" applyFont="1" applyFill="1" applyBorder="1" applyAlignment="1">
      <alignment horizontal="right" vertical="center"/>
    </xf>
    <xf numFmtId="43" fontId="38" fillId="30" borderId="4" xfId="1" applyFont="1" applyFill="1" applyBorder="1" applyAlignment="1">
      <alignment vertical="center"/>
    </xf>
    <xf numFmtId="43" fontId="38" fillId="30" borderId="0" xfId="1" applyFont="1" applyFill="1" applyBorder="1" applyAlignment="1">
      <alignment vertical="center"/>
    </xf>
    <xf numFmtId="0" fontId="38" fillId="30" borderId="0" xfId="0" applyFont="1" applyFill="1" applyBorder="1" applyAlignment="1">
      <alignment vertical="center"/>
    </xf>
    <xf numFmtId="49" fontId="38" fillId="0" borderId="16" xfId="58" applyNumberFormat="1" applyFont="1" applyBorder="1" applyAlignment="1">
      <alignment horizontal="left" vertical="center"/>
    </xf>
    <xf numFmtId="0" fontId="38" fillId="0" borderId="16" xfId="58" applyFont="1" applyBorder="1" applyAlignment="1">
      <alignment horizontal="center"/>
    </xf>
    <xf numFmtId="3" fontId="38" fillId="0" borderId="16" xfId="1" applyNumberFormat="1" applyFont="1" applyFill="1" applyBorder="1" applyAlignment="1">
      <alignment vertical="center"/>
    </xf>
    <xf numFmtId="0" fontId="38" fillId="0" borderId="62" xfId="71" applyFont="1" applyBorder="1" applyAlignment="1">
      <alignment horizontal="left" vertical="center" wrapText="1"/>
    </xf>
    <xf numFmtId="0" fontId="38" fillId="0" borderId="62" xfId="71" applyFont="1" applyBorder="1" applyAlignment="1">
      <alignment horizontal="left" vertical="center"/>
    </xf>
    <xf numFmtId="17" fontId="38" fillId="0" borderId="3" xfId="71" quotePrefix="1" applyNumberFormat="1" applyFont="1" applyBorder="1" applyAlignment="1">
      <alignment horizontal="center" vertical="center"/>
    </xf>
    <xf numFmtId="0" fontId="38" fillId="0" borderId="3" xfId="71" applyFont="1" applyBorder="1" applyAlignment="1">
      <alignment horizontal="center"/>
    </xf>
    <xf numFmtId="171" fontId="38" fillId="0" borderId="19" xfId="18" applyFont="1" applyFill="1" applyBorder="1"/>
    <xf numFmtId="0" fontId="38" fillId="3" borderId="16" xfId="220" applyFont="1" applyFill="1" applyBorder="1" applyAlignment="1">
      <alignment vertical="center"/>
    </xf>
    <xf numFmtId="0" fontId="38" fillId="3" borderId="28" xfId="220" applyFont="1" applyFill="1" applyBorder="1" applyAlignment="1">
      <alignment horizontal="left" vertical="center" wrapText="1"/>
    </xf>
    <xf numFmtId="43" fontId="38" fillId="3" borderId="28" xfId="1" applyFont="1" applyFill="1" applyBorder="1" applyAlignment="1">
      <alignment horizontal="center" vertical="center"/>
    </xf>
    <xf numFmtId="43" fontId="38" fillId="3" borderId="28" xfId="1" applyFont="1" applyFill="1" applyBorder="1" applyAlignment="1">
      <alignment vertical="center"/>
    </xf>
    <xf numFmtId="0" fontId="38" fillId="3" borderId="28" xfId="220" applyFont="1" applyFill="1" applyBorder="1" applyAlignment="1">
      <alignment horizontal="center"/>
    </xf>
    <xf numFmtId="0" fontId="38" fillId="3" borderId="12" xfId="220" applyFont="1" applyFill="1" applyBorder="1" applyAlignment="1">
      <alignment horizontal="left" vertical="center" wrapText="1"/>
    </xf>
    <xf numFmtId="43" fontId="38" fillId="3" borderId="12" xfId="1" applyFont="1" applyFill="1" applyBorder="1" applyAlignment="1">
      <alignment horizontal="center" vertical="center"/>
    </xf>
    <xf numFmtId="4" fontId="38" fillId="0" borderId="4" xfId="1" applyNumberFormat="1" applyFont="1" applyFill="1" applyBorder="1"/>
    <xf numFmtId="0" fontId="38" fillId="0" borderId="16" xfId="85" applyFont="1" applyBorder="1" applyAlignment="1">
      <alignment vertical="center" shrinkToFit="1"/>
    </xf>
    <xf numFmtId="0" fontId="38" fillId="0" borderId="16" xfId="248" applyFont="1" applyBorder="1" applyAlignment="1">
      <alignment vertical="center"/>
    </xf>
    <xf numFmtId="16" fontId="38" fillId="0" borderId="16" xfId="87" applyNumberFormat="1" applyFont="1" applyBorder="1" applyAlignment="1">
      <alignment vertical="center" shrinkToFit="1"/>
    </xf>
    <xf numFmtId="1" fontId="38" fillId="0" borderId="16" xfId="87" applyNumberFormat="1" applyFont="1" applyBorder="1" applyAlignment="1">
      <alignment horizontal="center" vertical="center" shrinkToFit="1"/>
    </xf>
    <xf numFmtId="171" fontId="38" fillId="24" borderId="62" xfId="125" applyFont="1" applyFill="1" applyBorder="1" applyAlignment="1">
      <alignment horizontal="center" vertical="center"/>
    </xf>
    <xf numFmtId="171" fontId="38" fillId="24" borderId="62" xfId="125" applyFont="1" applyFill="1" applyBorder="1" applyAlignment="1">
      <alignment horizontal="center" vertical="center" wrapText="1"/>
    </xf>
    <xf numFmtId="171" fontId="38" fillId="24" borderId="63" xfId="125" applyFont="1" applyFill="1" applyBorder="1" applyAlignment="1">
      <alignment horizontal="center" vertical="center"/>
    </xf>
    <xf numFmtId="171" fontId="38" fillId="24" borderId="3" xfId="125" applyFont="1" applyFill="1" applyBorder="1" applyAlignment="1">
      <alignment horizontal="center" vertical="center"/>
    </xf>
    <xf numFmtId="171" fontId="38" fillId="24" borderId="64" xfId="125" applyFont="1" applyFill="1" applyBorder="1" applyAlignment="1">
      <alignment horizontal="center" vertical="center"/>
    </xf>
    <xf numFmtId="171" fontId="38" fillId="24" borderId="3" xfId="125" applyFont="1" applyFill="1" applyBorder="1" applyAlignment="1">
      <alignment horizontal="center" vertical="center" wrapText="1"/>
    </xf>
    <xf numFmtId="171" fontId="38" fillId="0" borderId="3" xfId="125" applyFont="1" applyBorder="1" applyAlignment="1">
      <alignment horizontal="center" vertical="center"/>
    </xf>
    <xf numFmtId="171" fontId="38" fillId="0" borderId="3" xfId="125" applyFont="1" applyFill="1" applyBorder="1" applyAlignment="1">
      <alignment horizontal="center" vertical="center" wrapText="1"/>
    </xf>
    <xf numFmtId="171" fontId="38" fillId="31" borderId="0" xfId="125" applyFont="1" applyFill="1" applyAlignment="1">
      <alignment horizontal="right" vertical="center"/>
    </xf>
    <xf numFmtId="0" fontId="38" fillId="13" borderId="16" xfId="216" applyFont="1" applyFill="1" applyBorder="1" applyAlignment="1">
      <alignment horizontal="center"/>
    </xf>
    <xf numFmtId="49" fontId="38" fillId="13" borderId="16" xfId="216" applyNumberFormat="1" applyFont="1" applyFill="1" applyBorder="1" applyAlignment="1">
      <alignment horizontal="center"/>
    </xf>
    <xf numFmtId="178" fontId="38" fillId="13" borderId="16" xfId="216" applyNumberFormat="1" applyFont="1" applyFill="1" applyBorder="1"/>
    <xf numFmtId="171" fontId="38" fillId="24" borderId="4" xfId="125" applyFont="1" applyFill="1" applyBorder="1" applyAlignment="1">
      <alignment horizontal="center" vertical="center" wrapText="1"/>
    </xf>
    <xf numFmtId="43" fontId="21" fillId="0" borderId="16" xfId="1" applyFont="1" applyFill="1" applyBorder="1" applyAlignment="1">
      <alignment vertical="center"/>
    </xf>
    <xf numFmtId="43" fontId="21" fillId="0" borderId="50" xfId="1" applyFont="1" applyFill="1" applyBorder="1" applyAlignment="1">
      <alignment vertical="center"/>
    </xf>
    <xf numFmtId="1" fontId="21" fillId="0" borderId="24" xfId="0" applyNumberFormat="1" applyFont="1" applyFill="1" applyBorder="1" applyAlignment="1">
      <alignment horizontal="left" vertical="center"/>
    </xf>
    <xf numFmtId="43" fontId="21" fillId="0" borderId="24" xfId="1" applyFont="1" applyFill="1" applyBorder="1" applyAlignment="1">
      <alignment vertical="center"/>
    </xf>
    <xf numFmtId="43" fontId="21" fillId="0" borderId="24" xfId="1" applyNumberFormat="1" applyFont="1" applyFill="1" applyBorder="1" applyAlignment="1">
      <alignment vertical="center"/>
    </xf>
    <xf numFmtId="179" fontId="21" fillId="0" borderId="24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43" fontId="21" fillId="0" borderId="6" xfId="1" applyFont="1" applyFill="1" applyBorder="1" applyAlignment="1">
      <alignment vertical="center"/>
    </xf>
    <xf numFmtId="178" fontId="21" fillId="0" borderId="24" xfId="0" applyNumberFormat="1" applyFont="1" applyFill="1" applyBorder="1" applyAlignment="1">
      <alignment vertical="center"/>
    </xf>
    <xf numFmtId="41" fontId="21" fillId="0" borderId="16" xfId="0" applyNumberFormat="1" applyFont="1" applyBorder="1" applyAlignment="1">
      <alignment horizontal="right" vertical="center"/>
    </xf>
    <xf numFmtId="43" fontId="21" fillId="0" borderId="16" xfId="1" applyFont="1" applyFill="1" applyBorder="1" applyAlignment="1">
      <alignment horizontal="right" vertical="center"/>
    </xf>
    <xf numFmtId="1" fontId="21" fillId="0" borderId="6" xfId="0" applyNumberFormat="1" applyFont="1" applyBorder="1" applyAlignment="1">
      <alignment horizontal="left" vertical="center"/>
    </xf>
    <xf numFmtId="43" fontId="21" fillId="0" borderId="6" xfId="1" applyFont="1" applyFill="1" applyBorder="1" applyAlignment="1">
      <alignment horizontal="right" vertical="center"/>
    </xf>
    <xf numFmtId="171" fontId="21" fillId="0" borderId="24" xfId="0" applyNumberFormat="1" applyFont="1" applyBorder="1" applyAlignment="1">
      <alignment horizontal="right" vertical="center"/>
    </xf>
    <xf numFmtId="181" fontId="33" fillId="0" borderId="65" xfId="0" applyNumberFormat="1" applyFont="1" applyBorder="1" applyAlignment="1">
      <alignment horizontal="center" vertical="center"/>
    </xf>
    <xf numFmtId="171" fontId="23" fillId="0" borderId="18" xfId="119" applyFont="1" applyFill="1" applyBorder="1" applyAlignment="1">
      <alignment horizontal="right" vertical="center"/>
    </xf>
    <xf numFmtId="4" fontId="23" fillId="0" borderId="24" xfId="218" applyNumberFormat="1" applyFont="1" applyFill="1" applyBorder="1" applyAlignment="1">
      <alignment horizontal="right"/>
    </xf>
    <xf numFmtId="4" fontId="23" fillId="0" borderId="6" xfId="0" applyNumberFormat="1" applyFont="1" applyFill="1" applyBorder="1"/>
    <xf numFmtId="4" fontId="23" fillId="0" borderId="28" xfId="0" applyNumberFormat="1" applyFont="1" applyFill="1" applyBorder="1"/>
    <xf numFmtId="171" fontId="23" fillId="32" borderId="66" xfId="119" applyFont="1" applyFill="1" applyBorder="1" applyAlignment="1">
      <alignment horizontal="right" vertical="center"/>
    </xf>
    <xf numFmtId="4" fontId="23" fillId="0" borderId="27" xfId="0" applyNumberFormat="1" applyFont="1" applyFill="1" applyBorder="1"/>
    <xf numFmtId="4" fontId="23" fillId="0" borderId="2" xfId="0" applyNumberFormat="1" applyFont="1" applyFill="1" applyBorder="1"/>
    <xf numFmtId="43" fontId="23" fillId="0" borderId="16" xfId="1" applyFont="1" applyFill="1" applyBorder="1" applyAlignment="1">
      <alignment horizontal="right" vertical="center"/>
    </xf>
    <xf numFmtId="0" fontId="23" fillId="0" borderId="16" xfId="0" applyFont="1" applyFill="1" applyBorder="1"/>
    <xf numFmtId="1" fontId="23" fillId="0" borderId="24" xfId="0" applyNumberFormat="1" applyFont="1" applyFill="1" applyBorder="1" applyAlignment="1">
      <alignment vertical="center"/>
    </xf>
    <xf numFmtId="4" fontId="23" fillId="0" borderId="24" xfId="0" applyNumberFormat="1" applyFont="1" applyFill="1" applyBorder="1"/>
    <xf numFmtId="4" fontId="33" fillId="0" borderId="2" xfId="0" applyNumberFormat="1" applyFont="1" applyFill="1" applyBorder="1"/>
    <xf numFmtId="0" fontId="38" fillId="24" borderId="62" xfId="0" applyFont="1" applyFill="1" applyBorder="1" applyAlignment="1">
      <alignment horizontal="left" vertical="center"/>
    </xf>
    <xf numFmtId="0" fontId="38" fillId="24" borderId="62" xfId="0" applyFont="1" applyFill="1" applyBorder="1" applyAlignment="1">
      <alignment horizontal="center" vertical="center"/>
    </xf>
    <xf numFmtId="43" fontId="38" fillId="24" borderId="62" xfId="1" applyFont="1" applyFill="1" applyBorder="1" applyAlignment="1">
      <alignment horizontal="center" vertical="center"/>
    </xf>
    <xf numFmtId="181" fontId="38" fillId="33" borderId="62" xfId="0" applyNumberFormat="1" applyFont="1" applyFill="1" applyBorder="1" applyAlignment="1">
      <alignment horizontal="center" vertical="center"/>
    </xf>
    <xf numFmtId="1" fontId="38" fillId="33" borderId="62" xfId="0" applyNumberFormat="1" applyFont="1" applyFill="1" applyBorder="1" applyAlignment="1">
      <alignment horizontal="center" vertical="center"/>
    </xf>
    <xf numFmtId="49" fontId="38" fillId="24" borderId="62" xfId="0" applyNumberFormat="1" applyFont="1" applyFill="1" applyBorder="1" applyAlignment="1">
      <alignment horizontal="left" vertical="center"/>
    </xf>
    <xf numFmtId="49" fontId="38" fillId="24" borderId="62" xfId="0" applyNumberFormat="1" applyFont="1" applyFill="1" applyBorder="1" applyAlignment="1">
      <alignment horizontal="center" vertical="center"/>
    </xf>
    <xf numFmtId="43" fontId="38" fillId="33" borderId="62" xfId="1" applyFont="1" applyFill="1" applyBorder="1" applyAlignment="1">
      <alignment horizontal="center" vertical="center"/>
    </xf>
    <xf numFmtId="43" fontId="38" fillId="33" borderId="62" xfId="0" applyNumberFormat="1" applyFont="1" applyFill="1" applyBorder="1" applyAlignment="1">
      <alignment horizontal="center" vertical="center"/>
    </xf>
    <xf numFmtId="0" fontId="38" fillId="24" borderId="62" xfId="0" applyFont="1" applyFill="1" applyBorder="1" applyAlignment="1">
      <alignment horizontal="center" vertical="center" shrinkToFit="1"/>
    </xf>
    <xf numFmtId="1" fontId="38" fillId="33" borderId="67" xfId="0" applyNumberFormat="1" applyFont="1" applyFill="1" applyBorder="1" applyAlignment="1">
      <alignment horizontal="center" vertical="center"/>
    </xf>
    <xf numFmtId="181" fontId="38" fillId="33" borderId="68" xfId="0" applyNumberFormat="1" applyFont="1" applyFill="1" applyBorder="1" applyAlignment="1">
      <alignment horizontal="center" vertical="center"/>
    </xf>
    <xf numFmtId="181" fontId="38" fillId="33" borderId="67" xfId="0" applyNumberFormat="1" applyFont="1" applyFill="1" applyBorder="1" applyAlignment="1">
      <alignment horizontal="center" vertical="center"/>
    </xf>
    <xf numFmtId="182" fontId="38" fillId="33" borderId="69" xfId="0" applyNumberFormat="1" applyFont="1" applyFill="1" applyBorder="1" applyAlignment="1">
      <alignment horizontal="center" vertical="center"/>
    </xf>
    <xf numFmtId="43" fontId="38" fillId="33" borderId="68" xfId="0" applyNumberFormat="1" applyFont="1" applyFill="1" applyBorder="1" applyAlignment="1">
      <alignment horizontal="center" vertical="center"/>
    </xf>
    <xf numFmtId="43" fontId="38" fillId="33" borderId="67" xfId="1" applyFont="1" applyFill="1" applyBorder="1" applyAlignment="1">
      <alignment horizontal="center" vertical="center"/>
    </xf>
    <xf numFmtId="181" fontId="38" fillId="33" borderId="70" xfId="0" applyNumberFormat="1" applyFont="1" applyFill="1" applyBorder="1" applyAlignment="1">
      <alignment horizontal="center" vertical="center"/>
    </xf>
    <xf numFmtId="0" fontId="38" fillId="0" borderId="16" xfId="58" applyFont="1" applyBorder="1" applyAlignment="1">
      <alignment horizontal="left" vertical="center"/>
    </xf>
    <xf numFmtId="0" fontId="38" fillId="0" borderId="16" xfId="58" applyFont="1" applyBorder="1" applyAlignment="1">
      <alignment vertical="center"/>
    </xf>
    <xf numFmtId="0" fontId="38" fillId="0" borderId="39" xfId="218" applyFont="1" applyFill="1" applyBorder="1" applyAlignment="1">
      <alignment vertical="center"/>
    </xf>
    <xf numFmtId="0" fontId="38" fillId="0" borderId="39" xfId="218" applyFont="1" applyFill="1" applyBorder="1" applyAlignment="1">
      <alignment vertical="center" shrinkToFit="1"/>
    </xf>
    <xf numFmtId="43" fontId="38" fillId="0" borderId="39" xfId="1" applyFont="1" applyFill="1" applyBorder="1" applyAlignment="1">
      <alignment vertical="center" shrinkToFit="1"/>
    </xf>
    <xf numFmtId="0" fontId="38" fillId="0" borderId="36" xfId="218" applyFont="1" applyBorder="1" applyAlignment="1">
      <alignment vertical="center"/>
    </xf>
    <xf numFmtId="0" fontId="38" fillId="0" borderId="53" xfId="218" applyFont="1" applyBorder="1" applyAlignment="1">
      <alignment vertical="center"/>
    </xf>
    <xf numFmtId="43" fontId="38" fillId="0" borderId="31" xfId="1" applyFont="1" applyBorder="1" applyAlignment="1">
      <alignment vertical="center"/>
    </xf>
    <xf numFmtId="0" fontId="38" fillId="0" borderId="29" xfId="218" applyFont="1" applyBorder="1" applyAlignment="1">
      <alignment horizontal="left" vertical="center" shrinkToFit="1"/>
    </xf>
    <xf numFmtId="43" fontId="38" fillId="0" borderId="29" xfId="1" applyFont="1" applyBorder="1" applyAlignment="1">
      <alignment horizontal="left" vertical="center" shrinkToFit="1"/>
    </xf>
    <xf numFmtId="0" fontId="38" fillId="0" borderId="39" xfId="218" applyFont="1" applyBorder="1" applyAlignment="1">
      <alignment vertical="center" shrinkToFit="1"/>
    </xf>
    <xf numFmtId="43" fontId="38" fillId="0" borderId="39" xfId="1" applyFont="1" applyBorder="1" applyAlignment="1">
      <alignment vertical="center" shrinkToFit="1"/>
    </xf>
    <xf numFmtId="0" fontId="38" fillId="0" borderId="39" xfId="218" applyFont="1" applyBorder="1" applyAlignment="1">
      <alignment vertical="center"/>
    </xf>
    <xf numFmtId="17" fontId="38" fillId="13" borderId="16" xfId="0" applyNumberFormat="1" applyFont="1" applyFill="1" applyBorder="1" applyAlignment="1">
      <alignment horizontal="center" vertical="center"/>
    </xf>
    <xf numFmtId="17" fontId="38" fillId="0" borderId="16" xfId="0" applyNumberFormat="1" applyFont="1" applyFill="1" applyBorder="1" applyAlignment="1">
      <alignment horizontal="center" vertical="center"/>
    </xf>
    <xf numFmtId="0" fontId="38" fillId="0" borderId="16" xfId="0" applyFont="1" applyBorder="1" applyAlignment="1">
      <alignment horizontal="center" vertical="top"/>
    </xf>
    <xf numFmtId="49" fontId="38" fillId="0" borderId="16" xfId="0" quotePrefix="1" applyNumberFormat="1" applyFont="1" applyFill="1" applyBorder="1" applyAlignment="1">
      <alignment horizontal="center" vertical="center"/>
    </xf>
    <xf numFmtId="0" fontId="38" fillId="27" borderId="62" xfId="0" applyFont="1" applyFill="1" applyBorder="1"/>
    <xf numFmtId="0" fontId="38" fillId="0" borderId="62" xfId="0" applyFont="1" applyBorder="1" applyAlignment="1">
      <alignment horizontal="left" vertical="center" wrapText="1"/>
    </xf>
    <xf numFmtId="0" fontId="38" fillId="34" borderId="62" xfId="0" applyFont="1" applyFill="1" applyBorder="1"/>
    <xf numFmtId="49" fontId="38" fillId="0" borderId="71" xfId="244" applyNumberFormat="1" applyFont="1" applyBorder="1" applyAlignment="1">
      <alignment horizontal="left" vertical="center"/>
    </xf>
    <xf numFmtId="2" fontId="38" fillId="0" borderId="72" xfId="244" applyNumberFormat="1" applyFont="1" applyBorder="1" applyAlignment="1">
      <alignment horizontal="left" vertical="center"/>
    </xf>
    <xf numFmtId="43" fontId="38" fillId="0" borderId="72" xfId="1" applyFont="1" applyBorder="1" applyAlignment="1">
      <alignment horizontal="right"/>
    </xf>
    <xf numFmtId="181" fontId="38" fillId="0" borderId="72" xfId="244" applyNumberFormat="1" applyFont="1" applyBorder="1" applyAlignment="1">
      <alignment horizontal="center" vertical="center"/>
    </xf>
    <xf numFmtId="1" fontId="38" fillId="0" borderId="72" xfId="244" applyNumberFormat="1" applyFont="1" applyBorder="1" applyAlignment="1">
      <alignment horizontal="center" vertical="center"/>
    </xf>
    <xf numFmtId="181" fontId="38" fillId="0" borderId="73" xfId="244" applyNumberFormat="1" applyFont="1" applyBorder="1" applyAlignment="1">
      <alignment horizontal="center" vertical="center"/>
    </xf>
    <xf numFmtId="0" fontId="38" fillId="0" borderId="74" xfId="244" applyFont="1" applyBorder="1" applyAlignment="1">
      <alignment horizontal="left" vertical="center"/>
    </xf>
    <xf numFmtId="0" fontId="38" fillId="0" borderId="54" xfId="244" applyFont="1" applyBorder="1" applyAlignment="1">
      <alignment horizontal="left" vertical="center"/>
    </xf>
    <xf numFmtId="43" fontId="38" fillId="0" borderId="54" xfId="1" applyFont="1" applyBorder="1" applyAlignment="1">
      <alignment horizontal="right"/>
    </xf>
    <xf numFmtId="49" fontId="38" fillId="0" borderId="75" xfId="244" applyNumberFormat="1" applyFont="1" applyBorder="1" applyAlignment="1">
      <alignment horizontal="center" vertical="center"/>
    </xf>
    <xf numFmtId="1" fontId="38" fillId="0" borderId="54" xfId="244" applyNumberFormat="1" applyFont="1" applyBorder="1" applyAlignment="1">
      <alignment horizontal="center" vertical="center"/>
    </xf>
    <xf numFmtId="181" fontId="38" fillId="0" borderId="76" xfId="244" applyNumberFormat="1" applyFont="1" applyBorder="1" applyAlignment="1">
      <alignment vertical="center"/>
    </xf>
    <xf numFmtId="49" fontId="38" fillId="0" borderId="74" xfId="244" applyNumberFormat="1" applyFont="1" applyBorder="1" applyAlignment="1">
      <alignment horizontal="left" vertical="center"/>
    </xf>
    <xf numFmtId="0" fontId="38" fillId="0" borderId="75" xfId="244" applyFont="1" applyBorder="1" applyAlignment="1">
      <alignment horizontal="left" vertical="center"/>
    </xf>
    <xf numFmtId="39" fontId="38" fillId="0" borderId="75" xfId="244" applyNumberFormat="1" applyFont="1" applyBorder="1" applyAlignment="1">
      <alignment horizontal="center" vertical="center"/>
    </xf>
    <xf numFmtId="1" fontId="38" fillId="0" borderId="75" xfId="244" applyNumberFormat="1" applyFont="1" applyBorder="1" applyAlignment="1">
      <alignment horizontal="center" vertical="center"/>
    </xf>
    <xf numFmtId="49" fontId="38" fillId="0" borderId="61" xfId="244" applyNumberFormat="1" applyFont="1" applyBorder="1" applyAlignment="1">
      <alignment horizontal="left" vertical="center"/>
    </xf>
    <xf numFmtId="0" fontId="38" fillId="0" borderId="61" xfId="244" applyFont="1" applyBorder="1" applyAlignment="1">
      <alignment horizontal="left" vertical="center"/>
    </xf>
    <xf numFmtId="43" fontId="38" fillId="0" borderId="61" xfId="1" applyFont="1" applyBorder="1" applyAlignment="1">
      <alignment horizontal="right"/>
    </xf>
    <xf numFmtId="49" fontId="38" fillId="0" borderId="61" xfId="244" applyNumberFormat="1" applyFont="1" applyBorder="1" applyAlignment="1">
      <alignment horizontal="center" vertical="center"/>
    </xf>
    <xf numFmtId="185" fontId="38" fillId="0" borderId="61" xfId="244" applyNumberFormat="1" applyFont="1" applyBorder="1" applyAlignment="1">
      <alignment horizontal="center" vertical="center"/>
    </xf>
    <xf numFmtId="171" fontId="38" fillId="0" borderId="77" xfId="244" applyNumberFormat="1" applyFont="1" applyBorder="1" applyAlignment="1">
      <alignment horizontal="center" vertical="center"/>
    </xf>
    <xf numFmtId="43" fontId="38" fillId="10" borderId="27" xfId="1" applyFont="1" applyFill="1" applyBorder="1" applyAlignment="1">
      <alignment vertical="center"/>
    </xf>
    <xf numFmtId="0" fontId="38" fillId="0" borderId="29" xfId="0" applyFont="1" applyBorder="1" applyAlignment="1">
      <alignment horizontal="left" vertical="center"/>
    </xf>
    <xf numFmtId="49" fontId="38" fillId="0" borderId="29" xfId="0" applyNumberFormat="1" applyFont="1" applyBorder="1" applyAlignment="1">
      <alignment vertical="center"/>
    </xf>
    <xf numFmtId="171" fontId="38" fillId="0" borderId="39" xfId="119" applyFont="1" applyBorder="1" applyAlignment="1">
      <alignment horizontal="right" vertical="center"/>
    </xf>
    <xf numFmtId="1" fontId="38" fillId="0" borderId="55" xfId="0" applyNumberFormat="1" applyFont="1" applyBorder="1" applyAlignment="1">
      <alignment horizontal="center" vertical="center"/>
    </xf>
    <xf numFmtId="1" fontId="38" fillId="0" borderId="29" xfId="0" applyNumberFormat="1" applyFont="1" applyBorder="1" applyAlignment="1">
      <alignment horizontal="center" vertical="center"/>
    </xf>
    <xf numFmtId="43" fontId="38" fillId="0" borderId="56" xfId="138" applyNumberFormat="1" applyFont="1" applyFill="1" applyBorder="1" applyAlignment="1">
      <alignment horizontal="center" vertical="center"/>
    </xf>
    <xf numFmtId="171" fontId="38" fillId="13" borderId="29" xfId="119" applyFont="1" applyFill="1" applyBorder="1" applyAlignment="1">
      <alignment horizontal="right" vertical="center"/>
    </xf>
    <xf numFmtId="43" fontId="38" fillId="0" borderId="55" xfId="0" applyNumberFormat="1" applyFont="1" applyBorder="1" applyAlignment="1">
      <alignment horizontal="center" vertical="center"/>
    </xf>
    <xf numFmtId="0" fontId="38" fillId="24" borderId="62" xfId="68" applyFont="1" applyFill="1" applyBorder="1" applyAlignment="1">
      <alignment vertical="center"/>
    </xf>
    <xf numFmtId="0" fontId="38" fillId="24" borderId="62" xfId="68" applyFont="1" applyFill="1" applyBorder="1" applyAlignment="1">
      <alignment horizontal="center" vertical="center"/>
    </xf>
    <xf numFmtId="177" fontId="38" fillId="24" borderId="62" xfId="52" applyNumberFormat="1" applyFont="1" applyFill="1" applyBorder="1" applyAlignment="1">
      <alignment horizontal="center" vertical="center"/>
    </xf>
    <xf numFmtId="171" fontId="38" fillId="24" borderId="62" xfId="52" applyFont="1" applyFill="1" applyBorder="1" applyAlignment="1">
      <alignment vertical="center"/>
    </xf>
    <xf numFmtId="0" fontId="38" fillId="24" borderId="62" xfId="68" applyFont="1" applyFill="1" applyBorder="1" applyAlignment="1">
      <alignment horizontal="center" vertical="center" wrapText="1"/>
    </xf>
    <xf numFmtId="181" fontId="38" fillId="24" borderId="62" xfId="68" applyNumberFormat="1" applyFont="1" applyFill="1" applyBorder="1" applyAlignment="1">
      <alignment horizontal="center" vertical="center"/>
    </xf>
    <xf numFmtId="0" fontId="38" fillId="24" borderId="63" xfId="68" applyFont="1" applyFill="1" applyBorder="1" applyAlignment="1">
      <alignment vertical="center"/>
    </xf>
    <xf numFmtId="0" fontId="38" fillId="24" borderId="63" xfId="68" applyFont="1" applyFill="1" applyBorder="1" applyAlignment="1">
      <alignment horizontal="center" vertical="center"/>
    </xf>
    <xf numFmtId="0" fontId="38" fillId="24" borderId="64" xfId="68" applyFont="1" applyFill="1" applyBorder="1" applyAlignment="1">
      <alignment horizontal="left" vertical="center"/>
    </xf>
    <xf numFmtId="171" fontId="38" fillId="24" borderId="78" xfId="125" applyFont="1" applyFill="1" applyBorder="1" applyAlignment="1">
      <alignment horizontal="center" vertical="center"/>
    </xf>
    <xf numFmtId="0" fontId="38" fillId="24" borderId="3" xfId="68" applyFont="1" applyFill="1" applyBorder="1" applyAlignment="1">
      <alignment vertical="center"/>
    </xf>
    <xf numFmtId="0" fontId="38" fillId="24" borderId="3" xfId="68" applyFont="1" applyFill="1" applyBorder="1" applyAlignment="1">
      <alignment horizontal="center" vertical="center"/>
    </xf>
    <xf numFmtId="181" fontId="38" fillId="24" borderId="3" xfId="68" applyNumberFormat="1" applyFont="1" applyFill="1" applyBorder="1" applyAlignment="1">
      <alignment horizontal="center" vertical="center"/>
    </xf>
    <xf numFmtId="177" fontId="38" fillId="24" borderId="3" xfId="52" applyNumberFormat="1" applyFont="1" applyFill="1" applyBorder="1" applyAlignment="1">
      <alignment horizontal="center" vertical="center"/>
    </xf>
    <xf numFmtId="171" fontId="38" fillId="24" borderId="3" xfId="52" applyFont="1" applyFill="1" applyBorder="1" applyAlignment="1">
      <alignment vertical="center"/>
    </xf>
    <xf numFmtId="17" fontId="38" fillId="24" borderId="62" xfId="68" applyNumberFormat="1" applyFont="1" applyFill="1" applyBorder="1" applyAlignment="1">
      <alignment horizontal="center" vertical="center"/>
    </xf>
    <xf numFmtId="0" fontId="38" fillId="24" borderId="64" xfId="68" applyFont="1" applyFill="1" applyBorder="1" applyAlignment="1">
      <alignment vertical="center"/>
    </xf>
    <xf numFmtId="0" fontId="38" fillId="24" borderId="3" xfId="68" applyFont="1" applyFill="1" applyBorder="1" applyAlignment="1">
      <alignment horizontal="center" vertical="center" wrapText="1"/>
    </xf>
    <xf numFmtId="0" fontId="38" fillId="0" borderId="3" xfId="68" applyFont="1" applyBorder="1" applyAlignment="1">
      <alignment vertical="center"/>
    </xf>
    <xf numFmtId="0" fontId="38" fillId="0" borderId="3" xfId="68" applyFont="1" applyBorder="1" applyAlignment="1">
      <alignment horizontal="center" vertical="center"/>
    </xf>
    <xf numFmtId="0" fontId="38" fillId="0" borderId="3" xfId="68" quotePrefix="1" applyFont="1" applyBorder="1" applyAlignment="1">
      <alignment horizontal="center" vertical="center"/>
    </xf>
    <xf numFmtId="177" fontId="38" fillId="0" borderId="3" xfId="52" applyNumberFormat="1" applyFont="1" applyFill="1" applyBorder="1" applyAlignment="1">
      <alignment horizontal="center" vertical="center"/>
    </xf>
    <xf numFmtId="171" fontId="38" fillId="0" borderId="3" xfId="52" applyFont="1" applyFill="1" applyBorder="1" applyAlignment="1">
      <alignment vertical="center"/>
    </xf>
    <xf numFmtId="188" fontId="38" fillId="24" borderId="3" xfId="68" applyNumberFormat="1" applyFont="1" applyFill="1" applyBorder="1" applyAlignment="1">
      <alignment vertical="center"/>
    </xf>
    <xf numFmtId="0" fontId="38" fillId="0" borderId="3" xfId="68" applyFont="1" applyBorder="1" applyAlignment="1">
      <alignment horizontal="center" vertical="center" wrapText="1"/>
    </xf>
    <xf numFmtId="171" fontId="38" fillId="0" borderId="3" xfId="125" applyFont="1" applyBorder="1" applyAlignment="1">
      <alignment horizontal="center" vertical="center" wrapText="1"/>
    </xf>
    <xf numFmtId="0" fontId="38" fillId="24" borderId="3" xfId="68" applyFont="1" applyFill="1" applyBorder="1" applyAlignment="1">
      <alignment horizontal="left" vertical="center"/>
    </xf>
    <xf numFmtId="17" fontId="38" fillId="24" borderId="3" xfId="68" applyNumberFormat="1" applyFont="1" applyFill="1" applyBorder="1" applyAlignment="1">
      <alignment horizontal="center" vertical="center"/>
    </xf>
    <xf numFmtId="3" fontId="38" fillId="24" borderId="3" xfId="68" applyNumberFormat="1" applyFont="1" applyFill="1" applyBorder="1" applyAlignment="1">
      <alignment horizontal="center" vertical="center" wrapText="1"/>
    </xf>
    <xf numFmtId="0" fontId="38" fillId="3" borderId="16" xfId="220" applyFont="1" applyFill="1" applyBorder="1" applyAlignment="1">
      <alignment horizontal="left" vertical="center"/>
    </xf>
    <xf numFmtId="0" fontId="38" fillId="3" borderId="16" xfId="220" applyFont="1" applyFill="1" applyBorder="1" applyAlignment="1">
      <alignment horizontal="center" vertical="center"/>
    </xf>
    <xf numFmtId="4" fontId="38" fillId="3" borderId="27" xfId="1" applyNumberFormat="1" applyFont="1" applyFill="1" applyBorder="1"/>
    <xf numFmtId="43" fontId="38" fillId="0" borderId="28" xfId="1" applyFont="1" applyBorder="1" applyAlignment="1">
      <alignment vertical="center"/>
    </xf>
    <xf numFmtId="181" fontId="38" fillId="0" borderId="16" xfId="0" applyNumberFormat="1" applyFont="1" applyFill="1" applyBorder="1" applyAlignment="1">
      <alignment horizontal="left" vertical="center"/>
    </xf>
    <xf numFmtId="43" fontId="38" fillId="3" borderId="16" xfId="0" applyNumberFormat="1" applyFont="1" applyFill="1" applyBorder="1" applyAlignment="1">
      <alignment vertical="center"/>
    </xf>
    <xf numFmtId="178" fontId="38" fillId="0" borderId="16" xfId="216" applyNumberFormat="1" applyFont="1" applyFill="1" applyBorder="1"/>
    <xf numFmtId="0" fontId="38" fillId="13" borderId="16" xfId="216" applyFont="1" applyFill="1" applyBorder="1"/>
    <xf numFmtId="0" fontId="43" fillId="0" borderId="3" xfId="0" applyFont="1" applyBorder="1"/>
    <xf numFmtId="3" fontId="43" fillId="0" borderId="3" xfId="0" applyNumberFormat="1" applyFont="1" applyBorder="1" applyAlignment="1">
      <alignment horizontal="center"/>
    </xf>
    <xf numFmtId="171" fontId="43" fillId="0" borderId="3" xfId="128" applyFont="1" applyFill="1" applyBorder="1"/>
    <xf numFmtId="17" fontId="43" fillId="0" borderId="3" xfId="0" applyNumberFormat="1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4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3" fontId="38" fillId="8" borderId="57" xfId="1" applyFont="1" applyFill="1" applyBorder="1" applyAlignment="1">
      <alignment horizontal="center" vertical="center"/>
    </xf>
    <xf numFmtId="43" fontId="38" fillId="8" borderId="58" xfId="1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horizontal="center" vertical="center"/>
    </xf>
    <xf numFmtId="4" fontId="38" fillId="0" borderId="11" xfId="0" applyNumberFormat="1" applyFont="1" applyFill="1" applyBorder="1" applyAlignment="1">
      <alignment horizontal="center" vertical="center"/>
    </xf>
    <xf numFmtId="4" fontId="38" fillId="0" borderId="4" xfId="0" applyNumberFormat="1" applyFont="1" applyFill="1" applyBorder="1" applyAlignment="1">
      <alignment horizontal="center" vertical="center"/>
    </xf>
    <xf numFmtId="4" fontId="38" fillId="0" borderId="12" xfId="0" applyNumberFormat="1" applyFont="1" applyFill="1" applyBorder="1" applyAlignment="1">
      <alignment horizontal="center" vertical="center"/>
    </xf>
    <xf numFmtId="4" fontId="38" fillId="0" borderId="15" xfId="0" applyNumberFormat="1" applyFont="1" applyFill="1" applyBorder="1" applyAlignment="1">
      <alignment horizontal="center" vertical="center"/>
    </xf>
    <xf numFmtId="4" fontId="38" fillId="0" borderId="2" xfId="0" applyNumberFormat="1" applyFont="1" applyFill="1" applyBorder="1" applyAlignment="1">
      <alignment horizontal="center" vertical="center"/>
    </xf>
    <xf numFmtId="4" fontId="38" fillId="0" borderId="14" xfId="0" applyNumberFormat="1" applyFont="1" applyFill="1" applyBorder="1" applyAlignment="1">
      <alignment horizontal="center" vertical="center"/>
    </xf>
    <xf numFmtId="43" fontId="38" fillId="2" borderId="19" xfId="1" applyFont="1" applyFill="1" applyBorder="1" applyAlignment="1">
      <alignment horizontal="center" vertical="center"/>
    </xf>
    <xf numFmtId="43" fontId="38" fillId="2" borderId="21" xfId="1" applyFont="1" applyFill="1" applyBorder="1" applyAlignment="1">
      <alignment horizontal="center" vertical="center"/>
    </xf>
    <xf numFmtId="43" fontId="38" fillId="2" borderId="59" xfId="1" applyFont="1" applyFill="1" applyBorder="1" applyAlignment="1">
      <alignment horizontal="center" vertical="center"/>
    </xf>
    <xf numFmtId="43" fontId="38" fillId="2" borderId="60" xfId="1" applyFont="1" applyFill="1" applyBorder="1" applyAlignment="1">
      <alignment horizontal="center" vertical="center"/>
    </xf>
    <xf numFmtId="1" fontId="38" fillId="2" borderId="19" xfId="0" applyNumberFormat="1" applyFont="1" applyFill="1" applyBorder="1" applyAlignment="1">
      <alignment horizontal="center" vertical="center"/>
    </xf>
    <xf numFmtId="1" fontId="38" fillId="2" borderId="20" xfId="0" applyNumberFormat="1" applyFont="1" applyFill="1" applyBorder="1" applyAlignment="1">
      <alignment horizontal="center" vertical="center"/>
    </xf>
    <xf numFmtId="1" fontId="38" fillId="2" borderId="21" xfId="0" applyNumberFormat="1" applyFont="1" applyFill="1" applyBorder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8" fontId="21" fillId="0" borderId="1" xfId="0" applyNumberFormat="1" applyFont="1" applyBorder="1" applyAlignment="1">
      <alignment horizontal="center" vertical="center"/>
    </xf>
    <xf numFmtId="178" fontId="21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4" fontId="33" fillId="0" borderId="1" xfId="0" applyNumberFormat="1" applyFont="1" applyBorder="1" applyAlignment="1">
      <alignment horizontal="center" vertical="center"/>
    </xf>
    <xf numFmtId="4" fontId="33" fillId="0" borderId="4" xfId="0" applyNumberFormat="1" applyFont="1" applyBorder="1" applyAlignment="1">
      <alignment horizontal="center" vertical="center"/>
    </xf>
    <xf numFmtId="4" fontId="33" fillId="0" borderId="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4" fontId="33" fillId="0" borderId="19" xfId="0" applyNumberFormat="1" applyFont="1" applyBorder="1" applyAlignment="1">
      <alignment horizontal="center"/>
    </xf>
    <xf numFmtId="4" fontId="33" fillId="0" borderId="20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 wrapText="1"/>
    </xf>
    <xf numFmtId="4" fontId="23" fillId="0" borderId="4" xfId="0" applyNumberFormat="1" applyFont="1" applyBorder="1" applyAlignment="1">
      <alignment horizontal="center" vertical="center" wrapText="1"/>
    </xf>
    <xf numFmtId="4" fontId="23" fillId="0" borderId="2" xfId="0" applyNumberFormat="1" applyFont="1" applyBorder="1" applyAlignment="1">
      <alignment horizontal="center" vertical="center" wrapText="1"/>
    </xf>
    <xf numFmtId="4" fontId="23" fillId="0" borderId="19" xfId="0" applyNumberFormat="1" applyFont="1" applyBorder="1" applyAlignment="1">
      <alignment horizontal="center"/>
    </xf>
    <xf numFmtId="4" fontId="23" fillId="0" borderId="20" xfId="0" applyNumberFormat="1" applyFont="1" applyBorder="1" applyAlignment="1">
      <alignment horizontal="center"/>
    </xf>
    <xf numFmtId="4" fontId="23" fillId="0" borderId="21" xfId="0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center" wrapText="1"/>
    </xf>
    <xf numFmtId="4" fontId="23" fillId="0" borderId="4" xfId="0" applyNumberFormat="1" applyFont="1" applyBorder="1" applyAlignment="1">
      <alignment horizontal="center" wrapText="1"/>
    </xf>
    <xf numFmtId="4" fontId="23" fillId="0" borderId="2" xfId="0" applyNumberFormat="1" applyFont="1" applyBorder="1" applyAlignment="1">
      <alignment horizontal="center" wrapText="1"/>
    </xf>
    <xf numFmtId="4" fontId="23" fillId="0" borderId="9" xfId="0" applyNumberFormat="1" applyFont="1" applyBorder="1" applyAlignment="1">
      <alignment horizontal="center"/>
    </xf>
    <xf numFmtId="0" fontId="21" fillId="0" borderId="0" xfId="0" applyFont="1" applyFill="1" applyBorder="1" applyAlignment="1">
      <alignment horizontal="center" vertical="center"/>
    </xf>
    <xf numFmtId="39" fontId="21" fillId="0" borderId="19" xfId="0" applyNumberFormat="1" applyFont="1" applyFill="1" applyBorder="1" applyAlignment="1">
      <alignment horizontal="center" vertical="distributed"/>
    </xf>
    <xf numFmtId="39" fontId="21" fillId="0" borderId="20" xfId="0" applyNumberFormat="1" applyFont="1" applyFill="1" applyBorder="1" applyAlignment="1">
      <alignment horizontal="center" vertical="distributed"/>
    </xf>
    <xf numFmtId="39" fontId="21" fillId="0" borderId="21" xfId="0" applyNumberFormat="1" applyFont="1" applyFill="1" applyBorder="1" applyAlignment="1">
      <alignment horizontal="center" vertical="distributed"/>
    </xf>
    <xf numFmtId="0" fontId="21" fillId="0" borderId="19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</cellXfs>
  <cellStyles count="249">
    <cellStyle name="Comma" xfId="1" builtinId="3"/>
    <cellStyle name="Comma 2" xfId="2" xr:uid="{F89AC91F-8C10-4F9E-B7EB-4CCDA51EF2A8}"/>
    <cellStyle name="Comma 2 2" xfId="3" xr:uid="{AF0BC839-0802-4ABE-ADFF-93147F9350C1}"/>
    <cellStyle name="Comma 2 2 2" xfId="4" xr:uid="{8FB8F7C1-EBE6-4FDB-A86A-93D1F6D1BAC4}"/>
    <cellStyle name="Comma 2 2 2 2" xfId="5" xr:uid="{48758638-6936-4555-8630-52A28BFB4292}"/>
    <cellStyle name="Comma 2 2 2 2 2" xfId="6" xr:uid="{4E85D21B-B349-4980-B6C4-9ADFEE9C4845}"/>
    <cellStyle name="Comma 2 2 2 2 3" xfId="7" xr:uid="{19288237-88A3-48E7-8573-8F9818DEECB6}"/>
    <cellStyle name="Comma 2 2 2 3" xfId="8" xr:uid="{975381D0-9A8C-40FD-AA66-F72829CF7F85}"/>
    <cellStyle name="Comma 2 2 2 4" xfId="9" xr:uid="{14E0D712-BB45-4822-8705-77FE581A0B30}"/>
    <cellStyle name="Comma 2 2 3" xfId="10" xr:uid="{65CA3E73-0706-4657-A8CC-B2F180246525}"/>
    <cellStyle name="Comma 2 2 3 2" xfId="11" xr:uid="{C8DA853E-2C46-4FE3-95AF-8F42D8223FE9}"/>
    <cellStyle name="Comma 2 2 4" xfId="12" xr:uid="{A32E368D-4DE7-4452-BA25-DDE4DAEACD76}"/>
    <cellStyle name="Comma 2 2 4 2" xfId="13" xr:uid="{3D431DC8-BAD9-4639-9453-26BFAE8CAE82}"/>
    <cellStyle name="Comma 2 2 5" xfId="14" xr:uid="{6EF606E0-4917-413F-9BAB-8669E79115D2}"/>
    <cellStyle name="Comma 2 2 6" xfId="15" xr:uid="{A06B7940-9037-4C5B-9624-581E64AA1D3E}"/>
    <cellStyle name="Comma 2 2 7" xfId="16" xr:uid="{D4827700-5C88-4E43-A4AF-9D9B36EC0E7D}"/>
    <cellStyle name="Comma 2 2 8" xfId="17" xr:uid="{7609EE53-A75C-4512-BF1E-E1C71E806823}"/>
    <cellStyle name="Comma 2 2 9" xfId="18" xr:uid="{5F1244E6-2760-4209-B78A-519FB8E5379A}"/>
    <cellStyle name="Comma 2 3" xfId="19" xr:uid="{7F1D91A0-5071-4A17-9E07-5632CC6B0641}"/>
    <cellStyle name="Comma 2 3 2" xfId="20" xr:uid="{27451C93-5899-4E2A-AC44-7F375F3DE0F8}"/>
    <cellStyle name="Comma 2 4" xfId="21" xr:uid="{A3B5DB2D-BF52-4314-9713-A7CD3A7140F2}"/>
    <cellStyle name="Comma 2 5" xfId="22" xr:uid="{A7A5212F-8E81-4472-9BF5-3A9D4E93FBDF}"/>
    <cellStyle name="Comma 2 6" xfId="23" xr:uid="{CA3FADBE-24A1-44C8-9D13-078A13A5405C}"/>
    <cellStyle name="Comma 2 7" xfId="24" xr:uid="{250967FB-C70B-4AE8-A86A-1C7A6E42F091}"/>
    <cellStyle name="Comma 3" xfId="25" xr:uid="{FCA885E6-1B7B-49F4-9D70-C77ED7C27F1B}"/>
    <cellStyle name="Comma 3 2" xfId="26" xr:uid="{52543A2A-018E-4468-8909-C085F150BFE5}"/>
    <cellStyle name="Comma 3 3" xfId="27" xr:uid="{5C6DF2DA-E7E4-401E-B7E4-E1A140EB921C}"/>
    <cellStyle name="Comma 3 4" xfId="28" xr:uid="{AE486600-E9FC-4B97-A506-02AF57C50F0D}"/>
    <cellStyle name="Comma 3 5" xfId="29" xr:uid="{345E092B-FAC0-4FCB-B48C-7EEC6E149D17}"/>
    <cellStyle name="Comma 4" xfId="30" xr:uid="{CF741DAE-2DD4-4DCF-9FC7-3FF1D804698E}"/>
    <cellStyle name="Comma 4 2" xfId="31" xr:uid="{C0A3E737-3CE5-4858-B759-D8AB97147831}"/>
    <cellStyle name="Comma 4 2 2" xfId="32" xr:uid="{16BDFFD7-55E7-4AD0-8187-34CAF7283514}"/>
    <cellStyle name="Comma 4 2 2 2" xfId="33" xr:uid="{8B80079F-F9C9-4AB8-9058-D073A2709A92}"/>
    <cellStyle name="Comma 4 2 3" xfId="34" xr:uid="{AA9A5C7A-A460-42AE-978E-C21392D8FDBD}"/>
    <cellStyle name="Comma 4 2 4" xfId="35" xr:uid="{289ADD1B-562C-4A22-868F-FF381E4BA487}"/>
    <cellStyle name="Comma 4 3" xfId="36" xr:uid="{1F84FF61-BB2C-4381-AA27-58F0369D159D}"/>
    <cellStyle name="Comma 4 3 2" xfId="37" xr:uid="{5148AFF8-2B63-4ADA-857A-7D4E67F7A6BB}"/>
    <cellStyle name="Comma 4 4" xfId="38" xr:uid="{B23B3D3D-05A0-4456-A1BF-2B830BD991B0}"/>
    <cellStyle name="Comma 4 4 2" xfId="39" xr:uid="{C42AE80F-3EBB-4E25-9014-25A806BB3719}"/>
    <cellStyle name="Comma 4 5" xfId="40" xr:uid="{34BB3C90-C40B-4B77-B278-1E9CF14B2997}"/>
    <cellStyle name="Comma 4 5 2" xfId="41" xr:uid="{601FA41D-21D8-4708-98DE-96EB17FB4D1F}"/>
    <cellStyle name="Comma 4 6" xfId="42" xr:uid="{8F8C3182-FF12-423A-9D53-6664EBB3B04F}"/>
    <cellStyle name="Comma 5" xfId="43" xr:uid="{B4C197A8-D97F-4A6D-887D-5DBC728F660F}"/>
    <cellStyle name="Comma 5 2" xfId="44" xr:uid="{CF2BBF12-8326-494A-855E-4DB922B58E03}"/>
    <cellStyle name="Comma 5 3" xfId="45" xr:uid="{811AE019-05F2-42F9-9469-4EA3DE8A929D}"/>
    <cellStyle name="Comma 5 4" xfId="46" xr:uid="{9102D2E6-544C-44C7-89F5-221900F927DC}"/>
    <cellStyle name="Comma 6" xfId="47" xr:uid="{9880A983-D95D-400D-8200-ED14D108E87D}"/>
    <cellStyle name="Comma 6 2" xfId="48" xr:uid="{45B9071D-136A-4255-8682-1C288C6DF795}"/>
    <cellStyle name="Comma 7" xfId="49" xr:uid="{457085FD-8F42-4A97-A20F-953F905CDF30}"/>
    <cellStyle name="Comma 7 2" xfId="50" xr:uid="{0F9692EC-3ECE-4BAA-915B-416C8930599E}"/>
    <cellStyle name="Comma 7 3" xfId="51" xr:uid="{91F6BC01-203F-497E-86A0-29500E68BA7D}"/>
    <cellStyle name="Comma 8" xfId="52" xr:uid="{F2DBC577-6129-4101-9607-6856ABCD5C89}"/>
    <cellStyle name="Comma 8 2" xfId="53" xr:uid="{E66A7234-6ECF-4C7F-8C3C-8D0B861148A7}"/>
    <cellStyle name="Comma 8 3" xfId="54" xr:uid="{D9B3C7CD-2FE2-46E4-847D-CB10AD7A9DC2}"/>
    <cellStyle name="Comma 9" xfId="55" xr:uid="{3AA69046-B40B-4303-BB63-44005C074E47}"/>
    <cellStyle name="Normal" xfId="0" builtinId="0"/>
    <cellStyle name="Normal 10" xfId="56" xr:uid="{9EB6B450-CF53-4E50-8914-47E7D558B623}"/>
    <cellStyle name="Normal 2" xfId="57" xr:uid="{A6A87A8E-D7B5-471F-8334-037CA58B7F1A}"/>
    <cellStyle name="Normal 2 2" xfId="58" xr:uid="{2EBDBB73-3668-4A6E-ADE8-5904A6D24815}"/>
    <cellStyle name="Normal 2 2 2" xfId="59" xr:uid="{68BDEBAD-ECAB-46FB-A286-8814260DF8EC}"/>
    <cellStyle name="Normal 2 2 2 2" xfId="60" xr:uid="{7D26FC57-7200-48CB-B05D-ABE193399684}"/>
    <cellStyle name="Normal 2 2 2 3" xfId="61" xr:uid="{9CF89B07-CCB5-453A-8BD0-07307834E26E}"/>
    <cellStyle name="Normal 2 2 3" xfId="62" xr:uid="{DD86C829-F758-480B-993D-84AF36A7466B}"/>
    <cellStyle name="Normal 2 2 4" xfId="63" xr:uid="{6741D13F-60EF-4546-B1D4-337670EFA992}"/>
    <cellStyle name="Normal 2 3" xfId="64" xr:uid="{FF5727F0-B8BE-4EB9-BA60-2984144B58A2}"/>
    <cellStyle name="Normal 2 3 2" xfId="65" xr:uid="{40338C79-3098-4261-94D9-BEF841D06F26}"/>
    <cellStyle name="Normal 2 4" xfId="66" xr:uid="{3367429E-ACBB-4A8D-856D-6A3A12069850}"/>
    <cellStyle name="Normal 2 5" xfId="67" xr:uid="{E6639E4D-AA39-4756-94ED-CA30576B5D3E}"/>
    <cellStyle name="Normal 2 6" xfId="68" xr:uid="{3F46125C-8750-424B-95F0-EA6AA58DB437}"/>
    <cellStyle name="Normal 2 6 2" xfId="69" xr:uid="{0D731156-3654-4447-901C-E10F222D1C22}"/>
    <cellStyle name="Normal 2 6 3" xfId="70" xr:uid="{76FAA298-6A35-4879-BA0F-D06E1677648E}"/>
    <cellStyle name="Normal 2 7" xfId="71" xr:uid="{B7809145-AE90-43CA-874D-1BAEC4CB6FC7}"/>
    <cellStyle name="Normal 3" xfId="72" xr:uid="{731A41F0-D1C4-4A0C-894B-958345843485}"/>
    <cellStyle name="Normal 3 2" xfId="73" xr:uid="{E638392B-9E57-41BE-92EA-CA8C9F9D70E9}"/>
    <cellStyle name="Normal 3 2 2" xfId="74" xr:uid="{A2A8CEA0-6A49-4ACA-88B5-7F20CA606463}"/>
    <cellStyle name="Normal 3 2 3" xfId="75" xr:uid="{8871EAED-D819-4E70-AEB6-B6C3C82AC8F6}"/>
    <cellStyle name="Normal 3 2 4" xfId="76" xr:uid="{9E984DFA-B042-403E-8890-CD9D041DA2C3}"/>
    <cellStyle name="Normal 3 3" xfId="77" xr:uid="{CCA87E22-6FAA-413D-B59B-D89F1C1052AC}"/>
    <cellStyle name="Normal 3 4" xfId="78" xr:uid="{6FF06405-5054-4371-B931-76BB105B14F9}"/>
    <cellStyle name="Normal 3 5" xfId="79" xr:uid="{7BC1BB8F-FEFD-419C-84F4-757D38BF1699}"/>
    <cellStyle name="Normal 3 6" xfId="80" xr:uid="{E83FF27E-13E8-49ED-8EF6-8E82ED9171A0}"/>
    <cellStyle name="Normal 4" xfId="81" xr:uid="{1514D3E7-6126-4C83-8AF9-EF7DA8CB1C67}"/>
    <cellStyle name="Normal 4 2" xfId="82" xr:uid="{C3DB55F1-F5C4-4A64-970C-953767483093}"/>
    <cellStyle name="Normal 4 3" xfId="83" xr:uid="{BCFE07F8-B1B8-402A-A94D-E81A067D05B2}"/>
    <cellStyle name="Normal 4 4" xfId="84" xr:uid="{8A942547-386F-4772-8ADB-BE5702009771}"/>
    <cellStyle name="Normal 5" xfId="85" xr:uid="{489FFBB6-A1D3-470C-862E-91D66193167A}"/>
    <cellStyle name="Normal 5 2" xfId="86" xr:uid="{8BC8F28F-5B74-4D7A-9C5B-BCC68D9AB53A}"/>
    <cellStyle name="Normal 5 2 2" xfId="87" xr:uid="{A7819D50-2884-4AA9-9B5E-85003FBD44CE}"/>
    <cellStyle name="Normal 5 2 2 2" xfId="88" xr:uid="{D70AF0B7-755C-4F37-A0CC-EE6A4517A727}"/>
    <cellStyle name="Normal 5 2 3" xfId="89" xr:uid="{59799532-B801-4A82-84C0-4CE41C39CAE9}"/>
    <cellStyle name="Normal 5 2 3 2" xfId="90" xr:uid="{18778575-77E3-43CA-94A5-F641B1372EBC}"/>
    <cellStyle name="Normal 5 3" xfId="91" xr:uid="{EF2519E1-A761-4CB5-8D64-9A36E65146DD}"/>
    <cellStyle name="Normal 5 3 2" xfId="92" xr:uid="{F1157E7C-C3CC-44AB-A607-FBC62E96B3E9}"/>
    <cellStyle name="Normal 5 3 3" xfId="93" xr:uid="{29C3CAAA-17B2-4638-A807-390FDB85E9AD}"/>
    <cellStyle name="Normal 5 4" xfId="94" xr:uid="{35F32010-67DE-4DEF-8563-4C6D6E4C6A49}"/>
    <cellStyle name="Normal 5 4 2" xfId="95" xr:uid="{D96BE77D-64F5-409C-955A-52E44799F89B}"/>
    <cellStyle name="Normal 5 4 3" xfId="96" xr:uid="{BB0D15C5-AB64-4E4A-97FA-091B0DCCD5C9}"/>
    <cellStyle name="Normal 5 5" xfId="97" xr:uid="{744C97C6-67A2-43A7-A6F7-EA3CAA52753A}"/>
    <cellStyle name="Normal 5 6" xfId="98" xr:uid="{AE25AB5C-145C-48B5-9866-076491947635}"/>
    <cellStyle name="Normal 5 7" xfId="99" xr:uid="{FCCEB74B-394C-4099-9996-EA02911A7124}"/>
    <cellStyle name="Normal 6" xfId="100" xr:uid="{4F9F248C-EA26-4C0C-BC29-0D1C205B5A5F}"/>
    <cellStyle name="Normal 6 2" xfId="101" xr:uid="{79B2F17C-CD8C-46EB-97DA-5947F26EF523}"/>
    <cellStyle name="Normal 6 2 2" xfId="102" xr:uid="{2C99E7A6-4FFE-491F-BFE8-03E5D1094B43}"/>
    <cellStyle name="Normal 6 2 3" xfId="103" xr:uid="{67FBF55A-EC19-46E1-936F-E1B2DD8EECF9}"/>
    <cellStyle name="Normal 6 3" xfId="104" xr:uid="{08D8126B-E1E3-4519-8E36-10BFFA3BCB5C}"/>
    <cellStyle name="Normal 6 4" xfId="105" xr:uid="{BBB8C0E1-D8CD-45CF-93B5-4FB5FC2C4C3F}"/>
    <cellStyle name="Normal 7" xfId="106" xr:uid="{09B39509-9615-4DF9-9761-ACEF1436FFAA}"/>
    <cellStyle name="Normal 7 2" xfId="107" xr:uid="{DAC2F6E9-213C-4168-A55E-857C1738E7E5}"/>
    <cellStyle name="Normal 7 3" xfId="108" xr:uid="{060F8226-02DB-42EB-9B33-572FECBF318B}"/>
    <cellStyle name="Normal 8" xfId="109" xr:uid="{34547E0D-6082-4AD5-B751-4F6532F654E4}"/>
    <cellStyle name="Normal 8 2" xfId="110" xr:uid="{0F32B2DD-A585-493A-A6E7-06821B5D3BBD}"/>
    <cellStyle name="Normal 9" xfId="111" xr:uid="{1BC8DAD1-29A8-4FC2-A44F-3B2275C5B157}"/>
    <cellStyle name="Normal_Copy of พ.ย" xfId="112" xr:uid="{23861CB0-34D7-42B4-B1C3-7DBF8F713796}"/>
    <cellStyle name="เครื่องหมายจุลภาค 2" xfId="113" xr:uid="{8C875D89-38B1-4083-ADCA-DCB7C1E7A02B}"/>
    <cellStyle name="เปอร์เซ็นต์ 2" xfId="114" xr:uid="{2486A947-5D29-4FA1-9E98-8C5311BF8C7A}"/>
    <cellStyle name="เปอร์เซ็นต์ 2 2" xfId="115" xr:uid="{81401E3B-8D62-4CB5-AD2A-53A732CC3D81}"/>
    <cellStyle name="เปอร์เซ็นต์ 2 3" xfId="116" xr:uid="{FE29A44E-7ACF-4A70-B46B-2978D2867B0F}"/>
    <cellStyle name="เปอร์เซ็นต์ 2 4" xfId="117" xr:uid="{9D4AC922-6547-46A4-B513-F47F35CEE07B}"/>
    <cellStyle name="เปอร์เซ็นต์ 2 5" xfId="118" xr:uid="{EAB632CE-7322-4D9B-B690-0D035E9912F1}"/>
    <cellStyle name="จุลภาค 10" xfId="119" xr:uid="{CA10C940-447C-4128-A131-5EEBA7EA3F0A}"/>
    <cellStyle name="จุลภาค 11" xfId="120" xr:uid="{82461B99-0608-471F-8BF0-2DA36E900E6E}"/>
    <cellStyle name="จุลภาค 12" xfId="121" xr:uid="{4E86E06F-ABFA-41FC-98A7-F19DF3E22B8C}"/>
    <cellStyle name="จุลภาค 13" xfId="122" xr:uid="{85B4AC34-FFE0-43AE-AADC-B4B7C1FE2F19}"/>
    <cellStyle name="จุลภาค 14" xfId="123" xr:uid="{60785B53-8B92-4CBD-965A-E0B5F0F7D5E5}"/>
    <cellStyle name="จุลภาค 15" xfId="124" xr:uid="{749FEAF5-6505-437E-B1BC-C459DFEC474D}"/>
    <cellStyle name="จุลภาค 16" xfId="125" xr:uid="{37F4E000-ACD1-496F-BCF2-2ABBCF64D947}"/>
    <cellStyle name="จุลภาค 17" xfId="126" xr:uid="{A997B2E3-4A0E-49A0-A7B8-09E9A460D5F4}"/>
    <cellStyle name="จุลภาค 18" xfId="127" xr:uid="{D74BD806-262E-43DD-A1D5-479CF31C7169}"/>
    <cellStyle name="จุลภาค 2" xfId="128" xr:uid="{E1F4EA0F-A6BC-479C-AF8E-367F0DE682D0}"/>
    <cellStyle name="จุลภาค 2 10" xfId="129" xr:uid="{FD275B3B-4882-4036-B623-BF4C34F34935}"/>
    <cellStyle name="จุลภาค 2 11" xfId="130" xr:uid="{6E0E65FB-BF51-4B7E-9BFD-3B31F14D436F}"/>
    <cellStyle name="จุลภาค 2 12" xfId="131" xr:uid="{BFAE9E05-9E3B-4555-A744-EEB1BAB6CD92}"/>
    <cellStyle name="จุลภาค 2 13" xfId="132" xr:uid="{05244265-E1D9-496A-A13E-45048E1CE30E}"/>
    <cellStyle name="จุลภาค 2 14" xfId="133" xr:uid="{32B457A2-54C8-43F6-AD9E-A02BC9F4F312}"/>
    <cellStyle name="จุลภาค 2 15" xfId="134" xr:uid="{70B4944A-1A85-4AC4-B5CF-BF259F9E4624}"/>
    <cellStyle name="จุลภาค 2 16" xfId="135" xr:uid="{240A3961-025A-4A59-A7D7-B5BABF24E9C8}"/>
    <cellStyle name="จุลภาค 2 17" xfId="136" xr:uid="{D246BE73-3491-48CA-B164-457659F2ADAB}"/>
    <cellStyle name="จุลภาค 2 2" xfId="137" xr:uid="{D4A7D670-1F4A-4768-829E-6A5375810993}"/>
    <cellStyle name="จุลภาค 2 2 2" xfId="138" xr:uid="{C5C5835D-17E1-4D39-844B-8FC3E94EE79A}"/>
    <cellStyle name="จุลภาค 2 2 2 2" xfId="139" xr:uid="{1704E688-A056-4C0F-9936-6573F5CDD3B2}"/>
    <cellStyle name="จุลภาค 2 2 2 3" xfId="140" xr:uid="{C5738B57-7D26-468A-8F8B-0058E3320889}"/>
    <cellStyle name="จุลภาค 2 2 2 4" xfId="141" xr:uid="{366D1847-C473-4F38-A55F-8B2768DEF40E}"/>
    <cellStyle name="จุลภาค 2 2 3" xfId="142" xr:uid="{3D0D4BBE-09D6-494B-B31B-54D21F62C811}"/>
    <cellStyle name="จุลภาค 2 2 3 2" xfId="143" xr:uid="{B4A95A3E-CD1E-4A73-A5FC-8BAA7B97C284}"/>
    <cellStyle name="จุลภาค 2 2 3 3" xfId="144" xr:uid="{22A3F691-D652-47DE-B234-ACF7D88D1CE4}"/>
    <cellStyle name="จุลภาค 2 2 3 4" xfId="145" xr:uid="{BA2B6FC7-3EB6-4A13-8916-00A747A897E6}"/>
    <cellStyle name="จุลภาค 2 2 4" xfId="146" xr:uid="{6A71CCDA-D2B5-483F-BB44-63B9117D5525}"/>
    <cellStyle name="จุลภาค 2 2 5" xfId="147" xr:uid="{1173B1DC-E225-4309-A390-8F651BA5B45B}"/>
    <cellStyle name="จุลภาค 2 2 6" xfId="148" xr:uid="{3843931B-2FE7-47C2-A3C0-E048FF42703D}"/>
    <cellStyle name="จุลภาค 2 2 7" xfId="149" xr:uid="{9395FFC5-3924-413F-A5A8-857B25C7D2EA}"/>
    <cellStyle name="จุลภาค 2 2 8" xfId="150" xr:uid="{593FFDF2-4DED-4CD1-B20E-F4958E668D5D}"/>
    <cellStyle name="จุลภาค 2 3" xfId="151" xr:uid="{2A7C9057-D838-47C5-8BA4-CDDDA94480DF}"/>
    <cellStyle name="จุลภาค 2 3 2" xfId="152" xr:uid="{78BD3020-0296-404A-956F-AF5BCB5CFB24}"/>
    <cellStyle name="จุลภาค 2 3 2 2" xfId="153" xr:uid="{00489F55-A116-4DBB-ABF0-00202120E5B9}"/>
    <cellStyle name="จุลภาค 2 3 3" xfId="154" xr:uid="{5C0CC67C-9C92-45CB-9303-FC2B17DC815D}"/>
    <cellStyle name="จุลภาค 2 3 4" xfId="155" xr:uid="{F70F94E2-61CF-4244-95B0-46B4A7AD3224}"/>
    <cellStyle name="จุลภาค 2 4" xfId="156" xr:uid="{496B40C5-0784-4865-8C4E-DE886EA21CFB}"/>
    <cellStyle name="จุลภาค 2 4 2" xfId="157" xr:uid="{8A6611F9-02AF-4B65-B166-FF46C45335D2}"/>
    <cellStyle name="จุลภาค 2 5" xfId="158" xr:uid="{8A4E59E3-F7D1-4F65-95F0-A200E3962BCA}"/>
    <cellStyle name="จุลภาค 2 5 2" xfId="159" xr:uid="{86ADAE5D-00F8-456C-BAC4-D4E46F1685DD}"/>
    <cellStyle name="จุลภาค 2 6" xfId="160" xr:uid="{BA901CEC-4CDF-48E6-A93A-CCAADE943762}"/>
    <cellStyle name="จุลภาค 2 6 2" xfId="161" xr:uid="{C35B76FA-8923-4888-AF19-276DE166F9CF}"/>
    <cellStyle name="จุลภาค 2 7" xfId="162" xr:uid="{9C6D32C5-0DB4-4B35-BC8F-1FC501F33955}"/>
    <cellStyle name="จุลภาค 2 8" xfId="163" xr:uid="{3FBC004D-75E2-42C9-A0AE-4E8B69FC91E0}"/>
    <cellStyle name="จุลภาค 2 9" xfId="164" xr:uid="{FFE2127C-C9A3-41C0-8511-355A45812FA1}"/>
    <cellStyle name="จุลภาค 3" xfId="165" xr:uid="{CE9771C6-3BC3-4942-ADA5-9DE85BF0EA15}"/>
    <cellStyle name="จุลภาค 3 10" xfId="166" xr:uid="{BFF69536-248F-403A-A3E5-C514C18966E7}"/>
    <cellStyle name="จุลภาค 3 2" xfId="167" xr:uid="{D0DB9CBD-82B4-4DF6-966E-28DD2C4909C3}"/>
    <cellStyle name="จุลภาค 3 2 2" xfId="168" xr:uid="{B7259C0F-891C-4E17-8494-A55B19DB1D50}"/>
    <cellStyle name="จุลภาค 3 2 3" xfId="169" xr:uid="{0D28C1EF-D2EA-4BA9-9F16-1B56D39D641B}"/>
    <cellStyle name="จุลภาค 3 2 4" xfId="170" xr:uid="{DB585A76-0206-4FB2-BA4C-81862BBA025A}"/>
    <cellStyle name="จุลภาค 3 2 5" xfId="171" xr:uid="{2E686EEE-10AB-4A1D-9B37-6BE6D51C51D9}"/>
    <cellStyle name="จุลภาค 3 2 6" xfId="172" xr:uid="{62EB34B6-5DF9-44EB-A411-60CE3858A003}"/>
    <cellStyle name="จุลภาค 3 2 7" xfId="173" xr:uid="{CC248071-1B77-411D-AC7F-D31E05D31146}"/>
    <cellStyle name="จุลภาค 3 3" xfId="174" xr:uid="{F7284F27-DD14-4138-97BA-0B1B49DC1426}"/>
    <cellStyle name="จุลภาค 3 3 2" xfId="175" xr:uid="{E30FE0D4-543D-4FF8-9CEB-57C88262106D}"/>
    <cellStyle name="จุลภาค 3 3 3" xfId="176" xr:uid="{48368000-32D2-44E3-B462-C91107B30B81}"/>
    <cellStyle name="จุลภาค 3 3 4" xfId="177" xr:uid="{7119E1CA-D343-44C1-A84A-934CF42A6205}"/>
    <cellStyle name="จุลภาค 3 3 5" xfId="178" xr:uid="{0DF2064A-A6B3-429C-9BFE-364F822DA4B5}"/>
    <cellStyle name="จุลภาค 3 3 6" xfId="179" xr:uid="{092B4374-03AD-4480-A220-2C74E4A0006A}"/>
    <cellStyle name="จุลภาค 3 4" xfId="180" xr:uid="{5E9775B0-3C4F-4C10-B7F6-0E0A497598A0}"/>
    <cellStyle name="จุลภาค 3 4 2" xfId="181" xr:uid="{ED43D8F4-223D-4208-B6A4-F6F7BAB8A159}"/>
    <cellStyle name="จุลภาค 3 4 3" xfId="182" xr:uid="{DAF55A6E-34FD-4904-A42E-5402BADAC9C8}"/>
    <cellStyle name="จุลภาค 3 4 4" xfId="183" xr:uid="{8563A94E-3C4F-4C83-BE35-428B4CA7DA6F}"/>
    <cellStyle name="จุลภาค 3 5" xfId="184" xr:uid="{41D5B5F2-9243-40DB-BA1E-BC8DFF1DD58B}"/>
    <cellStyle name="จุลภาค 3 6" xfId="185" xr:uid="{888E1A4E-EAA0-45D2-B348-1195F247D852}"/>
    <cellStyle name="จุลภาค 3 7" xfId="186" xr:uid="{0132FF51-01CD-43DA-B7AC-FBC287537633}"/>
    <cellStyle name="จุลภาค 3 8" xfId="187" xr:uid="{F79EE2BB-1FF3-4654-A86E-2447AF3FE555}"/>
    <cellStyle name="จุลภาค 3 9" xfId="188" xr:uid="{8DFADF4C-6256-469C-A2CD-BBF442785B51}"/>
    <cellStyle name="จุลภาค 4" xfId="189" xr:uid="{23886748-1C4F-4EF7-8CFB-08039004DCC0}"/>
    <cellStyle name="จุลภาค 4 2" xfId="190" xr:uid="{496CEAE1-9BB1-434C-8E4F-27895F53198D}"/>
    <cellStyle name="จุลภาค 4 3" xfId="191" xr:uid="{A04C9EA2-B8B5-4489-AB30-797D63AB5B22}"/>
    <cellStyle name="จุลภาค 4 4" xfId="192" xr:uid="{98176B15-8B1B-4C1A-839D-DE6656F9884B}"/>
    <cellStyle name="จุลภาค 4 5" xfId="193" xr:uid="{497FAFA2-8328-479C-9A86-918A84629F4C}"/>
    <cellStyle name="จุลภาค 4 6" xfId="194" xr:uid="{7BA35AF5-5FE0-4340-990E-87733835B440}"/>
    <cellStyle name="จุลภาค 4 7" xfId="195" xr:uid="{7BEA8506-0FD1-4410-A256-02D4421F3765}"/>
    <cellStyle name="จุลภาค 4 8" xfId="196" xr:uid="{4D89AFF2-0EA2-4CFD-81A6-3F94371C962C}"/>
    <cellStyle name="จุลภาค 5" xfId="197" xr:uid="{2E3FC604-7295-4A44-9EB3-1BE7F75DEEDD}"/>
    <cellStyle name="จุลภาค 5 2" xfId="198" xr:uid="{D50D03C0-5F13-4C60-9D9F-281E99CD2A8F}"/>
    <cellStyle name="จุลภาค 5 3" xfId="199" xr:uid="{57D7266E-57B3-4ADC-937B-0FDE8371860D}"/>
    <cellStyle name="จุลภาค 5 4" xfId="200" xr:uid="{FC40AF01-1F24-4034-9389-35F260AF6E80}"/>
    <cellStyle name="จุลภาค 5 5" xfId="201" xr:uid="{72FCE842-19C7-43F4-8230-E1083265EC2F}"/>
    <cellStyle name="จุลภาค 6" xfId="202" xr:uid="{29405759-C190-416A-BE70-7F607896EDC4}"/>
    <cellStyle name="จุลภาค 6 2" xfId="203" xr:uid="{0E048032-0AC8-4381-9E0D-76C72BF951C9}"/>
    <cellStyle name="จุลภาค 6 2 2" xfId="204" xr:uid="{E08B4D76-4C10-4ABF-B464-AD74101117B3}"/>
    <cellStyle name="จุลภาค 6 3" xfId="205" xr:uid="{BD8A8C6B-5137-4C85-8A3E-3A048D95EF44}"/>
    <cellStyle name="จุลภาค 6 4" xfId="206" xr:uid="{B150DCC2-E51E-436A-96D1-C24DA2C42961}"/>
    <cellStyle name="จุลภาค 6 5" xfId="207" xr:uid="{6B198970-8270-40E7-90EF-76EB4599C61F}"/>
    <cellStyle name="จุลภาค 7" xfId="208" xr:uid="{604A7B3C-5813-4B9D-9C20-92D76D79D5E6}"/>
    <cellStyle name="จุลภาค 7 2" xfId="209" xr:uid="{BE8B86AF-4772-4C68-86D4-2C788AF91386}"/>
    <cellStyle name="จุลภาค 8" xfId="210" xr:uid="{CC5A9ADF-DB89-4E02-BA2A-D9528D3CFF2A}"/>
    <cellStyle name="จุลภาค 8 2" xfId="211" xr:uid="{BF9C046C-1D7C-4E10-B356-7BD166814BE9}"/>
    <cellStyle name="จุลภาค 9" xfId="212" xr:uid="{E8BDC1CA-3387-4C0D-ADCF-0CEB14831221}"/>
    <cellStyle name="ปกติ 2" xfId="213" xr:uid="{CE67E983-EAA9-440F-86C2-4378DF9B6605}"/>
    <cellStyle name="ปกติ 2 2" xfId="214" xr:uid="{311874A2-C8EC-4E19-9F95-C84946EE2679}"/>
    <cellStyle name="ปกติ 2 2 2" xfId="215" xr:uid="{05C56F63-4051-4A5A-B7A4-31116DC0F341}"/>
    <cellStyle name="ปกติ 2 3" xfId="216" xr:uid="{DE3E8445-7B3B-4087-A8FB-B9241034ECD4}"/>
    <cellStyle name="ปกติ 2 4" xfId="217" xr:uid="{A39CF068-73B5-41E5-9FB5-FC9D55B6A1B3}"/>
    <cellStyle name="ปกติ 2 5" xfId="218" xr:uid="{4CEFB475-79D7-4F12-81B9-C95D280DA39F}"/>
    <cellStyle name="ปกติ 2 6" xfId="219" xr:uid="{543315AC-3D70-467A-9FC7-CF9D830DA1D4}"/>
    <cellStyle name="ปกติ 3" xfId="220" xr:uid="{9C045794-10E9-467E-BAD2-3799CAE4CEF9}"/>
    <cellStyle name="ปกติ 3 2" xfId="221" xr:uid="{048B4214-1036-46C8-84F6-7903B8E11A80}"/>
    <cellStyle name="ปกติ 3 2 2" xfId="222" xr:uid="{4B46564B-CEF9-4DA0-A739-E1B4453B22DF}"/>
    <cellStyle name="ปกติ 3 3" xfId="223" xr:uid="{5D1F4BF3-E72C-4ABA-A026-626173FD98FC}"/>
    <cellStyle name="ปกติ 3 3 2" xfId="224" xr:uid="{3032C0FC-C6DE-481D-85B0-51493AF14BE2}"/>
    <cellStyle name="ปกติ 3 4" xfId="225" xr:uid="{1B54DF58-5CDA-423F-8CEC-82A430F559CF}"/>
    <cellStyle name="ปกติ 3 4 2" xfId="226" xr:uid="{1F61030A-86E1-4DAC-8CA5-EC3222851771}"/>
    <cellStyle name="ปกติ 3 5" xfId="227" xr:uid="{A037135A-2D0C-4144-8FAB-DEDD749FE9C9}"/>
    <cellStyle name="ปกติ 4" xfId="228" xr:uid="{54B7FB28-780F-4092-B09E-0AAD9AC2A8AE}"/>
    <cellStyle name="ปกติ 4 2" xfId="229" xr:uid="{B400382E-888E-4B1D-A645-4430700A6F53}"/>
    <cellStyle name="ปกติ 4 3" xfId="230" xr:uid="{D9F9F50E-DD11-46B8-9C49-E0B2A212FE24}"/>
    <cellStyle name="ปกติ 4 4" xfId="231" xr:uid="{097CC1F6-24C6-428D-8EEB-CFA6AB86B282}"/>
    <cellStyle name="ปกติ 4 5" xfId="232" xr:uid="{49354FBA-766D-4079-8D2A-F831B551AED5}"/>
    <cellStyle name="ปกติ 4 6" xfId="233" xr:uid="{44B130C0-9B26-4702-BAC6-6A25B9E84291}"/>
    <cellStyle name="ปกติ 5" xfId="234" xr:uid="{B4996C9D-B4C3-4ECC-889F-15BC0041DD78}"/>
    <cellStyle name="ปกติ 5 2" xfId="235" xr:uid="{DB300EED-4C56-4D78-91D2-C861449D583E}"/>
    <cellStyle name="ปกติ 5 3" xfId="236" xr:uid="{769BDD72-C02E-4D2F-901C-14F445EFE54A}"/>
    <cellStyle name="ปกติ 5 4" xfId="237" xr:uid="{8F808364-E3EF-4BA5-9E90-1C9B8419CE19}"/>
    <cellStyle name="ปกติ 5 5" xfId="238" xr:uid="{2B3692A2-E447-4BDA-969F-1B76DAB8B8DC}"/>
    <cellStyle name="ปกติ 6" xfId="239" xr:uid="{9B4FA917-6D89-40C9-9123-DCBF8FA1B03A}"/>
    <cellStyle name="ปกติ 6 2" xfId="240" xr:uid="{3A772932-3A81-4329-9C92-5745EDA0DA85}"/>
    <cellStyle name="ปกติ 6 3" xfId="241" xr:uid="{436A3AA0-2459-463D-9DC4-30B6E8C3911D}"/>
    <cellStyle name="ปกติ 6 4" xfId="242" xr:uid="{F1492A23-AB97-4F7A-9BCB-F681A6FC88D1}"/>
    <cellStyle name="ปกติ 7" xfId="243" xr:uid="{19338523-0227-410D-9877-7BCE3997F294}"/>
    <cellStyle name="ปกติ 7 2" xfId="244" xr:uid="{71FEFCD1-15CD-4111-94EF-708E9A738B47}"/>
    <cellStyle name="ปกติ 7 3" xfId="245" xr:uid="{B4B78C18-1D5F-49B7-9285-AAAE82FE7686}"/>
    <cellStyle name="ปกติ 8" xfId="246" xr:uid="{DBB143DF-5A21-4053-BC76-A4D89B61DEFF}"/>
    <cellStyle name="ปกติ 8 2" xfId="247" xr:uid="{AF227B24-1FDA-44F3-9479-B8A567EADC27}"/>
    <cellStyle name="ปกติ 9" xfId="248" xr:uid="{D4649F6B-7E91-43DD-A338-C31E2AFDD07A}"/>
  </cellStyles>
  <dxfs count="6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3" defaultTableStyle="TableStyleMedium9" defaultPivotStyle="PivotStyleLight16">
    <tableStyle name="พ.ค.66-style" pivot="0" count="3" xr9:uid="{7B499F6F-7F2C-4DC7-8AD3-075C9ADAE398}">
      <tableStyleElement type="headerRow" dxfId="68"/>
      <tableStyleElement type="firstRowStripe" dxfId="67"/>
      <tableStyleElement type="secondRowStripe" dxfId="66"/>
    </tableStyle>
    <tableStyle name="เม.ย.66-style" pivot="0" count="3" xr9:uid="{3399D4B1-49B5-470D-848A-4A01AAD2EC1D}">
      <tableStyleElement type="headerRow" dxfId="65"/>
      <tableStyleElement type="firstRowStripe" dxfId="64"/>
      <tableStyleElement type="secondRowStripe" dxfId="63"/>
    </tableStyle>
    <tableStyle name="มิ.ย.66-style" pivot="0" count="3" xr9:uid="{F42D278B-27F4-4E20-A1F5-989F3A8B5CD5}">
      <tableStyleElement type="headerRow" dxfId="62"/>
      <tableStyleElement type="firstRowStripe" dxfId="61"/>
      <tableStyleElement type="secondRowStripe" dxfId="60"/>
    </tableStyle>
    <tableStyle name="ก.ค.66-style" pivot="0" count="3" xr9:uid="{18A5031D-0640-4008-95EC-68FAC4AF6ECE}">
      <tableStyleElement type="headerRow" dxfId="59"/>
      <tableStyleElement type="firstRowStripe" dxfId="58"/>
      <tableStyleElement type="secondRowStripe" dxfId="57"/>
    </tableStyle>
    <tableStyle name="ส.ค.66-style" pivot="0" count="3" xr9:uid="{CBE9809B-10C9-4866-92D3-B677F9EB2271}">
      <tableStyleElement type="headerRow" dxfId="56"/>
      <tableStyleElement type="firstRowStripe" dxfId="55"/>
      <tableStyleElement type="secondRowStripe" dxfId="54"/>
    </tableStyle>
    <tableStyle name="มี.ค.66-style" pivot="0" count="3" xr9:uid="{78E59361-6633-4B45-805C-A8398CCCBF7B}">
      <tableStyleElement type="headerRow" dxfId="53"/>
      <tableStyleElement type="firstRowStripe" dxfId="52"/>
      <tableStyleElement type="secondRowStripe" dxfId="51"/>
    </tableStyle>
    <tableStyle name="ก.พ.68-style" pivot="0" count="3" xr9:uid="{37C9B944-2CB1-4CAB-A89F-66440A11A16E}">
      <tableStyleElement type="headerRow" dxfId="50"/>
      <tableStyleElement type="firstRowStripe" dxfId="49"/>
      <tableStyleElement type="secondRowStripe" dxfId="48"/>
    </tableStyle>
    <tableStyle name="ก.ย.66-style" pivot="0" count="3" xr9:uid="{609AFE2D-546E-476B-9C29-890BAEEBAC33}">
      <tableStyleElement type="headerRow" dxfId="47"/>
      <tableStyleElement type="firstRowStripe" dxfId="46"/>
      <tableStyleElement type="secondRowStripe" dxfId="45"/>
    </tableStyle>
    <tableStyle name="ก.ย.67-style" pivot="0" count="3" xr9:uid="{7D8A7350-7FA1-4AE8-86D6-AEBCC79537CD}">
      <tableStyleElement type="headerRow" dxfId="44"/>
      <tableStyleElement type="firstRowStripe" dxfId="43"/>
      <tableStyleElement type="secondRowStripe" dxfId="42"/>
    </tableStyle>
    <tableStyle name="ต.ค.66-style" pivot="0" count="3" xr9:uid="{A16194ED-5D5E-4479-A76A-AD4BA1B4F57A}">
      <tableStyleElement type="headerRow" dxfId="41"/>
      <tableStyleElement type="firstRowStripe" dxfId="40"/>
      <tableStyleElement type="secondRowStripe" dxfId="39"/>
    </tableStyle>
    <tableStyle name="ต.ค.67-style" pivot="0" count="3" xr9:uid="{1010C6C0-7E06-4747-9881-7980996A4C6B}">
      <tableStyleElement type="headerRow" dxfId="38"/>
      <tableStyleElement type="firstRowStripe" dxfId="37"/>
      <tableStyleElement type="secondRowStripe" dxfId="36"/>
    </tableStyle>
    <tableStyle name="ธ.ค.67-style" pivot="0" count="3" xr9:uid="{BCA20304-7EA7-41AE-9F60-E936A410A2A4}">
      <tableStyleElement type="headerRow" dxfId="35"/>
      <tableStyleElement type="firstRowStripe" dxfId="34"/>
      <tableStyleElement type="secondRowStripe" dxfId="33"/>
    </tableStyle>
    <tableStyle name="พ.ย.66-style" pivot="0" count="3" xr9:uid="{B4E7C9CB-CBC0-477C-9256-B8C6D7FF84E7}">
      <tableStyleElement type="headerRow" dxfId="32"/>
      <tableStyleElement type="firstRowStripe" dxfId="31"/>
      <tableStyleElement type="secondRowStripe" dxfId="30"/>
    </tableStyle>
    <tableStyle name="พ.ย.67-style" pivot="0" count="3" xr9:uid="{CFE37D13-17F3-4C43-837E-264B16618D21}">
      <tableStyleElement type="headerRow" dxfId="29"/>
      <tableStyleElement type="firstRowStripe" dxfId="28"/>
      <tableStyleElement type="secondRowStripe" dxfId="27"/>
    </tableStyle>
    <tableStyle name="ธ.ค.66-style" pivot="0" count="3" xr9:uid="{AD3E448D-5081-4B6F-B58A-A634D981460F}">
      <tableStyleElement type="headerRow" dxfId="26"/>
      <tableStyleElement type="firstRowStripe" dxfId="25"/>
      <tableStyleElement type="secondRowStripe" dxfId="24"/>
    </tableStyle>
    <tableStyle name="ม.ค.67-style" pivot="0" count="3" xr9:uid="{BD7C60C4-BF10-4C9D-8CCB-212D3BCEE47B}">
      <tableStyleElement type="headerRow" dxfId="23"/>
      <tableStyleElement type="firstRowStripe" dxfId="22"/>
      <tableStyleElement type="secondRowStripe" dxfId="21"/>
    </tableStyle>
    <tableStyle name="ก.พ.67-style" pivot="0" count="3" xr9:uid="{03E1569A-A660-448F-A2FE-1ED0913D2697}">
      <tableStyleElement type="headerRow" dxfId="20"/>
      <tableStyleElement type="firstRowStripe" dxfId="19"/>
      <tableStyleElement type="secondRowStripe" dxfId="18"/>
    </tableStyle>
    <tableStyle name="ม.ค.68-style" pivot="0" count="3" xr9:uid="{6AFF1361-1516-4170-A805-87337C8C1D81}">
      <tableStyleElement type="headerRow" dxfId="17"/>
      <tableStyleElement type="firstRowStripe" dxfId="16"/>
      <tableStyleElement type="secondRowStripe" dxfId="15"/>
    </tableStyle>
    <tableStyle name="มี.ค.67-style" pivot="0" count="3" xr9:uid="{66F5B385-DFB6-4E0D-92A2-796596823171}">
      <tableStyleElement type="headerRow" dxfId="14"/>
      <tableStyleElement type="firstRowStripe" dxfId="13"/>
      <tableStyleElement type="secondRowStripe" dxfId="12"/>
    </tableStyle>
    <tableStyle name="เม.ย.67-style" pivot="0" count="3" xr9:uid="{C3D70FB8-8FC1-44E3-9C6B-58BE5C897F34}">
      <tableStyleElement type="headerRow" dxfId="11"/>
      <tableStyleElement type="firstRowStripe" dxfId="10"/>
      <tableStyleElement type="secondRowStripe" dxfId="9"/>
    </tableStyle>
    <tableStyle name="พ.ค.67-style" pivot="0" count="3" xr9:uid="{8FF475D9-72FB-486E-AF7C-DF9D41C62003}">
      <tableStyleElement type="headerRow" dxfId="8"/>
      <tableStyleElement type="firstRowStripe" dxfId="7"/>
      <tableStyleElement type="secondRowStripe" dxfId="6"/>
    </tableStyle>
    <tableStyle name="มิ.ย.67-style" pivot="0" count="3" xr9:uid="{A41ECABD-3951-40DA-9FEC-794E7CD8B529}">
      <tableStyleElement type="headerRow" dxfId="5"/>
      <tableStyleElement type="firstRowStripe" dxfId="4"/>
      <tableStyleElement type="secondRowStripe" dxfId="3"/>
    </tableStyle>
    <tableStyle name="ส.ค.67-style" pivot="0" count="3" xr9:uid="{9CA58792-FF3A-405D-B737-1C270E88FB9E}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123654</xdr:colOff>
      <xdr:row>1</xdr:row>
      <xdr:rowOff>1</xdr:rowOff>
    </xdr:from>
    <xdr:to>
      <xdr:col>10</xdr:col>
      <xdr:colOff>1605</xdr:colOff>
      <xdr:row>1</xdr:row>
      <xdr:rowOff>107282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780F39-8E71-FA98-0D0D-281E07F8CFB2}"/>
            </a:ext>
          </a:extLst>
        </xdr:cNvPr>
        <xdr:cNvSpPr txBox="1"/>
      </xdr:nvSpPr>
      <xdr:spPr>
        <a:xfrm>
          <a:off x="7515457" y="220702"/>
          <a:ext cx="656518" cy="19746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ส่งบัญชี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1571-F249-48C8-8E94-1142305AD537}">
  <sheetPr codeName="Sheet4">
    <tabColor rgb="FFFF0000"/>
  </sheetPr>
  <dimension ref="A1:IQ1853"/>
  <sheetViews>
    <sheetView zoomScale="120" zoomScaleNormal="120" workbookViewId="0">
      <pane ySplit="5" topLeftCell="A60" activePane="bottomLeft" state="frozen"/>
      <selection activeCell="E1465" sqref="E1465"/>
      <selection pane="bottomLeft" activeCell="D13" sqref="D13"/>
    </sheetView>
  </sheetViews>
  <sheetFormatPr defaultRowHeight="15" customHeight="1"/>
  <cols>
    <col min="1" max="1" width="7.109375" style="142" customWidth="1"/>
    <col min="2" max="2" width="5.21875" style="142" customWidth="1"/>
    <col min="3" max="3" width="35.5546875" style="142" customWidth="1"/>
    <col min="4" max="4" width="22.5546875" style="145" customWidth="1"/>
    <col min="5" max="6" width="17.109375" style="145" customWidth="1"/>
    <col min="7" max="7" width="13.77734375" style="129" bestFit="1" customWidth="1"/>
    <col min="8" max="9" width="15.109375" style="165" customWidth="1"/>
    <col min="10" max="10" width="14.109375" style="157" customWidth="1"/>
    <col min="11" max="16384" width="8.88671875" style="142"/>
  </cols>
  <sheetData>
    <row r="1" spans="1:14" ht="15" customHeight="1">
      <c r="A1" s="1515" t="s">
        <v>102</v>
      </c>
      <c r="B1" s="1515"/>
      <c r="C1" s="1515"/>
      <c r="D1" s="1515"/>
      <c r="E1" s="1515"/>
      <c r="F1" s="137"/>
      <c r="G1" s="138"/>
      <c r="H1" s="138"/>
      <c r="I1" s="138"/>
      <c r="J1" s="140"/>
      <c r="K1" s="141"/>
      <c r="L1" s="141"/>
      <c r="M1" s="141"/>
      <c r="N1" s="141"/>
    </row>
    <row r="2" spans="1:14" ht="15" customHeight="1">
      <c r="A2" s="1515" t="s">
        <v>244</v>
      </c>
      <c r="B2" s="1515"/>
      <c r="C2" s="1515"/>
      <c r="D2" s="1515"/>
      <c r="E2" s="1515"/>
      <c r="F2" s="137"/>
      <c r="G2" s="138"/>
      <c r="H2" s="138"/>
      <c r="I2" s="138"/>
      <c r="J2" s="140"/>
      <c r="K2" s="141"/>
      <c r="L2" s="141"/>
      <c r="M2" s="141"/>
      <c r="N2" s="141"/>
    </row>
    <row r="3" spans="1:14" ht="15" customHeight="1">
      <c r="A3" s="1516" t="str">
        <f>'agingปัจจุบันส่ง(ส่งบัญชี)'!A3</f>
        <v>ณ วันที่ 31 กรกฎาคม 2569</v>
      </c>
      <c r="B3" s="1517"/>
      <c r="C3" s="1517"/>
      <c r="D3" s="1517"/>
      <c r="E3" s="1517"/>
      <c r="F3" s="137"/>
      <c r="G3" s="138" t="s">
        <v>3328</v>
      </c>
      <c r="H3" s="138" t="s">
        <v>3329</v>
      </c>
      <c r="I3" s="144"/>
      <c r="J3" s="124"/>
      <c r="K3" s="125"/>
      <c r="L3" s="125"/>
      <c r="M3" s="125"/>
      <c r="N3" s="141"/>
    </row>
    <row r="4" spans="1:14" ht="15" customHeight="1">
      <c r="A4" s="120" t="s">
        <v>127</v>
      </c>
      <c r="B4" s="146"/>
      <c r="C4" s="147" t="s">
        <v>110</v>
      </c>
      <c r="D4" s="148"/>
      <c r="E4" s="149" t="s">
        <v>95</v>
      </c>
      <c r="F4" s="139"/>
      <c r="G4" s="150"/>
      <c r="H4" s="150"/>
      <c r="I4" s="150"/>
      <c r="J4" s="140"/>
      <c r="K4" s="141"/>
      <c r="L4" s="141"/>
      <c r="M4" s="141"/>
      <c r="N4" s="141"/>
    </row>
    <row r="5" spans="1:14" ht="15" customHeight="1">
      <c r="A5" s="121"/>
      <c r="B5" s="151"/>
      <c r="C5" s="143"/>
      <c r="D5" s="152"/>
      <c r="E5" s="153" t="s">
        <v>101</v>
      </c>
      <c r="F5" s="139"/>
      <c r="G5" s="150"/>
      <c r="H5" s="150"/>
      <c r="I5" s="150"/>
      <c r="J5" s="140"/>
      <c r="K5" s="141"/>
      <c r="L5" s="141"/>
      <c r="M5" s="141"/>
      <c r="N5" s="141"/>
    </row>
    <row r="6" spans="1:14" ht="15" customHeight="1">
      <c r="A6" s="154">
        <v>1</v>
      </c>
      <c r="B6" s="126" t="s">
        <v>100</v>
      </c>
      <c r="C6" s="144"/>
      <c r="D6" s="127"/>
      <c r="E6" s="128"/>
      <c r="F6" s="129"/>
      <c r="H6" s="129"/>
      <c r="I6" s="129"/>
      <c r="J6" s="140"/>
      <c r="K6" s="141"/>
      <c r="L6" s="141"/>
      <c r="M6" s="141"/>
      <c r="N6" s="141"/>
    </row>
    <row r="7" spans="1:14" ht="15" customHeight="1">
      <c r="A7" s="154"/>
      <c r="B7" s="155"/>
      <c r="C7" s="144" t="s">
        <v>3407</v>
      </c>
      <c r="D7" s="127"/>
      <c r="E7" s="128"/>
      <c r="F7" s="129"/>
      <c r="H7" s="129"/>
      <c r="I7" s="129"/>
      <c r="J7" s="140"/>
      <c r="K7" s="141"/>
      <c r="L7" s="141"/>
      <c r="M7" s="141"/>
      <c r="N7" s="141"/>
    </row>
    <row r="8" spans="1:14" ht="15" customHeight="1">
      <c r="A8" s="154"/>
      <c r="B8" s="155"/>
      <c r="C8" s="144" t="s">
        <v>906</v>
      </c>
      <c r="D8" s="127">
        <f>+'agingปัจจุบันส่ง(ส่งบัญชี)'!P96</f>
        <v>12610619.829999998</v>
      </c>
      <c r="E8" s="128"/>
      <c r="F8" s="129"/>
      <c r="G8" s="129">
        <v>11745695.08</v>
      </c>
      <c r="H8" s="156">
        <f>+D8-G8</f>
        <v>864924.74999999814</v>
      </c>
      <c r="I8" s="129"/>
    </row>
    <row r="9" spans="1:14" ht="15" customHeight="1">
      <c r="A9" s="154"/>
      <c r="B9" s="155"/>
      <c r="C9" s="144" t="s">
        <v>879</v>
      </c>
      <c r="D9" s="127">
        <f>+'agingปัจจุบันส่ง(ส่งบัญชี)'!P106</f>
        <v>321983.48</v>
      </c>
      <c r="E9" s="128"/>
      <c r="F9" s="129"/>
      <c r="G9" s="129">
        <v>340943.63</v>
      </c>
      <c r="H9" s="1310">
        <f t="shared" ref="H9:H72" si="0">+D9-G9</f>
        <v>-18960.150000000023</v>
      </c>
      <c r="I9" s="129"/>
    </row>
    <row r="10" spans="1:14" ht="15" customHeight="1">
      <c r="A10" s="154"/>
      <c r="B10" s="155"/>
      <c r="C10" s="144" t="s">
        <v>883</v>
      </c>
      <c r="D10" s="127">
        <f>+'agingปัจจุบันส่ง(ส่งบัญชี)'!P112</f>
        <v>6000</v>
      </c>
      <c r="E10" s="128"/>
      <c r="F10" s="129"/>
      <c r="G10" s="129">
        <v>11000</v>
      </c>
      <c r="H10" s="1310">
        <f t="shared" si="0"/>
        <v>-5000</v>
      </c>
      <c r="I10" s="129"/>
    </row>
    <row r="11" spans="1:14" ht="15" customHeight="1">
      <c r="A11" s="154"/>
      <c r="B11" s="155"/>
      <c r="C11" s="144" t="s">
        <v>878</v>
      </c>
      <c r="D11" s="127">
        <f>+'agingปัจจุบันส่ง(ส่งบัญชี)'!P239</f>
        <v>13673795.239999998</v>
      </c>
      <c r="E11" s="128"/>
      <c r="F11" s="129"/>
      <c r="G11" s="129">
        <v>13673795.239999998</v>
      </c>
      <c r="H11" s="1310">
        <f t="shared" si="0"/>
        <v>0</v>
      </c>
      <c r="I11" s="129"/>
    </row>
    <row r="12" spans="1:14" ht="15" customHeight="1">
      <c r="A12" s="154"/>
      <c r="B12" s="155"/>
      <c r="C12" s="144" t="s">
        <v>880</v>
      </c>
      <c r="D12" s="127">
        <f>+'agingปัจจุบันส่ง(ส่งบัญชี)'!P213</f>
        <v>1602195.7500000002</v>
      </c>
      <c r="E12" s="128"/>
      <c r="F12" s="129"/>
      <c r="G12" s="129">
        <v>1616421.99</v>
      </c>
      <c r="H12" s="1310">
        <f t="shared" si="0"/>
        <v>-14226.239999999758</v>
      </c>
      <c r="I12" s="129"/>
    </row>
    <row r="13" spans="1:14" ht="15" customHeight="1">
      <c r="A13" s="154"/>
      <c r="B13" s="155"/>
      <c r="C13" s="144" t="s">
        <v>1720</v>
      </c>
      <c r="D13" s="127">
        <f>+'agingปัจจุบันส่ง(ส่งบัญชี)'!P217</f>
        <v>0</v>
      </c>
      <c r="E13" s="128"/>
      <c r="F13" s="129"/>
      <c r="G13" s="129">
        <v>0</v>
      </c>
      <c r="H13" s="156">
        <f t="shared" si="0"/>
        <v>0</v>
      </c>
      <c r="I13" s="129"/>
    </row>
    <row r="14" spans="1:14" ht="15" customHeight="1">
      <c r="A14" s="154"/>
      <c r="B14" s="155"/>
      <c r="C14" s="144" t="s">
        <v>1135</v>
      </c>
      <c r="D14" s="127">
        <f>+'agingปัจจุบันส่ง(ส่งบัญชี)'!P221</f>
        <v>0</v>
      </c>
      <c r="E14" s="128"/>
      <c r="F14" s="129"/>
      <c r="G14" s="129">
        <v>0</v>
      </c>
      <c r="H14" s="156">
        <f t="shared" si="0"/>
        <v>0</v>
      </c>
      <c r="I14" s="129"/>
    </row>
    <row r="15" spans="1:14" ht="15" customHeight="1">
      <c r="A15" s="154"/>
      <c r="B15" s="155"/>
      <c r="C15" s="144" t="s">
        <v>1133</v>
      </c>
      <c r="D15" s="127">
        <f>+'agingปัจจุบันส่ง(ส่งบัญชี)'!P225</f>
        <v>0</v>
      </c>
      <c r="E15" s="128"/>
      <c r="F15" s="129"/>
      <c r="G15" s="129">
        <v>0</v>
      </c>
      <c r="H15" s="156">
        <f t="shared" si="0"/>
        <v>0</v>
      </c>
      <c r="I15" s="129"/>
    </row>
    <row r="16" spans="1:14" ht="15" customHeight="1">
      <c r="A16" s="154"/>
      <c r="B16" s="155"/>
      <c r="C16" s="144" t="s">
        <v>884</v>
      </c>
      <c r="D16" s="127">
        <f>+'agingปัจจุบันส่ง(ส่งบัญชี)'!P228</f>
        <v>10272</v>
      </c>
      <c r="E16" s="128"/>
      <c r="F16" s="129"/>
      <c r="G16" s="129">
        <v>10272</v>
      </c>
      <c r="H16" s="156">
        <f t="shared" si="0"/>
        <v>0</v>
      </c>
      <c r="I16" s="129"/>
    </row>
    <row r="17" spans="1:9" ht="15" customHeight="1">
      <c r="A17" s="154"/>
      <c r="B17" s="155"/>
      <c r="C17" s="144" t="s">
        <v>881</v>
      </c>
      <c r="D17" s="127">
        <f>+'agingปัจจุบันส่ง(ส่งบัญชี)'!P159</f>
        <v>175936.84700000001</v>
      </c>
      <c r="E17" s="128"/>
      <c r="F17" s="129"/>
      <c r="G17" s="129">
        <v>146254.76700000002</v>
      </c>
      <c r="H17" s="156">
        <f t="shared" si="0"/>
        <v>29682.079999999987</v>
      </c>
      <c r="I17" s="129"/>
    </row>
    <row r="18" spans="1:9" ht="15" customHeight="1">
      <c r="A18" s="154"/>
      <c r="B18" s="155"/>
      <c r="C18" s="144" t="s">
        <v>882</v>
      </c>
      <c r="D18" s="127">
        <f>+'agingปัจจุบันส่ง(ส่งบัญชี)'!P194</f>
        <v>117232.22999999998</v>
      </c>
      <c r="E18" s="128"/>
      <c r="F18" s="129"/>
      <c r="G18" s="129">
        <v>117729.50999999998</v>
      </c>
      <c r="H18" s="1310">
        <f t="shared" si="0"/>
        <v>-497.27999999999884</v>
      </c>
      <c r="I18" s="129"/>
    </row>
    <row r="19" spans="1:9" ht="15" customHeight="1">
      <c r="A19" s="154"/>
      <c r="B19" s="155"/>
      <c r="C19" s="159" t="s">
        <v>885</v>
      </c>
      <c r="D19" s="127">
        <f>+'agingปัจจุบันส่ง(ส่งบัญชี)'!P116</f>
        <v>63131.79</v>
      </c>
      <c r="E19" s="128"/>
      <c r="F19" s="129"/>
      <c r="G19" s="129">
        <v>63131.79</v>
      </c>
      <c r="H19" s="156">
        <f t="shared" si="0"/>
        <v>0</v>
      </c>
      <c r="I19" s="129"/>
    </row>
    <row r="20" spans="1:9" ht="15" customHeight="1">
      <c r="A20" s="154"/>
      <c r="B20" s="155"/>
      <c r="C20" s="144" t="s">
        <v>890</v>
      </c>
      <c r="D20" s="127">
        <f>+'agingปัจจุบันส่ง(ส่งบัญชี)'!P243</f>
        <v>0</v>
      </c>
      <c r="E20" s="128"/>
      <c r="F20" s="129"/>
      <c r="G20" s="129">
        <v>0</v>
      </c>
      <c r="H20" s="156">
        <f t="shared" si="0"/>
        <v>0</v>
      </c>
      <c r="I20" s="129"/>
    </row>
    <row r="21" spans="1:9" ht="15" customHeight="1">
      <c r="A21" s="154"/>
      <c r="B21" s="155"/>
      <c r="C21" s="144" t="s">
        <v>891</v>
      </c>
      <c r="D21" s="127"/>
      <c r="E21" s="128"/>
      <c r="F21" s="129"/>
      <c r="H21" s="156">
        <f t="shared" si="0"/>
        <v>0</v>
      </c>
      <c r="I21" s="129"/>
    </row>
    <row r="22" spans="1:9" ht="15" customHeight="1">
      <c r="A22" s="154"/>
      <c r="B22" s="155"/>
      <c r="C22" s="144" t="s">
        <v>893</v>
      </c>
      <c r="D22" s="127">
        <f>+'agingปัจจุบันส่ง(ส่งบัญชี)'!P258</f>
        <v>415873.99</v>
      </c>
      <c r="E22" s="128"/>
      <c r="F22" s="129"/>
      <c r="G22" s="129">
        <v>419873.99</v>
      </c>
      <c r="H22" s="1310">
        <f t="shared" si="0"/>
        <v>-4000</v>
      </c>
      <c r="I22" s="129"/>
    </row>
    <row r="23" spans="1:9" ht="15" customHeight="1" thickBot="1">
      <c r="A23" s="154"/>
      <c r="B23" s="155"/>
      <c r="C23" s="144" t="s">
        <v>894</v>
      </c>
      <c r="D23" s="160"/>
      <c r="E23" s="128">
        <f>SUM(D8:D22)</f>
        <v>28997041.156999994</v>
      </c>
      <c r="F23" s="129"/>
      <c r="G23" s="1311"/>
      <c r="H23" s="156"/>
      <c r="I23" s="1315">
        <f>+E23-G23</f>
        <v>28997041.156999994</v>
      </c>
    </row>
    <row r="24" spans="1:9" ht="15" customHeight="1" thickTop="1">
      <c r="A24" s="154">
        <v>2</v>
      </c>
      <c r="B24" s="130" t="s">
        <v>133</v>
      </c>
      <c r="C24" s="144"/>
      <c r="D24" s="156"/>
      <c r="E24" s="131"/>
      <c r="F24" s="132"/>
      <c r="H24" s="156">
        <f t="shared" si="0"/>
        <v>0</v>
      </c>
      <c r="I24" s="129"/>
    </row>
    <row r="25" spans="1:9" ht="15" customHeight="1">
      <c r="A25" s="154"/>
      <c r="B25" s="130"/>
      <c r="C25" s="144" t="str">
        <f>+C7</f>
        <v>รายได้ค้างรับประจำเดือนกรกฎาคม 2569</v>
      </c>
      <c r="D25" s="156"/>
      <c r="E25" s="131"/>
      <c r="F25" s="132"/>
      <c r="H25" s="156">
        <f t="shared" si="0"/>
        <v>0</v>
      </c>
      <c r="I25" s="129"/>
    </row>
    <row r="26" spans="1:9" ht="15" customHeight="1">
      <c r="A26" s="154"/>
      <c r="B26" s="130"/>
      <c r="C26" s="144" t="s">
        <v>906</v>
      </c>
      <c r="D26" s="127">
        <f>+'agingปัจจุบันส่ง(ส่งบัญชี)'!P279</f>
        <v>171035.24</v>
      </c>
      <c r="E26" s="131"/>
      <c r="F26" s="132"/>
      <c r="G26" s="129">
        <v>186155.24</v>
      </c>
      <c r="H26" s="156">
        <f t="shared" si="0"/>
        <v>-15120</v>
      </c>
      <c r="I26" s="129"/>
    </row>
    <row r="27" spans="1:9" ht="15" customHeight="1">
      <c r="A27" s="154"/>
      <c r="B27" s="130"/>
      <c r="C27" s="144" t="s">
        <v>887</v>
      </c>
      <c r="D27" s="127">
        <f>+'agingปัจจุบันส่ง(ส่งบัญชี)'!P283</f>
        <v>0</v>
      </c>
      <c r="E27" s="131"/>
      <c r="F27" s="132"/>
      <c r="G27" s="129">
        <v>0</v>
      </c>
      <c r="H27" s="156">
        <f t="shared" si="0"/>
        <v>0</v>
      </c>
      <c r="I27" s="129"/>
    </row>
    <row r="28" spans="1:9" ht="15" customHeight="1">
      <c r="A28" s="154"/>
      <c r="B28" s="130"/>
      <c r="C28" s="144" t="s">
        <v>888</v>
      </c>
      <c r="D28" s="127">
        <f>+'agingปัจจุบันส่ง(ส่งบัญชี)'!P287</f>
        <v>5350</v>
      </c>
      <c r="E28" s="131"/>
      <c r="F28" s="132"/>
      <c r="G28" s="129">
        <v>0</v>
      </c>
      <c r="H28" s="156">
        <f t="shared" si="0"/>
        <v>5350</v>
      </c>
      <c r="I28" s="129"/>
    </row>
    <row r="29" spans="1:9" ht="15" customHeight="1">
      <c r="A29" s="154"/>
      <c r="B29" s="130"/>
      <c r="C29" s="144" t="s">
        <v>889</v>
      </c>
      <c r="D29" s="127">
        <f>+'agingปัจจุบันส่ง(ส่งบัญชี)'!P295</f>
        <v>867369.35000000009</v>
      </c>
      <c r="E29" s="131"/>
      <c r="F29" s="132"/>
      <c r="G29" s="129">
        <v>867369.35000000009</v>
      </c>
      <c r="H29" s="156">
        <f t="shared" si="0"/>
        <v>0</v>
      </c>
      <c r="I29" s="129"/>
    </row>
    <row r="30" spans="1:9" ht="15" customHeight="1">
      <c r="A30" s="154"/>
      <c r="B30" s="130"/>
      <c r="C30" s="144" t="s">
        <v>880</v>
      </c>
      <c r="D30" s="127">
        <f>+'agingปัจจุบันส่ง(ส่งบัญชี)'!P312</f>
        <v>25145</v>
      </c>
      <c r="E30" s="131"/>
      <c r="F30" s="132"/>
      <c r="G30" s="129">
        <v>31000</v>
      </c>
      <c r="H30" s="156">
        <f t="shared" si="0"/>
        <v>-5855</v>
      </c>
      <c r="I30" s="129"/>
    </row>
    <row r="31" spans="1:9" ht="15" customHeight="1">
      <c r="A31" s="154"/>
      <c r="B31" s="130"/>
      <c r="C31" s="144" t="s">
        <v>882</v>
      </c>
      <c r="D31" s="127">
        <f>+'agingปัจจุบันส่ง(ส่งบัญชี)'!P316</f>
        <v>280.34000000000003</v>
      </c>
      <c r="E31" s="131"/>
      <c r="F31" s="132"/>
      <c r="G31" s="129">
        <v>0</v>
      </c>
      <c r="H31" s="156">
        <f t="shared" si="0"/>
        <v>280.34000000000003</v>
      </c>
      <c r="I31" s="129"/>
    </row>
    <row r="32" spans="1:9" ht="15" customHeight="1">
      <c r="A32" s="154"/>
      <c r="B32" s="130"/>
      <c r="C32" s="144" t="s">
        <v>881</v>
      </c>
      <c r="D32" s="127">
        <f>+'agingปัจจุบันส่ง(ส่งบัญชี)'!P320</f>
        <v>535</v>
      </c>
      <c r="E32" s="131"/>
      <c r="F32" s="132"/>
      <c r="G32" s="129">
        <v>5071.8023999999996</v>
      </c>
      <c r="H32" s="1310">
        <f t="shared" si="0"/>
        <v>-4536.8023999999996</v>
      </c>
      <c r="I32" s="129"/>
    </row>
    <row r="33" spans="1:9" ht="15" customHeight="1">
      <c r="A33" s="154"/>
      <c r="B33" s="130"/>
      <c r="C33" s="144" t="s">
        <v>890</v>
      </c>
      <c r="D33" s="127">
        <f>+'agingปัจจุบันส่ง(ส่งบัญชี)'!P336</f>
        <v>2354</v>
      </c>
      <c r="E33" s="131"/>
      <c r="F33" s="132"/>
      <c r="G33" s="129">
        <v>3424</v>
      </c>
      <c r="H33" s="156">
        <f t="shared" si="0"/>
        <v>-1070</v>
      </c>
      <c r="I33" s="129"/>
    </row>
    <row r="34" spans="1:9" ht="15" customHeight="1">
      <c r="A34" s="154"/>
      <c r="B34" s="130"/>
      <c r="C34" s="144" t="s">
        <v>879</v>
      </c>
      <c r="D34" s="127">
        <f>+'agingปัจจุบันส่ง(ส่งบัญชี)'!P340</f>
        <v>0</v>
      </c>
      <c r="E34" s="131"/>
      <c r="F34" s="132"/>
      <c r="G34" s="129">
        <v>11520</v>
      </c>
      <c r="H34" s="1310">
        <f t="shared" si="0"/>
        <v>-11520</v>
      </c>
      <c r="I34" s="129"/>
    </row>
    <row r="35" spans="1:9" ht="15" customHeight="1">
      <c r="A35" s="154"/>
      <c r="B35" s="130"/>
      <c r="C35" s="144" t="s">
        <v>895</v>
      </c>
      <c r="D35" s="156"/>
      <c r="E35" s="131"/>
      <c r="F35" s="132"/>
      <c r="H35" s="156">
        <f t="shared" si="0"/>
        <v>0</v>
      </c>
      <c r="I35" s="129"/>
    </row>
    <row r="36" spans="1:9" ht="15" customHeight="1">
      <c r="A36" s="154"/>
      <c r="B36" s="130"/>
      <c r="C36" s="144" t="s">
        <v>893</v>
      </c>
      <c r="D36" s="156">
        <f>+'agingปัจจุบันส่ง(ส่งบัญชี)'!P347</f>
        <v>26201.52</v>
      </c>
      <c r="E36" s="131"/>
      <c r="F36" s="132"/>
      <c r="G36" s="129">
        <v>134215.43000000005</v>
      </c>
      <c r="H36" s="1310">
        <f t="shared" si="0"/>
        <v>-108013.91000000005</v>
      </c>
      <c r="I36" s="129"/>
    </row>
    <row r="37" spans="1:9" ht="15" customHeight="1">
      <c r="A37" s="154"/>
      <c r="B37" s="130"/>
      <c r="C37" s="144" t="s">
        <v>894</v>
      </c>
      <c r="D37" s="161">
        <f>+'agingปัจจุบันส่ง(ส่งบัญชี)'!P352</f>
        <v>0</v>
      </c>
      <c r="E37" s="128">
        <f>SUM(D24:D37)</f>
        <v>1098270.4500000002</v>
      </c>
      <c r="F37" s="129"/>
      <c r="G37" s="129">
        <v>0</v>
      </c>
      <c r="H37" s="1310">
        <f t="shared" si="0"/>
        <v>0</v>
      </c>
      <c r="I37" s="129"/>
    </row>
    <row r="38" spans="1:9" ht="15" customHeight="1" thickBot="1">
      <c r="A38" s="154">
        <f>+A24+1</f>
        <v>3</v>
      </c>
      <c r="B38" s="130" t="s">
        <v>134</v>
      </c>
      <c r="C38" s="144"/>
      <c r="D38" s="156"/>
      <c r="E38" s="131"/>
      <c r="F38" s="132"/>
      <c r="G38" s="1311"/>
      <c r="H38" s="156"/>
      <c r="I38" s="1315">
        <f>+E37-G38</f>
        <v>1098270.4500000002</v>
      </c>
    </row>
    <row r="39" spans="1:9" ht="15" customHeight="1" thickTop="1">
      <c r="A39" s="154"/>
      <c r="B39" s="126"/>
      <c r="C39" s="144" t="str">
        <f>+C7</f>
        <v>รายได้ค้างรับประจำเดือนกรกฎาคม 2569</v>
      </c>
      <c r="D39" s="156"/>
      <c r="E39" s="131"/>
      <c r="F39" s="132"/>
      <c r="H39" s="156"/>
      <c r="I39" s="129"/>
    </row>
    <row r="40" spans="1:9" ht="15" customHeight="1">
      <c r="A40" s="154"/>
      <c r="B40" s="133"/>
      <c r="C40" s="144" t="s">
        <v>906</v>
      </c>
      <c r="D40" s="156">
        <f>+'agingปัจจุบันส่ง(ส่งบัญชี)'!P357</f>
        <v>0</v>
      </c>
      <c r="E40" s="131"/>
      <c r="F40" s="132"/>
      <c r="G40" s="129">
        <v>0</v>
      </c>
      <c r="H40" s="156"/>
      <c r="I40" s="129"/>
    </row>
    <row r="41" spans="1:9" ht="15" customHeight="1">
      <c r="A41" s="154"/>
      <c r="B41" s="133"/>
      <c r="C41" s="159" t="s">
        <v>896</v>
      </c>
      <c r="D41" s="156">
        <f>+'agingปัจจุบันส่ง(ส่งบัญชี)'!P359</f>
        <v>0</v>
      </c>
      <c r="E41" s="131"/>
      <c r="F41" s="132"/>
      <c r="G41" s="129">
        <v>0</v>
      </c>
      <c r="H41" s="156"/>
      <c r="I41" s="129"/>
    </row>
    <row r="42" spans="1:9" ht="15" customHeight="1">
      <c r="A42" s="154"/>
      <c r="B42" s="133"/>
      <c r="C42" s="141" t="s">
        <v>892</v>
      </c>
      <c r="D42" s="156">
        <f>+'agingปัจจุบันส่ง(ส่งบัญชี)'!P361</f>
        <v>0</v>
      </c>
      <c r="E42" s="131"/>
      <c r="F42" s="132"/>
      <c r="G42" s="129">
        <v>0</v>
      </c>
      <c r="H42" s="156">
        <f t="shared" si="0"/>
        <v>0</v>
      </c>
      <c r="I42" s="129"/>
    </row>
    <row r="43" spans="1:9" ht="15" customHeight="1">
      <c r="A43" s="154"/>
      <c r="B43" s="133"/>
      <c r="C43" s="144" t="s">
        <v>880</v>
      </c>
      <c r="D43" s="156">
        <f>+'agingปัจจุบันส่ง(ส่งบัญชี)'!P364</f>
        <v>0</v>
      </c>
      <c r="E43" s="131"/>
      <c r="F43" s="132"/>
      <c r="G43" s="129">
        <v>0</v>
      </c>
      <c r="H43" s="156">
        <f t="shared" si="0"/>
        <v>0</v>
      </c>
      <c r="I43" s="129"/>
    </row>
    <row r="44" spans="1:9" ht="15" customHeight="1">
      <c r="A44" s="154"/>
      <c r="B44" s="133"/>
      <c r="C44" s="144" t="s">
        <v>882</v>
      </c>
      <c r="D44" s="156">
        <f>+'agingปัจจุบันส่ง(ส่งบัญชี)'!P366</f>
        <v>0</v>
      </c>
      <c r="E44" s="131"/>
      <c r="F44" s="132"/>
      <c r="G44" s="129">
        <v>0</v>
      </c>
      <c r="H44" s="156">
        <f t="shared" si="0"/>
        <v>0</v>
      </c>
      <c r="I44" s="129"/>
    </row>
    <row r="45" spans="1:9" ht="15" customHeight="1">
      <c r="A45" s="154"/>
      <c r="B45" s="133"/>
      <c r="C45" s="144" t="s">
        <v>881</v>
      </c>
      <c r="D45" s="156">
        <f>+'agingปัจจุบันส่ง(ส่งบัญชี)'!P370</f>
        <v>0</v>
      </c>
      <c r="E45" s="131"/>
      <c r="F45" s="132"/>
      <c r="G45" s="129">
        <v>0</v>
      </c>
      <c r="H45" s="156">
        <f t="shared" si="0"/>
        <v>0</v>
      </c>
      <c r="I45" s="129"/>
    </row>
    <row r="46" spans="1:9" ht="15" customHeight="1">
      <c r="A46" s="154"/>
      <c r="B46" s="133"/>
      <c r="C46" s="144" t="s">
        <v>888</v>
      </c>
      <c r="D46" s="161">
        <f>+'agingปัจจุบันส่ง(ส่งบัญชี)'!P372</f>
        <v>0</v>
      </c>
      <c r="E46" s="131">
        <f>SUM(D39:D46)</f>
        <v>0</v>
      </c>
      <c r="F46" s="132"/>
      <c r="G46" s="129">
        <v>0</v>
      </c>
      <c r="H46" s="156">
        <f t="shared" si="0"/>
        <v>0</v>
      </c>
      <c r="I46" s="129"/>
    </row>
    <row r="47" spans="1:9" ht="15" customHeight="1">
      <c r="A47" s="154">
        <f>+A38+1</f>
        <v>4</v>
      </c>
      <c r="B47" s="133" t="s">
        <v>137</v>
      </c>
      <c r="C47" s="141"/>
      <c r="D47" s="156"/>
      <c r="E47" s="131"/>
      <c r="F47" s="132"/>
      <c r="H47" s="156">
        <f t="shared" si="0"/>
        <v>0</v>
      </c>
      <c r="I47" s="129"/>
    </row>
    <row r="48" spans="1:9" ht="15" customHeight="1">
      <c r="A48" s="154"/>
      <c r="B48" s="133"/>
      <c r="C48" s="141" t="str">
        <f>+C7</f>
        <v>รายได้ค้างรับประจำเดือนกรกฎาคม 2569</v>
      </c>
      <c r="D48" s="156"/>
      <c r="E48" s="131"/>
      <c r="F48" s="132"/>
      <c r="H48" s="156">
        <f t="shared" si="0"/>
        <v>0</v>
      </c>
      <c r="I48" s="129"/>
    </row>
    <row r="49" spans="1:251" ht="15" customHeight="1">
      <c r="A49" s="154"/>
      <c r="B49" s="133"/>
      <c r="C49" s="144" t="s">
        <v>906</v>
      </c>
      <c r="D49" s="156">
        <f>'agingปัจจุบันส่ง(ส่งบัญชี)'!P387</f>
        <v>0</v>
      </c>
      <c r="E49" s="131"/>
      <c r="F49" s="132"/>
      <c r="G49" s="129">
        <v>0</v>
      </c>
      <c r="H49" s="156">
        <f t="shared" si="0"/>
        <v>0</v>
      </c>
      <c r="I49" s="129"/>
    </row>
    <row r="50" spans="1:251" ht="15" customHeight="1">
      <c r="A50" s="154"/>
      <c r="B50" s="133"/>
      <c r="C50" s="141" t="s">
        <v>892</v>
      </c>
      <c r="D50" s="156">
        <f>+'agingปัจจุบันส่ง(ส่งบัญชี)'!P391</f>
        <v>0</v>
      </c>
      <c r="E50" s="131"/>
      <c r="F50" s="132"/>
      <c r="G50" s="129">
        <v>0</v>
      </c>
      <c r="H50" s="156">
        <f t="shared" si="0"/>
        <v>0</v>
      </c>
      <c r="I50" s="129"/>
    </row>
    <row r="51" spans="1:251" ht="15" customHeight="1">
      <c r="A51" s="154"/>
      <c r="B51" s="133"/>
      <c r="C51" s="144" t="s">
        <v>880</v>
      </c>
      <c r="D51" s="156">
        <f>+'agingปัจจุบันส่ง(ส่งบัญชี)'!P395</f>
        <v>0</v>
      </c>
      <c r="E51" s="131"/>
      <c r="F51" s="132"/>
      <c r="G51" s="129">
        <v>0</v>
      </c>
      <c r="H51" s="156">
        <f t="shared" si="0"/>
        <v>0</v>
      </c>
      <c r="I51" s="129"/>
    </row>
    <row r="52" spans="1:251" ht="15" customHeight="1">
      <c r="A52" s="154"/>
      <c r="B52" s="133"/>
      <c r="C52" s="144" t="s">
        <v>888</v>
      </c>
      <c r="D52" s="156">
        <f>'agingปัจจุบันส่ง(ส่งบัญชี)'!P393</f>
        <v>0</v>
      </c>
      <c r="E52" s="131"/>
      <c r="F52" s="132"/>
      <c r="G52" s="129">
        <v>0</v>
      </c>
      <c r="H52" s="156">
        <f t="shared" si="0"/>
        <v>0</v>
      </c>
      <c r="I52" s="129"/>
    </row>
    <row r="53" spans="1:251" ht="15" customHeight="1">
      <c r="A53" s="154"/>
      <c r="B53" s="133"/>
      <c r="C53" s="144" t="s">
        <v>881</v>
      </c>
      <c r="D53" s="156">
        <f>+'agingปัจจุบันส่ง(ส่งบัญชี)'!P398</f>
        <v>3327.7</v>
      </c>
      <c r="E53" s="131"/>
      <c r="F53" s="132"/>
      <c r="G53" s="129">
        <v>3712.9000000000015</v>
      </c>
      <c r="H53" s="1310">
        <f t="shared" si="0"/>
        <v>-385.20000000000164</v>
      </c>
      <c r="I53" s="129"/>
    </row>
    <row r="54" spans="1:251" ht="15" customHeight="1">
      <c r="A54" s="154"/>
      <c r="B54" s="133"/>
      <c r="C54" s="144" t="s">
        <v>879</v>
      </c>
      <c r="D54" s="156">
        <f>+'agingปัจจุบันส่ง(ส่งบัญชี)'!P402</f>
        <v>0</v>
      </c>
      <c r="E54" s="131"/>
      <c r="F54" s="132"/>
      <c r="G54" s="129">
        <v>0</v>
      </c>
      <c r="H54" s="156">
        <f t="shared" si="0"/>
        <v>0</v>
      </c>
      <c r="I54" s="129"/>
    </row>
    <row r="55" spans="1:251" ht="15" customHeight="1">
      <c r="A55" s="154"/>
      <c r="B55" s="133" t="s">
        <v>880</v>
      </c>
      <c r="C55" s="144" t="s">
        <v>880</v>
      </c>
      <c r="D55" s="156"/>
      <c r="E55" s="131"/>
      <c r="F55" s="132"/>
      <c r="H55" s="156">
        <f t="shared" si="0"/>
        <v>0</v>
      </c>
      <c r="I55" s="129"/>
      <c r="K55" s="142" t="s">
        <v>880</v>
      </c>
      <c r="L55" s="142" t="s">
        <v>880</v>
      </c>
      <c r="M55" s="142" t="s">
        <v>880</v>
      </c>
      <c r="N55" s="142" t="s">
        <v>880</v>
      </c>
      <c r="O55" s="142" t="s">
        <v>880</v>
      </c>
      <c r="P55" s="142" t="s">
        <v>880</v>
      </c>
      <c r="Q55" s="142" t="s">
        <v>880</v>
      </c>
      <c r="R55" s="142" t="s">
        <v>880</v>
      </c>
      <c r="S55" s="142" t="s">
        <v>880</v>
      </c>
      <c r="T55" s="142" t="s">
        <v>880</v>
      </c>
      <c r="U55" s="142" t="s">
        <v>880</v>
      </c>
      <c r="V55" s="142" t="s">
        <v>880</v>
      </c>
      <c r="W55" s="142" t="s">
        <v>880</v>
      </c>
      <c r="X55" s="142" t="s">
        <v>880</v>
      </c>
      <c r="Y55" s="142" t="s">
        <v>880</v>
      </c>
      <c r="Z55" s="142" t="s">
        <v>880</v>
      </c>
      <c r="AA55" s="142" t="s">
        <v>880</v>
      </c>
      <c r="AB55" s="142" t="s">
        <v>880</v>
      </c>
      <c r="AC55" s="142" t="s">
        <v>880</v>
      </c>
      <c r="AD55" s="142" t="s">
        <v>880</v>
      </c>
      <c r="AE55" s="142" t="s">
        <v>880</v>
      </c>
      <c r="AF55" s="142" t="s">
        <v>880</v>
      </c>
      <c r="AG55" s="142" t="s">
        <v>880</v>
      </c>
      <c r="AH55" s="142" t="s">
        <v>880</v>
      </c>
      <c r="AI55" s="142" t="s">
        <v>880</v>
      </c>
      <c r="AJ55" s="142" t="s">
        <v>880</v>
      </c>
      <c r="AK55" s="142" t="s">
        <v>880</v>
      </c>
      <c r="AL55" s="142" t="s">
        <v>880</v>
      </c>
      <c r="AM55" s="142" t="s">
        <v>880</v>
      </c>
      <c r="AN55" s="142" t="s">
        <v>880</v>
      </c>
      <c r="AO55" s="142" t="s">
        <v>880</v>
      </c>
      <c r="AP55" s="142" t="s">
        <v>880</v>
      </c>
      <c r="AQ55" s="142" t="s">
        <v>880</v>
      </c>
      <c r="AR55" s="142" t="s">
        <v>880</v>
      </c>
      <c r="AS55" s="142" t="s">
        <v>880</v>
      </c>
      <c r="AT55" s="142" t="s">
        <v>880</v>
      </c>
      <c r="AU55" s="142" t="s">
        <v>880</v>
      </c>
      <c r="AV55" s="142" t="s">
        <v>880</v>
      </c>
      <c r="AW55" s="142" t="s">
        <v>880</v>
      </c>
      <c r="AX55" s="142" t="s">
        <v>880</v>
      </c>
      <c r="AY55" s="142" t="s">
        <v>880</v>
      </c>
      <c r="AZ55" s="142" t="s">
        <v>880</v>
      </c>
      <c r="BA55" s="142" t="s">
        <v>880</v>
      </c>
      <c r="BB55" s="142" t="s">
        <v>880</v>
      </c>
      <c r="BC55" s="142" t="s">
        <v>880</v>
      </c>
      <c r="BD55" s="142" t="s">
        <v>880</v>
      </c>
      <c r="BE55" s="142" t="s">
        <v>880</v>
      </c>
      <c r="BF55" s="142" t="s">
        <v>880</v>
      </c>
      <c r="BG55" s="142" t="s">
        <v>880</v>
      </c>
      <c r="BH55" s="142" t="s">
        <v>880</v>
      </c>
      <c r="BI55" s="142" t="s">
        <v>880</v>
      </c>
      <c r="BJ55" s="142" t="s">
        <v>880</v>
      </c>
      <c r="BK55" s="142" t="s">
        <v>880</v>
      </c>
      <c r="BL55" s="142" t="s">
        <v>880</v>
      </c>
      <c r="BM55" s="142" t="s">
        <v>880</v>
      </c>
      <c r="BN55" s="142" t="s">
        <v>880</v>
      </c>
      <c r="BO55" s="142" t="s">
        <v>880</v>
      </c>
      <c r="BP55" s="142" t="s">
        <v>880</v>
      </c>
      <c r="BQ55" s="142" t="s">
        <v>880</v>
      </c>
      <c r="BR55" s="142" t="s">
        <v>880</v>
      </c>
      <c r="BS55" s="142" t="s">
        <v>880</v>
      </c>
      <c r="BT55" s="142" t="s">
        <v>880</v>
      </c>
      <c r="BU55" s="142" t="s">
        <v>880</v>
      </c>
      <c r="BV55" s="142" t="s">
        <v>880</v>
      </c>
      <c r="BW55" s="142" t="s">
        <v>880</v>
      </c>
      <c r="BX55" s="142" t="s">
        <v>880</v>
      </c>
      <c r="BY55" s="142" t="s">
        <v>880</v>
      </c>
      <c r="BZ55" s="142" t="s">
        <v>880</v>
      </c>
      <c r="CA55" s="142" t="s">
        <v>880</v>
      </c>
      <c r="CB55" s="142" t="s">
        <v>880</v>
      </c>
      <c r="CC55" s="142" t="s">
        <v>880</v>
      </c>
      <c r="CD55" s="142" t="s">
        <v>880</v>
      </c>
      <c r="CE55" s="142" t="s">
        <v>880</v>
      </c>
      <c r="CF55" s="142" t="s">
        <v>880</v>
      </c>
      <c r="CG55" s="142" t="s">
        <v>880</v>
      </c>
      <c r="CH55" s="142" t="s">
        <v>880</v>
      </c>
      <c r="CI55" s="142" t="s">
        <v>880</v>
      </c>
      <c r="CJ55" s="142" t="s">
        <v>880</v>
      </c>
      <c r="CK55" s="142" t="s">
        <v>880</v>
      </c>
      <c r="CL55" s="142" t="s">
        <v>880</v>
      </c>
      <c r="CM55" s="142" t="s">
        <v>880</v>
      </c>
      <c r="CN55" s="142" t="s">
        <v>880</v>
      </c>
      <c r="CO55" s="142" t="s">
        <v>880</v>
      </c>
      <c r="CP55" s="142" t="s">
        <v>880</v>
      </c>
      <c r="CQ55" s="142" t="s">
        <v>880</v>
      </c>
      <c r="CR55" s="142" t="s">
        <v>880</v>
      </c>
      <c r="CS55" s="142" t="s">
        <v>880</v>
      </c>
      <c r="CT55" s="142" t="s">
        <v>880</v>
      </c>
      <c r="CU55" s="142" t="s">
        <v>880</v>
      </c>
      <c r="CV55" s="142" t="s">
        <v>880</v>
      </c>
      <c r="CW55" s="142" t="s">
        <v>880</v>
      </c>
      <c r="CX55" s="142" t="s">
        <v>880</v>
      </c>
      <c r="CY55" s="142" t="s">
        <v>880</v>
      </c>
      <c r="CZ55" s="142" t="s">
        <v>880</v>
      </c>
      <c r="DA55" s="142" t="s">
        <v>880</v>
      </c>
      <c r="DB55" s="142" t="s">
        <v>880</v>
      </c>
      <c r="DC55" s="142" t="s">
        <v>880</v>
      </c>
      <c r="DD55" s="142" t="s">
        <v>880</v>
      </c>
      <c r="DE55" s="142" t="s">
        <v>880</v>
      </c>
      <c r="DF55" s="142" t="s">
        <v>880</v>
      </c>
      <c r="DG55" s="142" t="s">
        <v>880</v>
      </c>
      <c r="DH55" s="142" t="s">
        <v>880</v>
      </c>
      <c r="DI55" s="142" t="s">
        <v>880</v>
      </c>
      <c r="DJ55" s="142" t="s">
        <v>880</v>
      </c>
      <c r="DK55" s="142" t="s">
        <v>880</v>
      </c>
      <c r="DL55" s="142" t="s">
        <v>880</v>
      </c>
      <c r="DM55" s="142" t="s">
        <v>880</v>
      </c>
      <c r="DN55" s="142" t="s">
        <v>880</v>
      </c>
      <c r="DO55" s="142" t="s">
        <v>880</v>
      </c>
      <c r="DP55" s="142" t="s">
        <v>880</v>
      </c>
      <c r="DQ55" s="142" t="s">
        <v>880</v>
      </c>
      <c r="DR55" s="142" t="s">
        <v>880</v>
      </c>
      <c r="DS55" s="142" t="s">
        <v>880</v>
      </c>
      <c r="DT55" s="142" t="s">
        <v>880</v>
      </c>
      <c r="DU55" s="142" t="s">
        <v>880</v>
      </c>
      <c r="DV55" s="142" t="s">
        <v>880</v>
      </c>
      <c r="DW55" s="142" t="s">
        <v>880</v>
      </c>
      <c r="DX55" s="142" t="s">
        <v>880</v>
      </c>
      <c r="DY55" s="142" t="s">
        <v>880</v>
      </c>
      <c r="DZ55" s="142" t="s">
        <v>880</v>
      </c>
      <c r="EA55" s="142" t="s">
        <v>880</v>
      </c>
      <c r="EB55" s="142" t="s">
        <v>880</v>
      </c>
      <c r="EC55" s="142" t="s">
        <v>880</v>
      </c>
      <c r="ED55" s="142" t="s">
        <v>880</v>
      </c>
      <c r="EE55" s="142" t="s">
        <v>880</v>
      </c>
      <c r="EF55" s="142" t="s">
        <v>880</v>
      </c>
      <c r="EG55" s="142" t="s">
        <v>880</v>
      </c>
      <c r="EH55" s="142" t="s">
        <v>880</v>
      </c>
      <c r="EI55" s="142" t="s">
        <v>880</v>
      </c>
      <c r="EJ55" s="142" t="s">
        <v>880</v>
      </c>
      <c r="EK55" s="142" t="s">
        <v>880</v>
      </c>
      <c r="EL55" s="142" t="s">
        <v>880</v>
      </c>
      <c r="EM55" s="142" t="s">
        <v>880</v>
      </c>
      <c r="EN55" s="142" t="s">
        <v>880</v>
      </c>
      <c r="EO55" s="142" t="s">
        <v>880</v>
      </c>
      <c r="EP55" s="142" t="s">
        <v>880</v>
      </c>
      <c r="EQ55" s="142" t="s">
        <v>880</v>
      </c>
      <c r="ER55" s="142" t="s">
        <v>880</v>
      </c>
      <c r="ES55" s="142" t="s">
        <v>880</v>
      </c>
      <c r="ET55" s="142" t="s">
        <v>880</v>
      </c>
      <c r="EU55" s="142" t="s">
        <v>880</v>
      </c>
      <c r="EV55" s="142" t="s">
        <v>880</v>
      </c>
      <c r="EW55" s="142" t="s">
        <v>880</v>
      </c>
      <c r="EX55" s="142" t="s">
        <v>880</v>
      </c>
      <c r="EY55" s="142" t="s">
        <v>880</v>
      </c>
      <c r="EZ55" s="142" t="s">
        <v>880</v>
      </c>
      <c r="FA55" s="142" t="s">
        <v>880</v>
      </c>
      <c r="FB55" s="142" t="s">
        <v>880</v>
      </c>
      <c r="FC55" s="142" t="s">
        <v>880</v>
      </c>
      <c r="FD55" s="142" t="s">
        <v>880</v>
      </c>
      <c r="FE55" s="142" t="s">
        <v>880</v>
      </c>
      <c r="FF55" s="142" t="s">
        <v>880</v>
      </c>
      <c r="FG55" s="142" t="s">
        <v>880</v>
      </c>
      <c r="FH55" s="142" t="s">
        <v>880</v>
      </c>
      <c r="FI55" s="142" t="s">
        <v>880</v>
      </c>
      <c r="FJ55" s="142" t="s">
        <v>880</v>
      </c>
      <c r="FK55" s="142" t="s">
        <v>880</v>
      </c>
      <c r="FL55" s="142" t="s">
        <v>880</v>
      </c>
      <c r="FM55" s="142" t="s">
        <v>880</v>
      </c>
      <c r="FN55" s="142" t="s">
        <v>880</v>
      </c>
      <c r="FO55" s="142" t="s">
        <v>880</v>
      </c>
      <c r="FP55" s="142" t="s">
        <v>880</v>
      </c>
      <c r="FQ55" s="142" t="s">
        <v>880</v>
      </c>
      <c r="FR55" s="142" t="s">
        <v>880</v>
      </c>
      <c r="FS55" s="142" t="s">
        <v>880</v>
      </c>
      <c r="FT55" s="142" t="s">
        <v>880</v>
      </c>
      <c r="FU55" s="142" t="s">
        <v>880</v>
      </c>
      <c r="FV55" s="142" t="s">
        <v>880</v>
      </c>
      <c r="FW55" s="142" t="s">
        <v>880</v>
      </c>
      <c r="FX55" s="142" t="s">
        <v>880</v>
      </c>
      <c r="FY55" s="142" t="s">
        <v>880</v>
      </c>
      <c r="FZ55" s="142" t="s">
        <v>880</v>
      </c>
      <c r="GA55" s="142" t="s">
        <v>880</v>
      </c>
      <c r="GB55" s="142" t="s">
        <v>880</v>
      </c>
      <c r="GC55" s="142" t="s">
        <v>880</v>
      </c>
      <c r="GD55" s="142" t="s">
        <v>880</v>
      </c>
      <c r="GE55" s="142" t="s">
        <v>880</v>
      </c>
      <c r="GF55" s="142" t="s">
        <v>880</v>
      </c>
      <c r="GG55" s="142" t="s">
        <v>880</v>
      </c>
      <c r="GH55" s="142" t="s">
        <v>880</v>
      </c>
      <c r="GI55" s="142" t="s">
        <v>880</v>
      </c>
      <c r="GJ55" s="142" t="s">
        <v>880</v>
      </c>
      <c r="GK55" s="142" t="s">
        <v>880</v>
      </c>
      <c r="GL55" s="142" t="s">
        <v>880</v>
      </c>
      <c r="GM55" s="142" t="s">
        <v>880</v>
      </c>
      <c r="GN55" s="142" t="s">
        <v>880</v>
      </c>
      <c r="GO55" s="142" t="s">
        <v>880</v>
      </c>
      <c r="GP55" s="142" t="s">
        <v>880</v>
      </c>
      <c r="GQ55" s="142" t="s">
        <v>880</v>
      </c>
      <c r="GR55" s="142" t="s">
        <v>880</v>
      </c>
      <c r="GS55" s="142" t="s">
        <v>880</v>
      </c>
      <c r="GT55" s="142" t="s">
        <v>880</v>
      </c>
      <c r="GU55" s="142" t="s">
        <v>880</v>
      </c>
      <c r="GV55" s="142" t="s">
        <v>880</v>
      </c>
      <c r="GW55" s="142" t="s">
        <v>880</v>
      </c>
      <c r="GX55" s="142" t="s">
        <v>880</v>
      </c>
      <c r="GY55" s="142" t="s">
        <v>880</v>
      </c>
      <c r="GZ55" s="142" t="s">
        <v>880</v>
      </c>
      <c r="HA55" s="142" t="s">
        <v>880</v>
      </c>
      <c r="HB55" s="142" t="s">
        <v>880</v>
      </c>
      <c r="HC55" s="142" t="s">
        <v>880</v>
      </c>
      <c r="HD55" s="142" t="s">
        <v>880</v>
      </c>
      <c r="HE55" s="142" t="s">
        <v>880</v>
      </c>
      <c r="HF55" s="142" t="s">
        <v>880</v>
      </c>
      <c r="HG55" s="142" t="s">
        <v>880</v>
      </c>
      <c r="HH55" s="142" t="s">
        <v>880</v>
      </c>
      <c r="HI55" s="142" t="s">
        <v>880</v>
      </c>
      <c r="HJ55" s="142" t="s">
        <v>880</v>
      </c>
      <c r="HK55" s="142" t="s">
        <v>880</v>
      </c>
      <c r="HL55" s="142" t="s">
        <v>880</v>
      </c>
      <c r="HM55" s="142" t="s">
        <v>880</v>
      </c>
      <c r="HN55" s="142" t="s">
        <v>880</v>
      </c>
      <c r="HO55" s="142" t="s">
        <v>880</v>
      </c>
      <c r="HP55" s="142" t="s">
        <v>880</v>
      </c>
      <c r="HQ55" s="142" t="s">
        <v>880</v>
      </c>
      <c r="HR55" s="142" t="s">
        <v>880</v>
      </c>
      <c r="HS55" s="142" t="s">
        <v>880</v>
      </c>
      <c r="HT55" s="142" t="s">
        <v>880</v>
      </c>
      <c r="HU55" s="142" t="s">
        <v>880</v>
      </c>
      <c r="HV55" s="142" t="s">
        <v>880</v>
      </c>
      <c r="HW55" s="142" t="s">
        <v>880</v>
      </c>
      <c r="HX55" s="142" t="s">
        <v>880</v>
      </c>
      <c r="HY55" s="142" t="s">
        <v>880</v>
      </c>
      <c r="HZ55" s="142" t="s">
        <v>880</v>
      </c>
      <c r="IA55" s="142" t="s">
        <v>880</v>
      </c>
      <c r="IB55" s="142" t="s">
        <v>880</v>
      </c>
      <c r="IC55" s="142" t="s">
        <v>880</v>
      </c>
      <c r="ID55" s="142" t="s">
        <v>880</v>
      </c>
      <c r="IE55" s="142" t="s">
        <v>880</v>
      </c>
      <c r="IF55" s="142" t="s">
        <v>880</v>
      </c>
      <c r="IG55" s="142" t="s">
        <v>880</v>
      </c>
      <c r="IH55" s="142" t="s">
        <v>880</v>
      </c>
      <c r="II55" s="142" t="s">
        <v>880</v>
      </c>
      <c r="IJ55" s="142" t="s">
        <v>880</v>
      </c>
      <c r="IK55" s="142" t="s">
        <v>880</v>
      </c>
      <c r="IL55" s="142" t="s">
        <v>880</v>
      </c>
      <c r="IM55" s="142" t="s">
        <v>880</v>
      </c>
      <c r="IN55" s="142" t="s">
        <v>880</v>
      </c>
      <c r="IO55" s="142" t="s">
        <v>880</v>
      </c>
      <c r="IP55" s="142" t="s">
        <v>880</v>
      </c>
      <c r="IQ55" s="142" t="s">
        <v>880</v>
      </c>
    </row>
    <row r="56" spans="1:251" ht="15" customHeight="1">
      <c r="A56" s="154"/>
      <c r="B56" s="133"/>
      <c r="C56" s="144" t="s">
        <v>893</v>
      </c>
      <c r="D56" s="156">
        <f>+'agingปัจจุบันส่ง(ส่งบัญชี)'!P412</f>
        <v>0</v>
      </c>
      <c r="E56" s="131"/>
      <c r="F56" s="132"/>
      <c r="G56" s="129">
        <v>0</v>
      </c>
      <c r="H56" s="156">
        <f t="shared" si="0"/>
        <v>0</v>
      </c>
      <c r="I56" s="129"/>
    </row>
    <row r="57" spans="1:251" ht="15" customHeight="1">
      <c r="A57" s="154"/>
      <c r="B57" s="133"/>
      <c r="C57" s="144" t="s">
        <v>894</v>
      </c>
      <c r="D57" s="162">
        <f>+'agingปัจจุบันส่ง(ส่งบัญชี)'!P416</f>
        <v>0</v>
      </c>
      <c r="E57" s="131">
        <f>SUM(D49:D57)</f>
        <v>3327.7</v>
      </c>
      <c r="F57" s="132"/>
      <c r="G57" s="129">
        <v>0</v>
      </c>
      <c r="H57" s="156">
        <f t="shared" si="0"/>
        <v>0</v>
      </c>
      <c r="I57" s="129"/>
    </row>
    <row r="58" spans="1:251" ht="15" customHeight="1" thickBot="1">
      <c r="A58" s="154">
        <f>+A47+1</f>
        <v>5</v>
      </c>
      <c r="B58" s="133" t="s">
        <v>162</v>
      </c>
      <c r="C58" s="144"/>
      <c r="D58" s="156"/>
      <c r="E58" s="131"/>
      <c r="F58" s="132"/>
      <c r="G58" s="1311"/>
      <c r="H58" s="156"/>
      <c r="I58" s="1315">
        <f>+E57-G58</f>
        <v>3327.7</v>
      </c>
    </row>
    <row r="59" spans="1:251" ht="15" customHeight="1" thickTop="1">
      <c r="A59" s="154"/>
      <c r="B59" s="133"/>
      <c r="C59" s="141" t="str">
        <f>+C7</f>
        <v>รายได้ค้างรับประจำเดือนกรกฎาคม 2569</v>
      </c>
      <c r="D59" s="156"/>
      <c r="E59" s="131"/>
      <c r="F59" s="132"/>
      <c r="H59" s="156">
        <f t="shared" si="0"/>
        <v>0</v>
      </c>
      <c r="I59" s="129"/>
    </row>
    <row r="60" spans="1:251" ht="15" customHeight="1">
      <c r="A60" s="154"/>
      <c r="B60" s="133"/>
      <c r="C60" s="144" t="s">
        <v>906</v>
      </c>
      <c r="D60" s="156">
        <f>+'agingปัจจุบันส่ง(ส่งบัญชี)'!P863</f>
        <v>14715327.51</v>
      </c>
      <c r="E60" s="131"/>
      <c r="F60" s="132"/>
      <c r="G60" s="129">
        <v>14607000.51</v>
      </c>
      <c r="H60" s="156">
        <f t="shared" si="0"/>
        <v>108327</v>
      </c>
      <c r="I60" s="129"/>
    </row>
    <row r="61" spans="1:251" ht="15" customHeight="1">
      <c r="A61" s="154"/>
      <c r="B61" s="133"/>
      <c r="C61" s="144" t="s">
        <v>882</v>
      </c>
      <c r="D61" s="156">
        <f>+'agingปัจจุบันส่ง(ส่งบัญชี)'!P967</f>
        <v>279847.80200000003</v>
      </c>
      <c r="E61" s="131"/>
      <c r="F61" s="132"/>
      <c r="G61" s="129">
        <v>294057.40000000002</v>
      </c>
      <c r="H61" s="1310">
        <f t="shared" si="0"/>
        <v>-14209.597999999998</v>
      </c>
      <c r="I61" s="129"/>
    </row>
    <row r="62" spans="1:251" ht="15" customHeight="1">
      <c r="A62" s="154"/>
      <c r="B62" s="133"/>
      <c r="C62" s="144" t="s">
        <v>881</v>
      </c>
      <c r="D62" s="156">
        <f>+'agingปัจจุบันส่ง(ส่งบัญชี)'!P1352</f>
        <v>40469.620000000003</v>
      </c>
      <c r="E62" s="131"/>
      <c r="F62" s="132"/>
      <c r="G62" s="129">
        <v>40469.620000000003</v>
      </c>
      <c r="H62" s="156">
        <f t="shared" si="0"/>
        <v>0</v>
      </c>
      <c r="I62" s="129"/>
    </row>
    <row r="63" spans="1:251" ht="15" customHeight="1">
      <c r="A63" s="154"/>
      <c r="B63" s="133"/>
      <c r="C63" s="144" t="s">
        <v>889</v>
      </c>
      <c r="D63" s="156">
        <f>+'agingปัจจุบันส่ง(ส่งบัญชี)'!P1357</f>
        <v>0</v>
      </c>
      <c r="E63" s="131"/>
      <c r="F63" s="132"/>
      <c r="G63" s="129">
        <v>0</v>
      </c>
      <c r="H63" s="156">
        <f t="shared" si="0"/>
        <v>0</v>
      </c>
      <c r="I63" s="129"/>
    </row>
    <row r="64" spans="1:251" ht="15" customHeight="1">
      <c r="A64" s="154"/>
      <c r="B64" s="133"/>
      <c r="C64" s="144" t="s">
        <v>880</v>
      </c>
      <c r="D64" s="156">
        <f>+'agingปัจจุบันส่ง(ส่งบัญชี)'!P871</f>
        <v>56000</v>
      </c>
      <c r="E64" s="131"/>
      <c r="F64" s="132"/>
      <c r="G64" s="129">
        <v>66000</v>
      </c>
      <c r="H64" s="156">
        <f t="shared" si="0"/>
        <v>-10000</v>
      </c>
      <c r="I64" s="129"/>
    </row>
    <row r="65" spans="1:10" ht="15" customHeight="1">
      <c r="A65" s="154"/>
      <c r="B65" s="133"/>
      <c r="C65" s="144" t="s">
        <v>895</v>
      </c>
      <c r="D65" s="156">
        <f>+'agingปัจจุบันส่ง(ส่งบัญชี)'!P424</f>
        <v>0</v>
      </c>
      <c r="E65" s="131"/>
      <c r="F65" s="132"/>
      <c r="G65" s="129">
        <v>0</v>
      </c>
      <c r="H65" s="156">
        <f t="shared" si="0"/>
        <v>0</v>
      </c>
      <c r="I65" s="129"/>
    </row>
    <row r="66" spans="1:10" ht="15" customHeight="1">
      <c r="A66" s="154"/>
      <c r="B66" s="133"/>
      <c r="C66" s="144" t="s">
        <v>897</v>
      </c>
      <c r="D66" s="156">
        <f>+'agingปัจจุบันส่ง(ส่งบัญชี)'!P1400</f>
        <v>38001</v>
      </c>
      <c r="E66" s="131"/>
      <c r="F66" s="132"/>
      <c r="G66" s="129">
        <v>44201</v>
      </c>
      <c r="H66" s="1310">
        <f t="shared" si="0"/>
        <v>-6200</v>
      </c>
      <c r="I66" s="129"/>
    </row>
    <row r="67" spans="1:10" ht="15" customHeight="1">
      <c r="A67" s="154"/>
      <c r="B67" s="133"/>
      <c r="C67" s="144" t="s">
        <v>893</v>
      </c>
      <c r="D67" s="156">
        <f>+'agingปัจจุบันส่ง(ส่งบัญชี)'!P1587</f>
        <v>19927.61</v>
      </c>
      <c r="E67" s="131"/>
      <c r="F67" s="132"/>
      <c r="G67" s="283">
        <v>20127.61</v>
      </c>
      <c r="H67" s="1310">
        <f t="shared" si="0"/>
        <v>-200</v>
      </c>
      <c r="I67" s="129"/>
    </row>
    <row r="68" spans="1:10" s="167" customFormat="1" ht="15" customHeight="1">
      <c r="A68" s="163"/>
      <c r="B68" s="126"/>
      <c r="C68" s="144" t="s">
        <v>898</v>
      </c>
      <c r="D68" s="164">
        <f>+'agingปัจจุบันส่ง(ส่งบัญชี)'!P1346</f>
        <v>211988.19999999995</v>
      </c>
      <c r="E68" s="128">
        <f>SUM(D60:D68)</f>
        <v>15361561.741999997</v>
      </c>
      <c r="F68" s="129"/>
      <c r="G68" s="129">
        <v>212822.79999999996</v>
      </c>
      <c r="H68" s="1310">
        <f t="shared" si="0"/>
        <v>-834.60000000000582</v>
      </c>
      <c r="I68" s="129"/>
      <c r="J68" s="166"/>
    </row>
    <row r="69" spans="1:10" ht="15" customHeight="1" thickBot="1">
      <c r="A69" s="154">
        <f>+A58+1</f>
        <v>6</v>
      </c>
      <c r="B69" s="134" t="s">
        <v>121</v>
      </c>
      <c r="C69" s="141"/>
      <c r="D69" s="156"/>
      <c r="E69" s="131"/>
      <c r="F69" s="132"/>
      <c r="G69" s="1311"/>
      <c r="H69" s="156"/>
      <c r="I69" s="1315">
        <f>+E68-G69</f>
        <v>15361561.741999997</v>
      </c>
    </row>
    <row r="70" spans="1:10" ht="15" customHeight="1" thickTop="1">
      <c r="A70" s="154"/>
      <c r="B70" s="134"/>
      <c r="C70" s="141" t="str">
        <f>+C7</f>
        <v>รายได้ค้างรับประจำเดือนกรกฎาคม 2569</v>
      </c>
      <c r="D70" s="156"/>
      <c r="E70" s="131"/>
      <c r="F70" s="132"/>
      <c r="H70" s="156">
        <f t="shared" si="0"/>
        <v>0</v>
      </c>
      <c r="I70" s="129"/>
    </row>
    <row r="71" spans="1:10" ht="15" customHeight="1">
      <c r="A71" s="154"/>
      <c r="B71" s="134"/>
      <c r="C71" s="144" t="s">
        <v>906</v>
      </c>
      <c r="D71" s="156">
        <f>+'agingปัจจุบันส่ง(ส่งบัญชี)'!P1591</f>
        <v>0</v>
      </c>
      <c r="E71" s="131"/>
      <c r="F71" s="132"/>
      <c r="G71" s="129">
        <v>0</v>
      </c>
      <c r="H71" s="156">
        <f t="shared" si="0"/>
        <v>0</v>
      </c>
      <c r="I71" s="129"/>
    </row>
    <row r="72" spans="1:10" ht="15" customHeight="1">
      <c r="A72" s="154"/>
      <c r="B72" s="134"/>
      <c r="C72" s="141" t="s">
        <v>152</v>
      </c>
      <c r="D72" s="156"/>
      <c r="E72" s="131"/>
      <c r="F72" s="132"/>
      <c r="H72" s="156">
        <f t="shared" si="0"/>
        <v>0</v>
      </c>
      <c r="I72" s="129"/>
    </row>
    <row r="73" spans="1:10" ht="15" customHeight="1">
      <c r="A73" s="154"/>
      <c r="B73" s="134"/>
      <c r="C73" s="144" t="s">
        <v>895</v>
      </c>
      <c r="D73" s="156">
        <f>+'agingปัจจุบันส่ง(ส่งบัญชี)'!P1592</f>
        <v>0</v>
      </c>
      <c r="E73" s="131"/>
      <c r="F73" s="132"/>
      <c r="G73" s="129">
        <v>0</v>
      </c>
      <c r="H73" s="156">
        <f t="shared" ref="H73:H136" si="1">+D73-G73</f>
        <v>0</v>
      </c>
      <c r="I73" s="129"/>
    </row>
    <row r="74" spans="1:10" ht="15" customHeight="1">
      <c r="A74" s="154"/>
      <c r="B74" s="134"/>
      <c r="C74" s="144" t="s">
        <v>880</v>
      </c>
      <c r="D74" s="156">
        <f>+'agingปัจจุบันส่ง(ส่งบัญชี)'!P1596</f>
        <v>0</v>
      </c>
      <c r="E74" s="131"/>
      <c r="F74" s="132"/>
      <c r="G74" s="129">
        <v>0</v>
      </c>
      <c r="H74" s="156">
        <f t="shared" si="1"/>
        <v>0</v>
      </c>
      <c r="I74" s="129"/>
    </row>
    <row r="75" spans="1:10" ht="15" customHeight="1">
      <c r="A75" s="154"/>
      <c r="B75" s="134"/>
      <c r="C75" s="144" t="s">
        <v>881</v>
      </c>
      <c r="D75" s="156">
        <f>+'agingปัจจุบันส่ง(ส่งบัญชี)'!P1594</f>
        <v>0</v>
      </c>
      <c r="E75" s="131"/>
      <c r="F75" s="132"/>
      <c r="G75" s="129">
        <v>0</v>
      </c>
      <c r="H75" s="156">
        <f t="shared" si="1"/>
        <v>0</v>
      </c>
      <c r="I75" s="129"/>
    </row>
    <row r="76" spans="1:10" ht="15" customHeight="1">
      <c r="A76" s="154"/>
      <c r="B76" s="134"/>
      <c r="C76" s="144" t="s">
        <v>882</v>
      </c>
      <c r="D76" s="156">
        <f>+'agingปัจจุบันส่ง(ส่งบัญชี)'!P1597</f>
        <v>0</v>
      </c>
      <c r="E76" s="131"/>
      <c r="F76" s="132"/>
      <c r="G76" s="129">
        <v>0</v>
      </c>
      <c r="H76" s="156">
        <f t="shared" si="1"/>
        <v>0</v>
      </c>
      <c r="I76" s="129"/>
    </row>
    <row r="77" spans="1:10" ht="15" customHeight="1">
      <c r="A77" s="154"/>
      <c r="B77" s="134"/>
      <c r="C77" s="144" t="s">
        <v>889</v>
      </c>
      <c r="D77" s="161">
        <f>+'agingปัจจุบันส่ง(ส่งบัญชี)'!P1595</f>
        <v>0</v>
      </c>
      <c r="E77" s="128">
        <f>SUM(D71:D77)</f>
        <v>0</v>
      </c>
      <c r="F77" s="129"/>
      <c r="G77" s="129">
        <v>0</v>
      </c>
      <c r="H77" s="156">
        <f t="shared" si="1"/>
        <v>0</v>
      </c>
      <c r="I77" s="129"/>
    </row>
    <row r="78" spans="1:10" ht="15" customHeight="1">
      <c r="A78" s="154">
        <f>+A69+1</f>
        <v>7</v>
      </c>
      <c r="B78" s="134" t="s">
        <v>440</v>
      </c>
      <c r="C78" s="141"/>
      <c r="D78" s="156"/>
      <c r="E78" s="131"/>
      <c r="F78" s="132"/>
      <c r="H78" s="156">
        <f t="shared" si="1"/>
        <v>0</v>
      </c>
      <c r="I78" s="129"/>
    </row>
    <row r="79" spans="1:10" ht="15" customHeight="1">
      <c r="A79" s="154"/>
      <c r="B79" s="133"/>
      <c r="C79" s="141" t="str">
        <f>+C7</f>
        <v>รายได้ค้างรับประจำเดือนกรกฎาคม 2569</v>
      </c>
      <c r="D79" s="156"/>
      <c r="E79" s="131"/>
      <c r="F79" s="132"/>
      <c r="H79" s="156">
        <f t="shared" si="1"/>
        <v>0</v>
      </c>
      <c r="I79" s="129"/>
    </row>
    <row r="80" spans="1:10" ht="15" customHeight="1">
      <c r="A80" s="154"/>
      <c r="B80" s="133"/>
      <c r="C80" s="144" t="s">
        <v>906</v>
      </c>
      <c r="D80" s="161">
        <f>+'agingปัจจุบันส่ง(ส่งบัญชี)'!P1601</f>
        <v>0</v>
      </c>
      <c r="E80" s="131">
        <f>+D80</f>
        <v>0</v>
      </c>
      <c r="F80" s="132"/>
      <c r="G80" s="129">
        <v>0</v>
      </c>
      <c r="H80" s="156">
        <f t="shared" si="1"/>
        <v>0</v>
      </c>
      <c r="I80" s="129"/>
    </row>
    <row r="81" spans="1:9" ht="15" customHeight="1">
      <c r="A81" s="154">
        <f>+A78+1</f>
        <v>8</v>
      </c>
      <c r="B81" s="126" t="s">
        <v>122</v>
      </c>
      <c r="C81" s="144"/>
      <c r="D81" s="127"/>
      <c r="E81" s="128"/>
      <c r="F81" s="129"/>
      <c r="H81" s="156">
        <f t="shared" si="1"/>
        <v>0</v>
      </c>
      <c r="I81" s="129"/>
    </row>
    <row r="82" spans="1:9" ht="15" customHeight="1">
      <c r="A82" s="154"/>
      <c r="B82" s="126"/>
      <c r="C82" s="144" t="str">
        <f>+C7</f>
        <v>รายได้ค้างรับประจำเดือนกรกฎาคม 2569</v>
      </c>
      <c r="D82" s="127"/>
      <c r="E82" s="128"/>
      <c r="F82" s="129"/>
      <c r="H82" s="156">
        <f t="shared" si="1"/>
        <v>0</v>
      </c>
      <c r="I82" s="129"/>
    </row>
    <row r="83" spans="1:9" ht="15" customHeight="1">
      <c r="A83" s="154"/>
      <c r="B83" s="126"/>
      <c r="C83" s="144" t="s">
        <v>906</v>
      </c>
      <c r="D83" s="127">
        <f>+'agingปัจจุบันส่ง(ส่งบัญชี)'!P1606</f>
        <v>0</v>
      </c>
      <c r="E83" s="128"/>
      <c r="F83" s="129"/>
      <c r="G83" s="129">
        <v>0</v>
      </c>
      <c r="H83" s="156">
        <f t="shared" si="1"/>
        <v>0</v>
      </c>
      <c r="I83" s="129"/>
    </row>
    <row r="84" spans="1:9" ht="15" customHeight="1">
      <c r="A84" s="154"/>
      <c r="B84" s="126"/>
      <c r="C84" s="144" t="s">
        <v>899</v>
      </c>
      <c r="D84" s="127">
        <f>+'agingปัจจุบันส่ง(ส่งบัญชี)'!P1608</f>
        <v>0</v>
      </c>
      <c r="E84" s="128"/>
      <c r="F84" s="129"/>
      <c r="G84" s="129">
        <v>0</v>
      </c>
      <c r="H84" s="156">
        <f t="shared" si="1"/>
        <v>0</v>
      </c>
      <c r="I84" s="129"/>
    </row>
    <row r="85" spans="1:9" ht="15" customHeight="1">
      <c r="A85" s="154"/>
      <c r="B85" s="126"/>
      <c r="C85" s="159" t="s">
        <v>896</v>
      </c>
      <c r="D85" s="127">
        <f>+'agingปัจจุบันส่ง(ส่งบัญชี)'!P1612</f>
        <v>0</v>
      </c>
      <c r="E85" s="128"/>
      <c r="F85" s="129"/>
      <c r="G85" s="129">
        <v>0</v>
      </c>
      <c r="H85" s="156">
        <f t="shared" si="1"/>
        <v>0</v>
      </c>
      <c r="I85" s="129"/>
    </row>
    <row r="86" spans="1:9" ht="15" customHeight="1">
      <c r="A86" s="154"/>
      <c r="B86" s="126"/>
      <c r="C86" s="144" t="s">
        <v>880</v>
      </c>
      <c r="D86" s="127">
        <f>+'agingปัจจุบันส่ง(ส่งบัญชี)'!P1616</f>
        <v>4526.1000000000004</v>
      </c>
      <c r="E86" s="128"/>
      <c r="F86" s="129"/>
      <c r="G86" s="129">
        <v>3926.8999999999996</v>
      </c>
      <c r="H86" s="156">
        <f t="shared" si="1"/>
        <v>599.20000000000073</v>
      </c>
      <c r="I86" s="129"/>
    </row>
    <row r="87" spans="1:9" ht="15" customHeight="1">
      <c r="A87" s="154"/>
      <c r="B87" s="126"/>
      <c r="C87" s="144" t="s">
        <v>882</v>
      </c>
      <c r="D87" s="127">
        <f>+'agingปัจจุบันส่ง(ส่งบัญชี)'!P1626</f>
        <v>4601</v>
      </c>
      <c r="E87" s="128"/>
      <c r="F87" s="129"/>
      <c r="G87" s="129">
        <v>5029</v>
      </c>
      <c r="H87" s="156">
        <f t="shared" si="1"/>
        <v>-428</v>
      </c>
      <c r="I87" s="129"/>
    </row>
    <row r="88" spans="1:9" ht="15" customHeight="1">
      <c r="A88" s="154"/>
      <c r="B88" s="126"/>
      <c r="C88" s="144" t="s">
        <v>881</v>
      </c>
      <c r="D88" s="127">
        <f>+'agingปัจจุบันส่ง(ส่งบัญชี)'!P1631</f>
        <v>1926.0000000000009</v>
      </c>
      <c r="E88" s="128"/>
      <c r="F88" s="129"/>
      <c r="G88" s="129">
        <v>2054.4</v>
      </c>
      <c r="H88" s="156">
        <f t="shared" si="1"/>
        <v>-128.39999999999918</v>
      </c>
      <c r="I88" s="129"/>
    </row>
    <row r="89" spans="1:9" ht="15" customHeight="1">
      <c r="A89" s="154"/>
      <c r="B89" s="126"/>
      <c r="C89" s="144" t="s">
        <v>887</v>
      </c>
      <c r="D89" s="127">
        <f>+'agingปัจจุบันส่ง(ส่งบัญชี)'!P1620</f>
        <v>10366.760000000004</v>
      </c>
      <c r="E89" s="128"/>
      <c r="F89" s="129"/>
      <c r="G89" s="129">
        <v>13666.150000000005</v>
      </c>
      <c r="H89" s="1310">
        <f t="shared" si="1"/>
        <v>-3299.3900000000012</v>
      </c>
      <c r="I89" s="129"/>
    </row>
    <row r="90" spans="1:9" ht="15" customHeight="1">
      <c r="A90" s="154"/>
      <c r="B90" s="126"/>
      <c r="C90" s="144" t="s">
        <v>900</v>
      </c>
      <c r="D90" s="127">
        <f>+'agingปัจจุบันส่ง(ส่งบัญชี)'!P1634</f>
        <v>1391</v>
      </c>
      <c r="E90" s="128"/>
      <c r="F90" s="129"/>
      <c r="G90" s="129">
        <v>749.00000000000023</v>
      </c>
      <c r="H90" s="156">
        <f t="shared" si="1"/>
        <v>641.99999999999977</v>
      </c>
      <c r="I90" s="129"/>
    </row>
    <row r="91" spans="1:9" ht="15" customHeight="1">
      <c r="A91" s="154"/>
      <c r="B91" s="126"/>
      <c r="C91" s="144" t="s">
        <v>888</v>
      </c>
      <c r="D91" s="127">
        <f>+'agingปัจจุบันส่ง(ส่งบัญชี)'!P1638</f>
        <v>556.39999999999986</v>
      </c>
      <c r="E91" s="128"/>
      <c r="F91" s="129"/>
      <c r="G91" s="129">
        <v>406.59999999999997</v>
      </c>
      <c r="H91" s="156">
        <f t="shared" si="1"/>
        <v>149.7999999999999</v>
      </c>
      <c r="I91" s="129"/>
    </row>
    <row r="92" spans="1:9" ht="15" customHeight="1">
      <c r="A92" s="154"/>
      <c r="B92" s="126"/>
      <c r="C92" s="144" t="s">
        <v>901</v>
      </c>
      <c r="D92" s="127">
        <f>+'agingปัจจุบันส่ง(ส่งบัญชี)'!P1640</f>
        <v>0</v>
      </c>
      <c r="E92" s="128"/>
      <c r="F92" s="129"/>
      <c r="G92" s="129">
        <v>0</v>
      </c>
      <c r="H92" s="156">
        <f t="shared" si="1"/>
        <v>0</v>
      </c>
      <c r="I92" s="129"/>
    </row>
    <row r="93" spans="1:9" ht="15" customHeight="1">
      <c r="A93" s="154"/>
      <c r="B93" s="126"/>
      <c r="C93" s="168" t="s">
        <v>902</v>
      </c>
      <c r="D93" s="127">
        <f>+'agingปัจจุบันส่ง(ส่งบัญชี)'!P1621</f>
        <v>0</v>
      </c>
      <c r="E93" s="128"/>
      <c r="F93" s="129"/>
      <c r="G93" s="129">
        <v>0</v>
      </c>
      <c r="H93" s="156">
        <f t="shared" si="1"/>
        <v>0</v>
      </c>
      <c r="I93" s="129"/>
    </row>
    <row r="94" spans="1:9" ht="15" customHeight="1">
      <c r="A94" s="154"/>
      <c r="B94" s="126"/>
      <c r="C94" s="144" t="s">
        <v>889</v>
      </c>
      <c r="D94" s="164">
        <f>+'agingปัจจุบันส่ง(ส่งบัญชี)'!P1646</f>
        <v>518359.52</v>
      </c>
      <c r="E94" s="128">
        <f>+D83+D86+D88+D85+D87+D89+D90+D91+D94</f>
        <v>541726.78</v>
      </c>
      <c r="F94" s="129"/>
      <c r="G94" s="129">
        <v>518359.52</v>
      </c>
      <c r="H94" s="156">
        <f t="shared" si="1"/>
        <v>0</v>
      </c>
      <c r="I94" s="129"/>
    </row>
    <row r="95" spans="1:9" ht="15" customHeight="1" thickBot="1">
      <c r="A95" s="154">
        <f>+A81+1</f>
        <v>9</v>
      </c>
      <c r="B95" s="126" t="s">
        <v>358</v>
      </c>
      <c r="C95" s="144"/>
      <c r="D95" s="127"/>
      <c r="E95" s="128"/>
      <c r="F95" s="129"/>
      <c r="G95" s="1311"/>
      <c r="H95" s="156"/>
      <c r="I95" s="1315">
        <f>+E94-G95</f>
        <v>541726.78</v>
      </c>
    </row>
    <row r="96" spans="1:9" ht="15" customHeight="1" thickTop="1">
      <c r="A96" s="154"/>
      <c r="B96" s="126"/>
      <c r="C96" s="144" t="str">
        <f>+C7</f>
        <v>รายได้ค้างรับประจำเดือนกรกฎาคม 2569</v>
      </c>
      <c r="D96" s="127"/>
      <c r="E96" s="128"/>
      <c r="F96" s="129"/>
      <c r="H96" s="156">
        <f t="shared" si="1"/>
        <v>0</v>
      </c>
      <c r="I96" s="129"/>
    </row>
    <row r="97" spans="1:9" ht="15" customHeight="1">
      <c r="A97" s="154"/>
      <c r="B97" s="126"/>
      <c r="C97" s="144" t="s">
        <v>906</v>
      </c>
      <c r="D97" s="127">
        <f>+'agingปัจจุบันส่ง(ส่งบัญชี)'!P1658</f>
        <v>0</v>
      </c>
      <c r="E97" s="128"/>
      <c r="F97" s="129"/>
      <c r="G97" s="129">
        <v>0</v>
      </c>
      <c r="H97" s="156">
        <f t="shared" si="1"/>
        <v>0</v>
      </c>
      <c r="I97" s="129"/>
    </row>
    <row r="98" spans="1:9" ht="15" customHeight="1">
      <c r="A98" s="154"/>
      <c r="B98" s="126"/>
      <c r="C98" s="144" t="s">
        <v>512</v>
      </c>
      <c r="D98" s="127">
        <f>+'agingปัจจุบันส่ง(ส่งบัญชี)'!P1654</f>
        <v>0</v>
      </c>
      <c r="E98" s="128"/>
      <c r="F98" s="129"/>
      <c r="G98" s="129">
        <v>0</v>
      </c>
      <c r="H98" s="156">
        <f t="shared" si="1"/>
        <v>0</v>
      </c>
      <c r="I98" s="129"/>
    </row>
    <row r="99" spans="1:9" ht="15" customHeight="1">
      <c r="A99" s="154"/>
      <c r="B99" s="126"/>
      <c r="C99" s="169" t="s">
        <v>1134</v>
      </c>
      <c r="D99" s="127">
        <f>+'agingปัจจุบันส่ง(ส่งบัญชี)'!P1652</f>
        <v>0</v>
      </c>
      <c r="E99" s="128"/>
      <c r="F99" s="129"/>
      <c r="G99" s="129">
        <v>0</v>
      </c>
      <c r="H99" s="156">
        <f t="shared" si="1"/>
        <v>0</v>
      </c>
      <c r="I99" s="129"/>
    </row>
    <row r="100" spans="1:9" ht="15" customHeight="1">
      <c r="A100" s="154"/>
      <c r="B100" s="126"/>
      <c r="C100" s="144" t="s">
        <v>889</v>
      </c>
      <c r="D100" s="164">
        <f>+'agingปัจจุบันส่ง(ส่งบัญชี)'!N1657</f>
        <v>0</v>
      </c>
      <c r="E100" s="128">
        <f>SUM(D97:D100)</f>
        <v>0</v>
      </c>
      <c r="F100" s="129"/>
      <c r="G100" s="129">
        <v>0</v>
      </c>
      <c r="H100" s="156">
        <f t="shared" si="1"/>
        <v>0</v>
      </c>
      <c r="I100" s="129"/>
    </row>
    <row r="101" spans="1:9" ht="15" customHeight="1" thickBot="1">
      <c r="A101" s="154">
        <f>+A95+1</f>
        <v>10</v>
      </c>
      <c r="B101" s="133" t="s">
        <v>65</v>
      </c>
      <c r="C101" s="141"/>
      <c r="D101" s="156"/>
      <c r="E101" s="131"/>
      <c r="F101" s="132"/>
      <c r="G101" s="1311"/>
      <c r="H101" s="156">
        <f t="shared" si="1"/>
        <v>0</v>
      </c>
      <c r="I101" s="129"/>
    </row>
    <row r="102" spans="1:9" ht="15" customHeight="1" thickTop="1">
      <c r="A102" s="154"/>
      <c r="B102" s="133"/>
      <c r="C102" s="141" t="str">
        <f>+C7</f>
        <v>รายได้ค้างรับประจำเดือนกรกฎาคม 2569</v>
      </c>
      <c r="D102" s="156"/>
      <c r="E102" s="131"/>
      <c r="F102" s="132"/>
      <c r="H102" s="156">
        <f t="shared" si="1"/>
        <v>0</v>
      </c>
      <c r="I102" s="129"/>
    </row>
    <row r="103" spans="1:9" ht="15" customHeight="1">
      <c r="A103" s="154"/>
      <c r="B103" s="133"/>
      <c r="C103" s="144" t="s">
        <v>906</v>
      </c>
      <c r="D103" s="156">
        <f>+'agingปัจจุบันส่ง(ส่งบัญชี)'!P1662</f>
        <v>5530855.9100000001</v>
      </c>
      <c r="E103" s="131"/>
      <c r="F103" s="132"/>
      <c r="G103" s="129">
        <v>5530855.9100000001</v>
      </c>
      <c r="H103" s="156">
        <f t="shared" si="1"/>
        <v>0</v>
      </c>
      <c r="I103" s="129"/>
    </row>
    <row r="104" spans="1:9" ht="15" customHeight="1">
      <c r="A104" s="154"/>
      <c r="B104" s="133"/>
      <c r="C104" s="144" t="s">
        <v>882</v>
      </c>
      <c r="D104" s="156">
        <f>+'agingปัจจุบันส่ง(ส่งบัญชี)'!P1664</f>
        <v>0</v>
      </c>
      <c r="E104" s="131"/>
      <c r="F104" s="132"/>
      <c r="G104" s="129">
        <v>0</v>
      </c>
      <c r="H104" s="156">
        <f t="shared" si="1"/>
        <v>0</v>
      </c>
      <c r="I104" s="129"/>
    </row>
    <row r="105" spans="1:9" ht="15" customHeight="1">
      <c r="A105" s="154"/>
      <c r="B105" s="133"/>
      <c r="C105" s="144" t="s">
        <v>881</v>
      </c>
      <c r="D105" s="156">
        <f>+'agingปัจจุบันส่ง(ส่งบัญชี)'!P1666</f>
        <v>0</v>
      </c>
      <c r="E105" s="131"/>
      <c r="F105" s="132"/>
      <c r="G105" s="129">
        <v>0</v>
      </c>
      <c r="H105" s="156">
        <f t="shared" si="1"/>
        <v>0</v>
      </c>
      <c r="I105" s="129"/>
    </row>
    <row r="106" spans="1:9" ht="15" customHeight="1">
      <c r="A106" s="154"/>
      <c r="B106" s="134"/>
      <c r="C106" s="144" t="s">
        <v>880</v>
      </c>
      <c r="D106" s="156">
        <f>+'agingปัจจุบันส่ง(ส่งบัญชี)'!P1668</f>
        <v>0</v>
      </c>
      <c r="E106" s="131"/>
      <c r="F106" s="132"/>
      <c r="G106" s="129">
        <v>0</v>
      </c>
      <c r="H106" s="156">
        <f t="shared" si="1"/>
        <v>0</v>
      </c>
      <c r="I106" s="129"/>
    </row>
    <row r="107" spans="1:9" ht="15" customHeight="1">
      <c r="A107" s="154"/>
      <c r="B107" s="134"/>
      <c r="C107" s="144" t="s">
        <v>889</v>
      </c>
      <c r="D107" s="156">
        <f>+'agingปัจจุบันส่ง(ส่งบัญชี)'!P1670</f>
        <v>0</v>
      </c>
      <c r="E107" s="131"/>
      <c r="F107" s="132"/>
      <c r="G107" s="129">
        <v>0</v>
      </c>
      <c r="H107" s="156">
        <f t="shared" si="1"/>
        <v>0</v>
      </c>
      <c r="I107" s="129"/>
    </row>
    <row r="108" spans="1:9" ht="15" customHeight="1">
      <c r="A108" s="154"/>
      <c r="B108" s="134"/>
      <c r="C108" s="144" t="s">
        <v>887</v>
      </c>
      <c r="D108" s="156">
        <f>+'agingปัจจุบันส่ง(ส่งบัญชี)'!P1672</f>
        <v>0</v>
      </c>
      <c r="E108" s="131"/>
      <c r="F108" s="132"/>
      <c r="G108" s="129">
        <v>0</v>
      </c>
      <c r="H108" s="156">
        <f t="shared" si="1"/>
        <v>0</v>
      </c>
      <c r="I108" s="129"/>
    </row>
    <row r="109" spans="1:9" ht="15" customHeight="1">
      <c r="A109" s="154"/>
      <c r="B109" s="134"/>
      <c r="C109" s="144" t="s">
        <v>899</v>
      </c>
      <c r="D109" s="156">
        <f>+'agingปัจจุบันส่ง(ส่งบัญชี)'!P1673</f>
        <v>0</v>
      </c>
      <c r="E109" s="131"/>
      <c r="F109" s="132"/>
      <c r="G109" s="129">
        <v>0</v>
      </c>
      <c r="H109" s="156">
        <f t="shared" si="1"/>
        <v>0</v>
      </c>
      <c r="I109" s="129"/>
    </row>
    <row r="110" spans="1:9" ht="15" customHeight="1" thickBot="1">
      <c r="A110" s="154"/>
      <c r="B110" s="134"/>
      <c r="C110" s="168" t="s">
        <v>902</v>
      </c>
      <c r="D110" s="161">
        <f>+'agingปัจจุบันส่ง(ส่งบัญชี)'!P1674</f>
        <v>0</v>
      </c>
      <c r="E110" s="131">
        <f>SUM(D103:D110)</f>
        <v>5530855.9100000001</v>
      </c>
      <c r="F110" s="132"/>
      <c r="G110" s="1311">
        <v>0</v>
      </c>
      <c r="H110" s="156"/>
      <c r="I110" s="129">
        <f>+E110-G110</f>
        <v>5530855.9100000001</v>
      </c>
    </row>
    <row r="111" spans="1:9" ht="15" customHeight="1" thickTop="1">
      <c r="A111" s="154">
        <f>+A101+1</f>
        <v>11</v>
      </c>
      <c r="B111" s="134" t="s">
        <v>135</v>
      </c>
      <c r="C111" s="141"/>
      <c r="D111" s="156"/>
      <c r="E111" s="131"/>
      <c r="F111" s="132"/>
      <c r="H111" s="156">
        <f t="shared" si="1"/>
        <v>0</v>
      </c>
      <c r="I111" s="129"/>
    </row>
    <row r="112" spans="1:9" ht="15" customHeight="1">
      <c r="A112" s="154"/>
      <c r="B112" s="133"/>
      <c r="C112" s="141" t="str">
        <f>+C7</f>
        <v>รายได้ค้างรับประจำเดือนกรกฎาคม 2569</v>
      </c>
      <c r="D112" s="156"/>
      <c r="E112" s="131"/>
      <c r="F112" s="132"/>
      <c r="H112" s="156">
        <f t="shared" si="1"/>
        <v>0</v>
      </c>
      <c r="I112" s="129"/>
    </row>
    <row r="113" spans="1:9" ht="15" customHeight="1">
      <c r="A113" s="154"/>
      <c r="B113" s="133"/>
      <c r="C113" s="144" t="s">
        <v>906</v>
      </c>
      <c r="D113" s="127">
        <f>+'agingปัจจุบันส่ง(ส่งบัญชี)'!P1687</f>
        <v>13895.52</v>
      </c>
      <c r="E113" s="131"/>
      <c r="F113" s="132"/>
      <c r="G113" s="129">
        <v>12356.38</v>
      </c>
      <c r="H113" s="156">
        <f t="shared" si="1"/>
        <v>1539.1400000000012</v>
      </c>
      <c r="I113" s="129"/>
    </row>
    <row r="114" spans="1:9" ht="15" customHeight="1">
      <c r="A114" s="154"/>
      <c r="B114" s="133"/>
      <c r="C114" s="144" t="s">
        <v>889</v>
      </c>
      <c r="D114" s="127">
        <f>+'agingปัจจุบันส่ง(ส่งบัญชี)'!P1702</f>
        <v>0</v>
      </c>
      <c r="E114" s="131"/>
      <c r="F114" s="132"/>
      <c r="G114" s="129">
        <v>0</v>
      </c>
      <c r="H114" s="156">
        <f t="shared" si="1"/>
        <v>0</v>
      </c>
      <c r="I114" s="129"/>
    </row>
    <row r="115" spans="1:9" ht="15" customHeight="1">
      <c r="A115" s="154"/>
      <c r="B115" s="133"/>
      <c r="C115" s="141" t="s">
        <v>8</v>
      </c>
      <c r="D115" s="127">
        <f>+'agingปัจจุบันส่ง(ส่งบัญชี)'!P1699</f>
        <v>0</v>
      </c>
      <c r="E115" s="131"/>
      <c r="F115" s="132"/>
      <c r="G115" s="129">
        <v>0</v>
      </c>
      <c r="H115" s="156">
        <f t="shared" si="1"/>
        <v>0</v>
      </c>
      <c r="I115" s="129"/>
    </row>
    <row r="116" spans="1:9" ht="15" customHeight="1">
      <c r="A116" s="154"/>
      <c r="B116" s="133"/>
      <c r="C116" s="144" t="s">
        <v>880</v>
      </c>
      <c r="D116" s="127">
        <f>+'agingปัจจุบันส่ง(ส่งบัญชี)'!P1694</f>
        <v>0</v>
      </c>
      <c r="E116" s="131"/>
      <c r="F116" s="132"/>
      <c r="G116" s="129">
        <v>0</v>
      </c>
      <c r="H116" s="156">
        <f t="shared" si="1"/>
        <v>0</v>
      </c>
      <c r="I116" s="129"/>
    </row>
    <row r="117" spans="1:9" ht="15" customHeight="1">
      <c r="A117" s="154"/>
      <c r="B117" s="133"/>
      <c r="C117" s="144" t="s">
        <v>882</v>
      </c>
      <c r="D117" s="127">
        <f>+'agingปัจจุบันส่ง(ส่งบัญชี)'!P1691</f>
        <v>0</v>
      </c>
      <c r="E117" s="131"/>
      <c r="F117" s="132"/>
      <c r="G117" s="129">
        <v>0</v>
      </c>
      <c r="H117" s="156">
        <f t="shared" si="1"/>
        <v>0</v>
      </c>
      <c r="I117" s="129"/>
    </row>
    <row r="118" spans="1:9" ht="15" customHeight="1">
      <c r="A118" s="154"/>
      <c r="B118" s="133"/>
      <c r="C118" s="144" t="s">
        <v>881</v>
      </c>
      <c r="D118" s="127">
        <f>+'agingปัจจุบันส่ง(ส่งบัญชี)'!P1698</f>
        <v>0</v>
      </c>
      <c r="E118" s="131"/>
      <c r="F118" s="132"/>
      <c r="G118" s="129">
        <v>0</v>
      </c>
      <c r="H118" s="156">
        <f t="shared" si="1"/>
        <v>0</v>
      </c>
      <c r="I118" s="129"/>
    </row>
    <row r="119" spans="1:9" ht="15" customHeight="1" thickBot="1">
      <c r="A119" s="154"/>
      <c r="B119" s="133"/>
      <c r="C119" s="141" t="s">
        <v>890</v>
      </c>
      <c r="D119" s="164">
        <f>+'agingปัจจุบันส่ง(ส่งบัญชี)'!P1706</f>
        <v>0</v>
      </c>
      <c r="E119" s="128">
        <f>SUM(D113:D119)</f>
        <v>13895.52</v>
      </c>
      <c r="F119" s="129"/>
      <c r="G119" s="1311">
        <v>0</v>
      </c>
      <c r="H119" s="156"/>
      <c r="I119" s="1315">
        <f>+E119-G119</f>
        <v>13895.52</v>
      </c>
    </row>
    <row r="120" spans="1:9" ht="15" customHeight="1" thickTop="1">
      <c r="A120" s="154">
        <f>+A111+1</f>
        <v>12</v>
      </c>
      <c r="B120" s="133" t="s">
        <v>4</v>
      </c>
      <c r="C120" s="141"/>
      <c r="D120" s="156"/>
      <c r="E120" s="131"/>
      <c r="F120" s="132"/>
      <c r="H120" s="156">
        <f t="shared" si="1"/>
        <v>0</v>
      </c>
      <c r="I120" s="129"/>
    </row>
    <row r="121" spans="1:9" ht="15" customHeight="1">
      <c r="A121" s="154"/>
      <c r="B121" s="133"/>
      <c r="C121" s="141" t="str">
        <f>+C7</f>
        <v>รายได้ค้างรับประจำเดือนกรกฎาคม 2569</v>
      </c>
      <c r="D121" s="156"/>
      <c r="E121" s="131"/>
      <c r="F121" s="132"/>
      <c r="H121" s="156">
        <f t="shared" si="1"/>
        <v>0</v>
      </c>
      <c r="I121" s="129"/>
    </row>
    <row r="122" spans="1:9" ht="15" customHeight="1">
      <c r="A122" s="154"/>
      <c r="B122" s="133"/>
      <c r="C122" s="144" t="s">
        <v>906</v>
      </c>
      <c r="D122" s="156">
        <f>+'agingปัจจุบันส่ง(ส่งบัญชี)'!P1710</f>
        <v>0</v>
      </c>
      <c r="E122" s="131"/>
      <c r="F122" s="132"/>
      <c r="G122" s="129">
        <v>0</v>
      </c>
      <c r="H122" s="156">
        <f t="shared" si="1"/>
        <v>0</v>
      </c>
      <c r="I122" s="129"/>
    </row>
    <row r="123" spans="1:9" ht="15" customHeight="1">
      <c r="A123" s="154"/>
      <c r="B123" s="133"/>
      <c r="C123" s="144" t="s">
        <v>889</v>
      </c>
      <c r="D123" s="161">
        <f>+'agingปัจจุบันส่ง(ส่งบัญชี)'!P1711</f>
        <v>0</v>
      </c>
      <c r="E123" s="131">
        <f>SUM(D122:D123)</f>
        <v>0</v>
      </c>
      <c r="F123" s="132"/>
      <c r="G123" s="129">
        <v>0</v>
      </c>
      <c r="H123" s="156">
        <f t="shared" si="1"/>
        <v>0</v>
      </c>
      <c r="I123" s="129"/>
    </row>
    <row r="124" spans="1:9" ht="15" customHeight="1">
      <c r="A124" s="154">
        <f>+A120+1</f>
        <v>13</v>
      </c>
      <c r="B124" s="133" t="s">
        <v>147</v>
      </c>
      <c r="C124" s="141"/>
      <c r="D124" s="156"/>
      <c r="E124" s="131"/>
      <c r="F124" s="132"/>
      <c r="H124" s="156">
        <f t="shared" si="1"/>
        <v>0</v>
      </c>
      <c r="I124" s="129"/>
    </row>
    <row r="125" spans="1:9" ht="15" customHeight="1">
      <c r="A125" s="154"/>
      <c r="B125" s="133"/>
      <c r="C125" s="141" t="str">
        <f>+C7</f>
        <v>รายได้ค้างรับประจำเดือนกรกฎาคม 2569</v>
      </c>
      <c r="D125" s="132"/>
      <c r="E125" s="131"/>
      <c r="F125" s="132"/>
      <c r="H125" s="156">
        <f t="shared" si="1"/>
        <v>0</v>
      </c>
      <c r="I125" s="129"/>
    </row>
    <row r="126" spans="1:9" ht="15" customHeight="1">
      <c r="A126" s="154"/>
      <c r="B126" s="133"/>
      <c r="C126" s="144" t="s">
        <v>906</v>
      </c>
      <c r="D126" s="129">
        <f>+'agingปัจจุบันส่ง(ส่งบัญชี)'!P1739</f>
        <v>292366.15000000002</v>
      </c>
      <c r="E126" s="131"/>
      <c r="F126" s="132"/>
      <c r="G126" s="129">
        <v>287803.15000000002</v>
      </c>
      <c r="H126" s="156">
        <f t="shared" si="1"/>
        <v>4563</v>
      </c>
      <c r="I126" s="129"/>
    </row>
    <row r="127" spans="1:9" ht="15" customHeight="1">
      <c r="A127" s="154"/>
      <c r="B127" s="133"/>
      <c r="C127" s="159" t="s">
        <v>896</v>
      </c>
      <c r="D127" s="129">
        <f>+'agingปัจจุบันส่ง(ส่งบัญชี)'!P1744</f>
        <v>0</v>
      </c>
      <c r="E127" s="131"/>
      <c r="F127" s="132"/>
      <c r="G127" s="129">
        <v>0</v>
      </c>
      <c r="H127" s="156">
        <f t="shared" si="1"/>
        <v>0</v>
      </c>
      <c r="I127" s="129"/>
    </row>
    <row r="128" spans="1:9" ht="15" customHeight="1">
      <c r="A128" s="154"/>
      <c r="B128" s="133"/>
      <c r="C128" s="141" t="s">
        <v>892</v>
      </c>
      <c r="D128" s="129">
        <f>+'agingปัจจุบันส่ง(ส่งบัญชี)'!P1749</f>
        <v>0</v>
      </c>
      <c r="E128" s="131"/>
      <c r="F128" s="132"/>
      <c r="G128" s="129">
        <v>0</v>
      </c>
      <c r="H128" s="156">
        <f t="shared" si="1"/>
        <v>0</v>
      </c>
      <c r="I128" s="129"/>
    </row>
    <row r="129" spans="1:9" ht="15" customHeight="1">
      <c r="A129" s="154"/>
      <c r="B129" s="133"/>
      <c r="C129" s="144" t="s">
        <v>887</v>
      </c>
      <c r="D129" s="129">
        <f>+'agingปัจจุบันส่ง(ส่งบัญชี)'!P1753</f>
        <v>16486.560000000001</v>
      </c>
      <c r="E129" s="131"/>
      <c r="F129" s="132"/>
      <c r="G129" s="129">
        <v>8960.18</v>
      </c>
      <c r="H129" s="156">
        <f t="shared" si="1"/>
        <v>7526.380000000001</v>
      </c>
      <c r="I129" s="129"/>
    </row>
    <row r="130" spans="1:9" ht="15" customHeight="1">
      <c r="A130" s="154"/>
      <c r="B130" s="133"/>
      <c r="C130" s="144" t="s">
        <v>888</v>
      </c>
      <c r="D130" s="129">
        <f>+'agingปัจจุบันส่ง(ส่งบัญชี)'!P1760</f>
        <v>3466.8</v>
      </c>
      <c r="E130" s="131"/>
      <c r="F130" s="132"/>
      <c r="G130" s="129">
        <v>2022.2999999999997</v>
      </c>
      <c r="H130" s="156">
        <f t="shared" si="1"/>
        <v>1444.5000000000005</v>
      </c>
      <c r="I130" s="129"/>
    </row>
    <row r="131" spans="1:9" ht="15" customHeight="1">
      <c r="A131" s="154"/>
      <c r="B131" s="133"/>
      <c r="C131" s="144" t="s">
        <v>882</v>
      </c>
      <c r="D131" s="129">
        <f>+'agingปัจจุบันส่ง(ส่งบัญชี)'!P1800</f>
        <v>120192.51999999999</v>
      </c>
      <c r="E131" s="131"/>
      <c r="F131" s="132"/>
      <c r="G131" s="129">
        <v>112590.17</v>
      </c>
      <c r="H131" s="156">
        <f t="shared" si="1"/>
        <v>7602.3499999999913</v>
      </c>
      <c r="I131" s="129"/>
    </row>
    <row r="132" spans="1:9" ht="15" customHeight="1">
      <c r="A132" s="154"/>
      <c r="B132" s="133"/>
      <c r="C132" s="144" t="s">
        <v>881</v>
      </c>
      <c r="D132" s="129">
        <f>+'agingปัจจุบันส่ง(ส่งบัญชี)'!P1831</f>
        <v>127697.62000000001</v>
      </c>
      <c r="E132" s="131"/>
      <c r="F132" s="132"/>
      <c r="G132" s="129">
        <v>117229.81000000001</v>
      </c>
      <c r="H132" s="156">
        <f t="shared" si="1"/>
        <v>10467.809999999998</v>
      </c>
      <c r="I132" s="129"/>
    </row>
    <row r="133" spans="1:9" ht="15" customHeight="1">
      <c r="A133" s="154"/>
      <c r="B133" s="133"/>
      <c r="C133" s="141" t="s">
        <v>890</v>
      </c>
      <c r="D133" s="129">
        <f>+'agingปัจจุบันส่ง(ส่งบัญชี)'!P1838</f>
        <v>800</v>
      </c>
      <c r="E133" s="131"/>
      <c r="F133" s="132"/>
      <c r="G133" s="129">
        <v>500</v>
      </c>
      <c r="H133" s="156">
        <f t="shared" si="1"/>
        <v>300</v>
      </c>
      <c r="I133" s="129"/>
    </row>
    <row r="134" spans="1:9" ht="15" customHeight="1">
      <c r="A134" s="154"/>
      <c r="B134" s="133"/>
      <c r="C134" s="144" t="s">
        <v>889</v>
      </c>
      <c r="D134" s="127">
        <f>+'agingปัจจุบันส่ง(ส่งบัญชี)'!P1771</f>
        <v>52522.03</v>
      </c>
      <c r="E134" s="131"/>
      <c r="F134" s="135"/>
      <c r="G134" s="170">
        <v>31822.350000000002</v>
      </c>
      <c r="H134" s="1310">
        <f t="shared" si="1"/>
        <v>20699.679999999997</v>
      </c>
      <c r="I134" s="129"/>
    </row>
    <row r="135" spans="1:9" ht="15" customHeight="1">
      <c r="A135" s="154"/>
      <c r="B135" s="133"/>
      <c r="C135" s="168" t="s">
        <v>902</v>
      </c>
      <c r="D135" s="127">
        <f>+'agingปัจจุบันส่ง(ส่งบัญชี)'!P1776</f>
        <v>3297.3099999999995</v>
      </c>
      <c r="E135" s="131"/>
      <c r="F135" s="135"/>
      <c r="G135" s="170">
        <v>1792.04</v>
      </c>
      <c r="H135" s="156">
        <f t="shared" si="1"/>
        <v>1505.2699999999995</v>
      </c>
      <c r="I135" s="129"/>
    </row>
    <row r="136" spans="1:9" ht="15" customHeight="1">
      <c r="A136" s="154"/>
      <c r="B136" s="133"/>
      <c r="C136" s="144" t="s">
        <v>880</v>
      </c>
      <c r="D136" s="156">
        <f>+'agingปัจจุบันส่ง(ส่งบัญชี)'!P1844</f>
        <v>3156.5</v>
      </c>
      <c r="E136" s="131"/>
      <c r="F136" s="135"/>
      <c r="G136" s="170">
        <v>2461</v>
      </c>
      <c r="H136" s="1310">
        <f t="shared" si="1"/>
        <v>695.5</v>
      </c>
      <c r="I136" s="129"/>
    </row>
    <row r="137" spans="1:9" ht="15" customHeight="1">
      <c r="A137" s="154"/>
      <c r="B137" s="133"/>
      <c r="C137" s="144" t="s">
        <v>879</v>
      </c>
      <c r="D137" s="156">
        <f>+'agingปัจจุบันส่ง(ส่งบัญชี)'!P1849</f>
        <v>6000</v>
      </c>
      <c r="E137" s="131"/>
      <c r="F137" s="135"/>
      <c r="G137" s="170">
        <v>6000</v>
      </c>
      <c r="H137" s="156">
        <f t="shared" ref="H137:H200" si="2">+D137-G137</f>
        <v>0</v>
      </c>
      <c r="I137" s="129"/>
    </row>
    <row r="138" spans="1:9" ht="15" customHeight="1">
      <c r="A138" s="154"/>
      <c r="B138" s="133"/>
      <c r="C138" s="144" t="s">
        <v>895</v>
      </c>
      <c r="D138" s="171" t="s">
        <v>629</v>
      </c>
      <c r="E138" s="131"/>
      <c r="F138" s="135"/>
      <c r="G138" s="170" t="s">
        <v>629</v>
      </c>
      <c r="H138" s="156">
        <v>0</v>
      </c>
      <c r="I138" s="129"/>
    </row>
    <row r="139" spans="1:9" ht="15" customHeight="1">
      <c r="A139" s="154"/>
      <c r="B139" s="133"/>
      <c r="C139" s="144" t="s">
        <v>903</v>
      </c>
      <c r="D139" s="156">
        <f>+'agingปัจจุบันส่ง(ส่งบัญชี)'!P1855</f>
        <v>30285.440000000002</v>
      </c>
      <c r="E139" s="131"/>
      <c r="F139" s="135"/>
      <c r="G139" s="170">
        <v>31185.440000000002</v>
      </c>
      <c r="H139" s="1310">
        <f t="shared" si="2"/>
        <v>-900</v>
      </c>
      <c r="I139" s="129"/>
    </row>
    <row r="140" spans="1:9" ht="15" customHeight="1">
      <c r="A140" s="154"/>
      <c r="B140" s="134"/>
      <c r="C140" s="144" t="s">
        <v>897</v>
      </c>
      <c r="D140" s="161">
        <f>+'agingปัจจุบันส่ง(ส่งบัญชี)'!P1860</f>
        <v>2832.41</v>
      </c>
      <c r="E140" s="131">
        <f>SUM(D126:D140)</f>
        <v>659103.3400000002</v>
      </c>
      <c r="F140" s="135"/>
      <c r="G140" s="170">
        <v>2832.41</v>
      </c>
      <c r="H140" s="156">
        <f t="shared" si="2"/>
        <v>0</v>
      </c>
      <c r="I140" s="129"/>
    </row>
    <row r="141" spans="1:9" ht="15" customHeight="1" thickBot="1">
      <c r="A141" s="154">
        <f>+A124+1</f>
        <v>14</v>
      </c>
      <c r="B141" s="133" t="s">
        <v>47</v>
      </c>
      <c r="C141" s="141"/>
      <c r="D141" s="156"/>
      <c r="E141" s="131"/>
      <c r="F141" s="132"/>
      <c r="G141" s="1311"/>
      <c r="H141" s="156"/>
      <c r="I141" s="1315">
        <f>+E140-G141</f>
        <v>659103.3400000002</v>
      </c>
    </row>
    <row r="142" spans="1:9" ht="15" customHeight="1" thickTop="1">
      <c r="A142" s="154"/>
      <c r="B142" s="133"/>
      <c r="C142" s="141" t="str">
        <f>+C7</f>
        <v>รายได้ค้างรับประจำเดือนกรกฎาคม 2569</v>
      </c>
      <c r="D142" s="156"/>
      <c r="E142" s="131"/>
      <c r="F142" s="132"/>
      <c r="H142" s="156">
        <f t="shared" si="2"/>
        <v>0</v>
      </c>
      <c r="I142" s="129"/>
    </row>
    <row r="143" spans="1:9" ht="15" customHeight="1">
      <c r="A143" s="154"/>
      <c r="B143" s="133"/>
      <c r="C143" s="144" t="s">
        <v>906</v>
      </c>
      <c r="D143" s="156">
        <f>+'agingปัจจุบันส่ง(ส่งบัญชี)'!P1880</f>
        <v>8958317.7699999996</v>
      </c>
      <c r="E143" s="131"/>
      <c r="F143" s="132"/>
      <c r="G143" s="129">
        <v>8958317.7699999996</v>
      </c>
      <c r="H143" s="156">
        <f t="shared" si="2"/>
        <v>0</v>
      </c>
      <c r="I143" s="129"/>
    </row>
    <row r="144" spans="1:9" ht="15" customHeight="1">
      <c r="A144" s="154"/>
      <c r="B144" s="133"/>
      <c r="C144" s="141" t="s">
        <v>221</v>
      </c>
      <c r="D144" s="156">
        <f>+'agingปัจจุบันส่ง(ส่งบัญชี)'!A18439</f>
        <v>0</v>
      </c>
      <c r="E144" s="131"/>
      <c r="F144" s="132"/>
      <c r="G144" s="129">
        <v>0</v>
      </c>
      <c r="H144" s="156">
        <f t="shared" si="2"/>
        <v>0</v>
      </c>
      <c r="I144" s="129"/>
    </row>
    <row r="145" spans="1:9" ht="15" customHeight="1">
      <c r="A145" s="154"/>
      <c r="B145" s="133"/>
      <c r="C145" s="144" t="s">
        <v>887</v>
      </c>
      <c r="D145" s="156">
        <f>+'agingปัจจุบันส่ง(ส่งบัญชี)'!P1894</f>
        <v>9570.0773831775696</v>
      </c>
      <c r="E145" s="131"/>
      <c r="F145" s="132"/>
      <c r="G145" s="129">
        <v>15411.413644859815</v>
      </c>
      <c r="H145" s="1310">
        <f t="shared" si="2"/>
        <v>-5841.3362616822451</v>
      </c>
      <c r="I145" s="129"/>
    </row>
    <row r="146" spans="1:9" ht="15" customHeight="1">
      <c r="A146" s="154"/>
      <c r="B146" s="133"/>
      <c r="C146" s="144" t="s">
        <v>889</v>
      </c>
      <c r="D146" s="156">
        <f>+'agingปัจจุบันส่ง(ส่งบัญชี)'!P1898</f>
        <v>1364.2453271028037</v>
      </c>
      <c r="E146" s="131"/>
      <c r="F146" s="132"/>
      <c r="G146" s="129">
        <v>200.63</v>
      </c>
      <c r="H146" s="156">
        <f t="shared" si="2"/>
        <v>1163.6153271028038</v>
      </c>
      <c r="I146" s="129"/>
    </row>
    <row r="147" spans="1:9" ht="15" customHeight="1">
      <c r="A147" s="154"/>
      <c r="B147" s="133"/>
      <c r="C147" s="144" t="s">
        <v>888</v>
      </c>
      <c r="D147" s="156">
        <f>+'agingปัจจุบันส่ง(ส่งบัญชี)'!P1924</f>
        <v>160.5</v>
      </c>
      <c r="E147" s="131"/>
      <c r="F147" s="132"/>
      <c r="G147" s="129">
        <v>481.5</v>
      </c>
      <c r="H147" s="1310">
        <f t="shared" si="2"/>
        <v>-321</v>
      </c>
      <c r="I147" s="129"/>
    </row>
    <row r="148" spans="1:9" ht="15" customHeight="1">
      <c r="A148" s="154"/>
      <c r="B148" s="133"/>
      <c r="C148" s="144" t="s">
        <v>901</v>
      </c>
      <c r="D148" s="156">
        <f>+'agingปัจจุบันส่ง(ส่งบัญชี)'!P1915</f>
        <v>0</v>
      </c>
      <c r="E148" s="131"/>
      <c r="F148" s="132"/>
      <c r="G148" s="129">
        <v>0</v>
      </c>
      <c r="H148" s="156">
        <f t="shared" si="2"/>
        <v>0</v>
      </c>
      <c r="I148" s="129"/>
    </row>
    <row r="149" spans="1:9" ht="15" customHeight="1">
      <c r="A149" s="154"/>
      <c r="B149" s="133"/>
      <c r="C149" s="144" t="s">
        <v>900</v>
      </c>
      <c r="D149" s="156">
        <f>'agingปัจจุบันส่ง(ส่งบัญชี)'!P1902</f>
        <v>0</v>
      </c>
      <c r="E149" s="131"/>
      <c r="F149" s="132"/>
      <c r="G149" s="129">
        <v>0</v>
      </c>
      <c r="H149" s="156">
        <f t="shared" si="2"/>
        <v>0</v>
      </c>
      <c r="I149" s="129"/>
    </row>
    <row r="150" spans="1:9" ht="15" customHeight="1">
      <c r="A150" s="154"/>
      <c r="B150" s="133"/>
      <c r="C150" s="144" t="s">
        <v>880</v>
      </c>
      <c r="D150" s="156">
        <f>+'agingปัจจุบันส่ง(ส่งบัญชี)'!P1931</f>
        <v>16050</v>
      </c>
      <c r="E150" s="131"/>
      <c r="F150" s="132"/>
      <c r="G150" s="129">
        <v>54570</v>
      </c>
      <c r="H150" s="1310">
        <f t="shared" si="2"/>
        <v>-38520</v>
      </c>
      <c r="I150" s="129"/>
    </row>
    <row r="151" spans="1:9" ht="15" customHeight="1">
      <c r="A151" s="154"/>
      <c r="B151" s="133"/>
      <c r="C151" s="144" t="s">
        <v>881</v>
      </c>
      <c r="D151" s="156">
        <f>+'agingปัจจุบันส่ง(ส่งบัญชี)'!P1912</f>
        <v>502.90000000000009</v>
      </c>
      <c r="E151" s="131"/>
      <c r="F151" s="132"/>
      <c r="G151" s="129">
        <v>224.70000000000002</v>
      </c>
      <c r="H151" s="156">
        <f t="shared" si="2"/>
        <v>278.20000000000005</v>
      </c>
      <c r="I151" s="129"/>
    </row>
    <row r="152" spans="1:9" ht="15" customHeight="1">
      <c r="A152" s="154"/>
      <c r="B152" s="133"/>
      <c r="C152" s="144" t="s">
        <v>895</v>
      </c>
      <c r="D152" s="171" t="s">
        <v>629</v>
      </c>
      <c r="E152" s="131"/>
      <c r="F152" s="135"/>
      <c r="G152" s="170" t="s">
        <v>629</v>
      </c>
      <c r="H152" s="156">
        <v>0</v>
      </c>
      <c r="I152" s="129"/>
    </row>
    <row r="153" spans="1:9" ht="15" customHeight="1">
      <c r="A153" s="154"/>
      <c r="B153" s="133"/>
      <c r="C153" s="144" t="s">
        <v>897</v>
      </c>
      <c r="D153" s="156">
        <f>+'agingปัจจุบันส่ง(ส่งบัญชี)'!P1938</f>
        <v>28958.15</v>
      </c>
      <c r="E153" s="131"/>
      <c r="F153" s="132"/>
      <c r="G153" s="129">
        <v>28958.15</v>
      </c>
      <c r="H153" s="156">
        <f t="shared" si="2"/>
        <v>0</v>
      </c>
      <c r="I153" s="129"/>
    </row>
    <row r="154" spans="1:9" ht="15" customHeight="1">
      <c r="A154" s="154"/>
      <c r="B154" s="133"/>
      <c r="C154" s="144" t="s">
        <v>904</v>
      </c>
      <c r="D154" s="161">
        <f>+'agingปัจจุบันส่ง(ส่งบัญชี)'!P1942</f>
        <v>57055.05</v>
      </c>
      <c r="E154" s="131">
        <f>SUM(D143:D154)</f>
        <v>9071978.6927102804</v>
      </c>
      <c r="F154" s="132"/>
      <c r="G154" s="129">
        <v>57055.05</v>
      </c>
      <c r="H154" s="156">
        <f t="shared" si="2"/>
        <v>0</v>
      </c>
      <c r="I154" s="129"/>
    </row>
    <row r="155" spans="1:9" ht="15" customHeight="1" thickBot="1">
      <c r="A155" s="154">
        <f>+A141+1</f>
        <v>15</v>
      </c>
      <c r="B155" s="126" t="s">
        <v>3</v>
      </c>
      <c r="C155" s="144"/>
      <c r="D155" s="156"/>
      <c r="E155" s="131"/>
      <c r="F155" s="132"/>
      <c r="G155" s="1311"/>
      <c r="H155" s="156"/>
      <c r="I155" s="1315">
        <f>+E154-G155</f>
        <v>9071978.6927102804</v>
      </c>
    </row>
    <row r="156" spans="1:9" ht="15" customHeight="1" thickTop="1">
      <c r="A156" s="154"/>
      <c r="B156" s="133"/>
      <c r="C156" s="141" t="str">
        <f>+C7</f>
        <v>รายได้ค้างรับประจำเดือนกรกฎาคม 2569</v>
      </c>
      <c r="D156" s="156"/>
      <c r="E156" s="131"/>
      <c r="F156" s="132"/>
      <c r="H156" s="156">
        <f t="shared" si="2"/>
        <v>0</v>
      </c>
      <c r="I156" s="129"/>
    </row>
    <row r="157" spans="1:9" ht="15" customHeight="1">
      <c r="A157" s="154"/>
      <c r="B157" s="133"/>
      <c r="C157" s="144" t="s">
        <v>906</v>
      </c>
      <c r="D157" s="156">
        <f>+'agingปัจจุบันส่ง(ส่งบัญชี)'!P2055</f>
        <v>945230.51</v>
      </c>
      <c r="E157" s="131"/>
      <c r="F157" s="132"/>
      <c r="G157" s="129">
        <v>1084115.95</v>
      </c>
      <c r="H157" s="1310">
        <f t="shared" si="2"/>
        <v>-138885.43999999994</v>
      </c>
      <c r="I157" s="129"/>
    </row>
    <row r="158" spans="1:9" ht="15" customHeight="1">
      <c r="A158" s="154"/>
      <c r="B158" s="133"/>
      <c r="C158" s="141" t="s">
        <v>892</v>
      </c>
      <c r="D158" s="156">
        <f>+'agingปัจจุบันส่ง(ส่งบัญชี)'!P2100</f>
        <v>175163</v>
      </c>
      <c r="E158" s="131"/>
      <c r="F158" s="132"/>
      <c r="G158" s="129">
        <v>191210</v>
      </c>
      <c r="H158" s="1310">
        <f t="shared" si="2"/>
        <v>-16047</v>
      </c>
      <c r="I158" s="129"/>
    </row>
    <row r="159" spans="1:9" ht="15" customHeight="1">
      <c r="A159" s="154"/>
      <c r="B159" s="133"/>
      <c r="C159" s="159" t="s">
        <v>896</v>
      </c>
      <c r="D159" s="156">
        <f>+'agingปัจจุบันส่ง(ส่งบัญชี)'!P2105</f>
        <v>0</v>
      </c>
      <c r="E159" s="131"/>
      <c r="F159" s="132"/>
      <c r="G159" s="129">
        <v>0</v>
      </c>
      <c r="H159" s="156">
        <f t="shared" si="2"/>
        <v>0</v>
      </c>
      <c r="I159" s="129"/>
    </row>
    <row r="160" spans="1:9" ht="15" customHeight="1">
      <c r="A160" s="154"/>
      <c r="B160" s="133"/>
      <c r="C160" s="144" t="s">
        <v>887</v>
      </c>
      <c r="D160" s="156">
        <f>+'agingปัจจุบันส่ง(ส่งบัญชี)'!P2110</f>
        <v>0</v>
      </c>
      <c r="E160" s="131"/>
      <c r="F160" s="132"/>
      <c r="G160" s="129">
        <v>0</v>
      </c>
      <c r="H160" s="156">
        <f t="shared" si="2"/>
        <v>0</v>
      </c>
      <c r="I160" s="129"/>
    </row>
    <row r="161" spans="1:9" ht="15" customHeight="1">
      <c r="A161" s="154"/>
      <c r="B161" s="133"/>
      <c r="C161" s="144" t="s">
        <v>888</v>
      </c>
      <c r="D161" s="156">
        <f>+'agingปัจจุบันส่ง(ส่งบัญชี)'!P2116</f>
        <v>1926</v>
      </c>
      <c r="E161" s="131"/>
      <c r="F161" s="132"/>
      <c r="G161" s="129">
        <v>642</v>
      </c>
      <c r="H161" s="1310">
        <f t="shared" si="2"/>
        <v>1284</v>
      </c>
      <c r="I161" s="129"/>
    </row>
    <row r="162" spans="1:9" ht="15" customHeight="1">
      <c r="A162" s="154"/>
      <c r="B162" s="133"/>
      <c r="C162" s="144" t="s">
        <v>880</v>
      </c>
      <c r="D162" s="156">
        <f>+'agingปัจจุบันส่ง(ส่งบัญชี)'!P2197</f>
        <v>206954.07869999931</v>
      </c>
      <c r="E162" s="131"/>
      <c r="F162" s="132"/>
      <c r="G162" s="129">
        <v>195509.4031999993</v>
      </c>
      <c r="H162" s="1310">
        <f t="shared" si="2"/>
        <v>11444.675500000012</v>
      </c>
      <c r="I162" s="129"/>
    </row>
    <row r="163" spans="1:9" ht="15" customHeight="1">
      <c r="A163" s="154"/>
      <c r="B163" s="133"/>
      <c r="C163" s="144" t="s">
        <v>900</v>
      </c>
      <c r="D163" s="156"/>
      <c r="E163" s="156"/>
      <c r="F163" s="132"/>
      <c r="H163" s="156">
        <f t="shared" si="2"/>
        <v>0</v>
      </c>
      <c r="I163" s="129"/>
    </row>
    <row r="164" spans="1:9" ht="15" customHeight="1">
      <c r="A164" s="154"/>
      <c r="B164" s="133"/>
      <c r="C164" s="144" t="s">
        <v>879</v>
      </c>
      <c r="D164" s="156">
        <f>+'agingปัจจุบันส่ง(ส่งบัญชี)'!P2258</f>
        <v>773589</v>
      </c>
      <c r="E164" s="156"/>
      <c r="F164" s="132"/>
      <c r="G164" s="129">
        <v>1082525</v>
      </c>
      <c r="H164" s="1310">
        <f t="shared" si="2"/>
        <v>-308936</v>
      </c>
      <c r="I164" s="129"/>
    </row>
    <row r="165" spans="1:9" ht="15" customHeight="1">
      <c r="A165" s="154"/>
      <c r="B165" s="133"/>
      <c r="C165" s="144" t="s">
        <v>881</v>
      </c>
      <c r="D165" s="156">
        <f>+'agingปัจจุบันส่ง(ส่งบัญชี)'!P2343</f>
        <v>7704</v>
      </c>
      <c r="E165" s="156"/>
      <c r="F165" s="132"/>
      <c r="G165" s="129">
        <v>8025</v>
      </c>
      <c r="H165" s="1310">
        <f t="shared" si="2"/>
        <v>-321</v>
      </c>
      <c r="I165" s="129"/>
    </row>
    <row r="166" spans="1:9" ht="15" customHeight="1">
      <c r="A166" s="154"/>
      <c r="B166" s="133"/>
      <c r="C166" s="144" t="s">
        <v>216</v>
      </c>
      <c r="D166" s="156">
        <f>+'agingปัจจุบันส่ง(ส่งบัญชี)'!P2843</f>
        <v>2933.66</v>
      </c>
      <c r="E166" s="156"/>
      <c r="F166" s="132"/>
      <c r="G166" s="129">
        <v>2577</v>
      </c>
      <c r="H166" s="1310">
        <f t="shared" si="2"/>
        <v>356.65999999999985</v>
      </c>
      <c r="I166" s="129"/>
    </row>
    <row r="167" spans="1:9" ht="15" customHeight="1">
      <c r="A167" s="154"/>
      <c r="B167" s="133"/>
      <c r="C167" s="144" t="s">
        <v>886</v>
      </c>
      <c r="D167" s="156">
        <f>+'agingปัจจุบันส่ง(ส่งบัญชี)'!P2850</f>
        <v>1249</v>
      </c>
      <c r="E167" s="156"/>
      <c r="F167" s="132"/>
      <c r="G167" s="129">
        <v>1249</v>
      </c>
      <c r="H167" s="156">
        <f t="shared" si="2"/>
        <v>0</v>
      </c>
      <c r="I167" s="129"/>
    </row>
    <row r="168" spans="1:9" ht="15" customHeight="1">
      <c r="A168" s="154"/>
      <c r="B168" s="133"/>
      <c r="C168" s="144" t="s">
        <v>882</v>
      </c>
      <c r="D168" s="156">
        <f>+'agingปัจจุบันส่ง(ส่งบัญชี)'!P2307</f>
        <v>33726.400000000001</v>
      </c>
      <c r="E168" s="131"/>
      <c r="F168" s="132"/>
      <c r="G168" s="129">
        <v>37022</v>
      </c>
      <c r="H168" s="1310">
        <f t="shared" si="2"/>
        <v>-3295.5999999999985</v>
      </c>
      <c r="I168" s="129"/>
    </row>
    <row r="169" spans="1:9" ht="15" customHeight="1">
      <c r="A169" s="154"/>
      <c r="B169" s="133"/>
      <c r="C169" s="141" t="s">
        <v>890</v>
      </c>
      <c r="D169" s="161">
        <f>+'agingปัจจุบันส่ง(ส่งบัญชี)'!P2820</f>
        <v>47326.1</v>
      </c>
      <c r="E169" s="131">
        <f>SUM(D157:D169)</f>
        <v>2195801.7486999994</v>
      </c>
      <c r="F169" s="132"/>
      <c r="G169" s="129">
        <v>18896.2</v>
      </c>
      <c r="H169" s="156">
        <f t="shared" si="2"/>
        <v>28429.899999999998</v>
      </c>
      <c r="I169" s="129"/>
    </row>
    <row r="170" spans="1:9" ht="15" customHeight="1" thickBot="1">
      <c r="A170" s="154">
        <f>+A155+1</f>
        <v>16</v>
      </c>
      <c r="B170" s="133" t="s">
        <v>142</v>
      </c>
      <c r="C170" s="141"/>
      <c r="D170" s="156"/>
      <c r="E170" s="131"/>
      <c r="F170" s="132"/>
      <c r="G170" s="1311"/>
      <c r="H170" s="156"/>
      <c r="I170" s="1315">
        <f>+E169-G170</f>
        <v>2195801.7486999994</v>
      </c>
    </row>
    <row r="171" spans="1:9" ht="15" customHeight="1" thickTop="1">
      <c r="A171" s="154"/>
      <c r="B171" s="133"/>
      <c r="C171" s="141" t="str">
        <f>+C7</f>
        <v>รายได้ค้างรับประจำเดือนกรกฎาคม 2569</v>
      </c>
      <c r="D171" s="156"/>
      <c r="E171" s="131"/>
      <c r="F171" s="132"/>
      <c r="H171" s="156">
        <f t="shared" si="2"/>
        <v>0</v>
      </c>
      <c r="I171" s="129"/>
    </row>
    <row r="172" spans="1:9" ht="15" customHeight="1">
      <c r="A172" s="154"/>
      <c r="B172" s="133"/>
      <c r="C172" s="144" t="s">
        <v>906</v>
      </c>
      <c r="D172" s="156">
        <f>+'agingปัจจุบันส่ง(ส่งบัญชี)'!P2881</f>
        <v>663300</v>
      </c>
      <c r="E172" s="131"/>
      <c r="F172" s="132"/>
      <c r="G172" s="129">
        <v>831900</v>
      </c>
      <c r="H172" s="1310">
        <f t="shared" si="2"/>
        <v>-168600</v>
      </c>
      <c r="I172" s="129"/>
    </row>
    <row r="173" spans="1:9" ht="15" customHeight="1">
      <c r="A173" s="154"/>
      <c r="B173" s="133"/>
      <c r="C173" s="144" t="s">
        <v>881</v>
      </c>
      <c r="D173" s="156">
        <f>+'agingปัจจุบันส่ง(ส่งบัญชี)'!P2884</f>
        <v>20000</v>
      </c>
      <c r="E173" s="131"/>
      <c r="F173" s="132"/>
      <c r="G173" s="129">
        <v>20000</v>
      </c>
      <c r="H173" s="156">
        <f t="shared" si="2"/>
        <v>0</v>
      </c>
      <c r="I173" s="129"/>
    </row>
    <row r="174" spans="1:9" ht="15" customHeight="1">
      <c r="A174" s="154"/>
      <c r="B174" s="133"/>
      <c r="C174" s="144" t="s">
        <v>888</v>
      </c>
      <c r="D174" s="156">
        <f>+'agingปัจจุบันส่ง(ส่งบัญชี)'!P2887</f>
        <v>0</v>
      </c>
      <c r="E174" s="131"/>
      <c r="F174" s="132"/>
      <c r="G174" s="129">
        <v>0</v>
      </c>
      <c r="H174" s="156">
        <f t="shared" si="2"/>
        <v>0</v>
      </c>
      <c r="I174" s="129"/>
    </row>
    <row r="175" spans="1:9" ht="15" customHeight="1">
      <c r="A175" s="154"/>
      <c r="B175" s="133"/>
      <c r="C175" s="141" t="s">
        <v>890</v>
      </c>
      <c r="D175" s="156">
        <f>+'agingปัจจุบันส่ง(ส่งบัญชี)'!P2890</f>
        <v>0</v>
      </c>
      <c r="E175" s="131"/>
      <c r="F175" s="132"/>
      <c r="G175" s="129">
        <v>0</v>
      </c>
      <c r="H175" s="156">
        <f t="shared" si="2"/>
        <v>0</v>
      </c>
      <c r="I175" s="129"/>
    </row>
    <row r="176" spans="1:9" ht="15" customHeight="1">
      <c r="A176" s="154"/>
      <c r="B176" s="133"/>
      <c r="C176" s="142" t="s">
        <v>905</v>
      </c>
      <c r="D176" s="161">
        <f>+'agingปัจจุบันส่ง(ส่งบัญชี)'!P2893</f>
        <v>0</v>
      </c>
      <c r="E176" s="131">
        <f>SUM(D172:D176)</f>
        <v>683300</v>
      </c>
      <c r="F176" s="132"/>
      <c r="G176" s="129">
        <v>0</v>
      </c>
      <c r="H176" s="156">
        <f t="shared" si="2"/>
        <v>0</v>
      </c>
      <c r="I176" s="129"/>
    </row>
    <row r="177" spans="1:9" ht="15" customHeight="1" thickBot="1">
      <c r="A177" s="154">
        <f>+A170+1</f>
        <v>17</v>
      </c>
      <c r="B177" s="126" t="s">
        <v>107</v>
      </c>
      <c r="C177" s="144"/>
      <c r="D177" s="172"/>
      <c r="E177" s="156"/>
      <c r="F177" s="132"/>
      <c r="G177" s="1311"/>
      <c r="H177" s="156"/>
      <c r="I177" s="1315">
        <f>+E176-G177</f>
        <v>683300</v>
      </c>
    </row>
    <row r="178" spans="1:9" ht="15" customHeight="1" thickTop="1">
      <c r="A178" s="154"/>
      <c r="B178" s="133"/>
      <c r="C178" s="141" t="str">
        <f>+C25</f>
        <v>รายได้ค้างรับประจำเดือนกรกฎาคม 2569</v>
      </c>
      <c r="D178" s="127"/>
      <c r="E178" s="156"/>
      <c r="F178" s="132"/>
      <c r="H178" s="156">
        <f t="shared" si="2"/>
        <v>0</v>
      </c>
      <c r="I178" s="129"/>
    </row>
    <row r="179" spans="1:9" ht="15" customHeight="1">
      <c r="A179" s="154"/>
      <c r="B179" s="133"/>
      <c r="C179" s="144" t="s">
        <v>906</v>
      </c>
      <c r="D179" s="127">
        <f>+'agingปัจจุบันส่ง(ส่งบัญชี)'!P2914</f>
        <v>1300600.02</v>
      </c>
      <c r="E179" s="156"/>
      <c r="F179" s="132"/>
      <c r="G179" s="129">
        <v>1272880.02</v>
      </c>
      <c r="H179" s="156">
        <f t="shared" si="2"/>
        <v>27720</v>
      </c>
      <c r="I179" s="129"/>
    </row>
    <row r="180" spans="1:9" ht="15" customHeight="1">
      <c r="A180" s="154"/>
      <c r="B180" s="133"/>
      <c r="C180" s="141" t="s">
        <v>892</v>
      </c>
      <c r="D180" s="127">
        <f>+'agingปัจจุบันส่ง(ส่งบัญชี)'!P2925</f>
        <v>148318.34999999998</v>
      </c>
      <c r="E180" s="156"/>
      <c r="F180" s="132"/>
      <c r="G180" s="129">
        <v>148318.34999999998</v>
      </c>
      <c r="H180" s="156">
        <f t="shared" si="2"/>
        <v>0</v>
      </c>
      <c r="I180" s="129"/>
    </row>
    <row r="181" spans="1:9" ht="15" customHeight="1">
      <c r="A181" s="154"/>
      <c r="B181" s="133"/>
      <c r="C181" s="141" t="s">
        <v>907</v>
      </c>
      <c r="D181" s="127">
        <v>0</v>
      </c>
      <c r="E181" s="156"/>
      <c r="F181" s="132"/>
      <c r="G181" s="129">
        <v>0</v>
      </c>
      <c r="H181" s="156">
        <f t="shared" si="2"/>
        <v>0</v>
      </c>
      <c r="I181" s="129"/>
    </row>
    <row r="182" spans="1:9" ht="15" customHeight="1">
      <c r="A182" s="154"/>
      <c r="B182" s="133"/>
      <c r="C182" s="144" t="s">
        <v>887</v>
      </c>
      <c r="D182" s="127">
        <f>+'agingปัจจุบันส่ง(ส่งบัญชี)'!P2938</f>
        <v>619.9775999999988</v>
      </c>
      <c r="E182" s="156"/>
      <c r="F182" s="132"/>
      <c r="G182" s="129">
        <v>93330</v>
      </c>
      <c r="H182" s="1310">
        <f t="shared" si="2"/>
        <v>-92710.022400000002</v>
      </c>
      <c r="I182" s="129"/>
    </row>
    <row r="183" spans="1:9" ht="15" customHeight="1">
      <c r="A183" s="154"/>
      <c r="B183" s="133"/>
      <c r="C183" s="144" t="s">
        <v>879</v>
      </c>
      <c r="D183" s="127">
        <f>+'agingปัจจุบันส่ง(ส่งบัญชี)'!P2929</f>
        <v>0</v>
      </c>
      <c r="E183" s="156"/>
      <c r="F183" s="132"/>
      <c r="G183" s="129">
        <v>54000</v>
      </c>
      <c r="H183" s="1310">
        <f t="shared" si="2"/>
        <v>-54000</v>
      </c>
      <c r="I183" s="129"/>
    </row>
    <row r="184" spans="1:9" ht="15" customHeight="1">
      <c r="A184" s="154"/>
      <c r="B184" s="133"/>
      <c r="C184" s="144" t="s">
        <v>888</v>
      </c>
      <c r="D184" s="127">
        <f>+'agingปัจจุบันส่ง(ส่งบัญชี)'!P2946</f>
        <v>9767.5500000000011</v>
      </c>
      <c r="E184" s="156"/>
      <c r="F184" s="132"/>
      <c r="G184" s="129">
        <v>8362.0500000000029</v>
      </c>
      <c r="H184" s="156">
        <f t="shared" si="2"/>
        <v>1405.4999999999982</v>
      </c>
      <c r="I184" s="129"/>
    </row>
    <row r="185" spans="1:9" ht="15" customHeight="1">
      <c r="A185" s="154"/>
      <c r="B185" s="133"/>
      <c r="C185" s="144" t="s">
        <v>900</v>
      </c>
      <c r="D185" s="127">
        <f>+'agingปัจจุบันส่ง(ส่งบัญชี)'!P2975</f>
        <v>0</v>
      </c>
      <c r="E185" s="156"/>
      <c r="F185" s="132"/>
      <c r="G185" s="129">
        <v>0</v>
      </c>
      <c r="H185" s="156">
        <f t="shared" si="2"/>
        <v>0</v>
      </c>
      <c r="I185" s="129"/>
    </row>
    <row r="186" spans="1:9" ht="15" customHeight="1">
      <c r="A186" s="154"/>
      <c r="B186" s="133"/>
      <c r="C186" s="144" t="s">
        <v>889</v>
      </c>
      <c r="D186" s="127">
        <f>+'agingปัจจุบันส่ง(ส่งบัญชี)'!P2982</f>
        <v>0</v>
      </c>
      <c r="E186" s="156"/>
      <c r="F186" s="132"/>
      <c r="G186" s="129">
        <v>0</v>
      </c>
      <c r="H186" s="156">
        <f t="shared" si="2"/>
        <v>0</v>
      </c>
      <c r="I186" s="129"/>
    </row>
    <row r="187" spans="1:9" ht="15" customHeight="1">
      <c r="A187" s="154"/>
      <c r="B187" s="133"/>
      <c r="C187" s="144" t="s">
        <v>880</v>
      </c>
      <c r="D187" s="127">
        <f>+'agingปัจจุบันส่ง(ส่งบัญชี)'!P2933</f>
        <v>0</v>
      </c>
      <c r="E187" s="156"/>
      <c r="F187" s="132"/>
      <c r="G187" s="129">
        <v>10700</v>
      </c>
      <c r="H187" s="156">
        <f t="shared" si="2"/>
        <v>-10700</v>
      </c>
      <c r="I187" s="129"/>
    </row>
    <row r="188" spans="1:9" ht="15" customHeight="1">
      <c r="A188" s="154"/>
      <c r="B188" s="133"/>
      <c r="C188" s="144" t="s">
        <v>882</v>
      </c>
      <c r="D188" s="127">
        <f>+'agingปัจจุบันส่ง(ส่งบัญชี)'!P2978</f>
        <v>0</v>
      </c>
      <c r="E188" s="156"/>
      <c r="F188" s="132"/>
      <c r="G188" s="129">
        <v>0</v>
      </c>
      <c r="H188" s="156">
        <f t="shared" si="2"/>
        <v>0</v>
      </c>
      <c r="I188" s="129"/>
    </row>
    <row r="189" spans="1:9" ht="15" customHeight="1">
      <c r="A189" s="154"/>
      <c r="B189" s="133"/>
      <c r="C189" s="144" t="s">
        <v>881</v>
      </c>
      <c r="D189" s="127">
        <f>+'agingปัจจุบันส่ง(ส่งบัญชี)'!P2971</f>
        <v>151001.70000000001</v>
      </c>
      <c r="E189" s="156"/>
      <c r="F189" s="132"/>
      <c r="G189" s="129">
        <v>192164.6</v>
      </c>
      <c r="H189" s="1310">
        <f t="shared" si="2"/>
        <v>-41162.899999999994</v>
      </c>
      <c r="I189" s="129"/>
    </row>
    <row r="190" spans="1:9" ht="15" customHeight="1">
      <c r="A190" s="154"/>
      <c r="B190" s="133"/>
      <c r="C190" s="144" t="s">
        <v>901</v>
      </c>
      <c r="D190" s="127">
        <f>+'agingปัจจุบันส่ง(ส่งบัญชี)'!P2973</f>
        <v>0</v>
      </c>
      <c r="E190" s="156"/>
      <c r="F190" s="132"/>
      <c r="G190" s="129">
        <v>0</v>
      </c>
      <c r="H190" s="156">
        <f t="shared" si="2"/>
        <v>0</v>
      </c>
      <c r="I190" s="129"/>
    </row>
    <row r="191" spans="1:9" ht="15" customHeight="1">
      <c r="A191" s="154"/>
      <c r="B191" s="133"/>
      <c r="C191" s="144" t="s">
        <v>895</v>
      </c>
      <c r="D191" s="171" t="s">
        <v>629</v>
      </c>
      <c r="E191" s="131"/>
      <c r="F191" s="135"/>
      <c r="G191" s="170" t="s">
        <v>629</v>
      </c>
      <c r="H191" s="156">
        <v>0</v>
      </c>
      <c r="I191" s="129"/>
    </row>
    <row r="192" spans="1:9" ht="15" customHeight="1">
      <c r="A192" s="154"/>
      <c r="B192" s="133"/>
      <c r="C192" s="142" t="s">
        <v>897</v>
      </c>
      <c r="D192" s="156">
        <f>+'agingปัจจุบันส่ง(ส่งบัญชี)'!P2988</f>
        <v>0</v>
      </c>
      <c r="E192" s="127"/>
      <c r="F192" s="129"/>
      <c r="G192" s="129">
        <v>1266.8800000000001</v>
      </c>
      <c r="H192" s="1310">
        <f t="shared" si="2"/>
        <v>-1266.8800000000001</v>
      </c>
      <c r="I192" s="129"/>
    </row>
    <row r="193" spans="1:9" ht="15" customHeight="1">
      <c r="A193" s="154"/>
      <c r="B193" s="133"/>
      <c r="C193" s="142" t="s">
        <v>893</v>
      </c>
      <c r="D193" s="162">
        <f>+'agingปัจจุบันส่ง(ส่งบัญชี)'!P3007</f>
        <v>124293.35000000003</v>
      </c>
      <c r="E193" s="127">
        <f>SUM(D179:D193)</f>
        <v>1734600.9476000003</v>
      </c>
      <c r="F193" s="129"/>
      <c r="G193" s="129">
        <v>21660.34</v>
      </c>
      <c r="H193" s="1310">
        <f t="shared" si="2"/>
        <v>102633.01000000004</v>
      </c>
      <c r="I193" s="129"/>
    </row>
    <row r="194" spans="1:9" ht="15" customHeight="1" thickBot="1">
      <c r="A194" s="154">
        <f>+A177+1</f>
        <v>18</v>
      </c>
      <c r="B194" s="133" t="s">
        <v>42</v>
      </c>
      <c r="C194" s="141"/>
      <c r="D194" s="156"/>
      <c r="E194" s="156"/>
      <c r="F194" s="132"/>
      <c r="G194" s="1311"/>
      <c r="H194" s="156"/>
      <c r="I194" s="1315">
        <f>+E193-G194</f>
        <v>1734600.9476000003</v>
      </c>
    </row>
    <row r="195" spans="1:9" ht="15" customHeight="1" thickTop="1">
      <c r="A195" s="154"/>
      <c r="B195" s="133"/>
      <c r="C195" s="141" t="str">
        <f>+C25</f>
        <v>รายได้ค้างรับประจำเดือนกรกฎาคม 2569</v>
      </c>
      <c r="D195" s="156"/>
      <c r="E195" s="156"/>
      <c r="F195" s="132"/>
      <c r="H195" s="156">
        <f t="shared" si="2"/>
        <v>0</v>
      </c>
      <c r="I195" s="129"/>
    </row>
    <row r="196" spans="1:9" ht="15" customHeight="1">
      <c r="A196" s="154"/>
      <c r="B196" s="133"/>
      <c r="C196" s="144" t="s">
        <v>906</v>
      </c>
      <c r="D196" s="156">
        <f>+'agingปัจจุบันส่ง(ส่งบัญชี)'!P3029</f>
        <v>673816.44</v>
      </c>
      <c r="E196" s="131"/>
      <c r="F196" s="132"/>
      <c r="G196" s="129">
        <v>659306.43999999994</v>
      </c>
      <c r="H196" s="156">
        <f t="shared" si="2"/>
        <v>14510</v>
      </c>
      <c r="I196" s="129"/>
    </row>
    <row r="197" spans="1:9" ht="15" customHeight="1">
      <c r="A197" s="154"/>
      <c r="B197" s="133"/>
      <c r="C197" s="141" t="s">
        <v>892</v>
      </c>
      <c r="D197" s="156">
        <f>+'agingปัจจุบันส่ง(ส่งบัญชี)'!P3034</f>
        <v>0</v>
      </c>
      <c r="E197" s="131"/>
      <c r="F197" s="132"/>
      <c r="G197" s="129">
        <v>0</v>
      </c>
      <c r="H197" s="156">
        <f t="shared" si="2"/>
        <v>0</v>
      </c>
      <c r="I197" s="129"/>
    </row>
    <row r="198" spans="1:9" ht="15" customHeight="1">
      <c r="A198" s="154"/>
      <c r="B198" s="133"/>
      <c r="C198" s="144" t="s">
        <v>887</v>
      </c>
      <c r="D198" s="156">
        <f>+'agingปัจจุบันส่ง(ส่งบัญชี)'!P3043</f>
        <v>0</v>
      </c>
      <c r="E198" s="131"/>
      <c r="F198" s="132"/>
      <c r="G198" s="129">
        <v>0</v>
      </c>
      <c r="H198" s="156">
        <f t="shared" si="2"/>
        <v>0</v>
      </c>
      <c r="I198" s="129"/>
    </row>
    <row r="199" spans="1:9" ht="15" customHeight="1">
      <c r="A199" s="154"/>
      <c r="B199" s="133"/>
      <c r="C199" s="144" t="s">
        <v>900</v>
      </c>
      <c r="D199" s="156">
        <f>+'agingปัจจุบันส่ง(ส่งบัญชี)'!P3036</f>
        <v>0</v>
      </c>
      <c r="E199" s="131"/>
      <c r="F199" s="132"/>
      <c r="G199" s="129">
        <v>0</v>
      </c>
      <c r="H199" s="156">
        <f t="shared" si="2"/>
        <v>0</v>
      </c>
      <c r="I199" s="129"/>
    </row>
    <row r="200" spans="1:9" ht="15" customHeight="1">
      <c r="A200" s="154"/>
      <c r="B200" s="133"/>
      <c r="C200" s="144" t="s">
        <v>881</v>
      </c>
      <c r="D200" s="156">
        <f>+'agingปัจจุบันส่ง(ส่งบัญชี)'!P3037</f>
        <v>0</v>
      </c>
      <c r="E200" s="131"/>
      <c r="F200" s="132"/>
      <c r="G200" s="129">
        <v>0</v>
      </c>
      <c r="H200" s="156">
        <f t="shared" si="2"/>
        <v>0</v>
      </c>
      <c r="I200" s="129"/>
    </row>
    <row r="201" spans="1:9" ht="15" customHeight="1">
      <c r="A201" s="154"/>
      <c r="B201" s="133"/>
      <c r="C201" s="144" t="s">
        <v>882</v>
      </c>
      <c r="D201" s="156">
        <f>+'agingปัจจุบันส่ง(ส่งบัญชี)'!P3038</f>
        <v>0</v>
      </c>
      <c r="E201" s="131"/>
      <c r="F201" s="132"/>
      <c r="G201" s="129">
        <v>0</v>
      </c>
      <c r="H201" s="156">
        <f>+D201-G201</f>
        <v>0</v>
      </c>
      <c r="I201" s="129"/>
    </row>
    <row r="202" spans="1:9" ht="15" customHeight="1">
      <c r="A202" s="154"/>
      <c r="B202" s="133"/>
      <c r="C202" s="144" t="s">
        <v>880</v>
      </c>
      <c r="D202" s="156">
        <f>+'agingปัจจุบันส่ง(ส่งบัญชี)'!P3051</f>
        <v>0</v>
      </c>
      <c r="E202" s="131"/>
      <c r="F202" s="132"/>
      <c r="G202" s="129">
        <v>0</v>
      </c>
      <c r="H202" s="1310">
        <f>+D202-G202</f>
        <v>0</v>
      </c>
      <c r="I202" s="129"/>
    </row>
    <row r="203" spans="1:9" ht="15" customHeight="1">
      <c r="A203" s="154"/>
      <c r="B203" s="133"/>
      <c r="C203" s="144" t="s">
        <v>888</v>
      </c>
      <c r="D203" s="156">
        <f>+'agingปัจจุบันส่ง(ส่งบัญชี)'!P3045</f>
        <v>0</v>
      </c>
      <c r="E203" s="131"/>
      <c r="F203" s="132"/>
      <c r="G203" s="129">
        <v>0</v>
      </c>
      <c r="H203" s="156">
        <f>+D203-G203</f>
        <v>0</v>
      </c>
      <c r="I203" s="129"/>
    </row>
    <row r="204" spans="1:9" ht="15" customHeight="1">
      <c r="A204" s="154"/>
      <c r="B204" s="134"/>
      <c r="C204" s="144" t="s">
        <v>879</v>
      </c>
      <c r="D204" s="156">
        <f>+'agingปัจจุบันส่ง(ส่งบัญชี)'!P3060</f>
        <v>197300</v>
      </c>
      <c r="E204" s="131"/>
      <c r="F204" s="132"/>
      <c r="G204" s="129">
        <v>197300</v>
      </c>
      <c r="H204" s="156">
        <f>+D204-G204</f>
        <v>0</v>
      </c>
      <c r="I204" s="129"/>
    </row>
    <row r="205" spans="1:9" ht="15" customHeight="1">
      <c r="A205" s="121"/>
      <c r="B205" s="173"/>
      <c r="C205" s="174" t="s">
        <v>905</v>
      </c>
      <c r="D205" s="161">
        <f>+'agingปัจจุบันส่ง(ส่งบัญชี)'!P3063</f>
        <v>7596.82</v>
      </c>
      <c r="E205" s="136">
        <f>SUM(D196:D205)</f>
        <v>878713.25999999989</v>
      </c>
      <c r="F205" s="132"/>
      <c r="G205" s="129">
        <v>7596.82</v>
      </c>
      <c r="H205" s="156">
        <f>+D205-G205</f>
        <v>0</v>
      </c>
      <c r="I205" s="129"/>
    </row>
    <row r="206" spans="1:9" ht="15" customHeight="1" thickBot="1">
      <c r="C206" s="175"/>
      <c r="D206" s="176" t="s">
        <v>26</v>
      </c>
      <c r="E206" s="1313">
        <f>SUM(E7:E205)</f>
        <v>66770177.248010278</v>
      </c>
      <c r="F206" s="132"/>
      <c r="G206" s="1311">
        <f>SUM(G196:G205)</f>
        <v>864203.25999999989</v>
      </c>
      <c r="H206" s="156"/>
      <c r="I206" s="1315">
        <f>+E205-G206</f>
        <v>14510</v>
      </c>
    </row>
    <row r="207" spans="1:9" ht="15" customHeight="1" thickTop="1"/>
    <row r="208" spans="1:9" ht="15" customHeight="1">
      <c r="A208" s="177" t="s">
        <v>1149</v>
      </c>
      <c r="B208" s="144"/>
      <c r="C208" s="144"/>
      <c r="E208" s="157">
        <f>+'agingปัจจุบันส่ง(ส่งบัญชี)'!J3068-E206</f>
        <v>0</v>
      </c>
      <c r="F208" s="157"/>
      <c r="G208" s="1314">
        <f>+G23+G38+G58+G69+G95+G101+G110+G119+G141+G155+G170+G177+G194+G206</f>
        <v>864203.25999999989</v>
      </c>
      <c r="H208" s="166"/>
      <c r="I208" s="178"/>
    </row>
    <row r="209" spans="1:10" ht="15" customHeight="1">
      <c r="A209" s="179"/>
      <c r="B209" s="144"/>
      <c r="C209" s="144"/>
      <c r="I209" s="165">
        <f>SUM(I22:I208)</f>
        <v>65905973.98801028</v>
      </c>
    </row>
    <row r="210" spans="1:10" ht="21">
      <c r="A210" s="179"/>
      <c r="B210" s="144"/>
      <c r="C210" s="144"/>
      <c r="D210" s="132"/>
      <c r="G210" s="1316" t="s">
        <v>3325</v>
      </c>
      <c r="H210" s="1312">
        <f>+E206-G208</f>
        <v>65905973.98801028</v>
      </c>
    </row>
    <row r="211" spans="1:10" ht="16.5" customHeight="1">
      <c r="A211" s="179"/>
      <c r="B211" s="144"/>
      <c r="C211" s="144"/>
      <c r="D211" s="132"/>
      <c r="G211" s="132"/>
      <c r="H211" s="132"/>
      <c r="I211" s="141"/>
      <c r="J211" s="142"/>
    </row>
    <row r="212" spans="1:10" ht="15" customHeight="1">
      <c r="A212" s="180"/>
      <c r="B212" s="144"/>
      <c r="C212" s="144"/>
      <c r="D212" s="132"/>
    </row>
    <row r="213" spans="1:10" ht="15" customHeight="1">
      <c r="A213" s="144"/>
      <c r="B213" s="144"/>
      <c r="C213" s="144"/>
      <c r="D213" s="132"/>
      <c r="E213" s="158">
        <f>+'agingปัจจุบันส่ง(ส่งบัญชี)'!J3068-E206</f>
        <v>0</v>
      </c>
      <c r="F213" s="158"/>
    </row>
    <row r="214" spans="1:10" ht="15" customHeight="1">
      <c r="A214" s="144"/>
      <c r="B214" s="144"/>
      <c r="C214" s="144"/>
    </row>
    <row r="215" spans="1:10" ht="15" customHeight="1">
      <c r="H215" s="129"/>
    </row>
    <row r="1853" spans="1:1" ht="15" customHeight="1">
      <c r="A1853" s="181">
        <f ca="1">+'agingปัจจุบันส่ง(ส่งบัญชี)'!A18439+A1853</f>
        <v>0</v>
      </c>
    </row>
  </sheetData>
  <mergeCells count="3">
    <mergeCell ref="A1:E1"/>
    <mergeCell ref="A2:E2"/>
    <mergeCell ref="A3:E3"/>
  </mergeCells>
  <phoneticPr fontId="3" type="noConversion"/>
  <printOptions horizontalCentered="1"/>
  <pageMargins left="0.67" right="0" top="0.34" bottom="0.28000000000000003" header="0.21" footer="0.17"/>
  <pageSetup paperSize="9" scale="90" orientation="portrait" r:id="rId1"/>
  <headerFooter alignWithMargins="0">
    <oddHeader>&amp;Rหน้าที่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2255-13B4-422F-99DB-B449E80B9C82}">
  <sheetPr codeName="Sheet3">
    <tabColor rgb="FFFF0000"/>
  </sheetPr>
  <dimension ref="A1:P123"/>
  <sheetViews>
    <sheetView zoomScaleNormal="100" workbookViewId="0">
      <pane ySplit="5" topLeftCell="A48" activePane="bottomLeft" state="frozen"/>
      <selection activeCell="E1465" sqref="E1465"/>
      <selection pane="bottomLeft" activeCell="G87" sqref="G87"/>
    </sheetView>
  </sheetViews>
  <sheetFormatPr defaultRowHeight="15.75" customHeight="1"/>
  <cols>
    <col min="1" max="1" width="4.5546875" style="64" customWidth="1"/>
    <col min="2" max="2" width="3.5546875" style="64" customWidth="1"/>
    <col min="3" max="3" width="40.5546875" style="64" customWidth="1"/>
    <col min="4" max="4" width="16.33203125" style="188" customWidth="1"/>
    <col min="5" max="5" width="22.21875" style="206" customWidth="1"/>
    <col min="6" max="6" width="12.88671875" style="188" customWidth="1"/>
    <col min="7" max="7" width="12.33203125" style="188" customWidth="1"/>
    <col min="8" max="8" width="11.44140625" style="64" customWidth="1"/>
    <col min="9" max="9" width="15.6640625" style="224" customWidth="1"/>
    <col min="10" max="10" width="14.109375" style="188" customWidth="1"/>
    <col min="11" max="11" width="12.109375" style="64" customWidth="1"/>
    <col min="12" max="12" width="11.6640625" style="64" customWidth="1"/>
    <col min="13" max="16384" width="8.88671875" style="64"/>
  </cols>
  <sheetData>
    <row r="1" spans="1:16" ht="15.75" customHeight="1">
      <c r="A1" s="1518" t="s">
        <v>102</v>
      </c>
      <c r="B1" s="1518"/>
      <c r="C1" s="1518"/>
      <c r="D1" s="1518"/>
      <c r="E1" s="1518"/>
      <c r="F1" s="182"/>
      <c r="G1" s="184"/>
      <c r="H1" s="186"/>
      <c r="I1" s="210"/>
      <c r="J1" s="211"/>
      <c r="K1" s="186"/>
      <c r="L1" s="186"/>
      <c r="M1" s="186"/>
      <c r="N1" s="186"/>
      <c r="O1" s="186"/>
      <c r="P1" s="186"/>
    </row>
    <row r="2" spans="1:16" ht="15.75" customHeight="1">
      <c r="A2" s="1518" t="s">
        <v>245</v>
      </c>
      <c r="B2" s="1518"/>
      <c r="C2" s="1518"/>
      <c r="D2" s="1518"/>
      <c r="E2" s="1518"/>
      <c r="F2" s="182"/>
      <c r="G2" s="184"/>
      <c r="H2" s="186"/>
      <c r="I2" s="210"/>
      <c r="K2" s="186"/>
      <c r="L2" s="186"/>
      <c r="M2" s="64" t="s">
        <v>157</v>
      </c>
      <c r="N2" s="186"/>
      <c r="O2" s="186"/>
      <c r="P2" s="186"/>
    </row>
    <row r="3" spans="1:16" ht="15.75" customHeight="1">
      <c r="A3" s="1519" t="str">
        <f>+'ปะหน้าAgingรายงานหนี้ค้าง บช.'!A3</f>
        <v>ณ วันที่ 31 กรกฎาคม 2569</v>
      </c>
      <c r="B3" s="1520"/>
      <c r="C3" s="1520"/>
      <c r="D3" s="1520"/>
      <c r="E3" s="1520"/>
      <c r="F3" s="182"/>
      <c r="G3" s="199"/>
      <c r="H3" s="189"/>
      <c r="I3" s="210"/>
      <c r="J3" s="211"/>
      <c r="K3" s="189"/>
      <c r="L3" s="189"/>
      <c r="M3" s="189"/>
      <c r="N3" s="189"/>
      <c r="O3" s="189"/>
      <c r="P3" s="186"/>
    </row>
    <row r="4" spans="1:16" ht="16.5" customHeight="1">
      <c r="A4" s="122" t="s">
        <v>127</v>
      </c>
      <c r="B4" s="190"/>
      <c r="C4" s="191" t="s">
        <v>110</v>
      </c>
      <c r="D4" s="192"/>
      <c r="E4" s="212" t="s">
        <v>95</v>
      </c>
      <c r="F4" s="183"/>
      <c r="G4" s="184"/>
      <c r="H4" s="186"/>
      <c r="I4" s="210" t="s">
        <v>188</v>
      </c>
      <c r="J4" s="211" t="s">
        <v>277</v>
      </c>
      <c r="K4" s="186"/>
      <c r="L4" s="186"/>
      <c r="M4" s="186"/>
      <c r="N4" s="186"/>
      <c r="O4" s="186"/>
      <c r="P4" s="186"/>
    </row>
    <row r="5" spans="1:16" ht="16.5" customHeight="1">
      <c r="A5" s="123"/>
      <c r="B5" s="193"/>
      <c r="C5" s="187"/>
      <c r="D5" s="194"/>
      <c r="E5" s="213" t="s">
        <v>101</v>
      </c>
      <c r="F5" s="183"/>
      <c r="G5" s="184"/>
      <c r="H5" s="186"/>
      <c r="I5" s="210"/>
      <c r="J5" s="211"/>
      <c r="K5" s="186"/>
      <c r="L5" s="186"/>
      <c r="M5" s="186"/>
      <c r="N5" s="186"/>
      <c r="O5" s="186"/>
      <c r="P5" s="186"/>
    </row>
    <row r="6" spans="1:16" ht="15.75" customHeight="1">
      <c r="A6" s="195">
        <v>1</v>
      </c>
      <c r="B6" s="196" t="s">
        <v>100</v>
      </c>
      <c r="C6" s="20"/>
      <c r="D6" s="197"/>
      <c r="E6" s="198"/>
      <c r="F6" s="184"/>
      <c r="G6" s="184"/>
      <c r="H6" s="186"/>
      <c r="I6" s="214"/>
      <c r="K6" s="186"/>
      <c r="L6" s="186"/>
      <c r="M6" s="186"/>
      <c r="N6" s="186"/>
      <c r="O6" s="186"/>
      <c r="P6" s="186"/>
    </row>
    <row r="7" spans="1:16" ht="12" customHeight="1">
      <c r="A7" s="195"/>
      <c r="B7" s="200"/>
      <c r="C7" s="20" t="s">
        <v>3408</v>
      </c>
      <c r="D7" s="197"/>
      <c r="E7" s="198"/>
      <c r="F7" s="184"/>
      <c r="G7" s="184"/>
      <c r="H7" s="186"/>
      <c r="I7" s="214"/>
      <c r="K7" s="186"/>
      <c r="L7" s="186"/>
      <c r="M7" s="186"/>
      <c r="N7" s="186"/>
      <c r="O7" s="186"/>
      <c r="P7" s="186"/>
    </row>
    <row r="8" spans="1:16" ht="15.75" customHeight="1">
      <c r="A8" s="195"/>
      <c r="B8" s="200"/>
      <c r="C8" s="20" t="s">
        <v>66</v>
      </c>
      <c r="D8" s="197">
        <f>+'agingปัจจุบันส่ง(ส่งบัญชี)'!Q96</f>
        <v>14253.86</v>
      </c>
      <c r="E8" s="198"/>
      <c r="F8" s="184"/>
      <c r="G8" s="184"/>
      <c r="H8" s="186"/>
      <c r="I8" s="214">
        <v>204995</v>
      </c>
      <c r="J8" s="188">
        <f>+D8-I8</f>
        <v>-190741.14</v>
      </c>
    </row>
    <row r="9" spans="1:16" ht="15.75" customHeight="1">
      <c r="A9" s="195"/>
      <c r="B9" s="200"/>
      <c r="C9" s="20" t="s">
        <v>163</v>
      </c>
      <c r="D9" s="197">
        <f>+'agingปัจจุบันส่ง(ส่งบัญชี)'!Q221</f>
        <v>0</v>
      </c>
      <c r="E9" s="215"/>
      <c r="F9" s="186"/>
      <c r="G9" s="64"/>
      <c r="H9" s="186"/>
      <c r="I9" s="214">
        <v>1400</v>
      </c>
      <c r="J9" s="188">
        <f>+D9-I9</f>
        <v>-1400</v>
      </c>
      <c r="L9" s="64" t="s">
        <v>169</v>
      </c>
    </row>
    <row r="10" spans="1:16" ht="15.75" customHeight="1">
      <c r="A10" s="195"/>
      <c r="B10" s="200"/>
      <c r="C10" s="20" t="s">
        <v>206</v>
      </c>
      <c r="D10" s="197">
        <f>'agingปัจจุบันส่ง(ส่งบัญชี)'!Q112</f>
        <v>0</v>
      </c>
      <c r="E10" s="215"/>
      <c r="F10" s="186"/>
      <c r="G10" s="64"/>
      <c r="H10" s="186"/>
      <c r="I10" s="214">
        <v>0</v>
      </c>
    </row>
    <row r="11" spans="1:16" ht="15.75" customHeight="1">
      <c r="A11" s="195"/>
      <c r="B11" s="200"/>
      <c r="C11" s="20" t="s">
        <v>68</v>
      </c>
      <c r="D11" s="197">
        <f>+'agingปัจจุบันส่ง(ส่งบัญชี)'!Q159</f>
        <v>0</v>
      </c>
      <c r="E11" s="215"/>
      <c r="F11" s="186"/>
      <c r="G11" s="64"/>
      <c r="H11" s="184">
        <f>+E14-G14</f>
        <v>14253.86</v>
      </c>
      <c r="I11" s="214">
        <v>0</v>
      </c>
      <c r="J11" s="188">
        <f>+D11-I11</f>
        <v>0</v>
      </c>
    </row>
    <row r="12" spans="1:16" ht="13.5" customHeight="1">
      <c r="A12" s="195"/>
      <c r="B12" s="200"/>
      <c r="C12" s="20" t="s">
        <v>70</v>
      </c>
      <c r="D12" s="197">
        <f>+'agingปัจจุบันส่ง(ส่งบัญชี)'!Q225</f>
        <v>0</v>
      </c>
      <c r="E12" s="215"/>
      <c r="F12" s="186"/>
      <c r="G12" s="64"/>
      <c r="H12" s="184"/>
      <c r="I12" s="214">
        <v>0</v>
      </c>
      <c r="J12" s="188">
        <f>+D12-I12</f>
        <v>0</v>
      </c>
    </row>
    <row r="13" spans="1:16" s="219" customFormat="1" ht="15.75" customHeight="1">
      <c r="A13" s="216"/>
      <c r="B13" s="217"/>
      <c r="C13" s="209" t="s">
        <v>492</v>
      </c>
      <c r="D13" s="218">
        <f>+'agingปัจจุบันส่ง(ส่งบัญชี)'!Q239</f>
        <v>0</v>
      </c>
      <c r="E13" s="215"/>
      <c r="F13" s="209"/>
      <c r="H13" s="220"/>
      <c r="I13" s="221">
        <v>0</v>
      </c>
      <c r="J13" s="222"/>
    </row>
    <row r="14" spans="1:16" ht="15.75" customHeight="1">
      <c r="A14" s="195"/>
      <c r="B14" s="200"/>
      <c r="C14" s="20" t="s">
        <v>67</v>
      </c>
      <c r="D14" s="205">
        <f>+'agingปัจจุบันส่ง(ส่งบัญชี)'!Q194</f>
        <v>0</v>
      </c>
      <c r="E14" s="223">
        <f>SUM(D8:D14)</f>
        <v>14253.86</v>
      </c>
      <c r="F14" s="199"/>
      <c r="G14" s="184">
        <f>+'agingปัจจุบันส่ง(ส่งบัญชี)'!D259</f>
        <v>0</v>
      </c>
      <c r="H14" s="186"/>
      <c r="I14" s="224">
        <v>0</v>
      </c>
      <c r="J14" s="188">
        <f>+D14-I15</f>
        <v>0</v>
      </c>
    </row>
    <row r="15" spans="1:16" ht="15.75" customHeight="1">
      <c r="A15" s="195">
        <f>+A6+1</f>
        <v>2</v>
      </c>
      <c r="B15" s="202" t="s">
        <v>133</v>
      </c>
      <c r="C15" s="20"/>
      <c r="D15" s="197"/>
      <c r="E15" s="215"/>
      <c r="F15" s="186"/>
      <c r="G15" s="184"/>
      <c r="H15" s="186"/>
      <c r="I15" s="214"/>
    </row>
    <row r="16" spans="1:16" ht="15.75" customHeight="1">
      <c r="A16" s="195"/>
      <c r="B16" s="207"/>
      <c r="C16" s="20" t="str">
        <f>+C7</f>
        <v>เงินรับฝากประจำเดือนกรกฎาคม 2569</v>
      </c>
      <c r="D16" s="201"/>
      <c r="E16" s="198"/>
      <c r="F16" s="184"/>
      <c r="G16" s="184"/>
      <c r="H16" s="186"/>
      <c r="I16" s="214"/>
    </row>
    <row r="17" spans="1:10" ht="15.75" customHeight="1">
      <c r="A17" s="195"/>
      <c r="B17" s="207"/>
      <c r="C17" s="186" t="s">
        <v>66</v>
      </c>
      <c r="D17" s="197">
        <f>+'agingปัจจุบันส่ง(ส่งบัญชี)'!Q279</f>
        <v>2184</v>
      </c>
      <c r="E17" s="198"/>
      <c r="F17" s="184"/>
      <c r="G17" s="184"/>
      <c r="H17" s="186"/>
      <c r="I17" s="214">
        <v>966028.5</v>
      </c>
      <c r="J17" s="188">
        <f t="shared" ref="J17:J23" si="0">+D17-I17</f>
        <v>-963844.5</v>
      </c>
    </row>
    <row r="18" spans="1:10" ht="15.75" customHeight="1">
      <c r="A18" s="195"/>
      <c r="B18" s="207"/>
      <c r="C18" s="186" t="s">
        <v>67</v>
      </c>
      <c r="D18" s="197">
        <f>+'agingปัจจุบันส่ง(ส่งบัญชี)'!Q316</f>
        <v>0</v>
      </c>
      <c r="E18" s="198"/>
      <c r="F18" s="184"/>
      <c r="G18" s="184"/>
      <c r="H18" s="186"/>
      <c r="I18" s="214">
        <v>0</v>
      </c>
      <c r="J18" s="188">
        <f t="shared" si="0"/>
        <v>0</v>
      </c>
    </row>
    <row r="19" spans="1:10" ht="15.75" customHeight="1">
      <c r="A19" s="195"/>
      <c r="B19" s="207"/>
      <c r="C19" s="186" t="s">
        <v>68</v>
      </c>
      <c r="D19" s="197">
        <f>'agingปัจจุบันส่ง(ส่งบัญชี)'!Q320</f>
        <v>0</v>
      </c>
      <c r="E19" s="198"/>
      <c r="F19" s="184"/>
      <c r="G19" s="184"/>
      <c r="H19" s="186"/>
      <c r="I19" s="214">
        <v>0</v>
      </c>
      <c r="J19" s="188">
        <f t="shared" si="0"/>
        <v>0</v>
      </c>
    </row>
    <row r="20" spans="1:10" ht="15.75" customHeight="1">
      <c r="A20" s="195"/>
      <c r="B20" s="207"/>
      <c r="C20" s="186" t="s">
        <v>99</v>
      </c>
      <c r="D20" s="197">
        <f>+'agingปัจจุบันส่ง(ส่งบัญชี)'!Q312</f>
        <v>18190</v>
      </c>
      <c r="E20" s="198"/>
      <c r="F20" s="184"/>
      <c r="G20" s="184"/>
      <c r="H20" s="186"/>
      <c r="I20" s="214">
        <v>12305</v>
      </c>
      <c r="J20" s="188">
        <f t="shared" si="0"/>
        <v>5885</v>
      </c>
    </row>
    <row r="21" spans="1:10" ht="15.75" customHeight="1">
      <c r="A21" s="195"/>
      <c r="B21" s="207"/>
      <c r="C21" s="186" t="s">
        <v>77</v>
      </c>
      <c r="D21" s="197">
        <f>+'agingปัจจุบันส่ง(ส่งบัญชี)'!Q287</f>
        <v>0</v>
      </c>
      <c r="E21" s="198"/>
      <c r="F21" s="184"/>
      <c r="G21" s="184"/>
      <c r="H21" s="186"/>
      <c r="I21" s="214">
        <v>0</v>
      </c>
      <c r="J21" s="188">
        <f t="shared" si="0"/>
        <v>0</v>
      </c>
    </row>
    <row r="22" spans="1:10" ht="15.75" customHeight="1">
      <c r="A22" s="195"/>
      <c r="B22" s="207"/>
      <c r="C22" s="20" t="s">
        <v>76</v>
      </c>
      <c r="D22" s="197">
        <f>+'agingปัจจุบันส่ง(ส่งบัญชี)'!Q283</f>
        <v>0</v>
      </c>
      <c r="E22" s="198"/>
      <c r="F22" s="184"/>
      <c r="G22" s="184"/>
      <c r="H22" s="184">
        <f>+E23-G23</f>
        <v>0</v>
      </c>
      <c r="I22" s="214">
        <v>0</v>
      </c>
      <c r="J22" s="188">
        <f t="shared" si="0"/>
        <v>0</v>
      </c>
    </row>
    <row r="23" spans="1:10" ht="15.75" customHeight="1">
      <c r="A23" s="195"/>
      <c r="B23" s="207"/>
      <c r="C23" s="186" t="s">
        <v>223</v>
      </c>
      <c r="D23" s="197">
        <f>+'agingปัจจุบันส่ง(ส่งบัญชี)'!Q347</f>
        <v>0</v>
      </c>
      <c r="E23" s="197"/>
      <c r="F23" s="184"/>
      <c r="G23" s="184">
        <f>+'agingปัจจุบันส่ง(ส่งบัญชี)'!D353</f>
        <v>0</v>
      </c>
      <c r="H23" s="186"/>
      <c r="I23" s="214">
        <v>0</v>
      </c>
      <c r="J23" s="188">
        <f t="shared" si="0"/>
        <v>0</v>
      </c>
    </row>
    <row r="24" spans="1:10" ht="15.75" customHeight="1">
      <c r="A24" s="195"/>
      <c r="B24" s="204"/>
      <c r="C24" s="186" t="s">
        <v>73</v>
      </c>
      <c r="D24" s="225">
        <f>+'agingปัจจุบันส่ง(ส่งบัญชี)'!Q336</f>
        <v>428</v>
      </c>
      <c r="E24" s="197">
        <f>SUM(D17:D24)</f>
        <v>20802</v>
      </c>
      <c r="F24" s="184"/>
      <c r="G24" s="184"/>
      <c r="H24" s="186"/>
      <c r="I24" s="214"/>
    </row>
    <row r="25" spans="1:10" ht="15.75" customHeight="1">
      <c r="A25" s="195">
        <f>+A15+1</f>
        <v>3</v>
      </c>
      <c r="B25" s="204" t="s">
        <v>125</v>
      </c>
      <c r="C25" s="186"/>
      <c r="D25" s="201"/>
      <c r="E25" s="198"/>
      <c r="F25" s="184"/>
      <c r="G25" s="184"/>
      <c r="H25" s="186"/>
      <c r="I25" s="214"/>
    </row>
    <row r="26" spans="1:10" ht="15.75" customHeight="1">
      <c r="A26" s="195"/>
      <c r="B26" s="204"/>
      <c r="C26" s="186" t="str">
        <f>+C16</f>
        <v>เงินรับฝากประจำเดือนกรกฎาคม 2569</v>
      </c>
      <c r="D26" s="201"/>
      <c r="E26" s="198"/>
      <c r="F26" s="184"/>
      <c r="G26" s="184"/>
      <c r="H26" s="184">
        <f>+E29-G29</f>
        <v>0</v>
      </c>
      <c r="I26" s="214"/>
    </row>
    <row r="27" spans="1:10" ht="15.75" customHeight="1">
      <c r="A27" s="195"/>
      <c r="B27" s="204"/>
      <c r="C27" s="186" t="s">
        <v>66</v>
      </c>
      <c r="D27" s="201">
        <f>+'agingปัจจุบันส่ง(ส่งบัญชี)'!Q373</f>
        <v>0</v>
      </c>
      <c r="E27" s="198"/>
      <c r="F27" s="184"/>
      <c r="G27" s="184"/>
      <c r="H27" s="186"/>
      <c r="I27" s="214">
        <v>0</v>
      </c>
      <c r="J27" s="188">
        <f>+D27-I27</f>
        <v>0</v>
      </c>
    </row>
    <row r="28" spans="1:10" ht="15.75" customHeight="1">
      <c r="A28" s="195"/>
      <c r="B28" s="204"/>
      <c r="C28" s="186" t="s">
        <v>163</v>
      </c>
      <c r="D28" s="201">
        <f>+'agingปัจจุบันส่ง(ส่งบัญชี)'!Q361</f>
        <v>0</v>
      </c>
      <c r="E28" s="198"/>
      <c r="F28" s="184"/>
      <c r="G28" s="184"/>
      <c r="H28" s="186"/>
      <c r="I28" s="214">
        <v>0</v>
      </c>
      <c r="J28" s="188">
        <f>+D28-I28</f>
        <v>0</v>
      </c>
    </row>
    <row r="29" spans="1:10" ht="15.75" customHeight="1">
      <c r="A29" s="195"/>
      <c r="B29" s="204"/>
      <c r="C29" s="186" t="s">
        <v>99</v>
      </c>
      <c r="D29" s="203">
        <f>+'agingปัจจุบันส่ง(ส่งบัญชี)'!Q364</f>
        <v>0</v>
      </c>
      <c r="E29" s="198">
        <f>SUM(D27:D29)</f>
        <v>0</v>
      </c>
      <c r="F29" s="184"/>
      <c r="G29" s="184">
        <f>+'agingปัจจุบันส่ง(ส่งบัญชี)'!D373</f>
        <v>0</v>
      </c>
      <c r="H29" s="186"/>
      <c r="I29" s="214">
        <v>0</v>
      </c>
      <c r="J29" s="188">
        <f>+D29-I29</f>
        <v>0</v>
      </c>
    </row>
    <row r="30" spans="1:10" ht="15.75" customHeight="1">
      <c r="A30" s="195">
        <f>+A25+1</f>
        <v>4</v>
      </c>
      <c r="B30" s="204" t="s">
        <v>137</v>
      </c>
      <c r="C30" s="186"/>
      <c r="D30" s="201"/>
      <c r="E30" s="198"/>
      <c r="F30" s="184"/>
      <c r="G30" s="184"/>
      <c r="H30" s="186"/>
      <c r="I30" s="214"/>
    </row>
    <row r="31" spans="1:10" ht="15.75" customHeight="1">
      <c r="A31" s="195"/>
      <c r="B31" s="204"/>
      <c r="C31" s="186" t="str">
        <f>+C16</f>
        <v>เงินรับฝากประจำเดือนกรกฎาคม 2569</v>
      </c>
      <c r="D31" s="201"/>
      <c r="E31" s="198"/>
      <c r="F31" s="184"/>
      <c r="G31" s="184"/>
      <c r="H31" s="186"/>
      <c r="I31" s="214"/>
    </row>
    <row r="32" spans="1:10" ht="15.75" customHeight="1">
      <c r="A32" s="195"/>
      <c r="B32" s="204"/>
      <c r="C32" s="186" t="s">
        <v>66</v>
      </c>
      <c r="D32" s="201">
        <f>'agingปัจจุบันส่ง(ส่งบัญชี)'!Q387</f>
        <v>36725.660000000003</v>
      </c>
      <c r="E32" s="198"/>
      <c r="F32" s="184"/>
      <c r="G32" s="184"/>
      <c r="H32" s="184">
        <f>+E35-G35</f>
        <v>38573.530000000006</v>
      </c>
      <c r="I32" s="214">
        <v>15510.44</v>
      </c>
      <c r="J32" s="188">
        <f t="shared" ref="J32:J44" si="1">+D32-I32</f>
        <v>21215.22</v>
      </c>
    </row>
    <row r="33" spans="1:12" ht="15.75" customHeight="1">
      <c r="A33" s="195"/>
      <c r="B33" s="204"/>
      <c r="C33" s="186" t="s">
        <v>163</v>
      </c>
      <c r="D33" s="201">
        <f>'agingปัจจุบันส่ง(ส่งบัญชี)'!Q391</f>
        <v>0</v>
      </c>
      <c r="E33" s="198"/>
      <c r="F33" s="184"/>
      <c r="G33" s="184"/>
      <c r="H33" s="184"/>
      <c r="I33" s="214">
        <v>920</v>
      </c>
    </row>
    <row r="34" spans="1:12" ht="15.75" customHeight="1">
      <c r="A34" s="195"/>
      <c r="B34" s="204"/>
      <c r="C34" s="186" t="s">
        <v>70</v>
      </c>
      <c r="D34" s="201">
        <f>'agingปัจจุบันส่ง(ส่งบัญชี)'!Q395</f>
        <v>0</v>
      </c>
      <c r="E34" s="198"/>
      <c r="F34" s="184"/>
      <c r="G34" s="184"/>
      <c r="H34" s="184"/>
      <c r="I34" s="214">
        <v>0</v>
      </c>
      <c r="J34" s="188">
        <f t="shared" si="1"/>
        <v>0</v>
      </c>
    </row>
    <row r="35" spans="1:12" ht="15.75" customHeight="1">
      <c r="A35" s="195"/>
      <c r="B35" s="204"/>
      <c r="C35" s="186" t="s">
        <v>223</v>
      </c>
      <c r="D35" s="203">
        <f>+'agingปัจจุบันส่ง(ส่งบัญชี)'!Q412</f>
        <v>1847.87</v>
      </c>
      <c r="E35" s="198">
        <f>SUM(D32:D35)</f>
        <v>38573.530000000006</v>
      </c>
      <c r="F35" s="184"/>
      <c r="G35" s="184">
        <f>+'agingปัจจุบันส่ง(ส่งบัญชี)'!D417</f>
        <v>0</v>
      </c>
      <c r="H35" s="186"/>
      <c r="I35" s="214">
        <v>259</v>
      </c>
      <c r="J35" s="188">
        <f t="shared" si="1"/>
        <v>1588.87</v>
      </c>
    </row>
    <row r="36" spans="1:12" ht="15.75" customHeight="1">
      <c r="A36" s="195">
        <f>+A30+1</f>
        <v>5</v>
      </c>
      <c r="B36" s="204" t="s">
        <v>162</v>
      </c>
      <c r="C36" s="186"/>
      <c r="D36" s="201"/>
      <c r="E36" s="198"/>
      <c r="F36" s="184"/>
      <c r="G36" s="184"/>
      <c r="H36" s="186"/>
      <c r="I36" s="214"/>
      <c r="J36" s="188">
        <f t="shared" si="1"/>
        <v>0</v>
      </c>
    </row>
    <row r="37" spans="1:12" ht="15.75" customHeight="1">
      <c r="A37" s="195"/>
      <c r="B37" s="204"/>
      <c r="C37" s="186" t="str">
        <f>+C16</f>
        <v>เงินรับฝากประจำเดือนกรกฎาคม 2569</v>
      </c>
      <c r="D37" s="201"/>
      <c r="E37" s="198"/>
      <c r="F37" s="184"/>
      <c r="G37" s="184"/>
      <c r="H37" s="186"/>
      <c r="I37" s="214"/>
      <c r="J37" s="188">
        <f t="shared" si="1"/>
        <v>0</v>
      </c>
    </row>
    <row r="38" spans="1:12" ht="15.75" customHeight="1">
      <c r="A38" s="195"/>
      <c r="B38" s="204"/>
      <c r="C38" s="20" t="s">
        <v>66</v>
      </c>
      <c r="D38" s="226">
        <f>+'agingปัจจุบันส่ง(ส่งบัญชี)'!Q863</f>
        <v>0</v>
      </c>
      <c r="E38" s="198"/>
      <c r="F38" s="184"/>
      <c r="G38" s="184"/>
      <c r="H38" s="186"/>
      <c r="I38" s="214">
        <v>9000</v>
      </c>
    </row>
    <row r="39" spans="1:12" ht="15.75" customHeight="1">
      <c r="A39" s="195"/>
      <c r="B39" s="196"/>
      <c r="C39" s="20" t="s">
        <v>434</v>
      </c>
      <c r="D39" s="226">
        <f>+'agingปัจจุบันส่ง(ส่งบัญชี)'!Q1346</f>
        <v>64.2</v>
      </c>
      <c r="E39" s="198"/>
      <c r="F39" s="184"/>
      <c r="G39" s="184"/>
      <c r="H39" s="186"/>
      <c r="I39" s="214">
        <v>898.80000000000018</v>
      </c>
      <c r="J39" s="188">
        <f t="shared" si="1"/>
        <v>-834.60000000000014</v>
      </c>
    </row>
    <row r="40" spans="1:12" ht="15.75" customHeight="1">
      <c r="A40" s="195"/>
      <c r="B40" s="196"/>
      <c r="C40" s="20" t="s">
        <v>216</v>
      </c>
      <c r="D40" s="226">
        <f>+'agingปัจจุบันส่ง(ส่งบัญชี)'!Q1400</f>
        <v>1314</v>
      </c>
      <c r="E40" s="198"/>
      <c r="F40" s="184"/>
      <c r="G40" s="184"/>
      <c r="H40" s="186"/>
      <c r="I40" s="214">
        <v>1314</v>
      </c>
      <c r="L40" s="64">
        <v>2897.6</v>
      </c>
    </row>
    <row r="41" spans="1:12" ht="15.75" customHeight="1">
      <c r="A41" s="195"/>
      <c r="B41" s="196"/>
      <c r="C41" s="186" t="s">
        <v>67</v>
      </c>
      <c r="D41" s="226">
        <f>+'agingปัจจุบันส่ง(ส่งบัญชี)'!Q967</f>
        <v>3124.4</v>
      </c>
      <c r="E41" s="198"/>
      <c r="F41" s="184"/>
      <c r="G41" s="184"/>
      <c r="H41" s="186"/>
      <c r="I41" s="214">
        <v>1433.8000000000002</v>
      </c>
      <c r="L41" s="64">
        <v>2105.8000000000002</v>
      </c>
    </row>
    <row r="42" spans="1:12" ht="15.75" customHeight="1">
      <c r="A42" s="195"/>
      <c r="B42" s="196"/>
      <c r="C42" s="186" t="s">
        <v>68</v>
      </c>
      <c r="D42" s="205">
        <f>+'agingปัจจุบันส่ง(ส่งบัญชี)'!Q1352</f>
        <v>0</v>
      </c>
      <c r="E42" s="198"/>
      <c r="F42" s="184"/>
      <c r="G42" s="184"/>
      <c r="H42" s="186"/>
      <c r="I42" s="214">
        <v>0</v>
      </c>
      <c r="J42" s="188">
        <f>+D42-I42</f>
        <v>0</v>
      </c>
      <c r="L42" s="64">
        <f>+L40-L41</f>
        <v>791.79999999999973</v>
      </c>
    </row>
    <row r="43" spans="1:12" ht="15.75" customHeight="1">
      <c r="A43" s="195"/>
      <c r="B43" s="196"/>
      <c r="C43" s="186" t="s">
        <v>223</v>
      </c>
      <c r="D43" s="197">
        <f>+'agingปัจจุบันส่ง(ส่งบัญชี)'!Q1587</f>
        <v>100</v>
      </c>
      <c r="E43" s="198">
        <f>SUM(D37:D43)</f>
        <v>4602.6000000000004</v>
      </c>
      <c r="F43" s="184"/>
      <c r="G43" s="184"/>
      <c r="H43" s="186"/>
      <c r="I43" s="214"/>
    </row>
    <row r="44" spans="1:12" ht="15.75" customHeight="1">
      <c r="A44" s="195">
        <f>+A36+1</f>
        <v>6</v>
      </c>
      <c r="B44" s="196" t="s">
        <v>122</v>
      </c>
      <c r="C44" s="20"/>
      <c r="D44" s="197"/>
      <c r="E44" s="198"/>
      <c r="F44" s="184"/>
      <c r="G44" s="184"/>
      <c r="H44" s="186"/>
      <c r="I44" s="214"/>
      <c r="J44" s="188">
        <f t="shared" si="1"/>
        <v>0</v>
      </c>
    </row>
    <row r="45" spans="1:12" ht="15.75" customHeight="1">
      <c r="A45" s="195"/>
      <c r="B45" s="196"/>
      <c r="C45" s="20" t="str">
        <f>+C7</f>
        <v>เงินรับฝากประจำเดือนกรกฎาคม 2569</v>
      </c>
      <c r="D45" s="197"/>
      <c r="E45" s="198"/>
      <c r="F45" s="184"/>
      <c r="G45" s="184"/>
      <c r="H45" s="186"/>
      <c r="I45" s="214"/>
    </row>
    <row r="46" spans="1:12" ht="15.75" customHeight="1">
      <c r="A46" s="195"/>
      <c r="B46" s="196"/>
      <c r="C46" s="20" t="s">
        <v>66</v>
      </c>
      <c r="D46" s="197">
        <f>+'agingปัจจุบันส่ง(ส่งบัญชี)'!Q1606</f>
        <v>0</v>
      </c>
      <c r="E46" s="198"/>
      <c r="F46" s="184"/>
      <c r="G46" s="184"/>
      <c r="H46" s="184">
        <f>+E51-G51</f>
        <v>0</v>
      </c>
      <c r="I46" s="214">
        <v>28717</v>
      </c>
      <c r="J46" s="188">
        <f>+D46-I46</f>
        <v>-28717</v>
      </c>
    </row>
    <row r="47" spans="1:12" ht="15.75" customHeight="1">
      <c r="A47" s="195"/>
      <c r="B47" s="196"/>
      <c r="C47" s="20" t="s">
        <v>99</v>
      </c>
      <c r="D47" s="197">
        <f>SUM('agingปัจจุบันส่ง(ส่งบัญชี)'!Q1616)</f>
        <v>0</v>
      </c>
      <c r="E47" s="198"/>
      <c r="F47" s="184"/>
      <c r="G47" s="184"/>
      <c r="H47" s="184"/>
      <c r="I47" s="214"/>
    </row>
    <row r="48" spans="1:12" ht="15.75" customHeight="1">
      <c r="A48" s="195"/>
      <c r="B48" s="196"/>
      <c r="C48" s="20" t="s">
        <v>76</v>
      </c>
      <c r="D48" s="197">
        <f>SUM('agingปัจจุบันส่ง(ส่งบัญชี)'!Q1620)</f>
        <v>0</v>
      </c>
      <c r="E48" s="198"/>
      <c r="F48" s="184"/>
      <c r="G48" s="184"/>
      <c r="H48" s="184"/>
      <c r="I48" s="214">
        <v>0</v>
      </c>
    </row>
    <row r="49" spans="1:10" ht="15.75" customHeight="1">
      <c r="A49" s="195"/>
      <c r="B49" s="196"/>
      <c r="C49" s="20" t="s">
        <v>68</v>
      </c>
      <c r="D49" s="197">
        <f>SUM('agingปัจจุบันส่ง(ส่งบัญชี)'!Q1631)</f>
        <v>0</v>
      </c>
      <c r="E49" s="198"/>
      <c r="F49" s="184"/>
      <c r="G49" s="184"/>
      <c r="H49" s="184"/>
      <c r="I49" s="214"/>
    </row>
    <row r="50" spans="1:10" ht="15.75" customHeight="1">
      <c r="A50" s="195"/>
      <c r="B50" s="196"/>
      <c r="C50" s="20" t="s">
        <v>67</v>
      </c>
      <c r="D50" s="197">
        <f>SUM('agingปัจจุบันส่ง(ส่งบัญชี)'!Q1626)</f>
        <v>0</v>
      </c>
      <c r="E50" s="198"/>
      <c r="F50" s="184"/>
      <c r="G50" s="184"/>
      <c r="H50" s="184"/>
      <c r="I50" s="214"/>
    </row>
    <row r="51" spans="1:10" ht="15.75" customHeight="1">
      <c r="A51" s="195"/>
      <c r="B51" s="196"/>
      <c r="C51" s="20" t="s">
        <v>77</v>
      </c>
      <c r="D51" s="205">
        <f>SUM('agingปัจจุบันส่ง(ส่งบัญชี)'!Q1638)</f>
        <v>0</v>
      </c>
      <c r="E51" s="198">
        <f>SUM(D45:D51)</f>
        <v>0</v>
      </c>
      <c r="F51" s="184"/>
      <c r="G51" s="184">
        <f>+'agingปัจจุบันส่ง(ส่งบัญชี)'!D1648</f>
        <v>0</v>
      </c>
      <c r="H51" s="186"/>
      <c r="I51" s="214" t="s">
        <v>854</v>
      </c>
      <c r="J51" s="188" t="e">
        <f>+D51-I51</f>
        <v>#VALUE!</v>
      </c>
    </row>
    <row r="52" spans="1:10" ht="15.75" customHeight="1">
      <c r="A52" s="195">
        <f>+A44+1</f>
        <v>7</v>
      </c>
      <c r="B52" s="196" t="s">
        <v>358</v>
      </c>
      <c r="C52" s="20"/>
      <c r="D52" s="197"/>
      <c r="E52" s="198"/>
      <c r="F52" s="184"/>
      <c r="G52" s="184"/>
      <c r="H52" s="186"/>
      <c r="I52" s="214"/>
    </row>
    <row r="53" spans="1:10" ht="15" customHeight="1">
      <c r="A53" s="195"/>
      <c r="B53" s="196"/>
      <c r="C53" s="20" t="str">
        <f>+C7</f>
        <v>เงินรับฝากประจำเดือนกรกฎาคม 2569</v>
      </c>
      <c r="D53" s="197"/>
      <c r="E53" s="198"/>
      <c r="F53" s="184"/>
      <c r="G53" s="184"/>
      <c r="H53" s="186"/>
      <c r="I53" s="214"/>
    </row>
    <row r="54" spans="1:10" ht="15" customHeight="1">
      <c r="A54" s="195"/>
      <c r="B54" s="196"/>
      <c r="C54" s="20" t="s">
        <v>66</v>
      </c>
      <c r="D54" s="205">
        <f>'agingปัจจุบันส่ง(ส่งบัญชี)'!Q1658</f>
        <v>0</v>
      </c>
      <c r="E54" s="198">
        <f>+D54</f>
        <v>0</v>
      </c>
      <c r="F54" s="184"/>
      <c r="G54" s="184">
        <f>+'agingปัจจุบันส่ง(ส่งบัญชี)'!D1658</f>
        <v>0</v>
      </c>
      <c r="H54" s="186"/>
      <c r="I54" s="214">
        <v>0</v>
      </c>
      <c r="J54" s="188">
        <f>+D54-I54</f>
        <v>0</v>
      </c>
    </row>
    <row r="55" spans="1:10" ht="15.75" customHeight="1">
      <c r="A55" s="195">
        <f>+A52+1</f>
        <v>8</v>
      </c>
      <c r="B55" s="204" t="s">
        <v>65</v>
      </c>
      <c r="C55" s="186"/>
      <c r="D55" s="201"/>
      <c r="E55" s="198"/>
      <c r="F55" s="184"/>
      <c r="G55" s="184"/>
      <c r="H55" s="186"/>
      <c r="I55" s="214"/>
    </row>
    <row r="56" spans="1:10" ht="14.4" customHeight="1">
      <c r="A56" s="195"/>
      <c r="B56" s="204"/>
      <c r="C56" s="186" t="str">
        <f>+C16</f>
        <v>เงินรับฝากประจำเดือนกรกฎาคม 2569</v>
      </c>
      <c r="D56" s="201"/>
      <c r="E56" s="198"/>
      <c r="F56" s="184"/>
      <c r="G56" s="184"/>
      <c r="H56" s="186"/>
      <c r="I56" s="214"/>
    </row>
    <row r="57" spans="1:10" ht="14.4" customHeight="1">
      <c r="A57" s="195"/>
      <c r="B57" s="204"/>
      <c r="C57" s="186" t="s">
        <v>66</v>
      </c>
      <c r="D57" s="197">
        <f>+'agingปัจจุบันส่ง(ส่งบัญชี)'!Q1662</f>
        <v>0</v>
      </c>
      <c r="E57" s="215"/>
      <c r="F57" s="186"/>
      <c r="G57" s="184"/>
      <c r="H57" s="186"/>
      <c r="I57" s="214">
        <v>0</v>
      </c>
      <c r="J57" s="188">
        <f>+D57-I57</f>
        <v>0</v>
      </c>
    </row>
    <row r="58" spans="1:10" ht="14.4" customHeight="1">
      <c r="A58" s="195"/>
      <c r="B58" s="204"/>
      <c r="C58" s="186" t="s">
        <v>67</v>
      </c>
      <c r="D58" s="197">
        <f>+'agingปัจจุบันส่ง(ส่งบัญชี)'!Q1664</f>
        <v>0</v>
      </c>
      <c r="E58" s="215"/>
      <c r="F58" s="186"/>
      <c r="G58" s="184"/>
      <c r="H58" s="186"/>
      <c r="I58" s="214">
        <v>0</v>
      </c>
      <c r="J58" s="188">
        <f>+D58-I58</f>
        <v>0</v>
      </c>
    </row>
    <row r="59" spans="1:10" ht="14.4" customHeight="1">
      <c r="A59" s="195"/>
      <c r="B59" s="204"/>
      <c r="C59" s="186" t="s">
        <v>70</v>
      </c>
      <c r="D59" s="205">
        <f>+'agingปัจจุบันส่ง(ส่งบัญชี)'!Q1668</f>
        <v>0</v>
      </c>
      <c r="E59" s="198">
        <f>SUM(D57:D59)</f>
        <v>0</v>
      </c>
      <c r="F59" s="184"/>
      <c r="G59" s="184">
        <f>+'agingปัจจุบันส่ง(ส่งบัญชี)'!Q1662</f>
        <v>0</v>
      </c>
      <c r="H59" s="186"/>
      <c r="I59" s="214">
        <v>0</v>
      </c>
      <c r="J59" s="188">
        <f>+D59-I59</f>
        <v>0</v>
      </c>
    </row>
    <row r="60" spans="1:10" ht="15.75" customHeight="1">
      <c r="A60" s="195">
        <f>+A55+1</f>
        <v>9</v>
      </c>
      <c r="B60" s="204" t="s">
        <v>47</v>
      </c>
      <c r="C60" s="186"/>
      <c r="D60" s="201"/>
      <c r="E60" s="198"/>
      <c r="F60" s="184"/>
      <c r="G60" s="184"/>
      <c r="H60" s="186"/>
      <c r="I60" s="214"/>
    </row>
    <row r="61" spans="1:10" ht="15.75" customHeight="1">
      <c r="A61" s="195"/>
      <c r="B61" s="204"/>
      <c r="C61" s="186" t="str">
        <f>+C16</f>
        <v>เงินรับฝากประจำเดือนกรกฎาคม 2569</v>
      </c>
      <c r="D61" s="201"/>
      <c r="E61" s="198"/>
      <c r="F61" s="184"/>
      <c r="G61" s="184"/>
      <c r="H61" s="186"/>
      <c r="I61" s="214"/>
    </row>
    <row r="62" spans="1:10" ht="15.75" customHeight="1">
      <c r="A62" s="195"/>
      <c r="B62" s="204"/>
      <c r="C62" s="186" t="s">
        <v>18</v>
      </c>
      <c r="D62" s="227">
        <f>'agingปัจจุบันส่ง(ส่งบัญชี)'!Q1880</f>
        <v>418562.37</v>
      </c>
      <c r="E62" s="198"/>
      <c r="F62" s="184"/>
      <c r="G62" s="184"/>
      <c r="H62" s="186"/>
      <c r="I62" s="214">
        <v>627742.37</v>
      </c>
      <c r="J62" s="188">
        <f t="shared" ref="J62:J67" si="2">+D62-I62</f>
        <v>-209180</v>
      </c>
    </row>
    <row r="63" spans="1:10" ht="15.75" customHeight="1">
      <c r="A63" s="195"/>
      <c r="B63" s="204"/>
      <c r="C63" s="186" t="s">
        <v>596</v>
      </c>
      <c r="D63" s="227">
        <f>'agingปัจจุบันส่ง(ส่งบัญชี)'!Q1885</f>
        <v>0</v>
      </c>
      <c r="E63" s="198"/>
      <c r="F63" s="184"/>
      <c r="G63" s="184"/>
      <c r="H63" s="186"/>
      <c r="I63" s="214">
        <v>35272</v>
      </c>
      <c r="J63" s="188">
        <f t="shared" si="2"/>
        <v>-35272</v>
      </c>
    </row>
    <row r="64" spans="1:10" ht="15.75" customHeight="1">
      <c r="A64" s="195"/>
      <c r="B64" s="204"/>
      <c r="C64" s="20" t="s">
        <v>76</v>
      </c>
      <c r="D64" s="197">
        <f>+'agingปัจจุบันส่ง(ส่งบัญชี)'!Q1894</f>
        <v>10700</v>
      </c>
      <c r="E64" s="228"/>
      <c r="F64" s="185"/>
      <c r="G64" s="64"/>
      <c r="H64" s="186"/>
      <c r="I64" s="214">
        <v>6687.5</v>
      </c>
      <c r="J64" s="188">
        <f t="shared" si="2"/>
        <v>4012.5</v>
      </c>
    </row>
    <row r="65" spans="1:10" ht="15.75" customHeight="1">
      <c r="A65" s="195"/>
      <c r="B65" s="204"/>
      <c r="C65" s="20" t="s">
        <v>143</v>
      </c>
      <c r="D65" s="197">
        <f>+'agingปัจจุบันส่ง(ส่งบัญชี)'!Q1898</f>
        <v>1337.5</v>
      </c>
      <c r="E65" s="228"/>
      <c r="F65" s="185"/>
      <c r="G65" s="184"/>
      <c r="H65" s="184">
        <f>+G67-E66</f>
        <v>0</v>
      </c>
      <c r="I65" s="214">
        <v>1337.5</v>
      </c>
      <c r="J65" s="188">
        <f t="shared" si="2"/>
        <v>0</v>
      </c>
    </row>
    <row r="66" spans="1:10" ht="15.75" customHeight="1">
      <c r="A66" s="195"/>
      <c r="B66" s="204"/>
      <c r="C66" s="20" t="s">
        <v>99</v>
      </c>
      <c r="D66" s="197">
        <f>+'agingปัจจุบันส่ง(ส่งบัญชี)'!Q1931</f>
        <v>44940</v>
      </c>
      <c r="E66" s="228"/>
      <c r="F66" s="185"/>
      <c r="G66" s="184"/>
      <c r="H66" s="186"/>
      <c r="I66" s="214">
        <v>0</v>
      </c>
      <c r="J66" s="188">
        <f t="shared" si="2"/>
        <v>44940</v>
      </c>
    </row>
    <row r="67" spans="1:10" ht="15.75" customHeight="1">
      <c r="A67" s="195"/>
      <c r="B67" s="204"/>
      <c r="C67" s="20" t="s">
        <v>77</v>
      </c>
      <c r="D67" s="205">
        <f>+'agingปัจจุบันส่ง(ส่งบัญชี)'!Q1924</f>
        <v>2285</v>
      </c>
      <c r="E67" s="228">
        <f>SUM(D61:D67)</f>
        <v>477824.87</v>
      </c>
      <c r="F67" s="185"/>
      <c r="G67" s="184">
        <f>+'agingปัจจุบันส่ง(ส่งบัญชี)'!D1944</f>
        <v>0</v>
      </c>
      <c r="H67" s="186"/>
      <c r="I67" s="214">
        <v>0</v>
      </c>
      <c r="J67" s="188">
        <f t="shared" si="2"/>
        <v>2285</v>
      </c>
    </row>
    <row r="68" spans="1:10" ht="15.75" customHeight="1">
      <c r="A68" s="195">
        <f>+A60+1</f>
        <v>10</v>
      </c>
      <c r="B68" s="204" t="s">
        <v>147</v>
      </c>
      <c r="C68" s="186"/>
      <c r="D68" s="201"/>
      <c r="E68" s="198"/>
      <c r="F68" s="184"/>
      <c r="G68" s="184"/>
      <c r="H68" s="186"/>
      <c r="I68" s="214"/>
    </row>
    <row r="69" spans="1:10" ht="15.75" customHeight="1">
      <c r="A69" s="195"/>
      <c r="B69" s="204"/>
      <c r="C69" s="186" t="str">
        <f>+C16</f>
        <v>เงินรับฝากประจำเดือนกรกฎาคม 2569</v>
      </c>
      <c r="D69" s="201"/>
      <c r="E69" s="198"/>
      <c r="F69" s="184"/>
      <c r="G69" s="184"/>
      <c r="H69" s="186"/>
      <c r="I69" s="214"/>
    </row>
    <row r="70" spans="1:10" ht="15.75" customHeight="1">
      <c r="A70" s="195"/>
      <c r="B70" s="204"/>
      <c r="C70" s="186" t="s">
        <v>66</v>
      </c>
      <c r="D70" s="197">
        <f>+'agingปัจจุบันส่ง(ส่งบัญชี)'!Q1739</f>
        <v>45630</v>
      </c>
      <c r="E70" s="215"/>
      <c r="F70" s="186"/>
      <c r="G70" s="64"/>
      <c r="H70" s="186"/>
      <c r="I70" s="214">
        <v>141326</v>
      </c>
      <c r="J70" s="188">
        <f t="shared" ref="J70:J77" si="3">+D70-I70</f>
        <v>-95696</v>
      </c>
    </row>
    <row r="71" spans="1:10" ht="15.75" customHeight="1">
      <c r="A71" s="195"/>
      <c r="B71" s="204"/>
      <c r="C71" s="186" t="s">
        <v>68</v>
      </c>
      <c r="D71" s="199">
        <f>+'agingปัจจุบันส่ง(ส่งบัญชี)'!Q1831</f>
        <v>0</v>
      </c>
      <c r="E71" s="215"/>
      <c r="F71" s="186"/>
      <c r="G71" s="64"/>
      <c r="H71" s="186"/>
      <c r="I71" s="214">
        <v>0</v>
      </c>
      <c r="J71" s="188">
        <f t="shared" si="3"/>
        <v>0</v>
      </c>
    </row>
    <row r="72" spans="1:10" ht="15.75" customHeight="1">
      <c r="A72" s="195"/>
      <c r="B72" s="204"/>
      <c r="C72" s="186" t="s">
        <v>67</v>
      </c>
      <c r="D72" s="199">
        <f>+'agingปัจจุบันส่ง(ส่งบัญชี)'!Q1800</f>
        <v>0</v>
      </c>
      <c r="E72" s="215"/>
      <c r="F72" s="186"/>
      <c r="G72" s="64"/>
      <c r="H72" s="186"/>
      <c r="I72" s="214">
        <v>0</v>
      </c>
      <c r="J72" s="188">
        <f t="shared" si="3"/>
        <v>0</v>
      </c>
    </row>
    <row r="73" spans="1:10" ht="15.75" customHeight="1">
      <c r="A73" s="195"/>
      <c r="B73" s="204"/>
      <c r="C73" s="186" t="s">
        <v>163</v>
      </c>
      <c r="D73" s="199">
        <f>+'agingปัจจุบันส่ง(ส่งบัญชี)'!Q1749+'agingปัจจุบันส่ง(ส่งบัญชี)'!Q1744</f>
        <v>2645</v>
      </c>
      <c r="E73" s="215"/>
      <c r="F73" s="186"/>
      <c r="G73" s="64"/>
      <c r="H73" s="186"/>
      <c r="I73" s="214">
        <v>22894</v>
      </c>
      <c r="J73" s="188">
        <f t="shared" si="3"/>
        <v>-20249</v>
      </c>
    </row>
    <row r="74" spans="1:10" ht="15.75" customHeight="1">
      <c r="A74" s="195"/>
      <c r="B74" s="204"/>
      <c r="C74" s="186" t="s">
        <v>99</v>
      </c>
      <c r="D74" s="199">
        <f>+'agingปัจจุบันส่ง(ส่งบัญชี)'!Q1844</f>
        <v>5350</v>
      </c>
      <c r="E74" s="215"/>
      <c r="F74" s="186"/>
      <c r="G74" s="64"/>
      <c r="H74" s="186"/>
      <c r="I74" s="214">
        <v>9737</v>
      </c>
      <c r="J74" s="188">
        <f t="shared" si="3"/>
        <v>-4387</v>
      </c>
    </row>
    <row r="75" spans="1:10" s="219" customFormat="1" ht="15.75" customHeight="1">
      <c r="A75" s="216"/>
      <c r="B75" s="229"/>
      <c r="C75" s="209" t="s">
        <v>143</v>
      </c>
      <c r="D75" s="220">
        <f>+'agingปัจจุบันส่ง(ส่งบัญชี)'!Q1771</f>
        <v>0</v>
      </c>
      <c r="E75" s="215"/>
      <c r="F75" s="209"/>
      <c r="H75" s="209"/>
      <c r="I75" s="221">
        <v>0</v>
      </c>
      <c r="J75" s="222"/>
    </row>
    <row r="76" spans="1:10" ht="15.75" customHeight="1">
      <c r="A76" s="195"/>
      <c r="B76" s="204"/>
      <c r="C76" s="186" t="s">
        <v>73</v>
      </c>
      <c r="D76" s="197">
        <f>+'agingปัจจุบันส่ง(ส่งบัญชี)'!Q1838</f>
        <v>0</v>
      </c>
      <c r="E76" s="215"/>
      <c r="F76" s="186"/>
      <c r="G76" s="64"/>
      <c r="H76" s="184">
        <f>+G77-E77</f>
        <v>-54909</v>
      </c>
      <c r="I76" s="214">
        <v>0</v>
      </c>
      <c r="J76" s="188">
        <f t="shared" si="3"/>
        <v>0</v>
      </c>
    </row>
    <row r="77" spans="1:10" ht="15.75" customHeight="1">
      <c r="A77" s="195"/>
      <c r="B77" s="204"/>
      <c r="C77" s="186" t="s">
        <v>77</v>
      </c>
      <c r="D77" s="205">
        <f>+'agingปัจจุบันส่ง(ส่งบัญชี)'!Q1760</f>
        <v>1284</v>
      </c>
      <c r="E77" s="198">
        <f>SUM(D70:D77)</f>
        <v>54909</v>
      </c>
      <c r="F77" s="184"/>
      <c r="G77" s="184">
        <f>+'agingปัจจุบันส่ง(ส่งบัญชี)'!D1861</f>
        <v>0</v>
      </c>
      <c r="H77" s="186"/>
      <c r="I77" s="214">
        <v>2889</v>
      </c>
      <c r="J77" s="188">
        <f t="shared" si="3"/>
        <v>-1605</v>
      </c>
    </row>
    <row r="78" spans="1:10" ht="15.75" customHeight="1">
      <c r="A78" s="195">
        <f>+A68+1</f>
        <v>11</v>
      </c>
      <c r="B78" s="204" t="s">
        <v>4</v>
      </c>
      <c r="C78" s="186"/>
      <c r="D78" s="201"/>
      <c r="E78" s="198"/>
      <c r="F78" s="184"/>
      <c r="G78" s="184"/>
      <c r="H78" s="186"/>
      <c r="I78" s="214"/>
    </row>
    <row r="79" spans="1:10" ht="15" customHeight="1">
      <c r="A79" s="195"/>
      <c r="B79" s="204"/>
      <c r="C79" s="186" t="str">
        <f>+C16</f>
        <v>เงินรับฝากประจำเดือนกรกฎาคม 2569</v>
      </c>
      <c r="D79" s="201"/>
      <c r="E79" s="198"/>
      <c r="F79" s="184"/>
      <c r="G79" s="184"/>
      <c r="H79" s="186"/>
      <c r="I79" s="214"/>
    </row>
    <row r="80" spans="1:10" ht="15.75" customHeight="1">
      <c r="A80" s="195"/>
      <c r="B80" s="204"/>
      <c r="C80" s="186" t="s">
        <v>66</v>
      </c>
      <c r="D80" s="203">
        <f>+'agingปัจจุบันส่ง(ส่งบัญชี)'!Q1712</f>
        <v>0</v>
      </c>
      <c r="E80" s="198">
        <f>SUM(D80:D80)</f>
        <v>0</v>
      </c>
      <c r="F80" s="184"/>
      <c r="G80" s="184">
        <f>+'agingปัจจุบันส่ง(ส่งบัญชี)'!D1712</f>
        <v>0</v>
      </c>
      <c r="H80" s="186"/>
      <c r="I80" s="214">
        <v>0</v>
      </c>
      <c r="J80" s="188">
        <f>+D80-I80</f>
        <v>0</v>
      </c>
    </row>
    <row r="81" spans="1:10" ht="15.75" customHeight="1">
      <c r="A81" s="195">
        <f>+A78+1</f>
        <v>12</v>
      </c>
      <c r="B81" s="204" t="s">
        <v>142</v>
      </c>
      <c r="C81" s="186"/>
      <c r="D81" s="201"/>
      <c r="E81" s="198"/>
      <c r="F81" s="184"/>
      <c r="G81" s="184"/>
      <c r="H81" s="186"/>
      <c r="I81" s="214"/>
    </row>
    <row r="82" spans="1:10" ht="15.75" customHeight="1">
      <c r="A82" s="195"/>
      <c r="B82" s="204"/>
      <c r="C82" s="186" t="str">
        <f>+C16</f>
        <v>เงินรับฝากประจำเดือนกรกฎาคม 2569</v>
      </c>
      <c r="D82" s="201"/>
      <c r="E82" s="198"/>
      <c r="F82" s="184"/>
      <c r="G82" s="184"/>
      <c r="H82" s="186"/>
      <c r="I82" s="214"/>
    </row>
    <row r="83" spans="1:10" ht="15.75" customHeight="1">
      <c r="A83" s="195"/>
      <c r="B83" s="204"/>
      <c r="C83" s="186" t="s">
        <v>66</v>
      </c>
      <c r="D83" s="201">
        <f>+'agingปัจจุบันส่ง(ส่งบัญชี)'!O2870</f>
        <v>0</v>
      </c>
      <c r="E83" s="198">
        <f>SUM(D83:D83)</f>
        <v>0</v>
      </c>
      <c r="F83" s="184"/>
      <c r="G83" s="184">
        <f>+'agingปัจจุบันส่ง(ส่งบัญชี)'!D2892</f>
        <v>0</v>
      </c>
      <c r="H83" s="186"/>
      <c r="I83" s="214">
        <v>9900</v>
      </c>
      <c r="J83" s="188">
        <f>+D83-I83</f>
        <v>-9900</v>
      </c>
    </row>
    <row r="84" spans="1:10" ht="15.75" customHeight="1">
      <c r="A84" s="195"/>
      <c r="B84" s="204"/>
      <c r="C84" s="20" t="s">
        <v>76</v>
      </c>
      <c r="D84" s="201"/>
      <c r="E84" s="198"/>
      <c r="F84" s="184"/>
      <c r="G84" s="184"/>
      <c r="H84" s="186"/>
      <c r="I84" s="214"/>
    </row>
    <row r="85" spans="1:10" ht="15.75" customHeight="1">
      <c r="A85" s="195"/>
      <c r="B85" s="204"/>
      <c r="C85" s="186" t="s">
        <v>77</v>
      </c>
      <c r="D85" s="203">
        <f>+'agingปัจจุบันส่ง(ส่งบัญชี)'!Q2881</f>
        <v>0</v>
      </c>
      <c r="E85" s="198">
        <f>SUM(D85:D85)</f>
        <v>0</v>
      </c>
      <c r="F85" s="184"/>
      <c r="G85" s="184">
        <f>+'agingปัจจุบันส่ง(ส่งบัญชี)'!D2894</f>
        <v>0</v>
      </c>
      <c r="H85" s="186"/>
      <c r="I85" s="214">
        <v>9900</v>
      </c>
      <c r="J85" s="188">
        <f>+D85-I85</f>
        <v>-9900</v>
      </c>
    </row>
    <row r="86" spans="1:10" ht="15.75" customHeight="1">
      <c r="A86" s="195">
        <f>+A81+1</f>
        <v>13</v>
      </c>
      <c r="B86" s="204" t="s">
        <v>69</v>
      </c>
      <c r="C86" s="186"/>
      <c r="D86" s="201"/>
      <c r="E86" s="198"/>
      <c r="F86" s="184"/>
      <c r="G86" s="184"/>
      <c r="H86" s="186"/>
      <c r="I86" s="214"/>
    </row>
    <row r="87" spans="1:10" ht="15.75" customHeight="1">
      <c r="A87" s="195"/>
      <c r="B87" s="204"/>
      <c r="C87" s="186" t="str">
        <f>+C16</f>
        <v>เงินรับฝากประจำเดือนกรกฎาคม 2569</v>
      </c>
      <c r="D87" s="201"/>
      <c r="E87" s="198"/>
      <c r="F87" s="184"/>
      <c r="G87" s="184"/>
      <c r="H87" s="186"/>
      <c r="I87" s="214"/>
    </row>
    <row r="88" spans="1:10" ht="15.75" customHeight="1">
      <c r="A88" s="195"/>
      <c r="B88" s="204"/>
      <c r="C88" s="186" t="s">
        <v>66</v>
      </c>
      <c r="D88" s="201">
        <f>+'agingปัจจุบันส่ง(ส่งบัญชี)'!Q1687</f>
        <v>841.69</v>
      </c>
      <c r="E88" s="198"/>
      <c r="F88" s="184"/>
      <c r="G88" s="184"/>
      <c r="H88" s="186"/>
      <c r="I88" s="214">
        <v>1900.62</v>
      </c>
      <c r="J88" s="188">
        <f>+D88-I88</f>
        <v>-1058.9299999999998</v>
      </c>
    </row>
    <row r="89" spans="1:10" ht="15.75" customHeight="1">
      <c r="A89" s="195"/>
      <c r="B89" s="204"/>
      <c r="C89" s="186" t="s">
        <v>99</v>
      </c>
      <c r="D89" s="201">
        <f>+'agingปัจจุบันส่ง(ส่งบัญชี)'!Q1694</f>
        <v>0</v>
      </c>
      <c r="E89" s="198"/>
      <c r="F89" s="184"/>
      <c r="G89" s="184"/>
      <c r="H89" s="186"/>
      <c r="I89" s="214">
        <v>0</v>
      </c>
      <c r="J89" s="188">
        <f>+D89-I89</f>
        <v>0</v>
      </c>
    </row>
    <row r="90" spans="1:10" ht="15.75" customHeight="1">
      <c r="A90" s="195"/>
      <c r="B90" s="204"/>
      <c r="C90" s="186" t="s">
        <v>68</v>
      </c>
      <c r="D90" s="201">
        <f>+'agingปัจจุบันส่ง(ส่งบัญชี)'!Q1698</f>
        <v>0</v>
      </c>
      <c r="E90" s="198"/>
      <c r="F90" s="184"/>
      <c r="G90" s="184"/>
      <c r="H90" s="186"/>
      <c r="I90" s="214">
        <v>44.97</v>
      </c>
      <c r="J90" s="188">
        <f>+D90-I90</f>
        <v>-44.97</v>
      </c>
    </row>
    <row r="91" spans="1:10" ht="15.75" customHeight="1">
      <c r="A91" s="195"/>
      <c r="B91" s="204"/>
      <c r="C91" s="64" t="s">
        <v>143</v>
      </c>
      <c r="D91" s="203">
        <f>+'agingปัจจุบันส่ง(ส่งบัญชี)'!R1702</f>
        <v>0</v>
      </c>
      <c r="E91" s="198">
        <f>SUM(D87:D91)</f>
        <v>841.69</v>
      </c>
      <c r="F91" s="184"/>
      <c r="G91" s="184">
        <f>+'agingปัจจุบันส่ง(ส่งบัญชี)'!D1707</f>
        <v>0</v>
      </c>
      <c r="H91" s="186"/>
      <c r="I91" s="214">
        <v>0</v>
      </c>
      <c r="J91" s="188">
        <f>+D91-I91</f>
        <v>0</v>
      </c>
    </row>
    <row r="92" spans="1:10" ht="15.75" customHeight="1">
      <c r="A92" s="195">
        <f>+A86+1</f>
        <v>14</v>
      </c>
      <c r="B92" s="204" t="s">
        <v>107</v>
      </c>
      <c r="C92" s="186"/>
      <c r="D92" s="201"/>
      <c r="E92" s="198"/>
      <c r="F92" s="184"/>
      <c r="G92" s="184"/>
      <c r="H92" s="186"/>
      <c r="I92" s="214"/>
    </row>
    <row r="93" spans="1:10" ht="14.4" customHeight="1">
      <c r="A93" s="195"/>
      <c r="B93" s="204"/>
      <c r="C93" s="186" t="str">
        <f>+C16</f>
        <v>เงินรับฝากประจำเดือนกรกฎาคม 2569</v>
      </c>
      <c r="D93" s="201"/>
      <c r="E93" s="198"/>
      <c r="F93" s="184"/>
      <c r="G93" s="184"/>
      <c r="H93" s="186"/>
      <c r="I93" s="214"/>
    </row>
    <row r="94" spans="1:10" ht="14.4" customHeight="1">
      <c r="A94" s="195"/>
      <c r="B94" s="204"/>
      <c r="C94" s="186" t="s">
        <v>66</v>
      </c>
      <c r="D94" s="201">
        <f>+'agingปัจจุบันส่ง(ส่งบัญชี)'!Q2914</f>
        <v>11200</v>
      </c>
      <c r="E94" s="198"/>
      <c r="F94" s="184"/>
      <c r="G94" s="184"/>
      <c r="H94" s="186"/>
      <c r="I94" s="214">
        <v>52080</v>
      </c>
      <c r="J94" s="188">
        <f>+D94-I94</f>
        <v>-40880</v>
      </c>
    </row>
    <row r="95" spans="1:10" ht="14.4" customHeight="1">
      <c r="A95" s="195"/>
      <c r="B95" s="204"/>
      <c r="C95" s="186" t="s">
        <v>1473</v>
      </c>
      <c r="D95" s="201">
        <f>+'agingปัจจุบันส่ง(ส่งบัญชี)'!Q2925</f>
        <v>0</v>
      </c>
      <c r="E95" s="198"/>
      <c r="F95" s="184"/>
      <c r="G95" s="184"/>
      <c r="H95" s="186"/>
      <c r="I95" s="214">
        <v>0</v>
      </c>
      <c r="J95" s="188">
        <f>+D95-I95</f>
        <v>0</v>
      </c>
    </row>
    <row r="96" spans="1:10" ht="14.4" customHeight="1">
      <c r="A96" s="195"/>
      <c r="B96" s="204"/>
      <c r="C96" s="186" t="s">
        <v>77</v>
      </c>
      <c r="D96" s="203">
        <f>+'agingปัจจุบันส่ง(ส่งบัญชี)'!Q2946</f>
        <v>0</v>
      </c>
      <c r="E96" s="198">
        <f>SUM(D94:D96)</f>
        <v>11200</v>
      </c>
      <c r="F96" s="184"/>
      <c r="G96" s="184">
        <f>+'agingปัจจุบันส่ง(ส่งบัญชี)'!D3008</f>
        <v>0</v>
      </c>
      <c r="H96" s="186"/>
      <c r="I96" s="214">
        <v>0</v>
      </c>
      <c r="J96" s="188">
        <f>+D96-I96</f>
        <v>0</v>
      </c>
    </row>
    <row r="97" spans="1:10" ht="15.75" customHeight="1">
      <c r="A97" s="195">
        <f>+A92+1</f>
        <v>15</v>
      </c>
      <c r="B97" s="204" t="s">
        <v>79</v>
      </c>
      <c r="C97" s="186"/>
      <c r="D97" s="201"/>
      <c r="E97" s="198"/>
      <c r="F97" s="184"/>
      <c r="G97" s="184"/>
      <c r="H97" s="186"/>
      <c r="I97" s="214"/>
    </row>
    <row r="98" spans="1:10" ht="15.75" customHeight="1">
      <c r="A98" s="195"/>
      <c r="B98" s="204"/>
      <c r="C98" s="186" t="str">
        <f>+C16</f>
        <v>เงินรับฝากประจำเดือนกรกฎาคม 2569</v>
      </c>
      <c r="D98" s="201"/>
      <c r="E98" s="198"/>
      <c r="F98" s="184"/>
      <c r="G98" s="184"/>
      <c r="H98" s="186"/>
      <c r="I98" s="214"/>
    </row>
    <row r="99" spans="1:10" ht="15.75" customHeight="1">
      <c r="A99" s="195"/>
      <c r="B99" s="204"/>
      <c r="C99" s="186" t="s">
        <v>66</v>
      </c>
      <c r="D99" s="201">
        <f>+'agingปัจจุบันส่ง(ส่งบัญชี)'!Q2055</f>
        <v>27387</v>
      </c>
      <c r="E99" s="198"/>
      <c r="F99" s="184"/>
      <c r="H99" s="186"/>
      <c r="I99" s="214">
        <v>9486</v>
      </c>
      <c r="J99" s="188">
        <f>+D99-I99</f>
        <v>17901</v>
      </c>
    </row>
    <row r="100" spans="1:10" ht="15.75" customHeight="1">
      <c r="A100" s="195"/>
      <c r="B100" s="204"/>
      <c r="C100" s="186" t="s">
        <v>99</v>
      </c>
      <c r="D100" s="201">
        <f>+'agingปัจจุบันส่ง(ส่งบัญชี)'!Q2197</f>
        <v>47526</v>
      </c>
      <c r="E100" s="215"/>
      <c r="F100" s="186"/>
      <c r="G100" s="184">
        <f>+'agingปัจจุบันส่ง(ส่งบัญชี)'!D2851</f>
        <v>0</v>
      </c>
      <c r="H100" s="186"/>
      <c r="I100" s="214">
        <v>0</v>
      </c>
      <c r="J100" s="188">
        <f>+D100-I100</f>
        <v>47526</v>
      </c>
    </row>
    <row r="101" spans="1:10" ht="15.75" customHeight="1">
      <c r="A101" s="195"/>
      <c r="B101" s="204"/>
      <c r="C101" s="186" t="s">
        <v>163</v>
      </c>
      <c r="D101" s="201">
        <f>+'agingปัจจุบันส่ง(ส่งบัญชี)'!Q2100</f>
        <v>2000</v>
      </c>
      <c r="E101" s="198"/>
      <c r="F101" s="184"/>
      <c r="G101" s="184"/>
      <c r="H101" s="186"/>
      <c r="I101" s="214">
        <v>35016</v>
      </c>
      <c r="J101" s="188">
        <f>+D101-I101</f>
        <v>-33016</v>
      </c>
    </row>
    <row r="102" spans="1:10" ht="15.75" customHeight="1">
      <c r="A102" s="195"/>
      <c r="B102" s="204"/>
      <c r="C102" s="186" t="s">
        <v>76</v>
      </c>
      <c r="D102" s="201">
        <f>+'agingปัจจุบันส่ง(ส่งบัญชี)'!Q2110</f>
        <v>0</v>
      </c>
      <c r="E102" s="198"/>
      <c r="F102" s="184"/>
      <c r="G102" s="184"/>
      <c r="H102" s="186"/>
      <c r="I102" s="214"/>
    </row>
    <row r="103" spans="1:10" ht="15.75" customHeight="1">
      <c r="A103" s="195"/>
      <c r="B103" s="204"/>
      <c r="C103" s="186" t="s">
        <v>143</v>
      </c>
      <c r="D103" s="201">
        <f>+'agingปัจจุบันส่ง(ส่งบัญชี)'!Q2262</f>
        <v>0</v>
      </c>
      <c r="E103" s="198"/>
      <c r="F103" s="184"/>
      <c r="G103" s="184"/>
      <c r="H103" s="186"/>
      <c r="I103" s="214"/>
    </row>
    <row r="104" spans="1:10" ht="15.75" customHeight="1">
      <c r="A104" s="195"/>
      <c r="B104" s="204"/>
      <c r="C104" s="186" t="s">
        <v>77</v>
      </c>
      <c r="D104" s="201">
        <f>+'agingปัจจุบันส่ง(ส่งบัญชี)'!Q2116</f>
        <v>0</v>
      </c>
      <c r="E104" s="198"/>
      <c r="F104" s="184"/>
      <c r="G104" s="184"/>
      <c r="H104" s="186"/>
      <c r="I104" s="214"/>
    </row>
    <row r="105" spans="1:10" ht="15.75" customHeight="1">
      <c r="A105" s="195"/>
      <c r="B105" s="204"/>
      <c r="C105" s="186" t="s">
        <v>216</v>
      </c>
      <c r="D105" s="201">
        <f>+'agingปัจจุบันส่ง(ส่งบัญชี)'!Q2843</f>
        <v>2511</v>
      </c>
      <c r="E105" s="198"/>
      <c r="F105" s="184"/>
      <c r="G105" s="184"/>
      <c r="H105" s="186"/>
      <c r="I105" s="214"/>
    </row>
    <row r="106" spans="1:10" ht="15.75" customHeight="1">
      <c r="A106" s="195"/>
      <c r="B106" s="204"/>
      <c r="C106" s="186" t="s">
        <v>68</v>
      </c>
      <c r="D106" s="201">
        <f>+'agingปัจจุบันส่ง(ส่งบัญชี)'!Q2343</f>
        <v>0</v>
      </c>
      <c r="E106" s="198"/>
      <c r="F106" s="184"/>
      <c r="G106" s="184"/>
      <c r="H106" s="186"/>
      <c r="I106" s="214">
        <v>856</v>
      </c>
    </row>
    <row r="107" spans="1:10" ht="15.75" customHeight="1">
      <c r="A107" s="195"/>
      <c r="B107" s="204"/>
      <c r="C107" s="186" t="s">
        <v>67</v>
      </c>
      <c r="D107" s="201">
        <f>+'agingปัจจุบันส่ง(ส่งบัญชี)'!Q2307</f>
        <v>1498</v>
      </c>
      <c r="E107" s="198"/>
      <c r="F107" s="184"/>
      <c r="G107" s="184"/>
      <c r="H107" s="186"/>
      <c r="I107" s="214">
        <v>1391</v>
      </c>
    </row>
    <row r="108" spans="1:10" ht="15.75" customHeight="1">
      <c r="A108" s="195"/>
      <c r="B108" s="204"/>
      <c r="C108" s="186" t="s">
        <v>73</v>
      </c>
      <c r="D108" s="203">
        <f>+'agingปัจจุบันส่ง(ส่งบัญชี)'!Q2820</f>
        <v>690809.2</v>
      </c>
      <c r="E108" s="198">
        <f>SUM(D99:D108)</f>
        <v>771731.2</v>
      </c>
      <c r="F108" s="184"/>
      <c r="G108" s="184"/>
      <c r="H108" s="186"/>
      <c r="I108" s="214">
        <v>235.4</v>
      </c>
    </row>
    <row r="109" spans="1:10" ht="15.75" customHeight="1">
      <c r="A109" s="195">
        <f>+A97+1</f>
        <v>16</v>
      </c>
      <c r="B109" s="204" t="s">
        <v>42</v>
      </c>
      <c r="C109" s="186"/>
      <c r="D109" s="201"/>
      <c r="E109" s="198"/>
      <c r="F109" s="184"/>
      <c r="G109" s="184"/>
      <c r="H109" s="186"/>
      <c r="I109" s="214"/>
    </row>
    <row r="110" spans="1:10" ht="12.75" customHeight="1">
      <c r="A110" s="195"/>
      <c r="B110" s="204"/>
      <c r="C110" s="186" t="str">
        <f>+C16</f>
        <v>เงินรับฝากประจำเดือนกรกฎาคม 2569</v>
      </c>
      <c r="D110" s="184"/>
      <c r="E110" s="198"/>
      <c r="F110" s="184"/>
      <c r="G110" s="184"/>
      <c r="H110" s="186"/>
      <c r="I110" s="214"/>
    </row>
    <row r="111" spans="1:10" ht="12.75" customHeight="1">
      <c r="A111" s="195"/>
      <c r="B111" s="204"/>
      <c r="C111" s="186" t="s">
        <v>66</v>
      </c>
      <c r="D111" s="184">
        <f>+'agingปัจจุบันส่ง(ส่งบัญชี)'!Q3029</f>
        <v>0</v>
      </c>
      <c r="E111" s="198"/>
      <c r="F111" s="184"/>
      <c r="G111" s="64"/>
      <c r="H111" s="186"/>
      <c r="I111" s="214">
        <v>0</v>
      </c>
      <c r="J111" s="188">
        <f>+D111-I111</f>
        <v>0</v>
      </c>
    </row>
    <row r="112" spans="1:10" ht="12.75" customHeight="1">
      <c r="A112" s="195"/>
      <c r="B112" s="204"/>
      <c r="C112" s="186" t="s">
        <v>163</v>
      </c>
      <c r="D112" s="184">
        <f>'agingปัจจุบันส่ง(ส่งบัญชี)'!Q3034</f>
        <v>0</v>
      </c>
      <c r="E112" s="198"/>
      <c r="F112" s="184"/>
      <c r="G112" s="64"/>
      <c r="H112" s="186"/>
      <c r="I112" s="214">
        <v>0</v>
      </c>
    </row>
    <row r="113" spans="1:10" ht="12.75" customHeight="1">
      <c r="A113" s="195"/>
      <c r="B113" s="204"/>
      <c r="C113" s="20" t="s">
        <v>76</v>
      </c>
      <c r="D113" s="184">
        <f>+'agingปัจจุบันส่ง(ส่งบัญชี)'!Q3043</f>
        <v>0</v>
      </c>
      <c r="E113" s="198"/>
      <c r="F113" s="184"/>
      <c r="G113" s="64"/>
      <c r="H113" s="186"/>
      <c r="I113" s="214">
        <v>0</v>
      </c>
    </row>
    <row r="114" spans="1:10" ht="14.4" customHeight="1">
      <c r="A114" s="195"/>
      <c r="B114" s="204"/>
      <c r="C114" s="186" t="s">
        <v>99</v>
      </c>
      <c r="D114" s="201">
        <f>+'agingปัจจุบันส่ง(ส่งบัญชี)'!Q3051</f>
        <v>0</v>
      </c>
      <c r="E114" s="198"/>
      <c r="F114" s="184"/>
      <c r="G114" s="64"/>
      <c r="H114" s="186"/>
      <c r="I114" s="214">
        <v>0</v>
      </c>
    </row>
    <row r="115" spans="1:10" ht="14.4" customHeight="1">
      <c r="A115" s="123"/>
      <c r="B115" s="230"/>
      <c r="C115" s="231" t="s">
        <v>237</v>
      </c>
      <c r="D115" s="208">
        <f>+'agingปัจจุบันส่ง(ส่งบัญชี)'!Q3060</f>
        <v>0</v>
      </c>
      <c r="E115" s="232">
        <f>SUM(D111:D115)</f>
        <v>0</v>
      </c>
      <c r="F115" s="184"/>
      <c r="H115" s="186"/>
      <c r="I115" s="214">
        <v>0</v>
      </c>
      <c r="J115" s="188">
        <f>+D115-I115</f>
        <v>0</v>
      </c>
    </row>
    <row r="116" spans="1:10" ht="15.75" customHeight="1" thickBot="1">
      <c r="C116" s="79" t="s">
        <v>26</v>
      </c>
      <c r="D116" s="184"/>
      <c r="E116" s="233">
        <f>SUM(E6:E115)</f>
        <v>1394738.75</v>
      </c>
      <c r="F116" s="184"/>
      <c r="G116" s="184"/>
      <c r="H116" s="184"/>
      <c r="I116" s="214">
        <f>SUM(I8:I115)</f>
        <v>2211476.9000000004</v>
      </c>
      <c r="J116" s="185" t="e">
        <f>SUM(J8:J115)</f>
        <v>#VALUE!</v>
      </c>
    </row>
    <row r="117" spans="1:10" ht="15.75" customHeight="1" thickTop="1">
      <c r="A117" s="177" t="s">
        <v>255</v>
      </c>
      <c r="B117" s="186"/>
      <c r="C117" s="186"/>
      <c r="D117" s="184"/>
      <c r="G117" s="184"/>
      <c r="H117" s="186"/>
      <c r="I117" s="234"/>
    </row>
    <row r="118" spans="1:10" ht="15.75" customHeight="1">
      <c r="A118" s="20"/>
      <c r="B118" s="186"/>
      <c r="C118" s="186"/>
      <c r="D118" s="184"/>
      <c r="F118" s="184"/>
      <c r="G118" s="184"/>
      <c r="H118" s="186"/>
      <c r="I118" s="214"/>
      <c r="J118" s="235">
        <f>+E116-I116</f>
        <v>-816738.15000000037</v>
      </c>
    </row>
    <row r="119" spans="1:10" ht="16.5" customHeight="1">
      <c r="A119" s="20"/>
      <c r="B119" s="20"/>
      <c r="C119" s="20"/>
      <c r="D119" s="184"/>
      <c r="F119" s="184"/>
      <c r="G119" s="184"/>
      <c r="H119" s="186"/>
      <c r="I119" s="214"/>
    </row>
    <row r="120" spans="1:10" ht="27.75" customHeight="1">
      <c r="A120" s="209"/>
      <c r="B120" s="20"/>
      <c r="C120" s="20"/>
      <c r="E120" s="206">
        <f>+'agingปัจจุบันส่ง(ส่งบัญชี)'!D3065</f>
        <v>0</v>
      </c>
      <c r="F120" s="78"/>
      <c r="G120" s="184"/>
      <c r="H120" s="186"/>
    </row>
    <row r="121" spans="1:10" ht="15.75" customHeight="1">
      <c r="A121" s="20"/>
      <c r="B121" s="20"/>
      <c r="C121" s="20"/>
      <c r="E121" s="206">
        <f>E120-E116</f>
        <v>-1394738.75</v>
      </c>
      <c r="G121" s="184"/>
      <c r="H121" s="186"/>
    </row>
    <row r="122" spans="1:10" ht="15.75" customHeight="1">
      <c r="A122" s="20"/>
      <c r="B122" s="20"/>
      <c r="C122" s="20"/>
      <c r="E122" s="199"/>
    </row>
    <row r="123" spans="1:10" ht="15.75" customHeight="1">
      <c r="A123" s="20"/>
      <c r="B123" s="20"/>
      <c r="C123" s="20"/>
      <c r="E123" s="199"/>
    </row>
  </sheetData>
  <mergeCells count="3">
    <mergeCell ref="A1:E1"/>
    <mergeCell ref="A2:E2"/>
    <mergeCell ref="A3:E3"/>
  </mergeCells>
  <phoneticPr fontId="3" type="noConversion"/>
  <printOptions horizontalCentered="1"/>
  <pageMargins left="0.3" right="0.25" top="0.39" bottom="0.44" header="0.12" footer="0.15"/>
  <pageSetup paperSize="9" scale="80" orientation="portrait" r:id="rId1"/>
  <headerFooter alignWithMargins="0">
    <oddHeader>&amp;Rหน้าที่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0F4E-956B-4B52-8CE4-4D02611B34C2}">
  <sheetPr>
    <tabColor rgb="FFFF0000"/>
  </sheetPr>
  <dimension ref="A1:Y3151"/>
  <sheetViews>
    <sheetView zoomScale="71" zoomScaleNormal="71" zoomScaleSheetLayoutView="50" workbookViewId="0">
      <pane ySplit="5" topLeftCell="A15" activePane="bottomLeft" state="frozen"/>
      <selection activeCell="L18" sqref="L18"/>
      <selection pane="bottomLeft" activeCell="I3000" sqref="I3000"/>
    </sheetView>
  </sheetViews>
  <sheetFormatPr defaultColWidth="9.109375" defaultRowHeight="27.75" customHeight="1"/>
  <cols>
    <col min="1" max="1" width="5.6640625" style="331" customWidth="1"/>
    <col min="2" max="2" width="27.44140625" style="387" customWidth="1"/>
    <col min="3" max="3" width="23.109375" style="411" customWidth="1"/>
    <col min="4" max="4" width="18.33203125" style="410" customWidth="1"/>
    <col min="5" max="5" width="16.109375" style="335" customWidth="1"/>
    <col min="6" max="6" width="7.33203125" style="331" customWidth="1"/>
    <col min="7" max="7" width="17" style="336" customWidth="1"/>
    <col min="8" max="8" width="17.33203125" style="580" customWidth="1"/>
    <col min="9" max="9" width="14.33203125" style="331" customWidth="1"/>
    <col min="10" max="10" width="18.109375" style="338" customWidth="1"/>
    <col min="11" max="11" width="15.6640625" style="329" customWidth="1"/>
    <col min="12" max="12" width="18.5546875" style="329" customWidth="1"/>
    <col min="13" max="13" width="8.33203125" style="330" customWidth="1"/>
    <col min="14" max="14" width="23.44140625" style="289" customWidth="1"/>
    <col min="15" max="15" width="24.109375" style="289" customWidth="1"/>
    <col min="16" max="16" width="23.6640625" style="289" customWidth="1"/>
    <col min="17" max="17" width="23.5546875" style="289" customWidth="1"/>
    <col min="18" max="18" width="27.5546875" style="290" customWidth="1"/>
    <col min="19" max="19" width="21.33203125" style="291" customWidth="1"/>
    <col min="20" max="20" width="19.6640625" style="291" customWidth="1"/>
    <col min="21" max="21" width="25.33203125" style="291" customWidth="1"/>
    <col min="22" max="22" width="17" style="291" customWidth="1"/>
    <col min="23" max="23" width="9.109375" style="290"/>
    <col min="24" max="24" width="12.44140625" style="290" customWidth="1"/>
    <col min="25" max="16384" width="9.109375" style="290"/>
  </cols>
  <sheetData>
    <row r="1" spans="1:22" ht="27.75" customHeight="1" thickBot="1">
      <c r="A1" s="1523" t="s">
        <v>102</v>
      </c>
      <c r="B1" s="1524"/>
      <c r="C1" s="1524"/>
      <c r="D1" s="1524"/>
      <c r="E1" s="1524"/>
      <c r="F1" s="1524"/>
      <c r="G1" s="1524"/>
      <c r="H1" s="1524"/>
      <c r="I1" s="1524"/>
      <c r="J1" s="1525"/>
      <c r="K1" s="285"/>
      <c r="L1" s="285"/>
      <c r="M1" s="286"/>
      <c r="N1" s="287" t="s">
        <v>91</v>
      </c>
      <c r="O1" s="288" t="s">
        <v>177</v>
      </c>
    </row>
    <row r="2" spans="1:22" ht="27.75" customHeight="1" thickBot="1">
      <c r="A2" s="1526" t="s">
        <v>246</v>
      </c>
      <c r="B2" s="1527"/>
      <c r="C2" s="1527"/>
      <c r="D2" s="1527"/>
      <c r="E2" s="1527"/>
      <c r="F2" s="1527"/>
      <c r="G2" s="1527"/>
      <c r="H2" s="1527"/>
      <c r="I2" s="1527"/>
      <c r="J2" s="1528"/>
      <c r="K2" s="292"/>
      <c r="L2" s="292"/>
      <c r="M2" s="293"/>
      <c r="N2" s="294" t="s">
        <v>944</v>
      </c>
      <c r="O2" s="295" t="s">
        <v>945</v>
      </c>
      <c r="R2" s="296"/>
      <c r="S2" s="1521" t="s">
        <v>813</v>
      </c>
      <c r="T2" s="1522"/>
      <c r="U2" s="297"/>
    </row>
    <row r="3" spans="1:22" ht="27.75" customHeight="1" thickBot="1">
      <c r="A3" s="1529" t="s">
        <v>3406</v>
      </c>
      <c r="B3" s="1530"/>
      <c r="C3" s="1530"/>
      <c r="D3" s="1530"/>
      <c r="E3" s="1530"/>
      <c r="F3" s="1530"/>
      <c r="G3" s="1530"/>
      <c r="H3" s="1530"/>
      <c r="I3" s="1530"/>
      <c r="J3" s="1531"/>
      <c r="K3" s="293"/>
      <c r="L3" s="292"/>
      <c r="M3" s="293"/>
      <c r="N3" s="287" t="s">
        <v>89</v>
      </c>
      <c r="S3" s="291" t="s">
        <v>814</v>
      </c>
      <c r="T3" s="291">
        <v>1</v>
      </c>
      <c r="U3" s="291" t="s">
        <v>815</v>
      </c>
      <c r="V3" s="291" t="s">
        <v>816</v>
      </c>
    </row>
    <row r="4" spans="1:22" s="309" customFormat="1" ht="27.75" customHeight="1" thickTop="1">
      <c r="A4" s="298"/>
      <c r="B4" s="299"/>
      <c r="C4" s="300"/>
      <c r="D4" s="301" t="s">
        <v>63</v>
      </c>
      <c r="E4" s="302"/>
      <c r="F4" s="303" t="s">
        <v>5</v>
      </c>
      <c r="G4" s="304"/>
      <c r="H4" s="1536" t="s">
        <v>6</v>
      </c>
      <c r="I4" s="1537"/>
      <c r="J4" s="1538"/>
      <c r="K4" s="1532" t="s">
        <v>527</v>
      </c>
      <c r="L4" s="1533"/>
      <c r="M4" s="305" t="s">
        <v>3147</v>
      </c>
      <c r="N4" s="306" t="s">
        <v>300</v>
      </c>
      <c r="O4" s="306"/>
      <c r="P4" s="307"/>
      <c r="Q4" s="1534" t="s">
        <v>950</v>
      </c>
      <c r="R4" s="308"/>
      <c r="S4" s="306"/>
      <c r="T4" s="306"/>
      <c r="U4" s="306"/>
      <c r="V4" s="306"/>
    </row>
    <row r="5" spans="1:22" s="309" customFormat="1" ht="27.75" customHeight="1" thickBot="1">
      <c r="A5" s="310" t="s">
        <v>127</v>
      </c>
      <c r="B5" s="311" t="s">
        <v>128</v>
      </c>
      <c r="C5" s="312" t="s">
        <v>129</v>
      </c>
      <c r="D5" s="313" t="s">
        <v>64</v>
      </c>
      <c r="E5" s="314" t="s">
        <v>117</v>
      </c>
      <c r="F5" s="315" t="s">
        <v>118</v>
      </c>
      <c r="G5" s="316" t="s">
        <v>95</v>
      </c>
      <c r="H5" s="317" t="s">
        <v>117</v>
      </c>
      <c r="I5" s="315" t="s">
        <v>118</v>
      </c>
      <c r="J5" s="318" t="s">
        <v>95</v>
      </c>
      <c r="K5" s="319" t="s">
        <v>526</v>
      </c>
      <c r="L5" s="319" t="s">
        <v>525</v>
      </c>
      <c r="M5" s="320"/>
      <c r="N5" s="306"/>
      <c r="O5" s="306"/>
      <c r="P5" s="307"/>
      <c r="Q5" s="1535"/>
      <c r="R5" s="308"/>
      <c r="S5" s="306" t="s">
        <v>90</v>
      </c>
      <c r="T5" s="306"/>
      <c r="U5" s="306"/>
      <c r="V5" s="306"/>
    </row>
    <row r="6" spans="1:22" ht="27.75" customHeight="1" thickTop="1">
      <c r="A6" s="321"/>
      <c r="B6" s="322" t="s">
        <v>103</v>
      </c>
      <c r="C6" s="323"/>
      <c r="D6" s="324"/>
      <c r="E6" s="325"/>
      <c r="F6" s="321"/>
      <c r="G6" s="326"/>
      <c r="H6" s="327"/>
      <c r="I6" s="321"/>
      <c r="J6" s="328"/>
    </row>
    <row r="7" spans="1:22" ht="27.75" customHeight="1">
      <c r="B7" s="332"/>
      <c r="C7" s="333"/>
      <c r="D7" s="334"/>
      <c r="H7" s="337"/>
      <c r="O7" s="289" t="s">
        <v>2</v>
      </c>
    </row>
    <row r="8" spans="1:22" ht="27.75" customHeight="1">
      <c r="B8" s="339"/>
      <c r="C8" s="340"/>
      <c r="D8" s="341"/>
      <c r="E8" s="342"/>
      <c r="F8" s="343"/>
      <c r="G8" s="344"/>
      <c r="H8" s="345"/>
      <c r="I8" s="343"/>
      <c r="J8" s="346"/>
    </row>
    <row r="9" spans="1:22" ht="27.75" customHeight="1" thickBot="1">
      <c r="B9" s="347"/>
      <c r="C9" s="348" t="s">
        <v>26</v>
      </c>
      <c r="D9" s="349"/>
      <c r="E9" s="350"/>
      <c r="F9" s="351"/>
      <c r="G9" s="352">
        <f>SUM(G6:G8)</f>
        <v>0</v>
      </c>
      <c r="H9" s="353"/>
      <c r="I9" s="351"/>
      <c r="J9" s="349">
        <f>SUM(J6:J8)</f>
        <v>0</v>
      </c>
      <c r="N9" s="289">
        <f>+J9</f>
        <v>0</v>
      </c>
    </row>
    <row r="10" spans="1:22" s="360" customFormat="1" ht="27.75" customHeight="1" thickTop="1">
      <c r="A10" s="354"/>
      <c r="B10" s="355" t="s">
        <v>100</v>
      </c>
      <c r="C10" s="356"/>
      <c r="D10" s="357"/>
      <c r="E10" s="358"/>
      <c r="F10" s="354"/>
      <c r="G10" s="359"/>
      <c r="I10" s="354"/>
      <c r="J10" s="357"/>
      <c r="K10" s="361"/>
      <c r="L10" s="361"/>
      <c r="M10" s="361"/>
      <c r="N10" s="358"/>
      <c r="O10" s="358"/>
      <c r="P10" s="358"/>
      <c r="Q10" s="357"/>
      <c r="S10" s="358"/>
      <c r="T10" s="358"/>
      <c r="U10" s="358"/>
      <c r="V10" s="358"/>
    </row>
    <row r="11" spans="1:22" s="371" customFormat="1" ht="27.75" customHeight="1">
      <c r="A11" s="362"/>
      <c r="B11" s="363" t="s">
        <v>66</v>
      </c>
      <c r="C11" s="364"/>
      <c r="D11" s="365"/>
      <c r="E11" s="335"/>
      <c r="F11" s="366"/>
      <c r="G11" s="367"/>
      <c r="H11" s="368"/>
      <c r="I11" s="366"/>
      <c r="J11" s="365"/>
      <c r="K11" s="338"/>
      <c r="L11" s="338"/>
      <c r="M11" s="369"/>
      <c r="N11" s="289"/>
      <c r="O11" s="289"/>
      <c r="P11" s="289"/>
      <c r="Q11" s="370"/>
      <c r="S11" s="289"/>
      <c r="T11" s="289"/>
      <c r="U11" s="289"/>
      <c r="V11" s="289"/>
    </row>
    <row r="12" spans="1:22" ht="27.75" customHeight="1">
      <c r="A12" s="331">
        <v>1</v>
      </c>
      <c r="B12" s="332" t="s">
        <v>28</v>
      </c>
      <c r="C12" s="372" t="s">
        <v>25</v>
      </c>
      <c r="D12" s="338"/>
      <c r="H12" s="373" t="s">
        <v>262</v>
      </c>
      <c r="J12" s="338">
        <v>133272</v>
      </c>
      <c r="K12" s="374">
        <f>G12*11.54/100</f>
        <v>0</v>
      </c>
      <c r="L12" s="374">
        <f>+J12</f>
        <v>133272</v>
      </c>
      <c r="M12" s="369"/>
      <c r="U12" s="291">
        <f>+L12</f>
        <v>133272</v>
      </c>
    </row>
    <row r="13" spans="1:22" ht="27.75" customHeight="1">
      <c r="A13" s="331">
        <f>+A12+1</f>
        <v>2</v>
      </c>
      <c r="B13" s="332" t="s">
        <v>320</v>
      </c>
      <c r="C13" s="372" t="s">
        <v>321</v>
      </c>
      <c r="D13" s="338"/>
      <c r="H13" s="373" t="s">
        <v>322</v>
      </c>
      <c r="J13" s="338">
        <v>156061.6</v>
      </c>
      <c r="K13" s="374">
        <f t="shared" ref="K13:K81" si="0">G13*11.54/100</f>
        <v>0</v>
      </c>
      <c r="L13" s="374">
        <f t="shared" ref="L13:L47" si="1">+J13</f>
        <v>156061.6</v>
      </c>
      <c r="M13" s="369"/>
      <c r="U13" s="291">
        <f t="shared" ref="U13:U42" si="2">+L13</f>
        <v>156061.6</v>
      </c>
    </row>
    <row r="14" spans="1:22" ht="27.75" customHeight="1">
      <c r="A14" s="331">
        <v>3</v>
      </c>
      <c r="B14" s="332" t="s">
        <v>312</v>
      </c>
      <c r="C14" s="372" t="s">
        <v>323</v>
      </c>
      <c r="D14" s="338"/>
      <c r="E14" s="335" t="s">
        <v>1816</v>
      </c>
      <c r="H14" s="373" t="s">
        <v>324</v>
      </c>
      <c r="J14" s="338">
        <v>138783.39000000001</v>
      </c>
      <c r="K14" s="374">
        <f t="shared" si="0"/>
        <v>0</v>
      </c>
      <c r="L14" s="374">
        <f t="shared" si="1"/>
        <v>138783.39000000001</v>
      </c>
      <c r="M14" s="369"/>
      <c r="U14" s="291">
        <f t="shared" si="2"/>
        <v>138783.39000000001</v>
      </c>
    </row>
    <row r="15" spans="1:22" ht="27.75" customHeight="1">
      <c r="A15" s="331">
        <v>4</v>
      </c>
      <c r="B15" s="332" t="s">
        <v>332</v>
      </c>
      <c r="C15" s="375" t="s">
        <v>345</v>
      </c>
      <c r="D15" s="338"/>
      <c r="H15" s="373" t="s">
        <v>346</v>
      </c>
      <c r="J15" s="338">
        <v>50000</v>
      </c>
      <c r="K15" s="374">
        <f t="shared" si="0"/>
        <v>0</v>
      </c>
      <c r="L15" s="374">
        <f t="shared" si="1"/>
        <v>50000</v>
      </c>
      <c r="M15" s="369"/>
      <c r="S15" s="289"/>
      <c r="T15" s="289"/>
      <c r="U15" s="289">
        <f t="shared" si="2"/>
        <v>50000</v>
      </c>
      <c r="V15" s="289"/>
    </row>
    <row r="16" spans="1:22" ht="27.75" customHeight="1">
      <c r="B16" s="376" t="s">
        <v>875</v>
      </c>
      <c r="C16" s="377"/>
      <c r="D16" s="338"/>
      <c r="H16" s="373"/>
      <c r="K16" s="374">
        <f t="shared" si="0"/>
        <v>0</v>
      </c>
      <c r="L16" s="374">
        <f t="shared" si="1"/>
        <v>0</v>
      </c>
      <c r="M16" s="369"/>
      <c r="S16" s="289"/>
      <c r="T16" s="289"/>
      <c r="U16" s="289"/>
      <c r="V16" s="289"/>
    </row>
    <row r="17" spans="1:22" ht="27.75" customHeight="1">
      <c r="A17" s="331">
        <v>5</v>
      </c>
      <c r="B17" s="332" t="s">
        <v>340</v>
      </c>
      <c r="C17" s="378" t="s">
        <v>347</v>
      </c>
      <c r="D17" s="338"/>
      <c r="H17" s="373" t="s">
        <v>342</v>
      </c>
      <c r="J17" s="338">
        <v>146658.26</v>
      </c>
      <c r="K17" s="374">
        <f t="shared" si="0"/>
        <v>0</v>
      </c>
      <c r="L17" s="374">
        <f t="shared" si="1"/>
        <v>146658.26</v>
      </c>
      <c r="M17" s="369"/>
      <c r="U17" s="291">
        <f t="shared" si="2"/>
        <v>146658.26</v>
      </c>
    </row>
    <row r="18" spans="1:22" ht="27.75" customHeight="1">
      <c r="A18" s="331">
        <v>6</v>
      </c>
      <c r="B18" s="332" t="s">
        <v>316</v>
      </c>
      <c r="C18" s="378" t="s">
        <v>317</v>
      </c>
      <c r="D18" s="338"/>
      <c r="H18" s="373" t="s">
        <v>318</v>
      </c>
      <c r="J18" s="338">
        <v>137200</v>
      </c>
      <c r="K18" s="374">
        <f t="shared" si="0"/>
        <v>0</v>
      </c>
      <c r="L18" s="374">
        <f t="shared" si="1"/>
        <v>137200</v>
      </c>
      <c r="M18" s="369"/>
      <c r="U18" s="291">
        <f t="shared" si="2"/>
        <v>137200</v>
      </c>
    </row>
    <row r="19" spans="1:22" s="385" customFormat="1" ht="27.75" customHeight="1">
      <c r="A19" s="379"/>
      <c r="B19" s="380" t="s">
        <v>868</v>
      </c>
      <c r="C19" s="381"/>
      <c r="D19" s="382"/>
      <c r="E19" s="382"/>
      <c r="F19" s="379"/>
      <c r="G19" s="336"/>
      <c r="H19" s="383"/>
      <c r="I19" s="379"/>
      <c r="J19" s="374"/>
      <c r="K19" s="374">
        <f t="shared" si="0"/>
        <v>0</v>
      </c>
      <c r="L19" s="374">
        <f t="shared" si="1"/>
        <v>0</v>
      </c>
      <c r="M19" s="384"/>
      <c r="N19" s="288"/>
      <c r="O19" s="288"/>
      <c r="P19" s="288"/>
      <c r="Q19" s="288"/>
      <c r="S19" s="288"/>
      <c r="T19" s="288"/>
      <c r="U19" s="288"/>
      <c r="V19" s="288"/>
    </row>
    <row r="20" spans="1:22" s="385" customFormat="1" ht="27.75" customHeight="1">
      <c r="A20" s="379">
        <v>7</v>
      </c>
      <c r="B20" s="332" t="s">
        <v>1</v>
      </c>
      <c r="C20" s="372" t="s">
        <v>106</v>
      </c>
      <c r="D20" s="382"/>
      <c r="E20" s="382"/>
      <c r="F20" s="379"/>
      <c r="G20" s="386"/>
      <c r="H20" s="387" t="s">
        <v>262</v>
      </c>
      <c r="I20" s="388"/>
      <c r="J20" s="382">
        <v>27215</v>
      </c>
      <c r="K20" s="374">
        <f t="shared" si="0"/>
        <v>0</v>
      </c>
      <c r="L20" s="374">
        <f t="shared" si="1"/>
        <v>27215</v>
      </c>
      <c r="M20" s="384"/>
      <c r="N20" s="288"/>
      <c r="O20" s="288"/>
      <c r="P20" s="288" t="s">
        <v>0</v>
      </c>
      <c r="Q20" s="288"/>
      <c r="S20" s="288"/>
      <c r="T20" s="288"/>
      <c r="U20" s="288">
        <f t="shared" si="2"/>
        <v>27215</v>
      </c>
      <c r="V20" s="288"/>
    </row>
    <row r="21" spans="1:22" s="385" customFormat="1" ht="27.75" customHeight="1">
      <c r="A21" s="379"/>
      <c r="B21" s="376" t="s">
        <v>866</v>
      </c>
      <c r="C21" s="381"/>
      <c r="D21" s="382"/>
      <c r="E21" s="382"/>
      <c r="F21" s="379"/>
      <c r="G21" s="386"/>
      <c r="H21" s="387"/>
      <c r="I21" s="388"/>
      <c r="J21" s="382"/>
      <c r="K21" s="374">
        <f t="shared" si="0"/>
        <v>0</v>
      </c>
      <c r="L21" s="374">
        <f t="shared" si="1"/>
        <v>0</v>
      </c>
      <c r="M21" s="384"/>
      <c r="N21" s="288"/>
      <c r="O21" s="288"/>
      <c r="P21" s="288"/>
      <c r="Q21" s="288"/>
      <c r="S21" s="288"/>
      <c r="T21" s="288"/>
      <c r="U21" s="288"/>
      <c r="V21" s="288"/>
    </row>
    <row r="22" spans="1:22" s="385" customFormat="1" ht="27.75" customHeight="1">
      <c r="A22" s="379">
        <f>+A20+1</f>
        <v>8</v>
      </c>
      <c r="B22" s="332" t="s">
        <v>340</v>
      </c>
      <c r="C22" s="378" t="s">
        <v>348</v>
      </c>
      <c r="D22" s="374"/>
      <c r="E22" s="382"/>
      <c r="F22" s="379"/>
      <c r="G22" s="336"/>
      <c r="H22" s="383" t="s">
        <v>349</v>
      </c>
      <c r="I22" s="379"/>
      <c r="J22" s="374">
        <v>665861.9</v>
      </c>
      <c r="K22" s="374">
        <f t="shared" si="0"/>
        <v>0</v>
      </c>
      <c r="L22" s="374">
        <f t="shared" si="1"/>
        <v>665861.9</v>
      </c>
      <c r="M22" s="384"/>
      <c r="N22" s="288"/>
      <c r="O22" s="288"/>
      <c r="P22" s="288"/>
      <c r="Q22" s="288"/>
      <c r="S22" s="288"/>
      <c r="T22" s="288"/>
      <c r="U22" s="288">
        <f t="shared" si="2"/>
        <v>665861.9</v>
      </c>
      <c r="V22" s="288"/>
    </row>
    <row r="23" spans="1:22" ht="27.75" customHeight="1">
      <c r="B23" s="376" t="s">
        <v>874</v>
      </c>
      <c r="C23" s="372"/>
      <c r="D23" s="382"/>
      <c r="E23" s="382"/>
      <c r="H23" s="373"/>
      <c r="K23" s="374">
        <f t="shared" si="0"/>
        <v>0</v>
      </c>
      <c r="L23" s="374">
        <f t="shared" si="1"/>
        <v>0</v>
      </c>
      <c r="M23" s="369"/>
    </row>
    <row r="24" spans="1:22" s="391" customFormat="1" ht="27.75" customHeight="1">
      <c r="A24" s="331">
        <v>9</v>
      </c>
      <c r="B24" s="332" t="s">
        <v>331</v>
      </c>
      <c r="C24" s="378" t="s">
        <v>350</v>
      </c>
      <c r="D24" s="338"/>
      <c r="E24" s="335"/>
      <c r="F24" s="331"/>
      <c r="G24" s="336"/>
      <c r="H24" s="373" t="s">
        <v>351</v>
      </c>
      <c r="I24" s="331"/>
      <c r="J24" s="338">
        <v>103702</v>
      </c>
      <c r="K24" s="374">
        <f t="shared" si="0"/>
        <v>0</v>
      </c>
      <c r="L24" s="374">
        <f t="shared" si="1"/>
        <v>103702</v>
      </c>
      <c r="M24" s="389"/>
      <c r="N24" s="390"/>
      <c r="O24" s="390"/>
      <c r="P24" s="390"/>
      <c r="Q24" s="390"/>
      <c r="S24" s="392"/>
      <c r="T24" s="392"/>
      <c r="U24" s="392">
        <f t="shared" si="2"/>
        <v>103702</v>
      </c>
      <c r="V24" s="392"/>
    </row>
    <row r="25" spans="1:22" ht="27.75" customHeight="1">
      <c r="B25" s="376" t="s">
        <v>871</v>
      </c>
      <c r="C25" s="378"/>
      <c r="D25" s="338"/>
      <c r="H25" s="373"/>
      <c r="K25" s="374">
        <f t="shared" si="0"/>
        <v>0</v>
      </c>
      <c r="L25" s="374">
        <f t="shared" si="1"/>
        <v>0</v>
      </c>
      <c r="M25" s="369"/>
    </row>
    <row r="26" spans="1:22" ht="27.75" customHeight="1">
      <c r="A26" s="331">
        <v>10</v>
      </c>
      <c r="B26" s="332" t="s">
        <v>62</v>
      </c>
      <c r="C26" s="378" t="s">
        <v>104</v>
      </c>
      <c r="D26" s="338"/>
      <c r="H26" s="373" t="s">
        <v>262</v>
      </c>
      <c r="J26" s="338">
        <v>749484</v>
      </c>
      <c r="K26" s="374">
        <f t="shared" si="0"/>
        <v>0</v>
      </c>
      <c r="L26" s="374">
        <f t="shared" si="1"/>
        <v>749484</v>
      </c>
      <c r="M26" s="369"/>
      <c r="U26" s="291">
        <f t="shared" si="2"/>
        <v>749484</v>
      </c>
    </row>
    <row r="27" spans="1:22" ht="27.75" customHeight="1">
      <c r="B27" s="376" t="s">
        <v>872</v>
      </c>
      <c r="C27" s="381"/>
      <c r="D27" s="382"/>
      <c r="E27" s="382"/>
      <c r="H27" s="373"/>
      <c r="K27" s="374">
        <f t="shared" si="0"/>
        <v>0</v>
      </c>
      <c r="L27" s="374">
        <f t="shared" si="1"/>
        <v>0</v>
      </c>
      <c r="M27" s="369"/>
    </row>
    <row r="28" spans="1:22" ht="27.75" customHeight="1">
      <c r="A28" s="331">
        <v>11</v>
      </c>
      <c r="B28" s="332" t="s">
        <v>316</v>
      </c>
      <c r="C28" s="393" t="s">
        <v>104</v>
      </c>
      <c r="D28" s="335"/>
      <c r="G28" s="386"/>
      <c r="H28" s="332" t="s">
        <v>319</v>
      </c>
      <c r="J28" s="335">
        <v>163231.6</v>
      </c>
      <c r="K28" s="374">
        <f t="shared" si="0"/>
        <v>0</v>
      </c>
      <c r="L28" s="374">
        <f t="shared" si="1"/>
        <v>163231.6</v>
      </c>
      <c r="M28" s="369"/>
      <c r="U28" s="291">
        <f t="shared" si="2"/>
        <v>163231.6</v>
      </c>
    </row>
    <row r="29" spans="1:22" ht="27.75" customHeight="1">
      <c r="B29" s="376" t="s">
        <v>869</v>
      </c>
      <c r="C29" s="381"/>
      <c r="D29" s="382"/>
      <c r="E29" s="382"/>
      <c r="G29" s="386"/>
      <c r="H29" s="332"/>
      <c r="J29" s="335"/>
      <c r="K29" s="374">
        <f t="shared" si="0"/>
        <v>0</v>
      </c>
      <c r="L29" s="374">
        <f t="shared" si="1"/>
        <v>0</v>
      </c>
      <c r="M29" s="369"/>
    </row>
    <row r="30" spans="1:22" ht="27.75" customHeight="1">
      <c r="A30" s="331">
        <v>12</v>
      </c>
      <c r="B30" s="394" t="s">
        <v>266</v>
      </c>
      <c r="C30" s="395" t="s">
        <v>104</v>
      </c>
      <c r="D30" s="335"/>
      <c r="H30" s="396" t="s">
        <v>935</v>
      </c>
      <c r="J30" s="338">
        <v>47745.65</v>
      </c>
      <c r="K30" s="374">
        <f t="shared" si="0"/>
        <v>0</v>
      </c>
      <c r="L30" s="374">
        <f t="shared" si="1"/>
        <v>47745.65</v>
      </c>
      <c r="M30" s="369"/>
      <c r="U30" s="291">
        <f t="shared" si="2"/>
        <v>47745.65</v>
      </c>
    </row>
    <row r="31" spans="1:22" ht="27.75" customHeight="1">
      <c r="B31" s="376" t="s">
        <v>867</v>
      </c>
      <c r="C31" s="381"/>
      <c r="D31" s="382"/>
      <c r="E31" s="382"/>
      <c r="H31" s="373"/>
      <c r="K31" s="374">
        <f t="shared" si="0"/>
        <v>0</v>
      </c>
      <c r="L31" s="374">
        <f t="shared" si="1"/>
        <v>0</v>
      </c>
      <c r="M31" s="369"/>
    </row>
    <row r="32" spans="1:22" ht="27.75" customHeight="1">
      <c r="A32" s="331">
        <f>+A30+1</f>
        <v>13</v>
      </c>
      <c r="B32" s="332" t="s">
        <v>333</v>
      </c>
      <c r="C32" s="395" t="s">
        <v>104</v>
      </c>
      <c r="D32" s="382"/>
      <c r="H32" s="373" t="s">
        <v>264</v>
      </c>
      <c r="J32" s="338">
        <v>287744.40000000002</v>
      </c>
      <c r="K32" s="374">
        <f t="shared" si="0"/>
        <v>0</v>
      </c>
      <c r="L32" s="374">
        <f t="shared" si="1"/>
        <v>287744.40000000002</v>
      </c>
      <c r="M32" s="369"/>
      <c r="U32" s="291">
        <f t="shared" si="2"/>
        <v>287744.40000000002</v>
      </c>
    </row>
    <row r="33" spans="1:22" ht="27.75" customHeight="1">
      <c r="A33" s="331">
        <f t="shared" ref="A33:A42" si="3">+A32+1</f>
        <v>14</v>
      </c>
      <c r="B33" s="332" t="s">
        <v>332</v>
      </c>
      <c r="C33" s="395" t="s">
        <v>343</v>
      </c>
      <c r="D33" s="382"/>
      <c r="E33" s="382"/>
      <c r="F33" s="379"/>
      <c r="G33" s="386"/>
      <c r="H33" s="387" t="s">
        <v>344</v>
      </c>
      <c r="I33" s="379"/>
      <c r="J33" s="382">
        <v>40000</v>
      </c>
      <c r="K33" s="374">
        <f t="shared" si="0"/>
        <v>0</v>
      </c>
      <c r="L33" s="374">
        <f t="shared" si="1"/>
        <v>40000</v>
      </c>
      <c r="M33" s="369"/>
      <c r="U33" s="291">
        <f t="shared" si="2"/>
        <v>40000</v>
      </c>
    </row>
    <row r="34" spans="1:22" s="385" customFormat="1" ht="27.75" customHeight="1">
      <c r="A34" s="379"/>
      <c r="B34" s="376" t="s">
        <v>873</v>
      </c>
      <c r="C34" s="372"/>
      <c r="D34" s="382"/>
      <c r="E34" s="382"/>
      <c r="F34" s="379"/>
      <c r="G34" s="386"/>
      <c r="H34" s="387"/>
      <c r="I34" s="379"/>
      <c r="J34" s="382"/>
      <c r="K34" s="374">
        <f t="shared" si="0"/>
        <v>0</v>
      </c>
      <c r="L34" s="374">
        <f t="shared" si="1"/>
        <v>0</v>
      </c>
      <c r="M34" s="384"/>
      <c r="N34" s="288"/>
      <c r="O34" s="288"/>
      <c r="P34" s="288"/>
      <c r="Q34" s="288"/>
      <c r="S34" s="288"/>
      <c r="T34" s="288"/>
      <c r="U34" s="288"/>
      <c r="V34" s="288"/>
    </row>
    <row r="35" spans="1:22" ht="27.75" customHeight="1">
      <c r="A35" s="331">
        <f>+A33+1</f>
        <v>15</v>
      </c>
      <c r="B35" s="332" t="s">
        <v>62</v>
      </c>
      <c r="C35" s="378" t="s">
        <v>96</v>
      </c>
      <c r="D35" s="338"/>
      <c r="H35" s="373" t="s">
        <v>262</v>
      </c>
      <c r="J35" s="338">
        <v>255600</v>
      </c>
      <c r="K35" s="374">
        <f t="shared" si="0"/>
        <v>0</v>
      </c>
      <c r="L35" s="374">
        <f t="shared" si="1"/>
        <v>255600</v>
      </c>
      <c r="M35" s="369"/>
      <c r="U35" s="291">
        <f t="shared" si="2"/>
        <v>255600</v>
      </c>
    </row>
    <row r="36" spans="1:22" ht="27.75" customHeight="1">
      <c r="A36" s="331">
        <f t="shared" si="3"/>
        <v>16</v>
      </c>
      <c r="B36" s="332" t="s">
        <v>24</v>
      </c>
      <c r="C36" s="378" t="s">
        <v>96</v>
      </c>
      <c r="D36" s="338"/>
      <c r="H36" s="373" t="s">
        <v>262</v>
      </c>
      <c r="J36" s="338">
        <v>64830</v>
      </c>
      <c r="K36" s="374">
        <f t="shared" si="0"/>
        <v>0</v>
      </c>
      <c r="L36" s="374">
        <f t="shared" si="1"/>
        <v>64830</v>
      </c>
      <c r="M36" s="369"/>
      <c r="U36" s="291">
        <f t="shared" si="2"/>
        <v>64830</v>
      </c>
    </row>
    <row r="37" spans="1:22" ht="27.75" customHeight="1">
      <c r="B37" s="376" t="s">
        <v>870</v>
      </c>
      <c r="C37" s="381"/>
      <c r="D37" s="382"/>
      <c r="E37" s="382"/>
      <c r="H37" s="373"/>
      <c r="K37" s="374">
        <f t="shared" si="0"/>
        <v>0</v>
      </c>
      <c r="L37" s="374">
        <f t="shared" si="1"/>
        <v>0</v>
      </c>
      <c r="M37" s="369"/>
    </row>
    <row r="38" spans="1:22" ht="27.75" customHeight="1">
      <c r="A38" s="331">
        <f>+A36+1</f>
        <v>17</v>
      </c>
      <c r="B38" s="332" t="s">
        <v>340</v>
      </c>
      <c r="C38" s="377" t="s">
        <v>326</v>
      </c>
      <c r="D38" s="335"/>
      <c r="F38" s="397"/>
      <c r="G38" s="386"/>
      <c r="H38" s="373" t="s">
        <v>262</v>
      </c>
      <c r="J38" s="335">
        <v>175873.46</v>
      </c>
      <c r="K38" s="374">
        <f t="shared" si="0"/>
        <v>0</v>
      </c>
      <c r="L38" s="374">
        <f t="shared" si="1"/>
        <v>175873.46</v>
      </c>
      <c r="M38" s="369"/>
      <c r="U38" s="291">
        <f t="shared" si="2"/>
        <v>175873.46</v>
      </c>
    </row>
    <row r="39" spans="1:22" s="408" customFormat="1" ht="27.75" customHeight="1">
      <c r="A39" s="398">
        <f t="shared" si="3"/>
        <v>18</v>
      </c>
      <c r="B39" s="399" t="s">
        <v>266</v>
      </c>
      <c r="C39" s="400" t="s">
        <v>96</v>
      </c>
      <c r="D39" s="401"/>
      <c r="E39" s="402"/>
      <c r="F39" s="398"/>
      <c r="G39" s="403"/>
      <c r="H39" s="404" t="s">
        <v>936</v>
      </c>
      <c r="I39" s="405"/>
      <c r="J39" s="401">
        <v>231163.04</v>
      </c>
      <c r="K39" s="401">
        <f t="shared" si="0"/>
        <v>0</v>
      </c>
      <c r="L39" s="374">
        <f t="shared" si="1"/>
        <v>231163.04</v>
      </c>
      <c r="M39" s="406"/>
      <c r="N39" s="407"/>
      <c r="O39" s="407"/>
      <c r="P39" s="407"/>
      <c r="Q39" s="407"/>
      <c r="S39" s="407"/>
      <c r="T39" s="407"/>
      <c r="U39" s="407">
        <f t="shared" si="2"/>
        <v>231163.04</v>
      </c>
      <c r="V39" s="407"/>
    </row>
    <row r="40" spans="1:22" ht="27.75" customHeight="1">
      <c r="A40" s="331">
        <f t="shared" si="3"/>
        <v>19</v>
      </c>
      <c r="B40" s="332" t="s">
        <v>28</v>
      </c>
      <c r="C40" s="378" t="s">
        <v>96</v>
      </c>
      <c r="D40" s="338"/>
      <c r="H40" s="373" t="s">
        <v>265</v>
      </c>
      <c r="J40" s="338">
        <v>195874.5</v>
      </c>
      <c r="K40" s="374">
        <f t="shared" si="0"/>
        <v>0</v>
      </c>
      <c r="L40" s="374">
        <f t="shared" si="1"/>
        <v>195874.5</v>
      </c>
      <c r="M40" s="369"/>
      <c r="U40" s="291">
        <f t="shared" si="2"/>
        <v>195874.5</v>
      </c>
    </row>
    <row r="41" spans="1:22" ht="27.75" customHeight="1">
      <c r="A41" s="331">
        <f t="shared" si="3"/>
        <v>20</v>
      </c>
      <c r="B41" s="332" t="s">
        <v>86</v>
      </c>
      <c r="C41" s="378" t="s">
        <v>96</v>
      </c>
      <c r="D41" s="338"/>
      <c r="H41" s="373" t="s">
        <v>262</v>
      </c>
      <c r="J41" s="338">
        <v>241631.01</v>
      </c>
      <c r="K41" s="374">
        <f t="shared" si="0"/>
        <v>0</v>
      </c>
      <c r="L41" s="374">
        <f t="shared" si="1"/>
        <v>241631.01</v>
      </c>
      <c r="M41" s="369"/>
      <c r="U41" s="291">
        <f t="shared" si="2"/>
        <v>241631.01</v>
      </c>
    </row>
    <row r="42" spans="1:22" ht="27.75" customHeight="1">
      <c r="A42" s="331">
        <f t="shared" si="3"/>
        <v>21</v>
      </c>
      <c r="B42" s="332" t="s">
        <v>312</v>
      </c>
      <c r="C42" s="395" t="s">
        <v>96</v>
      </c>
      <c r="D42" s="382"/>
      <c r="E42" s="382"/>
      <c r="F42" s="379"/>
      <c r="G42" s="386"/>
      <c r="H42" s="387" t="s">
        <v>325</v>
      </c>
      <c r="I42" s="379"/>
      <c r="J42" s="382">
        <v>373090.07</v>
      </c>
      <c r="K42" s="374">
        <f t="shared" si="0"/>
        <v>0</v>
      </c>
      <c r="L42" s="374">
        <f t="shared" si="1"/>
        <v>373090.07</v>
      </c>
      <c r="M42" s="369"/>
      <c r="U42" s="291">
        <f t="shared" si="2"/>
        <v>373090.07</v>
      </c>
    </row>
    <row r="43" spans="1:22" ht="27.75" customHeight="1">
      <c r="A43" s="331">
        <v>22</v>
      </c>
      <c r="B43" s="332" t="s">
        <v>61</v>
      </c>
      <c r="C43" s="364" t="s">
        <v>113</v>
      </c>
      <c r="D43" s="374"/>
      <c r="E43" s="409"/>
      <c r="F43" s="362"/>
      <c r="G43" s="367"/>
      <c r="H43" s="364" t="s">
        <v>262</v>
      </c>
      <c r="J43" s="338">
        <v>326836.06</v>
      </c>
      <c r="K43" s="374">
        <f t="shared" si="0"/>
        <v>0</v>
      </c>
      <c r="L43" s="374">
        <f t="shared" si="1"/>
        <v>326836.06</v>
      </c>
      <c r="M43" s="369"/>
      <c r="O43" s="335"/>
      <c r="Q43" s="410"/>
      <c r="S43" s="411"/>
      <c r="T43" s="411"/>
      <c r="U43" s="411"/>
      <c r="V43" s="411"/>
    </row>
    <row r="44" spans="1:22" ht="27.75" customHeight="1">
      <c r="B44" s="332" t="s">
        <v>865</v>
      </c>
      <c r="C44" s="364"/>
      <c r="D44" s="374"/>
      <c r="E44" s="409"/>
      <c r="F44" s="362"/>
      <c r="G44" s="367"/>
      <c r="H44" s="364"/>
      <c r="K44" s="374">
        <f t="shared" si="0"/>
        <v>0</v>
      </c>
      <c r="L44" s="374">
        <f t="shared" si="1"/>
        <v>0</v>
      </c>
      <c r="M44" s="369"/>
      <c r="O44" s="335"/>
      <c r="Q44" s="410"/>
      <c r="S44" s="411"/>
      <c r="T44" s="411"/>
      <c r="U44" s="411"/>
      <c r="V44" s="411"/>
    </row>
    <row r="45" spans="1:22" ht="27.6" customHeight="1">
      <c r="A45" s="331">
        <v>23</v>
      </c>
      <c r="B45" s="332" t="s">
        <v>87</v>
      </c>
      <c r="C45" s="364" t="s">
        <v>326</v>
      </c>
      <c r="D45" s="374"/>
      <c r="E45" s="409"/>
      <c r="F45" s="362"/>
      <c r="G45" s="367"/>
      <c r="H45" s="364" t="s">
        <v>265</v>
      </c>
      <c r="J45" s="338">
        <v>191700</v>
      </c>
      <c r="K45" s="374">
        <f t="shared" si="0"/>
        <v>0</v>
      </c>
      <c r="L45" s="374">
        <f t="shared" si="1"/>
        <v>191700</v>
      </c>
      <c r="M45" s="369"/>
      <c r="O45" s="335"/>
      <c r="Q45" s="410"/>
      <c r="S45" s="411"/>
      <c r="T45" s="411"/>
      <c r="U45" s="411"/>
      <c r="V45" s="411"/>
    </row>
    <row r="46" spans="1:22" ht="27.75" customHeight="1">
      <c r="A46" s="331">
        <v>24</v>
      </c>
      <c r="B46" s="332" t="s">
        <v>15</v>
      </c>
      <c r="C46" s="364" t="s">
        <v>204</v>
      </c>
      <c r="D46" s="374"/>
      <c r="E46" s="409"/>
      <c r="F46" s="362"/>
      <c r="G46" s="367"/>
      <c r="H46" s="364" t="s">
        <v>262</v>
      </c>
      <c r="J46" s="338">
        <v>866155</v>
      </c>
      <c r="K46" s="374">
        <f t="shared" si="0"/>
        <v>0</v>
      </c>
      <c r="L46" s="374">
        <f t="shared" si="1"/>
        <v>866155</v>
      </c>
      <c r="M46" s="369"/>
      <c r="O46" s="335"/>
      <c r="Q46" s="410"/>
      <c r="S46" s="411"/>
      <c r="T46" s="411"/>
      <c r="U46" s="411"/>
      <c r="V46" s="411"/>
    </row>
    <row r="47" spans="1:22" s="423" customFormat="1" ht="27.75" customHeight="1">
      <c r="A47" s="412">
        <v>25</v>
      </c>
      <c r="B47" s="413" t="s">
        <v>179</v>
      </c>
      <c r="C47" s="414" t="s">
        <v>797</v>
      </c>
      <c r="D47" s="415"/>
      <c r="E47" s="416"/>
      <c r="F47" s="417"/>
      <c r="G47" s="418"/>
      <c r="H47" s="414" t="s">
        <v>269</v>
      </c>
      <c r="I47" s="412">
        <v>16</v>
      </c>
      <c r="J47" s="415">
        <v>626238</v>
      </c>
      <c r="K47" s="415">
        <f t="shared" si="0"/>
        <v>0</v>
      </c>
      <c r="L47" s="415">
        <f t="shared" si="1"/>
        <v>626238</v>
      </c>
      <c r="M47" s="419"/>
      <c r="N47" s="420"/>
      <c r="O47" s="421"/>
      <c r="P47" s="420"/>
      <c r="Q47" s="422"/>
      <c r="S47" s="424"/>
      <c r="T47" s="424"/>
      <c r="U47" s="424"/>
      <c r="V47" s="424"/>
    </row>
    <row r="48" spans="1:22" s="423" customFormat="1" ht="27.75" customHeight="1">
      <c r="A48" s="412"/>
      <c r="B48" s="413" t="s">
        <v>798</v>
      </c>
      <c r="C48" s="414"/>
      <c r="D48" s="415"/>
      <c r="E48" s="416"/>
      <c r="F48" s="417"/>
      <c r="G48" s="418"/>
      <c r="H48" s="414"/>
      <c r="I48" s="412"/>
      <c r="J48" s="415"/>
      <c r="K48" s="415">
        <f t="shared" si="0"/>
        <v>0</v>
      </c>
      <c r="L48" s="415">
        <f t="shared" ref="L48:L106" si="4">+J48</f>
        <v>0</v>
      </c>
      <c r="M48" s="419"/>
      <c r="N48" s="420"/>
      <c r="O48" s="421"/>
      <c r="P48" s="420"/>
      <c r="Q48" s="422"/>
      <c r="S48" s="424"/>
      <c r="T48" s="424"/>
      <c r="U48" s="424"/>
      <c r="V48" s="424"/>
    </row>
    <row r="49" spans="1:22" s="423" customFormat="1" ht="27.75" customHeight="1">
      <c r="A49" s="412">
        <v>26</v>
      </c>
      <c r="B49" s="413" t="s">
        <v>179</v>
      </c>
      <c r="C49" s="414" t="s">
        <v>799</v>
      </c>
      <c r="D49" s="415"/>
      <c r="E49" s="416"/>
      <c r="F49" s="417"/>
      <c r="G49" s="418"/>
      <c r="H49" s="414" t="s">
        <v>269</v>
      </c>
      <c r="I49" s="412">
        <v>16</v>
      </c>
      <c r="J49" s="415">
        <v>516992</v>
      </c>
      <c r="K49" s="415">
        <f t="shared" si="0"/>
        <v>0</v>
      </c>
      <c r="L49" s="415">
        <f t="shared" si="4"/>
        <v>516992</v>
      </c>
      <c r="M49" s="419"/>
      <c r="N49" s="420"/>
      <c r="O49" s="421"/>
      <c r="P49" s="420"/>
      <c r="Q49" s="422"/>
      <c r="S49" s="424"/>
      <c r="T49" s="424"/>
      <c r="U49" s="424"/>
      <c r="V49" s="424"/>
    </row>
    <row r="50" spans="1:22" s="423" customFormat="1" ht="27.75" customHeight="1">
      <c r="A50" s="412"/>
      <c r="B50" s="413" t="s">
        <v>299</v>
      </c>
      <c r="C50" s="414"/>
      <c r="D50" s="415"/>
      <c r="E50" s="416"/>
      <c r="F50" s="417"/>
      <c r="G50" s="418"/>
      <c r="H50" s="414"/>
      <c r="I50" s="412"/>
      <c r="J50" s="415"/>
      <c r="K50" s="415">
        <f t="shared" si="0"/>
        <v>0</v>
      </c>
      <c r="L50" s="415">
        <f t="shared" si="4"/>
        <v>0</v>
      </c>
      <c r="M50" s="419"/>
      <c r="N50" s="420"/>
      <c r="O50" s="421"/>
      <c r="P50" s="420"/>
      <c r="Q50" s="422"/>
      <c r="S50" s="424"/>
      <c r="T50" s="424"/>
      <c r="U50" s="424"/>
      <c r="V50" s="424"/>
    </row>
    <row r="51" spans="1:22" ht="27.75" customHeight="1">
      <c r="A51" s="331">
        <v>27</v>
      </c>
      <c r="B51" s="332" t="s">
        <v>175</v>
      </c>
      <c r="C51" s="364" t="s">
        <v>22</v>
      </c>
      <c r="D51" s="374"/>
      <c r="E51" s="409"/>
      <c r="F51" s="362"/>
      <c r="G51" s="367"/>
      <c r="H51" s="364" t="s">
        <v>439</v>
      </c>
      <c r="I51" s="331">
        <v>40</v>
      </c>
      <c r="J51" s="338">
        <v>734500</v>
      </c>
      <c r="K51" s="374">
        <f t="shared" si="0"/>
        <v>0</v>
      </c>
      <c r="L51" s="374">
        <f t="shared" si="4"/>
        <v>734500</v>
      </c>
      <c r="M51" s="369"/>
      <c r="O51" s="335"/>
      <c r="Q51" s="410"/>
      <c r="S51" s="411"/>
      <c r="T51" s="411"/>
      <c r="U51" s="411"/>
      <c r="V51" s="411"/>
    </row>
    <row r="52" spans="1:22" ht="27.75" customHeight="1">
      <c r="B52" s="332" t="s">
        <v>632</v>
      </c>
      <c r="C52" s="364"/>
      <c r="D52" s="374"/>
      <c r="E52" s="409"/>
      <c r="F52" s="362"/>
      <c r="G52" s="367"/>
      <c r="H52" s="364"/>
      <c r="K52" s="374">
        <f t="shared" si="0"/>
        <v>0</v>
      </c>
      <c r="L52" s="374">
        <f t="shared" si="4"/>
        <v>0</v>
      </c>
      <c r="M52" s="369"/>
      <c r="O52" s="335"/>
      <c r="Q52" s="410"/>
      <c r="S52" s="411"/>
      <c r="T52" s="411"/>
      <c r="U52" s="411"/>
      <c r="V52" s="411"/>
    </row>
    <row r="53" spans="1:22" s="436" customFormat="1" ht="27.75" customHeight="1">
      <c r="A53" s="425">
        <v>28</v>
      </c>
      <c r="B53" s="426" t="s">
        <v>546</v>
      </c>
      <c r="C53" s="427" t="s">
        <v>93</v>
      </c>
      <c r="D53" s="428"/>
      <c r="E53" s="429"/>
      <c r="F53" s="430"/>
      <c r="G53" s="431"/>
      <c r="H53" s="427" t="s">
        <v>250</v>
      </c>
      <c r="I53" s="425">
        <v>13</v>
      </c>
      <c r="J53" s="428">
        <v>27909.68</v>
      </c>
      <c r="K53" s="428">
        <f t="shared" si="0"/>
        <v>0</v>
      </c>
      <c r="L53" s="374">
        <f t="shared" si="4"/>
        <v>27909.68</v>
      </c>
      <c r="M53" s="432"/>
      <c r="N53" s="433"/>
      <c r="O53" s="434"/>
      <c r="P53" s="433"/>
      <c r="Q53" s="435"/>
      <c r="S53" s="437"/>
      <c r="T53" s="437"/>
      <c r="U53" s="437"/>
      <c r="V53" s="437"/>
    </row>
    <row r="54" spans="1:22" ht="27.75" customHeight="1">
      <c r="B54" s="332" t="s">
        <v>3123</v>
      </c>
      <c r="C54" s="368"/>
      <c r="D54" s="338"/>
      <c r="E54" s="365"/>
      <c r="F54" s="366"/>
      <c r="G54" s="367"/>
      <c r="H54" s="368"/>
      <c r="K54" s="338"/>
      <c r="L54" s="374">
        <f t="shared" si="4"/>
        <v>0</v>
      </c>
      <c r="M54" s="369"/>
      <c r="O54" s="335"/>
      <c r="Q54" s="370"/>
      <c r="S54" s="371"/>
      <c r="T54" s="371"/>
      <c r="U54" s="371"/>
      <c r="V54" s="371"/>
    </row>
    <row r="55" spans="1:22" ht="27.75" customHeight="1">
      <c r="B55" s="332" t="s">
        <v>3124</v>
      </c>
      <c r="C55" s="364"/>
      <c r="D55" s="374"/>
      <c r="E55" s="409"/>
      <c r="F55" s="362"/>
      <c r="G55" s="367"/>
      <c r="H55" s="364"/>
      <c r="K55" s="374">
        <v>0</v>
      </c>
      <c r="L55" s="374">
        <f t="shared" si="4"/>
        <v>0</v>
      </c>
      <c r="M55" s="369"/>
      <c r="O55" s="335"/>
      <c r="Q55" s="410"/>
      <c r="S55" s="411"/>
      <c r="T55" s="411"/>
      <c r="U55" s="411"/>
      <c r="V55" s="411"/>
    </row>
    <row r="56" spans="1:22" s="408" customFormat="1" ht="27.75" customHeight="1">
      <c r="A56" s="398">
        <v>29</v>
      </c>
      <c r="B56" s="399" t="s">
        <v>445</v>
      </c>
      <c r="C56" s="438" t="s">
        <v>167</v>
      </c>
      <c r="D56" s="401"/>
      <c r="E56" s="439"/>
      <c r="F56" s="440"/>
      <c r="G56" s="441"/>
      <c r="H56" s="438" t="s">
        <v>270</v>
      </c>
      <c r="I56" s="398">
        <v>15</v>
      </c>
      <c r="J56" s="401">
        <v>318816.26999999996</v>
      </c>
      <c r="K56" s="401">
        <f t="shared" si="0"/>
        <v>0</v>
      </c>
      <c r="L56" s="401">
        <f t="shared" si="4"/>
        <v>318816.26999999996</v>
      </c>
      <c r="M56" s="406"/>
      <c r="N56" s="407"/>
      <c r="O56" s="402"/>
      <c r="P56" s="407"/>
      <c r="Q56" s="442"/>
      <c r="S56" s="443"/>
      <c r="T56" s="443"/>
      <c r="U56" s="443"/>
      <c r="V56" s="443"/>
    </row>
    <row r="57" spans="1:22" s="408" customFormat="1" ht="27.75" customHeight="1">
      <c r="A57" s="398"/>
      <c r="B57" s="399" t="s">
        <v>3132</v>
      </c>
      <c r="C57" s="438"/>
      <c r="D57" s="401"/>
      <c r="E57" s="439"/>
      <c r="F57" s="440"/>
      <c r="G57" s="441"/>
      <c r="H57" s="438"/>
      <c r="I57" s="398"/>
      <c r="J57" s="401"/>
      <c r="K57" s="401"/>
      <c r="L57" s="401">
        <f t="shared" si="4"/>
        <v>0</v>
      </c>
      <c r="M57" s="406"/>
      <c r="N57" s="407"/>
      <c r="O57" s="402"/>
      <c r="P57" s="407"/>
      <c r="Q57" s="442"/>
      <c r="S57" s="443"/>
      <c r="T57" s="443"/>
      <c r="U57" s="443"/>
      <c r="V57" s="443"/>
    </row>
    <row r="58" spans="1:22" s="408" customFormat="1" ht="27.75" customHeight="1">
      <c r="A58" s="398"/>
      <c r="B58" s="399" t="s">
        <v>3131</v>
      </c>
      <c r="C58" s="438"/>
      <c r="D58" s="401"/>
      <c r="E58" s="439"/>
      <c r="F58" s="440"/>
      <c r="G58" s="441"/>
      <c r="H58" s="438"/>
      <c r="I58" s="398"/>
      <c r="J58" s="401"/>
      <c r="K58" s="401"/>
      <c r="L58" s="401">
        <f t="shared" si="4"/>
        <v>0</v>
      </c>
      <c r="M58" s="406"/>
      <c r="N58" s="407"/>
      <c r="O58" s="402"/>
      <c r="P58" s="407"/>
      <c r="Q58" s="442"/>
      <c r="S58" s="443"/>
      <c r="T58" s="443"/>
      <c r="U58" s="443"/>
      <c r="V58" s="443"/>
    </row>
    <row r="59" spans="1:22" s="436" customFormat="1" ht="27.75" customHeight="1">
      <c r="A59" s="425">
        <v>30</v>
      </c>
      <c r="B59" s="426" t="s">
        <v>247</v>
      </c>
      <c r="C59" s="427" t="s">
        <v>248</v>
      </c>
      <c r="D59" s="428"/>
      <c r="E59" s="429"/>
      <c r="F59" s="430"/>
      <c r="G59" s="431"/>
      <c r="H59" s="427" t="s">
        <v>988</v>
      </c>
      <c r="I59" s="425">
        <v>13</v>
      </c>
      <c r="J59" s="428">
        <v>125033.84</v>
      </c>
      <c r="K59" s="428">
        <f t="shared" si="0"/>
        <v>0</v>
      </c>
      <c r="L59" s="374">
        <f t="shared" si="4"/>
        <v>125033.84</v>
      </c>
      <c r="M59" s="432"/>
      <c r="N59" s="433"/>
      <c r="O59" s="434"/>
      <c r="P59" s="433"/>
      <c r="Q59" s="435"/>
      <c r="S59" s="437"/>
      <c r="T59" s="437"/>
      <c r="U59" s="437"/>
      <c r="V59" s="437"/>
    </row>
    <row r="60" spans="1:22" ht="27.75" customHeight="1">
      <c r="B60" s="332" t="s">
        <v>3121</v>
      </c>
      <c r="C60" s="368"/>
      <c r="D60" s="338"/>
      <c r="E60" s="365"/>
      <c r="F60" s="366"/>
      <c r="G60" s="367"/>
      <c r="H60" s="368"/>
      <c r="K60" s="338"/>
      <c r="L60" s="374">
        <f t="shared" si="4"/>
        <v>0</v>
      </c>
      <c r="M60" s="369"/>
      <c r="O60" s="335"/>
      <c r="Q60" s="370"/>
      <c r="S60" s="371"/>
      <c r="T60" s="371"/>
      <c r="U60" s="371"/>
      <c r="V60" s="371"/>
    </row>
    <row r="61" spans="1:22" ht="27.75" customHeight="1">
      <c r="B61" s="332" t="s">
        <v>3125</v>
      </c>
      <c r="C61" s="364"/>
      <c r="D61" s="374"/>
      <c r="E61" s="409"/>
      <c r="F61" s="362"/>
      <c r="G61" s="367"/>
      <c r="H61" s="364"/>
      <c r="K61" s="374">
        <f t="shared" si="0"/>
        <v>0</v>
      </c>
      <c r="L61" s="374">
        <f t="shared" si="4"/>
        <v>0</v>
      </c>
      <c r="M61" s="369"/>
      <c r="O61" s="335"/>
      <c r="Q61" s="410"/>
      <c r="S61" s="411"/>
      <c r="T61" s="411"/>
      <c r="U61" s="411"/>
      <c r="V61" s="411"/>
    </row>
    <row r="62" spans="1:22" ht="27.75" customHeight="1">
      <c r="B62" s="332" t="s">
        <v>3122</v>
      </c>
      <c r="C62" s="364"/>
      <c r="D62" s="374"/>
      <c r="E62" s="409"/>
      <c r="F62" s="362"/>
      <c r="G62" s="367"/>
      <c r="H62" s="364"/>
      <c r="K62" s="374"/>
      <c r="L62" s="374">
        <f t="shared" si="4"/>
        <v>0</v>
      </c>
      <c r="M62" s="369"/>
      <c r="O62" s="335"/>
      <c r="Q62" s="410"/>
      <c r="S62" s="411"/>
      <c r="T62" s="411"/>
      <c r="U62" s="411"/>
      <c r="V62" s="411"/>
    </row>
    <row r="63" spans="1:22" ht="27.75" customHeight="1">
      <c r="A63" s="331">
        <v>31</v>
      </c>
      <c r="B63" s="332" t="s">
        <v>21</v>
      </c>
      <c r="C63" s="364" t="s">
        <v>148</v>
      </c>
      <c r="D63" s="374"/>
      <c r="E63" s="409"/>
      <c r="F63" s="362"/>
      <c r="G63" s="367"/>
      <c r="H63" s="364" t="s">
        <v>260</v>
      </c>
      <c r="J63" s="338">
        <v>19748.34</v>
      </c>
      <c r="K63" s="374">
        <f t="shared" si="0"/>
        <v>0</v>
      </c>
      <c r="L63" s="374">
        <f t="shared" si="4"/>
        <v>19748.34</v>
      </c>
      <c r="M63" s="369"/>
      <c r="O63" s="335"/>
      <c r="Q63" s="410"/>
      <c r="S63" s="411"/>
      <c r="T63" s="411"/>
      <c r="U63" s="411"/>
      <c r="V63" s="411"/>
    </row>
    <row r="64" spans="1:22" ht="27.75" customHeight="1">
      <c r="B64" s="332" t="s">
        <v>3119</v>
      </c>
      <c r="C64" s="364"/>
      <c r="D64" s="374"/>
      <c r="E64" s="409"/>
      <c r="F64" s="362"/>
      <c r="G64" s="367"/>
      <c r="H64" s="364"/>
      <c r="K64" s="374"/>
      <c r="L64" s="374">
        <f t="shared" si="4"/>
        <v>0</v>
      </c>
      <c r="M64" s="369"/>
      <c r="O64" s="335"/>
      <c r="Q64" s="410"/>
      <c r="S64" s="411"/>
      <c r="T64" s="411"/>
      <c r="U64" s="411"/>
      <c r="V64" s="411"/>
    </row>
    <row r="65" spans="1:22" ht="27.75" customHeight="1">
      <c r="B65" s="332" t="s">
        <v>3120</v>
      </c>
      <c r="C65" s="364"/>
      <c r="D65" s="374"/>
      <c r="E65" s="409"/>
      <c r="F65" s="362"/>
      <c r="G65" s="367"/>
      <c r="H65" s="364"/>
      <c r="K65" s="374"/>
      <c r="L65" s="374">
        <f t="shared" si="4"/>
        <v>0</v>
      </c>
      <c r="M65" s="369"/>
      <c r="O65" s="335"/>
      <c r="Q65" s="410"/>
      <c r="S65" s="411"/>
      <c r="T65" s="411"/>
      <c r="U65" s="411"/>
      <c r="V65" s="411"/>
    </row>
    <row r="66" spans="1:22" ht="27.75" customHeight="1">
      <c r="A66" s="331">
        <v>32</v>
      </c>
      <c r="B66" s="332" t="s">
        <v>1723</v>
      </c>
      <c r="C66" s="364" t="s">
        <v>1724</v>
      </c>
      <c r="D66" s="374"/>
      <c r="E66" s="409"/>
      <c r="F66" s="362"/>
      <c r="G66" s="367"/>
      <c r="H66" s="364" t="s">
        <v>2016</v>
      </c>
      <c r="I66" s="331">
        <v>6</v>
      </c>
      <c r="J66" s="338">
        <v>263968.51</v>
      </c>
      <c r="K66" s="374">
        <v>0</v>
      </c>
      <c r="L66" s="374">
        <f t="shared" si="4"/>
        <v>263968.51</v>
      </c>
      <c r="M66" s="369"/>
      <c r="O66" s="335"/>
      <c r="Q66" s="410"/>
      <c r="S66" s="411"/>
      <c r="T66" s="411"/>
      <c r="U66" s="411"/>
      <c r="V66" s="411"/>
    </row>
    <row r="67" spans="1:22" ht="27.75" customHeight="1">
      <c r="A67" s="331">
        <v>33</v>
      </c>
      <c r="B67" s="332" t="s">
        <v>1725</v>
      </c>
      <c r="C67" s="364" t="s">
        <v>1726</v>
      </c>
      <c r="D67" s="374"/>
      <c r="E67" s="409"/>
      <c r="F67" s="362"/>
      <c r="G67" s="367"/>
      <c r="H67" s="364" t="s">
        <v>1727</v>
      </c>
      <c r="I67" s="331">
        <v>11</v>
      </c>
      <c r="J67" s="338">
        <v>183066.26</v>
      </c>
      <c r="K67" s="374">
        <v>0</v>
      </c>
      <c r="L67" s="374">
        <f t="shared" si="4"/>
        <v>183066.26</v>
      </c>
      <c r="M67" s="369"/>
      <c r="O67" s="335"/>
      <c r="Q67" s="410"/>
      <c r="S67" s="411"/>
      <c r="T67" s="411"/>
      <c r="U67" s="411"/>
      <c r="V67" s="411"/>
    </row>
    <row r="68" spans="1:22" ht="27.75" customHeight="1">
      <c r="B68" s="332" t="s">
        <v>3134</v>
      </c>
      <c r="C68" s="364"/>
      <c r="D68" s="374"/>
      <c r="E68" s="409"/>
      <c r="F68" s="362"/>
      <c r="G68" s="367"/>
      <c r="H68" s="364"/>
      <c r="K68" s="374"/>
      <c r="L68" s="374">
        <f t="shared" si="4"/>
        <v>0</v>
      </c>
      <c r="M68" s="369"/>
      <c r="O68" s="335"/>
      <c r="Q68" s="410"/>
      <c r="S68" s="411"/>
      <c r="T68" s="411"/>
      <c r="U68" s="411"/>
      <c r="V68" s="411"/>
    </row>
    <row r="69" spans="1:22" ht="27.75" customHeight="1">
      <c r="A69" s="331">
        <v>34</v>
      </c>
      <c r="B69" s="332" t="s">
        <v>557</v>
      </c>
      <c r="C69" s="364" t="s">
        <v>631</v>
      </c>
      <c r="D69" s="374"/>
      <c r="E69" s="409"/>
      <c r="F69" s="362"/>
      <c r="G69" s="367"/>
      <c r="H69" s="364" t="s">
        <v>2034</v>
      </c>
      <c r="I69" s="331">
        <v>5</v>
      </c>
      <c r="J69" s="338">
        <v>168387.38</v>
      </c>
      <c r="K69" s="374">
        <v>0</v>
      </c>
      <c r="L69" s="374">
        <f t="shared" si="4"/>
        <v>168387.38</v>
      </c>
      <c r="M69" s="369"/>
      <c r="O69" s="335"/>
      <c r="Q69" s="410"/>
      <c r="S69" s="411"/>
      <c r="T69" s="411"/>
      <c r="U69" s="411"/>
      <c r="V69" s="411"/>
    </row>
    <row r="70" spans="1:22" ht="27.75" customHeight="1">
      <c r="A70" s="331">
        <v>35</v>
      </c>
      <c r="B70" s="332" t="s">
        <v>557</v>
      </c>
      <c r="C70" s="364" t="s">
        <v>631</v>
      </c>
      <c r="D70" s="374"/>
      <c r="E70" s="409"/>
      <c r="F70" s="362"/>
      <c r="G70" s="367"/>
      <c r="H70" s="364" t="s">
        <v>1116</v>
      </c>
      <c r="I70" s="331">
        <v>2</v>
      </c>
      <c r="J70" s="338">
        <v>84000</v>
      </c>
      <c r="K70" s="374">
        <v>0</v>
      </c>
      <c r="L70" s="374">
        <f t="shared" si="4"/>
        <v>84000</v>
      </c>
      <c r="M70" s="369"/>
      <c r="O70" s="335"/>
      <c r="Q70" s="410"/>
      <c r="S70" s="411"/>
      <c r="T70" s="411"/>
      <c r="U70" s="411"/>
      <c r="V70" s="411"/>
    </row>
    <row r="71" spans="1:22" ht="27.75" customHeight="1">
      <c r="A71" s="331">
        <v>36</v>
      </c>
      <c r="B71" s="332" t="s">
        <v>557</v>
      </c>
      <c r="C71" s="364" t="s">
        <v>631</v>
      </c>
      <c r="D71" s="374"/>
      <c r="E71" s="409"/>
      <c r="F71" s="362"/>
      <c r="G71" s="367"/>
      <c r="H71" s="364" t="s">
        <v>2895</v>
      </c>
      <c r="I71" s="331">
        <v>9</v>
      </c>
      <c r="J71" s="338">
        <v>189000</v>
      </c>
      <c r="K71" s="374">
        <v>0</v>
      </c>
      <c r="L71" s="374">
        <f t="shared" si="4"/>
        <v>189000</v>
      </c>
      <c r="M71" s="369"/>
      <c r="O71" s="335"/>
      <c r="Q71" s="410"/>
      <c r="S71" s="411"/>
      <c r="T71" s="411"/>
      <c r="U71" s="411"/>
      <c r="V71" s="411"/>
    </row>
    <row r="72" spans="1:22" ht="27.75" customHeight="1">
      <c r="B72" s="332" t="s">
        <v>2256</v>
      </c>
      <c r="C72" s="364"/>
      <c r="D72" s="374"/>
      <c r="E72" s="409"/>
      <c r="F72" s="362"/>
      <c r="G72" s="367"/>
      <c r="H72" s="364"/>
      <c r="K72" s="374"/>
      <c r="L72" s="374"/>
      <c r="M72" s="369"/>
      <c r="O72" s="335"/>
      <c r="Q72" s="410"/>
      <c r="S72" s="411"/>
      <c r="T72" s="411"/>
      <c r="U72" s="411"/>
      <c r="V72" s="411"/>
    </row>
    <row r="73" spans="1:22" ht="27.75" customHeight="1">
      <c r="A73" s="331">
        <v>37</v>
      </c>
      <c r="B73" s="332" t="s">
        <v>3187</v>
      </c>
      <c r="C73" s="364" t="s">
        <v>564</v>
      </c>
      <c r="D73" s="374"/>
      <c r="E73" s="409"/>
      <c r="F73" s="362"/>
      <c r="G73" s="367">
        <v>417633.59</v>
      </c>
      <c r="H73" s="364"/>
      <c r="K73" s="374"/>
      <c r="L73" s="374"/>
      <c r="M73" s="369"/>
      <c r="O73" s="335"/>
      <c r="Q73" s="410"/>
      <c r="S73" s="411"/>
      <c r="T73" s="411"/>
      <c r="U73" s="411"/>
      <c r="V73" s="411"/>
    </row>
    <row r="74" spans="1:22" ht="27.75" customHeight="1">
      <c r="B74" s="332" t="s">
        <v>3154</v>
      </c>
      <c r="C74" s="364"/>
      <c r="D74" s="374"/>
      <c r="E74" s="409"/>
      <c r="F74" s="362"/>
      <c r="G74" s="367"/>
      <c r="H74" s="364"/>
      <c r="K74" s="374"/>
      <c r="L74" s="374"/>
      <c r="M74" s="369"/>
      <c r="O74" s="335"/>
      <c r="Q74" s="410"/>
      <c r="S74" s="411"/>
      <c r="T74" s="411"/>
      <c r="U74" s="411"/>
      <c r="V74" s="411"/>
    </row>
    <row r="75" spans="1:22" ht="27.75" customHeight="1">
      <c r="A75" s="331">
        <v>38</v>
      </c>
      <c r="B75" s="332" t="s">
        <v>3110</v>
      </c>
      <c r="C75" s="364" t="s">
        <v>3111</v>
      </c>
      <c r="D75" s="374"/>
      <c r="E75" s="409" t="s">
        <v>3358</v>
      </c>
      <c r="F75" s="362">
        <v>5</v>
      </c>
      <c r="G75" s="367">
        <v>2400000</v>
      </c>
      <c r="H75" s="364"/>
      <c r="K75" s="374"/>
      <c r="L75" s="374"/>
      <c r="M75" s="369"/>
      <c r="O75" s="335"/>
      <c r="Q75" s="410"/>
      <c r="S75" s="411"/>
      <c r="T75" s="411"/>
      <c r="U75" s="411"/>
      <c r="V75" s="411"/>
    </row>
    <row r="76" spans="1:22" s="455" customFormat="1" ht="33.75" customHeight="1">
      <c r="A76" s="331">
        <v>39</v>
      </c>
      <c r="B76" s="444" t="s">
        <v>1656</v>
      </c>
      <c r="C76" s="445" t="s">
        <v>1763</v>
      </c>
      <c r="D76" s="446"/>
      <c r="E76" s="447"/>
      <c r="F76" s="448"/>
      <c r="G76" s="449"/>
      <c r="H76" s="445" t="s">
        <v>3149</v>
      </c>
      <c r="I76" s="450">
        <v>7</v>
      </c>
      <c r="J76" s="446">
        <v>105000</v>
      </c>
      <c r="K76" s="446">
        <f t="shared" si="0"/>
        <v>0</v>
      </c>
      <c r="L76" s="446">
        <f t="shared" si="4"/>
        <v>105000</v>
      </c>
      <c r="M76" s="451"/>
      <c r="N76" s="452"/>
      <c r="O76" s="453"/>
      <c r="P76" s="452"/>
      <c r="Q76" s="454"/>
      <c r="S76" s="456"/>
      <c r="T76" s="456"/>
      <c r="U76" s="456"/>
      <c r="V76" s="456"/>
    </row>
    <row r="77" spans="1:22" ht="33.75" customHeight="1">
      <c r="A77" s="331">
        <v>40</v>
      </c>
      <c r="B77" s="332" t="s">
        <v>119</v>
      </c>
      <c r="C77" s="364" t="s">
        <v>98</v>
      </c>
      <c r="D77" s="374"/>
      <c r="E77" s="409" t="s">
        <v>3531</v>
      </c>
      <c r="F77" s="362">
        <v>6</v>
      </c>
      <c r="G77" s="367">
        <v>90000</v>
      </c>
      <c r="H77" s="364"/>
      <c r="K77" s="374">
        <f t="shared" si="0"/>
        <v>10385.999999999998</v>
      </c>
      <c r="L77" s="374">
        <f t="shared" si="4"/>
        <v>0</v>
      </c>
      <c r="M77" s="369"/>
      <c r="O77" s="335"/>
      <c r="Q77" s="410"/>
      <c r="S77" s="411"/>
      <c r="T77" s="411"/>
      <c r="U77" s="411"/>
      <c r="V77" s="411"/>
    </row>
    <row r="78" spans="1:22" ht="33.75" customHeight="1">
      <c r="A78" s="331">
        <v>41</v>
      </c>
      <c r="B78" s="332" t="s">
        <v>531</v>
      </c>
      <c r="C78" s="364" t="s">
        <v>3188</v>
      </c>
      <c r="D78" s="374"/>
      <c r="E78" s="409" t="s">
        <v>3437</v>
      </c>
      <c r="F78" s="362">
        <v>2</v>
      </c>
      <c r="G78" s="367">
        <v>31500</v>
      </c>
      <c r="H78" s="364"/>
      <c r="K78" s="374">
        <f t="shared" si="0"/>
        <v>3635.1</v>
      </c>
      <c r="L78" s="374">
        <f t="shared" si="4"/>
        <v>0</v>
      </c>
      <c r="M78" s="369"/>
      <c r="O78" s="335"/>
      <c r="Q78" s="410"/>
      <c r="S78" s="411"/>
      <c r="T78" s="411"/>
      <c r="U78" s="411"/>
      <c r="V78" s="411"/>
    </row>
    <row r="79" spans="1:22" ht="33.75" customHeight="1">
      <c r="A79" s="331">
        <v>42</v>
      </c>
      <c r="B79" s="332" t="s">
        <v>158</v>
      </c>
      <c r="C79" s="364" t="s">
        <v>563</v>
      </c>
      <c r="D79" s="374"/>
      <c r="E79" s="409" t="s">
        <v>3416</v>
      </c>
      <c r="F79" s="362">
        <v>1</v>
      </c>
      <c r="G79" s="367">
        <v>17000</v>
      </c>
      <c r="H79" s="364"/>
      <c r="K79" s="374">
        <f t="shared" si="0"/>
        <v>1961.8</v>
      </c>
      <c r="L79" s="374">
        <f t="shared" si="4"/>
        <v>0</v>
      </c>
      <c r="M79" s="369"/>
      <c r="O79" s="335"/>
      <c r="Q79" s="410"/>
      <c r="S79" s="411"/>
      <c r="T79" s="411"/>
      <c r="U79" s="411"/>
      <c r="V79" s="411"/>
    </row>
    <row r="80" spans="1:22" ht="33.75" customHeight="1">
      <c r="A80" s="331">
        <v>43</v>
      </c>
      <c r="B80" s="332" t="s">
        <v>630</v>
      </c>
      <c r="C80" s="364" t="s">
        <v>3312</v>
      </c>
      <c r="D80" s="374">
        <v>1500</v>
      </c>
      <c r="E80" s="409" t="s">
        <v>3391</v>
      </c>
      <c r="F80" s="362"/>
      <c r="G80" s="367"/>
      <c r="H80" s="364"/>
      <c r="K80" s="374">
        <f t="shared" si="0"/>
        <v>0</v>
      </c>
      <c r="L80" s="374">
        <f t="shared" si="4"/>
        <v>0</v>
      </c>
      <c r="M80" s="369"/>
      <c r="O80" s="335"/>
      <c r="Q80" s="410"/>
      <c r="S80" s="411"/>
      <c r="T80" s="411"/>
      <c r="U80" s="411"/>
      <c r="V80" s="411"/>
    </row>
    <row r="81" spans="1:22" ht="33.75" customHeight="1">
      <c r="A81" s="331">
        <v>44</v>
      </c>
      <c r="B81" s="332" t="s">
        <v>1531</v>
      </c>
      <c r="C81" s="364" t="s">
        <v>1532</v>
      </c>
      <c r="D81" s="374"/>
      <c r="E81" s="409" t="s">
        <v>3706</v>
      </c>
      <c r="F81" s="362">
        <v>2</v>
      </c>
      <c r="G81" s="367">
        <v>21750</v>
      </c>
      <c r="H81" s="364"/>
      <c r="K81" s="374">
        <f t="shared" si="0"/>
        <v>2509.9499999999998</v>
      </c>
      <c r="L81" s="374">
        <f t="shared" si="4"/>
        <v>0</v>
      </c>
      <c r="M81" s="369"/>
      <c r="O81" s="335"/>
      <c r="Q81" s="410"/>
      <c r="S81" s="411"/>
      <c r="T81" s="411"/>
      <c r="U81" s="411"/>
      <c r="V81" s="411"/>
    </row>
    <row r="82" spans="1:22" ht="33.75" customHeight="1">
      <c r="A82" s="331">
        <v>45</v>
      </c>
      <c r="B82" s="332" t="s">
        <v>3707</v>
      </c>
      <c r="C82" s="364" t="s">
        <v>3708</v>
      </c>
      <c r="D82" s="374"/>
      <c r="E82" s="409" t="s">
        <v>3416</v>
      </c>
      <c r="F82" s="362">
        <v>1</v>
      </c>
      <c r="G82" s="367">
        <v>15750</v>
      </c>
      <c r="H82" s="364"/>
      <c r="K82" s="374">
        <f t="shared" ref="K82:K93" si="5">G82*11.54/100</f>
        <v>1817.55</v>
      </c>
      <c r="L82" s="374">
        <f t="shared" si="4"/>
        <v>0</v>
      </c>
      <c r="M82" s="369"/>
      <c r="O82" s="335"/>
      <c r="Q82" s="410"/>
      <c r="S82" s="411"/>
      <c r="T82" s="411"/>
      <c r="U82" s="411"/>
      <c r="V82" s="411"/>
    </row>
    <row r="83" spans="1:22" ht="33.75" customHeight="1">
      <c r="A83" s="331">
        <v>46</v>
      </c>
      <c r="B83" s="332" t="s">
        <v>3709</v>
      </c>
      <c r="C83" s="364" t="s">
        <v>3710</v>
      </c>
      <c r="D83" s="374"/>
      <c r="E83" s="409" t="s">
        <v>3416</v>
      </c>
      <c r="F83" s="362">
        <v>1</v>
      </c>
      <c r="G83" s="367">
        <v>15000</v>
      </c>
      <c r="H83" s="364"/>
      <c r="K83" s="374">
        <f t="shared" si="5"/>
        <v>1731</v>
      </c>
      <c r="L83" s="374">
        <f t="shared" si="4"/>
        <v>0</v>
      </c>
      <c r="M83" s="369"/>
      <c r="O83" s="335"/>
      <c r="Q83" s="410"/>
      <c r="S83" s="411"/>
      <c r="T83" s="411"/>
      <c r="U83" s="411"/>
      <c r="V83" s="411"/>
    </row>
    <row r="84" spans="1:22" ht="33.75" customHeight="1">
      <c r="A84" s="331">
        <v>47</v>
      </c>
      <c r="B84" s="332" t="s">
        <v>3392</v>
      </c>
      <c r="C84" s="364" t="s">
        <v>3393</v>
      </c>
      <c r="D84" s="374"/>
      <c r="E84" s="409" t="s">
        <v>3437</v>
      </c>
      <c r="F84" s="362">
        <v>2</v>
      </c>
      <c r="G84" s="367">
        <v>30000</v>
      </c>
      <c r="H84" s="364"/>
      <c r="K84" s="374">
        <f t="shared" si="5"/>
        <v>3462</v>
      </c>
      <c r="L84" s="374">
        <f t="shared" si="4"/>
        <v>0</v>
      </c>
      <c r="M84" s="369"/>
      <c r="O84" s="335"/>
      <c r="Q84" s="410"/>
      <c r="S84" s="411"/>
      <c r="T84" s="411"/>
      <c r="U84" s="411"/>
      <c r="V84" s="411"/>
    </row>
    <row r="85" spans="1:22" ht="33.75" customHeight="1">
      <c r="A85" s="331">
        <v>48</v>
      </c>
      <c r="B85" s="332" t="s">
        <v>3313</v>
      </c>
      <c r="C85" s="364" t="s">
        <v>3711</v>
      </c>
      <c r="D85" s="374"/>
      <c r="E85" s="409" t="s">
        <v>3416</v>
      </c>
      <c r="F85" s="362">
        <v>1</v>
      </c>
      <c r="G85" s="367">
        <v>15000</v>
      </c>
      <c r="H85" s="364"/>
      <c r="K85" s="374">
        <f t="shared" si="5"/>
        <v>1731</v>
      </c>
      <c r="L85" s="374">
        <f t="shared" si="4"/>
        <v>0</v>
      </c>
      <c r="M85" s="369"/>
      <c r="O85" s="335"/>
      <c r="Q85" s="410"/>
      <c r="S85" s="411"/>
      <c r="T85" s="411"/>
      <c r="U85" s="411"/>
      <c r="V85" s="411"/>
    </row>
    <row r="86" spans="1:22" ht="33.75" customHeight="1">
      <c r="A86" s="331">
        <v>49</v>
      </c>
      <c r="B86" s="332" t="s">
        <v>2639</v>
      </c>
      <c r="C86" s="364" t="s">
        <v>2640</v>
      </c>
      <c r="D86" s="374"/>
      <c r="E86" s="409" t="s">
        <v>3712</v>
      </c>
      <c r="F86" s="362">
        <v>2</v>
      </c>
      <c r="G86" s="367">
        <v>33750</v>
      </c>
      <c r="H86" s="364"/>
      <c r="K86" s="374">
        <f t="shared" si="5"/>
        <v>3894.75</v>
      </c>
      <c r="L86" s="374">
        <f t="shared" si="4"/>
        <v>0</v>
      </c>
      <c r="M86" s="369"/>
      <c r="O86" s="335"/>
      <c r="Q86" s="410"/>
      <c r="S86" s="411"/>
      <c r="T86" s="411"/>
      <c r="U86" s="411"/>
      <c r="V86" s="411"/>
    </row>
    <row r="87" spans="1:22" ht="33.75" customHeight="1">
      <c r="A87" s="331">
        <v>50</v>
      </c>
      <c r="B87" s="332" t="s">
        <v>3189</v>
      </c>
      <c r="C87" s="364" t="s">
        <v>3190</v>
      </c>
      <c r="D87" s="374"/>
      <c r="E87" s="409" t="s">
        <v>3713</v>
      </c>
      <c r="F87" s="362">
        <v>2</v>
      </c>
      <c r="G87" s="367">
        <v>16500</v>
      </c>
      <c r="H87" s="364"/>
      <c r="K87" s="374">
        <f t="shared" si="5"/>
        <v>1904.1</v>
      </c>
      <c r="L87" s="374">
        <f t="shared" si="4"/>
        <v>0</v>
      </c>
      <c r="M87" s="369"/>
      <c r="O87" s="335"/>
      <c r="Q87" s="410"/>
      <c r="S87" s="411"/>
      <c r="T87" s="411"/>
      <c r="U87" s="411"/>
      <c r="V87" s="411"/>
    </row>
    <row r="88" spans="1:22" ht="33.75" customHeight="1">
      <c r="A88" s="331">
        <v>51</v>
      </c>
      <c r="B88" s="332" t="s">
        <v>2859</v>
      </c>
      <c r="C88" s="364" t="s">
        <v>2860</v>
      </c>
      <c r="D88" s="374"/>
      <c r="E88" s="409" t="s">
        <v>3416</v>
      </c>
      <c r="F88" s="362">
        <v>2</v>
      </c>
      <c r="G88" s="367">
        <v>18750</v>
      </c>
      <c r="H88" s="364"/>
      <c r="K88" s="374">
        <f t="shared" si="5"/>
        <v>2163.7499999999995</v>
      </c>
      <c r="L88" s="374">
        <f t="shared" si="4"/>
        <v>0</v>
      </c>
      <c r="M88" s="369"/>
      <c r="O88" s="335"/>
      <c r="Q88" s="410"/>
      <c r="S88" s="411"/>
      <c r="T88" s="411"/>
      <c r="U88" s="411"/>
      <c r="V88" s="411"/>
    </row>
    <row r="89" spans="1:22" ht="33.75" customHeight="1">
      <c r="A89" s="331">
        <v>52</v>
      </c>
      <c r="B89" s="332" t="s">
        <v>3313</v>
      </c>
      <c r="C89" s="364" t="s">
        <v>3314</v>
      </c>
      <c r="D89" s="374"/>
      <c r="E89" s="409" t="s">
        <v>3437</v>
      </c>
      <c r="F89" s="362">
        <v>2</v>
      </c>
      <c r="G89" s="367">
        <v>30000</v>
      </c>
      <c r="H89" s="364"/>
      <c r="K89" s="374">
        <f t="shared" si="5"/>
        <v>3462</v>
      </c>
      <c r="L89" s="374">
        <f t="shared" si="4"/>
        <v>0</v>
      </c>
      <c r="M89" s="369"/>
      <c r="O89" s="335"/>
      <c r="Q89" s="410"/>
      <c r="S89" s="411"/>
      <c r="T89" s="411"/>
      <c r="U89" s="411"/>
      <c r="V89" s="411"/>
    </row>
    <row r="90" spans="1:22" ht="33.75" customHeight="1">
      <c r="A90" s="331">
        <v>53</v>
      </c>
      <c r="B90" s="332" t="s">
        <v>3315</v>
      </c>
      <c r="C90" s="364" t="s">
        <v>3034</v>
      </c>
      <c r="D90" s="374"/>
      <c r="E90" s="409" t="s">
        <v>3437</v>
      </c>
      <c r="F90" s="362">
        <v>2</v>
      </c>
      <c r="G90" s="367">
        <v>88200</v>
      </c>
      <c r="H90" s="364"/>
      <c r="K90" s="374">
        <f t="shared" si="5"/>
        <v>10178.279999999999</v>
      </c>
      <c r="L90" s="374">
        <f t="shared" si="4"/>
        <v>0</v>
      </c>
      <c r="M90" s="369"/>
      <c r="O90" s="335"/>
      <c r="Q90" s="410"/>
      <c r="S90" s="411"/>
      <c r="T90" s="411"/>
      <c r="U90" s="411"/>
      <c r="V90" s="411"/>
    </row>
    <row r="91" spans="1:22" ht="33.75" customHeight="1">
      <c r="A91" s="331">
        <v>54</v>
      </c>
      <c r="B91" s="332" t="s">
        <v>796</v>
      </c>
      <c r="C91" s="364" t="s">
        <v>2017</v>
      </c>
      <c r="D91" s="374"/>
      <c r="E91" s="409" t="s">
        <v>3714</v>
      </c>
      <c r="F91" s="362">
        <v>5</v>
      </c>
      <c r="G91" s="367">
        <v>214260.52000000002</v>
      </c>
      <c r="H91" s="364"/>
      <c r="K91" s="374">
        <f t="shared" si="5"/>
        <v>24725.664008</v>
      </c>
      <c r="L91" s="374">
        <f t="shared" si="4"/>
        <v>0</v>
      </c>
      <c r="M91" s="369"/>
      <c r="O91" s="335"/>
      <c r="Q91" s="410"/>
      <c r="S91" s="411"/>
      <c r="T91" s="411"/>
      <c r="U91" s="411"/>
      <c r="V91" s="411"/>
    </row>
    <row r="92" spans="1:22" ht="33.75" customHeight="1">
      <c r="A92" s="331">
        <v>55</v>
      </c>
      <c r="B92" s="332" t="s">
        <v>3394</v>
      </c>
      <c r="C92" s="364" t="s">
        <v>3035</v>
      </c>
      <c r="D92" s="374">
        <v>12753.86</v>
      </c>
      <c r="E92" s="409" t="s">
        <v>3391</v>
      </c>
      <c r="F92" s="362"/>
      <c r="G92" s="367"/>
      <c r="H92" s="364"/>
      <c r="K92" s="374">
        <f t="shared" si="5"/>
        <v>0</v>
      </c>
      <c r="L92" s="374">
        <f t="shared" si="4"/>
        <v>0</v>
      </c>
      <c r="M92" s="369"/>
      <c r="O92" s="335"/>
      <c r="Q92" s="410"/>
      <c r="S92" s="411"/>
      <c r="T92" s="411"/>
      <c r="U92" s="411"/>
      <c r="V92" s="411"/>
    </row>
    <row r="93" spans="1:22" ht="33.75" customHeight="1">
      <c r="A93" s="331">
        <v>56</v>
      </c>
      <c r="B93" s="332" t="s">
        <v>3715</v>
      </c>
      <c r="C93" s="364" t="s">
        <v>3716</v>
      </c>
      <c r="D93" s="374"/>
      <c r="E93" s="409" t="s">
        <v>3416</v>
      </c>
      <c r="F93" s="362">
        <v>1</v>
      </c>
      <c r="G93" s="367">
        <v>23152.5</v>
      </c>
      <c r="H93" s="364"/>
      <c r="K93" s="374">
        <f t="shared" si="5"/>
        <v>2671.7984999999999</v>
      </c>
      <c r="L93" s="374">
        <f t="shared" si="4"/>
        <v>0</v>
      </c>
      <c r="M93" s="369"/>
      <c r="O93" s="335"/>
      <c r="Q93" s="410"/>
      <c r="S93" s="411"/>
      <c r="T93" s="411"/>
      <c r="U93" s="411"/>
      <c r="V93" s="411"/>
    </row>
    <row r="94" spans="1:22" ht="33.75" customHeight="1">
      <c r="B94" s="332"/>
      <c r="C94" s="364"/>
      <c r="D94" s="374"/>
      <c r="E94" s="409"/>
      <c r="F94" s="362"/>
      <c r="G94" s="367"/>
      <c r="H94" s="364"/>
      <c r="K94" s="374"/>
      <c r="L94" s="374"/>
      <c r="M94" s="369"/>
      <c r="O94" s="335"/>
      <c r="Q94" s="410"/>
      <c r="S94" s="411"/>
      <c r="T94" s="411"/>
      <c r="U94" s="411"/>
      <c r="V94" s="411"/>
    </row>
    <row r="95" spans="1:22" ht="33.75" customHeight="1">
      <c r="B95" s="332"/>
      <c r="C95" s="364"/>
      <c r="D95" s="374"/>
      <c r="E95" s="409"/>
      <c r="F95" s="362"/>
      <c r="G95" s="367"/>
      <c r="H95" s="364"/>
      <c r="K95" s="374"/>
      <c r="L95" s="374"/>
      <c r="M95" s="369"/>
      <c r="O95" s="335"/>
      <c r="Q95" s="410"/>
      <c r="S95" s="411"/>
      <c r="T95" s="411"/>
      <c r="U95" s="411"/>
      <c r="V95" s="411"/>
    </row>
    <row r="96" spans="1:22" s="455" customFormat="1" ht="27.75" customHeight="1">
      <c r="A96" s="450"/>
      <c r="B96" s="444"/>
      <c r="C96" s="457"/>
      <c r="D96" s="453"/>
      <c r="E96" s="453"/>
      <c r="F96" s="450"/>
      <c r="G96" s="386"/>
      <c r="H96" s="444"/>
      <c r="I96" s="458"/>
      <c r="J96" s="453"/>
      <c r="K96" s="374">
        <f t="shared" ref="K96:K157" si="6">G96*11.54/100</f>
        <v>0</v>
      </c>
      <c r="L96" s="374">
        <f t="shared" si="4"/>
        <v>0</v>
      </c>
      <c r="M96" s="451"/>
      <c r="N96" s="452">
        <f>SUM(G12:G96)</f>
        <v>3478246.61</v>
      </c>
      <c r="O96" s="452">
        <f>SUM(J12:J96)</f>
        <v>9132373.2199999988</v>
      </c>
      <c r="P96" s="452">
        <f>+N96+O96</f>
        <v>12610619.829999998</v>
      </c>
      <c r="Q96" s="452">
        <f>SUM(D12:D96)</f>
        <v>14253.86</v>
      </c>
      <c r="R96" s="452" t="s">
        <v>66</v>
      </c>
      <c r="S96" s="452"/>
      <c r="T96" s="452"/>
      <c r="U96" s="452"/>
      <c r="V96" s="452"/>
    </row>
    <row r="97" spans="1:22" ht="27.75" customHeight="1">
      <c r="B97" s="380" t="s">
        <v>989</v>
      </c>
      <c r="C97" s="372"/>
      <c r="D97" s="382"/>
      <c r="E97" s="382"/>
      <c r="F97" s="331" t="s">
        <v>3168</v>
      </c>
      <c r="G97" s="386"/>
      <c r="H97" s="332"/>
      <c r="I97" s="397"/>
      <c r="J97" s="335"/>
      <c r="K97" s="374">
        <f t="shared" si="6"/>
        <v>0</v>
      </c>
      <c r="L97" s="374">
        <f t="shared" si="4"/>
        <v>0</v>
      </c>
      <c r="M97" s="369"/>
      <c r="N97" s="288"/>
      <c r="O97" s="288"/>
      <c r="P97" s="288"/>
      <c r="R97" s="289"/>
    </row>
    <row r="98" spans="1:22" s="423" customFormat="1" ht="27.75" customHeight="1">
      <c r="A98" s="412">
        <v>1</v>
      </c>
      <c r="B98" s="459" t="s">
        <v>179</v>
      </c>
      <c r="C98" s="460" t="s">
        <v>241</v>
      </c>
      <c r="D98" s="421"/>
      <c r="E98" s="421"/>
      <c r="F98" s="412"/>
      <c r="G98" s="461"/>
      <c r="H98" s="413" t="s">
        <v>269</v>
      </c>
      <c r="I98" s="462">
        <v>16</v>
      </c>
      <c r="J98" s="421">
        <v>200000</v>
      </c>
      <c r="K98" s="415">
        <f t="shared" si="6"/>
        <v>0</v>
      </c>
      <c r="L98" s="415">
        <f t="shared" si="4"/>
        <v>200000</v>
      </c>
      <c r="M98" s="419"/>
      <c r="N98" s="420"/>
      <c r="O98" s="420"/>
      <c r="P98" s="420"/>
      <c r="Q98" s="420"/>
      <c r="R98" s="420"/>
      <c r="S98" s="420"/>
      <c r="T98" s="420"/>
      <c r="U98" s="420"/>
      <c r="V98" s="420"/>
    </row>
    <row r="99" spans="1:22" s="423" customFormat="1" ht="27.75" customHeight="1">
      <c r="A99" s="412"/>
      <c r="B99" s="459" t="s">
        <v>299</v>
      </c>
      <c r="C99" s="460"/>
      <c r="D99" s="421"/>
      <c r="E99" s="421"/>
      <c r="F99" s="412"/>
      <c r="G99" s="461"/>
      <c r="H99" s="413"/>
      <c r="I99" s="462"/>
      <c r="J99" s="421"/>
      <c r="K99" s="415">
        <f t="shared" si="6"/>
        <v>0</v>
      </c>
      <c r="L99" s="415">
        <f t="shared" si="4"/>
        <v>0</v>
      </c>
      <c r="M99" s="419"/>
      <c r="N99" s="420"/>
      <c r="O99" s="420"/>
      <c r="P99" s="420"/>
      <c r="Q99" s="420"/>
      <c r="R99" s="420"/>
      <c r="S99" s="420"/>
      <c r="T99" s="420"/>
      <c r="U99" s="420"/>
      <c r="V99" s="420"/>
    </row>
    <row r="100" spans="1:22" s="423" customFormat="1" ht="27.75" customHeight="1">
      <c r="A100" s="412">
        <v>2</v>
      </c>
      <c r="B100" s="459" t="s">
        <v>179</v>
      </c>
      <c r="C100" s="460" t="s">
        <v>242</v>
      </c>
      <c r="D100" s="421"/>
      <c r="E100" s="421"/>
      <c r="F100" s="412"/>
      <c r="G100" s="461"/>
      <c r="H100" s="413" t="s">
        <v>269</v>
      </c>
      <c r="I100" s="462">
        <v>16</v>
      </c>
      <c r="J100" s="421">
        <v>74444.479999999996</v>
      </c>
      <c r="K100" s="415">
        <f t="shared" si="6"/>
        <v>0</v>
      </c>
      <c r="L100" s="415">
        <f t="shared" si="4"/>
        <v>74444.479999999996</v>
      </c>
      <c r="M100" s="419"/>
      <c r="N100" s="420"/>
      <c r="O100" s="420"/>
      <c r="P100" s="420"/>
      <c r="Q100" s="420"/>
      <c r="R100" s="420"/>
      <c r="S100" s="420"/>
      <c r="T100" s="420"/>
      <c r="U100" s="420"/>
      <c r="V100" s="420"/>
    </row>
    <row r="101" spans="1:22" ht="27.75" customHeight="1">
      <c r="A101" s="331">
        <v>3</v>
      </c>
      <c r="B101" s="376" t="s">
        <v>3153</v>
      </c>
      <c r="C101" s="372" t="s">
        <v>1533</v>
      </c>
      <c r="D101" s="382"/>
      <c r="E101" s="382"/>
      <c r="F101" s="331" t="s">
        <v>3729</v>
      </c>
      <c r="G101" s="386">
        <v>3539</v>
      </c>
      <c r="H101" s="332"/>
      <c r="I101" s="397"/>
      <c r="J101" s="335"/>
      <c r="K101" s="374">
        <f t="shared" si="6"/>
        <v>408.4006</v>
      </c>
      <c r="L101" s="374">
        <f t="shared" si="4"/>
        <v>0</v>
      </c>
      <c r="M101" s="369"/>
      <c r="N101" s="463"/>
      <c r="O101" s="288"/>
      <c r="P101" s="288"/>
      <c r="R101" s="289"/>
    </row>
    <row r="102" spans="1:22" ht="27.75" customHeight="1">
      <c r="A102" s="412">
        <v>4</v>
      </c>
      <c r="B102" s="376" t="s">
        <v>3193</v>
      </c>
      <c r="C102" s="372" t="s">
        <v>3188</v>
      </c>
      <c r="D102" s="382"/>
      <c r="E102" s="382"/>
      <c r="F102" s="331" t="s">
        <v>3730</v>
      </c>
      <c r="G102" s="386">
        <v>10000</v>
      </c>
      <c r="H102" s="332"/>
      <c r="I102" s="397"/>
      <c r="J102" s="335"/>
      <c r="K102" s="374">
        <f t="shared" si="6"/>
        <v>1153.9999999999998</v>
      </c>
      <c r="L102" s="374">
        <f t="shared" si="4"/>
        <v>0</v>
      </c>
      <c r="M102" s="369"/>
      <c r="N102" s="463"/>
      <c r="O102" s="288"/>
      <c r="P102" s="288"/>
      <c r="R102" s="289"/>
    </row>
    <row r="103" spans="1:22" ht="27.75" customHeight="1">
      <c r="A103" s="331">
        <v>5</v>
      </c>
      <c r="B103" s="376" t="s">
        <v>3323</v>
      </c>
      <c r="C103" s="372" t="s">
        <v>3324</v>
      </c>
      <c r="D103" s="382"/>
      <c r="E103" s="382"/>
      <c r="F103" s="331" t="s">
        <v>3730</v>
      </c>
      <c r="G103" s="386">
        <v>10000</v>
      </c>
      <c r="H103" s="332"/>
      <c r="I103" s="397"/>
      <c r="J103" s="335"/>
      <c r="K103" s="374">
        <f t="shared" si="6"/>
        <v>1153.9999999999998</v>
      </c>
      <c r="L103" s="374">
        <f t="shared" si="4"/>
        <v>0</v>
      </c>
      <c r="M103" s="369"/>
      <c r="N103" s="463"/>
      <c r="O103" s="288"/>
      <c r="P103" s="288"/>
      <c r="R103" s="289"/>
    </row>
    <row r="104" spans="1:22" ht="27.75" customHeight="1">
      <c r="A104" s="412">
        <v>6</v>
      </c>
      <c r="B104" s="376" t="s">
        <v>3731</v>
      </c>
      <c r="C104" s="372"/>
      <c r="D104" s="382"/>
      <c r="E104" s="382"/>
      <c r="F104" s="331" t="s">
        <v>3732</v>
      </c>
      <c r="G104" s="386">
        <v>24000</v>
      </c>
      <c r="H104" s="332"/>
      <c r="I104" s="397"/>
      <c r="J104" s="335"/>
      <c r="K104" s="374">
        <f t="shared" si="6"/>
        <v>2769.6</v>
      </c>
      <c r="L104" s="374">
        <f t="shared" si="4"/>
        <v>0</v>
      </c>
      <c r="M104" s="369"/>
      <c r="N104" s="463"/>
      <c r="O104" s="288"/>
      <c r="P104" s="288"/>
      <c r="R104" s="289"/>
    </row>
    <row r="105" spans="1:22" ht="27.75" customHeight="1">
      <c r="B105" s="332"/>
      <c r="C105" s="377"/>
      <c r="D105" s="335"/>
      <c r="G105" s="386"/>
      <c r="H105" s="332"/>
      <c r="I105" s="362"/>
      <c r="J105" s="335"/>
      <c r="K105" s="374">
        <f t="shared" si="6"/>
        <v>0</v>
      </c>
      <c r="L105" s="374">
        <f t="shared" si="4"/>
        <v>0</v>
      </c>
      <c r="M105" s="369"/>
      <c r="N105" s="410"/>
      <c r="R105" s="289"/>
      <c r="S105" s="289"/>
      <c r="T105" s="289"/>
      <c r="U105" s="289"/>
      <c r="V105" s="289"/>
    </row>
    <row r="106" spans="1:22" s="456" customFormat="1" ht="27.75" customHeight="1">
      <c r="A106" s="448"/>
      <c r="B106" s="445"/>
      <c r="C106" s="445"/>
      <c r="D106" s="453"/>
      <c r="E106" s="447"/>
      <c r="F106" s="448"/>
      <c r="G106" s="386"/>
      <c r="H106" s="445"/>
      <c r="I106" s="448"/>
      <c r="J106" s="453"/>
      <c r="K106" s="374">
        <f t="shared" si="6"/>
        <v>0</v>
      </c>
      <c r="L106" s="374">
        <f t="shared" si="4"/>
        <v>0</v>
      </c>
      <c r="N106" s="452">
        <f>SUM(G97:G106)</f>
        <v>47539</v>
      </c>
      <c r="O106" s="452">
        <f>SUM(J97:J106)</f>
        <v>274444.48</v>
      </c>
      <c r="P106" s="452">
        <f>+N106+O106</f>
        <v>321983.48</v>
      </c>
      <c r="Q106" s="454">
        <f ca="1">SUM(Q97:Q106)</f>
        <v>0</v>
      </c>
      <c r="R106" s="456" t="s">
        <v>2958</v>
      </c>
    </row>
    <row r="107" spans="1:22" s="469" customFormat="1" ht="27.75" customHeight="1">
      <c r="A107" s="464"/>
      <c r="B107" s="465" t="s">
        <v>206</v>
      </c>
      <c r="C107" s="465"/>
      <c r="D107" s="466"/>
      <c r="E107" s="467"/>
      <c r="F107" s="464"/>
      <c r="G107" s="468"/>
      <c r="H107" s="465"/>
      <c r="I107" s="464"/>
      <c r="J107" s="466"/>
      <c r="K107" s="374">
        <f t="shared" si="6"/>
        <v>0</v>
      </c>
      <c r="L107" s="374">
        <f t="shared" ref="L107:L170" si="7">+J107</f>
        <v>0</v>
      </c>
      <c r="N107" s="470"/>
      <c r="O107" s="470"/>
      <c r="P107" s="470"/>
      <c r="Q107" s="471"/>
    </row>
    <row r="108" spans="1:22" s="371" customFormat="1" ht="27.75" customHeight="1">
      <c r="A108" s="366">
        <v>1</v>
      </c>
      <c r="B108" s="368" t="s">
        <v>2863</v>
      </c>
      <c r="C108" s="368" t="s">
        <v>2896</v>
      </c>
      <c r="D108" s="335"/>
      <c r="E108" s="365" t="s">
        <v>3416</v>
      </c>
      <c r="F108" s="366">
        <v>1</v>
      </c>
      <c r="G108" s="386">
        <v>2000</v>
      </c>
      <c r="H108" s="368"/>
      <c r="I108" s="366"/>
      <c r="J108" s="335"/>
      <c r="K108" s="374">
        <f t="shared" si="6"/>
        <v>230.8</v>
      </c>
      <c r="L108" s="374">
        <f t="shared" si="7"/>
        <v>0</v>
      </c>
      <c r="N108" s="289"/>
      <c r="O108" s="289"/>
      <c r="P108" s="289"/>
      <c r="Q108" s="370"/>
    </row>
    <row r="109" spans="1:22" s="371" customFormat="1" ht="27.75" customHeight="1">
      <c r="A109" s="366">
        <v>2</v>
      </c>
      <c r="B109" s="368" t="s">
        <v>2861</v>
      </c>
      <c r="C109" s="368" t="s">
        <v>2862</v>
      </c>
      <c r="D109" s="335"/>
      <c r="E109" s="365" t="s">
        <v>3416</v>
      </c>
      <c r="F109" s="366">
        <v>1</v>
      </c>
      <c r="G109" s="386">
        <v>2000</v>
      </c>
      <c r="H109" s="368"/>
      <c r="I109" s="366"/>
      <c r="J109" s="335"/>
      <c r="K109" s="374">
        <f t="shared" si="6"/>
        <v>230.8</v>
      </c>
      <c r="L109" s="374">
        <f t="shared" si="7"/>
        <v>0</v>
      </c>
      <c r="N109" s="289"/>
      <c r="O109" s="289"/>
      <c r="P109" s="289"/>
      <c r="Q109" s="370"/>
    </row>
    <row r="110" spans="1:22" s="371" customFormat="1" ht="27.75" customHeight="1">
      <c r="A110" s="366">
        <v>3</v>
      </c>
      <c r="B110" s="368" t="s">
        <v>2744</v>
      </c>
      <c r="C110" s="368" t="s">
        <v>2745</v>
      </c>
      <c r="D110" s="335"/>
      <c r="E110" s="365" t="s">
        <v>3416</v>
      </c>
      <c r="F110" s="366">
        <v>1</v>
      </c>
      <c r="G110" s="386">
        <v>2000</v>
      </c>
      <c r="H110" s="368"/>
      <c r="I110" s="366"/>
      <c r="J110" s="335"/>
      <c r="K110" s="374">
        <f t="shared" si="6"/>
        <v>230.8</v>
      </c>
      <c r="L110" s="374">
        <f t="shared" si="7"/>
        <v>0</v>
      </c>
      <c r="N110" s="289"/>
      <c r="O110" s="289"/>
      <c r="P110" s="289"/>
      <c r="Q110" s="370"/>
    </row>
    <row r="111" spans="1:22" s="385" customFormat="1" ht="27.75" customHeight="1">
      <c r="A111" s="379"/>
      <c r="B111" s="387"/>
      <c r="C111" s="395"/>
      <c r="D111" s="382"/>
      <c r="E111" s="382"/>
      <c r="F111" s="379"/>
      <c r="G111" s="386"/>
      <c r="H111" s="387"/>
      <c r="I111" s="388"/>
      <c r="J111" s="382"/>
      <c r="K111" s="374"/>
      <c r="L111" s="374"/>
      <c r="M111" s="384"/>
      <c r="N111" s="472"/>
      <c r="O111" s="288"/>
      <c r="P111" s="288"/>
      <c r="Q111" s="288"/>
      <c r="R111" s="288"/>
      <c r="S111" s="288"/>
      <c r="T111" s="288"/>
      <c r="U111" s="288"/>
      <c r="V111" s="288"/>
    </row>
    <row r="112" spans="1:22" s="455" customFormat="1" ht="27.75" customHeight="1">
      <c r="A112" s="450"/>
      <c r="B112" s="444"/>
      <c r="C112" s="473"/>
      <c r="D112" s="453"/>
      <c r="E112" s="453"/>
      <c r="F112" s="474"/>
      <c r="G112" s="336"/>
      <c r="H112" s="444"/>
      <c r="I112" s="458"/>
      <c r="J112" s="453"/>
      <c r="K112" s="374">
        <f t="shared" si="6"/>
        <v>0</v>
      </c>
      <c r="L112" s="374">
        <f t="shared" si="7"/>
        <v>0</v>
      </c>
      <c r="M112" s="451"/>
      <c r="N112" s="452">
        <f>SUM(G107:G112)</f>
        <v>6000</v>
      </c>
      <c r="O112" s="452">
        <f>SUM(J107:J112)</f>
        <v>0</v>
      </c>
      <c r="P112" s="452">
        <f>+N112+O112</f>
        <v>6000</v>
      </c>
      <c r="Q112" s="452">
        <f>SUM(D108:D112)</f>
        <v>0</v>
      </c>
      <c r="R112" s="452" t="s">
        <v>206</v>
      </c>
      <c r="S112" s="452"/>
      <c r="T112" s="452"/>
      <c r="U112" s="452"/>
      <c r="V112" s="452"/>
    </row>
    <row r="113" spans="1:22" ht="27.75" customHeight="1">
      <c r="B113" s="364" t="s">
        <v>987</v>
      </c>
      <c r="C113" s="377"/>
      <c r="D113" s="335"/>
      <c r="E113" s="409"/>
      <c r="F113" s="362"/>
      <c r="H113" s="332"/>
      <c r="I113" s="397"/>
      <c r="J113" s="335"/>
      <c r="K113" s="374">
        <f t="shared" si="6"/>
        <v>0</v>
      </c>
      <c r="L113" s="374">
        <f t="shared" si="7"/>
        <v>0</v>
      </c>
      <c r="M113" s="369"/>
      <c r="R113" s="289"/>
      <c r="S113" s="289"/>
      <c r="T113" s="289"/>
      <c r="U113" s="289"/>
      <c r="V113" s="289"/>
    </row>
    <row r="114" spans="1:22" ht="27.75" customHeight="1">
      <c r="A114" s="331">
        <v>1</v>
      </c>
      <c r="B114" s="332" t="s">
        <v>61</v>
      </c>
      <c r="C114" s="377" t="s">
        <v>41</v>
      </c>
      <c r="D114" s="335"/>
      <c r="E114" s="409"/>
      <c r="F114" s="362"/>
      <c r="H114" s="332" t="s">
        <v>264</v>
      </c>
      <c r="I114" s="397"/>
      <c r="J114" s="335">
        <v>63131.79</v>
      </c>
      <c r="K114" s="374">
        <f t="shared" si="6"/>
        <v>0</v>
      </c>
      <c r="L114" s="374">
        <f t="shared" si="7"/>
        <v>63131.79</v>
      </c>
      <c r="M114" s="369"/>
      <c r="R114" s="289"/>
      <c r="S114" s="289"/>
      <c r="T114" s="289"/>
      <c r="U114" s="289"/>
      <c r="V114" s="289"/>
    </row>
    <row r="115" spans="1:22" s="385" customFormat="1" ht="27.75" customHeight="1">
      <c r="A115" s="331"/>
      <c r="B115" s="387" t="s">
        <v>864</v>
      </c>
      <c r="C115" s="372"/>
      <c r="D115" s="382"/>
      <c r="E115" s="382"/>
      <c r="F115" s="388"/>
      <c r="G115" s="386"/>
      <c r="H115" s="387"/>
      <c r="I115" s="388"/>
      <c r="J115" s="382"/>
      <c r="K115" s="374">
        <f t="shared" si="6"/>
        <v>0</v>
      </c>
      <c r="L115" s="374">
        <f t="shared" si="7"/>
        <v>0</v>
      </c>
      <c r="M115" s="369"/>
      <c r="N115" s="288"/>
      <c r="O115" s="288"/>
      <c r="P115" s="288"/>
      <c r="Q115" s="288"/>
      <c r="R115" s="288"/>
      <c r="S115" s="291"/>
      <c r="T115" s="291"/>
      <c r="U115" s="291"/>
      <c r="V115" s="291"/>
    </row>
    <row r="116" spans="1:22" s="455" customFormat="1" ht="27.75" customHeight="1">
      <c r="A116" s="450"/>
      <c r="B116" s="444"/>
      <c r="C116" s="457"/>
      <c r="D116" s="453"/>
      <c r="E116" s="453"/>
      <c r="F116" s="450"/>
      <c r="G116" s="386"/>
      <c r="H116" s="444"/>
      <c r="I116" s="458"/>
      <c r="J116" s="453"/>
      <c r="K116" s="374">
        <f t="shared" si="6"/>
        <v>0</v>
      </c>
      <c r="L116" s="374">
        <f t="shared" si="7"/>
        <v>0</v>
      </c>
      <c r="M116" s="451"/>
      <c r="N116" s="452"/>
      <c r="O116" s="452">
        <f>SUM(J113:J116)</f>
        <v>63131.79</v>
      </c>
      <c r="P116" s="452">
        <f>+N116+O116</f>
        <v>63131.79</v>
      </c>
      <c r="Q116" s="452">
        <v>0</v>
      </c>
      <c r="R116" s="452" t="s">
        <v>2959</v>
      </c>
      <c r="S116" s="452"/>
      <c r="T116" s="452"/>
      <c r="U116" s="452"/>
      <c r="V116" s="452"/>
    </row>
    <row r="117" spans="1:22" ht="27.6" customHeight="1">
      <c r="B117" s="387" t="s">
        <v>36</v>
      </c>
      <c r="C117" s="395"/>
      <c r="D117" s="382"/>
      <c r="E117" s="382"/>
      <c r="G117" s="386"/>
      <c r="H117" s="332"/>
      <c r="I117" s="397"/>
      <c r="J117" s="335"/>
      <c r="K117" s="374">
        <f t="shared" si="6"/>
        <v>0</v>
      </c>
      <c r="L117" s="374">
        <f t="shared" si="7"/>
        <v>0</v>
      </c>
      <c r="M117" s="369"/>
      <c r="N117" s="288"/>
      <c r="O117" s="288"/>
      <c r="P117" s="288"/>
      <c r="R117" s="289"/>
    </row>
    <row r="118" spans="1:22" ht="31.8" customHeight="1">
      <c r="A118" s="331">
        <v>1</v>
      </c>
      <c r="B118" s="332" t="s">
        <v>23</v>
      </c>
      <c r="C118" s="375" t="s">
        <v>27</v>
      </c>
      <c r="D118" s="335"/>
      <c r="H118" s="373" t="s">
        <v>264</v>
      </c>
      <c r="J118" s="338">
        <v>226</v>
      </c>
      <c r="K118" s="374">
        <f t="shared" si="6"/>
        <v>0</v>
      </c>
      <c r="L118" s="374">
        <f t="shared" si="7"/>
        <v>226</v>
      </c>
      <c r="M118" s="369"/>
    </row>
    <row r="119" spans="1:22" ht="27.75" customHeight="1">
      <c r="A119" s="331">
        <v>2</v>
      </c>
      <c r="B119" s="332" t="s">
        <v>16</v>
      </c>
      <c r="C119" s="375" t="s">
        <v>29</v>
      </c>
      <c r="D119" s="335"/>
      <c r="H119" s="373" t="s">
        <v>262</v>
      </c>
      <c r="J119" s="338">
        <v>2500.34</v>
      </c>
      <c r="K119" s="374">
        <f t="shared" si="6"/>
        <v>0</v>
      </c>
      <c r="L119" s="374">
        <f t="shared" si="7"/>
        <v>2500.34</v>
      </c>
      <c r="M119" s="369"/>
    </row>
    <row r="120" spans="1:22" ht="27.75" customHeight="1">
      <c r="A120" s="331">
        <v>3</v>
      </c>
      <c r="B120" s="332" t="s">
        <v>170</v>
      </c>
      <c r="C120" s="375" t="s">
        <v>33</v>
      </c>
      <c r="D120" s="335"/>
      <c r="E120" s="475"/>
      <c r="F120" s="476"/>
      <c r="H120" s="477" t="s">
        <v>258</v>
      </c>
      <c r="I120" s="331">
        <v>29</v>
      </c>
      <c r="J120" s="338">
        <v>88273.200000000012</v>
      </c>
      <c r="K120" s="374">
        <f t="shared" si="6"/>
        <v>0</v>
      </c>
      <c r="L120" s="374">
        <f t="shared" si="7"/>
        <v>88273.200000000012</v>
      </c>
      <c r="M120" s="369"/>
    </row>
    <row r="121" spans="1:22" ht="27.6" customHeight="1">
      <c r="A121" s="331">
        <v>4</v>
      </c>
      <c r="B121" s="332" t="s">
        <v>1725</v>
      </c>
      <c r="C121" s="375" t="s">
        <v>3048</v>
      </c>
      <c r="D121" s="335"/>
      <c r="E121" s="475"/>
      <c r="F121" s="476"/>
      <c r="H121" s="477" t="s">
        <v>2980</v>
      </c>
      <c r="I121" s="331">
        <v>6</v>
      </c>
      <c r="J121" s="338">
        <v>2157.83</v>
      </c>
      <c r="K121" s="374">
        <f t="shared" si="6"/>
        <v>0</v>
      </c>
      <c r="L121" s="374">
        <f t="shared" si="7"/>
        <v>2157.83</v>
      </c>
      <c r="M121" s="369"/>
    </row>
    <row r="122" spans="1:22" ht="27.75" customHeight="1">
      <c r="A122" s="331">
        <v>5</v>
      </c>
      <c r="B122" s="332" t="s">
        <v>568</v>
      </c>
      <c r="C122" s="375" t="s">
        <v>569</v>
      </c>
      <c r="D122" s="335"/>
      <c r="E122" s="475" t="s">
        <v>3416</v>
      </c>
      <c r="F122" s="476">
        <v>1</v>
      </c>
      <c r="G122" s="336">
        <v>321</v>
      </c>
      <c r="H122" s="477"/>
      <c r="K122" s="374">
        <f t="shared" si="6"/>
        <v>37.043399999999998</v>
      </c>
      <c r="L122" s="374">
        <f t="shared" si="7"/>
        <v>0</v>
      </c>
      <c r="M122" s="369"/>
    </row>
    <row r="123" spans="1:22" ht="27.75" customHeight="1">
      <c r="A123" s="331">
        <v>6</v>
      </c>
      <c r="B123" s="332" t="s">
        <v>566</v>
      </c>
      <c r="C123" s="375" t="s">
        <v>570</v>
      </c>
      <c r="D123" s="335"/>
      <c r="E123" s="475" t="s">
        <v>3416</v>
      </c>
      <c r="F123" s="476">
        <v>1</v>
      </c>
      <c r="G123" s="336">
        <v>607.76</v>
      </c>
      <c r="H123" s="477"/>
      <c r="K123" s="374">
        <f t="shared" si="6"/>
        <v>70.135503999999997</v>
      </c>
      <c r="L123" s="374">
        <f t="shared" si="7"/>
        <v>0</v>
      </c>
      <c r="M123" s="369"/>
    </row>
    <row r="124" spans="1:22" ht="27.75" customHeight="1">
      <c r="A124" s="331">
        <v>7</v>
      </c>
      <c r="B124" s="332" t="s">
        <v>529</v>
      </c>
      <c r="C124" s="375" t="s">
        <v>530</v>
      </c>
      <c r="D124" s="335"/>
      <c r="E124" s="475" t="s">
        <v>3722</v>
      </c>
      <c r="F124" s="476">
        <v>2</v>
      </c>
      <c r="G124" s="336">
        <v>620.6</v>
      </c>
      <c r="H124" s="477"/>
      <c r="K124" s="374">
        <f t="shared" si="6"/>
        <v>71.617239999999995</v>
      </c>
      <c r="L124" s="374">
        <f t="shared" si="7"/>
        <v>0</v>
      </c>
      <c r="M124" s="369"/>
    </row>
    <row r="125" spans="1:22" ht="27.75" customHeight="1">
      <c r="A125" s="331">
        <v>8</v>
      </c>
      <c r="B125" s="332" t="s">
        <v>531</v>
      </c>
      <c r="C125" s="375" t="s">
        <v>532</v>
      </c>
      <c r="D125" s="335"/>
      <c r="E125" s="475" t="s">
        <v>3441</v>
      </c>
      <c r="F125" s="476">
        <v>3</v>
      </c>
      <c r="G125" s="336">
        <v>963</v>
      </c>
      <c r="H125" s="477"/>
      <c r="K125" s="374">
        <f t="shared" si="6"/>
        <v>111.13019999999999</v>
      </c>
      <c r="L125" s="374">
        <f t="shared" si="7"/>
        <v>0</v>
      </c>
      <c r="M125" s="369"/>
    </row>
    <row r="126" spans="1:22" ht="27.75" customHeight="1">
      <c r="A126" s="331">
        <v>9</v>
      </c>
      <c r="B126" s="332" t="s">
        <v>571</v>
      </c>
      <c r="C126" s="375" t="s">
        <v>572</v>
      </c>
      <c r="D126" s="335"/>
      <c r="E126" s="475" t="s">
        <v>3416</v>
      </c>
      <c r="F126" s="476">
        <v>1</v>
      </c>
      <c r="G126" s="336">
        <v>659.12</v>
      </c>
      <c r="H126" s="477"/>
      <c r="K126" s="374">
        <f t="shared" si="6"/>
        <v>76.062447999999989</v>
      </c>
      <c r="L126" s="374">
        <f t="shared" si="7"/>
        <v>0</v>
      </c>
      <c r="M126" s="369"/>
    </row>
    <row r="127" spans="1:22" ht="27.75" customHeight="1">
      <c r="A127" s="331">
        <v>10</v>
      </c>
      <c r="B127" s="332" t="s">
        <v>637</v>
      </c>
      <c r="C127" s="375" t="s">
        <v>638</v>
      </c>
      <c r="D127" s="335"/>
      <c r="E127" s="475" t="s">
        <v>3721</v>
      </c>
      <c r="F127" s="476">
        <v>2</v>
      </c>
      <c r="G127" s="336">
        <v>3458.24</v>
      </c>
      <c r="H127" s="477"/>
      <c r="K127" s="374">
        <f t="shared" si="6"/>
        <v>399.08089599999994</v>
      </c>
      <c r="L127" s="374">
        <f t="shared" si="7"/>
        <v>0</v>
      </c>
      <c r="M127" s="369"/>
    </row>
    <row r="128" spans="1:22" ht="27.75" customHeight="1">
      <c r="A128" s="331">
        <v>11</v>
      </c>
      <c r="B128" s="332" t="s">
        <v>533</v>
      </c>
      <c r="C128" s="375" t="s">
        <v>1466</v>
      </c>
      <c r="D128" s="335"/>
      <c r="E128" s="475" t="s">
        <v>3416</v>
      </c>
      <c r="F128" s="476">
        <v>1</v>
      </c>
      <c r="G128" s="336">
        <v>321</v>
      </c>
      <c r="H128" s="477"/>
      <c r="K128" s="374">
        <f t="shared" si="6"/>
        <v>37.043399999999998</v>
      </c>
      <c r="L128" s="374">
        <f t="shared" si="7"/>
        <v>0</v>
      </c>
      <c r="M128" s="369"/>
    </row>
    <row r="129" spans="1:13" ht="27.75" customHeight="1">
      <c r="A129" s="331">
        <v>12</v>
      </c>
      <c r="B129" s="332" t="s">
        <v>630</v>
      </c>
      <c r="C129" s="375" t="s">
        <v>1534</v>
      </c>
      <c r="D129" s="335"/>
      <c r="E129" s="475" t="s">
        <v>3416</v>
      </c>
      <c r="F129" s="476">
        <v>1</v>
      </c>
      <c r="G129" s="336">
        <v>321</v>
      </c>
      <c r="H129" s="477"/>
      <c r="K129" s="374">
        <f t="shared" si="6"/>
        <v>37.043399999999998</v>
      </c>
      <c r="L129" s="374">
        <f t="shared" si="7"/>
        <v>0</v>
      </c>
      <c r="M129" s="369"/>
    </row>
    <row r="130" spans="1:13" ht="27.75" customHeight="1">
      <c r="A130" s="331">
        <v>13</v>
      </c>
      <c r="B130" s="332" t="s">
        <v>3152</v>
      </c>
      <c r="C130" s="375" t="s">
        <v>639</v>
      </c>
      <c r="D130" s="335"/>
      <c r="E130" s="475" t="s">
        <v>3441</v>
      </c>
      <c r="F130" s="476">
        <v>3</v>
      </c>
      <c r="G130" s="336">
        <v>963</v>
      </c>
      <c r="H130" s="477"/>
      <c r="K130" s="374">
        <f t="shared" si="6"/>
        <v>111.13019999999999</v>
      </c>
      <c r="L130" s="374">
        <f t="shared" si="7"/>
        <v>0</v>
      </c>
      <c r="M130" s="369"/>
    </row>
    <row r="131" spans="1:13" ht="27.75" customHeight="1">
      <c r="A131" s="331">
        <v>14</v>
      </c>
      <c r="B131" s="332" t="s">
        <v>3723</v>
      </c>
      <c r="C131" s="375" t="s">
        <v>3724</v>
      </c>
      <c r="D131" s="335"/>
      <c r="E131" s="475" t="s">
        <v>3416</v>
      </c>
      <c r="F131" s="476">
        <v>1</v>
      </c>
      <c r="G131" s="336">
        <v>321</v>
      </c>
      <c r="H131" s="477"/>
      <c r="K131" s="374">
        <f t="shared" si="6"/>
        <v>37.043399999999998</v>
      </c>
      <c r="L131" s="374">
        <f t="shared" si="7"/>
        <v>0</v>
      </c>
      <c r="M131" s="369"/>
    </row>
    <row r="132" spans="1:13" ht="27.75" customHeight="1">
      <c r="A132" s="331">
        <v>15</v>
      </c>
      <c r="B132" s="332" t="s">
        <v>3398</v>
      </c>
      <c r="C132" s="375" t="s">
        <v>3399</v>
      </c>
      <c r="D132" s="335"/>
      <c r="E132" s="475" t="s">
        <v>3416</v>
      </c>
      <c r="F132" s="476">
        <v>1</v>
      </c>
      <c r="G132" s="336">
        <v>1498</v>
      </c>
      <c r="H132" s="477"/>
      <c r="K132" s="374">
        <f t="shared" si="6"/>
        <v>172.86919999999998</v>
      </c>
      <c r="L132" s="374">
        <f t="shared" si="7"/>
        <v>0</v>
      </c>
      <c r="M132" s="369"/>
    </row>
    <row r="133" spans="1:13" ht="27.75" customHeight="1">
      <c r="A133" s="331">
        <v>16</v>
      </c>
      <c r="B133" s="332" t="s">
        <v>3319</v>
      </c>
      <c r="C133" s="375" t="s">
        <v>3320</v>
      </c>
      <c r="D133" s="335"/>
      <c r="E133" s="475" t="s">
        <v>3441</v>
      </c>
      <c r="F133" s="476">
        <v>3</v>
      </c>
      <c r="G133" s="336">
        <v>963</v>
      </c>
      <c r="H133" s="477"/>
      <c r="K133" s="374">
        <f t="shared" si="6"/>
        <v>111.13019999999999</v>
      </c>
      <c r="L133" s="374">
        <f t="shared" si="7"/>
        <v>0</v>
      </c>
      <c r="M133" s="369"/>
    </row>
    <row r="134" spans="1:13" ht="27.75" customHeight="1">
      <c r="A134" s="331">
        <v>17</v>
      </c>
      <c r="B134" s="332" t="s">
        <v>3321</v>
      </c>
      <c r="C134" s="375" t="s">
        <v>1307</v>
      </c>
      <c r="D134" s="335"/>
      <c r="E134" s="475" t="s">
        <v>3441</v>
      </c>
      <c r="F134" s="476">
        <v>3</v>
      </c>
      <c r="G134" s="336">
        <v>1468.04</v>
      </c>
      <c r="H134" s="477"/>
      <c r="K134" s="374">
        <f t="shared" si="6"/>
        <v>169.41181599999999</v>
      </c>
      <c r="L134" s="374">
        <f t="shared" si="7"/>
        <v>0</v>
      </c>
      <c r="M134" s="369"/>
    </row>
    <row r="135" spans="1:13" ht="27.75" customHeight="1">
      <c r="A135" s="331">
        <v>18</v>
      </c>
      <c r="B135" s="332" t="s">
        <v>3114</v>
      </c>
      <c r="C135" s="375" t="s">
        <v>3400</v>
      </c>
      <c r="D135" s="335"/>
      <c r="E135" s="475" t="s">
        <v>3441</v>
      </c>
      <c r="F135" s="476">
        <v>3</v>
      </c>
      <c r="G135" s="336">
        <v>3081.6000000000004</v>
      </c>
      <c r="H135" s="477"/>
      <c r="K135" s="374">
        <f t="shared" si="6"/>
        <v>355.61664000000002</v>
      </c>
      <c r="L135" s="374">
        <f t="shared" si="7"/>
        <v>0</v>
      </c>
      <c r="M135" s="369"/>
    </row>
    <row r="136" spans="1:13" ht="27.75" customHeight="1">
      <c r="A136" s="331">
        <v>19</v>
      </c>
      <c r="B136" s="332" t="s">
        <v>3040</v>
      </c>
      <c r="C136" s="375" t="s">
        <v>3401</v>
      </c>
      <c r="D136" s="335"/>
      <c r="E136" s="475" t="s">
        <v>3712</v>
      </c>
      <c r="F136" s="476">
        <v>2</v>
      </c>
      <c r="G136" s="336">
        <v>2311.1999999999998</v>
      </c>
      <c r="H136" s="477"/>
      <c r="K136" s="374">
        <f t="shared" si="6"/>
        <v>266.71247999999997</v>
      </c>
      <c r="L136" s="374">
        <f t="shared" si="7"/>
        <v>0</v>
      </c>
      <c r="M136" s="369"/>
    </row>
    <row r="137" spans="1:13" ht="27.75" customHeight="1">
      <c r="A137" s="331">
        <v>20</v>
      </c>
      <c r="B137" s="332" t="s">
        <v>1467</v>
      </c>
      <c r="C137" s="375" t="s">
        <v>1468</v>
      </c>
      <c r="D137" s="335"/>
      <c r="E137" s="475" t="s">
        <v>3441</v>
      </c>
      <c r="F137" s="476">
        <v>3</v>
      </c>
      <c r="G137" s="336">
        <v>963</v>
      </c>
      <c r="H137" s="477"/>
      <c r="K137" s="374">
        <f t="shared" si="6"/>
        <v>111.13019999999999</v>
      </c>
      <c r="L137" s="374">
        <f t="shared" si="7"/>
        <v>0</v>
      </c>
      <c r="M137" s="369"/>
    </row>
    <row r="138" spans="1:13" ht="27.75" customHeight="1">
      <c r="A138" s="331">
        <v>21</v>
      </c>
      <c r="B138" s="332" t="s">
        <v>3189</v>
      </c>
      <c r="C138" s="375" t="s">
        <v>3725</v>
      </c>
      <c r="D138" s="335"/>
      <c r="E138" s="475" t="s">
        <v>3416</v>
      </c>
      <c r="F138" s="476">
        <v>1</v>
      </c>
      <c r="G138" s="336">
        <v>1224.08</v>
      </c>
      <c r="H138" s="477"/>
      <c r="K138" s="374">
        <f t="shared" si="6"/>
        <v>141.25883199999998</v>
      </c>
      <c r="L138" s="374">
        <f t="shared" si="7"/>
        <v>0</v>
      </c>
      <c r="M138" s="369"/>
    </row>
    <row r="139" spans="1:13" ht="27.75" customHeight="1">
      <c r="A139" s="331">
        <v>22</v>
      </c>
      <c r="B139" s="332" t="s">
        <v>3402</v>
      </c>
      <c r="C139" s="375" t="s">
        <v>3403</v>
      </c>
      <c r="D139" s="335"/>
      <c r="E139" s="475" t="s">
        <v>3721</v>
      </c>
      <c r="F139" s="476">
        <v>1</v>
      </c>
      <c r="G139" s="336">
        <v>642</v>
      </c>
      <c r="H139" s="477"/>
      <c r="K139" s="374">
        <f t="shared" si="6"/>
        <v>74.086799999999997</v>
      </c>
      <c r="L139" s="374">
        <f t="shared" si="7"/>
        <v>0</v>
      </c>
      <c r="M139" s="369"/>
    </row>
    <row r="140" spans="1:13" ht="27.75" customHeight="1">
      <c r="A140" s="331">
        <v>23</v>
      </c>
      <c r="B140" s="332" t="s">
        <v>2014</v>
      </c>
      <c r="C140" s="375" t="s">
        <v>2020</v>
      </c>
      <c r="D140" s="335"/>
      <c r="E140" s="475" t="s">
        <v>3721</v>
      </c>
      <c r="F140" s="476">
        <v>2</v>
      </c>
      <c r="G140" s="336">
        <v>642</v>
      </c>
      <c r="H140" s="477"/>
      <c r="K140" s="374">
        <f t="shared" si="6"/>
        <v>74.086799999999997</v>
      </c>
      <c r="L140" s="374">
        <f t="shared" si="7"/>
        <v>0</v>
      </c>
      <c r="M140" s="369"/>
    </row>
    <row r="141" spans="1:13" ht="27.75" customHeight="1">
      <c r="A141" s="331">
        <v>24</v>
      </c>
      <c r="B141" s="332" t="s">
        <v>3041</v>
      </c>
      <c r="C141" s="375" t="s">
        <v>3726</v>
      </c>
      <c r="D141" s="335"/>
      <c r="E141" s="475" t="s">
        <v>3416</v>
      </c>
      <c r="F141" s="476">
        <v>1</v>
      </c>
      <c r="G141" s="336">
        <v>2456.7199999999998</v>
      </c>
      <c r="H141" s="477"/>
      <c r="K141" s="374">
        <f t="shared" si="6"/>
        <v>283.50548799999996</v>
      </c>
      <c r="L141" s="374">
        <f t="shared" si="7"/>
        <v>0</v>
      </c>
      <c r="M141" s="369"/>
    </row>
    <row r="142" spans="1:13" ht="27.75" customHeight="1">
      <c r="A142" s="331">
        <v>25</v>
      </c>
      <c r="B142" s="332" t="s">
        <v>3115</v>
      </c>
      <c r="C142" s="375" t="s">
        <v>3116</v>
      </c>
      <c r="D142" s="335"/>
      <c r="E142" s="475" t="s">
        <v>3416</v>
      </c>
      <c r="F142" s="476">
        <v>1</v>
      </c>
      <c r="G142" s="336">
        <v>321</v>
      </c>
      <c r="H142" s="477"/>
      <c r="K142" s="374">
        <f t="shared" si="6"/>
        <v>37.043399999999998</v>
      </c>
      <c r="L142" s="374">
        <f t="shared" si="7"/>
        <v>0</v>
      </c>
      <c r="M142" s="369"/>
    </row>
    <row r="143" spans="1:13" ht="27.75" customHeight="1">
      <c r="A143" s="331">
        <v>26</v>
      </c>
      <c r="B143" s="332" t="s">
        <v>547</v>
      </c>
      <c r="C143" s="375" t="s">
        <v>1469</v>
      </c>
      <c r="D143" s="335"/>
      <c r="E143" s="475" t="s">
        <v>3416</v>
      </c>
      <c r="F143" s="476">
        <v>1</v>
      </c>
      <c r="G143" s="336">
        <v>5118.880000000001</v>
      </c>
      <c r="H143" s="477"/>
      <c r="K143" s="374">
        <f t="shared" si="6"/>
        <v>590.71875200000011</v>
      </c>
      <c r="L143" s="374">
        <f t="shared" si="7"/>
        <v>0</v>
      </c>
      <c r="M143" s="369"/>
    </row>
    <row r="144" spans="1:13" ht="27.75" customHeight="1">
      <c r="A144" s="331">
        <v>27</v>
      </c>
      <c r="B144" s="332" t="s">
        <v>524</v>
      </c>
      <c r="C144" s="375" t="s">
        <v>548</v>
      </c>
      <c r="D144" s="335"/>
      <c r="E144" s="475" t="s">
        <v>3441</v>
      </c>
      <c r="F144" s="476">
        <v>3</v>
      </c>
      <c r="G144" s="336">
        <v>963</v>
      </c>
      <c r="H144" s="477"/>
      <c r="K144" s="374">
        <f t="shared" si="6"/>
        <v>111.13019999999999</v>
      </c>
      <c r="L144" s="374">
        <f t="shared" si="7"/>
        <v>0</v>
      </c>
      <c r="M144" s="369"/>
    </row>
    <row r="145" spans="1:22" ht="27.75" customHeight="1">
      <c r="A145" s="331">
        <v>28</v>
      </c>
      <c r="B145" s="332" t="s">
        <v>3719</v>
      </c>
      <c r="C145" s="375" t="s">
        <v>3727</v>
      </c>
      <c r="D145" s="335"/>
      <c r="E145" s="475" t="s">
        <v>3416</v>
      </c>
      <c r="F145" s="476">
        <v>1</v>
      </c>
      <c r="G145" s="336">
        <v>770.4</v>
      </c>
      <c r="H145" s="477"/>
      <c r="K145" s="374">
        <f t="shared" si="6"/>
        <v>88.90415999999999</v>
      </c>
      <c r="L145" s="374">
        <f t="shared" si="7"/>
        <v>0</v>
      </c>
      <c r="M145" s="369"/>
    </row>
    <row r="146" spans="1:22" ht="27.75" customHeight="1">
      <c r="A146" s="331">
        <v>29</v>
      </c>
      <c r="B146" s="332" t="s">
        <v>1655</v>
      </c>
      <c r="C146" s="375" t="s">
        <v>226</v>
      </c>
      <c r="D146" s="335"/>
      <c r="E146" s="475" t="s">
        <v>3416</v>
      </c>
      <c r="F146" s="476">
        <v>1</v>
      </c>
      <c r="G146" s="336">
        <v>5144.5600000000022</v>
      </c>
      <c r="H146" s="477"/>
      <c r="K146" s="374">
        <f t="shared" si="6"/>
        <v>593.68222400000025</v>
      </c>
      <c r="L146" s="374">
        <f t="shared" si="7"/>
        <v>0</v>
      </c>
      <c r="M146" s="369"/>
    </row>
    <row r="147" spans="1:22" ht="27.75" customHeight="1">
      <c r="A147" s="331">
        <v>30</v>
      </c>
      <c r="B147" s="332" t="s">
        <v>1304</v>
      </c>
      <c r="C147" s="375" t="s">
        <v>226</v>
      </c>
      <c r="D147" s="335"/>
      <c r="E147" s="475" t="s">
        <v>3416</v>
      </c>
      <c r="F147" s="476">
        <v>1</v>
      </c>
      <c r="G147" s="336">
        <v>4434.08</v>
      </c>
      <c r="H147" s="477"/>
      <c r="K147" s="374">
        <f t="shared" si="6"/>
        <v>511.69283199999995</v>
      </c>
      <c r="L147" s="374">
        <f t="shared" si="7"/>
        <v>0</v>
      </c>
      <c r="M147" s="369"/>
    </row>
    <row r="148" spans="1:22" ht="27.75" customHeight="1">
      <c r="A148" s="331">
        <v>31</v>
      </c>
      <c r="B148" s="332" t="s">
        <v>3042</v>
      </c>
      <c r="C148" s="375" t="s">
        <v>3043</v>
      </c>
      <c r="D148" s="335"/>
      <c r="E148" s="475" t="s">
        <v>3728</v>
      </c>
      <c r="F148" s="476">
        <v>3</v>
      </c>
      <c r="G148" s="336">
        <v>3813.48</v>
      </c>
      <c r="H148" s="477"/>
      <c r="K148" s="374">
        <f t="shared" si="6"/>
        <v>440.07559199999997</v>
      </c>
      <c r="L148" s="374">
        <f t="shared" si="7"/>
        <v>0</v>
      </c>
      <c r="M148" s="369"/>
    </row>
    <row r="149" spans="1:22" ht="27.75" customHeight="1">
      <c r="A149" s="331">
        <v>32</v>
      </c>
      <c r="B149" s="332" t="s">
        <v>795</v>
      </c>
      <c r="C149" s="375" t="s">
        <v>3117</v>
      </c>
      <c r="D149" s="335"/>
      <c r="E149" s="475" t="s">
        <v>3437</v>
      </c>
      <c r="F149" s="476">
        <v>2</v>
      </c>
      <c r="G149" s="336">
        <v>14231</v>
      </c>
      <c r="H149" s="477"/>
      <c r="K149" s="374">
        <f t="shared" si="6"/>
        <v>1642.2574</v>
      </c>
      <c r="L149" s="374">
        <f t="shared" si="7"/>
        <v>0</v>
      </c>
      <c r="M149" s="369"/>
    </row>
    <row r="150" spans="1:22" ht="27.75" customHeight="1">
      <c r="A150" s="331">
        <v>33</v>
      </c>
      <c r="B150" s="332" t="s">
        <v>126</v>
      </c>
      <c r="C150" s="375" t="s">
        <v>154</v>
      </c>
      <c r="D150" s="335"/>
      <c r="E150" s="475" t="s">
        <v>3416</v>
      </c>
      <c r="F150" s="476">
        <v>1</v>
      </c>
      <c r="G150" s="336">
        <v>1326.8000000000006</v>
      </c>
      <c r="H150" s="477"/>
      <c r="K150" s="374">
        <f t="shared" si="6"/>
        <v>153.11272000000005</v>
      </c>
      <c r="L150" s="374">
        <f t="shared" si="7"/>
        <v>0</v>
      </c>
      <c r="M150" s="369"/>
    </row>
    <row r="151" spans="1:22" ht="27.75" customHeight="1">
      <c r="A151" s="331">
        <v>34</v>
      </c>
      <c r="B151" s="332" t="s">
        <v>484</v>
      </c>
      <c r="C151" s="375" t="s">
        <v>40</v>
      </c>
      <c r="D151" s="335"/>
      <c r="E151" s="475" t="s">
        <v>3416</v>
      </c>
      <c r="F151" s="476">
        <v>1</v>
      </c>
      <c r="G151" s="336">
        <v>650.55699999999933</v>
      </c>
      <c r="H151" s="477"/>
      <c r="K151" s="374">
        <f t="shared" si="6"/>
        <v>75.074277799999919</v>
      </c>
      <c r="L151" s="374">
        <f t="shared" si="7"/>
        <v>0</v>
      </c>
      <c r="M151" s="369"/>
    </row>
    <row r="152" spans="1:22" ht="27.75" customHeight="1">
      <c r="A152" s="331">
        <v>35</v>
      </c>
      <c r="B152" s="332" t="s">
        <v>161</v>
      </c>
      <c r="C152" s="375" t="s">
        <v>40</v>
      </c>
      <c r="D152" s="335"/>
      <c r="E152" s="475" t="s">
        <v>3416</v>
      </c>
      <c r="F152" s="476">
        <v>1</v>
      </c>
      <c r="G152" s="336">
        <v>188.32</v>
      </c>
      <c r="H152" s="477"/>
      <c r="K152" s="374">
        <f t="shared" si="6"/>
        <v>21.732127999999999</v>
      </c>
      <c r="L152" s="374">
        <f t="shared" si="7"/>
        <v>0</v>
      </c>
      <c r="M152" s="369"/>
    </row>
    <row r="153" spans="1:22" ht="27.75" customHeight="1">
      <c r="A153" s="331">
        <v>36</v>
      </c>
      <c r="B153" s="332" t="s">
        <v>2865</v>
      </c>
      <c r="C153" s="375" t="s">
        <v>3044</v>
      </c>
      <c r="D153" s="335"/>
      <c r="E153" s="475" t="s">
        <v>3508</v>
      </c>
      <c r="F153" s="476">
        <v>4</v>
      </c>
      <c r="G153" s="336">
        <v>18155.760000000002</v>
      </c>
      <c r="H153" s="477"/>
      <c r="K153" s="374">
        <f t="shared" si="6"/>
        <v>2095.174704</v>
      </c>
      <c r="L153" s="374">
        <f t="shared" si="7"/>
        <v>0</v>
      </c>
      <c r="M153" s="369"/>
    </row>
    <row r="154" spans="1:22" ht="27.75" customHeight="1">
      <c r="A154" s="331">
        <v>37</v>
      </c>
      <c r="B154" s="332" t="s">
        <v>2865</v>
      </c>
      <c r="C154" s="375" t="s">
        <v>3118</v>
      </c>
      <c r="D154" s="335"/>
      <c r="E154" s="475" t="s">
        <v>3416</v>
      </c>
      <c r="F154" s="476">
        <v>1</v>
      </c>
      <c r="G154" s="336">
        <v>321</v>
      </c>
      <c r="H154" s="477"/>
      <c r="K154" s="374">
        <f t="shared" si="6"/>
        <v>37.043399999999998</v>
      </c>
      <c r="L154" s="374">
        <f t="shared" si="7"/>
        <v>0</v>
      </c>
      <c r="M154" s="369"/>
    </row>
    <row r="155" spans="1:22" ht="27.75" customHeight="1">
      <c r="A155" s="331">
        <v>38</v>
      </c>
      <c r="B155" s="332" t="s">
        <v>2865</v>
      </c>
      <c r="C155" s="375" t="s">
        <v>3322</v>
      </c>
      <c r="D155" s="335"/>
      <c r="E155" s="475" t="s">
        <v>3416</v>
      </c>
      <c r="F155" s="476">
        <v>1</v>
      </c>
      <c r="G155" s="336">
        <v>428</v>
      </c>
      <c r="H155" s="477"/>
      <c r="K155" s="374">
        <f t="shared" si="6"/>
        <v>49.391199999999998</v>
      </c>
      <c r="L155" s="374">
        <f t="shared" si="7"/>
        <v>0</v>
      </c>
      <c r="M155" s="369"/>
    </row>
    <row r="156" spans="1:22" ht="27.75" customHeight="1">
      <c r="A156" s="331">
        <v>39</v>
      </c>
      <c r="B156" s="332" t="s">
        <v>3192</v>
      </c>
      <c r="C156" s="375" t="s">
        <v>40</v>
      </c>
      <c r="D156" s="335"/>
      <c r="E156" s="475" t="s">
        <v>3416</v>
      </c>
      <c r="F156" s="476">
        <v>1</v>
      </c>
      <c r="G156" s="336">
        <v>2687.8400000000011</v>
      </c>
      <c r="H156" s="477"/>
      <c r="K156" s="374">
        <f t="shared" si="6"/>
        <v>310.17673600000012</v>
      </c>
      <c r="L156" s="374">
        <f t="shared" si="7"/>
        <v>0</v>
      </c>
      <c r="M156" s="369"/>
    </row>
    <row r="157" spans="1:22" ht="27.75" customHeight="1">
      <c r="A157" s="331">
        <v>40</v>
      </c>
      <c r="B157" s="332" t="s">
        <v>3039</v>
      </c>
      <c r="C157" s="375" t="s">
        <v>3045</v>
      </c>
      <c r="D157" s="335"/>
      <c r="E157" s="475" t="s">
        <v>3416</v>
      </c>
      <c r="F157" s="476">
        <v>1</v>
      </c>
      <c r="G157" s="336">
        <v>419.44000000000005</v>
      </c>
      <c r="H157" s="477"/>
      <c r="K157" s="374">
        <f t="shared" si="6"/>
        <v>48.403376000000002</v>
      </c>
      <c r="L157" s="374">
        <f t="shared" si="7"/>
        <v>0</v>
      </c>
      <c r="M157" s="369"/>
      <c r="Q157" s="478"/>
      <c r="R157" s="479"/>
      <c r="S157" s="297"/>
    </row>
    <row r="158" spans="1:22" ht="27.75" customHeight="1" thickBot="1">
      <c r="B158" s="332"/>
      <c r="C158" s="375"/>
      <c r="D158" s="335"/>
      <c r="E158" s="475"/>
      <c r="F158" s="476"/>
      <c r="H158" s="477"/>
      <c r="K158" s="374">
        <f t="shared" ref="K158:K212" si="8">G158*11.54/100</f>
        <v>0</v>
      </c>
      <c r="L158" s="374">
        <f t="shared" si="7"/>
        <v>0</v>
      </c>
      <c r="M158" s="369"/>
      <c r="Q158" s="478"/>
      <c r="R158" s="479"/>
      <c r="S158" s="297"/>
    </row>
    <row r="159" spans="1:22" s="455" customFormat="1" ht="27.75" customHeight="1" thickTop="1" thickBot="1">
      <c r="A159" s="450"/>
      <c r="B159" s="444"/>
      <c r="C159" s="480"/>
      <c r="D159" s="453"/>
      <c r="E159" s="453"/>
      <c r="F159" s="450"/>
      <c r="G159" s="336"/>
      <c r="H159" s="444"/>
      <c r="I159" s="458"/>
      <c r="J159" s="453"/>
      <c r="K159" s="374">
        <f t="shared" si="8"/>
        <v>0</v>
      </c>
      <c r="L159" s="374">
        <f t="shared" si="7"/>
        <v>0</v>
      </c>
      <c r="M159" s="451"/>
      <c r="N159" s="452">
        <f>SUM(G118:G159)</f>
        <v>82779.477000000014</v>
      </c>
      <c r="O159" s="452">
        <f>SUM(J118:J159)</f>
        <v>93157.37000000001</v>
      </c>
      <c r="P159" s="452">
        <f>+N159+O159</f>
        <v>175936.84700000001</v>
      </c>
      <c r="Q159" s="481">
        <f>SUM(D118:D159)</f>
        <v>0</v>
      </c>
      <c r="R159" s="482" t="s">
        <v>124</v>
      </c>
      <c r="S159" s="483"/>
      <c r="T159" s="452"/>
      <c r="U159" s="452">
        <f>+J159</f>
        <v>0</v>
      </c>
      <c r="V159" s="452"/>
    </row>
    <row r="160" spans="1:22" ht="27.75" customHeight="1" thickTop="1">
      <c r="B160" s="332" t="s">
        <v>35</v>
      </c>
      <c r="C160" s="375"/>
      <c r="D160" s="335"/>
      <c r="H160" s="332"/>
      <c r="I160" s="397"/>
      <c r="J160" s="335"/>
      <c r="K160" s="374">
        <f t="shared" si="8"/>
        <v>0</v>
      </c>
      <c r="L160" s="374">
        <f t="shared" si="7"/>
        <v>0</v>
      </c>
      <c r="M160" s="369"/>
      <c r="R160" s="484"/>
    </row>
    <row r="161" spans="1:22" ht="27.75" customHeight="1">
      <c r="A161" s="331">
        <v>1</v>
      </c>
      <c r="B161" s="332" t="s">
        <v>62</v>
      </c>
      <c r="C161" s="375" t="s">
        <v>327</v>
      </c>
      <c r="D161" s="335"/>
      <c r="H161" s="373" t="s">
        <v>262</v>
      </c>
      <c r="J161" s="338">
        <v>870</v>
      </c>
      <c r="K161" s="374">
        <f t="shared" si="8"/>
        <v>0</v>
      </c>
      <c r="L161" s="374">
        <f t="shared" si="7"/>
        <v>870</v>
      </c>
      <c r="M161" s="369"/>
      <c r="R161" s="484"/>
      <c r="U161" s="291">
        <f>+J161</f>
        <v>870</v>
      </c>
    </row>
    <row r="162" spans="1:22" ht="27.75" customHeight="1">
      <c r="A162" s="331">
        <v>2</v>
      </c>
      <c r="B162" s="332" t="s">
        <v>23</v>
      </c>
      <c r="C162" s="375" t="s">
        <v>80</v>
      </c>
      <c r="D162" s="335"/>
      <c r="H162" s="373" t="s">
        <v>264</v>
      </c>
      <c r="J162" s="338">
        <v>616</v>
      </c>
      <c r="K162" s="374">
        <f t="shared" si="8"/>
        <v>0</v>
      </c>
      <c r="L162" s="374">
        <f t="shared" si="7"/>
        <v>616</v>
      </c>
      <c r="M162" s="369"/>
      <c r="R162" s="484"/>
      <c r="U162" s="291">
        <f>+J162</f>
        <v>616</v>
      </c>
    </row>
    <row r="163" spans="1:22" ht="27.75" customHeight="1">
      <c r="A163" s="331">
        <v>3</v>
      </c>
      <c r="B163" s="332" t="s">
        <v>87</v>
      </c>
      <c r="C163" s="375" t="s">
        <v>35</v>
      </c>
      <c r="D163" s="335"/>
      <c r="E163" s="475"/>
      <c r="F163" s="476"/>
      <c r="H163" s="373" t="s">
        <v>262</v>
      </c>
      <c r="J163" s="338">
        <v>549.4</v>
      </c>
      <c r="K163" s="374">
        <f t="shared" si="8"/>
        <v>0</v>
      </c>
      <c r="L163" s="374">
        <f t="shared" si="7"/>
        <v>549.4</v>
      </c>
      <c r="M163" s="369"/>
    </row>
    <row r="164" spans="1:22" ht="27.75" customHeight="1">
      <c r="A164" s="331">
        <v>4</v>
      </c>
      <c r="B164" s="332" t="s">
        <v>170</v>
      </c>
      <c r="C164" s="375" t="s">
        <v>827</v>
      </c>
      <c r="D164" s="335"/>
      <c r="E164" s="475"/>
      <c r="F164" s="476"/>
      <c r="H164" s="373" t="s">
        <v>259</v>
      </c>
      <c r="I164" s="331">
        <v>30</v>
      </c>
      <c r="J164" s="338">
        <v>99643.9</v>
      </c>
      <c r="K164" s="374">
        <f t="shared" si="8"/>
        <v>0</v>
      </c>
      <c r="L164" s="374">
        <f t="shared" si="7"/>
        <v>99643.9</v>
      </c>
      <c r="M164" s="369"/>
    </row>
    <row r="165" spans="1:22" s="479" customFormat="1" ht="27.75" customHeight="1">
      <c r="A165" s="331">
        <v>5</v>
      </c>
      <c r="B165" s="332" t="s">
        <v>1725</v>
      </c>
      <c r="C165" s="375" t="s">
        <v>3049</v>
      </c>
      <c r="D165" s="335"/>
      <c r="E165" s="335"/>
      <c r="F165" s="487"/>
      <c r="G165" s="336"/>
      <c r="H165" s="373" t="s">
        <v>2980</v>
      </c>
      <c r="I165" s="331">
        <v>6</v>
      </c>
      <c r="J165" s="338">
        <v>1438.56</v>
      </c>
      <c r="K165" s="338">
        <f t="shared" si="8"/>
        <v>0</v>
      </c>
      <c r="L165" s="374">
        <f t="shared" si="7"/>
        <v>1438.56</v>
      </c>
      <c r="M165" s="488"/>
      <c r="N165" s="289"/>
      <c r="O165" s="289"/>
      <c r="P165" s="289"/>
      <c r="Q165" s="489"/>
      <c r="S165" s="489"/>
      <c r="T165" s="489"/>
      <c r="U165" s="489"/>
      <c r="V165" s="489"/>
    </row>
    <row r="166" spans="1:22" s="479" customFormat="1" ht="27.75" customHeight="1">
      <c r="A166" s="331">
        <v>6</v>
      </c>
      <c r="B166" s="332" t="s">
        <v>3395</v>
      </c>
      <c r="C166" s="375" t="s">
        <v>3316</v>
      </c>
      <c r="D166" s="335"/>
      <c r="E166" s="475" t="s">
        <v>3416</v>
      </c>
      <c r="F166" s="476">
        <v>1</v>
      </c>
      <c r="G166" s="336">
        <v>107</v>
      </c>
      <c r="H166" s="373"/>
      <c r="I166" s="331"/>
      <c r="J166" s="338"/>
      <c r="K166" s="374">
        <f t="shared" si="8"/>
        <v>12.347799999999999</v>
      </c>
      <c r="L166" s="374">
        <f t="shared" si="7"/>
        <v>0</v>
      </c>
      <c r="M166" s="488"/>
      <c r="N166" s="289"/>
      <c r="O166" s="289"/>
      <c r="P166" s="289"/>
      <c r="Q166" s="489"/>
      <c r="S166" s="490"/>
      <c r="T166" s="490"/>
      <c r="U166" s="490"/>
      <c r="V166" s="490"/>
    </row>
    <row r="167" spans="1:22" s="479" customFormat="1" ht="27.75" customHeight="1">
      <c r="A167" s="331">
        <v>7</v>
      </c>
      <c r="B167" s="332" t="s">
        <v>1305</v>
      </c>
      <c r="C167" s="375" t="s">
        <v>3036</v>
      </c>
      <c r="D167" s="335"/>
      <c r="E167" s="475" t="s">
        <v>3531</v>
      </c>
      <c r="F167" s="476">
        <v>6</v>
      </c>
      <c r="G167" s="336">
        <v>642</v>
      </c>
      <c r="H167" s="373"/>
      <c r="I167" s="331"/>
      <c r="J167" s="338"/>
      <c r="K167" s="374">
        <f t="shared" si="8"/>
        <v>74.086799999999997</v>
      </c>
      <c r="L167" s="374">
        <f t="shared" si="7"/>
        <v>0</v>
      </c>
      <c r="M167" s="488"/>
      <c r="N167" s="289"/>
      <c r="O167" s="289"/>
      <c r="P167" s="289"/>
      <c r="Q167" s="489"/>
      <c r="S167" s="490"/>
      <c r="T167" s="490"/>
      <c r="U167" s="490"/>
      <c r="V167" s="490"/>
    </row>
    <row r="168" spans="1:22" s="479" customFormat="1" ht="27.75" customHeight="1">
      <c r="A168" s="331">
        <v>8</v>
      </c>
      <c r="B168" s="332" t="s">
        <v>2863</v>
      </c>
      <c r="C168" s="375" t="s">
        <v>2896</v>
      </c>
      <c r="D168" s="335"/>
      <c r="E168" s="475" t="s">
        <v>3416</v>
      </c>
      <c r="F168" s="476">
        <v>1</v>
      </c>
      <c r="G168" s="336">
        <v>173.34000000000003</v>
      </c>
      <c r="H168" s="373"/>
      <c r="I168" s="331"/>
      <c r="J168" s="338"/>
      <c r="K168" s="374">
        <f t="shared" si="8"/>
        <v>20.003436000000001</v>
      </c>
      <c r="L168" s="374">
        <f t="shared" si="7"/>
        <v>0</v>
      </c>
      <c r="M168" s="488"/>
      <c r="N168" s="289"/>
      <c r="O168" s="289"/>
      <c r="P168" s="289"/>
      <c r="Q168" s="489"/>
      <c r="S168" s="490"/>
      <c r="T168" s="490"/>
      <c r="U168" s="490"/>
      <c r="V168" s="490"/>
    </row>
    <row r="169" spans="1:22" s="479" customFormat="1" ht="27.75" customHeight="1">
      <c r="A169" s="331">
        <v>9</v>
      </c>
      <c r="B169" s="332" t="s">
        <v>2861</v>
      </c>
      <c r="C169" s="375" t="s">
        <v>2862</v>
      </c>
      <c r="D169" s="335"/>
      <c r="E169" s="475" t="s">
        <v>3416</v>
      </c>
      <c r="F169" s="476">
        <v>1</v>
      </c>
      <c r="G169" s="336">
        <v>107</v>
      </c>
      <c r="H169" s="373"/>
      <c r="I169" s="331"/>
      <c r="J169" s="338"/>
      <c r="K169" s="374">
        <f t="shared" si="8"/>
        <v>12.347799999999999</v>
      </c>
      <c r="L169" s="374">
        <f t="shared" si="7"/>
        <v>0</v>
      </c>
      <c r="M169" s="488"/>
      <c r="N169" s="289"/>
      <c r="O169" s="289"/>
      <c r="P169" s="289"/>
      <c r="Q169" s="489"/>
      <c r="S169" s="490"/>
      <c r="T169" s="490"/>
      <c r="U169" s="490"/>
      <c r="V169" s="490"/>
    </row>
    <row r="170" spans="1:22" s="479" customFormat="1" ht="27.75" customHeight="1">
      <c r="A170" s="331">
        <v>10</v>
      </c>
      <c r="B170" s="332" t="s">
        <v>1306</v>
      </c>
      <c r="C170" s="375" t="s">
        <v>3037</v>
      </c>
      <c r="D170" s="335"/>
      <c r="E170" s="475" t="s">
        <v>3416</v>
      </c>
      <c r="F170" s="476">
        <v>1</v>
      </c>
      <c r="G170" s="336">
        <v>211.86000000000004</v>
      </c>
      <c r="H170" s="373"/>
      <c r="I170" s="331"/>
      <c r="J170" s="338"/>
      <c r="K170" s="374">
        <f t="shared" si="8"/>
        <v>24.448644000000005</v>
      </c>
      <c r="L170" s="374">
        <f t="shared" si="7"/>
        <v>0</v>
      </c>
      <c r="M170" s="488"/>
      <c r="N170" s="289"/>
      <c r="O170" s="289"/>
      <c r="P170" s="289"/>
      <c r="Q170" s="489"/>
      <c r="S170" s="490"/>
      <c r="T170" s="490"/>
      <c r="U170" s="490"/>
      <c r="V170" s="490"/>
    </row>
    <row r="171" spans="1:22" s="479" customFormat="1" ht="27.75" customHeight="1">
      <c r="A171" s="331">
        <v>11</v>
      </c>
      <c r="B171" s="332" t="s">
        <v>3396</v>
      </c>
      <c r="C171" s="375" t="s">
        <v>3397</v>
      </c>
      <c r="D171" s="335"/>
      <c r="E171" s="475" t="s">
        <v>3332</v>
      </c>
      <c r="F171" s="476">
        <v>1</v>
      </c>
      <c r="G171" s="336">
        <v>269.64</v>
      </c>
      <c r="H171" s="373"/>
      <c r="I171" s="331"/>
      <c r="J171" s="338"/>
      <c r="K171" s="374">
        <f t="shared" si="8"/>
        <v>31.116455999999999</v>
      </c>
      <c r="L171" s="374">
        <f t="shared" ref="L171:L234" si="9">+J171</f>
        <v>0</v>
      </c>
      <c r="M171" s="488"/>
      <c r="N171" s="289"/>
      <c r="O171" s="289"/>
      <c r="P171" s="289"/>
      <c r="Q171" s="489"/>
      <c r="S171" s="490"/>
      <c r="T171" s="490"/>
      <c r="U171" s="490"/>
      <c r="V171" s="490"/>
    </row>
    <row r="172" spans="1:22" s="479" customFormat="1" ht="27.75" customHeight="1">
      <c r="A172" s="331">
        <v>12</v>
      </c>
      <c r="B172" s="332" t="s">
        <v>2744</v>
      </c>
      <c r="C172" s="375" t="s">
        <v>2745</v>
      </c>
      <c r="D172" s="335"/>
      <c r="E172" s="475" t="s">
        <v>3416</v>
      </c>
      <c r="F172" s="476">
        <v>1</v>
      </c>
      <c r="G172" s="336">
        <v>107</v>
      </c>
      <c r="H172" s="373"/>
      <c r="I172" s="331"/>
      <c r="J172" s="338"/>
      <c r="K172" s="374">
        <f t="shared" si="8"/>
        <v>12.347799999999999</v>
      </c>
      <c r="L172" s="374">
        <f t="shared" si="9"/>
        <v>0</v>
      </c>
      <c r="M172" s="488"/>
      <c r="N172" s="289"/>
      <c r="O172" s="289"/>
      <c r="P172" s="289"/>
      <c r="Q172" s="489"/>
      <c r="S172" s="490"/>
      <c r="T172" s="490"/>
      <c r="U172" s="490"/>
      <c r="V172" s="490"/>
    </row>
    <row r="173" spans="1:22" s="479" customFormat="1" ht="27.75" customHeight="1">
      <c r="A173" s="331">
        <v>13</v>
      </c>
      <c r="B173" s="332" t="s">
        <v>2584</v>
      </c>
      <c r="C173" s="375" t="s">
        <v>3038</v>
      </c>
      <c r="D173" s="335"/>
      <c r="E173" s="475" t="s">
        <v>3416</v>
      </c>
      <c r="F173" s="476">
        <v>1</v>
      </c>
      <c r="G173" s="336">
        <v>107</v>
      </c>
      <c r="H173" s="373"/>
      <c r="I173" s="331"/>
      <c r="J173" s="338"/>
      <c r="K173" s="374">
        <f t="shared" si="8"/>
        <v>12.347799999999999</v>
      </c>
      <c r="L173" s="374">
        <f t="shared" si="9"/>
        <v>0</v>
      </c>
      <c r="M173" s="488"/>
      <c r="N173" s="289"/>
      <c r="O173" s="289"/>
      <c r="P173" s="289"/>
      <c r="Q173" s="489"/>
      <c r="S173" s="490"/>
      <c r="T173" s="490"/>
      <c r="U173" s="490"/>
      <c r="V173" s="490"/>
    </row>
    <row r="174" spans="1:22" s="479" customFormat="1" ht="27.75" customHeight="1">
      <c r="A174" s="331">
        <v>14</v>
      </c>
      <c r="B174" s="332" t="s">
        <v>1304</v>
      </c>
      <c r="C174" s="375" t="s">
        <v>1470</v>
      </c>
      <c r="D174" s="335"/>
      <c r="E174" s="475" t="s">
        <v>3416</v>
      </c>
      <c r="F174" s="476">
        <v>1</v>
      </c>
      <c r="G174" s="336">
        <v>1669.1999999999998</v>
      </c>
      <c r="H174" s="373"/>
      <c r="I174" s="331"/>
      <c r="J174" s="338"/>
      <c r="K174" s="374">
        <f t="shared" si="8"/>
        <v>192.62567999999996</v>
      </c>
      <c r="L174" s="374">
        <f t="shared" si="9"/>
        <v>0</v>
      </c>
      <c r="M174" s="488"/>
      <c r="N174" s="289"/>
      <c r="O174" s="289"/>
      <c r="P174" s="289"/>
      <c r="Q174" s="489"/>
      <c r="S174" s="490"/>
      <c r="T174" s="490"/>
      <c r="U174" s="490"/>
      <c r="V174" s="490"/>
    </row>
    <row r="175" spans="1:22" s="479" customFormat="1" ht="27.75" customHeight="1">
      <c r="A175" s="331">
        <v>15</v>
      </c>
      <c r="B175" s="332" t="s">
        <v>795</v>
      </c>
      <c r="C175" s="375" t="s">
        <v>2746</v>
      </c>
      <c r="D175" s="335"/>
      <c r="E175" s="475" t="s">
        <v>3437</v>
      </c>
      <c r="F175" s="476">
        <v>2</v>
      </c>
      <c r="G175" s="336">
        <v>1316.1</v>
      </c>
      <c r="H175" s="373"/>
      <c r="I175" s="331"/>
      <c r="J175" s="338"/>
      <c r="K175" s="374">
        <f t="shared" si="8"/>
        <v>151.87793999999997</v>
      </c>
      <c r="L175" s="374">
        <f t="shared" si="9"/>
        <v>0</v>
      </c>
      <c r="M175" s="488"/>
      <c r="N175" s="289"/>
      <c r="O175" s="289"/>
      <c r="P175" s="289"/>
      <c r="Q175" s="489"/>
      <c r="S175" s="490"/>
      <c r="T175" s="490"/>
      <c r="U175" s="490"/>
      <c r="V175" s="490"/>
    </row>
    <row r="176" spans="1:22" s="479" customFormat="1" ht="27.75" customHeight="1">
      <c r="A176" s="331">
        <v>16</v>
      </c>
      <c r="B176" s="332" t="s">
        <v>126</v>
      </c>
      <c r="C176" s="375" t="s">
        <v>130</v>
      </c>
      <c r="D176" s="335"/>
      <c r="E176" s="475" t="s">
        <v>3416</v>
      </c>
      <c r="F176" s="476">
        <v>1</v>
      </c>
      <c r="G176" s="336">
        <v>2086.4999999999991</v>
      </c>
      <c r="H176" s="373"/>
      <c r="I176" s="331"/>
      <c r="J176" s="338"/>
      <c r="K176" s="374">
        <f t="shared" si="8"/>
        <v>240.78209999999987</v>
      </c>
      <c r="L176" s="374">
        <f t="shared" si="9"/>
        <v>0</v>
      </c>
      <c r="M176" s="488"/>
      <c r="N176" s="289"/>
      <c r="O176" s="289"/>
      <c r="P176" s="289"/>
      <c r="Q176" s="489"/>
      <c r="S176" s="490"/>
      <c r="T176" s="490"/>
      <c r="U176" s="490"/>
      <c r="V176" s="490"/>
    </row>
    <row r="177" spans="1:22" s="479" customFormat="1" ht="27.75" customHeight="1">
      <c r="A177" s="331">
        <v>17</v>
      </c>
      <c r="B177" s="332" t="s">
        <v>161</v>
      </c>
      <c r="C177" s="375" t="s">
        <v>81</v>
      </c>
      <c r="D177" s="335"/>
      <c r="E177" s="475" t="s">
        <v>3416</v>
      </c>
      <c r="F177" s="476">
        <v>1</v>
      </c>
      <c r="G177" s="336">
        <v>214</v>
      </c>
      <c r="H177" s="373"/>
      <c r="I177" s="331"/>
      <c r="J177" s="338"/>
      <c r="K177" s="374">
        <f t="shared" si="8"/>
        <v>24.695599999999999</v>
      </c>
      <c r="L177" s="374">
        <f t="shared" si="9"/>
        <v>0</v>
      </c>
      <c r="M177" s="488"/>
      <c r="N177" s="289"/>
      <c r="O177" s="289"/>
      <c r="P177" s="289"/>
      <c r="Q177" s="489"/>
      <c r="S177" s="490"/>
      <c r="T177" s="490"/>
      <c r="U177" s="490"/>
      <c r="V177" s="490"/>
    </row>
    <row r="178" spans="1:22" s="479" customFormat="1" ht="27.75" customHeight="1">
      <c r="A178" s="331">
        <v>18</v>
      </c>
      <c r="B178" s="332" t="s">
        <v>484</v>
      </c>
      <c r="C178" s="375" t="s">
        <v>81</v>
      </c>
      <c r="D178" s="335"/>
      <c r="E178" s="453" t="s">
        <v>3416</v>
      </c>
      <c r="F178" s="476">
        <v>1</v>
      </c>
      <c r="G178" s="336">
        <v>214</v>
      </c>
      <c r="H178" s="373"/>
      <c r="I178" s="331"/>
      <c r="J178" s="338"/>
      <c r="K178" s="374">
        <f t="shared" si="8"/>
        <v>24.695599999999999</v>
      </c>
      <c r="L178" s="374">
        <f t="shared" si="9"/>
        <v>0</v>
      </c>
      <c r="M178" s="488"/>
      <c r="N178" s="289"/>
      <c r="O178" s="289"/>
      <c r="P178" s="289"/>
      <c r="Q178" s="489"/>
      <c r="S178" s="490"/>
      <c r="T178" s="490"/>
      <c r="U178" s="490"/>
      <c r="V178" s="490"/>
    </row>
    <row r="179" spans="1:22" s="479" customFormat="1" ht="27.75" customHeight="1">
      <c r="A179" s="331">
        <v>19</v>
      </c>
      <c r="B179" s="332" t="s">
        <v>3191</v>
      </c>
      <c r="C179" s="375" t="s">
        <v>81</v>
      </c>
      <c r="D179" s="335"/>
      <c r="E179" s="475" t="s">
        <v>3416</v>
      </c>
      <c r="F179" s="476">
        <v>1</v>
      </c>
      <c r="G179" s="336">
        <v>224.7</v>
      </c>
      <c r="H179" s="373"/>
      <c r="I179" s="331"/>
      <c r="J179" s="338"/>
      <c r="K179" s="374">
        <f t="shared" si="8"/>
        <v>25.930379999999996</v>
      </c>
      <c r="L179" s="374">
        <f t="shared" si="9"/>
        <v>0</v>
      </c>
      <c r="M179" s="488"/>
      <c r="N179" s="289"/>
      <c r="O179" s="289"/>
      <c r="P179" s="289"/>
      <c r="Q179" s="489"/>
      <c r="S179" s="490"/>
      <c r="T179" s="490"/>
      <c r="U179" s="490"/>
      <c r="V179" s="490"/>
    </row>
    <row r="180" spans="1:22" s="479" customFormat="1" ht="27.75" customHeight="1">
      <c r="A180" s="331">
        <v>20</v>
      </c>
      <c r="B180" s="332" t="s">
        <v>3039</v>
      </c>
      <c r="C180" s="375" t="s">
        <v>81</v>
      </c>
      <c r="D180" s="335"/>
      <c r="E180" s="475" t="s">
        <v>3416</v>
      </c>
      <c r="F180" s="476">
        <v>1</v>
      </c>
      <c r="G180" s="336">
        <v>224.7</v>
      </c>
      <c r="H180" s="373"/>
      <c r="I180" s="331"/>
      <c r="J180" s="338"/>
      <c r="K180" s="374">
        <f t="shared" si="8"/>
        <v>25.930379999999996</v>
      </c>
      <c r="L180" s="374">
        <f t="shared" si="9"/>
        <v>0</v>
      </c>
      <c r="M180" s="488"/>
      <c r="N180" s="289"/>
      <c r="O180" s="289"/>
      <c r="P180" s="289"/>
      <c r="Q180" s="489"/>
      <c r="S180" s="490"/>
      <c r="T180" s="490"/>
      <c r="U180" s="490"/>
      <c r="V180" s="490"/>
    </row>
    <row r="181" spans="1:22" s="479" customFormat="1" ht="27.75" customHeight="1">
      <c r="A181" s="331">
        <v>21</v>
      </c>
      <c r="B181" s="332" t="s">
        <v>565</v>
      </c>
      <c r="C181" s="375" t="s">
        <v>495</v>
      </c>
      <c r="D181" s="335"/>
      <c r="E181" s="475" t="s">
        <v>3416</v>
      </c>
      <c r="F181" s="476">
        <v>2</v>
      </c>
      <c r="G181" s="336">
        <v>417.30000000000007</v>
      </c>
      <c r="H181" s="373"/>
      <c r="I181" s="331"/>
      <c r="J181" s="338"/>
      <c r="K181" s="374">
        <f t="shared" si="8"/>
        <v>48.156420000000004</v>
      </c>
      <c r="L181" s="374">
        <f t="shared" si="9"/>
        <v>0</v>
      </c>
      <c r="M181" s="488"/>
      <c r="N181" s="289"/>
      <c r="O181" s="289"/>
      <c r="P181" s="289"/>
      <c r="Q181" s="489"/>
      <c r="S181" s="490"/>
      <c r="T181" s="490"/>
      <c r="U181" s="490"/>
      <c r="V181" s="490"/>
    </row>
    <row r="182" spans="1:22" s="479" customFormat="1" ht="27.75" customHeight="1">
      <c r="A182" s="331">
        <v>22</v>
      </c>
      <c r="B182" s="332" t="s">
        <v>566</v>
      </c>
      <c r="C182" s="375" t="s">
        <v>567</v>
      </c>
      <c r="D182" s="335"/>
      <c r="E182" s="475" t="s">
        <v>3416</v>
      </c>
      <c r="F182" s="476">
        <v>1</v>
      </c>
      <c r="G182" s="336">
        <v>288.89999999999998</v>
      </c>
      <c r="H182" s="373"/>
      <c r="I182" s="331"/>
      <c r="J182" s="338"/>
      <c r="K182" s="374">
        <f t="shared" si="8"/>
        <v>33.339059999999996</v>
      </c>
      <c r="L182" s="374">
        <f t="shared" si="9"/>
        <v>0</v>
      </c>
      <c r="M182" s="488"/>
      <c r="N182" s="289"/>
      <c r="O182" s="289"/>
      <c r="P182" s="289"/>
      <c r="Q182" s="489"/>
      <c r="S182" s="490"/>
      <c r="T182" s="490"/>
      <c r="U182" s="490"/>
      <c r="V182" s="490"/>
    </row>
    <row r="183" spans="1:22" s="479" customFormat="1" ht="27.75" customHeight="1">
      <c r="A183" s="331">
        <v>23</v>
      </c>
      <c r="B183" s="332" t="s">
        <v>1471</v>
      </c>
      <c r="C183" s="375" t="s">
        <v>1472</v>
      </c>
      <c r="D183" s="335"/>
      <c r="E183" s="475" t="s">
        <v>3416</v>
      </c>
      <c r="F183" s="476">
        <v>1</v>
      </c>
      <c r="G183" s="336">
        <v>353.10000000000014</v>
      </c>
      <c r="H183" s="373"/>
      <c r="I183" s="331"/>
      <c r="J183" s="338"/>
      <c r="K183" s="374">
        <f t="shared" si="8"/>
        <v>40.747740000000015</v>
      </c>
      <c r="L183" s="374">
        <f t="shared" si="9"/>
        <v>0</v>
      </c>
      <c r="M183" s="488"/>
      <c r="N183" s="289"/>
      <c r="O183" s="289"/>
      <c r="P183" s="289"/>
      <c r="Q183" s="489"/>
      <c r="S183" s="490"/>
      <c r="T183" s="490"/>
      <c r="U183" s="490"/>
      <c r="V183" s="490"/>
    </row>
    <row r="184" spans="1:22" s="479" customFormat="1" ht="27.75" customHeight="1">
      <c r="A184" s="331">
        <v>24</v>
      </c>
      <c r="B184" s="332" t="s">
        <v>3707</v>
      </c>
      <c r="C184" s="375" t="s">
        <v>3717</v>
      </c>
      <c r="D184" s="335"/>
      <c r="E184" s="475" t="s">
        <v>3416</v>
      </c>
      <c r="F184" s="476">
        <v>1</v>
      </c>
      <c r="G184" s="336">
        <v>834.6</v>
      </c>
      <c r="H184" s="373"/>
      <c r="I184" s="331"/>
      <c r="J184" s="338"/>
      <c r="K184" s="374">
        <f t="shared" si="8"/>
        <v>96.312839999999994</v>
      </c>
      <c r="L184" s="374">
        <f t="shared" si="9"/>
        <v>0</v>
      </c>
      <c r="M184" s="488"/>
      <c r="N184" s="289"/>
      <c r="O184" s="289"/>
      <c r="P184" s="289"/>
      <c r="Q184" s="489"/>
      <c r="S184" s="490"/>
      <c r="T184" s="490"/>
      <c r="U184" s="490"/>
      <c r="V184" s="490"/>
    </row>
    <row r="185" spans="1:22" s="479" customFormat="1" ht="27.75" customHeight="1">
      <c r="A185" s="331">
        <v>25</v>
      </c>
      <c r="B185" s="332" t="s">
        <v>3150</v>
      </c>
      <c r="C185" s="375" t="s">
        <v>3151</v>
      </c>
      <c r="D185" s="335"/>
      <c r="E185" s="475" t="s">
        <v>3718</v>
      </c>
      <c r="F185" s="476">
        <v>3</v>
      </c>
      <c r="G185" s="336">
        <v>1047.5300000000002</v>
      </c>
      <c r="H185" s="373"/>
      <c r="I185" s="331"/>
      <c r="J185" s="338"/>
      <c r="K185" s="374">
        <f t="shared" si="8"/>
        <v>120.88496200000002</v>
      </c>
      <c r="L185" s="374">
        <f t="shared" si="9"/>
        <v>0</v>
      </c>
      <c r="M185" s="488"/>
      <c r="N185" s="289"/>
      <c r="O185" s="289"/>
      <c r="P185" s="289"/>
      <c r="Q185" s="489"/>
      <c r="S185" s="490"/>
      <c r="T185" s="490"/>
      <c r="U185" s="490"/>
      <c r="V185" s="490"/>
    </row>
    <row r="186" spans="1:22" s="479" customFormat="1" ht="27.75" customHeight="1">
      <c r="A186" s="331">
        <v>26</v>
      </c>
      <c r="B186" s="332" t="s">
        <v>2018</v>
      </c>
      <c r="C186" s="375" t="s">
        <v>2019</v>
      </c>
      <c r="D186" s="335"/>
      <c r="E186" s="475" t="s">
        <v>3437</v>
      </c>
      <c r="F186" s="476">
        <v>2</v>
      </c>
      <c r="G186" s="336">
        <v>428</v>
      </c>
      <c r="H186" s="373"/>
      <c r="I186" s="331"/>
      <c r="J186" s="338"/>
      <c r="K186" s="374">
        <f t="shared" si="8"/>
        <v>49.391199999999998</v>
      </c>
      <c r="L186" s="374">
        <f t="shared" si="9"/>
        <v>0</v>
      </c>
      <c r="M186" s="488"/>
      <c r="N186" s="289"/>
      <c r="O186" s="289"/>
      <c r="P186" s="289"/>
      <c r="Q186" s="489"/>
      <c r="S186" s="490"/>
      <c r="T186" s="490"/>
      <c r="U186" s="490"/>
      <c r="V186" s="490"/>
    </row>
    <row r="187" spans="1:22" s="479" customFormat="1" ht="27.75" customHeight="1">
      <c r="A187" s="331">
        <v>27</v>
      </c>
      <c r="B187" s="332" t="s">
        <v>3112</v>
      </c>
      <c r="C187" s="375" t="s">
        <v>3113</v>
      </c>
      <c r="D187" s="335"/>
      <c r="E187" s="475" t="s">
        <v>3437</v>
      </c>
      <c r="F187" s="476">
        <v>2</v>
      </c>
      <c r="G187" s="336">
        <v>428</v>
      </c>
      <c r="H187" s="373"/>
      <c r="I187" s="331"/>
      <c r="J187" s="338"/>
      <c r="K187" s="374">
        <f t="shared" si="8"/>
        <v>49.391199999999998</v>
      </c>
      <c r="L187" s="374">
        <f t="shared" si="9"/>
        <v>0</v>
      </c>
      <c r="M187" s="488"/>
      <c r="N187" s="289"/>
      <c r="O187" s="289"/>
      <c r="P187" s="289"/>
      <c r="Q187" s="489"/>
      <c r="S187" s="490"/>
      <c r="T187" s="490"/>
      <c r="U187" s="490"/>
      <c r="V187" s="490"/>
    </row>
    <row r="188" spans="1:22" s="479" customFormat="1" ht="27.75" customHeight="1">
      <c r="A188" s="331">
        <v>28</v>
      </c>
      <c r="B188" s="332" t="s">
        <v>547</v>
      </c>
      <c r="C188" s="375" t="s">
        <v>633</v>
      </c>
      <c r="D188" s="335"/>
      <c r="E188" s="475" t="s">
        <v>3416</v>
      </c>
      <c r="F188" s="476">
        <v>1</v>
      </c>
      <c r="G188" s="336">
        <v>288.89999999999992</v>
      </c>
      <c r="H188" s="373"/>
      <c r="I188" s="331"/>
      <c r="J188" s="338"/>
      <c r="K188" s="374">
        <f t="shared" si="8"/>
        <v>33.339059999999989</v>
      </c>
      <c r="L188" s="374">
        <f t="shared" si="9"/>
        <v>0</v>
      </c>
      <c r="M188" s="488"/>
      <c r="N188" s="289"/>
      <c r="O188" s="289"/>
      <c r="P188" s="289"/>
      <c r="Q188" s="489"/>
      <c r="S188" s="490"/>
      <c r="T188" s="490"/>
      <c r="U188" s="490"/>
      <c r="V188" s="490"/>
    </row>
    <row r="189" spans="1:22" s="479" customFormat="1" ht="27.75" customHeight="1">
      <c r="A189" s="331">
        <v>29</v>
      </c>
      <c r="B189" s="332" t="s">
        <v>3317</v>
      </c>
      <c r="C189" s="375" t="s">
        <v>3318</v>
      </c>
      <c r="D189" s="335"/>
      <c r="E189" s="475" t="s">
        <v>3441</v>
      </c>
      <c r="F189" s="476">
        <v>3</v>
      </c>
      <c r="G189" s="336">
        <v>642</v>
      </c>
      <c r="H189" s="373"/>
      <c r="I189" s="331"/>
      <c r="J189" s="338"/>
      <c r="K189" s="374">
        <f t="shared" si="8"/>
        <v>74.086799999999997</v>
      </c>
      <c r="L189" s="374">
        <f t="shared" si="9"/>
        <v>0</v>
      </c>
      <c r="M189" s="488"/>
      <c r="N189" s="289"/>
      <c r="O189" s="289"/>
      <c r="P189" s="289"/>
      <c r="Q189" s="489"/>
      <c r="S189" s="490"/>
      <c r="T189" s="490"/>
      <c r="U189" s="490"/>
      <c r="V189" s="490"/>
    </row>
    <row r="190" spans="1:22" s="479" customFormat="1" ht="27.75" customHeight="1">
      <c r="A190" s="331">
        <v>30</v>
      </c>
      <c r="B190" s="332" t="s">
        <v>3719</v>
      </c>
      <c r="C190" s="375" t="s">
        <v>3720</v>
      </c>
      <c r="D190" s="335"/>
      <c r="E190" s="475" t="s">
        <v>3416</v>
      </c>
      <c r="F190" s="476">
        <v>1</v>
      </c>
      <c r="G190" s="336">
        <v>674.1</v>
      </c>
      <c r="H190" s="373"/>
      <c r="I190" s="331"/>
      <c r="J190" s="338"/>
      <c r="K190" s="374">
        <f t="shared" si="8"/>
        <v>77.791139999999999</v>
      </c>
      <c r="L190" s="374">
        <f t="shared" si="9"/>
        <v>0</v>
      </c>
      <c r="M190" s="488"/>
      <c r="N190" s="289"/>
      <c r="O190" s="289"/>
      <c r="P190" s="289"/>
      <c r="Q190" s="489"/>
      <c r="S190" s="490"/>
      <c r="T190" s="490"/>
      <c r="U190" s="490"/>
      <c r="V190" s="490"/>
    </row>
    <row r="191" spans="1:22" s="479" customFormat="1" ht="27.75" customHeight="1">
      <c r="A191" s="331">
        <v>31</v>
      </c>
      <c r="B191" s="332" t="s">
        <v>1655</v>
      </c>
      <c r="C191" s="375" t="s">
        <v>2864</v>
      </c>
      <c r="D191" s="335"/>
      <c r="E191" s="475" t="s">
        <v>3416</v>
      </c>
      <c r="F191" s="476">
        <v>1</v>
      </c>
      <c r="G191" s="336">
        <v>224.69999999999993</v>
      </c>
      <c r="H191" s="373"/>
      <c r="I191" s="331"/>
      <c r="J191" s="338"/>
      <c r="K191" s="374">
        <f t="shared" si="8"/>
        <v>25.930379999999992</v>
      </c>
      <c r="L191" s="374">
        <f t="shared" si="9"/>
        <v>0</v>
      </c>
      <c r="M191" s="488"/>
      <c r="N191" s="289"/>
      <c r="O191" s="289"/>
      <c r="P191" s="289"/>
      <c r="Q191" s="489"/>
      <c r="S191" s="490"/>
      <c r="T191" s="490"/>
      <c r="U191" s="490"/>
      <c r="V191" s="490"/>
    </row>
    <row r="192" spans="1:22" s="479" customFormat="1" ht="27.75" customHeight="1">
      <c r="A192" s="331">
        <v>32</v>
      </c>
      <c r="B192" s="332" t="s">
        <v>2897</v>
      </c>
      <c r="C192" s="375" t="s">
        <v>2898</v>
      </c>
      <c r="D192" s="335"/>
      <c r="E192" s="475" t="s">
        <v>3721</v>
      </c>
      <c r="F192" s="476">
        <v>2</v>
      </c>
      <c r="G192" s="336">
        <v>813.19999999999982</v>
      </c>
      <c r="H192" s="373"/>
      <c r="I192" s="331"/>
      <c r="J192" s="338"/>
      <c r="K192" s="374">
        <f t="shared" si="8"/>
        <v>93.843279999999979</v>
      </c>
      <c r="L192" s="374">
        <f t="shared" si="9"/>
        <v>0</v>
      </c>
      <c r="M192" s="488"/>
      <c r="N192" s="289"/>
      <c r="O192" s="289"/>
      <c r="P192" s="289"/>
      <c r="Q192" s="489"/>
      <c r="S192" s="490"/>
      <c r="T192" s="490"/>
      <c r="U192" s="490"/>
      <c r="V192" s="490"/>
    </row>
    <row r="193" spans="1:22" s="479" customFormat="1" ht="29.4" customHeight="1">
      <c r="A193" s="331"/>
      <c r="B193" s="332"/>
      <c r="C193" s="375"/>
      <c r="D193" s="335"/>
      <c r="E193" s="475"/>
      <c r="F193" s="476"/>
      <c r="G193" s="336"/>
      <c r="H193" s="373"/>
      <c r="I193" s="331"/>
      <c r="J193" s="338"/>
      <c r="K193" s="374">
        <f t="shared" si="8"/>
        <v>0</v>
      </c>
      <c r="L193" s="374">
        <f t="shared" si="9"/>
        <v>0</v>
      </c>
      <c r="M193" s="488"/>
      <c r="N193" s="289"/>
      <c r="O193" s="289"/>
      <c r="P193" s="289"/>
      <c r="Q193" s="489"/>
      <c r="S193" s="490"/>
      <c r="T193" s="490"/>
      <c r="U193" s="490"/>
      <c r="V193" s="490"/>
    </row>
    <row r="194" spans="1:22" s="456" customFormat="1" ht="27.75" customHeight="1">
      <c r="A194" s="448"/>
      <c r="B194" s="445"/>
      <c r="C194" s="445"/>
      <c r="D194" s="453"/>
      <c r="E194" s="447"/>
      <c r="F194" s="448"/>
      <c r="G194" s="336"/>
      <c r="H194" s="445"/>
      <c r="I194" s="448"/>
      <c r="J194" s="453"/>
      <c r="K194" s="374">
        <f t="shared" si="8"/>
        <v>0</v>
      </c>
      <c r="L194" s="374">
        <f t="shared" si="9"/>
        <v>0</v>
      </c>
      <c r="N194" s="452">
        <f>SUM(G161:G194)</f>
        <v>14114.369999999999</v>
      </c>
      <c r="O194" s="452">
        <f>SUM(J161:J194)</f>
        <v>103117.85999999999</v>
      </c>
      <c r="P194" s="452">
        <f>+N194+O194</f>
        <v>117232.22999999998</v>
      </c>
      <c r="Q194" s="410">
        <f>SUM(D161:D194)</f>
        <v>0</v>
      </c>
      <c r="R194" s="456" t="s">
        <v>35</v>
      </c>
      <c r="U194" s="456">
        <f t="shared" ref="U194:U204" si="10">+J194</f>
        <v>0</v>
      </c>
    </row>
    <row r="195" spans="1:22" s="385" customFormat="1" ht="27.75" customHeight="1">
      <c r="A195" s="379"/>
      <c r="B195" s="387" t="s">
        <v>985</v>
      </c>
      <c r="C195" s="378"/>
      <c r="D195" s="382"/>
      <c r="E195" s="382"/>
      <c r="F195" s="379"/>
      <c r="G195" s="336"/>
      <c r="H195" s="387"/>
      <c r="I195" s="388"/>
      <c r="J195" s="382"/>
      <c r="K195" s="374">
        <f t="shared" si="8"/>
        <v>0</v>
      </c>
      <c r="L195" s="374">
        <f t="shared" si="9"/>
        <v>0</v>
      </c>
      <c r="M195" s="384"/>
      <c r="N195" s="288"/>
      <c r="O195" s="288"/>
      <c r="P195" s="288"/>
      <c r="Q195" s="288"/>
      <c r="R195" s="288"/>
      <c r="S195" s="288"/>
      <c r="T195" s="288"/>
      <c r="U195" s="288"/>
      <c r="V195" s="288"/>
    </row>
    <row r="196" spans="1:22" ht="27.6" customHeight="1">
      <c r="A196" s="331">
        <v>1</v>
      </c>
      <c r="B196" s="332" t="s">
        <v>16</v>
      </c>
      <c r="C196" s="372" t="s">
        <v>93</v>
      </c>
      <c r="D196" s="491"/>
      <c r="H196" s="373" t="s">
        <v>261</v>
      </c>
      <c r="J196" s="338">
        <v>60165.51</v>
      </c>
      <c r="K196" s="374">
        <f t="shared" si="8"/>
        <v>0</v>
      </c>
      <c r="L196" s="374">
        <f t="shared" si="9"/>
        <v>60165.51</v>
      </c>
      <c r="M196" s="369"/>
      <c r="U196" s="291">
        <f t="shared" si="10"/>
        <v>60165.51</v>
      </c>
    </row>
    <row r="197" spans="1:22" ht="27.75" customHeight="1">
      <c r="A197" s="331">
        <f>+A196+1</f>
        <v>2</v>
      </c>
      <c r="B197" s="332" t="s">
        <v>83</v>
      </c>
      <c r="C197" s="372" t="s">
        <v>44</v>
      </c>
      <c r="D197" s="335"/>
      <c r="H197" s="373" t="s">
        <v>265</v>
      </c>
      <c r="J197" s="338">
        <v>136445.62</v>
      </c>
      <c r="K197" s="374">
        <f t="shared" si="8"/>
        <v>0</v>
      </c>
      <c r="L197" s="374">
        <f t="shared" si="9"/>
        <v>136445.62</v>
      </c>
      <c r="M197" s="369"/>
      <c r="U197" s="291">
        <f t="shared" si="10"/>
        <v>136445.62</v>
      </c>
    </row>
    <row r="198" spans="1:22" ht="27.75" customHeight="1">
      <c r="A198" s="331">
        <v>3</v>
      </c>
      <c r="B198" s="332" t="s">
        <v>60</v>
      </c>
      <c r="C198" s="477" t="s">
        <v>59</v>
      </c>
      <c r="D198" s="338"/>
      <c r="G198" s="386"/>
      <c r="H198" s="332" t="s">
        <v>261</v>
      </c>
      <c r="I198" s="397"/>
      <c r="J198" s="335">
        <v>1085803.8</v>
      </c>
      <c r="K198" s="374">
        <f t="shared" si="8"/>
        <v>0</v>
      </c>
      <c r="L198" s="374">
        <f t="shared" si="9"/>
        <v>1085803.8</v>
      </c>
      <c r="M198" s="369"/>
      <c r="S198" s="289"/>
      <c r="T198" s="289"/>
      <c r="U198" s="289">
        <f t="shared" si="10"/>
        <v>1085803.8</v>
      </c>
      <c r="V198" s="289"/>
    </row>
    <row r="199" spans="1:22" s="385" customFormat="1" ht="27.75" customHeight="1">
      <c r="A199" s="331"/>
      <c r="B199" s="376" t="s">
        <v>313</v>
      </c>
      <c r="C199" s="395"/>
      <c r="D199" s="382"/>
      <c r="E199" s="382"/>
      <c r="F199" s="379"/>
      <c r="G199" s="386"/>
      <c r="H199" s="332"/>
      <c r="I199" s="397"/>
      <c r="J199" s="335"/>
      <c r="K199" s="374">
        <f t="shared" si="8"/>
        <v>0</v>
      </c>
      <c r="L199" s="374">
        <f t="shared" si="9"/>
        <v>0</v>
      </c>
      <c r="M199" s="369"/>
      <c r="N199" s="288"/>
      <c r="O199" s="288"/>
      <c r="P199" s="288"/>
      <c r="Q199" s="288"/>
      <c r="S199" s="291"/>
      <c r="T199" s="291"/>
      <c r="U199" s="291">
        <f t="shared" si="10"/>
        <v>0</v>
      </c>
      <c r="V199" s="291"/>
    </row>
    <row r="200" spans="1:22" s="385" customFormat="1" ht="27.75" customHeight="1">
      <c r="A200" s="331"/>
      <c r="B200" s="376" t="s">
        <v>314</v>
      </c>
      <c r="C200" s="395"/>
      <c r="D200" s="382"/>
      <c r="E200" s="382"/>
      <c r="F200" s="379"/>
      <c r="G200" s="386"/>
      <c r="H200" s="332"/>
      <c r="I200" s="397"/>
      <c r="J200" s="335"/>
      <c r="K200" s="374">
        <f t="shared" si="8"/>
        <v>0</v>
      </c>
      <c r="L200" s="374">
        <f t="shared" si="9"/>
        <v>0</v>
      </c>
      <c r="M200" s="369"/>
      <c r="N200" s="288"/>
      <c r="O200" s="288"/>
      <c r="P200" s="288"/>
      <c r="Q200" s="288"/>
      <c r="S200" s="291"/>
      <c r="T200" s="291"/>
      <c r="U200" s="291">
        <f t="shared" si="10"/>
        <v>0</v>
      </c>
      <c r="V200" s="291"/>
    </row>
    <row r="201" spans="1:22" s="385" customFormat="1" ht="27.75" customHeight="1">
      <c r="A201" s="331"/>
      <c r="B201" s="332" t="s">
        <v>315</v>
      </c>
      <c r="C201" s="395"/>
      <c r="D201" s="382"/>
      <c r="E201" s="382"/>
      <c r="F201" s="379"/>
      <c r="G201" s="386"/>
      <c r="H201" s="332"/>
      <c r="I201" s="397"/>
      <c r="J201" s="335"/>
      <c r="K201" s="374">
        <f t="shared" si="8"/>
        <v>0</v>
      </c>
      <c r="L201" s="374">
        <f t="shared" si="9"/>
        <v>0</v>
      </c>
      <c r="M201" s="369"/>
      <c r="N201" s="288"/>
      <c r="O201" s="288"/>
      <c r="P201" s="288"/>
      <c r="Q201" s="288"/>
      <c r="S201" s="291"/>
      <c r="T201" s="291"/>
      <c r="U201" s="291">
        <f t="shared" si="10"/>
        <v>0</v>
      </c>
      <c r="V201" s="291"/>
    </row>
    <row r="202" spans="1:22" s="385" customFormat="1" ht="27.75" customHeight="1">
      <c r="A202" s="331">
        <v>4</v>
      </c>
      <c r="B202" s="332" t="s">
        <v>61</v>
      </c>
      <c r="C202" s="395" t="s">
        <v>97</v>
      </c>
      <c r="D202" s="382"/>
      <c r="E202" s="382"/>
      <c r="F202" s="379"/>
      <c r="G202" s="386"/>
      <c r="H202" s="332" t="s">
        <v>262</v>
      </c>
      <c r="I202" s="397"/>
      <c r="J202" s="335">
        <v>40673.97</v>
      </c>
      <c r="K202" s="374">
        <f t="shared" si="8"/>
        <v>0</v>
      </c>
      <c r="L202" s="374">
        <f t="shared" si="9"/>
        <v>40673.97</v>
      </c>
      <c r="M202" s="369"/>
      <c r="N202" s="288"/>
      <c r="O202" s="288"/>
      <c r="P202" s="288"/>
      <c r="Q202" s="288"/>
      <c r="S202" s="291"/>
      <c r="T202" s="291"/>
      <c r="U202" s="291">
        <f t="shared" si="10"/>
        <v>40673.97</v>
      </c>
      <c r="V202" s="291"/>
    </row>
    <row r="203" spans="1:22" s="385" customFormat="1" ht="27.75" customHeight="1">
      <c r="A203" s="331">
        <v>5</v>
      </c>
      <c r="B203" s="332" t="s">
        <v>39</v>
      </c>
      <c r="C203" s="395" t="s">
        <v>58</v>
      </c>
      <c r="D203" s="382"/>
      <c r="E203" s="382"/>
      <c r="F203" s="379"/>
      <c r="G203" s="386"/>
      <c r="H203" s="387" t="s">
        <v>263</v>
      </c>
      <c r="I203" s="388"/>
      <c r="J203" s="335">
        <v>53856.79</v>
      </c>
      <c r="K203" s="374">
        <f t="shared" si="8"/>
        <v>0</v>
      </c>
      <c r="L203" s="374">
        <f t="shared" si="9"/>
        <v>53856.79</v>
      </c>
      <c r="M203" s="369"/>
      <c r="N203" s="288"/>
      <c r="O203" s="288"/>
      <c r="P203" s="288"/>
      <c r="Q203" s="288"/>
      <c r="S203" s="291"/>
      <c r="T203" s="291"/>
      <c r="U203" s="291">
        <f t="shared" si="10"/>
        <v>53856.79</v>
      </c>
      <c r="V203" s="291"/>
    </row>
    <row r="204" spans="1:22" s="436" customFormat="1" ht="27.75" customHeight="1">
      <c r="A204" s="425">
        <v>6</v>
      </c>
      <c r="B204" s="427" t="s">
        <v>468</v>
      </c>
      <c r="C204" s="427" t="s">
        <v>168</v>
      </c>
      <c r="D204" s="429"/>
      <c r="E204" s="434"/>
      <c r="F204" s="430"/>
      <c r="G204" s="431"/>
      <c r="H204" s="426" t="s">
        <v>449</v>
      </c>
      <c r="I204" s="430">
        <v>34</v>
      </c>
      <c r="J204" s="429">
        <v>55128.2</v>
      </c>
      <c r="K204" s="428">
        <f t="shared" si="8"/>
        <v>0</v>
      </c>
      <c r="L204" s="374">
        <f t="shared" si="9"/>
        <v>55128.2</v>
      </c>
      <c r="M204" s="432"/>
      <c r="N204" s="433"/>
      <c r="O204" s="433"/>
      <c r="P204" s="433"/>
      <c r="Q204" s="435"/>
      <c r="S204" s="437"/>
      <c r="T204" s="437"/>
      <c r="U204" s="437">
        <f t="shared" si="10"/>
        <v>55128.2</v>
      </c>
      <c r="V204" s="437"/>
    </row>
    <row r="205" spans="1:22" s="385" customFormat="1" ht="27.75" customHeight="1">
      <c r="A205" s="331"/>
      <c r="B205" s="332" t="s">
        <v>444</v>
      </c>
      <c r="C205" s="364"/>
      <c r="D205" s="338"/>
      <c r="E205" s="409"/>
      <c r="F205" s="331"/>
      <c r="G205" s="367"/>
      <c r="H205" s="364"/>
      <c r="I205" s="397"/>
      <c r="J205" s="409"/>
      <c r="K205" s="374">
        <f t="shared" si="8"/>
        <v>0</v>
      </c>
      <c r="L205" s="374">
        <f t="shared" si="9"/>
        <v>0</v>
      </c>
      <c r="M205" s="369"/>
      <c r="N205" s="288"/>
      <c r="O205" s="288"/>
      <c r="P205" s="288"/>
      <c r="Q205" s="410"/>
      <c r="S205" s="411"/>
      <c r="T205" s="411"/>
      <c r="U205" s="411"/>
      <c r="V205" s="411"/>
    </row>
    <row r="206" spans="1:22" s="385" customFormat="1" ht="27.75" customHeight="1">
      <c r="A206" s="331">
        <v>7</v>
      </c>
      <c r="B206" s="368" t="s">
        <v>189</v>
      </c>
      <c r="C206" s="364" t="s">
        <v>483</v>
      </c>
      <c r="D206" s="338" t="s">
        <v>375</v>
      </c>
      <c r="E206" s="409"/>
      <c r="F206" s="362"/>
      <c r="G206" s="336"/>
      <c r="H206" s="332" t="s">
        <v>207</v>
      </c>
      <c r="I206" s="397">
        <v>5</v>
      </c>
      <c r="J206" s="335">
        <v>40491.86</v>
      </c>
      <c r="K206" s="374">
        <f t="shared" si="8"/>
        <v>0</v>
      </c>
      <c r="L206" s="374">
        <f t="shared" si="9"/>
        <v>40491.86</v>
      </c>
      <c r="M206" s="369"/>
      <c r="N206" s="288"/>
      <c r="O206" s="288"/>
      <c r="P206" s="288"/>
      <c r="Q206" s="410"/>
      <c r="S206" s="411"/>
      <c r="T206" s="411"/>
      <c r="U206" s="411"/>
      <c r="V206" s="411"/>
    </row>
    <row r="207" spans="1:22" s="385" customFormat="1" ht="27.75" customHeight="1">
      <c r="A207" s="331"/>
      <c r="B207" s="368" t="s">
        <v>1998</v>
      </c>
      <c r="C207" s="364"/>
      <c r="D207" s="338"/>
      <c r="E207" s="409"/>
      <c r="F207" s="362"/>
      <c r="G207" s="336"/>
      <c r="H207" s="332"/>
      <c r="I207" s="397"/>
      <c r="J207" s="335"/>
      <c r="K207" s="374">
        <f t="shared" si="8"/>
        <v>0</v>
      </c>
      <c r="L207" s="374">
        <f t="shared" si="9"/>
        <v>0</v>
      </c>
      <c r="M207" s="369"/>
      <c r="N207" s="288"/>
      <c r="O207" s="288"/>
      <c r="P207" s="288"/>
      <c r="Q207" s="410"/>
      <c r="S207" s="411"/>
      <c r="T207" s="411"/>
      <c r="U207" s="411"/>
      <c r="V207" s="411"/>
    </row>
    <row r="208" spans="1:22" s="385" customFormat="1" ht="27.75" customHeight="1">
      <c r="A208" s="331">
        <v>8</v>
      </c>
      <c r="B208" s="368" t="s">
        <v>185</v>
      </c>
      <c r="C208" s="364" t="s">
        <v>198</v>
      </c>
      <c r="D208" s="338"/>
      <c r="E208" s="409"/>
      <c r="F208" s="362"/>
      <c r="G208" s="336"/>
      <c r="H208" s="332" t="s">
        <v>238</v>
      </c>
      <c r="I208" s="397">
        <v>17</v>
      </c>
      <c r="J208" s="335">
        <v>68000</v>
      </c>
      <c r="K208" s="374">
        <f t="shared" si="8"/>
        <v>0</v>
      </c>
      <c r="L208" s="374">
        <f t="shared" si="9"/>
        <v>68000</v>
      </c>
      <c r="M208" s="369"/>
      <c r="N208" s="288"/>
      <c r="O208" s="288"/>
      <c r="P208" s="288"/>
      <c r="Q208" s="410"/>
      <c r="S208" s="411"/>
      <c r="T208" s="411"/>
      <c r="U208" s="411"/>
      <c r="V208" s="411"/>
    </row>
    <row r="209" spans="1:22" s="385" customFormat="1" ht="27.75" customHeight="1">
      <c r="A209" s="331">
        <v>9</v>
      </c>
      <c r="B209" s="368" t="s">
        <v>200</v>
      </c>
      <c r="C209" s="364" t="s">
        <v>198</v>
      </c>
      <c r="D209" s="338"/>
      <c r="E209" s="409"/>
      <c r="F209" s="362"/>
      <c r="G209" s="336"/>
      <c r="H209" s="332" t="s">
        <v>240</v>
      </c>
      <c r="I209" s="397">
        <v>13</v>
      </c>
      <c r="J209" s="335">
        <v>52000</v>
      </c>
      <c r="K209" s="374">
        <f t="shared" si="8"/>
        <v>0</v>
      </c>
      <c r="L209" s="374">
        <f t="shared" si="9"/>
        <v>52000</v>
      </c>
      <c r="M209" s="369"/>
      <c r="N209" s="288"/>
      <c r="O209" s="288"/>
      <c r="P209" s="288"/>
      <c r="Q209" s="410"/>
      <c r="S209" s="411"/>
      <c r="T209" s="411"/>
      <c r="U209" s="411"/>
      <c r="V209" s="411"/>
    </row>
    <row r="210" spans="1:22" s="385" customFormat="1" ht="27.75" customHeight="1">
      <c r="A210" s="331"/>
      <c r="B210" s="364" t="s">
        <v>876</v>
      </c>
      <c r="C210" s="364"/>
      <c r="D210" s="338"/>
      <c r="E210" s="409"/>
      <c r="F210" s="362"/>
      <c r="G210" s="336"/>
      <c r="H210" s="332"/>
      <c r="I210" s="397"/>
      <c r="J210" s="335"/>
      <c r="K210" s="374">
        <f t="shared" si="8"/>
        <v>0</v>
      </c>
      <c r="L210" s="374">
        <f t="shared" si="9"/>
        <v>0</v>
      </c>
      <c r="M210" s="369"/>
      <c r="N210" s="288"/>
      <c r="O210" s="288"/>
      <c r="P210" s="288"/>
      <c r="Q210" s="410"/>
      <c r="S210" s="411"/>
      <c r="T210" s="411"/>
      <c r="U210" s="411"/>
      <c r="V210" s="411"/>
    </row>
    <row r="211" spans="1:22" s="385" customFormat="1" ht="27.75" customHeight="1">
      <c r="A211" s="331">
        <v>10</v>
      </c>
      <c r="B211" s="364" t="s">
        <v>2857</v>
      </c>
      <c r="C211" s="364" t="s">
        <v>2858</v>
      </c>
      <c r="D211" s="338"/>
      <c r="E211" s="1332" t="s">
        <v>3705</v>
      </c>
      <c r="F211" s="362">
        <v>3</v>
      </c>
      <c r="G211" s="1333">
        <v>9630</v>
      </c>
      <c r="H211" s="332"/>
      <c r="I211" s="397"/>
      <c r="J211" s="335"/>
      <c r="K211" s="374">
        <f t="shared" si="8"/>
        <v>1111.3019999999999</v>
      </c>
      <c r="L211" s="374">
        <f t="shared" si="9"/>
        <v>0</v>
      </c>
      <c r="M211" s="369"/>
      <c r="N211" s="288"/>
      <c r="O211" s="288"/>
      <c r="P211" s="288"/>
      <c r="Q211" s="410"/>
      <c r="S211" s="411"/>
      <c r="T211" s="411"/>
      <c r="U211" s="411"/>
      <c r="V211" s="411"/>
    </row>
    <row r="212" spans="1:22" s="385" customFormat="1" ht="27.75" customHeight="1">
      <c r="A212" s="331"/>
      <c r="B212" s="492"/>
      <c r="C212" s="493"/>
      <c r="D212" s="494"/>
      <c r="E212" s="495"/>
      <c r="F212" s="496"/>
      <c r="G212" s="497"/>
      <c r="H212" s="332"/>
      <c r="I212" s="397"/>
      <c r="J212" s="335"/>
      <c r="K212" s="374">
        <f t="shared" si="8"/>
        <v>0</v>
      </c>
      <c r="L212" s="374">
        <f t="shared" si="9"/>
        <v>0</v>
      </c>
      <c r="M212" s="369"/>
      <c r="N212" s="288"/>
      <c r="O212" s="288"/>
      <c r="P212" s="288"/>
      <c r="Q212" s="410"/>
      <c r="S212" s="411"/>
      <c r="T212" s="411"/>
      <c r="U212" s="411"/>
      <c r="V212" s="411"/>
    </row>
    <row r="213" spans="1:22" s="455" customFormat="1" ht="27.75" customHeight="1">
      <c r="A213" s="450"/>
      <c r="B213" s="444"/>
      <c r="C213" s="498"/>
      <c r="D213" s="446"/>
      <c r="E213" s="453"/>
      <c r="F213" s="458"/>
      <c r="G213" s="386"/>
      <c r="H213" s="444"/>
      <c r="I213" s="458"/>
      <c r="J213" s="453"/>
      <c r="K213" s="374">
        <f t="shared" ref="K213:K269" si="11">G213*11.54/100</f>
        <v>0</v>
      </c>
      <c r="L213" s="374">
        <f t="shared" si="9"/>
        <v>0</v>
      </c>
      <c r="M213" s="451"/>
      <c r="N213" s="452">
        <f>SUM(G196:G213)</f>
        <v>9630</v>
      </c>
      <c r="O213" s="452">
        <f>SUM(J196:J213)</f>
        <v>1592565.7500000002</v>
      </c>
      <c r="P213" s="452">
        <f>+N213+O213</f>
        <v>1602195.7500000002</v>
      </c>
      <c r="Q213" s="452">
        <f>SUM(D196:D213)</f>
        <v>0</v>
      </c>
      <c r="R213" s="452" t="s">
        <v>99</v>
      </c>
      <c r="S213" s="452"/>
      <c r="T213" s="452"/>
      <c r="U213" s="452"/>
      <c r="V213" s="452"/>
    </row>
    <row r="214" spans="1:22" ht="27.75" customHeight="1">
      <c r="B214" s="332" t="s">
        <v>1136</v>
      </c>
      <c r="C214" s="394"/>
      <c r="D214" s="338"/>
      <c r="F214" s="397"/>
      <c r="G214" s="386"/>
      <c r="H214" s="332"/>
      <c r="I214" s="397"/>
      <c r="J214" s="335"/>
      <c r="K214" s="374">
        <f t="shared" si="11"/>
        <v>0</v>
      </c>
      <c r="L214" s="374">
        <f t="shared" si="9"/>
        <v>0</v>
      </c>
      <c r="M214" s="369"/>
      <c r="R214" s="289"/>
      <c r="S214" s="289"/>
      <c r="T214" s="289"/>
      <c r="U214" s="289"/>
      <c r="V214" s="289"/>
    </row>
    <row r="215" spans="1:22" ht="27.75" customHeight="1">
      <c r="B215" s="332"/>
      <c r="C215" s="394"/>
      <c r="D215" s="338"/>
      <c r="F215" s="397"/>
      <c r="G215" s="386"/>
      <c r="H215" s="332"/>
      <c r="I215" s="397"/>
      <c r="J215" s="335"/>
      <c r="K215" s="374">
        <f t="shared" si="11"/>
        <v>0</v>
      </c>
      <c r="L215" s="374">
        <f t="shared" si="9"/>
        <v>0</v>
      </c>
      <c r="M215" s="369"/>
      <c r="R215" s="289"/>
      <c r="S215" s="289"/>
      <c r="T215" s="289"/>
      <c r="U215" s="289"/>
      <c r="V215" s="289"/>
    </row>
    <row r="216" spans="1:22" ht="27.75" customHeight="1">
      <c r="B216" s="332"/>
      <c r="C216" s="394"/>
      <c r="D216" s="338"/>
      <c r="F216" s="397"/>
      <c r="G216" s="386"/>
      <c r="H216" s="332"/>
      <c r="I216" s="397"/>
      <c r="J216" s="335"/>
      <c r="K216" s="374">
        <f t="shared" si="11"/>
        <v>0</v>
      </c>
      <c r="L216" s="374">
        <f t="shared" si="9"/>
        <v>0</v>
      </c>
      <c r="M216" s="369"/>
      <c r="R216" s="289"/>
      <c r="S216" s="289"/>
      <c r="T216" s="289"/>
      <c r="U216" s="289"/>
      <c r="V216" s="289"/>
    </row>
    <row r="217" spans="1:22" s="455" customFormat="1" ht="27.75" customHeight="1">
      <c r="A217" s="450"/>
      <c r="B217" s="444"/>
      <c r="C217" s="498"/>
      <c r="D217" s="446"/>
      <c r="E217" s="453"/>
      <c r="F217" s="458"/>
      <c r="G217" s="499"/>
      <c r="H217" s="444"/>
      <c r="I217" s="458"/>
      <c r="J217" s="453"/>
      <c r="K217" s="374">
        <f t="shared" si="11"/>
        <v>0</v>
      </c>
      <c r="L217" s="374">
        <f t="shared" si="9"/>
        <v>0</v>
      </c>
      <c r="M217" s="451"/>
      <c r="N217" s="452">
        <f>SUM(G214:G217)</f>
        <v>0</v>
      </c>
      <c r="O217" s="452">
        <f>SUM(J214:J217)</f>
        <v>0</v>
      </c>
      <c r="P217" s="452">
        <f>+N217+O217</f>
        <v>0</v>
      </c>
      <c r="Q217" s="452">
        <f>SUM(D214:D217)</f>
        <v>0</v>
      </c>
      <c r="R217" s="452" t="s">
        <v>1136</v>
      </c>
      <c r="S217" s="452"/>
      <c r="T217" s="452"/>
      <c r="U217" s="452"/>
      <c r="V217" s="452"/>
    </row>
    <row r="218" spans="1:22" ht="27.75" customHeight="1">
      <c r="B218" s="332" t="s">
        <v>1135</v>
      </c>
      <c r="C218" s="394"/>
      <c r="D218" s="338"/>
      <c r="F218" s="397"/>
      <c r="G218" s="386"/>
      <c r="H218" s="332"/>
      <c r="I218" s="397"/>
      <c r="J218" s="335"/>
      <c r="K218" s="374">
        <f t="shared" si="11"/>
        <v>0</v>
      </c>
      <c r="L218" s="374">
        <f t="shared" si="9"/>
        <v>0</v>
      </c>
      <c r="M218" s="369"/>
      <c r="R218" s="289"/>
      <c r="S218" s="289"/>
      <c r="T218" s="289"/>
      <c r="U218" s="289"/>
      <c r="V218" s="289"/>
    </row>
    <row r="219" spans="1:22" ht="27.75" customHeight="1">
      <c r="B219" s="500"/>
      <c r="C219" s="501"/>
      <c r="D219" s="502"/>
      <c r="E219" s="503"/>
      <c r="F219" s="476"/>
      <c r="G219" s="504"/>
      <c r="H219" s="332"/>
      <c r="I219" s="397"/>
      <c r="J219" s="335"/>
      <c r="K219" s="374">
        <f t="shared" si="11"/>
        <v>0</v>
      </c>
      <c r="L219" s="374">
        <f t="shared" si="9"/>
        <v>0</v>
      </c>
      <c r="M219" s="369"/>
      <c r="R219" s="289"/>
      <c r="S219" s="289"/>
      <c r="T219" s="289"/>
      <c r="U219" s="289"/>
      <c r="V219" s="289"/>
    </row>
    <row r="220" spans="1:22" ht="27.75" customHeight="1">
      <c r="B220" s="332"/>
      <c r="C220" s="394"/>
      <c r="D220" s="338"/>
      <c r="E220" s="505"/>
      <c r="F220" s="397"/>
      <c r="G220" s="386"/>
      <c r="H220" s="332"/>
      <c r="I220" s="397"/>
      <c r="J220" s="335"/>
      <c r="K220" s="374">
        <f t="shared" si="11"/>
        <v>0</v>
      </c>
      <c r="L220" s="374">
        <f t="shared" si="9"/>
        <v>0</v>
      </c>
      <c r="M220" s="369"/>
      <c r="N220" s="332"/>
      <c r="R220" s="289"/>
      <c r="S220" s="289"/>
      <c r="T220" s="289"/>
      <c r="U220" s="289"/>
      <c r="V220" s="289"/>
    </row>
    <row r="221" spans="1:22" s="455" customFormat="1" ht="27.75" customHeight="1">
      <c r="A221" s="450"/>
      <c r="B221" s="444"/>
      <c r="C221" s="498"/>
      <c r="D221" s="446"/>
      <c r="E221" s="453"/>
      <c r="F221" s="458"/>
      <c r="G221" s="499"/>
      <c r="H221" s="444"/>
      <c r="I221" s="458"/>
      <c r="J221" s="453"/>
      <c r="K221" s="374">
        <f t="shared" si="11"/>
        <v>0</v>
      </c>
      <c r="L221" s="374">
        <f t="shared" si="9"/>
        <v>0</v>
      </c>
      <c r="M221" s="451"/>
      <c r="N221" s="452">
        <f>SUM(G219:G221)</f>
        <v>0</v>
      </c>
      <c r="O221" s="452">
        <f>SUM(J219:J221)</f>
        <v>0</v>
      </c>
      <c r="P221" s="452">
        <f>+N221+O221</f>
        <v>0</v>
      </c>
      <c r="Q221" s="452">
        <f>SUM(D219:D221)</f>
        <v>0</v>
      </c>
      <c r="R221" s="452" t="s">
        <v>1135</v>
      </c>
      <c r="S221" s="452"/>
      <c r="T221" s="452"/>
      <c r="U221" s="452"/>
      <c r="V221" s="452"/>
    </row>
    <row r="222" spans="1:22" ht="27.75" customHeight="1">
      <c r="B222" s="332" t="s">
        <v>1133</v>
      </c>
      <c r="C222" s="364"/>
      <c r="D222" s="338"/>
      <c r="F222" s="397"/>
      <c r="G222" s="386"/>
      <c r="H222" s="364"/>
      <c r="I222" s="362"/>
      <c r="J222" s="335"/>
      <c r="K222" s="374">
        <f t="shared" si="11"/>
        <v>0</v>
      </c>
      <c r="L222" s="374">
        <f t="shared" si="9"/>
        <v>0</v>
      </c>
      <c r="M222" s="369"/>
      <c r="R222" s="289"/>
      <c r="S222" s="289"/>
      <c r="T222" s="289"/>
      <c r="U222" s="289"/>
      <c r="V222" s="289"/>
    </row>
    <row r="223" spans="1:22" ht="27.75" customHeight="1">
      <c r="B223" s="506"/>
      <c r="C223" s="507"/>
      <c r="D223" s="502"/>
      <c r="E223" s="396"/>
      <c r="F223" s="476"/>
      <c r="G223" s="396"/>
      <c r="H223" s="364"/>
      <c r="I223" s="362"/>
      <c r="J223" s="335"/>
      <c r="K223" s="374"/>
      <c r="L223" s="374">
        <f t="shared" si="9"/>
        <v>0</v>
      </c>
      <c r="M223" s="369"/>
      <c r="R223" s="289"/>
      <c r="S223" s="289"/>
      <c r="T223" s="289"/>
      <c r="U223" s="289"/>
      <c r="V223" s="289"/>
    </row>
    <row r="224" spans="1:22" ht="27.75" customHeight="1">
      <c r="B224" s="506"/>
      <c r="C224" s="507"/>
      <c r="D224" s="502"/>
      <c r="E224" s="396"/>
      <c r="F224" s="476"/>
      <c r="G224" s="396"/>
      <c r="H224" s="364"/>
      <c r="I224" s="362"/>
      <c r="J224" s="335"/>
      <c r="K224" s="374"/>
      <c r="L224" s="374">
        <f t="shared" si="9"/>
        <v>0</v>
      </c>
      <c r="M224" s="369"/>
      <c r="R224" s="289"/>
      <c r="S224" s="289"/>
      <c r="T224" s="289"/>
      <c r="U224" s="289"/>
      <c r="V224" s="289"/>
    </row>
    <row r="225" spans="1:22" s="455" customFormat="1" ht="27.75" customHeight="1">
      <c r="A225" s="450"/>
      <c r="B225" s="444"/>
      <c r="C225" s="508"/>
      <c r="D225" s="446"/>
      <c r="E225" s="509"/>
      <c r="F225" s="510"/>
      <c r="G225" s="511"/>
      <c r="H225" s="444"/>
      <c r="I225" s="458"/>
      <c r="J225" s="453"/>
      <c r="K225" s="374">
        <f t="shared" si="11"/>
        <v>0</v>
      </c>
      <c r="L225" s="374">
        <f t="shared" si="9"/>
        <v>0</v>
      </c>
      <c r="M225" s="451"/>
      <c r="N225" s="452">
        <f>SUM(G223:G225)</f>
        <v>0</v>
      </c>
      <c r="O225" s="452">
        <f>SUM(J223:J225)</f>
        <v>0</v>
      </c>
      <c r="P225" s="452">
        <f>+N225+O225</f>
        <v>0</v>
      </c>
      <c r="Q225" s="452">
        <f>SUM(D223:D225)</f>
        <v>0</v>
      </c>
      <c r="R225" s="452" t="s">
        <v>1133</v>
      </c>
      <c r="S225" s="452"/>
      <c r="T225" s="452"/>
      <c r="U225" s="452"/>
      <c r="V225" s="452"/>
    </row>
    <row r="226" spans="1:22" s="385" customFormat="1" ht="27.75" customHeight="1">
      <c r="A226" s="331"/>
      <c r="B226" s="387" t="s">
        <v>986</v>
      </c>
      <c r="C226" s="512"/>
      <c r="D226" s="513"/>
      <c r="E226" s="335"/>
      <c r="F226" s="397"/>
      <c r="G226" s="386"/>
      <c r="H226" s="332"/>
      <c r="I226" s="397"/>
      <c r="J226" s="335"/>
      <c r="K226" s="374">
        <f t="shared" si="11"/>
        <v>0</v>
      </c>
      <c r="L226" s="374">
        <f t="shared" si="9"/>
        <v>0</v>
      </c>
      <c r="M226" s="369"/>
      <c r="N226" s="288"/>
      <c r="O226" s="288"/>
      <c r="P226" s="288"/>
      <c r="Q226" s="288"/>
      <c r="R226" s="288"/>
      <c r="S226" s="291"/>
      <c r="T226" s="291"/>
      <c r="U226" s="291"/>
      <c r="V226" s="291"/>
    </row>
    <row r="227" spans="1:22" s="423" customFormat="1" ht="27.75" customHeight="1">
      <c r="A227" s="412">
        <v>1</v>
      </c>
      <c r="B227" s="413" t="s">
        <v>179</v>
      </c>
      <c r="C227" s="514" t="s">
        <v>97</v>
      </c>
      <c r="D227" s="421"/>
      <c r="E227" s="421"/>
      <c r="F227" s="462"/>
      <c r="G227" s="461"/>
      <c r="H227" s="413" t="s">
        <v>269</v>
      </c>
      <c r="I227" s="462">
        <v>16</v>
      </c>
      <c r="J227" s="421">
        <v>10272</v>
      </c>
      <c r="K227" s="415">
        <f t="shared" si="11"/>
        <v>0</v>
      </c>
      <c r="L227" s="415">
        <f t="shared" si="9"/>
        <v>10272</v>
      </c>
      <c r="M227" s="419"/>
      <c r="N227" s="420"/>
      <c r="O227" s="420"/>
      <c r="P227" s="420"/>
      <c r="Q227" s="420"/>
      <c r="R227" s="420"/>
      <c r="S227" s="420"/>
      <c r="T227" s="420"/>
      <c r="U227" s="420"/>
      <c r="V227" s="420"/>
    </row>
    <row r="228" spans="1:22" s="455" customFormat="1" ht="27.75" customHeight="1">
      <c r="A228" s="450"/>
      <c r="B228" s="444"/>
      <c r="C228" s="457"/>
      <c r="D228" s="453"/>
      <c r="E228" s="453"/>
      <c r="F228" s="458"/>
      <c r="G228" s="386"/>
      <c r="H228" s="444"/>
      <c r="I228" s="458"/>
      <c r="J228" s="453"/>
      <c r="K228" s="374">
        <f t="shared" si="11"/>
        <v>0</v>
      </c>
      <c r="L228" s="374">
        <f t="shared" si="9"/>
        <v>0</v>
      </c>
      <c r="M228" s="451"/>
      <c r="N228" s="452">
        <f>SUM(G227:G228)</f>
        <v>0</v>
      </c>
      <c r="O228" s="452">
        <f>SUM(J227:J228)</f>
        <v>10272</v>
      </c>
      <c r="P228" s="452">
        <f>+O228+N228</f>
        <v>10272</v>
      </c>
      <c r="Q228" s="452">
        <f>SUM(D227:D228)</f>
        <v>0</v>
      </c>
      <c r="R228" s="452" t="s">
        <v>205</v>
      </c>
      <c r="S228" s="452"/>
      <c r="T228" s="452"/>
      <c r="U228" s="452"/>
      <c r="V228" s="452"/>
    </row>
    <row r="229" spans="1:22" ht="27.75" customHeight="1">
      <c r="B229" s="332" t="s">
        <v>492</v>
      </c>
      <c r="C229" s="393"/>
      <c r="D229" s="335"/>
      <c r="F229" s="397"/>
      <c r="G229" s="386"/>
      <c r="H229" s="332"/>
      <c r="I229" s="397"/>
      <c r="J229" s="335"/>
      <c r="K229" s="374">
        <f t="shared" si="11"/>
        <v>0</v>
      </c>
      <c r="L229" s="374">
        <f t="shared" si="9"/>
        <v>0</v>
      </c>
      <c r="M229" s="369"/>
      <c r="R229" s="289"/>
      <c r="S229" s="289"/>
      <c r="T229" s="289"/>
      <c r="U229" s="289"/>
      <c r="V229" s="289"/>
    </row>
    <row r="230" spans="1:22" ht="27.75" customHeight="1">
      <c r="A230" s="331">
        <v>1</v>
      </c>
      <c r="B230" s="332" t="s">
        <v>82</v>
      </c>
      <c r="C230" s="393" t="s">
        <v>45</v>
      </c>
      <c r="D230" s="338"/>
      <c r="H230" s="373" t="s">
        <v>262</v>
      </c>
      <c r="J230" s="382">
        <v>1703129.9</v>
      </c>
      <c r="K230" s="374">
        <f t="shared" si="11"/>
        <v>0</v>
      </c>
      <c r="L230" s="374">
        <f t="shared" si="9"/>
        <v>1703129.9</v>
      </c>
      <c r="M230" s="369"/>
      <c r="R230" s="515"/>
      <c r="U230" s="291">
        <f t="shared" ref="U230:U236" si="12">+J230</f>
        <v>1703129.9</v>
      </c>
    </row>
    <row r="231" spans="1:22" s="385" customFormat="1" ht="27.75" customHeight="1">
      <c r="A231" s="331">
        <v>2</v>
      </c>
      <c r="B231" s="332" t="s">
        <v>84</v>
      </c>
      <c r="C231" s="395" t="s">
        <v>45</v>
      </c>
      <c r="D231" s="338"/>
      <c r="E231" s="382"/>
      <c r="F231" s="379"/>
      <c r="G231" s="386"/>
      <c r="H231" s="373" t="s">
        <v>262</v>
      </c>
      <c r="I231" s="331"/>
      <c r="J231" s="382">
        <v>247018.67</v>
      </c>
      <c r="K231" s="374">
        <f t="shared" si="11"/>
        <v>0</v>
      </c>
      <c r="L231" s="374">
        <f t="shared" si="9"/>
        <v>247018.67</v>
      </c>
      <c r="M231" s="369"/>
      <c r="N231" s="288"/>
      <c r="O231" s="288"/>
      <c r="P231" s="288"/>
      <c r="Q231" s="288"/>
      <c r="R231" s="516"/>
      <c r="S231" s="291"/>
      <c r="T231" s="291"/>
      <c r="U231" s="291">
        <f t="shared" si="12"/>
        <v>247018.67</v>
      </c>
      <c r="V231" s="291"/>
    </row>
    <row r="232" spans="1:22" s="408" customFormat="1" ht="27.75" customHeight="1">
      <c r="A232" s="331">
        <v>3</v>
      </c>
      <c r="B232" s="399" t="s">
        <v>85</v>
      </c>
      <c r="C232" s="517" t="s">
        <v>45</v>
      </c>
      <c r="D232" s="401"/>
      <c r="E232" s="402"/>
      <c r="F232" s="398"/>
      <c r="G232" s="403"/>
      <c r="H232" s="518" t="s">
        <v>262</v>
      </c>
      <c r="I232" s="398"/>
      <c r="J232" s="401">
        <v>2158473.5499999998</v>
      </c>
      <c r="K232" s="401">
        <f t="shared" si="11"/>
        <v>0</v>
      </c>
      <c r="L232" s="374">
        <f t="shared" si="9"/>
        <v>2158473.5499999998</v>
      </c>
      <c r="M232" s="406"/>
      <c r="N232" s="407"/>
      <c r="O232" s="407"/>
      <c r="P232" s="407"/>
      <c r="Q232" s="407"/>
      <c r="R232" s="519"/>
      <c r="S232" s="407"/>
      <c r="T232" s="407"/>
      <c r="U232" s="407">
        <f t="shared" si="12"/>
        <v>2158473.5499999998</v>
      </c>
      <c r="V232" s="407"/>
    </row>
    <row r="233" spans="1:22" s="385" customFormat="1" ht="27.75" customHeight="1">
      <c r="A233" s="331">
        <v>4</v>
      </c>
      <c r="B233" s="332" t="s">
        <v>94</v>
      </c>
      <c r="C233" s="395" t="s">
        <v>45</v>
      </c>
      <c r="D233" s="338"/>
      <c r="E233" s="335"/>
      <c r="F233" s="331"/>
      <c r="G233" s="336"/>
      <c r="H233" s="373" t="s">
        <v>265</v>
      </c>
      <c r="I233" s="331"/>
      <c r="J233" s="338">
        <v>1228850.25</v>
      </c>
      <c r="K233" s="374">
        <f t="shared" si="11"/>
        <v>0</v>
      </c>
      <c r="L233" s="374">
        <f t="shared" si="9"/>
        <v>1228850.25</v>
      </c>
      <c r="M233" s="369"/>
      <c r="N233" s="288"/>
      <c r="O233" s="288"/>
      <c r="P233" s="288"/>
      <c r="Q233" s="288"/>
      <c r="R233" s="516"/>
      <c r="S233" s="291"/>
      <c r="T233" s="291"/>
      <c r="U233" s="291">
        <f t="shared" si="12"/>
        <v>1228850.25</v>
      </c>
      <c r="V233" s="291"/>
    </row>
    <row r="234" spans="1:22" s="385" customFormat="1" ht="27.75" customHeight="1">
      <c r="A234" s="331">
        <v>5</v>
      </c>
      <c r="B234" s="332" t="s">
        <v>86</v>
      </c>
      <c r="C234" s="395" t="s">
        <v>45</v>
      </c>
      <c r="D234" s="338"/>
      <c r="E234" s="335"/>
      <c r="F234" s="331"/>
      <c r="G234" s="336"/>
      <c r="H234" s="373" t="s">
        <v>262</v>
      </c>
      <c r="I234" s="331"/>
      <c r="J234" s="338">
        <v>3068293.69</v>
      </c>
      <c r="K234" s="374">
        <f t="shared" si="11"/>
        <v>0</v>
      </c>
      <c r="L234" s="374">
        <f t="shared" si="9"/>
        <v>3068293.69</v>
      </c>
      <c r="M234" s="369"/>
      <c r="N234" s="288"/>
      <c r="O234" s="288"/>
      <c r="P234" s="288"/>
      <c r="Q234" s="288"/>
      <c r="R234" s="516"/>
      <c r="S234" s="291"/>
      <c r="T234" s="291"/>
      <c r="U234" s="291">
        <f t="shared" si="12"/>
        <v>3068293.69</v>
      </c>
      <c r="V234" s="291"/>
    </row>
    <row r="235" spans="1:22" s="385" customFormat="1" ht="27.75" customHeight="1">
      <c r="A235" s="331">
        <v>6</v>
      </c>
      <c r="B235" s="332" t="s">
        <v>16</v>
      </c>
      <c r="C235" s="395" t="s">
        <v>45</v>
      </c>
      <c r="D235" s="338"/>
      <c r="E235" s="335"/>
      <c r="F235" s="331"/>
      <c r="G235" s="336"/>
      <c r="H235" s="373" t="s">
        <v>262</v>
      </c>
      <c r="I235" s="331"/>
      <c r="J235" s="338">
        <v>2346359.59</v>
      </c>
      <c r="K235" s="374">
        <f t="shared" si="11"/>
        <v>0</v>
      </c>
      <c r="L235" s="374">
        <f t="shared" ref="L235:L257" si="13">+J235</f>
        <v>2346359.59</v>
      </c>
      <c r="M235" s="369"/>
      <c r="N235" s="288"/>
      <c r="O235" s="288"/>
      <c r="P235" s="288"/>
      <c r="Q235" s="288"/>
      <c r="R235" s="516"/>
      <c r="S235" s="291"/>
      <c r="T235" s="291"/>
      <c r="U235" s="291">
        <f t="shared" si="12"/>
        <v>2346359.59</v>
      </c>
      <c r="V235" s="291"/>
    </row>
    <row r="236" spans="1:22" ht="27.75" customHeight="1">
      <c r="A236" s="331">
        <v>7</v>
      </c>
      <c r="B236" s="332" t="s">
        <v>87</v>
      </c>
      <c r="C236" s="393" t="s">
        <v>45</v>
      </c>
      <c r="D236" s="334"/>
      <c r="H236" s="332" t="s">
        <v>262</v>
      </c>
      <c r="I236" s="397"/>
      <c r="J236" s="335">
        <v>1754324.96</v>
      </c>
      <c r="K236" s="374">
        <f t="shared" si="11"/>
        <v>0</v>
      </c>
      <c r="L236" s="374">
        <f t="shared" si="13"/>
        <v>1754324.96</v>
      </c>
      <c r="M236" s="369"/>
      <c r="N236" s="335"/>
      <c r="R236" s="515"/>
      <c r="U236" s="291">
        <f t="shared" si="12"/>
        <v>1754324.96</v>
      </c>
    </row>
    <row r="237" spans="1:22" ht="27.75" customHeight="1">
      <c r="A237" s="331">
        <v>8</v>
      </c>
      <c r="B237" s="332" t="s">
        <v>15</v>
      </c>
      <c r="C237" s="393" t="s">
        <v>45</v>
      </c>
      <c r="D237" s="334"/>
      <c r="H237" s="332" t="s">
        <v>262</v>
      </c>
      <c r="I237" s="397"/>
      <c r="J237" s="335">
        <v>1167344.6299999999</v>
      </c>
      <c r="K237" s="374">
        <v>0</v>
      </c>
      <c r="L237" s="374">
        <f t="shared" si="13"/>
        <v>1167344.6299999999</v>
      </c>
      <c r="M237" s="369"/>
      <c r="Q237" s="489"/>
      <c r="R237" s="520"/>
      <c r="S237" s="297"/>
    </row>
    <row r="238" spans="1:22" ht="27.75" customHeight="1" thickBot="1">
      <c r="B238" s="332"/>
      <c r="C238" s="393"/>
      <c r="D238" s="334"/>
      <c r="H238" s="332"/>
      <c r="I238" s="397"/>
      <c r="J238" s="335"/>
      <c r="K238" s="374"/>
      <c r="L238" s="374">
        <f t="shared" si="13"/>
        <v>0</v>
      </c>
      <c r="M238" s="369"/>
      <c r="Q238" s="410"/>
      <c r="R238" s="411"/>
      <c r="S238" s="297"/>
    </row>
    <row r="239" spans="1:22" s="455" customFormat="1" ht="27.75" customHeight="1" thickTop="1" thickBot="1">
      <c r="A239" s="450"/>
      <c r="B239" s="444"/>
      <c r="C239" s="457"/>
      <c r="D239" s="446"/>
      <c r="E239" s="453"/>
      <c r="F239" s="450"/>
      <c r="G239" s="336"/>
      <c r="H239" s="444"/>
      <c r="I239" s="458"/>
      <c r="J239" s="453"/>
      <c r="K239" s="374">
        <f t="shared" si="11"/>
        <v>0</v>
      </c>
      <c r="L239" s="374">
        <f t="shared" si="13"/>
        <v>0</v>
      </c>
      <c r="M239" s="451"/>
      <c r="N239" s="452">
        <f>SUM(G230:G239)</f>
        <v>0</v>
      </c>
      <c r="O239" s="452">
        <f>SUM(J230:J239)</f>
        <v>13673795.239999998</v>
      </c>
      <c r="P239" s="452">
        <f>+N239+O239</f>
        <v>13673795.239999998</v>
      </c>
      <c r="Q239" s="481">
        <f>SUM(D230:D239)</f>
        <v>0</v>
      </c>
      <c r="R239" s="521" t="s">
        <v>492</v>
      </c>
      <c r="S239" s="483"/>
      <c r="T239" s="452"/>
      <c r="U239" s="452">
        <f>+J239</f>
        <v>0</v>
      </c>
      <c r="V239" s="452"/>
    </row>
    <row r="240" spans="1:22" ht="27.75" customHeight="1" thickTop="1">
      <c r="B240" s="332" t="s">
        <v>890</v>
      </c>
      <c r="C240" s="393"/>
      <c r="D240" s="338"/>
      <c r="H240" s="332"/>
      <c r="I240" s="397"/>
      <c r="J240" s="335"/>
      <c r="K240" s="374">
        <f t="shared" si="11"/>
        <v>0</v>
      </c>
      <c r="L240" s="374">
        <f t="shared" si="13"/>
        <v>0</v>
      </c>
      <c r="M240" s="369"/>
      <c r="Q240" s="478"/>
      <c r="R240" s="489"/>
      <c r="S240" s="287"/>
      <c r="T240" s="289"/>
      <c r="U240" s="289"/>
      <c r="V240" s="289"/>
    </row>
    <row r="241" spans="1:22" ht="27.75" customHeight="1">
      <c r="B241" s="332"/>
      <c r="C241" s="393"/>
      <c r="D241" s="338"/>
      <c r="H241" s="332"/>
      <c r="I241" s="397"/>
      <c r="J241" s="335"/>
      <c r="K241" s="374"/>
      <c r="L241" s="374">
        <f t="shared" si="13"/>
        <v>0</v>
      </c>
      <c r="M241" s="369"/>
      <c r="Q241" s="478"/>
      <c r="R241" s="489"/>
      <c r="S241" s="287"/>
      <c r="T241" s="289"/>
      <c r="U241" s="289"/>
      <c r="V241" s="289"/>
    </row>
    <row r="242" spans="1:22" ht="27.75" customHeight="1">
      <c r="B242" s="332"/>
      <c r="C242" s="393"/>
      <c r="D242" s="338"/>
      <c r="H242" s="332"/>
      <c r="I242" s="397"/>
      <c r="J242" s="335"/>
      <c r="K242" s="374">
        <f t="shared" si="11"/>
        <v>0</v>
      </c>
      <c r="L242" s="374">
        <f t="shared" si="13"/>
        <v>0</v>
      </c>
      <c r="M242" s="369"/>
      <c r="Q242" s="478"/>
      <c r="R242" s="489"/>
      <c r="S242" s="287"/>
      <c r="T242" s="289"/>
      <c r="U242" s="289"/>
      <c r="V242" s="289"/>
    </row>
    <row r="243" spans="1:22" s="455" customFormat="1" ht="27.75" customHeight="1">
      <c r="A243" s="450"/>
      <c r="B243" s="444"/>
      <c r="C243" s="457"/>
      <c r="D243" s="446"/>
      <c r="E243" s="453"/>
      <c r="F243" s="450"/>
      <c r="G243" s="522"/>
      <c r="H243" s="444"/>
      <c r="I243" s="458"/>
      <c r="J243" s="453"/>
      <c r="K243" s="374">
        <f t="shared" si="11"/>
        <v>0</v>
      </c>
      <c r="L243" s="374">
        <f t="shared" si="13"/>
        <v>0</v>
      </c>
      <c r="M243" s="451"/>
      <c r="N243" s="452">
        <f>SUM(G241:G243)</f>
        <v>0</v>
      </c>
      <c r="O243" s="452">
        <f>SUM(J241:J243)</f>
        <v>0</v>
      </c>
      <c r="P243" s="452">
        <f>SUM(N243:O243)</f>
        <v>0</v>
      </c>
      <c r="Q243" s="481">
        <f>SUM(D240:D243)</f>
        <v>0</v>
      </c>
      <c r="R243" s="523" t="s">
        <v>890</v>
      </c>
      <c r="S243" s="483"/>
      <c r="T243" s="452"/>
      <c r="U243" s="452"/>
      <c r="V243" s="452"/>
    </row>
    <row r="244" spans="1:22" s="385" customFormat="1" ht="27.75" customHeight="1">
      <c r="A244" s="331"/>
      <c r="B244" s="524" t="s">
        <v>223</v>
      </c>
      <c r="C244" s="395"/>
      <c r="D244" s="338"/>
      <c r="E244" s="335"/>
      <c r="F244" s="331"/>
      <c r="G244" s="336"/>
      <c r="H244" s="332"/>
      <c r="I244" s="397"/>
      <c r="J244" s="335"/>
      <c r="K244" s="374">
        <f t="shared" si="11"/>
        <v>0</v>
      </c>
      <c r="L244" s="374">
        <f t="shared" si="13"/>
        <v>0</v>
      </c>
      <c r="M244" s="369"/>
      <c r="N244" s="289"/>
      <c r="O244" s="289"/>
      <c r="P244" s="289"/>
      <c r="Q244" s="288" t="s">
        <v>1260</v>
      </c>
      <c r="R244" s="288"/>
      <c r="S244" s="291"/>
      <c r="T244" s="291"/>
      <c r="U244" s="291">
        <f>+J244</f>
        <v>0</v>
      </c>
      <c r="V244" s="291"/>
    </row>
    <row r="245" spans="1:22" s="385" customFormat="1" ht="27.75" customHeight="1">
      <c r="A245" s="331">
        <v>1</v>
      </c>
      <c r="B245" s="332" t="s">
        <v>15</v>
      </c>
      <c r="C245" s="395" t="s">
        <v>223</v>
      </c>
      <c r="D245" s="338"/>
      <c r="E245" s="335"/>
      <c r="F245" s="331"/>
      <c r="G245" s="336"/>
      <c r="H245" s="373" t="s">
        <v>334</v>
      </c>
      <c r="I245" s="331"/>
      <c r="J245" s="338">
        <v>34063</v>
      </c>
      <c r="K245" s="374">
        <f t="shared" si="11"/>
        <v>0</v>
      </c>
      <c r="L245" s="374">
        <f t="shared" si="13"/>
        <v>34063</v>
      </c>
      <c r="M245" s="369"/>
      <c r="N245" s="289"/>
      <c r="O245" s="289"/>
      <c r="P245" s="289"/>
      <c r="Q245" s="288"/>
      <c r="R245" s="288"/>
      <c r="S245" s="291"/>
      <c r="T245" s="291"/>
      <c r="U245" s="291">
        <f>+J245</f>
        <v>34063</v>
      </c>
      <c r="V245" s="291"/>
    </row>
    <row r="246" spans="1:22" s="385" customFormat="1" ht="27.6" customHeight="1">
      <c r="A246" s="331">
        <v>2</v>
      </c>
      <c r="B246" s="332" t="s">
        <v>320</v>
      </c>
      <c r="C246" s="395" t="s">
        <v>335</v>
      </c>
      <c r="D246" s="338"/>
      <c r="E246" s="335"/>
      <c r="F246" s="331"/>
      <c r="G246" s="336"/>
      <c r="H246" s="373" t="s">
        <v>322</v>
      </c>
      <c r="I246" s="331"/>
      <c r="J246" s="338">
        <v>4480.8100000000004</v>
      </c>
      <c r="K246" s="374">
        <f t="shared" si="11"/>
        <v>0</v>
      </c>
      <c r="L246" s="374">
        <f t="shared" si="13"/>
        <v>4480.8100000000004</v>
      </c>
      <c r="M246" s="369"/>
      <c r="N246" s="289"/>
      <c r="O246" s="289"/>
      <c r="P246" s="289"/>
      <c r="Q246" s="288"/>
      <c r="R246" s="288"/>
      <c r="S246" s="291"/>
      <c r="T246" s="291"/>
      <c r="U246" s="291">
        <f>+J246</f>
        <v>4480.8100000000004</v>
      </c>
      <c r="V246" s="291"/>
    </row>
    <row r="247" spans="1:22" s="385" customFormat="1" ht="27.75" customHeight="1">
      <c r="A247" s="331">
        <v>3</v>
      </c>
      <c r="B247" s="332" t="s">
        <v>312</v>
      </c>
      <c r="C247" s="395" t="s">
        <v>336</v>
      </c>
      <c r="D247" s="338"/>
      <c r="E247" s="335"/>
      <c r="F247" s="331"/>
      <c r="G247" s="336"/>
      <c r="H247" s="373" t="s">
        <v>324</v>
      </c>
      <c r="I247" s="331"/>
      <c r="J247" s="338">
        <v>10558.31</v>
      </c>
      <c r="K247" s="374">
        <f t="shared" si="11"/>
        <v>0</v>
      </c>
      <c r="L247" s="374">
        <f t="shared" si="13"/>
        <v>10558.31</v>
      </c>
      <c r="M247" s="369"/>
      <c r="N247" s="289"/>
      <c r="O247" s="289"/>
      <c r="P247" s="289"/>
      <c r="Q247" s="288"/>
      <c r="R247" s="288"/>
      <c r="S247" s="291"/>
      <c r="T247" s="291"/>
      <c r="U247" s="291">
        <f>+J247</f>
        <v>10558.31</v>
      </c>
      <c r="V247" s="291"/>
    </row>
    <row r="248" spans="1:22" s="385" customFormat="1" ht="27.75" customHeight="1">
      <c r="A248" s="331">
        <v>4</v>
      </c>
      <c r="B248" s="332" t="s">
        <v>337</v>
      </c>
      <c r="C248" s="395" t="s">
        <v>338</v>
      </c>
      <c r="D248" s="338"/>
      <c r="E248" s="335"/>
      <c r="F248" s="331"/>
      <c r="G248" s="336"/>
      <c r="H248" s="373" t="s">
        <v>339</v>
      </c>
      <c r="I248" s="331"/>
      <c r="J248" s="338">
        <v>9844</v>
      </c>
      <c r="K248" s="374">
        <f t="shared" si="11"/>
        <v>0</v>
      </c>
      <c r="L248" s="374">
        <f t="shared" si="13"/>
        <v>9844</v>
      </c>
      <c r="M248" s="369"/>
      <c r="N248" s="289"/>
      <c r="O248" s="289"/>
      <c r="P248" s="289"/>
      <c r="Q248" s="288"/>
      <c r="R248" s="288"/>
      <c r="S248" s="291"/>
      <c r="T248" s="291"/>
      <c r="U248" s="291">
        <f>+J248</f>
        <v>9844</v>
      </c>
      <c r="V248" s="291"/>
    </row>
    <row r="249" spans="1:22" s="525" customFormat="1" ht="27.75" customHeight="1">
      <c r="A249" s="331">
        <v>5</v>
      </c>
      <c r="B249" s="332" t="s">
        <v>3330</v>
      </c>
      <c r="C249" s="395" t="s">
        <v>341</v>
      </c>
      <c r="D249" s="338"/>
      <c r="E249" s="335"/>
      <c r="F249" s="331"/>
      <c r="G249" s="336"/>
      <c r="H249" s="373" t="s">
        <v>342</v>
      </c>
      <c r="I249" s="331"/>
      <c r="J249" s="338">
        <v>10815.19</v>
      </c>
      <c r="K249" s="374">
        <f t="shared" si="11"/>
        <v>0</v>
      </c>
      <c r="L249" s="374">
        <f t="shared" si="13"/>
        <v>10815.19</v>
      </c>
      <c r="M249" s="488"/>
      <c r="N249" s="289"/>
      <c r="O249" s="289"/>
      <c r="P249" s="289"/>
      <c r="Q249" s="463"/>
      <c r="R249" s="463"/>
      <c r="S249" s="490"/>
      <c r="T249" s="490"/>
      <c r="U249" s="490"/>
      <c r="V249" s="490"/>
    </row>
    <row r="250" spans="1:22" s="1344" customFormat="1" ht="27.75" customHeight="1">
      <c r="A250" s="1334">
        <v>6</v>
      </c>
      <c r="B250" s="1335" t="s">
        <v>2015</v>
      </c>
      <c r="C250" s="1336" t="s">
        <v>2037</v>
      </c>
      <c r="D250" s="1337"/>
      <c r="E250" s="1338"/>
      <c r="F250" s="1334"/>
      <c r="G250" s="1339"/>
      <c r="H250" s="1340" t="s">
        <v>2097</v>
      </c>
      <c r="I250" s="1334">
        <v>1</v>
      </c>
      <c r="J250" s="1337">
        <v>304800</v>
      </c>
      <c r="K250" s="1337">
        <f t="shared" si="11"/>
        <v>0</v>
      </c>
      <c r="L250" s="1337">
        <f t="shared" si="13"/>
        <v>304800</v>
      </c>
      <c r="M250" s="1341"/>
      <c r="N250" s="1342"/>
      <c r="O250" s="1342"/>
      <c r="P250" s="1342"/>
      <c r="Q250" s="1343"/>
      <c r="R250" s="1343"/>
      <c r="S250" s="1343"/>
      <c r="T250" s="1343"/>
      <c r="U250" s="1343"/>
      <c r="V250" s="1343"/>
    </row>
    <row r="251" spans="1:22" s="1344" customFormat="1" ht="27.75" customHeight="1">
      <c r="A251" s="1334">
        <v>7</v>
      </c>
      <c r="B251" s="1335" t="s">
        <v>2015</v>
      </c>
      <c r="C251" s="1336" t="s">
        <v>2036</v>
      </c>
      <c r="D251" s="1337"/>
      <c r="E251" s="1338"/>
      <c r="F251" s="1334"/>
      <c r="G251" s="1339"/>
      <c r="H251" s="1340" t="s">
        <v>2097</v>
      </c>
      <c r="I251" s="1334">
        <v>1</v>
      </c>
      <c r="J251" s="1337">
        <v>17000</v>
      </c>
      <c r="K251" s="1337">
        <f t="shared" si="11"/>
        <v>0</v>
      </c>
      <c r="L251" s="1337">
        <f t="shared" si="13"/>
        <v>17000</v>
      </c>
      <c r="M251" s="1341"/>
      <c r="N251" s="1342"/>
      <c r="O251" s="1342"/>
      <c r="P251" s="1342"/>
      <c r="Q251" s="1343"/>
      <c r="R251" s="1343"/>
      <c r="S251" s="1343"/>
      <c r="T251" s="1343"/>
      <c r="U251" s="1343"/>
      <c r="V251" s="1343"/>
    </row>
    <row r="252" spans="1:22" s="525" customFormat="1" ht="27.75" customHeight="1">
      <c r="A252" s="331">
        <v>8</v>
      </c>
      <c r="B252" s="332" t="s">
        <v>1725</v>
      </c>
      <c r="C252" s="395" t="s">
        <v>3133</v>
      </c>
      <c r="D252" s="338"/>
      <c r="E252" s="335"/>
      <c r="F252" s="331"/>
      <c r="G252" s="336"/>
      <c r="H252" s="373"/>
      <c r="I252" s="331"/>
      <c r="J252" s="338">
        <v>4876.83</v>
      </c>
      <c r="K252" s="1337">
        <f t="shared" si="11"/>
        <v>0</v>
      </c>
      <c r="L252" s="1337">
        <f t="shared" si="13"/>
        <v>4876.83</v>
      </c>
      <c r="M252" s="488"/>
      <c r="N252" s="289"/>
      <c r="O252" s="289"/>
      <c r="P252" s="289"/>
      <c r="Q252" s="463"/>
      <c r="R252" s="463"/>
      <c r="S252" s="490"/>
      <c r="T252" s="490"/>
      <c r="U252" s="490"/>
      <c r="V252" s="490"/>
    </row>
    <row r="253" spans="1:22" s="525" customFormat="1" ht="27.75" customHeight="1">
      <c r="A253" s="331"/>
      <c r="B253" s="332"/>
      <c r="C253" s="395"/>
      <c r="D253" s="338"/>
      <c r="E253" s="335"/>
      <c r="F253" s="331"/>
      <c r="G253" s="336"/>
      <c r="H253" s="373"/>
      <c r="I253" s="331"/>
      <c r="J253" s="338"/>
      <c r="K253" s="374">
        <f t="shared" si="11"/>
        <v>0</v>
      </c>
      <c r="L253" s="1337">
        <f t="shared" si="13"/>
        <v>0</v>
      </c>
      <c r="M253" s="488"/>
      <c r="N253" s="289"/>
      <c r="O253" s="289"/>
      <c r="P253" s="289"/>
      <c r="Q253" s="463"/>
      <c r="R253" s="463"/>
      <c r="S253" s="490"/>
      <c r="T253" s="490"/>
      <c r="U253" s="490"/>
      <c r="V253" s="490"/>
    </row>
    <row r="254" spans="1:22" s="525" customFormat="1" ht="27.75" customHeight="1">
      <c r="A254" s="331"/>
      <c r="B254" s="332" t="s">
        <v>2256</v>
      </c>
      <c r="C254" s="395"/>
      <c r="D254" s="338"/>
      <c r="E254" s="335"/>
      <c r="F254" s="331"/>
      <c r="G254" s="336"/>
      <c r="H254" s="373"/>
      <c r="I254" s="331"/>
      <c r="J254" s="338"/>
      <c r="K254" s="374">
        <f t="shared" si="11"/>
        <v>0</v>
      </c>
      <c r="L254" s="374">
        <f t="shared" si="13"/>
        <v>0</v>
      </c>
      <c r="M254" s="488"/>
      <c r="N254" s="289"/>
      <c r="O254" s="289"/>
      <c r="P254" s="289"/>
      <c r="Q254" s="463"/>
      <c r="R254" s="463"/>
      <c r="S254" s="490"/>
      <c r="T254" s="490"/>
      <c r="U254" s="490"/>
      <c r="V254" s="490"/>
    </row>
    <row r="255" spans="1:22" s="525" customFormat="1" ht="27.75" customHeight="1">
      <c r="A255" s="331">
        <v>1</v>
      </c>
      <c r="B255" s="332" t="s">
        <v>3046</v>
      </c>
      <c r="C255" s="395" t="s">
        <v>2035</v>
      </c>
      <c r="D255" s="338"/>
      <c r="E255" s="335"/>
      <c r="F255" s="331"/>
      <c r="G255" s="336"/>
      <c r="H255" s="373" t="s">
        <v>3047</v>
      </c>
      <c r="I255" s="331" t="s">
        <v>3733</v>
      </c>
      <c r="J255" s="338">
        <v>19435.849999999999</v>
      </c>
      <c r="K255" s="374">
        <f t="shared" si="11"/>
        <v>0</v>
      </c>
      <c r="L255" s="374">
        <f t="shared" si="13"/>
        <v>19435.849999999999</v>
      </c>
      <c r="M255" s="488"/>
      <c r="N255" s="289"/>
      <c r="O255" s="289"/>
      <c r="P255" s="289"/>
      <c r="Q255" s="463"/>
      <c r="R255" s="463"/>
      <c r="S255" s="490"/>
      <c r="T255" s="490"/>
      <c r="U255" s="490"/>
      <c r="V255" s="490"/>
    </row>
    <row r="256" spans="1:22" s="525" customFormat="1" ht="27.75" customHeight="1">
      <c r="A256" s="331"/>
      <c r="B256" s="332"/>
      <c r="C256" s="395"/>
      <c r="D256" s="338"/>
      <c r="E256" s="335"/>
      <c r="F256" s="331"/>
      <c r="G256" s="336"/>
      <c r="H256" s="373"/>
      <c r="I256" s="331"/>
      <c r="J256" s="338"/>
      <c r="K256" s="374"/>
      <c r="L256" s="374"/>
      <c r="M256" s="488"/>
      <c r="N256" s="289"/>
      <c r="O256" s="289"/>
      <c r="P256" s="289"/>
      <c r="Q256" s="463"/>
      <c r="R256" s="463"/>
      <c r="S256" s="490"/>
      <c r="T256" s="490"/>
      <c r="U256" s="490"/>
      <c r="V256" s="490"/>
    </row>
    <row r="257" spans="1:22" s="525" customFormat="1" ht="27.75" customHeight="1">
      <c r="A257" s="331"/>
      <c r="B257" s="332"/>
      <c r="C257" s="395"/>
      <c r="D257" s="338"/>
      <c r="E257" s="335"/>
      <c r="F257" s="331"/>
      <c r="G257" s="336"/>
      <c r="H257" s="373"/>
      <c r="I257" s="331"/>
      <c r="J257" s="338"/>
      <c r="K257" s="374">
        <f t="shared" si="11"/>
        <v>0</v>
      </c>
      <c r="L257" s="374">
        <f t="shared" si="13"/>
        <v>0</v>
      </c>
      <c r="M257" s="488"/>
      <c r="N257" s="289"/>
      <c r="O257" s="289"/>
      <c r="P257" s="289"/>
      <c r="Q257" s="463"/>
      <c r="R257" s="463"/>
      <c r="S257" s="490"/>
      <c r="T257" s="490"/>
      <c r="U257" s="490"/>
      <c r="V257" s="490"/>
    </row>
    <row r="258" spans="1:22" s="456" customFormat="1" ht="27.75" customHeight="1">
      <c r="A258" s="526"/>
      <c r="B258" s="527"/>
      <c r="C258" s="528"/>
      <c r="D258" s="529"/>
      <c r="E258" s="530"/>
      <c r="F258" s="526"/>
      <c r="G258" s="531"/>
      <c r="H258" s="527"/>
      <c r="I258" s="526"/>
      <c r="J258" s="529"/>
      <c r="K258" s="374">
        <f t="shared" si="11"/>
        <v>0</v>
      </c>
      <c r="L258" s="527"/>
      <c r="N258" s="452">
        <f>SUM(G245:G258)</f>
        <v>0</v>
      </c>
      <c r="O258" s="452">
        <f>SUM(J245:J258)</f>
        <v>415873.99</v>
      </c>
      <c r="P258" s="452">
        <f>SUM(N245:O258)</f>
        <v>415873.99</v>
      </c>
      <c r="Q258" s="454">
        <f>SUM(D245:D258)</f>
        <v>0</v>
      </c>
      <c r="R258" s="456" t="s">
        <v>223</v>
      </c>
      <c r="U258" s="456">
        <f>+J258</f>
        <v>0</v>
      </c>
    </row>
    <row r="259" spans="1:22" ht="27.75" customHeight="1" thickBot="1">
      <c r="A259" s="321"/>
      <c r="B259" s="347"/>
      <c r="C259" s="532" t="s">
        <v>26</v>
      </c>
      <c r="D259" s="533"/>
      <c r="E259" s="534"/>
      <c r="F259" s="535"/>
      <c r="G259" s="536">
        <f>SUM(G12:G258)</f>
        <v>3638309.4570000004</v>
      </c>
      <c r="H259" s="537"/>
      <c r="I259" s="535"/>
      <c r="J259" s="533">
        <f>SUM(J12:J258)</f>
        <v>25358731.699999996</v>
      </c>
      <c r="K259" s="374">
        <f t="shared" si="11"/>
        <v>419860.91133780003</v>
      </c>
      <c r="L259" s="538">
        <f>SUM(L11:L257)</f>
        <v>25358731.699999996</v>
      </c>
      <c r="M259" s="539"/>
      <c r="N259" s="540">
        <f>SUM(N12:N258)</f>
        <v>3638309.4569999999</v>
      </c>
      <c r="O259" s="540">
        <f>SUM(O12:O258)</f>
        <v>25358731.699999992</v>
      </c>
      <c r="P259" s="540">
        <f>SUM(P12:P258)</f>
        <v>28997041.156999994</v>
      </c>
      <c r="Q259" s="540">
        <f>SUM(D12:D258)</f>
        <v>14253.86</v>
      </c>
      <c r="R259" s="289"/>
      <c r="S259" s="349">
        <f>SUM(S12:S258)</f>
        <v>0</v>
      </c>
      <c r="T259" s="349">
        <f>SUM(T12:T258)</f>
        <v>0</v>
      </c>
      <c r="U259" s="349">
        <f>SUM(U12:U258)</f>
        <v>18383978.499999996</v>
      </c>
      <c r="V259" s="349">
        <f>SUM(V12:V258)</f>
        <v>0</v>
      </c>
    </row>
    <row r="260" spans="1:22" ht="27.75" customHeight="1" thickTop="1" thickBot="1">
      <c r="A260" s="541"/>
      <c r="B260" s="542"/>
      <c r="C260" s="543"/>
      <c r="D260" s="330"/>
      <c r="E260" s="289"/>
      <c r="F260" s="541"/>
      <c r="G260" s="544"/>
      <c r="H260" s="515"/>
      <c r="I260" s="541"/>
      <c r="J260" s="330">
        <f>+J259+G259</f>
        <v>28997041.156999998</v>
      </c>
      <c r="K260" s="374">
        <f t="shared" si="11"/>
        <v>0</v>
      </c>
      <c r="L260" s="329">
        <f>+L259+K259</f>
        <v>25778592.611337796</v>
      </c>
      <c r="M260" s="488"/>
      <c r="N260" s="545">
        <f>+J259+G259</f>
        <v>28997041.156999998</v>
      </c>
      <c r="O260" s="407">
        <f>+N260-P260</f>
        <v>0</v>
      </c>
      <c r="P260" s="546">
        <v>28997041.156999998</v>
      </c>
      <c r="R260" s="289"/>
    </row>
    <row r="261" spans="1:22" s="436" customFormat="1" ht="27.75" customHeight="1" thickTop="1">
      <c r="A261" s="425"/>
      <c r="B261" s="547" t="s">
        <v>133</v>
      </c>
      <c r="C261" s="548"/>
      <c r="D261" s="429"/>
      <c r="E261" s="434"/>
      <c r="F261" s="430"/>
      <c r="G261" s="367"/>
      <c r="H261" s="427"/>
      <c r="I261" s="430"/>
      <c r="J261" s="429"/>
      <c r="K261" s="374">
        <f t="shared" si="11"/>
        <v>0</v>
      </c>
      <c r="L261" s="428">
        <f>+J261</f>
        <v>0</v>
      </c>
      <c r="M261" s="361"/>
      <c r="N261" s="358"/>
      <c r="O261" s="358"/>
      <c r="P261" s="358"/>
      <c r="Q261" s="357"/>
      <c r="R261" s="358"/>
      <c r="S261" s="358"/>
      <c r="T261" s="358"/>
      <c r="U261" s="358"/>
      <c r="V261" s="358"/>
    </row>
    <row r="262" spans="1:22" ht="27.75" customHeight="1">
      <c r="B262" s="373" t="s">
        <v>66</v>
      </c>
      <c r="C262" s="393"/>
      <c r="D262" s="365"/>
      <c r="F262" s="366"/>
      <c r="G262" s="367"/>
      <c r="H262" s="368"/>
      <c r="I262" s="366"/>
      <c r="J262" s="365"/>
      <c r="K262" s="374">
        <f t="shared" si="11"/>
        <v>0</v>
      </c>
      <c r="L262" s="338"/>
      <c r="Q262" s="370"/>
      <c r="R262" s="289"/>
      <c r="S262" s="289"/>
      <c r="T262" s="289"/>
      <c r="U262" s="289"/>
      <c r="V262" s="289"/>
    </row>
    <row r="263" spans="1:22" ht="27.75" customHeight="1">
      <c r="A263" s="331">
        <v>1</v>
      </c>
      <c r="B263" s="387" t="s">
        <v>141</v>
      </c>
      <c r="C263" s="364" t="s">
        <v>984</v>
      </c>
      <c r="D263" s="382"/>
      <c r="E263" s="382"/>
      <c r="F263" s="379"/>
      <c r="G263" s="386"/>
      <c r="H263" s="387" t="s">
        <v>267</v>
      </c>
      <c r="I263" s="388"/>
      <c r="J263" s="382">
        <v>132403.24</v>
      </c>
      <c r="K263" s="374">
        <f t="shared" si="11"/>
        <v>0</v>
      </c>
      <c r="L263" s="374">
        <f>+J263</f>
        <v>132403.24</v>
      </c>
      <c r="M263" s="411"/>
      <c r="R263" s="289"/>
      <c r="U263" s="291">
        <f>+L263</f>
        <v>132403.24</v>
      </c>
    </row>
    <row r="264" spans="1:22" ht="27.75" customHeight="1">
      <c r="A264" s="397"/>
      <c r="B264" s="364" t="s">
        <v>328</v>
      </c>
      <c r="C264" s="364"/>
      <c r="D264" s="382"/>
      <c r="E264" s="382"/>
      <c r="F264" s="379"/>
      <c r="G264" s="386"/>
      <c r="H264" s="387"/>
      <c r="I264" s="388"/>
      <c r="J264" s="382"/>
      <c r="K264" s="374">
        <f t="shared" si="11"/>
        <v>0</v>
      </c>
      <c r="L264" s="374">
        <f t="shared" ref="L264:L278" si="14">+J264</f>
        <v>0</v>
      </c>
      <c r="M264" s="411"/>
      <c r="R264" s="289"/>
    </row>
    <row r="265" spans="1:22" ht="27.75" customHeight="1">
      <c r="A265" s="331">
        <v>2</v>
      </c>
      <c r="B265" s="364" t="s">
        <v>3478</v>
      </c>
      <c r="C265" s="364" t="s">
        <v>3254</v>
      </c>
      <c r="D265" s="409"/>
      <c r="E265" s="364" t="s">
        <v>3420</v>
      </c>
      <c r="F265" s="362">
        <v>1</v>
      </c>
      <c r="G265" s="549">
        <v>2772</v>
      </c>
      <c r="H265" s="387"/>
      <c r="I265" s="388"/>
      <c r="J265" s="382"/>
      <c r="K265" s="374">
        <f t="shared" si="11"/>
        <v>319.88879999999995</v>
      </c>
      <c r="L265" s="374">
        <f t="shared" si="14"/>
        <v>0</v>
      </c>
      <c r="M265" s="411"/>
      <c r="Q265" s="478"/>
      <c r="R265" s="489"/>
      <c r="S265" s="297"/>
    </row>
    <row r="266" spans="1:22" ht="27.75" customHeight="1">
      <c r="A266" s="331">
        <v>3</v>
      </c>
      <c r="B266" s="364" t="s">
        <v>3255</v>
      </c>
      <c r="C266" s="364" t="s">
        <v>3186</v>
      </c>
      <c r="D266" s="409"/>
      <c r="E266" s="364" t="s">
        <v>3420</v>
      </c>
      <c r="F266" s="362">
        <v>1</v>
      </c>
      <c r="G266" s="549">
        <v>5550</v>
      </c>
      <c r="H266" s="387"/>
      <c r="I266" s="388"/>
      <c r="J266" s="382"/>
      <c r="K266" s="374">
        <f t="shared" si="11"/>
        <v>640.46999999999991</v>
      </c>
      <c r="L266" s="374">
        <f t="shared" si="14"/>
        <v>0</v>
      </c>
      <c r="M266" s="411"/>
      <c r="Q266" s="478"/>
      <c r="R266" s="489"/>
      <c r="S266" s="297"/>
    </row>
    <row r="267" spans="1:22" ht="27.75" customHeight="1">
      <c r="A267" s="331">
        <v>4</v>
      </c>
      <c r="B267" s="364" t="s">
        <v>3479</v>
      </c>
      <c r="C267" s="364" t="s">
        <v>3480</v>
      </c>
      <c r="D267" s="409"/>
      <c r="E267" s="364" t="s">
        <v>3420</v>
      </c>
      <c r="F267" s="362">
        <v>1</v>
      </c>
      <c r="G267" s="549">
        <v>2772</v>
      </c>
      <c r="H267" s="387"/>
      <c r="I267" s="388"/>
      <c r="J267" s="382"/>
      <c r="K267" s="374">
        <f t="shared" si="11"/>
        <v>319.88879999999995</v>
      </c>
      <c r="L267" s="374">
        <f t="shared" si="14"/>
        <v>0</v>
      </c>
      <c r="M267" s="411"/>
      <c r="Q267" s="478"/>
      <c r="R267" s="489"/>
      <c r="S267" s="297"/>
    </row>
    <row r="268" spans="1:22" ht="27.75" customHeight="1">
      <c r="A268" s="331">
        <v>5</v>
      </c>
      <c r="B268" s="364" t="s">
        <v>3268</v>
      </c>
      <c r="C268" s="364" t="s">
        <v>3269</v>
      </c>
      <c r="D268" s="409"/>
      <c r="E268" s="364" t="s">
        <v>3420</v>
      </c>
      <c r="F268" s="362">
        <v>1</v>
      </c>
      <c r="G268" s="549">
        <v>2730</v>
      </c>
      <c r="H268" s="387"/>
      <c r="I268" s="388"/>
      <c r="J268" s="382"/>
      <c r="K268" s="374">
        <f t="shared" si="11"/>
        <v>315.04199999999997</v>
      </c>
      <c r="L268" s="374">
        <f t="shared" si="14"/>
        <v>0</v>
      </c>
      <c r="M268" s="411"/>
      <c r="Q268" s="478"/>
      <c r="R268" s="489"/>
      <c r="S268" s="297"/>
    </row>
    <row r="269" spans="1:22" ht="27.75" customHeight="1">
      <c r="A269" s="331">
        <v>6</v>
      </c>
      <c r="B269" s="364" t="s">
        <v>3256</v>
      </c>
      <c r="C269" s="364" t="s">
        <v>3257</v>
      </c>
      <c r="D269" s="409"/>
      <c r="E269" s="364" t="s">
        <v>3420</v>
      </c>
      <c r="F269" s="362">
        <v>1</v>
      </c>
      <c r="G269" s="549">
        <v>5320</v>
      </c>
      <c r="H269" s="387"/>
      <c r="I269" s="388"/>
      <c r="J269" s="382"/>
      <c r="K269" s="374">
        <f t="shared" si="11"/>
        <v>613.928</v>
      </c>
      <c r="L269" s="374">
        <f t="shared" si="14"/>
        <v>0</v>
      </c>
      <c r="M269" s="411"/>
      <c r="Q269" s="478"/>
      <c r="R269" s="489"/>
      <c r="S269" s="297"/>
    </row>
    <row r="270" spans="1:22" ht="27.75" customHeight="1">
      <c r="A270" s="331">
        <v>7</v>
      </c>
      <c r="B270" s="364" t="s">
        <v>2676</v>
      </c>
      <c r="C270" s="364" t="s">
        <v>2677</v>
      </c>
      <c r="D270" s="409">
        <v>2184</v>
      </c>
      <c r="E270" s="364" t="s">
        <v>3475</v>
      </c>
      <c r="F270" s="362">
        <v>1</v>
      </c>
      <c r="G270" s="549"/>
      <c r="H270" s="387"/>
      <c r="I270" s="388"/>
      <c r="J270" s="382"/>
      <c r="K270" s="374">
        <f t="shared" ref="K270:K334" si="15">G270*11.54/100</f>
        <v>0</v>
      </c>
      <c r="L270" s="374">
        <f t="shared" si="14"/>
        <v>0</v>
      </c>
      <c r="M270" s="411"/>
      <c r="Q270" s="478"/>
      <c r="R270" s="489"/>
      <c r="S270" s="297"/>
    </row>
    <row r="271" spans="1:22" ht="27.75" customHeight="1">
      <c r="A271" s="331">
        <v>8</v>
      </c>
      <c r="B271" s="364" t="s">
        <v>3138</v>
      </c>
      <c r="C271" s="364" t="s">
        <v>3142</v>
      </c>
      <c r="D271" s="409"/>
      <c r="E271" s="364" t="s">
        <v>3420</v>
      </c>
      <c r="F271" s="362">
        <v>1</v>
      </c>
      <c r="G271" s="549">
        <v>2184</v>
      </c>
      <c r="H271" s="387"/>
      <c r="I271" s="388"/>
      <c r="J271" s="382"/>
      <c r="K271" s="374">
        <f t="shared" si="15"/>
        <v>252.03359999999998</v>
      </c>
      <c r="L271" s="374">
        <f t="shared" si="14"/>
        <v>0</v>
      </c>
      <c r="M271" s="411"/>
      <c r="Q271" s="478"/>
      <c r="R271" s="489"/>
      <c r="S271" s="297"/>
    </row>
    <row r="272" spans="1:22" ht="27.75" customHeight="1">
      <c r="A272" s="331">
        <v>9</v>
      </c>
      <c r="B272" s="364" t="s">
        <v>1118</v>
      </c>
      <c r="C272" s="364" t="s">
        <v>1119</v>
      </c>
      <c r="D272" s="409"/>
      <c r="E272" s="364" t="s">
        <v>3420</v>
      </c>
      <c r="F272" s="362">
        <v>1</v>
      </c>
      <c r="G272" s="549">
        <v>1092</v>
      </c>
      <c r="H272" s="387"/>
      <c r="I272" s="388"/>
      <c r="J272" s="382"/>
      <c r="K272" s="374">
        <f t="shared" si="15"/>
        <v>126.01679999999999</v>
      </c>
      <c r="L272" s="374">
        <f t="shared" si="14"/>
        <v>0</v>
      </c>
      <c r="M272" s="411"/>
      <c r="Q272" s="478"/>
      <c r="R272" s="489"/>
      <c r="S272" s="297"/>
    </row>
    <row r="273" spans="1:22" ht="27.75" customHeight="1">
      <c r="A273" s="331">
        <v>10</v>
      </c>
      <c r="B273" s="364" t="s">
        <v>3258</v>
      </c>
      <c r="C273" s="364" t="s">
        <v>3259</v>
      </c>
      <c r="D273" s="409"/>
      <c r="E273" s="364" t="s">
        <v>3420</v>
      </c>
      <c r="F273" s="362">
        <v>1</v>
      </c>
      <c r="G273" s="549">
        <v>1092</v>
      </c>
      <c r="H273" s="387"/>
      <c r="I273" s="388"/>
      <c r="J273" s="382"/>
      <c r="K273" s="374">
        <f t="shared" si="15"/>
        <v>126.01679999999999</v>
      </c>
      <c r="L273" s="374">
        <f t="shared" si="14"/>
        <v>0</v>
      </c>
      <c r="M273" s="411"/>
      <c r="Q273" s="478"/>
      <c r="R273" s="489"/>
      <c r="S273" s="297"/>
    </row>
    <row r="274" spans="1:22" ht="27.75" customHeight="1">
      <c r="A274" s="331">
        <v>11</v>
      </c>
      <c r="B274" s="364" t="s">
        <v>3071</v>
      </c>
      <c r="C274" s="364" t="s">
        <v>2852</v>
      </c>
      <c r="D274" s="409"/>
      <c r="E274" s="364" t="s">
        <v>3420</v>
      </c>
      <c r="F274" s="362">
        <v>1</v>
      </c>
      <c r="G274" s="549">
        <v>6000</v>
      </c>
      <c r="H274" s="387"/>
      <c r="I274" s="388"/>
      <c r="J274" s="382"/>
      <c r="K274" s="374">
        <f t="shared" si="15"/>
        <v>692.4</v>
      </c>
      <c r="L274" s="374">
        <f t="shared" si="14"/>
        <v>0</v>
      </c>
      <c r="M274" s="411"/>
      <c r="Q274" s="478"/>
      <c r="R274" s="489"/>
      <c r="S274" s="297"/>
    </row>
    <row r="275" spans="1:22" ht="27.75" customHeight="1">
      <c r="A275" s="331">
        <v>12</v>
      </c>
      <c r="B275" s="364" t="s">
        <v>3071</v>
      </c>
      <c r="C275" s="364" t="s">
        <v>2700</v>
      </c>
      <c r="D275" s="409"/>
      <c r="E275" s="364" t="s">
        <v>3420</v>
      </c>
      <c r="F275" s="362">
        <v>1</v>
      </c>
      <c r="G275" s="549">
        <v>3120</v>
      </c>
      <c r="H275" s="387"/>
      <c r="I275" s="388"/>
      <c r="J275" s="382"/>
      <c r="K275" s="374">
        <f t="shared" si="15"/>
        <v>360.04799999999994</v>
      </c>
      <c r="L275" s="374">
        <f t="shared" si="14"/>
        <v>0</v>
      </c>
      <c r="M275" s="411"/>
      <c r="Q275" s="478"/>
      <c r="R275" s="489"/>
      <c r="S275" s="297"/>
    </row>
    <row r="276" spans="1:22" ht="27.75" customHeight="1">
      <c r="A276" s="331">
        <v>13</v>
      </c>
      <c r="B276" s="364" t="s">
        <v>3071</v>
      </c>
      <c r="C276" s="364" t="s">
        <v>2853</v>
      </c>
      <c r="D276" s="409"/>
      <c r="E276" s="364" t="s">
        <v>3420</v>
      </c>
      <c r="F276" s="362">
        <v>1</v>
      </c>
      <c r="G276" s="549">
        <v>6000</v>
      </c>
      <c r="H276" s="387"/>
      <c r="I276" s="388"/>
      <c r="J276" s="382"/>
      <c r="K276" s="374">
        <f t="shared" si="15"/>
        <v>692.4</v>
      </c>
      <c r="L276" s="374">
        <f t="shared" si="14"/>
        <v>0</v>
      </c>
      <c r="M276" s="411"/>
      <c r="Q276" s="478"/>
      <c r="R276" s="489"/>
      <c r="S276" s="297"/>
    </row>
    <row r="277" spans="1:22" ht="27.75" customHeight="1">
      <c r="B277" s="364"/>
      <c r="C277" s="364"/>
      <c r="D277" s="409"/>
      <c r="E277" s="364"/>
      <c r="F277" s="362"/>
      <c r="G277" s="549"/>
      <c r="H277" s="387"/>
      <c r="I277" s="388"/>
      <c r="J277" s="382"/>
      <c r="K277" s="374">
        <f t="shared" si="15"/>
        <v>0</v>
      </c>
      <c r="L277" s="374">
        <f t="shared" si="14"/>
        <v>0</v>
      </c>
      <c r="M277" s="411"/>
      <c r="Q277" s="478"/>
      <c r="R277" s="489"/>
      <c r="S277" s="297"/>
    </row>
    <row r="278" spans="1:22" ht="27.75" customHeight="1" thickBot="1">
      <c r="B278" s="364"/>
      <c r="C278" s="364"/>
      <c r="D278" s="409"/>
      <c r="E278" s="364"/>
      <c r="F278" s="362"/>
      <c r="G278" s="549"/>
      <c r="H278" s="387"/>
      <c r="I278" s="388"/>
      <c r="J278" s="382"/>
      <c r="K278" s="374">
        <f t="shared" si="15"/>
        <v>0</v>
      </c>
      <c r="L278" s="374">
        <f t="shared" si="14"/>
        <v>0</v>
      </c>
      <c r="M278" s="411"/>
      <c r="Q278" s="478"/>
      <c r="R278" s="489"/>
      <c r="S278" s="297"/>
    </row>
    <row r="279" spans="1:22" s="455" customFormat="1" ht="27.75" customHeight="1" thickTop="1" thickBot="1">
      <c r="A279" s="450"/>
      <c r="B279" s="444"/>
      <c r="C279" s="550"/>
      <c r="D279" s="446"/>
      <c r="E279" s="453"/>
      <c r="F279" s="458"/>
      <c r="G279" s="386"/>
      <c r="H279" s="444"/>
      <c r="I279" s="458"/>
      <c r="J279" s="453"/>
      <c r="K279" s="374">
        <f t="shared" si="15"/>
        <v>0</v>
      </c>
      <c r="L279" s="446">
        <f>+J279</f>
        <v>0</v>
      </c>
      <c r="M279" s="551"/>
      <c r="N279" s="452">
        <f>SUM(G263:G279)</f>
        <v>38632</v>
      </c>
      <c r="O279" s="452">
        <f>SUM(J263:J278)</f>
        <v>132403.24</v>
      </c>
      <c r="P279" s="452">
        <f>+N279+O279</f>
        <v>171035.24</v>
      </c>
      <c r="Q279" s="481">
        <f>SUM(D263:D278)</f>
        <v>2184</v>
      </c>
      <c r="R279" s="552" t="s">
        <v>66</v>
      </c>
      <c r="S279" s="483"/>
      <c r="T279" s="452"/>
      <c r="U279" s="452"/>
      <c r="V279" s="452"/>
    </row>
    <row r="280" spans="1:22" s="385" customFormat="1" ht="27.75" customHeight="1" thickTop="1">
      <c r="A280" s="379"/>
      <c r="B280" s="387" t="s">
        <v>52</v>
      </c>
      <c r="C280" s="524"/>
      <c r="D280" s="374"/>
      <c r="E280" s="382"/>
      <c r="F280" s="388"/>
      <c r="G280" s="386"/>
      <c r="H280" s="387"/>
      <c r="I280" s="388"/>
      <c r="J280" s="382"/>
      <c r="K280" s="374">
        <f t="shared" si="15"/>
        <v>0</v>
      </c>
      <c r="L280" s="374">
        <f>+J280</f>
        <v>0</v>
      </c>
      <c r="M280" s="329"/>
      <c r="N280" s="288"/>
      <c r="O280" s="288"/>
      <c r="P280" s="288"/>
      <c r="Q280" s="288"/>
      <c r="S280" s="288"/>
      <c r="T280" s="288"/>
      <c r="U280" s="288"/>
      <c r="V280" s="288"/>
    </row>
    <row r="281" spans="1:22" s="385" customFormat="1" ht="27.75" customHeight="1">
      <c r="A281" s="379"/>
      <c r="B281" s="387"/>
      <c r="C281" s="524"/>
      <c r="D281" s="374"/>
      <c r="E281" s="382"/>
      <c r="F281" s="388"/>
      <c r="G281" s="386"/>
      <c r="H281" s="387"/>
      <c r="I281" s="388"/>
      <c r="J281" s="382"/>
      <c r="K281" s="374"/>
      <c r="L281" s="374"/>
      <c r="M281" s="329"/>
      <c r="N281" s="288"/>
      <c r="O281" s="288"/>
      <c r="P281" s="288"/>
      <c r="Q281" s="553"/>
      <c r="R281" s="525"/>
      <c r="S281" s="554"/>
      <c r="T281" s="288"/>
      <c r="U281" s="288"/>
      <c r="V281" s="288"/>
    </row>
    <row r="282" spans="1:22" s="385" customFormat="1" ht="27.75" customHeight="1" thickBot="1">
      <c r="A282" s="379"/>
      <c r="B282" s="387"/>
      <c r="C282" s="524"/>
      <c r="D282" s="374"/>
      <c r="E282" s="382"/>
      <c r="F282" s="388"/>
      <c r="G282" s="386"/>
      <c r="H282" s="387"/>
      <c r="I282" s="388"/>
      <c r="J282" s="382"/>
      <c r="K282" s="374">
        <f t="shared" si="15"/>
        <v>0</v>
      </c>
      <c r="L282" s="374">
        <f>+J282</f>
        <v>0</v>
      </c>
      <c r="M282" s="329"/>
      <c r="N282" s="288"/>
      <c r="O282" s="288"/>
      <c r="P282" s="288"/>
      <c r="Q282" s="553"/>
      <c r="R282" s="525"/>
      <c r="S282" s="554"/>
      <c r="T282" s="288"/>
      <c r="U282" s="288"/>
      <c r="V282" s="288"/>
    </row>
    <row r="283" spans="1:22" s="455" customFormat="1" ht="27.75" customHeight="1" thickTop="1" thickBot="1">
      <c r="A283" s="450"/>
      <c r="B283" s="444"/>
      <c r="C283" s="555"/>
      <c r="D283" s="453"/>
      <c r="E283" s="453"/>
      <c r="F283" s="450"/>
      <c r="G283" s="386"/>
      <c r="H283" s="444"/>
      <c r="I283" s="458"/>
      <c r="J283" s="453"/>
      <c r="K283" s="374">
        <f t="shared" si="15"/>
        <v>0</v>
      </c>
      <c r="L283" s="446">
        <f>+J283</f>
        <v>0</v>
      </c>
      <c r="M283" s="551"/>
      <c r="N283" s="452">
        <f>SUM(G280:G283)</f>
        <v>0</v>
      </c>
      <c r="O283" s="452">
        <f>SUM(J279:J280)</f>
        <v>0</v>
      </c>
      <c r="P283" s="452">
        <f>+N283+O283</f>
        <v>0</v>
      </c>
      <c r="Q283" s="481">
        <f>SUM(D280:D283)</f>
        <v>0</v>
      </c>
      <c r="R283" s="552" t="s">
        <v>352</v>
      </c>
      <c r="S283" s="483"/>
      <c r="T283" s="452"/>
      <c r="U283" s="452"/>
      <c r="V283" s="452"/>
    </row>
    <row r="284" spans="1:22" ht="27.75" customHeight="1" thickTop="1">
      <c r="B284" s="332" t="s">
        <v>32</v>
      </c>
      <c r="C284" s="477"/>
      <c r="D284" s="335"/>
      <c r="G284" s="386"/>
      <c r="H284" s="332"/>
      <c r="I284" s="397"/>
      <c r="J284" s="335"/>
      <c r="K284" s="374">
        <f t="shared" si="15"/>
        <v>0</v>
      </c>
      <c r="L284" s="338">
        <v>0</v>
      </c>
      <c r="S284" s="289"/>
      <c r="T284" s="289"/>
      <c r="U284" s="289"/>
      <c r="V284" s="289"/>
    </row>
    <row r="285" spans="1:22" ht="27.75" customHeight="1">
      <c r="A285" s="331">
        <v>1</v>
      </c>
      <c r="B285" s="332" t="s">
        <v>3473</v>
      </c>
      <c r="C285" s="477" t="s">
        <v>3474</v>
      </c>
      <c r="D285" s="335"/>
      <c r="E285" s="335" t="s">
        <v>3420</v>
      </c>
      <c r="F285" s="331">
        <v>1</v>
      </c>
      <c r="G285" s="386">
        <v>5350</v>
      </c>
      <c r="H285" s="332"/>
      <c r="I285" s="397"/>
      <c r="J285" s="335"/>
      <c r="K285" s="374">
        <f t="shared" si="15"/>
        <v>617.38999999999987</v>
      </c>
      <c r="L285" s="338">
        <v>0</v>
      </c>
      <c r="S285" s="289"/>
      <c r="T285" s="289"/>
      <c r="U285" s="289"/>
      <c r="V285" s="289"/>
    </row>
    <row r="286" spans="1:22" ht="27.75" customHeight="1" thickBot="1">
      <c r="B286" s="556"/>
      <c r="C286" s="1345"/>
      <c r="D286" s="557"/>
      <c r="E286" s="557"/>
      <c r="F286" s="1346"/>
      <c r="G286" s="367"/>
      <c r="H286" s="332"/>
      <c r="I286" s="397"/>
      <c r="J286" s="335"/>
      <c r="K286" s="374"/>
      <c r="L286" s="338"/>
      <c r="S286" s="289"/>
      <c r="T286" s="289"/>
      <c r="U286" s="289"/>
      <c r="V286" s="289"/>
    </row>
    <row r="287" spans="1:22" s="455" customFormat="1" ht="27.75" customHeight="1" thickTop="1" thickBot="1">
      <c r="A287" s="450"/>
      <c r="B287" s="457"/>
      <c r="C287" s="555"/>
      <c r="D287" s="453"/>
      <c r="E287" s="453"/>
      <c r="F287" s="458"/>
      <c r="G287" s="386"/>
      <c r="H287" s="444"/>
      <c r="I287" s="458"/>
      <c r="J287" s="453"/>
      <c r="K287" s="374">
        <f t="shared" si="15"/>
        <v>0</v>
      </c>
      <c r="L287" s="446">
        <f t="shared" ref="L287:L334" si="16">+J287</f>
        <v>0</v>
      </c>
      <c r="M287" s="551"/>
      <c r="N287" s="452">
        <f>SUM(G284:G287)</f>
        <v>5350</v>
      </c>
      <c r="O287" s="452">
        <f>SUM(J280:J283)</f>
        <v>0</v>
      </c>
      <c r="P287" s="452">
        <f>+N287+O287</f>
        <v>5350</v>
      </c>
      <c r="Q287" s="481">
        <f>SUM(D284:D287)</f>
        <v>0</v>
      </c>
      <c r="R287" s="552" t="s">
        <v>32</v>
      </c>
      <c r="S287" s="483"/>
      <c r="T287" s="452"/>
      <c r="U287" s="452"/>
      <c r="V287" s="452"/>
    </row>
    <row r="288" spans="1:22" ht="28.5" customHeight="1" thickTop="1">
      <c r="B288" s="393" t="s">
        <v>54</v>
      </c>
      <c r="C288" s="477"/>
      <c r="D288" s="335"/>
      <c r="F288" s="397"/>
      <c r="G288" s="386"/>
      <c r="H288" s="332"/>
      <c r="I288" s="397"/>
      <c r="J288" s="335"/>
      <c r="K288" s="374">
        <f t="shared" si="15"/>
        <v>0</v>
      </c>
      <c r="L288" s="374">
        <f t="shared" si="16"/>
        <v>0</v>
      </c>
      <c r="Q288" s="478"/>
      <c r="R288" s="479"/>
      <c r="S288" s="287"/>
      <c r="T288" s="289"/>
      <c r="U288" s="289"/>
      <c r="V288" s="289"/>
    </row>
    <row r="289" spans="1:22" s="411" customFormat="1" ht="27.75" customHeight="1">
      <c r="A289" s="331">
        <v>1</v>
      </c>
      <c r="B289" s="393" t="s">
        <v>115</v>
      </c>
      <c r="C289" s="477" t="s">
        <v>88</v>
      </c>
      <c r="D289" s="335"/>
      <c r="E289" s="335"/>
      <c r="F289" s="397"/>
      <c r="G289" s="386"/>
      <c r="H289" s="332" t="s">
        <v>267</v>
      </c>
      <c r="I289" s="397"/>
      <c r="J289" s="335">
        <v>297000.43</v>
      </c>
      <c r="K289" s="374">
        <f t="shared" si="15"/>
        <v>0</v>
      </c>
      <c r="L289" s="374">
        <f t="shared" si="16"/>
        <v>297000.43</v>
      </c>
      <c r="M289" s="330"/>
      <c r="N289" s="289"/>
      <c r="O289" s="289"/>
      <c r="P289" s="289"/>
      <c r="Q289" s="478"/>
      <c r="R289" s="479"/>
      <c r="S289" s="287"/>
      <c r="T289" s="289"/>
      <c r="U289" s="289"/>
      <c r="V289" s="289"/>
    </row>
    <row r="290" spans="1:22" s="411" customFormat="1" ht="27.75" customHeight="1">
      <c r="A290" s="331"/>
      <c r="B290" s="393" t="s">
        <v>330</v>
      </c>
      <c r="C290" s="477"/>
      <c r="D290" s="335"/>
      <c r="E290" s="335"/>
      <c r="F290" s="397"/>
      <c r="G290" s="386"/>
      <c r="H290" s="332"/>
      <c r="I290" s="397"/>
      <c r="J290" s="335"/>
      <c r="K290" s="374">
        <f t="shared" si="15"/>
        <v>0</v>
      </c>
      <c r="L290" s="374">
        <f t="shared" si="16"/>
        <v>0</v>
      </c>
      <c r="M290" s="330"/>
      <c r="N290" s="289"/>
      <c r="O290" s="289"/>
      <c r="P290" s="289"/>
      <c r="Q290" s="478"/>
      <c r="R290" s="479"/>
      <c r="S290" s="287"/>
      <c r="T290" s="289"/>
      <c r="U290" s="289"/>
      <c r="V290" s="289"/>
    </row>
    <row r="291" spans="1:22" s="411" customFormat="1" ht="27.75" customHeight="1">
      <c r="A291" s="331">
        <v>2</v>
      </c>
      <c r="B291" s="393" t="s">
        <v>116</v>
      </c>
      <c r="C291" s="477" t="s">
        <v>88</v>
      </c>
      <c r="D291" s="335"/>
      <c r="E291" s="335"/>
      <c r="F291" s="397"/>
      <c r="G291" s="386"/>
      <c r="H291" s="332" t="s">
        <v>267</v>
      </c>
      <c r="I291" s="397"/>
      <c r="J291" s="335">
        <v>570368.92000000004</v>
      </c>
      <c r="K291" s="374">
        <f t="shared" si="15"/>
        <v>0</v>
      </c>
      <c r="L291" s="374">
        <f t="shared" si="16"/>
        <v>570368.92000000004</v>
      </c>
      <c r="M291" s="330"/>
      <c r="N291" s="289"/>
      <c r="O291" s="289"/>
      <c r="P291" s="289"/>
      <c r="Q291" s="478"/>
      <c r="R291" s="479"/>
      <c r="S291" s="287"/>
      <c r="T291" s="289"/>
      <c r="U291" s="289"/>
      <c r="V291" s="289"/>
    </row>
    <row r="292" spans="1:22" ht="27.75" customHeight="1">
      <c r="B292" s="364" t="s">
        <v>329</v>
      </c>
      <c r="C292" s="477"/>
      <c r="D292" s="335"/>
      <c r="F292" s="397"/>
      <c r="G292" s="386"/>
      <c r="H292" s="332"/>
      <c r="I292" s="397"/>
      <c r="J292" s="335"/>
      <c r="K292" s="374">
        <f t="shared" si="15"/>
        <v>0</v>
      </c>
      <c r="L292" s="374">
        <f t="shared" si="16"/>
        <v>0</v>
      </c>
      <c r="Q292" s="478"/>
      <c r="R292" s="479"/>
      <c r="S292" s="287"/>
      <c r="T292" s="289"/>
      <c r="U292" s="289"/>
      <c r="V292" s="289"/>
    </row>
    <row r="293" spans="1:22" ht="27.75" customHeight="1">
      <c r="A293" s="395"/>
      <c r="B293" s="333"/>
      <c r="C293" s="335"/>
      <c r="D293" s="335"/>
      <c r="E293" s="331"/>
      <c r="F293" s="1347"/>
      <c r="H293" s="332"/>
      <c r="I293" s="397"/>
      <c r="J293" s="335"/>
      <c r="K293" s="374"/>
      <c r="L293" s="374"/>
    </row>
    <row r="294" spans="1:22" ht="27.75" customHeight="1" thickBot="1">
      <c r="B294" s="395"/>
      <c r="C294" s="333"/>
      <c r="D294" s="335"/>
      <c r="G294" s="386"/>
      <c r="H294" s="332"/>
      <c r="I294" s="397"/>
      <c r="J294" s="335"/>
      <c r="K294" s="374">
        <f t="shared" si="15"/>
        <v>0</v>
      </c>
      <c r="L294" s="374">
        <f t="shared" si="16"/>
        <v>0</v>
      </c>
    </row>
    <row r="295" spans="1:22" s="570" customFormat="1" ht="27.75" customHeight="1" thickTop="1" thickBot="1">
      <c r="A295" s="558"/>
      <c r="B295" s="559"/>
      <c r="C295" s="560"/>
      <c r="D295" s="561"/>
      <c r="E295" s="561"/>
      <c r="F295" s="558"/>
      <c r="G295" s="386"/>
      <c r="H295" s="562"/>
      <c r="I295" s="563"/>
      <c r="J295" s="561"/>
      <c r="K295" s="374">
        <f t="shared" si="15"/>
        <v>0</v>
      </c>
      <c r="L295" s="564">
        <f t="shared" si="16"/>
        <v>0</v>
      </c>
      <c r="M295" s="565"/>
      <c r="N295" s="566">
        <f>SUM(G288:G295)</f>
        <v>0</v>
      </c>
      <c r="O295" s="566">
        <f>SUM(J288:J295)</f>
        <v>867369.35000000009</v>
      </c>
      <c r="P295" s="566">
        <f>+N295+O295</f>
        <v>867369.35000000009</v>
      </c>
      <c r="Q295" s="567">
        <f>SUM(D288:D293)</f>
        <v>0</v>
      </c>
      <c r="R295" s="568" t="s">
        <v>174</v>
      </c>
      <c r="S295" s="569"/>
      <c r="T295" s="566"/>
      <c r="U295" s="566">
        <f>+L295</f>
        <v>0</v>
      </c>
      <c r="V295" s="566"/>
    </row>
    <row r="296" spans="1:22" s="385" customFormat="1" ht="27.75" customHeight="1" thickTop="1">
      <c r="A296" s="331"/>
      <c r="B296" s="395"/>
      <c r="C296" s="333"/>
      <c r="D296" s="382"/>
      <c r="E296" s="382"/>
      <c r="F296" s="379"/>
      <c r="G296" s="386"/>
      <c r="H296" s="387"/>
      <c r="I296" s="388"/>
      <c r="J296" s="382"/>
      <c r="K296" s="374">
        <f t="shared" si="15"/>
        <v>0</v>
      </c>
      <c r="L296" s="374">
        <f t="shared" si="16"/>
        <v>0</v>
      </c>
      <c r="M296" s="330"/>
      <c r="N296" s="288"/>
      <c r="O296" s="288"/>
      <c r="P296" s="288"/>
      <c r="Q296" s="288"/>
      <c r="S296" s="291"/>
      <c r="T296" s="291"/>
      <c r="U296" s="291"/>
      <c r="V296" s="291"/>
    </row>
    <row r="297" spans="1:22" s="385" customFormat="1" ht="27.75" customHeight="1">
      <c r="A297" s="331"/>
      <c r="B297" s="395" t="s">
        <v>70</v>
      </c>
      <c r="C297" s="333"/>
      <c r="D297" s="382"/>
      <c r="E297" s="382"/>
      <c r="F297" s="379"/>
      <c r="G297" s="386"/>
      <c r="H297" s="387"/>
      <c r="I297" s="388"/>
      <c r="J297" s="382"/>
      <c r="K297" s="374">
        <f t="shared" si="15"/>
        <v>0</v>
      </c>
      <c r="L297" s="374">
        <f t="shared" si="16"/>
        <v>0</v>
      </c>
      <c r="M297" s="330"/>
      <c r="N297" s="288"/>
      <c r="O297" s="288"/>
      <c r="P297" s="288"/>
      <c r="Q297" s="288"/>
      <c r="S297" s="291"/>
      <c r="T297" s="291"/>
      <c r="U297" s="291"/>
      <c r="V297" s="291"/>
    </row>
    <row r="298" spans="1:22" s="385" customFormat="1" ht="27.75" customHeight="1">
      <c r="A298" s="331">
        <v>1</v>
      </c>
      <c r="B298" s="1405" t="s">
        <v>3268</v>
      </c>
      <c r="C298" s="1406" t="s">
        <v>3339</v>
      </c>
      <c r="D298" s="1407"/>
      <c r="E298" s="1408" t="s">
        <v>3420</v>
      </c>
      <c r="F298" s="1409">
        <v>1</v>
      </c>
      <c r="G298" s="1408">
        <v>2140</v>
      </c>
      <c r="H298" s="387"/>
      <c r="I298" s="388"/>
      <c r="J298" s="382"/>
      <c r="K298" s="374">
        <f t="shared" si="15"/>
        <v>246.95599999999999</v>
      </c>
      <c r="L298" s="374">
        <f t="shared" si="16"/>
        <v>0</v>
      </c>
      <c r="M298" s="330"/>
      <c r="N298" s="289"/>
      <c r="O298" s="289"/>
      <c r="P298" s="289"/>
      <c r="Q298" s="289"/>
      <c r="S298" s="291"/>
      <c r="T298" s="291"/>
      <c r="U298" s="291"/>
      <c r="V298" s="291"/>
    </row>
    <row r="299" spans="1:22" s="385" customFormat="1" ht="27.75" customHeight="1">
      <c r="A299" s="331">
        <v>2</v>
      </c>
      <c r="B299" s="1410" t="s">
        <v>465</v>
      </c>
      <c r="C299" s="1411" t="s">
        <v>2011</v>
      </c>
      <c r="D299" s="1412">
        <v>1605</v>
      </c>
      <c r="E299" s="1408" t="s">
        <v>3475</v>
      </c>
      <c r="F299" s="1409">
        <v>1</v>
      </c>
      <c r="G299" s="1413"/>
      <c r="H299" s="387"/>
      <c r="I299" s="388"/>
      <c r="J299" s="382"/>
      <c r="K299" s="374">
        <f t="shared" si="15"/>
        <v>0</v>
      </c>
      <c r="L299" s="374">
        <f t="shared" si="16"/>
        <v>0</v>
      </c>
      <c r="M299" s="330"/>
      <c r="N299" s="289"/>
      <c r="O299" s="289"/>
      <c r="P299" s="289"/>
      <c r="Q299" s="289"/>
      <c r="S299" s="291"/>
      <c r="T299" s="291"/>
      <c r="U299" s="291"/>
      <c r="V299" s="291"/>
    </row>
    <row r="300" spans="1:22" s="385" customFormat="1" ht="27.75" customHeight="1">
      <c r="A300" s="331">
        <v>3</v>
      </c>
      <c r="B300" s="1410" t="s">
        <v>465</v>
      </c>
      <c r="C300" s="1411" t="s">
        <v>2012</v>
      </c>
      <c r="D300" s="1412">
        <v>1605</v>
      </c>
      <c r="E300" s="1408" t="s">
        <v>3475</v>
      </c>
      <c r="F300" s="1409">
        <v>1</v>
      </c>
      <c r="G300" s="1413"/>
      <c r="H300" s="387"/>
      <c r="I300" s="388"/>
      <c r="J300" s="382"/>
      <c r="K300" s="374">
        <f t="shared" si="15"/>
        <v>0</v>
      </c>
      <c r="L300" s="374">
        <f t="shared" si="16"/>
        <v>0</v>
      </c>
      <c r="M300" s="330"/>
      <c r="N300" s="289"/>
      <c r="O300" s="289"/>
      <c r="P300" s="289"/>
      <c r="Q300" s="289"/>
      <c r="S300" s="291"/>
      <c r="T300" s="291"/>
      <c r="U300" s="291"/>
      <c r="V300" s="291"/>
    </row>
    <row r="301" spans="1:22" s="385" customFormat="1" ht="27.75" customHeight="1">
      <c r="A301" s="331">
        <v>4</v>
      </c>
      <c r="B301" s="1405" t="s">
        <v>1535</v>
      </c>
      <c r="C301" s="1414" t="s">
        <v>2013</v>
      </c>
      <c r="D301" s="1412">
        <v>1605</v>
      </c>
      <c r="E301" s="1408" t="s">
        <v>3475</v>
      </c>
      <c r="F301" s="1409">
        <v>1</v>
      </c>
      <c r="G301" s="1413"/>
      <c r="H301" s="387"/>
      <c r="I301" s="388"/>
      <c r="J301" s="382"/>
      <c r="K301" s="374">
        <f t="shared" si="15"/>
        <v>0</v>
      </c>
      <c r="L301" s="374">
        <f t="shared" si="16"/>
        <v>0</v>
      </c>
      <c r="M301" s="330"/>
      <c r="N301" s="289"/>
      <c r="O301" s="289"/>
      <c r="P301" s="289"/>
      <c r="Q301" s="289"/>
      <c r="S301" s="291"/>
      <c r="T301" s="291"/>
      <c r="U301" s="291"/>
      <c r="V301" s="291"/>
    </row>
    <row r="302" spans="1:22" s="385" customFormat="1" ht="27.75" customHeight="1">
      <c r="A302" s="331">
        <v>5</v>
      </c>
      <c r="B302" s="1410" t="s">
        <v>3251</v>
      </c>
      <c r="C302" s="1411" t="s">
        <v>983</v>
      </c>
      <c r="D302" s="1412"/>
      <c r="E302" s="1408" t="s">
        <v>3420</v>
      </c>
      <c r="F302" s="1409">
        <v>1</v>
      </c>
      <c r="G302" s="1413">
        <v>1605</v>
      </c>
      <c r="H302" s="387"/>
      <c r="I302" s="388"/>
      <c r="J302" s="382"/>
      <c r="K302" s="374">
        <f t="shared" si="15"/>
        <v>185.21699999999998</v>
      </c>
      <c r="L302" s="374">
        <f t="shared" si="16"/>
        <v>0</v>
      </c>
      <c r="M302" s="330"/>
      <c r="N302" s="289"/>
      <c r="O302" s="289"/>
      <c r="P302" s="289"/>
      <c r="Q302" s="289"/>
      <c r="S302" s="291"/>
      <c r="T302" s="291"/>
      <c r="U302" s="291"/>
      <c r="V302" s="291"/>
    </row>
    <row r="303" spans="1:22" s="385" customFormat="1" ht="27.75" customHeight="1">
      <c r="A303" s="331">
        <v>6</v>
      </c>
      <c r="B303" s="1410" t="s">
        <v>2048</v>
      </c>
      <c r="C303" s="1411" t="s">
        <v>2049</v>
      </c>
      <c r="D303" s="1407"/>
      <c r="E303" s="1408" t="s">
        <v>3420</v>
      </c>
      <c r="F303" s="1409">
        <v>1</v>
      </c>
      <c r="G303" s="1408">
        <v>21400</v>
      </c>
      <c r="H303" s="387"/>
      <c r="I303" s="388"/>
      <c r="J303" s="382"/>
      <c r="K303" s="374">
        <f t="shared" si="15"/>
        <v>2469.5599999999995</v>
      </c>
      <c r="L303" s="374">
        <f t="shared" si="16"/>
        <v>0</v>
      </c>
      <c r="M303" s="330"/>
      <c r="N303" s="289"/>
      <c r="O303" s="289"/>
      <c r="P303" s="289"/>
      <c r="Q303" s="289"/>
      <c r="S303" s="291"/>
      <c r="T303" s="291"/>
      <c r="U303" s="291"/>
      <c r="V303" s="291"/>
    </row>
    <row r="304" spans="1:22" s="385" customFormat="1" ht="27.75" customHeight="1">
      <c r="A304" s="331">
        <v>7</v>
      </c>
      <c r="B304" s="1405" t="s">
        <v>3252</v>
      </c>
      <c r="C304" s="1414" t="s">
        <v>3253</v>
      </c>
      <c r="D304" s="1412">
        <v>1605</v>
      </c>
      <c r="E304" s="1408" t="s">
        <v>3475</v>
      </c>
      <c r="F304" s="1415">
        <v>1</v>
      </c>
      <c r="G304" s="1416"/>
      <c r="H304" s="387"/>
      <c r="I304" s="388"/>
      <c r="J304" s="382"/>
      <c r="K304" s="374">
        <f t="shared" si="15"/>
        <v>0</v>
      </c>
      <c r="L304" s="374">
        <f t="shared" si="16"/>
        <v>0</v>
      </c>
      <c r="M304" s="330"/>
      <c r="N304" s="289"/>
      <c r="O304" s="289"/>
      <c r="P304" s="289"/>
      <c r="Q304" s="289"/>
      <c r="S304" s="291"/>
      <c r="T304" s="291"/>
      <c r="U304" s="291"/>
      <c r="V304" s="291"/>
    </row>
    <row r="305" spans="1:22" s="385" customFormat="1" ht="27.75" customHeight="1">
      <c r="A305" s="331">
        <v>8</v>
      </c>
      <c r="B305" s="1405" t="s">
        <v>1209</v>
      </c>
      <c r="C305" s="1414" t="s">
        <v>1210</v>
      </c>
      <c r="D305" s="1412">
        <v>535</v>
      </c>
      <c r="E305" s="1408" t="s">
        <v>3475</v>
      </c>
      <c r="F305" s="1415">
        <v>1</v>
      </c>
      <c r="G305" s="1416"/>
      <c r="H305" s="387"/>
      <c r="I305" s="388"/>
      <c r="J305" s="382"/>
      <c r="K305" s="374">
        <f t="shared" si="15"/>
        <v>0</v>
      </c>
      <c r="L305" s="374">
        <f t="shared" si="16"/>
        <v>0</v>
      </c>
      <c r="M305" s="330"/>
      <c r="N305" s="289"/>
      <c r="O305" s="289"/>
      <c r="P305" s="289"/>
      <c r="Q305" s="289"/>
      <c r="S305" s="291"/>
      <c r="T305" s="291"/>
      <c r="U305" s="291"/>
      <c r="V305" s="291"/>
    </row>
    <row r="306" spans="1:22" s="385" customFormat="1" ht="27.75" customHeight="1">
      <c r="A306" s="331">
        <v>9</v>
      </c>
      <c r="B306" s="1405" t="s">
        <v>1211</v>
      </c>
      <c r="C306" s="1414" t="s">
        <v>1212</v>
      </c>
      <c r="D306" s="1412">
        <v>535</v>
      </c>
      <c r="E306" s="1408" t="s">
        <v>3475</v>
      </c>
      <c r="F306" s="1415">
        <v>1</v>
      </c>
      <c r="G306" s="1416"/>
      <c r="H306" s="387"/>
      <c r="I306" s="388"/>
      <c r="J306" s="382"/>
      <c r="K306" s="374">
        <f t="shared" si="15"/>
        <v>0</v>
      </c>
      <c r="L306" s="374">
        <f t="shared" si="16"/>
        <v>0</v>
      </c>
      <c r="M306" s="330"/>
      <c r="N306" s="289"/>
      <c r="O306" s="289"/>
      <c r="P306" s="289"/>
      <c r="Q306" s="289"/>
      <c r="S306" s="291"/>
      <c r="T306" s="291"/>
      <c r="U306" s="291"/>
      <c r="V306" s="291"/>
    </row>
    <row r="307" spans="1:22" s="385" customFormat="1" ht="27.75" customHeight="1">
      <c r="A307" s="331">
        <v>10</v>
      </c>
      <c r="B307" s="1405" t="s">
        <v>3476</v>
      </c>
      <c r="C307" s="1414" t="s">
        <v>3477</v>
      </c>
      <c r="D307" s="1412">
        <v>2140</v>
      </c>
      <c r="E307" s="1417" t="s">
        <v>3475</v>
      </c>
      <c r="F307" s="1418">
        <v>1</v>
      </c>
      <c r="G307" s="1419"/>
      <c r="H307" s="387"/>
      <c r="I307" s="388"/>
      <c r="J307" s="382"/>
      <c r="K307" s="374">
        <f t="shared" si="15"/>
        <v>0</v>
      </c>
      <c r="L307" s="374">
        <f t="shared" si="16"/>
        <v>0</v>
      </c>
      <c r="M307" s="330"/>
      <c r="N307" s="289"/>
      <c r="O307" s="289"/>
      <c r="P307" s="289"/>
      <c r="Q307" s="289"/>
      <c r="S307" s="291"/>
      <c r="T307" s="291"/>
      <c r="U307" s="291"/>
      <c r="V307" s="291"/>
    </row>
    <row r="308" spans="1:22" s="385" customFormat="1" ht="27.75" customHeight="1">
      <c r="A308" s="331">
        <v>11</v>
      </c>
      <c r="B308" s="1405" t="s">
        <v>2996</v>
      </c>
      <c r="C308" s="1414" t="s">
        <v>2997</v>
      </c>
      <c r="D308" s="1420">
        <v>2140</v>
      </c>
      <c r="E308" s="1421" t="s">
        <v>3475</v>
      </c>
      <c r="F308" s="1418">
        <v>1</v>
      </c>
      <c r="G308" s="1419"/>
      <c r="H308" s="387"/>
      <c r="I308" s="388"/>
      <c r="J308" s="382"/>
      <c r="K308" s="374">
        <f t="shared" si="15"/>
        <v>0</v>
      </c>
      <c r="L308" s="374">
        <f t="shared" si="16"/>
        <v>0</v>
      </c>
      <c r="M308" s="330"/>
      <c r="N308" s="289"/>
      <c r="O308" s="289"/>
      <c r="P308" s="289"/>
      <c r="Q308" s="289"/>
      <c r="S308" s="291"/>
      <c r="T308" s="291"/>
      <c r="U308" s="291"/>
      <c r="V308" s="291"/>
    </row>
    <row r="309" spans="1:22" s="385" customFormat="1" ht="27.75" customHeight="1">
      <c r="A309" s="331">
        <v>12</v>
      </c>
      <c r="B309" s="1405" t="s">
        <v>2850</v>
      </c>
      <c r="C309" s="1414" t="s">
        <v>2851</v>
      </c>
      <c r="D309" s="1420">
        <v>2140</v>
      </c>
      <c r="E309" s="1421" t="s">
        <v>3475</v>
      </c>
      <c r="F309" s="1418">
        <v>1</v>
      </c>
      <c r="G309" s="1419"/>
      <c r="H309" s="387"/>
      <c r="I309" s="388"/>
      <c r="J309" s="382"/>
      <c r="K309" s="374">
        <f t="shared" si="15"/>
        <v>0</v>
      </c>
      <c r="L309" s="374">
        <f t="shared" si="16"/>
        <v>0</v>
      </c>
      <c r="M309" s="330"/>
      <c r="N309" s="289"/>
      <c r="O309" s="289"/>
      <c r="P309" s="289"/>
      <c r="Q309" s="289"/>
      <c r="S309" s="291"/>
      <c r="T309" s="291"/>
      <c r="U309" s="291"/>
      <c r="V309" s="291"/>
    </row>
    <row r="310" spans="1:22" s="385" customFormat="1" ht="27.75" customHeight="1">
      <c r="A310" s="331">
        <v>13</v>
      </c>
      <c r="B310" s="1405" t="s">
        <v>2300</v>
      </c>
      <c r="C310" s="1414" t="s">
        <v>2301</v>
      </c>
      <c r="D310" s="1420">
        <v>4280</v>
      </c>
      <c r="E310" s="1421" t="s">
        <v>3475</v>
      </c>
      <c r="F310" s="1418">
        <v>1</v>
      </c>
      <c r="G310" s="1419"/>
      <c r="H310" s="387"/>
      <c r="I310" s="388"/>
      <c r="J310" s="382"/>
      <c r="K310" s="374">
        <f t="shared" si="15"/>
        <v>0</v>
      </c>
      <c r="L310" s="374">
        <f t="shared" si="16"/>
        <v>0</v>
      </c>
      <c r="M310" s="330"/>
      <c r="N310" s="289"/>
      <c r="O310" s="289"/>
      <c r="P310" s="289"/>
      <c r="Q310" s="289"/>
      <c r="S310" s="291"/>
      <c r="T310" s="291"/>
      <c r="U310" s="291"/>
      <c r="V310" s="291"/>
    </row>
    <row r="311" spans="1:22" s="385" customFormat="1" ht="27.75" customHeight="1" thickBot="1">
      <c r="A311" s="331"/>
      <c r="B311" s="556"/>
      <c r="C311" s="571"/>
      <c r="D311" s="572"/>
      <c r="E311" s="572"/>
      <c r="F311" s="573"/>
      <c r="G311" s="367"/>
      <c r="H311" s="387"/>
      <c r="I311" s="388"/>
      <c r="J311" s="382"/>
      <c r="K311" s="374">
        <f t="shared" si="15"/>
        <v>0</v>
      </c>
      <c r="L311" s="374">
        <f t="shared" si="16"/>
        <v>0</v>
      </c>
      <c r="M311" s="330"/>
      <c r="N311" s="289"/>
      <c r="O311" s="289"/>
      <c r="P311" s="289"/>
      <c r="Q311" s="289"/>
      <c r="S311" s="291"/>
      <c r="T311" s="291"/>
      <c r="U311" s="291"/>
      <c r="V311" s="291"/>
    </row>
    <row r="312" spans="1:22" s="455" customFormat="1" ht="27.75" customHeight="1" thickTop="1" thickBot="1">
      <c r="A312" s="450"/>
      <c r="B312" s="444"/>
      <c r="C312" s="550"/>
      <c r="D312" s="574"/>
      <c r="E312" s="453"/>
      <c r="F312" s="458"/>
      <c r="G312" s="386"/>
      <c r="H312" s="444"/>
      <c r="I312" s="458"/>
      <c r="J312" s="453"/>
      <c r="K312" s="374">
        <f t="shared" si="15"/>
        <v>0</v>
      </c>
      <c r="L312" s="446">
        <f t="shared" si="16"/>
        <v>0</v>
      </c>
      <c r="M312" s="551"/>
      <c r="N312" s="452">
        <f>SUM(G298:G312)</f>
        <v>25145</v>
      </c>
      <c r="O312" s="452">
        <f>SUM(J298:J312)</f>
        <v>0</v>
      </c>
      <c r="P312" s="452">
        <f>SUM(N312:O312)</f>
        <v>25145</v>
      </c>
      <c r="Q312" s="481">
        <f>SUM(D298:D312)</f>
        <v>18190</v>
      </c>
      <c r="R312" s="552" t="s">
        <v>70</v>
      </c>
      <c r="S312" s="483"/>
      <c r="T312" s="452"/>
      <c r="U312" s="452"/>
      <c r="V312" s="452"/>
    </row>
    <row r="313" spans="1:22" ht="27.75" customHeight="1" thickTop="1">
      <c r="B313" s="332" t="s">
        <v>35</v>
      </c>
      <c r="C313" s="363"/>
      <c r="D313" s="338"/>
      <c r="F313" s="397"/>
      <c r="G313" s="386"/>
      <c r="H313" s="332"/>
      <c r="I313" s="397"/>
      <c r="J313" s="335"/>
      <c r="K313" s="374">
        <f t="shared" si="15"/>
        <v>0</v>
      </c>
      <c r="L313" s="338">
        <f t="shared" si="16"/>
        <v>0</v>
      </c>
      <c r="Q313" s="478"/>
      <c r="R313" s="479"/>
      <c r="S313" s="287"/>
      <c r="T313" s="289"/>
      <c r="U313" s="289"/>
      <c r="V313" s="289"/>
    </row>
    <row r="314" spans="1:22" ht="27.75" customHeight="1">
      <c r="A314" s="331">
        <v>1</v>
      </c>
      <c r="B314" s="1422" t="s">
        <v>3263</v>
      </c>
      <c r="C314" s="1422" t="s">
        <v>3484</v>
      </c>
      <c r="D314" s="502"/>
      <c r="E314" s="502" t="s">
        <v>3420</v>
      </c>
      <c r="F314" s="1346">
        <v>1</v>
      </c>
      <c r="G314" s="367">
        <v>173.34</v>
      </c>
      <c r="H314" s="332"/>
      <c r="I314" s="397"/>
      <c r="J314" s="335"/>
      <c r="K314" s="374">
        <f t="shared" si="15"/>
        <v>20.003436000000001</v>
      </c>
      <c r="L314" s="338">
        <f t="shared" si="16"/>
        <v>0</v>
      </c>
      <c r="Q314" s="478"/>
      <c r="R314" s="479"/>
      <c r="S314" s="287"/>
      <c r="T314" s="289"/>
      <c r="U314" s="289"/>
      <c r="V314" s="289"/>
    </row>
    <row r="315" spans="1:22" s="385" customFormat="1" ht="27.75" customHeight="1" thickBot="1">
      <c r="A315" s="331">
        <v>2</v>
      </c>
      <c r="B315" s="1423" t="s">
        <v>3138</v>
      </c>
      <c r="C315" s="1345" t="s">
        <v>3341</v>
      </c>
      <c r="D315" s="557"/>
      <c r="E315" s="557" t="s">
        <v>3420</v>
      </c>
      <c r="F315" s="1346">
        <v>1</v>
      </c>
      <c r="G315" s="367">
        <v>107</v>
      </c>
      <c r="H315" s="387"/>
      <c r="I315" s="388"/>
      <c r="J315" s="382"/>
      <c r="K315" s="374">
        <f t="shared" si="15"/>
        <v>12.347799999999999</v>
      </c>
      <c r="L315" s="374">
        <f t="shared" si="16"/>
        <v>0</v>
      </c>
      <c r="M315" s="330"/>
      <c r="N315" s="289"/>
      <c r="O315" s="289"/>
      <c r="P315" s="289"/>
      <c r="Q315" s="289"/>
      <c r="S315" s="291"/>
      <c r="T315" s="291"/>
      <c r="U315" s="291"/>
      <c r="V315" s="291"/>
    </row>
    <row r="316" spans="1:22" s="455" customFormat="1" ht="27.75" customHeight="1" thickTop="1" thickBot="1">
      <c r="A316" s="450"/>
      <c r="B316" s="457"/>
      <c r="C316" s="555"/>
      <c r="D316" s="446"/>
      <c r="E316" s="453"/>
      <c r="F316" s="458"/>
      <c r="G316" s="386"/>
      <c r="H316" s="575"/>
      <c r="I316" s="450"/>
      <c r="J316" s="576"/>
      <c r="K316" s="374">
        <f t="shared" si="15"/>
        <v>0</v>
      </c>
      <c r="L316" s="374">
        <f t="shared" si="16"/>
        <v>0</v>
      </c>
      <c r="M316" s="551"/>
      <c r="N316" s="452">
        <f>SUM(G314:G316)</f>
        <v>280.34000000000003</v>
      </c>
      <c r="O316" s="452">
        <f>SUM(J314:J316)</f>
        <v>0</v>
      </c>
      <c r="P316" s="452">
        <f>+N316+O316</f>
        <v>280.34000000000003</v>
      </c>
      <c r="Q316" s="481">
        <f>SUM(D314:D316)</f>
        <v>0</v>
      </c>
      <c r="R316" s="552" t="s">
        <v>112</v>
      </c>
      <c r="S316" s="483"/>
      <c r="T316" s="452"/>
      <c r="U316" s="452"/>
      <c r="V316" s="452"/>
    </row>
    <row r="317" spans="1:22" ht="27.75" customHeight="1" thickTop="1">
      <c r="B317" s="393" t="s">
        <v>36</v>
      </c>
      <c r="C317" s="477"/>
      <c r="D317" s="338"/>
      <c r="E317" s="409"/>
      <c r="F317" s="362"/>
      <c r="G317" s="386"/>
      <c r="H317" s="364"/>
      <c r="J317" s="409"/>
      <c r="K317" s="374">
        <f t="shared" si="15"/>
        <v>0</v>
      </c>
      <c r="L317" s="374">
        <f t="shared" si="16"/>
        <v>0</v>
      </c>
      <c r="Q317" s="478"/>
      <c r="R317" s="479"/>
      <c r="S317" s="287"/>
      <c r="T317" s="289"/>
      <c r="U317" s="289"/>
      <c r="V317" s="289"/>
    </row>
    <row r="318" spans="1:22" ht="27.75" customHeight="1">
      <c r="A318" s="331">
        <v>1</v>
      </c>
      <c r="B318" s="393" t="s">
        <v>3485</v>
      </c>
      <c r="C318" s="477" t="s">
        <v>3486</v>
      </c>
      <c r="D318" s="338"/>
      <c r="E318" s="409" t="s">
        <v>3420</v>
      </c>
      <c r="F318" s="362">
        <v>1</v>
      </c>
      <c r="G318" s="386">
        <v>535</v>
      </c>
      <c r="H318" s="364"/>
      <c r="J318" s="409"/>
      <c r="K318" s="374">
        <f t="shared" si="15"/>
        <v>61.738999999999997</v>
      </c>
      <c r="L318" s="374">
        <f t="shared" si="16"/>
        <v>0</v>
      </c>
      <c r="Q318" s="478"/>
      <c r="R318" s="479"/>
      <c r="S318" s="287"/>
      <c r="T318" s="289"/>
      <c r="U318" s="289"/>
      <c r="V318" s="289"/>
    </row>
    <row r="319" spans="1:22" ht="27.75" customHeight="1" thickBot="1">
      <c r="B319" s="393"/>
      <c r="C319" s="477"/>
      <c r="D319" s="338"/>
      <c r="E319" s="409"/>
      <c r="F319" s="362"/>
      <c r="G319" s="386"/>
      <c r="H319" s="364"/>
      <c r="J319" s="409"/>
      <c r="K319" s="374">
        <f t="shared" si="15"/>
        <v>0</v>
      </c>
      <c r="L319" s="374">
        <f t="shared" si="16"/>
        <v>0</v>
      </c>
      <c r="Q319" s="478"/>
      <c r="R319" s="479"/>
      <c r="S319" s="287"/>
      <c r="T319" s="289"/>
      <c r="U319" s="289"/>
      <c r="V319" s="289"/>
    </row>
    <row r="320" spans="1:22" s="455" customFormat="1" ht="27.75" customHeight="1" thickTop="1" thickBot="1">
      <c r="A320" s="450"/>
      <c r="B320" s="457"/>
      <c r="C320" s="555"/>
      <c r="D320" s="446"/>
      <c r="E320" s="453"/>
      <c r="F320" s="458"/>
      <c r="G320" s="386"/>
      <c r="H320" s="444"/>
      <c r="I320" s="458"/>
      <c r="J320" s="453"/>
      <c r="K320" s="374">
        <f t="shared" si="15"/>
        <v>0</v>
      </c>
      <c r="L320" s="446">
        <f t="shared" si="16"/>
        <v>0</v>
      </c>
      <c r="M320" s="551"/>
      <c r="N320" s="452">
        <f>SUM(G318:G320)</f>
        <v>535</v>
      </c>
      <c r="O320" s="452">
        <f>SUM(J317:J320)</f>
        <v>0</v>
      </c>
      <c r="P320" s="452">
        <f>SUM(N317:O320)</f>
        <v>535</v>
      </c>
      <c r="Q320" s="481">
        <f>SUM(D317:D320)</f>
        <v>0</v>
      </c>
      <c r="R320" s="552" t="s">
        <v>36</v>
      </c>
      <c r="S320" s="483"/>
      <c r="T320" s="452"/>
      <c r="U320" s="452"/>
      <c r="V320" s="452"/>
    </row>
    <row r="321" spans="1:22" ht="27.75" customHeight="1" thickTop="1">
      <c r="B321" s="577" t="s">
        <v>73</v>
      </c>
      <c r="C321" s="578"/>
      <c r="D321" s="557"/>
      <c r="E321" s="475"/>
      <c r="F321" s="579"/>
      <c r="G321" s="386"/>
      <c r="H321" s="332"/>
      <c r="I321" s="397"/>
      <c r="J321" s="335"/>
      <c r="K321" s="374">
        <f t="shared" si="15"/>
        <v>0</v>
      </c>
      <c r="L321" s="374">
        <f t="shared" si="16"/>
        <v>0</v>
      </c>
    </row>
    <row r="322" spans="1:22" ht="27.75" customHeight="1">
      <c r="A322" s="331">
        <v>1</v>
      </c>
      <c r="B322" s="577" t="s">
        <v>3478</v>
      </c>
      <c r="C322" s="578" t="s">
        <v>3481</v>
      </c>
      <c r="D322" s="557"/>
      <c r="E322" s="475" t="s">
        <v>3420</v>
      </c>
      <c r="F322" s="579">
        <v>1</v>
      </c>
      <c r="G322" s="386">
        <v>107</v>
      </c>
      <c r="H322" s="332"/>
      <c r="I322" s="397"/>
      <c r="J322" s="335"/>
      <c r="K322" s="374">
        <f t="shared" si="15"/>
        <v>12.347799999999999</v>
      </c>
      <c r="L322" s="374">
        <f t="shared" si="16"/>
        <v>0</v>
      </c>
      <c r="Q322" s="478"/>
      <c r="R322" s="479"/>
      <c r="S322" s="297"/>
    </row>
    <row r="323" spans="1:22" ht="27.75" customHeight="1">
      <c r="A323" s="331">
        <v>2</v>
      </c>
      <c r="B323" s="577" t="s">
        <v>3255</v>
      </c>
      <c r="C323" s="578" t="s">
        <v>3260</v>
      </c>
      <c r="D323" s="557"/>
      <c r="E323" s="475" t="s">
        <v>3420</v>
      </c>
      <c r="F323" s="579">
        <v>1</v>
      </c>
      <c r="G323" s="386">
        <v>214</v>
      </c>
      <c r="H323" s="332"/>
      <c r="I323" s="397"/>
      <c r="J323" s="335"/>
      <c r="K323" s="374">
        <f t="shared" si="15"/>
        <v>24.695599999999999</v>
      </c>
      <c r="L323" s="374">
        <f t="shared" si="16"/>
        <v>0</v>
      </c>
      <c r="Q323" s="478"/>
      <c r="R323" s="479"/>
      <c r="S323" s="297"/>
    </row>
    <row r="324" spans="1:22" ht="27.75" customHeight="1">
      <c r="A324" s="331">
        <v>3</v>
      </c>
      <c r="B324" s="577" t="s">
        <v>3479</v>
      </c>
      <c r="C324" s="578" t="s">
        <v>3482</v>
      </c>
      <c r="D324" s="557"/>
      <c r="E324" s="475" t="s">
        <v>3420</v>
      </c>
      <c r="F324" s="579">
        <v>1</v>
      </c>
      <c r="G324" s="386">
        <v>107</v>
      </c>
      <c r="H324" s="332"/>
      <c r="I324" s="397"/>
      <c r="J324" s="335"/>
      <c r="K324" s="374">
        <f t="shared" si="15"/>
        <v>12.347799999999999</v>
      </c>
      <c r="L324" s="374">
        <f t="shared" si="16"/>
        <v>0</v>
      </c>
      <c r="Q324" s="478"/>
      <c r="R324" s="479"/>
      <c r="S324" s="297"/>
    </row>
    <row r="325" spans="1:22" ht="27.75" customHeight="1">
      <c r="A325" s="331">
        <v>4</v>
      </c>
      <c r="B325" s="577" t="s">
        <v>3268</v>
      </c>
      <c r="C325" s="578" t="s">
        <v>3340</v>
      </c>
      <c r="D325" s="557"/>
      <c r="E325" s="475" t="s">
        <v>3420</v>
      </c>
      <c r="F325" s="579">
        <v>1</v>
      </c>
      <c r="G325" s="386">
        <v>214</v>
      </c>
      <c r="H325" s="332"/>
      <c r="I325" s="397"/>
      <c r="J325" s="335"/>
      <c r="K325" s="374">
        <f t="shared" si="15"/>
        <v>24.695599999999999</v>
      </c>
      <c r="L325" s="374">
        <f t="shared" si="16"/>
        <v>0</v>
      </c>
      <c r="Q325" s="478"/>
      <c r="R325" s="479"/>
      <c r="S325" s="297"/>
    </row>
    <row r="326" spans="1:22" ht="27.75" customHeight="1">
      <c r="A326" s="331">
        <v>5</v>
      </c>
      <c r="B326" s="577" t="s">
        <v>3261</v>
      </c>
      <c r="C326" s="578" t="s">
        <v>3262</v>
      </c>
      <c r="D326" s="557"/>
      <c r="E326" s="475" t="s">
        <v>3420</v>
      </c>
      <c r="F326" s="579">
        <v>1</v>
      </c>
      <c r="G326" s="386">
        <v>214</v>
      </c>
      <c r="H326" s="332"/>
      <c r="I326" s="397"/>
      <c r="J326" s="335"/>
      <c r="K326" s="374">
        <f t="shared" si="15"/>
        <v>24.695599999999999</v>
      </c>
      <c r="L326" s="374">
        <f t="shared" si="16"/>
        <v>0</v>
      </c>
      <c r="Q326" s="478"/>
      <c r="R326" s="479"/>
      <c r="S326" s="297"/>
    </row>
    <row r="327" spans="1:22" ht="27.75" customHeight="1">
      <c r="A327" s="331">
        <v>6</v>
      </c>
      <c r="B327" s="577" t="s">
        <v>2676</v>
      </c>
      <c r="C327" s="578" t="s">
        <v>3185</v>
      </c>
      <c r="D327" s="557">
        <v>214</v>
      </c>
      <c r="E327" s="475" t="s">
        <v>3475</v>
      </c>
      <c r="F327" s="579">
        <v>1</v>
      </c>
      <c r="G327" s="386"/>
      <c r="H327" s="332"/>
      <c r="I327" s="397"/>
      <c r="J327" s="335"/>
      <c r="K327" s="374">
        <f t="shared" si="15"/>
        <v>0</v>
      </c>
      <c r="L327" s="374">
        <f t="shared" si="16"/>
        <v>0</v>
      </c>
      <c r="Q327" s="478"/>
      <c r="R327" s="479"/>
      <c r="S327" s="297"/>
    </row>
    <row r="328" spans="1:22" ht="27.75" customHeight="1">
      <c r="A328" s="331">
        <v>7</v>
      </c>
      <c r="B328" s="577" t="s">
        <v>3138</v>
      </c>
      <c r="C328" s="578" t="s">
        <v>3139</v>
      </c>
      <c r="D328" s="557"/>
      <c r="E328" s="475" t="s">
        <v>3420</v>
      </c>
      <c r="F328" s="579">
        <v>1</v>
      </c>
      <c r="G328" s="386">
        <v>214</v>
      </c>
      <c r="H328" s="332"/>
      <c r="I328" s="397"/>
      <c r="J328" s="335"/>
      <c r="K328" s="374">
        <f t="shared" si="15"/>
        <v>24.695599999999999</v>
      </c>
      <c r="L328" s="374">
        <f t="shared" si="16"/>
        <v>0</v>
      </c>
      <c r="Q328" s="478"/>
      <c r="R328" s="479"/>
      <c r="S328" s="297"/>
    </row>
    <row r="329" spans="1:22" ht="27.75" customHeight="1">
      <c r="A329" s="331">
        <v>8</v>
      </c>
      <c r="B329" s="577" t="s">
        <v>3263</v>
      </c>
      <c r="C329" s="578" t="s">
        <v>1536</v>
      </c>
      <c r="D329" s="557"/>
      <c r="E329" s="475" t="s">
        <v>3420</v>
      </c>
      <c r="F329" s="579">
        <v>1</v>
      </c>
      <c r="G329" s="386">
        <v>107</v>
      </c>
      <c r="H329" s="332"/>
      <c r="I329" s="397"/>
      <c r="J329" s="335"/>
      <c r="K329" s="374">
        <f t="shared" si="15"/>
        <v>12.347799999999999</v>
      </c>
      <c r="L329" s="374">
        <f t="shared" si="16"/>
        <v>0</v>
      </c>
      <c r="Q329" s="478"/>
      <c r="R329" s="479"/>
      <c r="S329" s="297"/>
    </row>
    <row r="330" spans="1:22" ht="27.75" customHeight="1">
      <c r="A330" s="331">
        <v>9</v>
      </c>
      <c r="B330" s="577" t="s">
        <v>3258</v>
      </c>
      <c r="C330" s="578" t="s">
        <v>3264</v>
      </c>
      <c r="D330" s="557"/>
      <c r="E330" s="475" t="s">
        <v>3420</v>
      </c>
      <c r="F330" s="579">
        <v>1</v>
      </c>
      <c r="G330" s="386">
        <v>107</v>
      </c>
      <c r="H330" s="332"/>
      <c r="I330" s="397"/>
      <c r="J330" s="335"/>
      <c r="K330" s="374">
        <f t="shared" si="15"/>
        <v>12.347799999999999</v>
      </c>
      <c r="L330" s="374">
        <f t="shared" si="16"/>
        <v>0</v>
      </c>
      <c r="Q330" s="478"/>
      <c r="R330" s="479"/>
      <c r="S330" s="297"/>
    </row>
    <row r="331" spans="1:22" ht="27.75" customHeight="1">
      <c r="A331" s="331">
        <v>10</v>
      </c>
      <c r="B331" s="577" t="s">
        <v>2854</v>
      </c>
      <c r="C331" s="578" t="s">
        <v>2855</v>
      </c>
      <c r="D331" s="557"/>
      <c r="E331" s="475" t="s">
        <v>3420</v>
      </c>
      <c r="F331" s="579">
        <v>1</v>
      </c>
      <c r="G331" s="386">
        <v>535</v>
      </c>
      <c r="H331" s="332"/>
      <c r="I331" s="397"/>
      <c r="J331" s="335"/>
      <c r="K331" s="374">
        <f t="shared" si="15"/>
        <v>61.738999999999997</v>
      </c>
      <c r="L331" s="374">
        <f t="shared" si="16"/>
        <v>0</v>
      </c>
      <c r="Q331" s="478"/>
      <c r="R331" s="479"/>
      <c r="S331" s="297"/>
    </row>
    <row r="332" spans="1:22" ht="27.75" customHeight="1">
      <c r="A332" s="331">
        <v>11</v>
      </c>
      <c r="B332" s="577" t="s">
        <v>2854</v>
      </c>
      <c r="C332" s="578" t="s">
        <v>2856</v>
      </c>
      <c r="D332" s="557"/>
      <c r="E332" s="475" t="s">
        <v>3420</v>
      </c>
      <c r="F332" s="579">
        <v>1</v>
      </c>
      <c r="G332" s="386">
        <v>535</v>
      </c>
      <c r="H332" s="332"/>
      <c r="I332" s="397"/>
      <c r="J332" s="335"/>
      <c r="K332" s="374">
        <f t="shared" si="15"/>
        <v>61.738999999999997</v>
      </c>
      <c r="L332" s="374">
        <f t="shared" si="16"/>
        <v>0</v>
      </c>
      <c r="Q332" s="478"/>
      <c r="R332" s="479"/>
      <c r="S332" s="297"/>
    </row>
    <row r="333" spans="1:22" ht="27.75" customHeight="1">
      <c r="A333" s="331">
        <v>12</v>
      </c>
      <c r="B333" s="577" t="s">
        <v>3476</v>
      </c>
      <c r="C333" s="578" t="s">
        <v>3483</v>
      </c>
      <c r="D333" s="557">
        <v>107</v>
      </c>
      <c r="E333" s="475" t="s">
        <v>3475</v>
      </c>
      <c r="F333" s="579">
        <v>1</v>
      </c>
      <c r="G333" s="386"/>
      <c r="H333" s="332"/>
      <c r="I333" s="397"/>
      <c r="J333" s="335"/>
      <c r="K333" s="374">
        <f t="shared" si="15"/>
        <v>0</v>
      </c>
      <c r="L333" s="374">
        <f t="shared" si="16"/>
        <v>0</v>
      </c>
      <c r="Q333" s="478"/>
      <c r="R333" s="479"/>
      <c r="S333" s="297"/>
    </row>
    <row r="334" spans="1:22" ht="27.75" customHeight="1">
      <c r="A334" s="331">
        <v>13</v>
      </c>
      <c r="B334" s="577" t="s">
        <v>3140</v>
      </c>
      <c r="C334" s="578" t="s">
        <v>3141</v>
      </c>
      <c r="D334" s="557">
        <v>107</v>
      </c>
      <c r="E334" s="475" t="s">
        <v>3475</v>
      </c>
      <c r="F334" s="579">
        <v>1</v>
      </c>
      <c r="G334" s="386"/>
      <c r="H334" s="332"/>
      <c r="I334" s="397"/>
      <c r="J334" s="335"/>
      <c r="K334" s="374">
        <f t="shared" si="15"/>
        <v>0</v>
      </c>
      <c r="L334" s="374">
        <f t="shared" si="16"/>
        <v>0</v>
      </c>
      <c r="Q334" s="478"/>
      <c r="R334" s="479"/>
      <c r="S334" s="297"/>
    </row>
    <row r="335" spans="1:22" ht="27.75" customHeight="1" thickBot="1">
      <c r="K335" s="374"/>
      <c r="L335" s="374"/>
    </row>
    <row r="336" spans="1:22" s="455" customFormat="1" ht="27.75" customHeight="1" thickTop="1" thickBot="1">
      <c r="A336" s="450"/>
      <c r="B336" s="550"/>
      <c r="C336" s="457"/>
      <c r="D336" s="453"/>
      <c r="E336" s="453"/>
      <c r="F336" s="458"/>
      <c r="G336" s="386"/>
      <c r="H336" s="444"/>
      <c r="I336" s="458"/>
      <c r="J336" s="453"/>
      <c r="K336" s="374">
        <f t="shared" ref="K336:K378" si="17">G336*11.54/100</f>
        <v>0</v>
      </c>
      <c r="L336" s="446">
        <f t="shared" ref="L336:L352" si="18">+J336</f>
        <v>0</v>
      </c>
      <c r="M336" s="551"/>
      <c r="N336" s="581">
        <f>SUM(G321:G336)</f>
        <v>2354</v>
      </c>
      <c r="O336" s="452">
        <f>SUM(J321:J336)</f>
        <v>0</v>
      </c>
      <c r="P336" s="452">
        <f>+N336+O336</f>
        <v>2354</v>
      </c>
      <c r="Q336" s="582">
        <f>SUM(D321:D336)</f>
        <v>428</v>
      </c>
      <c r="R336" s="552" t="s">
        <v>178</v>
      </c>
      <c r="S336" s="483"/>
      <c r="T336" s="452"/>
      <c r="U336" s="452"/>
      <c r="V336" s="452"/>
    </row>
    <row r="337" spans="1:22" ht="27.75" customHeight="1" thickTop="1">
      <c r="B337" s="363" t="s">
        <v>2960</v>
      </c>
      <c r="C337" s="393"/>
      <c r="D337" s="335"/>
      <c r="F337" s="397"/>
      <c r="G337" s="386"/>
      <c r="H337" s="332"/>
      <c r="I337" s="397"/>
      <c r="J337" s="335"/>
      <c r="K337" s="374">
        <f t="shared" si="17"/>
        <v>0</v>
      </c>
      <c r="L337" s="338">
        <f t="shared" si="18"/>
        <v>0</v>
      </c>
      <c r="Q337" s="478"/>
      <c r="R337" s="479"/>
      <c r="S337" s="287"/>
      <c r="T337" s="289"/>
      <c r="U337" s="289"/>
      <c r="V337" s="289"/>
    </row>
    <row r="338" spans="1:22" ht="27.75" customHeight="1">
      <c r="B338" s="363"/>
      <c r="C338" s="393"/>
      <c r="D338" s="335"/>
      <c r="F338" s="397"/>
      <c r="G338" s="386"/>
      <c r="H338" s="332"/>
      <c r="I338" s="397"/>
      <c r="J338" s="335"/>
      <c r="K338" s="374"/>
      <c r="L338" s="338"/>
      <c r="Q338" s="478"/>
      <c r="R338" s="479"/>
      <c r="S338" s="287"/>
      <c r="T338" s="289"/>
      <c r="U338" s="289"/>
      <c r="V338" s="289"/>
    </row>
    <row r="339" spans="1:22" s="385" customFormat="1" ht="27.75" customHeight="1" thickBot="1">
      <c r="A339" s="379"/>
      <c r="B339" s="395"/>
      <c r="C339" s="333"/>
      <c r="D339" s="382"/>
      <c r="E339" s="382"/>
      <c r="F339" s="583"/>
      <c r="G339" s="386"/>
      <c r="H339" s="382"/>
      <c r="I339" s="388"/>
      <c r="J339" s="382"/>
      <c r="K339" s="374"/>
      <c r="L339" s="338"/>
      <c r="M339" s="330"/>
      <c r="N339" s="288"/>
      <c r="O339" s="288"/>
      <c r="P339" s="288"/>
      <c r="Q339" s="288"/>
      <c r="S339" s="291"/>
      <c r="T339" s="291"/>
      <c r="U339" s="291"/>
      <c r="V339" s="291"/>
    </row>
    <row r="340" spans="1:22" s="455" customFormat="1" ht="27.75" customHeight="1" thickTop="1" thickBot="1">
      <c r="A340" s="450"/>
      <c r="B340" s="457"/>
      <c r="C340" s="555"/>
      <c r="D340" s="453"/>
      <c r="E340" s="453"/>
      <c r="F340" s="450"/>
      <c r="G340" s="386"/>
      <c r="H340" s="444"/>
      <c r="I340" s="458"/>
      <c r="J340" s="453"/>
      <c r="K340" s="374">
        <f t="shared" si="17"/>
        <v>0</v>
      </c>
      <c r="L340" s="446">
        <f t="shared" si="18"/>
        <v>0</v>
      </c>
      <c r="M340" s="551"/>
      <c r="N340" s="452">
        <f>SUM(G338:G340)</f>
        <v>0</v>
      </c>
      <c r="O340" s="452">
        <f>SUM(J339:J340)</f>
        <v>0</v>
      </c>
      <c r="P340" s="452">
        <f>+N340+O340</f>
        <v>0</v>
      </c>
      <c r="Q340" s="481">
        <f>SUM(D339:D340)</f>
        <v>0</v>
      </c>
      <c r="R340" s="552" t="s">
        <v>2960</v>
      </c>
      <c r="S340" s="483"/>
      <c r="T340" s="452"/>
      <c r="U340" s="452"/>
      <c r="V340" s="452"/>
    </row>
    <row r="341" spans="1:22" s="385" customFormat="1" ht="27.75" customHeight="1" thickTop="1">
      <c r="A341" s="379"/>
      <c r="B341" s="395" t="s">
        <v>219</v>
      </c>
      <c r="C341" s="333"/>
      <c r="D341" s="382"/>
      <c r="E341" s="335"/>
      <c r="F341" s="331"/>
      <c r="G341" s="386"/>
      <c r="H341" s="387"/>
      <c r="I341" s="388"/>
      <c r="J341" s="382"/>
      <c r="K341" s="374">
        <f t="shared" si="17"/>
        <v>0</v>
      </c>
      <c r="L341" s="374">
        <f t="shared" si="18"/>
        <v>0</v>
      </c>
      <c r="M341" s="330"/>
      <c r="N341" s="288"/>
      <c r="O341" s="288"/>
      <c r="P341" s="288"/>
      <c r="Q341" s="288"/>
      <c r="S341" s="291"/>
      <c r="T341" s="291"/>
      <c r="U341" s="291"/>
      <c r="V341" s="291"/>
    </row>
    <row r="342" spans="1:22" s="385" customFormat="1" ht="27.75" customHeight="1">
      <c r="A342" s="379">
        <v>1</v>
      </c>
      <c r="B342" s="395" t="s">
        <v>3265</v>
      </c>
      <c r="C342" s="333" t="s">
        <v>3266</v>
      </c>
      <c r="D342" s="382"/>
      <c r="E342" s="335"/>
      <c r="F342" s="331"/>
      <c r="G342" s="386">
        <v>3272.76</v>
      </c>
      <c r="H342" s="387"/>
      <c r="I342" s="388"/>
      <c r="J342" s="382"/>
      <c r="K342" s="374">
        <f t="shared" si="17"/>
        <v>377.67650399999997</v>
      </c>
      <c r="L342" s="374">
        <f t="shared" si="18"/>
        <v>0</v>
      </c>
      <c r="M342" s="330"/>
      <c r="N342" s="288"/>
      <c r="O342" s="288"/>
      <c r="P342" s="288"/>
      <c r="Q342" s="288"/>
      <c r="S342" s="291"/>
      <c r="T342" s="291"/>
      <c r="U342" s="291"/>
      <c r="V342" s="291"/>
    </row>
    <row r="343" spans="1:22" s="385" customFormat="1" ht="27.75" customHeight="1">
      <c r="A343" s="379">
        <v>2</v>
      </c>
      <c r="B343" s="395" t="s">
        <v>3255</v>
      </c>
      <c r="C343" s="333" t="s">
        <v>3267</v>
      </c>
      <c r="D343" s="382"/>
      <c r="E343" s="335"/>
      <c r="F343" s="331"/>
      <c r="G343" s="386">
        <v>3272.76</v>
      </c>
      <c r="H343" s="387"/>
      <c r="I343" s="388"/>
      <c r="J343" s="382"/>
      <c r="K343" s="374">
        <f t="shared" si="17"/>
        <v>377.67650399999997</v>
      </c>
      <c r="L343" s="374">
        <f t="shared" si="18"/>
        <v>0</v>
      </c>
      <c r="M343" s="330"/>
      <c r="N343" s="288"/>
      <c r="O343" s="288"/>
      <c r="P343" s="288"/>
      <c r="Q343" s="288"/>
      <c r="S343" s="291"/>
      <c r="T343" s="291"/>
      <c r="U343" s="291"/>
      <c r="V343" s="291"/>
    </row>
    <row r="344" spans="1:22" s="385" customFormat="1" ht="27.75" customHeight="1">
      <c r="A344" s="379">
        <v>3</v>
      </c>
      <c r="B344" s="395" t="s">
        <v>3270</v>
      </c>
      <c r="C344" s="333" t="s">
        <v>2855</v>
      </c>
      <c r="D344" s="382"/>
      <c r="E344" s="335"/>
      <c r="F344" s="331"/>
      <c r="G344" s="386">
        <v>9828</v>
      </c>
      <c r="H344" s="387"/>
      <c r="I344" s="388"/>
      <c r="J344" s="382"/>
      <c r="K344" s="374">
        <f t="shared" si="17"/>
        <v>1134.1512</v>
      </c>
      <c r="L344" s="374">
        <f t="shared" si="18"/>
        <v>0</v>
      </c>
      <c r="M344" s="330"/>
      <c r="N344" s="288"/>
      <c r="O344" s="288"/>
      <c r="P344" s="288"/>
      <c r="Q344" s="288"/>
      <c r="S344" s="291"/>
      <c r="T344" s="291"/>
      <c r="U344" s="291"/>
      <c r="V344" s="291"/>
    </row>
    <row r="345" spans="1:22" s="385" customFormat="1" ht="27.75" customHeight="1">
      <c r="A345" s="379">
        <v>4</v>
      </c>
      <c r="B345" s="395" t="s">
        <v>3072</v>
      </c>
      <c r="C345" s="333" t="s">
        <v>2856</v>
      </c>
      <c r="D345" s="382"/>
      <c r="E345" s="335"/>
      <c r="F345" s="331"/>
      <c r="G345" s="386">
        <v>9828</v>
      </c>
      <c r="H345" s="387"/>
      <c r="I345" s="388"/>
      <c r="J345" s="382"/>
      <c r="K345" s="374">
        <f t="shared" si="17"/>
        <v>1134.1512</v>
      </c>
      <c r="L345" s="374">
        <f t="shared" si="18"/>
        <v>0</v>
      </c>
      <c r="M345" s="330"/>
      <c r="N345" s="288"/>
      <c r="O345" s="288"/>
      <c r="P345" s="288"/>
      <c r="Q345" s="288"/>
      <c r="S345" s="291"/>
      <c r="T345" s="291"/>
      <c r="U345" s="291"/>
      <c r="V345" s="291"/>
    </row>
    <row r="346" spans="1:22" s="385" customFormat="1" ht="27.75" customHeight="1" thickBot="1">
      <c r="A346" s="379"/>
      <c r="B346" s="506"/>
      <c r="C346" s="584"/>
      <c r="D346" s="557"/>
      <c r="E346" s="475"/>
      <c r="F346" s="579"/>
      <c r="G346" s="386"/>
      <c r="H346" s="387"/>
      <c r="I346" s="388"/>
      <c r="J346" s="382"/>
      <c r="K346" s="374">
        <f t="shared" si="17"/>
        <v>0</v>
      </c>
      <c r="L346" s="374">
        <f t="shared" si="18"/>
        <v>0</v>
      </c>
      <c r="M346" s="330"/>
      <c r="N346" s="288"/>
      <c r="O346" s="288"/>
      <c r="P346" s="288"/>
      <c r="Q346" s="288"/>
      <c r="S346" s="291"/>
      <c r="T346" s="291"/>
      <c r="U346" s="291"/>
      <c r="V346" s="291"/>
    </row>
    <row r="347" spans="1:22" s="455" customFormat="1" ht="27.75" customHeight="1" thickTop="1" thickBot="1">
      <c r="A347" s="450"/>
      <c r="B347" s="444"/>
      <c r="C347" s="550"/>
      <c r="D347" s="446"/>
      <c r="E347" s="453"/>
      <c r="F347" s="458"/>
      <c r="G347" s="386"/>
      <c r="H347" s="444"/>
      <c r="I347" s="458"/>
      <c r="J347" s="453"/>
      <c r="K347" s="374">
        <f t="shared" si="17"/>
        <v>0</v>
      </c>
      <c r="L347" s="446">
        <f t="shared" si="18"/>
        <v>0</v>
      </c>
      <c r="M347" s="551"/>
      <c r="N347" s="581">
        <f>SUM(G342:G347)</f>
        <v>26201.52</v>
      </c>
      <c r="O347" s="581">
        <f>SUM(H346:H347)</f>
        <v>0</v>
      </c>
      <c r="P347" s="452">
        <f>+N347+O347</f>
        <v>26201.52</v>
      </c>
      <c r="Q347" s="582">
        <f>SUM(D346:D347)</f>
        <v>0</v>
      </c>
      <c r="R347" s="482" t="s">
        <v>219</v>
      </c>
      <c r="S347" s="483"/>
      <c r="T347" s="452"/>
      <c r="U347" s="452"/>
      <c r="V347" s="452"/>
    </row>
    <row r="348" spans="1:22" ht="27.75" customHeight="1" thickTop="1">
      <c r="B348" s="332" t="s">
        <v>220</v>
      </c>
      <c r="C348" s="363"/>
      <c r="D348" s="338"/>
      <c r="F348" s="397"/>
      <c r="G348" s="386"/>
      <c r="H348" s="332"/>
      <c r="I348" s="397"/>
      <c r="J348" s="335"/>
      <c r="K348" s="374">
        <f t="shared" si="17"/>
        <v>0</v>
      </c>
      <c r="L348" s="338">
        <f t="shared" si="18"/>
        <v>0</v>
      </c>
      <c r="Q348" s="478"/>
      <c r="R348" s="585"/>
      <c r="S348" s="287"/>
      <c r="T348" s="289"/>
      <c r="U348" s="289"/>
      <c r="V348" s="289"/>
    </row>
    <row r="349" spans="1:22" ht="27.75" customHeight="1">
      <c r="B349" s="332"/>
      <c r="C349" s="363"/>
      <c r="D349" s="338"/>
      <c r="F349" s="397"/>
      <c r="G349" s="386"/>
      <c r="H349" s="332"/>
      <c r="I349" s="397"/>
      <c r="J349" s="335"/>
      <c r="K349" s="374"/>
      <c r="L349" s="338"/>
      <c r="Q349" s="478"/>
      <c r="R349" s="585"/>
      <c r="S349" s="287"/>
      <c r="T349" s="289"/>
      <c r="U349" s="289"/>
      <c r="V349" s="289"/>
    </row>
    <row r="350" spans="1:22" ht="27.75" customHeight="1">
      <c r="B350" s="332"/>
      <c r="C350" s="363"/>
      <c r="D350" s="338"/>
      <c r="F350" s="397"/>
      <c r="G350" s="386"/>
      <c r="H350" s="332"/>
      <c r="I350" s="397"/>
      <c r="J350" s="335"/>
      <c r="K350" s="374"/>
      <c r="L350" s="338"/>
      <c r="Q350" s="478"/>
      <c r="R350" s="585"/>
      <c r="S350" s="287"/>
      <c r="T350" s="289"/>
      <c r="U350" s="289"/>
      <c r="V350" s="289"/>
    </row>
    <row r="351" spans="1:22" s="385" customFormat="1" ht="27.75" customHeight="1" thickBot="1">
      <c r="A351" s="331"/>
      <c r="B351" s="395"/>
      <c r="C351" s="333"/>
      <c r="D351" s="382"/>
      <c r="E351" s="382"/>
      <c r="F351" s="379"/>
      <c r="G351" s="586"/>
      <c r="H351" s="387"/>
      <c r="I351" s="388"/>
      <c r="J351" s="382"/>
      <c r="K351" s="374">
        <f t="shared" si="17"/>
        <v>0</v>
      </c>
      <c r="L351" s="338">
        <f t="shared" si="18"/>
        <v>0</v>
      </c>
      <c r="M351" s="330"/>
      <c r="N351" s="288"/>
      <c r="O351" s="288"/>
      <c r="P351" s="288"/>
      <c r="Q351" s="288"/>
      <c r="R351" s="587"/>
      <c r="S351" s="291"/>
      <c r="T351" s="291"/>
      <c r="U351" s="291"/>
      <c r="V351" s="291"/>
    </row>
    <row r="352" spans="1:22" s="455" customFormat="1" ht="27.75" customHeight="1" thickTop="1" thickBot="1">
      <c r="A352" s="588"/>
      <c r="B352" s="528"/>
      <c r="C352" s="589"/>
      <c r="D352" s="590"/>
      <c r="E352" s="590"/>
      <c r="F352" s="588"/>
      <c r="G352" s="591"/>
      <c r="H352" s="592"/>
      <c r="I352" s="593"/>
      <c r="J352" s="590"/>
      <c r="K352" s="374">
        <f t="shared" si="17"/>
        <v>0</v>
      </c>
      <c r="L352" s="529">
        <f t="shared" si="18"/>
        <v>0</v>
      </c>
      <c r="M352" s="551"/>
      <c r="N352" s="581">
        <f>SUM(G348:G352)</f>
        <v>0</v>
      </c>
      <c r="O352" s="581">
        <f>SUM(J348:J352)</f>
        <v>0</v>
      </c>
      <c r="P352" s="452">
        <f>+N352+O352</f>
        <v>0</v>
      </c>
      <c r="Q352" s="582">
        <f>SUM(D348:D352)</f>
        <v>0</v>
      </c>
      <c r="R352" s="482" t="s">
        <v>220</v>
      </c>
      <c r="S352" s="483"/>
      <c r="T352" s="452"/>
      <c r="U352" s="452"/>
      <c r="V352" s="452"/>
    </row>
    <row r="353" spans="1:22" ht="27.75" customHeight="1" thickTop="1" thickBot="1">
      <c r="A353" s="594"/>
      <c r="B353" s="595"/>
      <c r="C353" s="596" t="s">
        <v>26</v>
      </c>
      <c r="D353" s="533"/>
      <c r="E353" s="534"/>
      <c r="F353" s="535"/>
      <c r="G353" s="536">
        <f>SUM(G263:G352)</f>
        <v>98497.859999999986</v>
      </c>
      <c r="H353" s="597"/>
      <c r="I353" s="535"/>
      <c r="J353" s="533">
        <f>SUM(J263:J352)</f>
        <v>999772.59000000008</v>
      </c>
      <c r="K353" s="374">
        <f t="shared" si="17"/>
        <v>11366.653043999999</v>
      </c>
      <c r="L353" s="538">
        <f t="shared" ref="L353:Q353" si="19">SUM(L263:L352)</f>
        <v>999772.59000000008</v>
      </c>
      <c r="M353" s="349">
        <f t="shared" si="19"/>
        <v>0</v>
      </c>
      <c r="N353" s="598">
        <f t="shared" si="19"/>
        <v>98497.86</v>
      </c>
      <c r="O353" s="599">
        <f t="shared" si="19"/>
        <v>999772.59000000008</v>
      </c>
      <c r="P353" s="599">
        <f t="shared" si="19"/>
        <v>1098270.4500000002</v>
      </c>
      <c r="Q353" s="533">
        <f t="shared" si="19"/>
        <v>20802</v>
      </c>
      <c r="R353" s="484"/>
      <c r="S353" s="349">
        <f>SUM(S263:S352)</f>
        <v>0</v>
      </c>
      <c r="T353" s="349">
        <f>SUM(T263:T352)</f>
        <v>0</v>
      </c>
      <c r="U353" s="349">
        <f>SUM(U263:U352)</f>
        <v>132403.24</v>
      </c>
      <c r="V353" s="349">
        <f>SUM(V263:V352)</f>
        <v>0</v>
      </c>
    </row>
    <row r="354" spans="1:22" ht="27.75" customHeight="1" thickTop="1">
      <c r="A354" s="379"/>
      <c r="B354" s="385"/>
      <c r="C354" s="600"/>
      <c r="D354" s="330"/>
      <c r="E354" s="289"/>
      <c r="F354" s="541"/>
      <c r="G354" s="544"/>
      <c r="H354" s="601"/>
      <c r="I354" s="541"/>
      <c r="J354" s="330">
        <f>+G353+J353</f>
        <v>1098270.4500000002</v>
      </c>
      <c r="K354" s="374">
        <f t="shared" si="17"/>
        <v>0</v>
      </c>
      <c r="L354" s="329">
        <f>+L353+K353</f>
        <v>1011139.2430440001</v>
      </c>
      <c r="M354" s="488"/>
      <c r="N354" s="602">
        <f>+J353+G353</f>
        <v>1098270.4500000002</v>
      </c>
      <c r="O354" s="603">
        <f>+N354-P354</f>
        <v>0</v>
      </c>
      <c r="P354" s="604">
        <v>1098270.4500000002</v>
      </c>
      <c r="Q354" s="330"/>
      <c r="R354" s="484"/>
    </row>
    <row r="355" spans="1:22" s="436" customFormat="1" ht="28.5" customHeight="1">
      <c r="A355" s="425"/>
      <c r="B355" s="605" t="s">
        <v>442</v>
      </c>
      <c r="C355" s="606"/>
      <c r="D355" s="357"/>
      <c r="E355" s="607"/>
      <c r="F355" s="354"/>
      <c r="G355" s="359"/>
      <c r="H355" s="360"/>
      <c r="I355" s="354"/>
      <c r="J355" s="357"/>
      <c r="K355" s="374">
        <f t="shared" si="17"/>
        <v>0</v>
      </c>
      <c r="L355" s="361">
        <f t="shared" ref="L355:L372" si="20">+J355</f>
        <v>0</v>
      </c>
      <c r="M355" s="361"/>
      <c r="N355" s="358"/>
      <c r="O355" s="358"/>
      <c r="P355" s="357"/>
      <c r="Q355" s="357"/>
      <c r="R355" s="360"/>
      <c r="S355" s="358"/>
      <c r="T355" s="358"/>
      <c r="U355" s="358"/>
      <c r="V355" s="358"/>
    </row>
    <row r="356" spans="1:22" ht="28.5" customHeight="1" thickBot="1">
      <c r="B356" s="333"/>
      <c r="C356" s="395" t="s">
        <v>180</v>
      </c>
      <c r="D356" s="608"/>
      <c r="E356" s="382"/>
      <c r="F356" s="379"/>
      <c r="G356" s="386"/>
      <c r="H356" s="373"/>
      <c r="I356" s="397"/>
      <c r="J356" s="335"/>
      <c r="K356" s="374">
        <f t="shared" si="17"/>
        <v>0</v>
      </c>
      <c r="L356" s="329">
        <f t="shared" si="20"/>
        <v>0</v>
      </c>
      <c r="M356" s="289"/>
      <c r="R356" s="484"/>
    </row>
    <row r="357" spans="1:22" s="455" customFormat="1" ht="28.5" customHeight="1" thickTop="1" thickBot="1">
      <c r="A357" s="450"/>
      <c r="B357" s="444"/>
      <c r="C357" s="457" t="s">
        <v>180</v>
      </c>
      <c r="D357" s="609"/>
      <c r="E357" s="453"/>
      <c r="F357" s="450"/>
      <c r="G357" s="386"/>
      <c r="H357" s="610"/>
      <c r="I357" s="458"/>
      <c r="J357" s="453"/>
      <c r="K357" s="374">
        <f t="shared" si="17"/>
        <v>0</v>
      </c>
      <c r="L357" s="551">
        <f t="shared" si="20"/>
        <v>0</v>
      </c>
      <c r="M357" s="452"/>
      <c r="N357" s="452">
        <f>SUM(G356:G357)</f>
        <v>0</v>
      </c>
      <c r="O357" s="452">
        <f>SUM(J356:J357)</f>
        <v>0</v>
      </c>
      <c r="P357" s="452">
        <f>+N357+O357</f>
        <v>0</v>
      </c>
      <c r="Q357" s="481">
        <f>SUM(D356:D357)</f>
        <v>0</v>
      </c>
      <c r="R357" s="552" t="s">
        <v>208</v>
      </c>
      <c r="S357" s="483"/>
      <c r="T357" s="452"/>
      <c r="U357" s="452"/>
      <c r="V357" s="452"/>
    </row>
    <row r="358" spans="1:22" s="385" customFormat="1" ht="28.5" customHeight="1" thickTop="1" thickBot="1">
      <c r="A358" s="331"/>
      <c r="B358" s="611"/>
      <c r="C358" s="611" t="s">
        <v>176</v>
      </c>
      <c r="D358" s="612"/>
      <c r="E358" s="612"/>
      <c r="F358" s="594"/>
      <c r="G358" s="336"/>
      <c r="H358" s="613"/>
      <c r="I358" s="614"/>
      <c r="J358" s="612"/>
      <c r="K358" s="374">
        <f t="shared" si="17"/>
        <v>0</v>
      </c>
      <c r="L358" s="329">
        <f t="shared" si="20"/>
        <v>0</v>
      </c>
      <c r="M358" s="288"/>
      <c r="N358" s="288"/>
      <c r="O358" s="288"/>
      <c r="P358" s="288"/>
      <c r="Q358" s="288"/>
      <c r="S358" s="291"/>
      <c r="T358" s="291"/>
      <c r="U358" s="291"/>
      <c r="V358" s="291"/>
    </row>
    <row r="359" spans="1:22" s="455" customFormat="1" ht="28.5" customHeight="1" thickTop="1" thickBot="1">
      <c r="A359" s="450"/>
      <c r="B359" s="615"/>
      <c r="C359" s="615" t="s">
        <v>176</v>
      </c>
      <c r="D359" s="616"/>
      <c r="E359" s="616"/>
      <c r="F359" s="617"/>
      <c r="G359" s="336"/>
      <c r="H359" s="618"/>
      <c r="I359" s="619"/>
      <c r="J359" s="616"/>
      <c r="K359" s="374">
        <f t="shared" si="17"/>
        <v>0</v>
      </c>
      <c r="L359" s="551">
        <f t="shared" si="20"/>
        <v>0</v>
      </c>
      <c r="M359" s="452"/>
      <c r="N359" s="452">
        <f>SUM(G358:G359)</f>
        <v>0</v>
      </c>
      <c r="O359" s="452">
        <f>SUM(J358:J359)</f>
        <v>0</v>
      </c>
      <c r="P359" s="452">
        <f>+N359+O359</f>
        <v>0</v>
      </c>
      <c r="Q359" s="481">
        <f>SUM(D358:D358)</f>
        <v>0</v>
      </c>
      <c r="R359" s="482" t="s">
        <v>209</v>
      </c>
      <c r="S359" s="483"/>
      <c r="T359" s="452"/>
      <c r="U359" s="452"/>
      <c r="V359" s="452"/>
    </row>
    <row r="360" spans="1:22" s="385" customFormat="1" ht="28.5" customHeight="1" thickTop="1" thickBot="1">
      <c r="A360" s="331"/>
      <c r="B360" s="611"/>
      <c r="C360" s="611" t="s">
        <v>120</v>
      </c>
      <c r="D360" s="612"/>
      <c r="E360" s="612"/>
      <c r="F360" s="594"/>
      <c r="G360" s="336"/>
      <c r="H360" s="613"/>
      <c r="I360" s="614"/>
      <c r="J360" s="612"/>
      <c r="K360" s="374">
        <f t="shared" si="17"/>
        <v>0</v>
      </c>
      <c r="L360" s="329">
        <f t="shared" si="20"/>
        <v>0</v>
      </c>
      <c r="M360" s="288"/>
      <c r="N360" s="288"/>
      <c r="O360" s="288"/>
      <c r="P360" s="288"/>
      <c r="Q360" s="288"/>
      <c r="S360" s="291"/>
      <c r="T360" s="291"/>
      <c r="U360" s="291"/>
      <c r="V360" s="291"/>
    </row>
    <row r="361" spans="1:22" s="455" customFormat="1" ht="28.5" customHeight="1" thickTop="1" thickBot="1">
      <c r="A361" s="450"/>
      <c r="B361" s="615"/>
      <c r="C361" s="615" t="s">
        <v>120</v>
      </c>
      <c r="D361" s="616"/>
      <c r="E361" s="616"/>
      <c r="F361" s="617"/>
      <c r="G361" s="336"/>
      <c r="H361" s="618"/>
      <c r="I361" s="619"/>
      <c r="J361" s="616"/>
      <c r="K361" s="374">
        <f t="shared" si="17"/>
        <v>0</v>
      </c>
      <c r="L361" s="551">
        <f t="shared" si="20"/>
        <v>0</v>
      </c>
      <c r="M361" s="452"/>
      <c r="N361" s="452">
        <f>SUM(G360:G361)</f>
        <v>0</v>
      </c>
      <c r="O361" s="452">
        <f>SUM(J360:J361)</f>
        <v>0</v>
      </c>
      <c r="P361" s="452">
        <f>+N361+O361</f>
        <v>0</v>
      </c>
      <c r="Q361" s="481">
        <f>SUM(D360:D361)</f>
        <v>0</v>
      </c>
      <c r="R361" s="482" t="s">
        <v>210</v>
      </c>
      <c r="S361" s="483"/>
      <c r="T361" s="452"/>
      <c r="U361" s="452"/>
      <c r="V361" s="452"/>
    </row>
    <row r="362" spans="1:22" s="385" customFormat="1" ht="27.75" customHeight="1" thickTop="1">
      <c r="A362" s="331"/>
      <c r="B362" s="332"/>
      <c r="C362" s="332"/>
      <c r="D362" s="620"/>
      <c r="E362" s="335"/>
      <c r="F362" s="331"/>
      <c r="G362" s="386"/>
      <c r="H362" s="613"/>
      <c r="I362" s="614"/>
      <c r="J362" s="612"/>
      <c r="K362" s="374">
        <f t="shared" si="17"/>
        <v>0</v>
      </c>
      <c r="L362" s="329">
        <f t="shared" si="20"/>
        <v>0</v>
      </c>
      <c r="M362" s="288"/>
      <c r="N362" s="288"/>
      <c r="O362" s="288"/>
      <c r="P362" s="288"/>
      <c r="Q362" s="288"/>
      <c r="S362" s="291"/>
      <c r="T362" s="291"/>
      <c r="U362" s="291"/>
      <c r="V362" s="291"/>
    </row>
    <row r="363" spans="1:22" s="385" customFormat="1" ht="27.75" customHeight="1" thickBot="1">
      <c r="A363" s="331"/>
      <c r="B363" s="477"/>
      <c r="C363" s="332"/>
      <c r="D363" s="620"/>
      <c r="E363" s="335"/>
      <c r="F363" s="331"/>
      <c r="G363" s="386"/>
      <c r="H363" s="613"/>
      <c r="I363" s="614"/>
      <c r="J363" s="612"/>
      <c r="K363" s="374">
        <f t="shared" si="17"/>
        <v>0</v>
      </c>
      <c r="L363" s="329">
        <f t="shared" si="20"/>
        <v>0</v>
      </c>
      <c r="M363" s="288"/>
      <c r="N363" s="288"/>
      <c r="O363" s="288"/>
      <c r="P363" s="288"/>
      <c r="Q363" s="288"/>
      <c r="S363" s="291"/>
      <c r="T363" s="291"/>
      <c r="U363" s="291"/>
      <c r="V363" s="291"/>
    </row>
    <row r="364" spans="1:22" s="455" customFormat="1" ht="27.75" customHeight="1" thickTop="1" thickBot="1">
      <c r="A364" s="450"/>
      <c r="B364" s="444"/>
      <c r="C364" s="621"/>
      <c r="D364" s="453"/>
      <c r="E364" s="453"/>
      <c r="F364" s="450"/>
      <c r="G364" s="386"/>
      <c r="H364" s="610"/>
      <c r="I364" s="458"/>
      <c r="J364" s="453"/>
      <c r="K364" s="374">
        <f t="shared" si="17"/>
        <v>0</v>
      </c>
      <c r="L364" s="551">
        <f t="shared" si="20"/>
        <v>0</v>
      </c>
      <c r="M364" s="452"/>
      <c r="N364" s="581">
        <f>SUM(G362:G364)</f>
        <v>0</v>
      </c>
      <c r="O364" s="581">
        <f>SUM(J362:J364)</f>
        <v>0</v>
      </c>
      <c r="P364" s="581">
        <f>+N364+O364</f>
        <v>0</v>
      </c>
      <c r="Q364" s="481">
        <f>SUM(D362:D364)</f>
        <v>0</v>
      </c>
      <c r="R364" s="482" t="s">
        <v>211</v>
      </c>
      <c r="S364" s="483"/>
      <c r="T364" s="452"/>
      <c r="U364" s="452"/>
      <c r="V364" s="452"/>
    </row>
    <row r="365" spans="1:22" s="385" customFormat="1" ht="27.75" customHeight="1" thickTop="1" thickBot="1">
      <c r="A365" s="331"/>
      <c r="B365" s="332"/>
      <c r="C365" s="397"/>
      <c r="D365" s="335"/>
      <c r="E365" s="335"/>
      <c r="F365" s="331"/>
      <c r="G365" s="386"/>
      <c r="H365" s="383"/>
      <c r="I365" s="388"/>
      <c r="J365" s="382"/>
      <c r="K365" s="374">
        <f t="shared" si="17"/>
        <v>0</v>
      </c>
      <c r="L365" s="329">
        <f t="shared" si="20"/>
        <v>0</v>
      </c>
      <c r="M365" s="288"/>
      <c r="N365" s="288"/>
      <c r="O365" s="288"/>
      <c r="P365" s="288"/>
      <c r="Q365" s="288"/>
      <c r="R365" s="587"/>
      <c r="S365" s="291"/>
      <c r="T365" s="291"/>
      <c r="U365" s="291"/>
      <c r="V365" s="291"/>
    </row>
    <row r="366" spans="1:22" s="455" customFormat="1" ht="27.75" customHeight="1" thickTop="1" thickBot="1">
      <c r="A366" s="450"/>
      <c r="B366" s="444"/>
      <c r="C366" s="458"/>
      <c r="D366" s="453"/>
      <c r="E366" s="453"/>
      <c r="F366" s="450"/>
      <c r="G366" s="386"/>
      <c r="H366" s="622"/>
      <c r="I366" s="458"/>
      <c r="J366" s="453"/>
      <c r="K366" s="374">
        <f t="shared" si="17"/>
        <v>0</v>
      </c>
      <c r="L366" s="551">
        <f t="shared" si="20"/>
        <v>0</v>
      </c>
      <c r="M366" s="452"/>
      <c r="N366" s="452">
        <f>SUM(G365:G366)</f>
        <v>0</v>
      </c>
      <c r="O366" s="452">
        <f>SUM(J365:J366)</f>
        <v>0</v>
      </c>
      <c r="P366" s="452">
        <f>+N366+O366</f>
        <v>0</v>
      </c>
      <c r="Q366" s="481"/>
      <c r="R366" s="482" t="s">
        <v>112</v>
      </c>
      <c r="S366" s="483"/>
      <c r="T366" s="452"/>
      <c r="U366" s="452"/>
      <c r="V366" s="452"/>
    </row>
    <row r="367" spans="1:22" s="385" customFormat="1" ht="27.75" customHeight="1" thickTop="1">
      <c r="A367" s="331"/>
      <c r="B367" s="387"/>
      <c r="C367" s="333"/>
      <c r="D367" s="335"/>
      <c r="E367" s="382"/>
      <c r="F367" s="379"/>
      <c r="G367" s="386"/>
      <c r="H367" s="383"/>
      <c r="I367" s="388"/>
      <c r="J367" s="382"/>
      <c r="K367" s="374">
        <f t="shared" si="17"/>
        <v>0</v>
      </c>
      <c r="L367" s="329">
        <f t="shared" si="20"/>
        <v>0</v>
      </c>
      <c r="M367" s="288"/>
      <c r="N367" s="289"/>
      <c r="O367" s="289"/>
      <c r="P367" s="289"/>
      <c r="Q367" s="288"/>
      <c r="R367" s="587"/>
      <c r="S367" s="291"/>
      <c r="T367" s="291"/>
      <c r="U367" s="291"/>
      <c r="V367" s="291"/>
    </row>
    <row r="368" spans="1:22" s="385" customFormat="1" ht="27.75" customHeight="1">
      <c r="A368" s="331"/>
      <c r="B368" s="332"/>
      <c r="C368" s="363"/>
      <c r="D368" s="335"/>
      <c r="E368" s="335"/>
      <c r="F368" s="331"/>
      <c r="G368" s="386"/>
      <c r="H368" s="383"/>
      <c r="I368" s="388"/>
      <c r="J368" s="382"/>
      <c r="K368" s="374">
        <f t="shared" si="17"/>
        <v>0</v>
      </c>
      <c r="L368" s="329">
        <f t="shared" si="20"/>
        <v>0</v>
      </c>
      <c r="M368" s="288"/>
      <c r="N368" s="289"/>
      <c r="O368" s="289"/>
      <c r="P368" s="289"/>
      <c r="Q368" s="288"/>
      <c r="R368" s="587"/>
      <c r="S368" s="291"/>
      <c r="T368" s="291"/>
      <c r="U368" s="291"/>
      <c r="V368" s="291"/>
    </row>
    <row r="369" spans="1:22" s="385" customFormat="1" ht="27.75" customHeight="1" thickBot="1">
      <c r="A369" s="331"/>
      <c r="B369" s="332"/>
      <c r="C369" s="363"/>
      <c r="D369" s="335"/>
      <c r="E369" s="335"/>
      <c r="F369" s="331"/>
      <c r="G369" s="386"/>
      <c r="H369" s="383"/>
      <c r="I369" s="388"/>
      <c r="J369" s="382"/>
      <c r="K369" s="374">
        <f t="shared" si="17"/>
        <v>0</v>
      </c>
      <c r="L369" s="329">
        <f t="shared" si="20"/>
        <v>0</v>
      </c>
      <c r="M369" s="288"/>
      <c r="N369" s="289"/>
      <c r="O369" s="289"/>
      <c r="P369" s="289"/>
      <c r="Q369" s="288"/>
      <c r="R369" s="587"/>
      <c r="S369" s="291"/>
      <c r="T369" s="291"/>
      <c r="U369" s="291"/>
      <c r="V369" s="291"/>
    </row>
    <row r="370" spans="1:22" s="455" customFormat="1" ht="27.75" customHeight="1" thickTop="1" thickBot="1">
      <c r="A370" s="450"/>
      <c r="B370" s="444"/>
      <c r="C370" s="550"/>
      <c r="D370" s="453"/>
      <c r="E370" s="453"/>
      <c r="F370" s="450"/>
      <c r="G370" s="386"/>
      <c r="H370" s="622"/>
      <c r="I370" s="458"/>
      <c r="J370" s="453"/>
      <c r="K370" s="374">
        <f t="shared" si="17"/>
        <v>0</v>
      </c>
      <c r="L370" s="551">
        <f t="shared" si="20"/>
        <v>0</v>
      </c>
      <c r="M370" s="452"/>
      <c r="N370" s="452">
        <f>SUM(G367:G370)</f>
        <v>0</v>
      </c>
      <c r="O370" s="452">
        <f>SUM(J367:J370)</f>
        <v>0</v>
      </c>
      <c r="P370" s="452">
        <f>+N370+O370</f>
        <v>0</v>
      </c>
      <c r="Q370" s="481"/>
      <c r="R370" s="482" t="s">
        <v>33</v>
      </c>
      <c r="S370" s="483"/>
      <c r="T370" s="452"/>
      <c r="U370" s="452"/>
      <c r="V370" s="452"/>
    </row>
    <row r="371" spans="1:22" s="385" customFormat="1" ht="27.75" customHeight="1" thickTop="1" thickBot="1">
      <c r="A371" s="331"/>
      <c r="B371" s="387"/>
      <c r="C371" s="333" t="s">
        <v>53</v>
      </c>
      <c r="D371" s="335"/>
      <c r="E371" s="382"/>
      <c r="F371" s="379"/>
      <c r="G371" s="386"/>
      <c r="H371" s="383"/>
      <c r="I371" s="388"/>
      <c r="J371" s="382"/>
      <c r="K371" s="374">
        <f t="shared" si="17"/>
        <v>0</v>
      </c>
      <c r="L371" s="329">
        <f t="shared" si="20"/>
        <v>0</v>
      </c>
      <c r="M371" s="288"/>
      <c r="N371" s="288"/>
      <c r="O371" s="288"/>
      <c r="P371" s="288"/>
      <c r="Q371" s="288"/>
      <c r="R371" s="587"/>
      <c r="S371" s="291"/>
      <c r="T371" s="291"/>
      <c r="U371" s="291"/>
      <c r="V371" s="291"/>
    </row>
    <row r="372" spans="1:22" s="455" customFormat="1" ht="27.75" customHeight="1" thickTop="1" thickBot="1">
      <c r="A372" s="450"/>
      <c r="B372" s="623"/>
      <c r="C372" s="528" t="s">
        <v>53</v>
      </c>
      <c r="D372" s="590"/>
      <c r="E372" s="590"/>
      <c r="F372" s="588"/>
      <c r="G372" s="531"/>
      <c r="H372" s="624"/>
      <c r="I372" s="593"/>
      <c r="J372" s="590"/>
      <c r="K372" s="374">
        <f t="shared" si="17"/>
        <v>0</v>
      </c>
      <c r="L372" s="551">
        <f t="shared" si="20"/>
        <v>0</v>
      </c>
      <c r="M372" s="452"/>
      <c r="N372" s="452">
        <f>SUM(G371:G372)</f>
        <v>0</v>
      </c>
      <c r="O372" s="452">
        <f>SUM(J371:J372)</f>
        <v>0</v>
      </c>
      <c r="P372" s="452">
        <f>+N372+O372</f>
        <v>0</v>
      </c>
      <c r="Q372" s="481"/>
      <c r="R372" s="482" t="s">
        <v>53</v>
      </c>
      <c r="S372" s="483"/>
      <c r="T372" s="452"/>
      <c r="U372" s="452"/>
      <c r="V372" s="452"/>
    </row>
    <row r="373" spans="1:22" ht="27.75" customHeight="1" thickTop="1" thickBot="1">
      <c r="B373" s="347"/>
      <c r="C373" s="596" t="s">
        <v>26</v>
      </c>
      <c r="D373" s="533">
        <f>SUM(D356:D364)</f>
        <v>0</v>
      </c>
      <c r="E373" s="534"/>
      <c r="F373" s="535"/>
      <c r="G373" s="536">
        <f>SUM(G356:G372)</f>
        <v>0</v>
      </c>
      <c r="H373" s="597"/>
      <c r="I373" s="535"/>
      <c r="J373" s="533">
        <f t="shared" ref="J373:Q373" si="21">SUM(J356:J372)</f>
        <v>0</v>
      </c>
      <c r="K373" s="374">
        <f t="shared" si="17"/>
        <v>0</v>
      </c>
      <c r="L373" s="538">
        <f t="shared" si="21"/>
        <v>0</v>
      </c>
      <c r="M373" s="533">
        <f t="shared" si="21"/>
        <v>0</v>
      </c>
      <c r="N373" s="533">
        <f t="shared" si="21"/>
        <v>0</v>
      </c>
      <c r="O373" s="533">
        <f t="shared" si="21"/>
        <v>0</v>
      </c>
      <c r="P373" s="533">
        <f t="shared" si="21"/>
        <v>0</v>
      </c>
      <c r="Q373" s="625">
        <f t="shared" si="21"/>
        <v>0</v>
      </c>
    </row>
    <row r="374" spans="1:22" ht="27.75" customHeight="1" thickTop="1">
      <c r="A374" s="343"/>
      <c r="B374" s="626"/>
      <c r="C374" s="627"/>
      <c r="D374" s="370"/>
      <c r="E374" s="289"/>
      <c r="F374" s="628"/>
      <c r="G374" s="359"/>
      <c r="H374" s="371"/>
      <c r="I374" s="628"/>
      <c r="J374" s="370"/>
      <c r="K374" s="374">
        <f t="shared" si="17"/>
        <v>0</v>
      </c>
      <c r="L374" s="371"/>
      <c r="M374" s="371"/>
      <c r="N374" s="603">
        <f>+G373+J373</f>
        <v>0</v>
      </c>
      <c r="O374" s="603">
        <f>+P373-P374</f>
        <v>0</v>
      </c>
      <c r="P374" s="603">
        <v>0</v>
      </c>
      <c r="Q374" s="370"/>
      <c r="R374" s="371"/>
      <c r="S374" s="289"/>
      <c r="T374" s="289"/>
      <c r="U374" s="289"/>
      <c r="V374" s="289"/>
    </row>
    <row r="375" spans="1:22" ht="27.75" customHeight="1">
      <c r="B375" s="629"/>
      <c r="C375" s="630"/>
      <c r="D375" s="365"/>
      <c r="F375" s="366"/>
      <c r="G375" s="367"/>
      <c r="H375" s="368"/>
      <c r="I375" s="366"/>
      <c r="J375" s="365"/>
      <c r="K375" s="374">
        <f t="shared" si="17"/>
        <v>0</v>
      </c>
      <c r="L375" s="368"/>
      <c r="M375" s="371"/>
      <c r="N375" s="603"/>
      <c r="O375" s="603"/>
      <c r="P375" s="358"/>
      <c r="Q375" s="370"/>
      <c r="R375" s="371"/>
      <c r="S375" s="289"/>
      <c r="T375" s="289"/>
      <c r="U375" s="289"/>
      <c r="V375" s="289"/>
    </row>
    <row r="376" spans="1:22" s="436" customFormat="1" ht="27.75" customHeight="1">
      <c r="A376" s="425"/>
      <c r="B376" s="547" t="s">
        <v>137</v>
      </c>
      <c r="C376" s="631"/>
      <c r="D376" s="429"/>
      <c r="E376" s="434"/>
      <c r="F376" s="430"/>
      <c r="G376" s="367"/>
      <c r="H376" s="427"/>
      <c r="I376" s="430"/>
      <c r="J376" s="429"/>
      <c r="K376" s="374">
        <f t="shared" si="17"/>
        <v>0</v>
      </c>
      <c r="L376" s="427"/>
      <c r="M376" s="360"/>
      <c r="N376" s="358"/>
      <c r="O376" s="358"/>
      <c r="P376" s="358"/>
      <c r="Q376" s="357"/>
      <c r="R376" s="360"/>
      <c r="S376" s="358"/>
      <c r="T376" s="358"/>
      <c r="U376" s="358"/>
      <c r="V376" s="358"/>
    </row>
    <row r="377" spans="1:22" ht="27.75" customHeight="1">
      <c r="B377" s="629" t="s">
        <v>66</v>
      </c>
      <c r="C377" s="630"/>
      <c r="D377" s="365"/>
      <c r="F377" s="366"/>
      <c r="G377" s="367"/>
      <c r="H377" s="368"/>
      <c r="I377" s="366"/>
      <c r="J377" s="365"/>
      <c r="K377" s="374">
        <f t="shared" si="17"/>
        <v>0</v>
      </c>
      <c r="L377" s="368"/>
      <c r="M377" s="371"/>
      <c r="Q377" s="370"/>
      <c r="R377" s="371"/>
      <c r="S377" s="289"/>
      <c r="T377" s="289"/>
      <c r="U377" s="289"/>
      <c r="V377" s="289"/>
    </row>
    <row r="378" spans="1:22" ht="27.75" customHeight="1">
      <c r="A378" s="331">
        <v>1</v>
      </c>
      <c r="B378" s="1424" t="s">
        <v>561</v>
      </c>
      <c r="C378" s="1425" t="s">
        <v>562</v>
      </c>
      <c r="D378" s="1426">
        <v>2070</v>
      </c>
      <c r="E378" s="632"/>
      <c r="F378" s="633"/>
      <c r="G378" s="634"/>
      <c r="K378" s="374">
        <f t="shared" si="17"/>
        <v>0</v>
      </c>
      <c r="L378" s="374">
        <f t="shared" ref="L378:L412" si="22">+J378</f>
        <v>0</v>
      </c>
      <c r="M378" s="635"/>
      <c r="N378" s="288"/>
      <c r="O378" s="288"/>
      <c r="P378" s="288"/>
    </row>
    <row r="379" spans="1:22" ht="27.75" customHeight="1">
      <c r="A379" s="331">
        <v>2</v>
      </c>
      <c r="B379" s="1427" t="s">
        <v>2243</v>
      </c>
      <c r="C379" s="1428" t="s">
        <v>2244</v>
      </c>
      <c r="D379" s="1429">
        <v>201.25</v>
      </c>
      <c r="F379" s="636"/>
      <c r="G379" s="637"/>
      <c r="K379" s="374">
        <f t="shared" ref="K379:K441" si="23">G379*11.54/100</f>
        <v>0</v>
      </c>
      <c r="L379" s="374">
        <f t="shared" si="22"/>
        <v>0</v>
      </c>
      <c r="M379" s="635"/>
      <c r="N379" s="288"/>
      <c r="O379" s="288"/>
      <c r="P379" s="288"/>
    </row>
    <row r="380" spans="1:22" ht="27.75" customHeight="1">
      <c r="A380" s="331">
        <v>3</v>
      </c>
      <c r="B380" s="638" t="s">
        <v>2889</v>
      </c>
      <c r="C380" s="639" t="s">
        <v>2890</v>
      </c>
      <c r="D380" s="640">
        <v>2811.19</v>
      </c>
      <c r="E380" s="342"/>
      <c r="F380" s="641"/>
      <c r="G380" s="642"/>
      <c r="K380" s="374">
        <f t="shared" si="23"/>
        <v>0</v>
      </c>
      <c r="L380" s="374">
        <f t="shared" si="22"/>
        <v>0</v>
      </c>
      <c r="M380" s="635"/>
      <c r="N380" s="288"/>
      <c r="O380" s="288"/>
      <c r="P380" s="288"/>
    </row>
    <row r="381" spans="1:22" ht="27.75" customHeight="1">
      <c r="A381" s="331">
        <v>4</v>
      </c>
      <c r="B381" s="638" t="s">
        <v>2634</v>
      </c>
      <c r="C381" s="639" t="s">
        <v>2635</v>
      </c>
      <c r="D381" s="640">
        <v>1609.96</v>
      </c>
      <c r="E381" s="289"/>
      <c r="F381" s="641"/>
      <c r="G381" s="642"/>
      <c r="K381" s="374">
        <f t="shared" si="23"/>
        <v>0</v>
      </c>
      <c r="L381" s="374">
        <f t="shared" si="22"/>
        <v>0</v>
      </c>
      <c r="M381" s="635"/>
      <c r="N381" s="288"/>
      <c r="O381" s="288"/>
      <c r="P381" s="288"/>
    </row>
    <row r="382" spans="1:22" ht="27.75" customHeight="1">
      <c r="A382" s="331">
        <v>5</v>
      </c>
      <c r="B382" s="638" t="s">
        <v>1462</v>
      </c>
      <c r="C382" s="639" t="s">
        <v>1463</v>
      </c>
      <c r="D382" s="640">
        <v>6708.32</v>
      </c>
      <c r="E382" s="289"/>
      <c r="F382" s="641"/>
      <c r="G382" s="642"/>
      <c r="K382" s="374">
        <f t="shared" si="23"/>
        <v>0</v>
      </c>
      <c r="L382" s="374">
        <f t="shared" si="22"/>
        <v>0</v>
      </c>
      <c r="M382" s="635"/>
      <c r="N382" s="288"/>
      <c r="O382" s="288"/>
      <c r="P382" s="288"/>
    </row>
    <row r="383" spans="1:22" ht="27.75" customHeight="1">
      <c r="A383" s="331">
        <v>6</v>
      </c>
      <c r="B383" s="638" t="s">
        <v>561</v>
      </c>
      <c r="C383" s="639" t="s">
        <v>1494</v>
      </c>
      <c r="D383" s="640">
        <v>324.94</v>
      </c>
      <c r="E383" s="289"/>
      <c r="F383" s="641"/>
      <c r="G383" s="642"/>
      <c r="K383" s="374">
        <f t="shared" si="23"/>
        <v>0</v>
      </c>
      <c r="L383" s="374">
        <f t="shared" si="22"/>
        <v>0</v>
      </c>
      <c r="M383" s="635"/>
      <c r="N383" s="288"/>
      <c r="O383" s="288"/>
      <c r="P383" s="288"/>
    </row>
    <row r="384" spans="1:22" ht="27.75" customHeight="1">
      <c r="A384" s="331">
        <v>7</v>
      </c>
      <c r="B384" s="638" t="s">
        <v>1464</v>
      </c>
      <c r="C384" s="639" t="s">
        <v>1465</v>
      </c>
      <c r="D384" s="640">
        <v>23000</v>
      </c>
      <c r="E384" s="289"/>
      <c r="F384" s="641"/>
      <c r="G384" s="642"/>
      <c r="K384" s="374">
        <f t="shared" si="23"/>
        <v>0</v>
      </c>
      <c r="L384" s="374">
        <f t="shared" si="22"/>
        <v>0</v>
      </c>
      <c r="M384" s="635"/>
      <c r="N384" s="288"/>
      <c r="O384" s="288"/>
      <c r="P384" s="288"/>
    </row>
    <row r="385" spans="1:22" ht="27.75" customHeight="1">
      <c r="B385" s="638"/>
      <c r="C385" s="639"/>
      <c r="D385" s="640"/>
      <c r="E385" s="643"/>
      <c r="F385" s="641"/>
      <c r="G385" s="642"/>
      <c r="K385" s="374">
        <f t="shared" si="23"/>
        <v>0</v>
      </c>
      <c r="L385" s="374">
        <f t="shared" si="22"/>
        <v>0</v>
      </c>
      <c r="M385" s="635"/>
      <c r="N385" s="288"/>
      <c r="O385" s="288"/>
      <c r="P385" s="288"/>
    </row>
    <row r="386" spans="1:22" ht="27.75" customHeight="1" thickBot="1">
      <c r="B386" s="638"/>
      <c r="C386" s="639"/>
      <c r="D386" s="640"/>
      <c r="E386" s="644"/>
      <c r="F386" s="641"/>
      <c r="G386" s="645"/>
      <c r="K386" s="374">
        <f t="shared" si="23"/>
        <v>0</v>
      </c>
      <c r="L386" s="374">
        <f t="shared" si="22"/>
        <v>0</v>
      </c>
      <c r="M386" s="635"/>
      <c r="N386" s="288"/>
      <c r="O386" s="288"/>
      <c r="P386" s="288"/>
    </row>
    <row r="387" spans="1:22" s="455" customFormat="1" ht="27.75" customHeight="1" thickTop="1" thickBot="1">
      <c r="A387" s="450"/>
      <c r="B387" s="444"/>
      <c r="C387" s="550"/>
      <c r="D387" s="453"/>
      <c r="E387" s="453"/>
      <c r="F387" s="450"/>
      <c r="G387" s="336"/>
      <c r="H387" s="622"/>
      <c r="I387" s="458"/>
      <c r="J387" s="453"/>
      <c r="K387" s="374">
        <f t="shared" si="23"/>
        <v>0</v>
      </c>
      <c r="L387" s="446">
        <f t="shared" si="22"/>
        <v>0</v>
      </c>
      <c r="M387" s="646"/>
      <c r="N387" s="452">
        <f>SUM(G378:G386)</f>
        <v>0</v>
      </c>
      <c r="O387" s="452">
        <f>SUM(H378:H379)</f>
        <v>0</v>
      </c>
      <c r="P387" s="452">
        <f>SUM(N387:O387)</f>
        <v>0</v>
      </c>
      <c r="Q387" s="481">
        <f>SUM(D378:D386)</f>
        <v>36725.660000000003</v>
      </c>
      <c r="R387" s="552" t="s">
        <v>513</v>
      </c>
      <c r="S387" s="483"/>
      <c r="T387" s="452"/>
      <c r="U387" s="452"/>
      <c r="V387" s="452"/>
    </row>
    <row r="388" spans="1:22" ht="27.75" customHeight="1" thickTop="1" thickBot="1">
      <c r="B388" s="506" t="s">
        <v>971</v>
      </c>
      <c r="C388" s="506"/>
      <c r="D388" s="475"/>
      <c r="E388" s="475"/>
      <c r="F388" s="647"/>
      <c r="H388" s="373"/>
      <c r="I388" s="397"/>
      <c r="J388" s="335"/>
      <c r="K388" s="374">
        <f t="shared" si="23"/>
        <v>0</v>
      </c>
      <c r="L388" s="374">
        <f t="shared" si="22"/>
        <v>0</v>
      </c>
      <c r="M388" s="648"/>
      <c r="Q388" s="478"/>
      <c r="R388" s="649"/>
      <c r="S388" s="297"/>
    </row>
    <row r="389" spans="1:22" ht="27.75" customHeight="1" thickTop="1" thickBot="1">
      <c r="B389" s="650"/>
      <c r="C389" s="650"/>
      <c r="D389" s="651"/>
      <c r="E389" s="652"/>
      <c r="F389" s="653"/>
      <c r="G389" s="637"/>
      <c r="H389" s="373"/>
      <c r="I389" s="397"/>
      <c r="J389" s="335"/>
      <c r="K389" s="374"/>
      <c r="L389" s="374"/>
      <c r="M389" s="648"/>
      <c r="Q389" s="478"/>
      <c r="R389" s="649"/>
      <c r="S389" s="297"/>
    </row>
    <row r="390" spans="1:22" ht="27.75" customHeight="1" thickTop="1" thickBot="1">
      <c r="B390" s="506"/>
      <c r="C390" s="506"/>
      <c r="D390" s="475"/>
      <c r="E390" s="475"/>
      <c r="F390" s="647"/>
      <c r="H390" s="373"/>
      <c r="I390" s="397"/>
      <c r="J390" s="335"/>
      <c r="K390" s="374">
        <f t="shared" si="23"/>
        <v>0</v>
      </c>
      <c r="L390" s="374">
        <f t="shared" si="22"/>
        <v>0</v>
      </c>
      <c r="M390" s="648"/>
      <c r="Q390" s="478"/>
      <c r="R390" s="649"/>
      <c r="S390" s="297"/>
    </row>
    <row r="391" spans="1:22" s="455" customFormat="1" ht="27.75" customHeight="1" thickTop="1" thickBot="1">
      <c r="A391" s="450"/>
      <c r="B391" s="444"/>
      <c r="C391" s="550"/>
      <c r="D391" s="453"/>
      <c r="E391" s="453"/>
      <c r="F391" s="450"/>
      <c r="G391" s="336"/>
      <c r="H391" s="622"/>
      <c r="I391" s="458"/>
      <c r="J391" s="453"/>
      <c r="K391" s="374">
        <f t="shared" si="23"/>
        <v>0</v>
      </c>
      <c r="L391" s="446">
        <f t="shared" si="22"/>
        <v>0</v>
      </c>
      <c r="M391" s="654"/>
      <c r="N391" s="452">
        <f>SUM(G388:G391)</f>
        <v>0</v>
      </c>
      <c r="O391" s="452">
        <f>SUM(H381:H388)</f>
        <v>0</v>
      </c>
      <c r="P391" s="452">
        <f>+N391+O391</f>
        <v>0</v>
      </c>
      <c r="Q391" s="481">
        <f>SUM(D388:D390)</f>
        <v>0</v>
      </c>
      <c r="R391" s="552" t="s">
        <v>555</v>
      </c>
      <c r="S391" s="655"/>
    </row>
    <row r="392" spans="1:22" ht="27.75" customHeight="1" thickTop="1" thickBot="1">
      <c r="B392" s="656"/>
      <c r="C392" s="584"/>
      <c r="D392" s="475"/>
      <c r="E392" s="475"/>
      <c r="F392" s="647"/>
      <c r="H392" s="373"/>
      <c r="I392" s="397"/>
      <c r="J392" s="335"/>
      <c r="K392" s="374">
        <f t="shared" si="23"/>
        <v>0</v>
      </c>
      <c r="L392" s="374">
        <f t="shared" si="22"/>
        <v>0</v>
      </c>
      <c r="M392" s="369"/>
      <c r="N392" s="288"/>
      <c r="Q392" s="288"/>
      <c r="S392" s="290"/>
      <c r="T392" s="290"/>
      <c r="U392" s="290"/>
      <c r="V392" s="290"/>
    </row>
    <row r="393" spans="1:22" s="455" customFormat="1" ht="27.75" customHeight="1" thickTop="1" thickBot="1">
      <c r="A393" s="450"/>
      <c r="B393" s="444"/>
      <c r="C393" s="508"/>
      <c r="D393" s="453"/>
      <c r="E393" s="453"/>
      <c r="F393" s="450"/>
      <c r="G393" s="336"/>
      <c r="H393" s="450"/>
      <c r="I393" s="657"/>
      <c r="J393" s="453"/>
      <c r="K393" s="374">
        <f t="shared" si="23"/>
        <v>0</v>
      </c>
      <c r="L393" s="446">
        <f t="shared" si="22"/>
        <v>0</v>
      </c>
      <c r="M393" s="451"/>
      <c r="N393" s="452">
        <f>SUM(G393)</f>
        <v>0</v>
      </c>
      <c r="O393" s="452">
        <f>SUM(J393)</f>
        <v>0</v>
      </c>
      <c r="P393" s="452">
        <f>+O393+N393</f>
        <v>0</v>
      </c>
      <c r="Q393" s="481">
        <f>+D393</f>
        <v>0</v>
      </c>
      <c r="R393" s="552" t="s">
        <v>437</v>
      </c>
      <c r="S393" s="655"/>
    </row>
    <row r="394" spans="1:22" ht="27.75" customHeight="1" thickTop="1" thickBot="1">
      <c r="B394" s="506"/>
      <c r="C394" s="507"/>
      <c r="D394" s="475"/>
      <c r="E394" s="475"/>
      <c r="F394" s="647"/>
      <c r="H394" s="373"/>
      <c r="I394" s="397"/>
      <c r="J394" s="335"/>
      <c r="K394" s="374">
        <f t="shared" si="23"/>
        <v>0</v>
      </c>
      <c r="L394" s="374">
        <f t="shared" si="22"/>
        <v>0</v>
      </c>
      <c r="M394" s="369"/>
      <c r="N394" s="288"/>
      <c r="Q394" s="288"/>
      <c r="S394" s="290"/>
      <c r="T394" s="290"/>
      <c r="U394" s="290"/>
      <c r="V394" s="290"/>
    </row>
    <row r="395" spans="1:22" s="455" customFormat="1" ht="27.75" customHeight="1" thickTop="1" thickBot="1">
      <c r="A395" s="450"/>
      <c r="B395" s="444"/>
      <c r="C395" s="508"/>
      <c r="D395" s="453"/>
      <c r="E395" s="453"/>
      <c r="F395" s="450"/>
      <c r="G395" s="336"/>
      <c r="H395" s="622"/>
      <c r="I395" s="458"/>
      <c r="J395" s="453"/>
      <c r="K395" s="374">
        <f t="shared" si="23"/>
        <v>0</v>
      </c>
      <c r="L395" s="446">
        <f t="shared" si="22"/>
        <v>0</v>
      </c>
      <c r="M395" s="451"/>
      <c r="N395" s="452">
        <f>SUM(G392)</f>
        <v>0</v>
      </c>
      <c r="O395" s="452">
        <f>SUM(J392)</f>
        <v>0</v>
      </c>
      <c r="P395" s="452">
        <f>+N395+O395</f>
        <v>0</v>
      </c>
      <c r="Q395" s="481">
        <f>SUM(D392)</f>
        <v>0</v>
      </c>
      <c r="R395" s="552" t="s">
        <v>44</v>
      </c>
      <c r="S395" s="655"/>
    </row>
    <row r="396" spans="1:22" s="455" customFormat="1" ht="27.75" customHeight="1" thickTop="1" thickBot="1">
      <c r="A396" s="331"/>
      <c r="B396" s="332" t="s">
        <v>36</v>
      </c>
      <c r="C396" s="512"/>
      <c r="D396" s="335"/>
      <c r="E396" s="335"/>
      <c r="F396" s="331"/>
      <c r="G396" s="336"/>
      <c r="H396" s="622"/>
      <c r="I396" s="458"/>
      <c r="J396" s="453"/>
      <c r="K396" s="374">
        <f t="shared" si="23"/>
        <v>0</v>
      </c>
      <c r="L396" s="446"/>
      <c r="M396" s="451"/>
      <c r="N396" s="452"/>
      <c r="O396" s="452"/>
      <c r="P396" s="452"/>
      <c r="Q396" s="481"/>
      <c r="R396" s="552"/>
      <c r="S396" s="655"/>
    </row>
    <row r="397" spans="1:22" ht="27.75" customHeight="1" thickTop="1" thickBot="1">
      <c r="A397" s="331">
        <v>1</v>
      </c>
      <c r="B397" s="506" t="s">
        <v>2636</v>
      </c>
      <c r="C397" s="364" t="s">
        <v>2637</v>
      </c>
      <c r="D397" s="475"/>
      <c r="E397" s="409" t="s">
        <v>3416</v>
      </c>
      <c r="F397" s="647">
        <v>1</v>
      </c>
      <c r="G397" s="367">
        <v>3327.7</v>
      </c>
      <c r="H397" s="373"/>
      <c r="I397" s="397"/>
      <c r="J397" s="335"/>
      <c r="K397" s="374">
        <f t="shared" si="23"/>
        <v>384.01657999999998</v>
      </c>
      <c r="L397" s="374"/>
      <c r="M397" s="369"/>
      <c r="Q397" s="478"/>
      <c r="R397" s="649"/>
      <c r="S397" s="658"/>
      <c r="T397" s="290"/>
      <c r="U397" s="290"/>
      <c r="V397" s="290"/>
    </row>
    <row r="398" spans="1:22" s="455" customFormat="1" ht="27.75" customHeight="1" thickTop="1" thickBot="1">
      <c r="A398" s="450"/>
      <c r="B398" s="444"/>
      <c r="C398" s="444"/>
      <c r="D398" s="446"/>
      <c r="E398" s="453"/>
      <c r="F398" s="450"/>
      <c r="G398" s="336"/>
      <c r="H398" s="622"/>
      <c r="I398" s="458"/>
      <c r="J398" s="453"/>
      <c r="K398" s="374">
        <f t="shared" si="23"/>
        <v>0</v>
      </c>
      <c r="L398" s="446">
        <f t="shared" si="22"/>
        <v>0</v>
      </c>
      <c r="M398" s="451"/>
      <c r="N398" s="452">
        <f>SUM(G396:G398)</f>
        <v>3327.7</v>
      </c>
      <c r="O398" s="452">
        <f>SUM(J398:J398)</f>
        <v>0</v>
      </c>
      <c r="P398" s="452">
        <f>+N398+O398</f>
        <v>3327.7</v>
      </c>
      <c r="Q398" s="481">
        <f>SUM(D398)</f>
        <v>0</v>
      </c>
      <c r="R398" s="552" t="s">
        <v>36</v>
      </c>
      <c r="S398" s="655"/>
    </row>
    <row r="399" spans="1:22" ht="27.75" customHeight="1" thickTop="1">
      <c r="B399" s="659" t="s">
        <v>2001</v>
      </c>
      <c r="C399" s="332"/>
      <c r="D399" s="338"/>
      <c r="H399" s="373"/>
      <c r="I399" s="397"/>
      <c r="J399" s="335"/>
      <c r="K399" s="374">
        <f t="shared" si="23"/>
        <v>0</v>
      </c>
      <c r="L399" s="338"/>
      <c r="M399" s="369"/>
      <c r="Q399" s="478"/>
      <c r="R399" s="479"/>
      <c r="S399" s="658"/>
      <c r="T399" s="290"/>
      <c r="U399" s="290"/>
      <c r="V399" s="290"/>
    </row>
    <row r="400" spans="1:22" ht="27.75" customHeight="1">
      <c r="B400" s="659"/>
      <c r="C400" s="332"/>
      <c r="D400" s="338"/>
      <c r="H400" s="373"/>
      <c r="I400" s="397"/>
      <c r="J400" s="335"/>
      <c r="K400" s="374">
        <f t="shared" si="23"/>
        <v>0</v>
      </c>
      <c r="L400" s="338"/>
      <c r="M400" s="369"/>
      <c r="Q400" s="478"/>
      <c r="R400" s="479"/>
      <c r="S400" s="658"/>
      <c r="T400" s="290"/>
      <c r="U400" s="290"/>
      <c r="V400" s="290"/>
    </row>
    <row r="401" spans="1:22" ht="27.75" customHeight="1" thickBot="1">
      <c r="B401" s="659"/>
      <c r="C401" s="332"/>
      <c r="D401" s="338"/>
      <c r="H401" s="373"/>
      <c r="I401" s="397"/>
      <c r="J401" s="335"/>
      <c r="K401" s="374">
        <f t="shared" si="23"/>
        <v>0</v>
      </c>
      <c r="L401" s="338"/>
      <c r="M401" s="369"/>
      <c r="Q401" s="478"/>
      <c r="R401" s="479"/>
      <c r="S401" s="658"/>
      <c r="T401" s="290"/>
      <c r="U401" s="290"/>
      <c r="V401" s="290"/>
    </row>
    <row r="402" spans="1:22" s="455" customFormat="1" ht="27.75" customHeight="1" thickTop="1" thickBot="1">
      <c r="A402" s="450"/>
      <c r="B402" s="444"/>
      <c r="C402" s="457"/>
      <c r="D402" s="453"/>
      <c r="E402" s="453"/>
      <c r="F402" s="450"/>
      <c r="G402" s="386"/>
      <c r="H402" s="622"/>
      <c r="I402" s="458"/>
      <c r="J402" s="453"/>
      <c r="K402" s="374">
        <f t="shared" si="23"/>
        <v>0</v>
      </c>
      <c r="L402" s="446">
        <f t="shared" si="22"/>
        <v>0</v>
      </c>
      <c r="M402" s="451"/>
      <c r="N402" s="452">
        <f>SUM(G402:G402)</f>
        <v>0</v>
      </c>
      <c r="O402" s="452">
        <f>SUM(J402:J402)</f>
        <v>0</v>
      </c>
      <c r="P402" s="452">
        <f>SUM(N402:O402)</f>
        <v>0</v>
      </c>
      <c r="Q402" s="481">
        <f>SUM(D402:D402)</f>
        <v>0</v>
      </c>
      <c r="R402" s="552" t="s">
        <v>452</v>
      </c>
      <c r="S402" s="655"/>
    </row>
    <row r="403" spans="1:22" ht="27.75" customHeight="1" thickTop="1">
      <c r="B403" s="332"/>
      <c r="C403" s="395"/>
      <c r="D403" s="335"/>
      <c r="E403" s="475"/>
      <c r="F403" s="647"/>
      <c r="G403" s="386"/>
      <c r="H403" s="373"/>
      <c r="I403" s="397"/>
      <c r="J403" s="335"/>
      <c r="K403" s="374">
        <f t="shared" si="23"/>
        <v>0</v>
      </c>
      <c r="L403" s="374">
        <f t="shared" si="22"/>
        <v>0</v>
      </c>
      <c r="M403" s="369"/>
      <c r="S403" s="290"/>
      <c r="T403" s="290"/>
      <c r="U403" s="290"/>
      <c r="V403" s="290"/>
    </row>
    <row r="404" spans="1:22" ht="27.75" customHeight="1">
      <c r="B404" s="659" t="s">
        <v>219</v>
      </c>
      <c r="C404" s="395"/>
      <c r="D404" s="335"/>
      <c r="E404" s="475"/>
      <c r="F404" s="647"/>
      <c r="G404" s="386"/>
      <c r="H404" s="373"/>
      <c r="I404" s="397"/>
      <c r="J404" s="335"/>
      <c r="K404" s="374">
        <f t="shared" si="23"/>
        <v>0</v>
      </c>
      <c r="L404" s="374">
        <f t="shared" si="22"/>
        <v>0</v>
      </c>
      <c r="M404" s="369"/>
      <c r="S404" s="290"/>
      <c r="T404" s="290"/>
      <c r="U404" s="290"/>
      <c r="V404" s="290"/>
    </row>
    <row r="405" spans="1:22" ht="27.75" customHeight="1">
      <c r="A405" s="331">
        <v>1</v>
      </c>
      <c r="B405" s="650" t="s">
        <v>561</v>
      </c>
      <c r="C405" s="1430" t="s">
        <v>1207</v>
      </c>
      <c r="D405" s="1431">
        <v>259</v>
      </c>
      <c r="E405" s="652"/>
      <c r="F405" s="653"/>
      <c r="G405" s="637"/>
      <c r="H405" s="373"/>
      <c r="I405" s="397"/>
      <c r="J405" s="335"/>
      <c r="K405" s="374">
        <f t="shared" si="23"/>
        <v>0</v>
      </c>
      <c r="L405" s="374">
        <f t="shared" si="22"/>
        <v>0</v>
      </c>
      <c r="M405" s="369"/>
      <c r="S405" s="290"/>
      <c r="T405" s="290"/>
      <c r="U405" s="290"/>
      <c r="V405" s="290"/>
    </row>
    <row r="406" spans="1:22" ht="27.75" customHeight="1">
      <c r="A406" s="331">
        <v>2</v>
      </c>
      <c r="B406" s="650" t="s">
        <v>2889</v>
      </c>
      <c r="C406" s="1430" t="s">
        <v>2891</v>
      </c>
      <c r="D406" s="1431">
        <v>343.5</v>
      </c>
      <c r="E406" s="652"/>
      <c r="F406" s="653"/>
      <c r="G406" s="637"/>
      <c r="H406" s="373"/>
      <c r="I406" s="397"/>
      <c r="J406" s="335"/>
      <c r="K406" s="374">
        <f t="shared" si="23"/>
        <v>0</v>
      </c>
      <c r="L406" s="374">
        <f t="shared" si="22"/>
        <v>0</v>
      </c>
      <c r="M406" s="369"/>
      <c r="S406" s="290"/>
      <c r="T406" s="290"/>
      <c r="U406" s="290"/>
      <c r="V406" s="290"/>
    </row>
    <row r="407" spans="1:22" ht="27.75" customHeight="1">
      <c r="A407" s="331">
        <v>3</v>
      </c>
      <c r="B407" s="650" t="s">
        <v>561</v>
      </c>
      <c r="C407" s="1432" t="s">
        <v>2892</v>
      </c>
      <c r="D407" s="1433">
        <v>47.01</v>
      </c>
      <c r="E407" s="652"/>
      <c r="F407" s="660"/>
      <c r="G407" s="637"/>
      <c r="H407" s="373"/>
      <c r="I407" s="397"/>
      <c r="J407" s="335"/>
      <c r="K407" s="374">
        <f t="shared" si="23"/>
        <v>0</v>
      </c>
      <c r="L407" s="374">
        <f t="shared" si="22"/>
        <v>0</v>
      </c>
      <c r="M407" s="369"/>
      <c r="S407" s="290"/>
      <c r="T407" s="290"/>
      <c r="U407" s="290"/>
      <c r="V407" s="290"/>
    </row>
    <row r="408" spans="1:22" ht="27.75" customHeight="1">
      <c r="A408" s="331">
        <v>4</v>
      </c>
      <c r="B408" s="1434" t="s">
        <v>1462</v>
      </c>
      <c r="C408" s="1432" t="s">
        <v>3331</v>
      </c>
      <c r="D408" s="1433">
        <v>704.16</v>
      </c>
      <c r="E408" s="652"/>
      <c r="F408" s="660"/>
      <c r="G408" s="637"/>
      <c r="H408" s="373"/>
      <c r="I408" s="397"/>
      <c r="J408" s="335"/>
      <c r="K408" s="374">
        <f t="shared" si="23"/>
        <v>0</v>
      </c>
      <c r="L408" s="374">
        <f t="shared" si="22"/>
        <v>0</v>
      </c>
      <c r="M408" s="369"/>
      <c r="S408" s="290"/>
      <c r="T408" s="290"/>
      <c r="U408" s="290"/>
      <c r="V408" s="290"/>
    </row>
    <row r="409" spans="1:22" ht="27.75" customHeight="1">
      <c r="A409" s="331">
        <v>5</v>
      </c>
      <c r="B409" s="1434" t="s">
        <v>2243</v>
      </c>
      <c r="C409" s="1432" t="s">
        <v>2764</v>
      </c>
      <c r="D409" s="1433">
        <v>25.87</v>
      </c>
      <c r="E409" s="652"/>
      <c r="F409" s="660"/>
      <c r="G409" s="637">
        <v>0</v>
      </c>
      <c r="H409" s="373"/>
      <c r="I409" s="397"/>
      <c r="J409" s="335"/>
      <c r="K409" s="374">
        <f t="shared" si="23"/>
        <v>0</v>
      </c>
      <c r="L409" s="374">
        <f t="shared" si="22"/>
        <v>0</v>
      </c>
      <c r="M409" s="369"/>
      <c r="S409" s="290"/>
      <c r="T409" s="290"/>
      <c r="U409" s="290"/>
      <c r="V409" s="290"/>
    </row>
    <row r="410" spans="1:22" ht="27.75" customHeight="1">
      <c r="A410" s="331">
        <v>6</v>
      </c>
      <c r="B410" s="1434" t="s">
        <v>2634</v>
      </c>
      <c r="C410" s="1432" t="s">
        <v>2638</v>
      </c>
      <c r="D410" s="1433">
        <v>202.5</v>
      </c>
      <c r="E410" s="652"/>
      <c r="F410" s="660"/>
      <c r="G410" s="637"/>
      <c r="H410" s="373"/>
      <c r="I410" s="397"/>
      <c r="J410" s="335"/>
      <c r="K410" s="374">
        <f t="shared" si="23"/>
        <v>0</v>
      </c>
      <c r="L410" s="374">
        <f t="shared" si="22"/>
        <v>0</v>
      </c>
      <c r="M410" s="369"/>
      <c r="S410" s="290"/>
      <c r="T410" s="290"/>
      <c r="U410" s="290"/>
      <c r="V410" s="290"/>
    </row>
    <row r="411" spans="1:22" ht="27.6" customHeight="1" thickBot="1">
      <c r="A411" s="331">
        <v>7</v>
      </c>
      <c r="B411" s="1434" t="s">
        <v>1464</v>
      </c>
      <c r="C411" s="1432" t="s">
        <v>3417</v>
      </c>
      <c r="D411" s="1433">
        <v>265.83</v>
      </c>
      <c r="E411" s="652"/>
      <c r="F411" s="660"/>
      <c r="G411" s="637"/>
      <c r="H411" s="373"/>
      <c r="I411" s="397"/>
      <c r="J411" s="335"/>
      <c r="K411" s="374">
        <f t="shared" si="23"/>
        <v>0</v>
      </c>
      <c r="L411" s="374">
        <f t="shared" si="22"/>
        <v>0</v>
      </c>
      <c r="M411" s="369"/>
      <c r="Q411" s="288"/>
      <c r="S411" s="290"/>
      <c r="T411" s="290"/>
      <c r="U411" s="290"/>
      <c r="V411" s="290"/>
    </row>
    <row r="412" spans="1:22" s="455" customFormat="1" ht="27.75" customHeight="1" thickTop="1" thickBot="1">
      <c r="A412" s="588"/>
      <c r="B412" s="592"/>
      <c r="C412" s="589"/>
      <c r="D412" s="529"/>
      <c r="E412" s="590"/>
      <c r="F412" s="588"/>
      <c r="G412" s="531"/>
      <c r="H412" s="624"/>
      <c r="I412" s="593"/>
      <c r="J412" s="590"/>
      <c r="K412" s="374">
        <f t="shared" si="23"/>
        <v>0</v>
      </c>
      <c r="L412" s="529">
        <f t="shared" si="22"/>
        <v>0</v>
      </c>
      <c r="M412" s="451"/>
      <c r="N412" s="452">
        <f>SUM(G405:G412)</f>
        <v>0</v>
      </c>
      <c r="O412" s="452">
        <f>SUM(J411:J412)</f>
        <v>0</v>
      </c>
      <c r="P412" s="452">
        <f>+N412+O412</f>
        <v>0</v>
      </c>
      <c r="Q412" s="481">
        <f>SUM(D405:D412)</f>
        <v>1847.87</v>
      </c>
      <c r="R412" s="552" t="s">
        <v>219</v>
      </c>
      <c r="S412" s="655"/>
    </row>
    <row r="413" spans="1:22" ht="27.75" customHeight="1" thickTop="1">
      <c r="A413" s="661"/>
      <c r="B413" s="662" t="s">
        <v>216</v>
      </c>
      <c r="C413" s="663"/>
      <c r="D413" s="664"/>
      <c r="E413" s="665"/>
      <c r="F413" s="661"/>
      <c r="G413" s="666"/>
      <c r="H413" s="667"/>
      <c r="I413" s="668"/>
      <c r="J413" s="665"/>
      <c r="K413" s="374">
        <f t="shared" si="23"/>
        <v>0</v>
      </c>
      <c r="L413" s="664"/>
      <c r="M413" s="369"/>
      <c r="Q413" s="478"/>
      <c r="R413" s="479"/>
      <c r="S413" s="658"/>
      <c r="T413" s="290"/>
      <c r="U413" s="290"/>
      <c r="V413" s="290"/>
    </row>
    <row r="414" spans="1:22" ht="27.75" customHeight="1">
      <c r="A414" s="321"/>
      <c r="B414" s="669"/>
      <c r="C414" s="670"/>
      <c r="D414" s="328"/>
      <c r="E414" s="325"/>
      <c r="F414" s="321"/>
      <c r="G414" s="326"/>
      <c r="H414" s="671"/>
      <c r="I414" s="672"/>
      <c r="J414" s="325"/>
      <c r="K414" s="374">
        <f t="shared" si="23"/>
        <v>0</v>
      </c>
      <c r="L414" s="328"/>
      <c r="M414" s="369"/>
      <c r="Q414" s="478"/>
      <c r="R414" s="479"/>
      <c r="S414" s="658"/>
      <c r="T414" s="290"/>
      <c r="U414" s="290"/>
      <c r="V414" s="290"/>
    </row>
    <row r="415" spans="1:22" ht="27.75" customHeight="1">
      <c r="B415" s="332"/>
      <c r="C415" s="477"/>
      <c r="D415" s="338"/>
      <c r="H415" s="373"/>
      <c r="I415" s="397"/>
      <c r="J415" s="335"/>
      <c r="K415" s="374">
        <f t="shared" si="23"/>
        <v>0</v>
      </c>
      <c r="L415" s="338"/>
      <c r="M415" s="369"/>
      <c r="Q415" s="478"/>
      <c r="R415" s="479"/>
      <c r="S415" s="658"/>
      <c r="T415" s="290"/>
      <c r="U415" s="290"/>
      <c r="V415" s="290"/>
    </row>
    <row r="416" spans="1:22" s="686" customFormat="1" ht="27.75" customHeight="1">
      <c r="A416" s="673"/>
      <c r="B416" s="674"/>
      <c r="C416" s="675"/>
      <c r="D416" s="676"/>
      <c r="E416" s="677"/>
      <c r="F416" s="673"/>
      <c r="G416" s="678"/>
      <c r="H416" s="679"/>
      <c r="I416" s="680"/>
      <c r="J416" s="677"/>
      <c r="K416" s="374">
        <f t="shared" si="23"/>
        <v>0</v>
      </c>
      <c r="L416" s="676"/>
      <c r="M416" s="681"/>
      <c r="N416" s="682">
        <f>SUM(G414:G415)</f>
        <v>0</v>
      </c>
      <c r="O416" s="682"/>
      <c r="P416" s="682">
        <f>SUM(N416:O416)</f>
        <v>0</v>
      </c>
      <c r="Q416" s="683">
        <f>SUM(D413:D416)</f>
        <v>0</v>
      </c>
      <c r="R416" s="684"/>
      <c r="S416" s="685"/>
    </row>
    <row r="417" spans="1:22" ht="27.75" customHeight="1" thickBot="1">
      <c r="A417" s="321"/>
      <c r="B417" s="687"/>
      <c r="C417" s="596" t="s">
        <v>26</v>
      </c>
      <c r="D417" s="533"/>
      <c r="E417" s="534"/>
      <c r="F417" s="535"/>
      <c r="G417" s="536">
        <f>SUM(G378:G416)</f>
        <v>3327.7</v>
      </c>
      <c r="H417" s="597"/>
      <c r="I417" s="535"/>
      <c r="J417" s="533">
        <f>SUM(J378:J412)</f>
        <v>0</v>
      </c>
      <c r="K417" s="374">
        <f t="shared" si="23"/>
        <v>384.01657999999998</v>
      </c>
      <c r="L417" s="538">
        <f>SUM(L378:L412)</f>
        <v>0</v>
      </c>
      <c r="M417" s="539"/>
      <c r="N417" s="599">
        <f>SUM(N378:N416)</f>
        <v>3327.7</v>
      </c>
      <c r="O417" s="599">
        <f>SUM(O387:O416)</f>
        <v>0</v>
      </c>
      <c r="P417" s="599">
        <f>SUM(P377:P416)</f>
        <v>3327.7</v>
      </c>
      <c r="Q417" s="688">
        <f>SUM(Q387+Q391+Q393+Q395+Q398+Q402+Q412+Q416)</f>
        <v>38573.530000000006</v>
      </c>
      <c r="S417" s="290"/>
      <c r="T417" s="290"/>
      <c r="U417" s="290"/>
      <c r="V417" s="290"/>
    </row>
    <row r="418" spans="1:22" ht="27.75" customHeight="1" thickTop="1">
      <c r="B418" s="629"/>
      <c r="C418" s="689"/>
      <c r="D418" s="690"/>
      <c r="E418" s="325"/>
      <c r="F418" s="321"/>
      <c r="G418" s="326"/>
      <c r="H418" s="671"/>
      <c r="I418" s="321"/>
      <c r="J418" s="328"/>
      <c r="K418" s="374">
        <f t="shared" si="23"/>
        <v>0</v>
      </c>
      <c r="N418" s="603">
        <f>+G417+J417</f>
        <v>3327.7</v>
      </c>
      <c r="O418" s="603">
        <f>N418-P418</f>
        <v>0</v>
      </c>
      <c r="P418" s="691">
        <v>3327.7</v>
      </c>
      <c r="S418" s="290"/>
      <c r="T418" s="290"/>
      <c r="U418" s="290"/>
      <c r="V418" s="290"/>
    </row>
    <row r="419" spans="1:22" s="436" customFormat="1" ht="27.75" customHeight="1">
      <c r="A419" s="692"/>
      <c r="B419" s="693" t="s">
        <v>162</v>
      </c>
      <c r="C419" s="694"/>
      <c r="D419" s="357"/>
      <c r="E419" s="357"/>
      <c r="F419" s="354"/>
      <c r="G419" s="544"/>
      <c r="H419" s="360"/>
      <c r="I419" s="354"/>
      <c r="J419" s="357"/>
      <c r="K419" s="374">
        <f t="shared" si="23"/>
        <v>0</v>
      </c>
      <c r="L419" s="361"/>
      <c r="M419" s="361"/>
      <c r="N419" s="358"/>
      <c r="O419" s="358"/>
      <c r="P419" s="358"/>
      <c r="Q419" s="357"/>
    </row>
    <row r="420" spans="1:22" ht="27.75" customHeight="1">
      <c r="B420" s="373" t="s">
        <v>990</v>
      </c>
      <c r="C420" s="393"/>
      <c r="D420" s="365"/>
      <c r="E420" s="365"/>
      <c r="F420" s="366"/>
      <c r="H420" s="368"/>
      <c r="I420" s="366"/>
      <c r="J420" s="365"/>
      <c r="K420" s="374">
        <f t="shared" si="23"/>
        <v>0</v>
      </c>
      <c r="L420" s="338"/>
      <c r="Q420" s="370"/>
      <c r="S420" s="290"/>
      <c r="T420" s="290"/>
      <c r="U420" s="290"/>
      <c r="V420" s="290"/>
    </row>
    <row r="421" spans="1:22" ht="27.75" customHeight="1">
      <c r="A421" s="331">
        <v>1</v>
      </c>
      <c r="B421" s="695" t="s">
        <v>2611</v>
      </c>
      <c r="C421" s="696" t="s">
        <v>2612</v>
      </c>
      <c r="D421" s="697"/>
      <c r="E421" s="698" t="s">
        <v>3435</v>
      </c>
      <c r="F421" s="698">
        <v>2</v>
      </c>
      <c r="G421" s="699">
        <v>6900</v>
      </c>
      <c r="H421" s="373"/>
      <c r="K421" s="374">
        <f t="shared" si="23"/>
        <v>796.26</v>
      </c>
      <c r="L421" s="374">
        <f>+J421</f>
        <v>0</v>
      </c>
      <c r="N421" s="325"/>
      <c r="O421" s="325"/>
      <c r="S421" s="290"/>
      <c r="T421" s="290"/>
      <c r="U421" s="290"/>
      <c r="V421" s="290"/>
    </row>
    <row r="422" spans="1:22" ht="27.75" customHeight="1">
      <c r="A422" s="331">
        <v>2</v>
      </c>
      <c r="B422" s="695" t="s">
        <v>1664</v>
      </c>
      <c r="C422" s="696" t="s">
        <v>3231</v>
      </c>
      <c r="D422" s="697"/>
      <c r="E422" s="698" t="s">
        <v>3436</v>
      </c>
      <c r="F422" s="698">
        <v>3</v>
      </c>
      <c r="G422" s="699">
        <v>10350</v>
      </c>
      <c r="H422" s="373"/>
      <c r="K422" s="374">
        <f t="shared" si="23"/>
        <v>1194.3899999999999</v>
      </c>
      <c r="L422" s="374">
        <f>+J422</f>
        <v>0</v>
      </c>
      <c r="N422" s="325"/>
      <c r="O422" s="325"/>
      <c r="S422" s="290"/>
      <c r="T422" s="290"/>
      <c r="U422" s="290"/>
      <c r="V422" s="290"/>
    </row>
    <row r="423" spans="1:22" ht="27.75" customHeight="1">
      <c r="A423" s="331">
        <v>3</v>
      </c>
      <c r="B423" s="695" t="s">
        <v>2615</v>
      </c>
      <c r="C423" s="696" t="s">
        <v>2616</v>
      </c>
      <c r="D423" s="697"/>
      <c r="E423" s="698" t="s">
        <v>3435</v>
      </c>
      <c r="F423" s="698">
        <v>2</v>
      </c>
      <c r="G423" s="699">
        <v>6900</v>
      </c>
      <c r="H423" s="373"/>
      <c r="K423" s="374">
        <f t="shared" si="23"/>
        <v>796.26</v>
      </c>
      <c r="L423" s="374">
        <f>+J423</f>
        <v>0</v>
      </c>
      <c r="N423" s="325"/>
      <c r="O423" s="325"/>
      <c r="S423" s="290"/>
      <c r="T423" s="290"/>
      <c r="U423" s="290"/>
      <c r="V423" s="290"/>
    </row>
    <row r="424" spans="1:22" ht="27.75" customHeight="1">
      <c r="A424" s="331">
        <v>4</v>
      </c>
      <c r="B424" s="695" t="s">
        <v>3232</v>
      </c>
      <c r="C424" s="696" t="s">
        <v>3233</v>
      </c>
      <c r="D424" s="697"/>
      <c r="E424" s="698" t="s">
        <v>3436</v>
      </c>
      <c r="F424" s="698">
        <v>3</v>
      </c>
      <c r="G424" s="699">
        <v>10350</v>
      </c>
      <c r="H424" s="373"/>
      <c r="K424" s="374">
        <f t="shared" si="23"/>
        <v>1194.3899999999999</v>
      </c>
      <c r="L424" s="374">
        <f t="shared" ref="L424:L444" si="24">+J424</f>
        <v>0</v>
      </c>
      <c r="N424" s="325"/>
      <c r="O424" s="325"/>
      <c r="S424" s="290"/>
      <c r="T424" s="290"/>
      <c r="U424" s="290"/>
      <c r="V424" s="290"/>
    </row>
    <row r="425" spans="1:22" ht="27.75" customHeight="1">
      <c r="A425" s="331">
        <v>5</v>
      </c>
      <c r="B425" s="695" t="s">
        <v>698</v>
      </c>
      <c r="C425" s="696" t="s">
        <v>1817</v>
      </c>
      <c r="D425" s="697"/>
      <c r="E425" s="698" t="s">
        <v>3416</v>
      </c>
      <c r="F425" s="698">
        <v>1</v>
      </c>
      <c r="G425" s="699">
        <v>3450</v>
      </c>
      <c r="H425" s="373"/>
      <c r="K425" s="374">
        <f t="shared" si="23"/>
        <v>398.13</v>
      </c>
      <c r="L425" s="374">
        <f t="shared" si="24"/>
        <v>0</v>
      </c>
      <c r="N425" s="325"/>
      <c r="O425" s="325"/>
      <c r="S425" s="700">
        <f>+G425</f>
        <v>3450</v>
      </c>
      <c r="T425" s="700">
        <f>+J425</f>
        <v>0</v>
      </c>
      <c r="U425" s="290"/>
      <c r="V425" s="290"/>
    </row>
    <row r="426" spans="1:22" ht="27.75" customHeight="1">
      <c r="A426" s="331">
        <v>6</v>
      </c>
      <c r="B426" s="695" t="s">
        <v>739</v>
      </c>
      <c r="C426" s="696" t="s">
        <v>3062</v>
      </c>
      <c r="D426" s="697"/>
      <c r="E426" s="698" t="s">
        <v>3416</v>
      </c>
      <c r="F426" s="698">
        <v>1</v>
      </c>
      <c r="G426" s="699">
        <v>3450</v>
      </c>
      <c r="H426" s="373"/>
      <c r="K426" s="374">
        <f t="shared" si="23"/>
        <v>398.13</v>
      </c>
      <c r="L426" s="374">
        <f t="shared" si="24"/>
        <v>0</v>
      </c>
      <c r="N426" s="325"/>
      <c r="O426" s="325"/>
      <c r="S426" s="290"/>
      <c r="T426" s="290"/>
      <c r="U426" s="290"/>
      <c r="V426" s="290"/>
    </row>
    <row r="427" spans="1:22" ht="27.75" customHeight="1">
      <c r="A427" s="331">
        <v>7</v>
      </c>
      <c r="B427" s="695" t="s">
        <v>2004</v>
      </c>
      <c r="C427" s="696" t="s">
        <v>2867</v>
      </c>
      <c r="D427" s="697"/>
      <c r="E427" s="698" t="s">
        <v>3437</v>
      </c>
      <c r="F427" s="698">
        <v>2</v>
      </c>
      <c r="G427" s="699">
        <v>6900</v>
      </c>
      <c r="H427" s="373"/>
      <c r="K427" s="374">
        <f t="shared" si="23"/>
        <v>796.26</v>
      </c>
      <c r="L427" s="374">
        <f t="shared" si="24"/>
        <v>0</v>
      </c>
      <c r="N427" s="325"/>
      <c r="O427" s="325"/>
      <c r="S427" s="290"/>
      <c r="T427" s="290"/>
      <c r="U427" s="290"/>
      <c r="V427" s="290"/>
    </row>
    <row r="428" spans="1:22" ht="27.75" customHeight="1">
      <c r="A428" s="331">
        <v>8</v>
      </c>
      <c r="B428" s="695" t="s">
        <v>3143</v>
      </c>
      <c r="C428" s="696" t="s">
        <v>3144</v>
      </c>
      <c r="D428" s="697"/>
      <c r="E428" s="698" t="s">
        <v>3416</v>
      </c>
      <c r="F428" s="698">
        <v>1</v>
      </c>
      <c r="G428" s="699">
        <v>3450</v>
      </c>
      <c r="H428" s="373"/>
      <c r="K428" s="374">
        <f t="shared" si="23"/>
        <v>398.13</v>
      </c>
      <c r="L428" s="374">
        <f t="shared" si="24"/>
        <v>0</v>
      </c>
      <c r="N428" s="325"/>
      <c r="O428" s="325"/>
      <c r="S428" s="290"/>
      <c r="T428" s="290"/>
      <c r="U428" s="290"/>
      <c r="V428" s="290"/>
    </row>
    <row r="429" spans="1:22" ht="27.75" customHeight="1">
      <c r="A429" s="331">
        <v>9</v>
      </c>
      <c r="B429" s="695" t="s">
        <v>2988</v>
      </c>
      <c r="C429" s="696" t="s">
        <v>2989</v>
      </c>
      <c r="D429" s="697"/>
      <c r="E429" s="698" t="s">
        <v>3416</v>
      </c>
      <c r="F429" s="698">
        <v>1</v>
      </c>
      <c r="G429" s="699">
        <v>3450</v>
      </c>
      <c r="H429" s="373"/>
      <c r="K429" s="374">
        <f t="shared" si="23"/>
        <v>398.13</v>
      </c>
      <c r="L429" s="374">
        <f t="shared" si="24"/>
        <v>0</v>
      </c>
      <c r="N429" s="325"/>
      <c r="O429" s="325"/>
      <c r="S429" s="290"/>
      <c r="T429" s="290"/>
      <c r="U429" s="290"/>
      <c r="V429" s="290"/>
    </row>
    <row r="430" spans="1:22" ht="27.75" customHeight="1">
      <c r="A430" s="331">
        <v>10</v>
      </c>
      <c r="B430" s="695" t="s">
        <v>1831</v>
      </c>
      <c r="C430" s="696" t="s">
        <v>2868</v>
      </c>
      <c r="D430" s="697"/>
      <c r="E430" s="698" t="s">
        <v>3435</v>
      </c>
      <c r="F430" s="698">
        <v>2</v>
      </c>
      <c r="G430" s="699">
        <v>6900</v>
      </c>
      <c r="H430" s="373"/>
      <c r="K430" s="374">
        <f t="shared" si="23"/>
        <v>796.26</v>
      </c>
      <c r="L430" s="374">
        <f t="shared" si="24"/>
        <v>0</v>
      </c>
      <c r="N430" s="325"/>
      <c r="O430" s="325"/>
      <c r="S430" s="290"/>
      <c r="T430" s="290"/>
      <c r="U430" s="290"/>
      <c r="V430" s="290"/>
    </row>
    <row r="431" spans="1:22" ht="27.75" customHeight="1">
      <c r="A431" s="331">
        <v>11</v>
      </c>
      <c r="B431" s="695" t="s">
        <v>3063</v>
      </c>
      <c r="C431" s="696" t="s">
        <v>3064</v>
      </c>
      <c r="D431" s="697"/>
      <c r="E431" s="698" t="s">
        <v>3435</v>
      </c>
      <c r="F431" s="698">
        <v>2</v>
      </c>
      <c r="G431" s="699">
        <v>6900</v>
      </c>
      <c r="H431" s="373"/>
      <c r="K431" s="374">
        <f t="shared" si="23"/>
        <v>796.26</v>
      </c>
      <c r="L431" s="374">
        <f t="shared" si="24"/>
        <v>0</v>
      </c>
      <c r="N431" s="325"/>
      <c r="O431" s="325"/>
      <c r="S431" s="290"/>
      <c r="T431" s="290"/>
      <c r="U431" s="290"/>
      <c r="V431" s="290"/>
    </row>
    <row r="432" spans="1:22" ht="27.75" customHeight="1">
      <c r="A432" s="331">
        <v>12</v>
      </c>
      <c r="B432" s="695" t="s">
        <v>3176</v>
      </c>
      <c r="C432" s="696" t="s">
        <v>3177</v>
      </c>
      <c r="D432" s="697"/>
      <c r="E432" s="698" t="s">
        <v>3435</v>
      </c>
      <c r="F432" s="698">
        <v>2</v>
      </c>
      <c r="G432" s="699">
        <v>6900</v>
      </c>
      <c r="H432" s="373"/>
      <c r="K432" s="374">
        <f t="shared" si="23"/>
        <v>796.26</v>
      </c>
      <c r="L432" s="374">
        <f t="shared" si="24"/>
        <v>0</v>
      </c>
      <c r="N432" s="325"/>
      <c r="O432" s="325"/>
      <c r="S432" s="290"/>
      <c r="T432" s="290"/>
      <c r="U432" s="290"/>
      <c r="V432" s="290"/>
    </row>
    <row r="433" spans="1:22" ht="27.75" customHeight="1">
      <c r="A433" s="331">
        <v>13</v>
      </c>
      <c r="B433" s="695" t="s">
        <v>1194</v>
      </c>
      <c r="C433" s="696" t="s">
        <v>3178</v>
      </c>
      <c r="D433" s="697"/>
      <c r="E433" s="698" t="s">
        <v>3435</v>
      </c>
      <c r="F433" s="698">
        <v>2</v>
      </c>
      <c r="G433" s="699">
        <v>6900</v>
      </c>
      <c r="H433" s="373"/>
      <c r="K433" s="374">
        <f t="shared" si="23"/>
        <v>796.26</v>
      </c>
      <c r="L433" s="374">
        <f t="shared" si="24"/>
        <v>0</v>
      </c>
      <c r="N433" s="325"/>
      <c r="O433" s="325"/>
      <c r="S433" s="290"/>
      <c r="T433" s="290"/>
      <c r="U433" s="290"/>
      <c r="V433" s="290"/>
    </row>
    <row r="434" spans="1:22" ht="27.75" customHeight="1">
      <c r="A434" s="331">
        <v>14</v>
      </c>
      <c r="B434" s="695" t="s">
        <v>417</v>
      </c>
      <c r="C434" s="696" t="s">
        <v>2747</v>
      </c>
      <c r="D434" s="697"/>
      <c r="E434" s="1435" t="s">
        <v>3416</v>
      </c>
      <c r="F434" s="698">
        <v>1</v>
      </c>
      <c r="G434" s="699">
        <v>5000</v>
      </c>
      <c r="H434" s="373"/>
      <c r="K434" s="374">
        <f t="shared" si="23"/>
        <v>576.99999999999989</v>
      </c>
      <c r="L434" s="374">
        <f t="shared" si="24"/>
        <v>0</v>
      </c>
      <c r="N434" s="325"/>
      <c r="O434" s="325"/>
      <c r="S434" s="290"/>
      <c r="T434" s="290"/>
      <c r="U434" s="290"/>
      <c r="V434" s="290"/>
    </row>
    <row r="435" spans="1:22" ht="27.75" customHeight="1">
      <c r="A435" s="331">
        <v>15</v>
      </c>
      <c r="B435" s="695" t="s">
        <v>417</v>
      </c>
      <c r="C435" s="696" t="s">
        <v>2748</v>
      </c>
      <c r="D435" s="697"/>
      <c r="E435" s="698" t="s">
        <v>3416</v>
      </c>
      <c r="F435" s="698">
        <v>1</v>
      </c>
      <c r="G435" s="699">
        <v>5000</v>
      </c>
      <c r="H435" s="373"/>
      <c r="K435" s="374">
        <f t="shared" si="23"/>
        <v>576.99999999999989</v>
      </c>
      <c r="L435" s="374">
        <f t="shared" si="24"/>
        <v>0</v>
      </c>
      <c r="N435" s="325"/>
      <c r="O435" s="325"/>
      <c r="S435" s="290"/>
      <c r="T435" s="290"/>
      <c r="U435" s="290"/>
      <c r="V435" s="290"/>
    </row>
    <row r="436" spans="1:22" ht="27.75" customHeight="1">
      <c r="A436" s="331">
        <v>16</v>
      </c>
      <c r="B436" s="695" t="s">
        <v>417</v>
      </c>
      <c r="C436" s="696" t="s">
        <v>2749</v>
      </c>
      <c r="D436" s="697"/>
      <c r="E436" s="698" t="s">
        <v>3416</v>
      </c>
      <c r="F436" s="698">
        <v>1</v>
      </c>
      <c r="G436" s="699">
        <v>5000</v>
      </c>
      <c r="H436" s="373"/>
      <c r="K436" s="374">
        <f t="shared" si="23"/>
        <v>576.99999999999989</v>
      </c>
      <c r="L436" s="374">
        <f t="shared" si="24"/>
        <v>0</v>
      </c>
      <c r="N436" s="325"/>
      <c r="O436" s="325"/>
      <c r="S436" s="290"/>
      <c r="T436" s="290"/>
      <c r="U436" s="290"/>
      <c r="V436" s="290"/>
    </row>
    <row r="437" spans="1:22" ht="27.75" customHeight="1">
      <c r="A437" s="331">
        <v>17</v>
      </c>
      <c r="B437" s="695" t="s">
        <v>417</v>
      </c>
      <c r="C437" s="696" t="s">
        <v>2750</v>
      </c>
      <c r="D437" s="697"/>
      <c r="E437" s="698" t="s">
        <v>3416</v>
      </c>
      <c r="F437" s="698">
        <v>1</v>
      </c>
      <c r="G437" s="699">
        <v>5000</v>
      </c>
      <c r="H437" s="373"/>
      <c r="K437" s="374">
        <f t="shared" si="23"/>
        <v>576.99999999999989</v>
      </c>
      <c r="L437" s="374">
        <f t="shared" si="24"/>
        <v>0</v>
      </c>
      <c r="N437" s="325"/>
      <c r="O437" s="325"/>
      <c r="S437" s="290"/>
      <c r="T437" s="290"/>
      <c r="U437" s="290"/>
      <c r="V437" s="290"/>
    </row>
    <row r="438" spans="1:22" ht="27.75" customHeight="1">
      <c r="A438" s="331">
        <v>18</v>
      </c>
      <c r="B438" s="695" t="s">
        <v>520</v>
      </c>
      <c r="C438" s="696" t="s">
        <v>2751</v>
      </c>
      <c r="D438" s="697"/>
      <c r="E438" s="698" t="s">
        <v>3416</v>
      </c>
      <c r="F438" s="698">
        <v>1</v>
      </c>
      <c r="G438" s="699">
        <v>5000</v>
      </c>
      <c r="H438" s="373"/>
      <c r="K438" s="374">
        <f t="shared" si="23"/>
        <v>576.99999999999989</v>
      </c>
      <c r="L438" s="374">
        <f t="shared" si="24"/>
        <v>0</v>
      </c>
      <c r="N438" s="325"/>
      <c r="O438" s="325"/>
      <c r="S438" s="290"/>
      <c r="T438" s="290"/>
      <c r="U438" s="290"/>
      <c r="V438" s="290"/>
    </row>
    <row r="439" spans="1:22" ht="27.75" customHeight="1">
      <c r="A439" s="331">
        <v>19</v>
      </c>
      <c r="B439" s="695" t="s">
        <v>520</v>
      </c>
      <c r="C439" s="696" t="s">
        <v>2752</v>
      </c>
      <c r="D439" s="697"/>
      <c r="E439" s="698" t="s">
        <v>3416</v>
      </c>
      <c r="F439" s="698">
        <v>1</v>
      </c>
      <c r="G439" s="699">
        <v>5000</v>
      </c>
      <c r="H439" s="373"/>
      <c r="K439" s="374">
        <f t="shared" si="23"/>
        <v>576.99999999999989</v>
      </c>
      <c r="L439" s="374">
        <f t="shared" si="24"/>
        <v>0</v>
      </c>
      <c r="N439" s="325"/>
      <c r="O439" s="325"/>
      <c r="S439" s="290"/>
      <c r="T439" s="290"/>
      <c r="U439" s="290"/>
      <c r="V439" s="290"/>
    </row>
    <row r="440" spans="1:22" ht="27.75" customHeight="1">
      <c r="A440" s="331">
        <v>20</v>
      </c>
      <c r="B440" s="695" t="s">
        <v>520</v>
      </c>
      <c r="C440" s="696" t="s">
        <v>2753</v>
      </c>
      <c r="D440" s="697"/>
      <c r="E440" s="698" t="s">
        <v>3416</v>
      </c>
      <c r="F440" s="698">
        <v>1</v>
      </c>
      <c r="G440" s="699">
        <v>5000</v>
      </c>
      <c r="H440" s="373"/>
      <c r="K440" s="374">
        <f t="shared" si="23"/>
        <v>576.99999999999989</v>
      </c>
      <c r="L440" s="374">
        <f t="shared" si="24"/>
        <v>0</v>
      </c>
      <c r="N440" s="325"/>
      <c r="O440" s="325"/>
      <c r="S440" s="290"/>
      <c r="T440" s="290"/>
      <c r="U440" s="290"/>
      <c r="V440" s="290"/>
    </row>
    <row r="441" spans="1:22" ht="27.75" customHeight="1">
      <c r="A441" s="331">
        <v>21</v>
      </c>
      <c r="B441" s="695" t="s">
        <v>520</v>
      </c>
      <c r="C441" s="696" t="s">
        <v>2754</v>
      </c>
      <c r="D441" s="697"/>
      <c r="E441" s="698" t="s">
        <v>3416</v>
      </c>
      <c r="F441" s="698">
        <v>1</v>
      </c>
      <c r="G441" s="699">
        <v>5000</v>
      </c>
      <c r="H441" s="373"/>
      <c r="K441" s="374">
        <f t="shared" si="23"/>
        <v>576.99999999999989</v>
      </c>
      <c r="L441" s="374">
        <f t="shared" si="24"/>
        <v>0</v>
      </c>
      <c r="N441" s="325"/>
      <c r="O441" s="325"/>
      <c r="S441" s="290"/>
      <c r="T441" s="290"/>
      <c r="U441" s="290"/>
      <c r="V441" s="290"/>
    </row>
    <row r="442" spans="1:22" ht="27.75" customHeight="1">
      <c r="B442" s="695"/>
      <c r="C442" s="696"/>
      <c r="D442" s="697"/>
      <c r="E442" s="579"/>
      <c r="F442" s="579"/>
      <c r="G442" s="699"/>
      <c r="H442" s="373"/>
      <c r="K442" s="374">
        <f t="shared" ref="K442:K477" si="25">G442*11.54/100</f>
        <v>0</v>
      </c>
      <c r="L442" s="374">
        <f t="shared" si="24"/>
        <v>0</v>
      </c>
      <c r="N442" s="325"/>
      <c r="O442" s="325"/>
      <c r="S442" s="290"/>
      <c r="T442" s="290"/>
      <c r="U442" s="290"/>
      <c r="V442" s="290"/>
    </row>
    <row r="443" spans="1:22" ht="27.75" customHeight="1">
      <c r="B443" s="695" t="s">
        <v>1151</v>
      </c>
      <c r="C443" s="696"/>
      <c r="D443" s="697"/>
      <c r="E443" s="701"/>
      <c r="F443" s="579"/>
      <c r="G443" s="699"/>
      <c r="H443" s="373"/>
      <c r="K443" s="374">
        <f t="shared" si="25"/>
        <v>0</v>
      </c>
      <c r="L443" s="374">
        <f t="shared" si="24"/>
        <v>0</v>
      </c>
      <c r="N443" s="325"/>
      <c r="O443" s="325"/>
      <c r="S443" s="290"/>
      <c r="T443" s="290"/>
      <c r="U443" s="290"/>
      <c r="V443" s="290"/>
    </row>
    <row r="444" spans="1:22" ht="27.75" customHeight="1">
      <c r="A444" s="331">
        <v>1</v>
      </c>
      <c r="B444" s="695" t="s">
        <v>1773</v>
      </c>
      <c r="C444" s="696" t="s">
        <v>1774</v>
      </c>
      <c r="D444" s="697"/>
      <c r="E444" s="701"/>
      <c r="F444" s="579"/>
      <c r="G444" s="699"/>
      <c r="H444" s="373" t="s">
        <v>3351</v>
      </c>
      <c r="I444" s="331">
        <v>20</v>
      </c>
      <c r="J444" s="338">
        <v>65550</v>
      </c>
      <c r="K444" s="374">
        <f t="shared" si="25"/>
        <v>0</v>
      </c>
      <c r="L444" s="374">
        <f t="shared" si="24"/>
        <v>65550</v>
      </c>
      <c r="N444" s="325"/>
      <c r="O444" s="325"/>
      <c r="S444" s="290"/>
      <c r="T444" s="290"/>
      <c r="U444" s="290"/>
      <c r="V444" s="290"/>
    </row>
    <row r="445" spans="1:22" ht="27.75" customHeight="1">
      <c r="A445" s="331">
        <v>2</v>
      </c>
      <c r="B445" s="695" t="s">
        <v>3442</v>
      </c>
      <c r="C445" s="696" t="s">
        <v>1337</v>
      </c>
      <c r="D445" s="697"/>
      <c r="E445" s="701"/>
      <c r="F445" s="579"/>
      <c r="G445" s="699"/>
      <c r="H445" s="373" t="s">
        <v>3443</v>
      </c>
      <c r="I445" s="331">
        <v>31</v>
      </c>
      <c r="J445" s="338">
        <v>99905</v>
      </c>
      <c r="K445" s="374">
        <f t="shared" si="25"/>
        <v>0</v>
      </c>
      <c r="L445" s="374">
        <f t="shared" ref="L445:L485" si="26">+J445</f>
        <v>99905</v>
      </c>
      <c r="N445" s="325"/>
      <c r="O445" s="325"/>
      <c r="S445" s="290"/>
      <c r="T445" s="290"/>
      <c r="U445" s="290"/>
      <c r="V445" s="290"/>
    </row>
    <row r="446" spans="1:22" ht="27.75" customHeight="1">
      <c r="A446" s="331">
        <v>3</v>
      </c>
      <c r="B446" s="695" t="s">
        <v>1784</v>
      </c>
      <c r="C446" s="696" t="s">
        <v>1785</v>
      </c>
      <c r="D446" s="697"/>
      <c r="E446" s="701"/>
      <c r="F446" s="579"/>
      <c r="G446" s="699"/>
      <c r="H446" s="373" t="s">
        <v>3146</v>
      </c>
      <c r="I446" s="331">
        <v>2</v>
      </c>
      <c r="J446" s="338">
        <v>2172</v>
      </c>
      <c r="K446" s="374">
        <f t="shared" si="25"/>
        <v>0</v>
      </c>
      <c r="L446" s="374">
        <f t="shared" si="26"/>
        <v>2172</v>
      </c>
      <c r="N446" s="325"/>
      <c r="O446" s="325"/>
      <c r="S446" s="290"/>
      <c r="T446" s="290"/>
      <c r="U446" s="290"/>
      <c r="V446" s="290"/>
    </row>
    <row r="447" spans="1:22" ht="27.75" customHeight="1">
      <c r="A447" s="331">
        <v>4</v>
      </c>
      <c r="B447" s="695" t="s">
        <v>1786</v>
      </c>
      <c r="C447" s="696" t="s">
        <v>1787</v>
      </c>
      <c r="D447" s="697"/>
      <c r="E447" s="701"/>
      <c r="F447" s="579"/>
      <c r="G447" s="699"/>
      <c r="H447" s="373" t="s">
        <v>2965</v>
      </c>
      <c r="I447" s="331">
        <v>3</v>
      </c>
      <c r="J447" s="338">
        <v>3250</v>
      </c>
      <c r="K447" s="374">
        <f t="shared" si="25"/>
        <v>0</v>
      </c>
      <c r="L447" s="374">
        <f t="shared" si="26"/>
        <v>3250</v>
      </c>
      <c r="N447" s="325"/>
      <c r="O447" s="325"/>
      <c r="S447" s="290"/>
      <c r="T447" s="290"/>
      <c r="U447" s="290"/>
      <c r="V447" s="290"/>
    </row>
    <row r="448" spans="1:22" ht="27.75" customHeight="1">
      <c r="A448" s="331">
        <v>5</v>
      </c>
      <c r="B448" s="695" t="s">
        <v>365</v>
      </c>
      <c r="C448" s="696" t="s">
        <v>1574</v>
      </c>
      <c r="D448" s="697"/>
      <c r="E448" s="701"/>
      <c r="F448" s="579"/>
      <c r="G448" s="699"/>
      <c r="H448" s="373" t="s">
        <v>2252</v>
      </c>
      <c r="I448" s="331">
        <v>28</v>
      </c>
      <c r="J448" s="338">
        <v>158850</v>
      </c>
      <c r="K448" s="374">
        <f t="shared" si="25"/>
        <v>0</v>
      </c>
      <c r="L448" s="374">
        <f t="shared" si="26"/>
        <v>158850</v>
      </c>
      <c r="N448" s="325"/>
      <c r="O448" s="325"/>
      <c r="S448" s="290"/>
      <c r="T448" s="290"/>
      <c r="U448" s="290"/>
      <c r="V448" s="290"/>
    </row>
    <row r="449" spans="1:22" ht="27.75" customHeight="1">
      <c r="A449" s="331">
        <v>6</v>
      </c>
      <c r="B449" s="695" t="s">
        <v>365</v>
      </c>
      <c r="C449" s="696" t="s">
        <v>1575</v>
      </c>
      <c r="D449" s="697"/>
      <c r="E449" s="701"/>
      <c r="F449" s="579"/>
      <c r="G449" s="699"/>
      <c r="H449" s="373" t="s">
        <v>2252</v>
      </c>
      <c r="I449" s="331">
        <v>28</v>
      </c>
      <c r="J449" s="338">
        <v>158850</v>
      </c>
      <c r="K449" s="374">
        <f t="shared" si="25"/>
        <v>0</v>
      </c>
      <c r="L449" s="374">
        <f t="shared" si="26"/>
        <v>158850</v>
      </c>
      <c r="N449" s="325"/>
      <c r="O449" s="325"/>
      <c r="S449" s="290"/>
      <c r="T449" s="290"/>
      <c r="U449" s="290"/>
      <c r="V449" s="290"/>
    </row>
    <row r="450" spans="1:22" ht="27.75" customHeight="1">
      <c r="B450" s="695"/>
      <c r="C450" s="696"/>
      <c r="D450" s="697"/>
      <c r="E450" s="701"/>
      <c r="F450" s="579"/>
      <c r="G450" s="699"/>
      <c r="H450" s="373"/>
      <c r="K450" s="374">
        <f t="shared" si="25"/>
        <v>0</v>
      </c>
      <c r="L450" s="374">
        <f t="shared" si="26"/>
        <v>0</v>
      </c>
      <c r="N450" s="325"/>
      <c r="O450" s="325"/>
      <c r="S450" s="290"/>
      <c r="T450" s="290"/>
      <c r="U450" s="290"/>
      <c r="V450" s="290"/>
    </row>
    <row r="451" spans="1:22" ht="27.75" customHeight="1">
      <c r="B451" s="695" t="s">
        <v>1003</v>
      </c>
      <c r="C451" s="696"/>
      <c r="D451" s="697"/>
      <c r="E451" s="701"/>
      <c r="F451" s="579"/>
      <c r="G451" s="699"/>
      <c r="H451" s="373"/>
      <c r="K451" s="374">
        <f t="shared" si="25"/>
        <v>0</v>
      </c>
      <c r="L451" s="374">
        <f t="shared" si="26"/>
        <v>0</v>
      </c>
      <c r="N451" s="325"/>
      <c r="O451" s="325"/>
      <c r="S451" s="290"/>
      <c r="T451" s="290"/>
      <c r="U451" s="290"/>
      <c r="V451" s="290"/>
    </row>
    <row r="452" spans="1:22" ht="27.75" customHeight="1">
      <c r="A452" s="331">
        <v>1</v>
      </c>
      <c r="B452" s="695" t="s">
        <v>642</v>
      </c>
      <c r="C452" s="696" t="s">
        <v>469</v>
      </c>
      <c r="D452" s="697"/>
      <c r="E452" s="701"/>
      <c r="F452" s="579"/>
      <c r="G452" s="699"/>
      <c r="H452" s="373" t="s">
        <v>1159</v>
      </c>
      <c r="I452" s="331">
        <v>19</v>
      </c>
      <c r="J452" s="338">
        <v>57000</v>
      </c>
      <c r="K452" s="374">
        <f t="shared" si="25"/>
        <v>0</v>
      </c>
      <c r="L452" s="374">
        <f t="shared" si="26"/>
        <v>57000</v>
      </c>
      <c r="N452" s="325"/>
      <c r="O452" s="325"/>
      <c r="S452" s="290"/>
      <c r="T452" s="290"/>
      <c r="U452" s="290"/>
      <c r="V452" s="290"/>
    </row>
    <row r="453" spans="1:22" ht="27.75" customHeight="1">
      <c r="B453" s="695" t="s">
        <v>642</v>
      </c>
      <c r="C453" s="696" t="s">
        <v>469</v>
      </c>
      <c r="D453" s="697"/>
      <c r="E453" s="701"/>
      <c r="F453" s="579"/>
      <c r="G453" s="699"/>
      <c r="H453" s="373" t="s">
        <v>2053</v>
      </c>
      <c r="I453" s="331">
        <v>11</v>
      </c>
      <c r="J453" s="338">
        <v>35250</v>
      </c>
      <c r="K453" s="374">
        <f t="shared" si="25"/>
        <v>0</v>
      </c>
      <c r="L453" s="374">
        <f t="shared" si="26"/>
        <v>35250</v>
      </c>
      <c r="N453" s="325"/>
      <c r="O453" s="325"/>
      <c r="S453" s="290"/>
      <c r="T453" s="290"/>
      <c r="U453" s="290"/>
      <c r="V453" s="290"/>
    </row>
    <row r="454" spans="1:22" ht="27.75" customHeight="1">
      <c r="A454" s="331">
        <v>2</v>
      </c>
      <c r="B454" s="695" t="s">
        <v>1657</v>
      </c>
      <c r="C454" s="696" t="s">
        <v>1658</v>
      </c>
      <c r="D454" s="697"/>
      <c r="E454" s="701"/>
      <c r="F454" s="579"/>
      <c r="G454" s="699"/>
      <c r="H454" s="373" t="s">
        <v>2054</v>
      </c>
      <c r="I454" s="331">
        <v>9</v>
      </c>
      <c r="J454" s="338">
        <v>29250</v>
      </c>
      <c r="K454" s="374">
        <f t="shared" si="25"/>
        <v>0</v>
      </c>
      <c r="L454" s="374">
        <f t="shared" si="26"/>
        <v>29250</v>
      </c>
      <c r="N454" s="325"/>
      <c r="O454" s="325"/>
      <c r="S454" s="290"/>
      <c r="T454" s="290"/>
      <c r="U454" s="290"/>
      <c r="V454" s="290"/>
    </row>
    <row r="455" spans="1:22" ht="27.75" customHeight="1">
      <c r="A455" s="331">
        <v>3</v>
      </c>
      <c r="B455" s="695" t="s">
        <v>644</v>
      </c>
      <c r="C455" s="696" t="s">
        <v>1064</v>
      </c>
      <c r="D455" s="697"/>
      <c r="E455" s="701"/>
      <c r="F455" s="579"/>
      <c r="G455" s="699"/>
      <c r="H455" s="373" t="s">
        <v>1597</v>
      </c>
      <c r="I455" s="331">
        <v>16</v>
      </c>
      <c r="J455" s="338">
        <v>48000</v>
      </c>
      <c r="K455" s="374">
        <f t="shared" si="25"/>
        <v>0</v>
      </c>
      <c r="L455" s="374">
        <f t="shared" si="26"/>
        <v>48000</v>
      </c>
      <c r="N455" s="325"/>
      <c r="O455" s="325"/>
      <c r="S455" s="290"/>
      <c r="T455" s="290"/>
      <c r="U455" s="290"/>
      <c r="V455" s="290"/>
    </row>
    <row r="456" spans="1:22" ht="27.75" customHeight="1">
      <c r="B456" s="695" t="s">
        <v>644</v>
      </c>
      <c r="C456" s="696" t="s">
        <v>1064</v>
      </c>
      <c r="D456" s="697"/>
      <c r="E456" s="701"/>
      <c r="F456" s="579"/>
      <c r="G456" s="699"/>
      <c r="H456" s="373" t="s">
        <v>2869</v>
      </c>
      <c r="I456" s="331">
        <v>3</v>
      </c>
      <c r="J456" s="338">
        <v>9000</v>
      </c>
      <c r="K456" s="374">
        <f t="shared" si="25"/>
        <v>0</v>
      </c>
      <c r="L456" s="374">
        <f t="shared" si="26"/>
        <v>9000</v>
      </c>
      <c r="N456" s="325"/>
      <c r="O456" s="325"/>
      <c r="S456" s="290"/>
      <c r="T456" s="290"/>
      <c r="U456" s="290"/>
      <c r="V456" s="290"/>
    </row>
    <row r="457" spans="1:22" ht="27.75" customHeight="1">
      <c r="B457" s="695" t="s">
        <v>644</v>
      </c>
      <c r="C457" s="696" t="s">
        <v>1064</v>
      </c>
      <c r="D457" s="697"/>
      <c r="E457" s="701"/>
      <c r="F457" s="579"/>
      <c r="G457" s="699"/>
      <c r="H457" s="373" t="s">
        <v>2053</v>
      </c>
      <c r="I457" s="331">
        <v>11</v>
      </c>
      <c r="J457" s="338">
        <v>35250</v>
      </c>
      <c r="K457" s="374">
        <f t="shared" si="25"/>
        <v>0</v>
      </c>
      <c r="L457" s="374">
        <f t="shared" si="26"/>
        <v>35250</v>
      </c>
      <c r="N457" s="325"/>
      <c r="O457" s="325"/>
      <c r="Q457" s="478"/>
      <c r="R457" s="479"/>
      <c r="S457" s="658"/>
      <c r="T457" s="290"/>
      <c r="U457" s="290"/>
      <c r="V457" s="290"/>
    </row>
    <row r="458" spans="1:22" ht="27.75" customHeight="1">
      <c r="A458" s="331">
        <v>4</v>
      </c>
      <c r="B458" s="695" t="s">
        <v>1325</v>
      </c>
      <c r="C458" s="696" t="s">
        <v>1326</v>
      </c>
      <c r="D458" s="697"/>
      <c r="E458" s="701"/>
      <c r="F458" s="579"/>
      <c r="G458" s="699"/>
      <c r="H458" s="373" t="s">
        <v>2055</v>
      </c>
      <c r="I458" s="331">
        <v>10</v>
      </c>
      <c r="J458" s="338">
        <v>31800</v>
      </c>
      <c r="K458" s="374">
        <f t="shared" si="25"/>
        <v>0</v>
      </c>
      <c r="L458" s="374">
        <f t="shared" si="26"/>
        <v>31800</v>
      </c>
      <c r="N458" s="325"/>
      <c r="O458" s="325"/>
      <c r="Q458" s="478"/>
      <c r="R458" s="479"/>
      <c r="S458" s="658"/>
      <c r="T458" s="290"/>
      <c r="U458" s="290"/>
      <c r="V458" s="290"/>
    </row>
    <row r="459" spans="1:22" ht="27.75" customHeight="1">
      <c r="A459" s="331">
        <v>5</v>
      </c>
      <c r="B459" s="695" t="s">
        <v>646</v>
      </c>
      <c r="C459" s="696" t="s">
        <v>470</v>
      </c>
      <c r="D459" s="697"/>
      <c r="E459" s="701"/>
      <c r="F459" s="579"/>
      <c r="G459" s="699"/>
      <c r="H459" s="373" t="s">
        <v>1650</v>
      </c>
      <c r="I459" s="331">
        <v>18</v>
      </c>
      <c r="J459" s="338">
        <v>54000</v>
      </c>
      <c r="K459" s="374">
        <f t="shared" si="25"/>
        <v>0</v>
      </c>
      <c r="L459" s="374">
        <f t="shared" si="26"/>
        <v>54000</v>
      </c>
      <c r="N459" s="325"/>
      <c r="O459" s="325"/>
      <c r="Q459" s="478"/>
      <c r="R459" s="479"/>
      <c r="S459" s="658"/>
      <c r="T459" s="290"/>
      <c r="U459" s="290"/>
      <c r="V459" s="290"/>
    </row>
    <row r="460" spans="1:22" ht="27.75" customHeight="1">
      <c r="A460" s="331">
        <v>6</v>
      </c>
      <c r="B460" s="695" t="s">
        <v>1547</v>
      </c>
      <c r="C460" s="696" t="s">
        <v>1548</v>
      </c>
      <c r="D460" s="697"/>
      <c r="E460" s="701"/>
      <c r="F460" s="579"/>
      <c r="G460" s="699"/>
      <c r="H460" s="373" t="s">
        <v>2870</v>
      </c>
      <c r="I460" s="331">
        <v>4</v>
      </c>
      <c r="J460" s="338">
        <v>12000</v>
      </c>
      <c r="K460" s="374">
        <f t="shared" si="25"/>
        <v>0</v>
      </c>
      <c r="L460" s="374">
        <f t="shared" si="26"/>
        <v>12000</v>
      </c>
      <c r="N460" s="325"/>
      <c r="O460" s="325"/>
      <c r="Q460" s="478"/>
      <c r="R460" s="479"/>
      <c r="S460" s="658"/>
      <c r="T460" s="290"/>
      <c r="U460" s="290"/>
      <c r="V460" s="290"/>
    </row>
    <row r="461" spans="1:22" ht="27.75" customHeight="1">
      <c r="B461" s="695" t="s">
        <v>1547</v>
      </c>
      <c r="C461" s="696" t="s">
        <v>1548</v>
      </c>
      <c r="D461" s="697"/>
      <c r="E461" s="701"/>
      <c r="F461" s="579"/>
      <c r="G461" s="699"/>
      <c r="H461" s="373" t="s">
        <v>1514</v>
      </c>
      <c r="I461" s="331">
        <v>1</v>
      </c>
      <c r="J461" s="338">
        <v>3000</v>
      </c>
      <c r="K461" s="374">
        <f t="shared" si="25"/>
        <v>0</v>
      </c>
      <c r="L461" s="374">
        <f t="shared" si="26"/>
        <v>3000</v>
      </c>
      <c r="N461" s="325"/>
      <c r="O461" s="325"/>
      <c r="Q461" s="478"/>
      <c r="R461" s="479"/>
      <c r="S461" s="658"/>
      <c r="T461" s="290"/>
      <c r="U461" s="290"/>
      <c r="V461" s="290"/>
    </row>
    <row r="462" spans="1:22" ht="27.75" customHeight="1">
      <c r="B462" s="695" t="s">
        <v>1547</v>
      </c>
      <c r="C462" s="696" t="s">
        <v>1548</v>
      </c>
      <c r="D462" s="697"/>
      <c r="E462" s="701"/>
      <c r="F462" s="579"/>
      <c r="G462" s="699"/>
      <c r="H462" s="373" t="s">
        <v>2056</v>
      </c>
      <c r="I462" s="331">
        <v>10</v>
      </c>
      <c r="J462" s="338">
        <v>32250</v>
      </c>
      <c r="K462" s="374">
        <f t="shared" si="25"/>
        <v>0</v>
      </c>
      <c r="L462" s="374">
        <f t="shared" si="26"/>
        <v>32250</v>
      </c>
      <c r="N462" s="325"/>
      <c r="O462" s="325"/>
      <c r="Q462" s="478"/>
      <c r="R462" s="479"/>
      <c r="S462" s="658"/>
      <c r="T462" s="290"/>
      <c r="U462" s="290"/>
      <c r="V462" s="290"/>
    </row>
    <row r="463" spans="1:22" ht="27.75" customHeight="1">
      <c r="A463" s="331">
        <v>7</v>
      </c>
      <c r="B463" s="695" t="s">
        <v>649</v>
      </c>
      <c r="C463" s="696" t="s">
        <v>471</v>
      </c>
      <c r="D463" s="697"/>
      <c r="E463" s="701"/>
      <c r="F463" s="579"/>
      <c r="G463" s="699"/>
      <c r="H463" s="373" t="s">
        <v>1598</v>
      </c>
      <c r="I463" s="331">
        <v>17</v>
      </c>
      <c r="J463" s="338">
        <v>51000</v>
      </c>
      <c r="K463" s="374">
        <f t="shared" si="25"/>
        <v>0</v>
      </c>
      <c r="L463" s="374">
        <f t="shared" si="26"/>
        <v>51000</v>
      </c>
      <c r="N463" s="325"/>
      <c r="O463" s="325"/>
      <c r="Q463" s="478"/>
      <c r="R463" s="479"/>
      <c r="S463" s="658"/>
      <c r="T463" s="290"/>
      <c r="U463" s="290"/>
      <c r="V463" s="290"/>
    </row>
    <row r="464" spans="1:22" ht="27.75" customHeight="1">
      <c r="B464" s="695" t="s">
        <v>649</v>
      </c>
      <c r="C464" s="696" t="s">
        <v>471</v>
      </c>
      <c r="D464" s="697"/>
      <c r="E464" s="701"/>
      <c r="F464" s="579"/>
      <c r="G464" s="699"/>
      <c r="H464" s="373" t="s">
        <v>2869</v>
      </c>
      <c r="I464" s="331">
        <v>3</v>
      </c>
      <c r="J464" s="338">
        <v>9000</v>
      </c>
      <c r="K464" s="374">
        <f t="shared" si="25"/>
        <v>0</v>
      </c>
      <c r="L464" s="374">
        <f t="shared" si="26"/>
        <v>9000</v>
      </c>
      <c r="N464" s="325"/>
      <c r="O464" s="325"/>
      <c r="Q464" s="478"/>
      <c r="R464" s="479"/>
      <c r="S464" s="658"/>
      <c r="T464" s="290"/>
      <c r="U464" s="290"/>
      <c r="V464" s="290"/>
    </row>
    <row r="465" spans="1:22" ht="27.75" customHeight="1">
      <c r="B465" s="695" t="s">
        <v>649</v>
      </c>
      <c r="C465" s="696" t="s">
        <v>471</v>
      </c>
      <c r="D465" s="697"/>
      <c r="E465" s="701"/>
      <c r="F465" s="579"/>
      <c r="G465" s="699"/>
      <c r="H465" s="373" t="s">
        <v>2057</v>
      </c>
      <c r="I465" s="331">
        <v>10</v>
      </c>
      <c r="J465" s="338">
        <v>31800</v>
      </c>
      <c r="K465" s="374">
        <f t="shared" si="25"/>
        <v>0</v>
      </c>
      <c r="L465" s="374">
        <f t="shared" si="26"/>
        <v>31800</v>
      </c>
      <c r="N465" s="325"/>
      <c r="O465" s="325"/>
      <c r="Q465" s="478"/>
      <c r="R465" s="479"/>
      <c r="S465" s="658"/>
      <c r="T465" s="290"/>
      <c r="U465" s="290"/>
      <c r="V465" s="290"/>
    </row>
    <row r="466" spans="1:22" ht="27.75" customHeight="1">
      <c r="A466" s="331">
        <v>8</v>
      </c>
      <c r="B466" s="695" t="s">
        <v>650</v>
      </c>
      <c r="C466" s="696" t="s">
        <v>485</v>
      </c>
      <c r="D466" s="697"/>
      <c r="E466" s="701"/>
      <c r="F466" s="579"/>
      <c r="G466" s="699"/>
      <c r="H466" s="373" t="s">
        <v>1157</v>
      </c>
      <c r="I466" s="331">
        <v>20</v>
      </c>
      <c r="J466" s="338">
        <v>60000</v>
      </c>
      <c r="K466" s="374">
        <f t="shared" si="25"/>
        <v>0</v>
      </c>
      <c r="L466" s="374">
        <f t="shared" si="26"/>
        <v>60000</v>
      </c>
      <c r="N466" s="325"/>
      <c r="O466" s="325"/>
      <c r="Q466" s="478"/>
      <c r="R466" s="479"/>
      <c r="S466" s="658"/>
      <c r="T466" s="290"/>
      <c r="U466" s="290"/>
      <c r="V466" s="290"/>
    </row>
    <row r="467" spans="1:22" ht="27.75" customHeight="1">
      <c r="B467" s="695" t="s">
        <v>650</v>
      </c>
      <c r="C467" s="696" t="s">
        <v>485</v>
      </c>
      <c r="D467" s="697"/>
      <c r="E467" s="701"/>
      <c r="F467" s="579"/>
      <c r="G467" s="699"/>
      <c r="H467" s="373" t="s">
        <v>2053</v>
      </c>
      <c r="I467" s="331">
        <v>11</v>
      </c>
      <c r="J467" s="338">
        <v>35250</v>
      </c>
      <c r="K467" s="374">
        <f t="shared" si="25"/>
        <v>0</v>
      </c>
      <c r="L467" s="374">
        <f t="shared" si="26"/>
        <v>35250</v>
      </c>
      <c r="N467" s="325"/>
      <c r="O467" s="325"/>
      <c r="Q467" s="478"/>
      <c r="R467" s="479"/>
      <c r="S467" s="658"/>
      <c r="T467" s="290"/>
      <c r="U467" s="290"/>
      <c r="V467" s="290"/>
    </row>
    <row r="468" spans="1:22" ht="27.75" customHeight="1">
      <c r="A468" s="331">
        <v>9</v>
      </c>
      <c r="B468" s="695" t="s">
        <v>1825</v>
      </c>
      <c r="C468" s="696" t="s">
        <v>1158</v>
      </c>
      <c r="D468" s="697"/>
      <c r="E468" s="701"/>
      <c r="F468" s="579"/>
      <c r="G468" s="699"/>
      <c r="H468" s="373" t="s">
        <v>2058</v>
      </c>
      <c r="I468" s="331">
        <v>13</v>
      </c>
      <c r="J468" s="338">
        <v>41250</v>
      </c>
      <c r="K468" s="374">
        <f t="shared" si="25"/>
        <v>0</v>
      </c>
      <c r="L468" s="374">
        <f t="shared" si="26"/>
        <v>41250</v>
      </c>
      <c r="N468" s="325"/>
      <c r="O468" s="325"/>
      <c r="Q468" s="478"/>
      <c r="R468" s="479"/>
      <c r="S468" s="658"/>
      <c r="T468" s="290"/>
      <c r="U468" s="290"/>
      <c r="V468" s="290"/>
    </row>
    <row r="469" spans="1:22" ht="27.75" customHeight="1">
      <c r="A469" s="331">
        <v>10</v>
      </c>
      <c r="B469" s="695" t="s">
        <v>1680</v>
      </c>
      <c r="C469" s="696" t="s">
        <v>1681</v>
      </c>
      <c r="D469" s="697"/>
      <c r="E469" s="701"/>
      <c r="F469" s="579"/>
      <c r="G469" s="699"/>
      <c r="H469" s="373" t="s">
        <v>1682</v>
      </c>
      <c r="I469" s="331">
        <v>22</v>
      </c>
      <c r="J469" s="338">
        <v>66000</v>
      </c>
      <c r="K469" s="374">
        <f t="shared" si="25"/>
        <v>0</v>
      </c>
      <c r="L469" s="374">
        <f t="shared" si="26"/>
        <v>66000</v>
      </c>
      <c r="N469" s="325"/>
      <c r="O469" s="325"/>
      <c r="Q469" s="478"/>
      <c r="R469" s="479"/>
      <c r="S469" s="658"/>
      <c r="T469" s="290"/>
      <c r="U469" s="290"/>
      <c r="V469" s="290"/>
    </row>
    <row r="470" spans="1:22" ht="27.75" customHeight="1">
      <c r="A470" s="331">
        <v>11</v>
      </c>
      <c r="B470" s="695" t="s">
        <v>651</v>
      </c>
      <c r="C470" s="696" t="s">
        <v>454</v>
      </c>
      <c r="D470" s="697"/>
      <c r="E470" s="701"/>
      <c r="F470" s="579"/>
      <c r="G470" s="699"/>
      <c r="H470" s="373" t="s">
        <v>1157</v>
      </c>
      <c r="I470" s="331">
        <v>20</v>
      </c>
      <c r="J470" s="338">
        <v>60000</v>
      </c>
      <c r="K470" s="374">
        <f t="shared" si="25"/>
        <v>0</v>
      </c>
      <c r="L470" s="374">
        <f t="shared" si="26"/>
        <v>60000</v>
      </c>
      <c r="N470" s="325"/>
      <c r="O470" s="325"/>
      <c r="Q470" s="478"/>
      <c r="R470" s="479"/>
      <c r="S470" s="658"/>
      <c r="T470" s="290"/>
      <c r="U470" s="290"/>
      <c r="V470" s="290"/>
    </row>
    <row r="471" spans="1:22" ht="27.75" customHeight="1">
      <c r="B471" s="695" t="s">
        <v>651</v>
      </c>
      <c r="C471" s="696" t="s">
        <v>454</v>
      </c>
      <c r="D471" s="697"/>
      <c r="E471" s="701"/>
      <c r="F471" s="579"/>
      <c r="G471" s="699"/>
      <c r="H471" s="373" t="s">
        <v>2053</v>
      </c>
      <c r="I471" s="331">
        <v>11</v>
      </c>
      <c r="J471" s="338">
        <v>35250</v>
      </c>
      <c r="K471" s="374">
        <f t="shared" si="25"/>
        <v>0</v>
      </c>
      <c r="L471" s="374">
        <f t="shared" si="26"/>
        <v>35250</v>
      </c>
      <c r="N471" s="325"/>
      <c r="O471" s="325"/>
      <c r="Q471" s="478"/>
      <c r="R471" s="479"/>
      <c r="S471" s="658"/>
      <c r="T471" s="290"/>
      <c r="U471" s="290"/>
      <c r="V471" s="290"/>
    </row>
    <row r="472" spans="1:22" ht="27.75" customHeight="1">
      <c r="A472" s="331">
        <v>12</v>
      </c>
      <c r="B472" s="695" t="s">
        <v>652</v>
      </c>
      <c r="C472" s="696" t="s">
        <v>455</v>
      </c>
      <c r="D472" s="697"/>
      <c r="E472" s="701"/>
      <c r="F472" s="579"/>
      <c r="G472" s="699"/>
      <c r="H472" s="373" t="s">
        <v>1598</v>
      </c>
      <c r="I472" s="331">
        <v>17</v>
      </c>
      <c r="J472" s="338">
        <v>51000</v>
      </c>
      <c r="K472" s="374">
        <f t="shared" si="25"/>
        <v>0</v>
      </c>
      <c r="L472" s="374">
        <f t="shared" si="26"/>
        <v>51000</v>
      </c>
      <c r="N472" s="325"/>
      <c r="O472" s="325"/>
      <c r="Q472" s="478"/>
      <c r="R472" s="479"/>
      <c r="S472" s="658"/>
      <c r="T472" s="290"/>
      <c r="U472" s="290"/>
      <c r="V472" s="290"/>
    </row>
    <row r="473" spans="1:22" ht="27.75" customHeight="1">
      <c r="B473" s="695" t="s">
        <v>652</v>
      </c>
      <c r="C473" s="696" t="s">
        <v>455</v>
      </c>
      <c r="D473" s="697"/>
      <c r="E473" s="701"/>
      <c r="F473" s="579"/>
      <c r="G473" s="699"/>
      <c r="H473" s="373" t="s">
        <v>2869</v>
      </c>
      <c r="I473" s="331">
        <v>3</v>
      </c>
      <c r="J473" s="338">
        <v>9000</v>
      </c>
      <c r="K473" s="374">
        <f t="shared" si="25"/>
        <v>0</v>
      </c>
      <c r="L473" s="374">
        <f t="shared" si="26"/>
        <v>9000</v>
      </c>
      <c r="N473" s="325"/>
      <c r="O473" s="325"/>
      <c r="Q473" s="478"/>
      <c r="R473" s="479"/>
      <c r="S473" s="658"/>
      <c r="T473" s="290"/>
      <c r="U473" s="290"/>
      <c r="V473" s="290"/>
    </row>
    <row r="474" spans="1:22" ht="27.75" customHeight="1">
      <c r="B474" s="695" t="s">
        <v>652</v>
      </c>
      <c r="C474" s="696" t="s">
        <v>455</v>
      </c>
      <c r="D474" s="697"/>
      <c r="E474" s="701"/>
      <c r="F474" s="579"/>
      <c r="G474" s="699"/>
      <c r="H474" s="373" t="s">
        <v>2053</v>
      </c>
      <c r="I474" s="331">
        <v>11</v>
      </c>
      <c r="J474" s="338">
        <v>35250</v>
      </c>
      <c r="K474" s="374">
        <f t="shared" si="25"/>
        <v>0</v>
      </c>
      <c r="L474" s="374">
        <f t="shared" si="26"/>
        <v>35250</v>
      </c>
      <c r="N474" s="325"/>
      <c r="O474" s="325"/>
      <c r="Q474" s="478"/>
      <c r="R474" s="479"/>
      <c r="S474" s="658"/>
      <c r="T474" s="290"/>
      <c r="U474" s="290"/>
      <c r="V474" s="290"/>
    </row>
    <row r="475" spans="1:22" ht="27.75" customHeight="1">
      <c r="A475" s="331">
        <v>13</v>
      </c>
      <c r="B475" s="695" t="s">
        <v>1683</v>
      </c>
      <c r="C475" s="696" t="s">
        <v>1684</v>
      </c>
      <c r="D475" s="697"/>
      <c r="E475" s="701"/>
      <c r="F475" s="579"/>
      <c r="G475" s="699"/>
      <c r="H475" s="373" t="s">
        <v>1685</v>
      </c>
      <c r="I475" s="331">
        <v>17</v>
      </c>
      <c r="J475" s="338">
        <v>51000</v>
      </c>
      <c r="K475" s="374">
        <f t="shared" si="25"/>
        <v>0</v>
      </c>
      <c r="L475" s="374">
        <f t="shared" si="26"/>
        <v>51000</v>
      </c>
      <c r="N475" s="325"/>
      <c r="O475" s="325"/>
      <c r="Q475" s="478"/>
      <c r="R475" s="479"/>
      <c r="S475" s="658"/>
      <c r="T475" s="290"/>
      <c r="U475" s="290"/>
      <c r="V475" s="290"/>
    </row>
    <row r="476" spans="1:22" ht="27.75" customHeight="1">
      <c r="A476" s="331">
        <v>14</v>
      </c>
      <c r="B476" s="695" t="s">
        <v>1327</v>
      </c>
      <c r="C476" s="696" t="s">
        <v>1328</v>
      </c>
      <c r="D476" s="697"/>
      <c r="E476" s="701"/>
      <c r="F476" s="579"/>
      <c r="G476" s="699"/>
      <c r="H476" s="373" t="s">
        <v>2053</v>
      </c>
      <c r="I476" s="331">
        <v>11</v>
      </c>
      <c r="J476" s="338">
        <v>35250</v>
      </c>
      <c r="K476" s="374">
        <f t="shared" si="25"/>
        <v>0</v>
      </c>
      <c r="L476" s="374">
        <f t="shared" si="26"/>
        <v>35250</v>
      </c>
      <c r="N476" s="325"/>
      <c r="O476" s="325"/>
      <c r="Q476" s="478"/>
      <c r="R476" s="479"/>
      <c r="S476" s="658"/>
      <c r="T476" s="290"/>
      <c r="U476" s="290"/>
      <c r="V476" s="290"/>
    </row>
    <row r="477" spans="1:22" ht="27.75" customHeight="1">
      <c r="A477" s="331">
        <v>15</v>
      </c>
      <c r="B477" s="695" t="s">
        <v>757</v>
      </c>
      <c r="C477" s="696" t="s">
        <v>800</v>
      </c>
      <c r="D477" s="697"/>
      <c r="E477" s="701"/>
      <c r="F477" s="579"/>
      <c r="G477" s="699"/>
      <c r="H477" s="373" t="s">
        <v>1139</v>
      </c>
      <c r="I477" s="331">
        <v>9</v>
      </c>
      <c r="J477" s="338">
        <v>27000</v>
      </c>
      <c r="K477" s="374">
        <f t="shared" si="25"/>
        <v>0</v>
      </c>
      <c r="L477" s="374">
        <f t="shared" si="26"/>
        <v>27000</v>
      </c>
      <c r="N477" s="325"/>
      <c r="O477" s="325"/>
      <c r="Q477" s="478"/>
      <c r="R477" s="479"/>
      <c r="S477" s="658"/>
      <c r="T477" s="290"/>
      <c r="U477" s="290"/>
      <c r="V477" s="290"/>
    </row>
    <row r="478" spans="1:22" ht="27.75" customHeight="1">
      <c r="A478" s="331">
        <v>16</v>
      </c>
      <c r="B478" s="695" t="s">
        <v>1329</v>
      </c>
      <c r="C478" s="696" t="s">
        <v>1330</v>
      </c>
      <c r="D478" s="697"/>
      <c r="E478" s="701"/>
      <c r="F478" s="579"/>
      <c r="G478" s="699"/>
      <c r="H478" s="373" t="s">
        <v>2053</v>
      </c>
      <c r="I478" s="331">
        <v>11</v>
      </c>
      <c r="J478" s="338">
        <v>35250</v>
      </c>
      <c r="K478" s="374">
        <f t="shared" ref="K478:K541" si="27">G478*11.54/100</f>
        <v>0</v>
      </c>
      <c r="L478" s="374">
        <f t="shared" si="26"/>
        <v>35250</v>
      </c>
      <c r="N478" s="325"/>
      <c r="O478" s="325"/>
      <c r="Q478" s="478"/>
      <c r="R478" s="479"/>
      <c r="S478" s="658"/>
      <c r="T478" s="290"/>
      <c r="U478" s="290"/>
      <c r="V478" s="290"/>
    </row>
    <row r="479" spans="1:22" ht="27.75" customHeight="1">
      <c r="A479" s="331">
        <v>17</v>
      </c>
      <c r="B479" s="695" t="s">
        <v>1012</v>
      </c>
      <c r="C479" s="696" t="s">
        <v>497</v>
      </c>
      <c r="D479" s="697"/>
      <c r="E479" s="701"/>
      <c r="F479" s="579"/>
      <c r="G479" s="699"/>
      <c r="H479" s="373" t="s">
        <v>1597</v>
      </c>
      <c r="I479" s="331">
        <v>16</v>
      </c>
      <c r="J479" s="338">
        <v>48000</v>
      </c>
      <c r="K479" s="374">
        <f t="shared" si="27"/>
        <v>0</v>
      </c>
      <c r="L479" s="374">
        <f t="shared" si="26"/>
        <v>48000</v>
      </c>
      <c r="N479" s="325"/>
      <c r="O479" s="325"/>
      <c r="Q479" s="478"/>
      <c r="R479" s="479"/>
      <c r="S479" s="658"/>
      <c r="T479" s="290"/>
      <c r="U479" s="290"/>
      <c r="V479" s="290"/>
    </row>
    <row r="480" spans="1:22" ht="27.75" customHeight="1">
      <c r="B480" s="695" t="s">
        <v>1012</v>
      </c>
      <c r="C480" s="696" t="s">
        <v>497</v>
      </c>
      <c r="D480" s="697"/>
      <c r="E480" s="701"/>
      <c r="F480" s="579"/>
      <c r="G480" s="699"/>
      <c r="H480" s="373" t="s">
        <v>2869</v>
      </c>
      <c r="I480" s="331">
        <v>3</v>
      </c>
      <c r="J480" s="338">
        <v>9000</v>
      </c>
      <c r="K480" s="374">
        <f t="shared" si="27"/>
        <v>0</v>
      </c>
      <c r="L480" s="374">
        <f t="shared" si="26"/>
        <v>9000</v>
      </c>
      <c r="N480" s="325"/>
      <c r="O480" s="325"/>
      <c r="Q480" s="478"/>
      <c r="R480" s="479"/>
      <c r="S480" s="658"/>
      <c r="T480" s="290"/>
      <c r="U480" s="290"/>
      <c r="V480" s="290"/>
    </row>
    <row r="481" spans="1:22" ht="27.75" customHeight="1">
      <c r="B481" s="695" t="s">
        <v>1012</v>
      </c>
      <c r="C481" s="696" t="s">
        <v>497</v>
      </c>
      <c r="D481" s="697"/>
      <c r="E481" s="701"/>
      <c r="F481" s="579"/>
      <c r="G481" s="699"/>
      <c r="H481" s="373" t="s">
        <v>2053</v>
      </c>
      <c r="I481" s="331">
        <v>11</v>
      </c>
      <c r="J481" s="338">
        <v>35250</v>
      </c>
      <c r="K481" s="374">
        <f t="shared" si="27"/>
        <v>0</v>
      </c>
      <c r="L481" s="374">
        <f t="shared" si="26"/>
        <v>35250</v>
      </c>
      <c r="N481" s="325"/>
      <c r="O481" s="325"/>
      <c r="Q481" s="478"/>
      <c r="R481" s="479"/>
      <c r="S481" s="658"/>
      <c r="T481" s="290"/>
      <c r="U481" s="290"/>
      <c r="V481" s="290"/>
    </row>
    <row r="482" spans="1:22" ht="27.75" customHeight="1">
      <c r="A482" s="331">
        <v>18</v>
      </c>
      <c r="B482" s="695" t="s">
        <v>1013</v>
      </c>
      <c r="C482" s="696" t="s">
        <v>612</v>
      </c>
      <c r="D482" s="697"/>
      <c r="E482" s="701"/>
      <c r="F482" s="579"/>
      <c r="G482" s="699"/>
      <c r="H482" s="373" t="s">
        <v>1160</v>
      </c>
      <c r="I482" s="331">
        <v>13</v>
      </c>
      <c r="J482" s="338">
        <v>39000</v>
      </c>
      <c r="K482" s="374">
        <f t="shared" si="27"/>
        <v>0</v>
      </c>
      <c r="L482" s="374">
        <f t="shared" si="26"/>
        <v>39000</v>
      </c>
      <c r="N482" s="325"/>
      <c r="O482" s="325"/>
      <c r="Q482" s="478"/>
      <c r="R482" s="479"/>
      <c r="S482" s="658"/>
      <c r="T482" s="290"/>
      <c r="U482" s="290"/>
      <c r="V482" s="290"/>
    </row>
    <row r="483" spans="1:22" ht="27.75" customHeight="1">
      <c r="A483" s="331">
        <v>19</v>
      </c>
      <c r="B483" s="695" t="s">
        <v>658</v>
      </c>
      <c r="C483" s="696" t="s">
        <v>535</v>
      </c>
      <c r="D483" s="697"/>
      <c r="E483" s="701"/>
      <c r="F483" s="579"/>
      <c r="G483" s="699"/>
      <c r="H483" s="373" t="s">
        <v>1014</v>
      </c>
      <c r="I483" s="331">
        <v>13</v>
      </c>
      <c r="J483" s="338">
        <v>39000</v>
      </c>
      <c r="K483" s="374">
        <f t="shared" si="27"/>
        <v>0</v>
      </c>
      <c r="L483" s="374">
        <f t="shared" si="26"/>
        <v>39000</v>
      </c>
      <c r="N483" s="325"/>
      <c r="O483" s="325"/>
      <c r="Q483" s="478"/>
      <c r="R483" s="479"/>
      <c r="S483" s="658"/>
      <c r="T483" s="290"/>
      <c r="U483" s="290"/>
      <c r="V483" s="290"/>
    </row>
    <row r="484" spans="1:22" ht="27.75" customHeight="1">
      <c r="B484" s="695" t="s">
        <v>658</v>
      </c>
      <c r="C484" s="696" t="s">
        <v>535</v>
      </c>
      <c r="D484" s="697"/>
      <c r="E484" s="701"/>
      <c r="F484" s="579"/>
      <c r="G484" s="699"/>
      <c r="H484" s="373" t="s">
        <v>2871</v>
      </c>
      <c r="I484" s="331">
        <v>2</v>
      </c>
      <c r="J484" s="338">
        <v>6000</v>
      </c>
      <c r="K484" s="374">
        <f t="shared" si="27"/>
        <v>0</v>
      </c>
      <c r="L484" s="374">
        <f t="shared" si="26"/>
        <v>6000</v>
      </c>
      <c r="N484" s="325"/>
      <c r="O484" s="325"/>
      <c r="Q484" s="478"/>
      <c r="R484" s="479"/>
      <c r="S484" s="658"/>
      <c r="T484" s="290"/>
      <c r="U484" s="290"/>
      <c r="V484" s="290"/>
    </row>
    <row r="485" spans="1:22" ht="27.75" customHeight="1">
      <c r="B485" s="695" t="s">
        <v>658</v>
      </c>
      <c r="C485" s="696" t="s">
        <v>535</v>
      </c>
      <c r="D485" s="697"/>
      <c r="E485" s="701"/>
      <c r="F485" s="579"/>
      <c r="G485" s="699"/>
      <c r="H485" s="373" t="s">
        <v>2053</v>
      </c>
      <c r="I485" s="331">
        <v>11</v>
      </c>
      <c r="J485" s="338">
        <v>35250</v>
      </c>
      <c r="K485" s="374">
        <f t="shared" si="27"/>
        <v>0</v>
      </c>
      <c r="L485" s="374">
        <f t="shared" si="26"/>
        <v>35250</v>
      </c>
      <c r="N485" s="325"/>
      <c r="O485" s="325"/>
      <c r="Q485" s="478"/>
      <c r="R485" s="479"/>
      <c r="S485" s="658"/>
      <c r="T485" s="290"/>
      <c r="U485" s="290"/>
      <c r="V485" s="290"/>
    </row>
    <row r="486" spans="1:22" ht="27.75" customHeight="1">
      <c r="A486" s="331">
        <v>20</v>
      </c>
      <c r="B486" s="695" t="s">
        <v>659</v>
      </c>
      <c r="C486" s="696" t="s">
        <v>473</v>
      </c>
      <c r="D486" s="697"/>
      <c r="E486" s="701"/>
      <c r="F486" s="579"/>
      <c r="G486" s="699"/>
      <c r="H486" s="373" t="s">
        <v>1006</v>
      </c>
      <c r="I486" s="331">
        <v>17</v>
      </c>
      <c r="J486" s="338">
        <v>51000</v>
      </c>
      <c r="K486" s="374">
        <f t="shared" si="27"/>
        <v>0</v>
      </c>
      <c r="L486" s="374">
        <f t="shared" ref="L486:L549" si="28">+J486</f>
        <v>51000</v>
      </c>
      <c r="N486" s="325"/>
      <c r="O486" s="325"/>
      <c r="Q486" s="478"/>
      <c r="R486" s="479"/>
      <c r="S486" s="658"/>
      <c r="T486" s="290"/>
      <c r="U486" s="290"/>
      <c r="V486" s="290"/>
    </row>
    <row r="487" spans="1:22" ht="27.75" customHeight="1">
      <c r="B487" s="695" t="s">
        <v>659</v>
      </c>
      <c r="C487" s="696" t="s">
        <v>473</v>
      </c>
      <c r="D487" s="697"/>
      <c r="E487" s="701"/>
      <c r="F487" s="579"/>
      <c r="G487" s="699"/>
      <c r="H487" s="373" t="s">
        <v>2871</v>
      </c>
      <c r="I487" s="331">
        <v>2</v>
      </c>
      <c r="J487" s="338">
        <v>6000</v>
      </c>
      <c r="K487" s="374">
        <f t="shared" si="27"/>
        <v>0</v>
      </c>
      <c r="L487" s="374">
        <f t="shared" si="28"/>
        <v>6000</v>
      </c>
      <c r="N487" s="325"/>
      <c r="O487" s="325"/>
      <c r="Q487" s="478"/>
      <c r="R487" s="479"/>
      <c r="S487" s="658"/>
      <c r="T487" s="290"/>
      <c r="U487" s="290"/>
      <c r="V487" s="290"/>
    </row>
    <row r="488" spans="1:22" ht="27.75" customHeight="1">
      <c r="B488" s="695" t="s">
        <v>659</v>
      </c>
      <c r="C488" s="696" t="s">
        <v>473</v>
      </c>
      <c r="D488" s="697"/>
      <c r="E488" s="701"/>
      <c r="F488" s="579"/>
      <c r="G488" s="699"/>
      <c r="H488" s="373" t="s">
        <v>2053</v>
      </c>
      <c r="I488" s="331">
        <v>11</v>
      </c>
      <c r="J488" s="338">
        <v>35250</v>
      </c>
      <c r="K488" s="374">
        <f t="shared" si="27"/>
        <v>0</v>
      </c>
      <c r="L488" s="374">
        <f t="shared" si="28"/>
        <v>35250</v>
      </c>
      <c r="N488" s="325"/>
      <c r="O488" s="325"/>
      <c r="Q488" s="478"/>
      <c r="R488" s="479"/>
      <c r="S488" s="658"/>
      <c r="T488" s="290"/>
      <c r="U488" s="290"/>
      <c r="V488" s="290"/>
    </row>
    <row r="489" spans="1:22" ht="27.75" customHeight="1">
      <c r="A489" s="331">
        <v>21</v>
      </c>
      <c r="B489" s="695" t="s">
        <v>1660</v>
      </c>
      <c r="C489" s="696" t="s">
        <v>1661</v>
      </c>
      <c r="D489" s="697"/>
      <c r="E489" s="701"/>
      <c r="F489" s="579"/>
      <c r="G489" s="699"/>
      <c r="H489" s="373" t="s">
        <v>2054</v>
      </c>
      <c r="I489" s="331">
        <v>9</v>
      </c>
      <c r="J489" s="338">
        <v>29250</v>
      </c>
      <c r="K489" s="374">
        <f t="shared" si="27"/>
        <v>0</v>
      </c>
      <c r="L489" s="374">
        <f t="shared" si="28"/>
        <v>29250</v>
      </c>
      <c r="N489" s="325"/>
      <c r="O489" s="325"/>
      <c r="Q489" s="478"/>
      <c r="R489" s="479"/>
      <c r="S489" s="658"/>
      <c r="T489" s="290"/>
      <c r="U489" s="290"/>
      <c r="V489" s="290"/>
    </row>
    <row r="490" spans="1:22" ht="27.75" customHeight="1">
      <c r="A490" s="331">
        <v>22</v>
      </c>
      <c r="B490" s="695" t="s">
        <v>1755</v>
      </c>
      <c r="C490" s="696" t="s">
        <v>1756</v>
      </c>
      <c r="D490" s="697"/>
      <c r="E490" s="701"/>
      <c r="F490" s="579"/>
      <c r="G490" s="699"/>
      <c r="H490" s="373" t="s">
        <v>1157</v>
      </c>
      <c r="I490" s="331">
        <v>20</v>
      </c>
      <c r="J490" s="338">
        <v>60000</v>
      </c>
      <c r="K490" s="374">
        <f t="shared" si="27"/>
        <v>0</v>
      </c>
      <c r="L490" s="374">
        <f t="shared" si="28"/>
        <v>60000</v>
      </c>
      <c r="N490" s="325"/>
      <c r="O490" s="325"/>
      <c r="Q490" s="478"/>
      <c r="R490" s="479"/>
      <c r="S490" s="658"/>
      <c r="T490" s="290"/>
      <c r="U490" s="290"/>
      <c r="V490" s="290"/>
    </row>
    <row r="491" spans="1:22" ht="27.75" customHeight="1">
      <c r="A491" s="331">
        <v>23</v>
      </c>
      <c r="B491" s="695" t="s">
        <v>758</v>
      </c>
      <c r="C491" s="696" t="s">
        <v>1550</v>
      </c>
      <c r="D491" s="697"/>
      <c r="E491" s="701"/>
      <c r="F491" s="579"/>
      <c r="G491" s="699"/>
      <c r="H491" s="373" t="s">
        <v>2056</v>
      </c>
      <c r="I491" s="331">
        <v>10</v>
      </c>
      <c r="J491" s="338">
        <v>32250</v>
      </c>
      <c r="K491" s="374">
        <f t="shared" si="27"/>
        <v>0</v>
      </c>
      <c r="L491" s="374">
        <f t="shared" si="28"/>
        <v>32250</v>
      </c>
      <c r="N491" s="325"/>
      <c r="O491" s="325"/>
      <c r="Q491" s="478"/>
      <c r="R491" s="479"/>
      <c r="S491" s="658"/>
      <c r="T491" s="290"/>
      <c r="U491" s="290"/>
      <c r="V491" s="290"/>
    </row>
    <row r="492" spans="1:22" ht="27.75" customHeight="1">
      <c r="A492" s="331">
        <v>24</v>
      </c>
      <c r="B492" s="695" t="s">
        <v>660</v>
      </c>
      <c r="C492" s="696" t="s">
        <v>573</v>
      </c>
      <c r="D492" s="697"/>
      <c r="E492" s="701"/>
      <c r="F492" s="579"/>
      <c r="G492" s="699"/>
      <c r="H492" s="373" t="s">
        <v>1601</v>
      </c>
      <c r="I492" s="331">
        <v>10</v>
      </c>
      <c r="J492" s="338">
        <v>30000</v>
      </c>
      <c r="K492" s="374">
        <f t="shared" si="27"/>
        <v>0</v>
      </c>
      <c r="L492" s="374">
        <f t="shared" si="28"/>
        <v>30000</v>
      </c>
      <c r="N492" s="325"/>
      <c r="O492" s="325"/>
      <c r="Q492" s="478"/>
      <c r="R492" s="479"/>
      <c r="S492" s="658"/>
      <c r="T492" s="290"/>
      <c r="U492" s="290"/>
      <c r="V492" s="290"/>
    </row>
    <row r="493" spans="1:22" ht="27.75" customHeight="1">
      <c r="B493" s="695" t="s">
        <v>660</v>
      </c>
      <c r="C493" s="696" t="s">
        <v>573</v>
      </c>
      <c r="D493" s="697"/>
      <c r="E493" s="701"/>
      <c r="F493" s="579"/>
      <c r="G493" s="699"/>
      <c r="H493" s="373" t="s">
        <v>2869</v>
      </c>
      <c r="I493" s="331">
        <v>3</v>
      </c>
      <c r="J493" s="338">
        <v>9000</v>
      </c>
      <c r="K493" s="374">
        <f t="shared" si="27"/>
        <v>0</v>
      </c>
      <c r="L493" s="374">
        <f t="shared" si="28"/>
        <v>9000</v>
      </c>
      <c r="N493" s="325"/>
      <c r="O493" s="325"/>
      <c r="Q493" s="478"/>
      <c r="R493" s="479"/>
      <c r="S493" s="658"/>
      <c r="T493" s="290"/>
      <c r="U493" s="290"/>
      <c r="V493" s="290"/>
    </row>
    <row r="494" spans="1:22" ht="27.75" customHeight="1">
      <c r="B494" s="695" t="s">
        <v>660</v>
      </c>
      <c r="C494" s="696" t="s">
        <v>573</v>
      </c>
      <c r="D494" s="697"/>
      <c r="E494" s="701"/>
      <c r="F494" s="579"/>
      <c r="G494" s="699"/>
      <c r="H494" s="373" t="s">
        <v>2053</v>
      </c>
      <c r="I494" s="331">
        <v>11</v>
      </c>
      <c r="J494" s="338">
        <v>35250</v>
      </c>
      <c r="K494" s="374">
        <f t="shared" si="27"/>
        <v>0</v>
      </c>
      <c r="L494" s="374">
        <f t="shared" si="28"/>
        <v>35250</v>
      </c>
      <c r="N494" s="325"/>
      <c r="O494" s="325"/>
      <c r="Q494" s="478"/>
      <c r="R494" s="479"/>
      <c r="S494" s="658"/>
      <c r="T494" s="290"/>
      <c r="U494" s="290"/>
      <c r="V494" s="290"/>
    </row>
    <row r="495" spans="1:22" ht="27.75" customHeight="1">
      <c r="A495" s="331">
        <v>25</v>
      </c>
      <c r="B495" s="695" t="s">
        <v>1826</v>
      </c>
      <c r="C495" s="696" t="s">
        <v>1331</v>
      </c>
      <c r="D495" s="697"/>
      <c r="E495" s="701"/>
      <c r="F495" s="579"/>
      <c r="G495" s="699"/>
      <c r="H495" s="373" t="s">
        <v>2059</v>
      </c>
      <c r="I495" s="331">
        <v>7</v>
      </c>
      <c r="J495" s="338">
        <v>19513.599999999999</v>
      </c>
      <c r="K495" s="374">
        <f t="shared" si="27"/>
        <v>0</v>
      </c>
      <c r="L495" s="374">
        <f t="shared" si="28"/>
        <v>19513.599999999999</v>
      </c>
      <c r="N495" s="325"/>
      <c r="O495" s="325"/>
      <c r="Q495" s="478"/>
      <c r="R495" s="479"/>
      <c r="S495" s="658"/>
      <c r="T495" s="290"/>
      <c r="U495" s="290"/>
      <c r="V495" s="290"/>
    </row>
    <row r="496" spans="1:22" ht="27.75" customHeight="1">
      <c r="A496" s="331">
        <v>26</v>
      </c>
      <c r="B496" s="695" t="s">
        <v>661</v>
      </c>
      <c r="C496" s="696" t="s">
        <v>1332</v>
      </c>
      <c r="D496" s="697"/>
      <c r="E496" s="701"/>
      <c r="F496" s="579"/>
      <c r="G496" s="699"/>
      <c r="H496" s="373" t="s">
        <v>2053</v>
      </c>
      <c r="I496" s="331">
        <v>11</v>
      </c>
      <c r="J496" s="338">
        <v>35250</v>
      </c>
      <c r="K496" s="374">
        <f t="shared" si="27"/>
        <v>0</v>
      </c>
      <c r="L496" s="374">
        <f t="shared" si="28"/>
        <v>35250</v>
      </c>
      <c r="N496" s="325"/>
      <c r="O496" s="325"/>
      <c r="Q496" s="478"/>
      <c r="R496" s="479"/>
      <c r="S496" s="658"/>
      <c r="T496" s="290"/>
      <c r="U496" s="290"/>
      <c r="V496" s="290"/>
    </row>
    <row r="497" spans="1:22" ht="27.75" customHeight="1">
      <c r="A497" s="331">
        <v>27</v>
      </c>
      <c r="B497" s="695" t="s">
        <v>662</v>
      </c>
      <c r="C497" s="696" t="s">
        <v>474</v>
      </c>
      <c r="D497" s="697"/>
      <c r="E497" s="701"/>
      <c r="F497" s="579"/>
      <c r="G497" s="699"/>
      <c r="H497" s="373" t="s">
        <v>1009</v>
      </c>
      <c r="I497" s="331">
        <v>18</v>
      </c>
      <c r="J497" s="338">
        <v>54000</v>
      </c>
      <c r="K497" s="374">
        <f t="shared" si="27"/>
        <v>0</v>
      </c>
      <c r="L497" s="374">
        <f t="shared" si="28"/>
        <v>54000</v>
      </c>
      <c r="N497" s="325"/>
      <c r="O497" s="325"/>
      <c r="Q497" s="478"/>
      <c r="R497" s="479"/>
      <c r="S497" s="658"/>
      <c r="T497" s="290"/>
      <c r="U497" s="290"/>
      <c r="V497" s="290"/>
    </row>
    <row r="498" spans="1:22" ht="27.75" customHeight="1">
      <c r="B498" s="695" t="s">
        <v>662</v>
      </c>
      <c r="C498" s="696" t="s">
        <v>474</v>
      </c>
      <c r="D498" s="697"/>
      <c r="E498" s="701"/>
      <c r="F498" s="579"/>
      <c r="G498" s="699"/>
      <c r="H498" s="373" t="s">
        <v>2871</v>
      </c>
      <c r="I498" s="331">
        <v>2</v>
      </c>
      <c r="J498" s="338">
        <v>6000</v>
      </c>
      <c r="K498" s="374">
        <f t="shared" si="27"/>
        <v>0</v>
      </c>
      <c r="L498" s="374">
        <f t="shared" si="28"/>
        <v>6000</v>
      </c>
      <c r="N498" s="325"/>
      <c r="O498" s="325"/>
      <c r="Q498" s="478"/>
      <c r="R498" s="479"/>
      <c r="S498" s="658"/>
      <c r="T498" s="290"/>
      <c r="U498" s="290"/>
      <c r="V498" s="290"/>
    </row>
    <row r="499" spans="1:22" ht="27.75" customHeight="1">
      <c r="B499" s="695" t="s">
        <v>662</v>
      </c>
      <c r="C499" s="696" t="s">
        <v>474</v>
      </c>
      <c r="D499" s="697"/>
      <c r="E499" s="701"/>
      <c r="F499" s="579"/>
      <c r="G499" s="699"/>
      <c r="H499" s="373" t="s">
        <v>2053</v>
      </c>
      <c r="I499" s="331">
        <v>11</v>
      </c>
      <c r="J499" s="338">
        <v>35250</v>
      </c>
      <c r="K499" s="374">
        <f t="shared" si="27"/>
        <v>0</v>
      </c>
      <c r="L499" s="374">
        <f t="shared" si="28"/>
        <v>35250</v>
      </c>
      <c r="N499" s="325"/>
      <c r="O499" s="325"/>
      <c r="Q499" s="478"/>
      <c r="R499" s="479"/>
      <c r="S499" s="658"/>
      <c r="T499" s="290"/>
      <c r="U499" s="290"/>
      <c r="V499" s="290"/>
    </row>
    <row r="500" spans="1:22" ht="27.75" customHeight="1">
      <c r="A500" s="331">
        <v>28</v>
      </c>
      <c r="B500" s="695" t="s">
        <v>1019</v>
      </c>
      <c r="C500" s="696" t="s">
        <v>613</v>
      </c>
      <c r="D500" s="697"/>
      <c r="E500" s="701"/>
      <c r="F500" s="579"/>
      <c r="G500" s="699"/>
      <c r="H500" s="373" t="s">
        <v>1602</v>
      </c>
      <c r="I500" s="331">
        <v>9</v>
      </c>
      <c r="J500" s="338">
        <v>27000</v>
      </c>
      <c r="K500" s="374">
        <f t="shared" si="27"/>
        <v>0</v>
      </c>
      <c r="L500" s="374">
        <f t="shared" si="28"/>
        <v>27000</v>
      </c>
      <c r="N500" s="325"/>
      <c r="O500" s="325"/>
      <c r="Q500" s="478"/>
      <c r="R500" s="479"/>
      <c r="S500" s="658"/>
      <c r="T500" s="290"/>
      <c r="U500" s="290"/>
      <c r="V500" s="290"/>
    </row>
    <row r="501" spans="1:22" ht="27.75" customHeight="1">
      <c r="B501" s="695" t="s">
        <v>1019</v>
      </c>
      <c r="C501" s="696" t="s">
        <v>613</v>
      </c>
      <c r="D501" s="697"/>
      <c r="E501" s="701"/>
      <c r="F501" s="579"/>
      <c r="G501" s="699"/>
      <c r="H501" s="373" t="s">
        <v>2053</v>
      </c>
      <c r="I501" s="331">
        <v>11</v>
      </c>
      <c r="J501" s="338">
        <v>35250</v>
      </c>
      <c r="K501" s="374">
        <f t="shared" si="27"/>
        <v>0</v>
      </c>
      <c r="L501" s="374">
        <f t="shared" si="28"/>
        <v>35250</v>
      </c>
      <c r="N501" s="325"/>
      <c r="O501" s="325"/>
      <c r="Q501" s="478"/>
      <c r="R501" s="479"/>
      <c r="S501" s="658"/>
      <c r="T501" s="290"/>
      <c r="U501" s="290"/>
      <c r="V501" s="290"/>
    </row>
    <row r="502" spans="1:22" ht="27.75" customHeight="1">
      <c r="A502" s="331">
        <v>29</v>
      </c>
      <c r="B502" s="695" t="s">
        <v>1162</v>
      </c>
      <c r="C502" s="696" t="s">
        <v>1163</v>
      </c>
      <c r="D502" s="697"/>
      <c r="E502" s="701"/>
      <c r="F502" s="579"/>
      <c r="G502" s="699"/>
      <c r="H502" s="373" t="s">
        <v>2058</v>
      </c>
      <c r="I502" s="331">
        <v>13</v>
      </c>
      <c r="J502" s="338">
        <v>41250</v>
      </c>
      <c r="K502" s="374">
        <f t="shared" si="27"/>
        <v>0</v>
      </c>
      <c r="L502" s="374">
        <f t="shared" si="28"/>
        <v>41250</v>
      </c>
      <c r="N502" s="325"/>
      <c r="O502" s="325"/>
      <c r="Q502" s="478"/>
      <c r="R502" s="479"/>
      <c r="S502" s="658"/>
      <c r="T502" s="290"/>
      <c r="U502" s="290"/>
      <c r="V502" s="290"/>
    </row>
    <row r="503" spans="1:22" ht="27.75" customHeight="1">
      <c r="A503" s="331">
        <v>30</v>
      </c>
      <c r="B503" s="695" t="s">
        <v>664</v>
      </c>
      <c r="C503" s="696" t="s">
        <v>456</v>
      </c>
      <c r="D503" s="697"/>
      <c r="E503" s="701"/>
      <c r="F503" s="579"/>
      <c r="G503" s="699"/>
      <c r="H503" s="373" t="s">
        <v>1007</v>
      </c>
      <c r="I503" s="331">
        <v>10</v>
      </c>
      <c r="J503" s="338">
        <v>30000</v>
      </c>
      <c r="K503" s="374">
        <f t="shared" si="27"/>
        <v>0</v>
      </c>
      <c r="L503" s="374">
        <f t="shared" si="28"/>
        <v>30000</v>
      </c>
      <c r="N503" s="325"/>
      <c r="O503" s="325"/>
      <c r="Q503" s="478"/>
      <c r="R503" s="479"/>
      <c r="S503" s="658"/>
      <c r="T503" s="290"/>
      <c r="U503" s="290"/>
      <c r="V503" s="290"/>
    </row>
    <row r="504" spans="1:22" ht="27.75" customHeight="1">
      <c r="B504" s="695" t="s">
        <v>664</v>
      </c>
      <c r="C504" s="696" t="s">
        <v>456</v>
      </c>
      <c r="D504" s="697"/>
      <c r="E504" s="701"/>
      <c r="F504" s="579"/>
      <c r="G504" s="699"/>
      <c r="H504" s="373" t="s">
        <v>2871</v>
      </c>
      <c r="I504" s="331">
        <v>2</v>
      </c>
      <c r="J504" s="338">
        <v>6000</v>
      </c>
      <c r="K504" s="374">
        <f t="shared" si="27"/>
        <v>0</v>
      </c>
      <c r="L504" s="374">
        <f t="shared" si="28"/>
        <v>6000</v>
      </c>
      <c r="N504" s="325"/>
      <c r="O504" s="325"/>
      <c r="Q504" s="478"/>
      <c r="R504" s="479"/>
      <c r="S504" s="658"/>
      <c r="T504" s="290"/>
      <c r="U504" s="290"/>
      <c r="V504" s="290"/>
    </row>
    <row r="505" spans="1:22" ht="27.75" customHeight="1">
      <c r="B505" s="695" t="s">
        <v>664</v>
      </c>
      <c r="C505" s="696" t="s">
        <v>456</v>
      </c>
      <c r="D505" s="697"/>
      <c r="E505" s="701"/>
      <c r="F505" s="579"/>
      <c r="G505" s="699"/>
      <c r="H505" s="373" t="s">
        <v>2053</v>
      </c>
      <c r="I505" s="331">
        <v>11</v>
      </c>
      <c r="J505" s="338">
        <v>35250</v>
      </c>
      <c r="K505" s="374">
        <f t="shared" si="27"/>
        <v>0</v>
      </c>
      <c r="L505" s="374">
        <f t="shared" si="28"/>
        <v>35250</v>
      </c>
      <c r="N505" s="325"/>
      <c r="O505" s="325"/>
      <c r="Q505" s="478"/>
      <c r="R505" s="479"/>
      <c r="S505" s="658"/>
      <c r="T505" s="290"/>
      <c r="U505" s="290"/>
      <c r="V505" s="290"/>
    </row>
    <row r="506" spans="1:22" ht="27.75" customHeight="1">
      <c r="A506" s="331">
        <v>31</v>
      </c>
      <c r="B506" s="695" t="s">
        <v>1164</v>
      </c>
      <c r="C506" s="696" t="s">
        <v>1165</v>
      </c>
      <c r="D506" s="697"/>
      <c r="E506" s="701"/>
      <c r="F506" s="579"/>
      <c r="G506" s="699"/>
      <c r="H506" s="373" t="s">
        <v>2058</v>
      </c>
      <c r="I506" s="331">
        <v>13</v>
      </c>
      <c r="J506" s="338">
        <v>41250</v>
      </c>
      <c r="K506" s="374">
        <f t="shared" si="27"/>
        <v>0</v>
      </c>
      <c r="L506" s="374">
        <f t="shared" si="28"/>
        <v>41250</v>
      </c>
      <c r="N506" s="325"/>
      <c r="O506" s="325"/>
      <c r="Q506" s="478"/>
      <c r="R506" s="479"/>
      <c r="S506" s="658"/>
      <c r="T506" s="290"/>
      <c r="U506" s="290"/>
      <c r="V506" s="290"/>
    </row>
    <row r="507" spans="1:22" ht="27.75" customHeight="1">
      <c r="A507" s="331">
        <v>32</v>
      </c>
      <c r="B507" s="695" t="s">
        <v>359</v>
      </c>
      <c r="C507" s="696" t="s">
        <v>1066</v>
      </c>
      <c r="D507" s="697"/>
      <c r="E507" s="701"/>
      <c r="F507" s="579"/>
      <c r="G507" s="699"/>
      <c r="H507" s="373" t="s">
        <v>991</v>
      </c>
      <c r="I507" s="331">
        <v>11</v>
      </c>
      <c r="J507" s="338">
        <v>36000</v>
      </c>
      <c r="K507" s="374">
        <f t="shared" si="27"/>
        <v>0</v>
      </c>
      <c r="L507" s="374">
        <f t="shared" si="28"/>
        <v>36000</v>
      </c>
      <c r="N507" s="325"/>
      <c r="O507" s="325"/>
      <c r="Q507" s="478"/>
      <c r="R507" s="479"/>
      <c r="S507" s="658"/>
      <c r="T507" s="290"/>
      <c r="U507" s="290"/>
      <c r="V507" s="290"/>
    </row>
    <row r="508" spans="1:22" ht="27.75" customHeight="1">
      <c r="B508" s="695" t="s">
        <v>359</v>
      </c>
      <c r="C508" s="696" t="s">
        <v>1066</v>
      </c>
      <c r="D508" s="697"/>
      <c r="E508" s="701"/>
      <c r="F508" s="579"/>
      <c r="G508" s="699"/>
      <c r="H508" s="373" t="s">
        <v>2872</v>
      </c>
      <c r="I508" s="331">
        <v>3</v>
      </c>
      <c r="J508" s="338">
        <v>9000</v>
      </c>
      <c r="K508" s="374">
        <f t="shared" si="27"/>
        <v>0</v>
      </c>
      <c r="L508" s="374">
        <f t="shared" si="28"/>
        <v>9000</v>
      </c>
      <c r="N508" s="325"/>
      <c r="O508" s="325"/>
      <c r="Q508" s="478"/>
      <c r="R508" s="479"/>
      <c r="S508" s="658"/>
      <c r="T508" s="290"/>
      <c r="U508" s="290"/>
      <c r="V508" s="290"/>
    </row>
    <row r="509" spans="1:22" ht="27.75" customHeight="1">
      <c r="B509" s="695" t="s">
        <v>359</v>
      </c>
      <c r="C509" s="696" t="s">
        <v>1066</v>
      </c>
      <c r="D509" s="697"/>
      <c r="E509" s="701"/>
      <c r="F509" s="579"/>
      <c r="G509" s="699"/>
      <c r="H509" s="373" t="s">
        <v>2053</v>
      </c>
      <c r="I509" s="331">
        <v>11</v>
      </c>
      <c r="J509" s="338">
        <v>35250</v>
      </c>
      <c r="K509" s="374">
        <f t="shared" si="27"/>
        <v>0</v>
      </c>
      <c r="L509" s="374">
        <f t="shared" si="28"/>
        <v>35250</v>
      </c>
      <c r="N509" s="325"/>
      <c r="O509" s="325"/>
      <c r="Q509" s="478"/>
      <c r="R509" s="479"/>
      <c r="S509" s="658"/>
      <c r="T509" s="290"/>
      <c r="U509" s="290"/>
      <c r="V509" s="290"/>
    </row>
    <row r="510" spans="1:22" ht="27.75" customHeight="1">
      <c r="A510" s="331">
        <v>33</v>
      </c>
      <c r="B510" s="695" t="s">
        <v>1551</v>
      </c>
      <c r="C510" s="696" t="s">
        <v>1552</v>
      </c>
      <c r="D510" s="697"/>
      <c r="E510" s="701"/>
      <c r="F510" s="579"/>
      <c r="G510" s="699"/>
      <c r="H510" s="373" t="s">
        <v>2056</v>
      </c>
      <c r="I510" s="331">
        <v>10</v>
      </c>
      <c r="J510" s="338">
        <v>32250</v>
      </c>
      <c r="K510" s="374">
        <f t="shared" si="27"/>
        <v>0</v>
      </c>
      <c r="L510" s="374">
        <f t="shared" si="28"/>
        <v>32250</v>
      </c>
      <c r="N510" s="325"/>
      <c r="O510" s="325"/>
      <c r="Q510" s="478"/>
      <c r="R510" s="479"/>
      <c r="S510" s="658"/>
      <c r="T510" s="290"/>
      <c r="U510" s="290"/>
      <c r="V510" s="290"/>
    </row>
    <row r="511" spans="1:22" ht="27.75" customHeight="1">
      <c r="A511" s="331">
        <v>34</v>
      </c>
      <c r="B511" s="695" t="s">
        <v>667</v>
      </c>
      <c r="C511" s="696" t="s">
        <v>1067</v>
      </c>
      <c r="D511" s="697"/>
      <c r="E511" s="701"/>
      <c r="F511" s="579"/>
      <c r="G511" s="699"/>
      <c r="H511" s="373" t="s">
        <v>1060</v>
      </c>
      <c r="I511" s="331">
        <v>8</v>
      </c>
      <c r="J511" s="338">
        <v>24000</v>
      </c>
      <c r="K511" s="374">
        <f t="shared" si="27"/>
        <v>0</v>
      </c>
      <c r="L511" s="374">
        <f t="shared" si="28"/>
        <v>24000</v>
      </c>
      <c r="N511" s="325"/>
      <c r="O511" s="325"/>
      <c r="Q511" s="478"/>
      <c r="R511" s="479"/>
      <c r="S511" s="658"/>
      <c r="T511" s="290"/>
      <c r="U511" s="290"/>
      <c r="V511" s="290"/>
    </row>
    <row r="512" spans="1:22" ht="27.75" customHeight="1">
      <c r="A512" s="331">
        <v>35</v>
      </c>
      <c r="B512" s="695" t="s">
        <v>668</v>
      </c>
      <c r="C512" s="696" t="s">
        <v>669</v>
      </c>
      <c r="D512" s="697"/>
      <c r="E512" s="701"/>
      <c r="F512" s="579"/>
      <c r="G512" s="699"/>
      <c r="H512" s="373" t="s">
        <v>1603</v>
      </c>
      <c r="I512" s="331">
        <v>11</v>
      </c>
      <c r="J512" s="338">
        <v>33000</v>
      </c>
      <c r="K512" s="374">
        <f t="shared" si="27"/>
        <v>0</v>
      </c>
      <c r="L512" s="374">
        <f t="shared" si="28"/>
        <v>33000</v>
      </c>
      <c r="N512" s="325"/>
      <c r="O512" s="325"/>
      <c r="Q512" s="478"/>
      <c r="R512" s="479"/>
      <c r="S512" s="658"/>
      <c r="T512" s="290"/>
      <c r="U512" s="290"/>
      <c r="V512" s="290"/>
    </row>
    <row r="513" spans="1:22" ht="27.75" customHeight="1">
      <c r="B513" s="695" t="s">
        <v>668</v>
      </c>
      <c r="C513" s="696" t="s">
        <v>669</v>
      </c>
      <c r="D513" s="697"/>
      <c r="E513" s="701"/>
      <c r="F513" s="579"/>
      <c r="G513" s="699"/>
      <c r="H513" s="373" t="s">
        <v>2053</v>
      </c>
      <c r="I513" s="331">
        <v>11</v>
      </c>
      <c r="J513" s="338">
        <v>35250</v>
      </c>
      <c r="K513" s="374">
        <f t="shared" si="27"/>
        <v>0</v>
      </c>
      <c r="L513" s="374">
        <f t="shared" si="28"/>
        <v>35250</v>
      </c>
      <c r="N513" s="325"/>
      <c r="O513" s="325"/>
      <c r="Q513" s="478"/>
      <c r="R513" s="479"/>
      <c r="S513" s="658"/>
      <c r="T513" s="290"/>
      <c r="U513" s="290"/>
      <c r="V513" s="290"/>
    </row>
    <row r="514" spans="1:22" ht="27.75" customHeight="1">
      <c r="A514" s="331">
        <v>36</v>
      </c>
      <c r="B514" s="695" t="s">
        <v>1662</v>
      </c>
      <c r="C514" s="696" t="s">
        <v>1663</v>
      </c>
      <c r="D514" s="697"/>
      <c r="E514" s="701"/>
      <c r="F514" s="579"/>
      <c r="G514" s="699"/>
      <c r="H514" s="373" t="s">
        <v>2054</v>
      </c>
      <c r="I514" s="331">
        <v>9</v>
      </c>
      <c r="J514" s="338">
        <v>29250</v>
      </c>
      <c r="K514" s="374">
        <f t="shared" si="27"/>
        <v>0</v>
      </c>
      <c r="L514" s="374">
        <f t="shared" si="28"/>
        <v>29250</v>
      </c>
      <c r="N514" s="325"/>
      <c r="O514" s="325"/>
      <c r="Q514" s="478"/>
      <c r="R514" s="479"/>
      <c r="S514" s="658"/>
      <c r="T514" s="290"/>
      <c r="U514" s="290"/>
      <c r="V514" s="290"/>
    </row>
    <row r="515" spans="1:22" ht="27.75" customHeight="1">
      <c r="A515" s="331">
        <v>37</v>
      </c>
      <c r="B515" s="695" t="s">
        <v>1020</v>
      </c>
      <c r="C515" s="696" t="s">
        <v>670</v>
      </c>
      <c r="D515" s="697"/>
      <c r="E515" s="701"/>
      <c r="F515" s="579"/>
      <c r="G515" s="699"/>
      <c r="H515" s="373" t="s">
        <v>1167</v>
      </c>
      <c r="I515" s="331">
        <v>12</v>
      </c>
      <c r="J515" s="338">
        <v>36000</v>
      </c>
      <c r="K515" s="374">
        <f t="shared" si="27"/>
        <v>0</v>
      </c>
      <c r="L515" s="374">
        <f t="shared" si="28"/>
        <v>36000</v>
      </c>
      <c r="N515" s="325"/>
      <c r="O515" s="325"/>
      <c r="Q515" s="478"/>
      <c r="R515" s="479"/>
      <c r="S515" s="658"/>
      <c r="T515" s="290"/>
      <c r="U515" s="290"/>
      <c r="V515" s="290"/>
    </row>
    <row r="516" spans="1:22" ht="27.75" customHeight="1">
      <c r="B516" s="695" t="s">
        <v>1020</v>
      </c>
      <c r="C516" s="696" t="s">
        <v>670</v>
      </c>
      <c r="D516" s="697"/>
      <c r="E516" s="701"/>
      <c r="F516" s="579"/>
      <c r="G516" s="699"/>
      <c r="H516" s="373" t="s">
        <v>2056</v>
      </c>
      <c r="I516" s="331">
        <v>10</v>
      </c>
      <c r="J516" s="338">
        <v>32250</v>
      </c>
      <c r="K516" s="374">
        <f t="shared" si="27"/>
        <v>0</v>
      </c>
      <c r="L516" s="374">
        <f t="shared" si="28"/>
        <v>32250</v>
      </c>
      <c r="N516" s="325"/>
      <c r="O516" s="325"/>
      <c r="Q516" s="478"/>
      <c r="R516" s="479"/>
      <c r="S516" s="658"/>
      <c r="T516" s="290"/>
      <c r="U516" s="290"/>
      <c r="V516" s="290"/>
    </row>
    <row r="517" spans="1:22" ht="27.75" customHeight="1">
      <c r="A517" s="331">
        <v>38</v>
      </c>
      <c r="B517" s="695" t="s">
        <v>671</v>
      </c>
      <c r="C517" s="696" t="s">
        <v>1068</v>
      </c>
      <c r="D517" s="697"/>
      <c r="E517" s="701"/>
      <c r="F517" s="579"/>
      <c r="G517" s="699"/>
      <c r="H517" s="373" t="s">
        <v>1604</v>
      </c>
      <c r="I517" s="331">
        <v>3</v>
      </c>
      <c r="J517" s="338">
        <v>9000</v>
      </c>
      <c r="K517" s="374">
        <f t="shared" si="27"/>
        <v>0</v>
      </c>
      <c r="L517" s="374">
        <f t="shared" si="28"/>
        <v>9000</v>
      </c>
      <c r="N517" s="325"/>
      <c r="O517" s="325"/>
      <c r="Q517" s="478"/>
      <c r="R517" s="479"/>
      <c r="S517" s="658"/>
      <c r="T517" s="290"/>
      <c r="U517" s="290"/>
      <c r="V517" s="290"/>
    </row>
    <row r="518" spans="1:22" ht="27.75" customHeight="1">
      <c r="B518" s="695" t="s">
        <v>671</v>
      </c>
      <c r="C518" s="696" t="s">
        <v>1068</v>
      </c>
      <c r="D518" s="697"/>
      <c r="E518" s="701"/>
      <c r="F518" s="579"/>
      <c r="G518" s="699"/>
      <c r="H518" s="373" t="s">
        <v>1167</v>
      </c>
      <c r="I518" s="331">
        <v>12</v>
      </c>
      <c r="J518" s="338">
        <v>36000</v>
      </c>
      <c r="K518" s="374">
        <f t="shared" si="27"/>
        <v>0</v>
      </c>
      <c r="L518" s="374">
        <f t="shared" si="28"/>
        <v>36000</v>
      </c>
      <c r="N518" s="325"/>
      <c r="O518" s="325"/>
      <c r="Q518" s="478"/>
      <c r="R518" s="479"/>
      <c r="S518" s="658"/>
      <c r="T518" s="290"/>
      <c r="U518" s="290"/>
      <c r="V518" s="290"/>
    </row>
    <row r="519" spans="1:22" ht="27.75" customHeight="1">
      <c r="B519" s="695" t="s">
        <v>671</v>
      </c>
      <c r="C519" s="696" t="s">
        <v>1068</v>
      </c>
      <c r="D519" s="697"/>
      <c r="E519" s="701"/>
      <c r="F519" s="579"/>
      <c r="G519" s="699"/>
      <c r="H519" s="373" t="s">
        <v>2056</v>
      </c>
      <c r="I519" s="331">
        <v>10</v>
      </c>
      <c r="J519" s="338">
        <v>32250</v>
      </c>
      <c r="K519" s="374">
        <f t="shared" si="27"/>
        <v>0</v>
      </c>
      <c r="L519" s="374">
        <f t="shared" si="28"/>
        <v>32250</v>
      </c>
      <c r="N519" s="325"/>
      <c r="O519" s="325"/>
      <c r="Q519" s="478"/>
      <c r="R519" s="479"/>
      <c r="S519" s="658"/>
      <c r="T519" s="290"/>
      <c r="U519" s="290"/>
      <c r="V519" s="290"/>
    </row>
    <row r="520" spans="1:22" ht="27.75" customHeight="1">
      <c r="A520" s="331">
        <v>39</v>
      </c>
      <c r="B520" s="695" t="s">
        <v>1335</v>
      </c>
      <c r="C520" s="696" t="s">
        <v>1336</v>
      </c>
      <c r="D520" s="697"/>
      <c r="E520" s="701"/>
      <c r="F520" s="579"/>
      <c r="G520" s="699"/>
      <c r="H520" s="373" t="s">
        <v>2053</v>
      </c>
      <c r="I520" s="331">
        <v>11</v>
      </c>
      <c r="J520" s="338">
        <v>35250</v>
      </c>
      <c r="K520" s="374">
        <f t="shared" si="27"/>
        <v>0</v>
      </c>
      <c r="L520" s="374">
        <f t="shared" si="28"/>
        <v>35250</v>
      </c>
      <c r="N520" s="325"/>
      <c r="O520" s="325"/>
      <c r="Q520" s="478"/>
      <c r="R520" s="479"/>
      <c r="S520" s="658"/>
      <c r="T520" s="290"/>
      <c r="U520" s="290"/>
      <c r="V520" s="290"/>
    </row>
    <row r="521" spans="1:22" ht="27.75" customHeight="1">
      <c r="A521" s="331">
        <v>40</v>
      </c>
      <c r="B521" s="695" t="s">
        <v>364</v>
      </c>
      <c r="C521" s="696" t="s">
        <v>801</v>
      </c>
      <c r="D521" s="697"/>
      <c r="E521" s="701"/>
      <c r="F521" s="579"/>
      <c r="G521" s="699"/>
      <c r="H521" s="373" t="s">
        <v>1139</v>
      </c>
      <c r="I521" s="331">
        <v>9</v>
      </c>
      <c r="J521" s="338">
        <v>27000</v>
      </c>
      <c r="K521" s="374">
        <f t="shared" si="27"/>
        <v>0</v>
      </c>
      <c r="L521" s="374">
        <f t="shared" si="28"/>
        <v>27000</v>
      </c>
      <c r="N521" s="325"/>
      <c r="O521" s="325"/>
      <c r="Q521" s="478"/>
      <c r="R521" s="479"/>
      <c r="S521" s="658"/>
      <c r="T521" s="290"/>
      <c r="U521" s="290"/>
      <c r="V521" s="290"/>
    </row>
    <row r="522" spans="1:22" ht="27.75" customHeight="1">
      <c r="A522" s="331">
        <v>42</v>
      </c>
      <c r="B522" s="695" t="s">
        <v>672</v>
      </c>
      <c r="C522" s="696" t="s">
        <v>1069</v>
      </c>
      <c r="D522" s="697"/>
      <c r="E522" s="701"/>
      <c r="F522" s="579"/>
      <c r="G522" s="699"/>
      <c r="H522" s="373" t="s">
        <v>938</v>
      </c>
      <c r="I522" s="331">
        <v>12</v>
      </c>
      <c r="J522" s="338">
        <v>36000</v>
      </c>
      <c r="K522" s="374">
        <f t="shared" si="27"/>
        <v>0</v>
      </c>
      <c r="L522" s="374">
        <f t="shared" si="28"/>
        <v>36000</v>
      </c>
      <c r="N522" s="325"/>
      <c r="O522" s="325"/>
      <c r="Q522" s="478"/>
      <c r="R522" s="479"/>
      <c r="S522" s="658"/>
      <c r="T522" s="290"/>
      <c r="U522" s="290"/>
      <c r="V522" s="290"/>
    </row>
    <row r="523" spans="1:22" ht="27.75" customHeight="1">
      <c r="B523" s="695" t="s">
        <v>672</v>
      </c>
      <c r="C523" s="696" t="s">
        <v>1069</v>
      </c>
      <c r="D523" s="697"/>
      <c r="E523" s="701"/>
      <c r="F523" s="579"/>
      <c r="G523" s="699"/>
      <c r="H523" s="373" t="s">
        <v>2873</v>
      </c>
      <c r="I523" s="331">
        <v>5</v>
      </c>
      <c r="J523" s="338">
        <v>15000</v>
      </c>
      <c r="K523" s="374">
        <f t="shared" si="27"/>
        <v>0</v>
      </c>
      <c r="L523" s="374">
        <f t="shared" si="28"/>
        <v>15000</v>
      </c>
      <c r="N523" s="325"/>
      <c r="O523" s="325"/>
      <c r="Q523" s="478"/>
      <c r="R523" s="479"/>
      <c r="S523" s="658"/>
      <c r="T523" s="290"/>
      <c r="U523" s="290"/>
      <c r="V523" s="290"/>
    </row>
    <row r="524" spans="1:22" ht="27.75" customHeight="1">
      <c r="B524" s="695" t="s">
        <v>672</v>
      </c>
      <c r="C524" s="696" t="s">
        <v>1069</v>
      </c>
      <c r="D524" s="697"/>
      <c r="E524" s="701"/>
      <c r="F524" s="579"/>
      <c r="G524" s="699"/>
      <c r="H524" s="373" t="s">
        <v>2053</v>
      </c>
      <c r="I524" s="331">
        <v>11</v>
      </c>
      <c r="J524" s="338">
        <v>35250</v>
      </c>
      <c r="K524" s="374">
        <f t="shared" si="27"/>
        <v>0</v>
      </c>
      <c r="L524" s="374">
        <f t="shared" si="28"/>
        <v>35250</v>
      </c>
      <c r="N524" s="325"/>
      <c r="O524" s="325"/>
      <c r="Q524" s="478"/>
      <c r="R524" s="479"/>
      <c r="S524" s="658"/>
      <c r="T524" s="290"/>
      <c r="U524" s="290"/>
      <c r="V524" s="290"/>
    </row>
    <row r="525" spans="1:22" ht="27.75" customHeight="1">
      <c r="A525" s="331">
        <v>43</v>
      </c>
      <c r="B525" s="695" t="s">
        <v>517</v>
      </c>
      <c r="C525" s="696" t="s">
        <v>1070</v>
      </c>
      <c r="D525" s="697"/>
      <c r="E525" s="701"/>
      <c r="F525" s="579"/>
      <c r="G525" s="699"/>
      <c r="H525" s="373" t="s">
        <v>941</v>
      </c>
      <c r="I525" s="331">
        <v>10</v>
      </c>
      <c r="J525" s="338">
        <v>30000</v>
      </c>
      <c r="K525" s="374">
        <f t="shared" si="27"/>
        <v>0</v>
      </c>
      <c r="L525" s="374">
        <f t="shared" si="28"/>
        <v>30000</v>
      </c>
      <c r="N525" s="325"/>
      <c r="O525" s="325"/>
      <c r="Q525" s="478"/>
      <c r="R525" s="479"/>
      <c r="S525" s="658"/>
      <c r="T525" s="290"/>
      <c r="U525" s="290"/>
      <c r="V525" s="290"/>
    </row>
    <row r="526" spans="1:22" ht="27.75" customHeight="1">
      <c r="B526" s="695" t="s">
        <v>517</v>
      </c>
      <c r="C526" s="696" t="s">
        <v>1070</v>
      </c>
      <c r="D526" s="697"/>
      <c r="E526" s="701"/>
      <c r="F526" s="579"/>
      <c r="G526" s="699"/>
      <c r="H526" s="373" t="s">
        <v>2874</v>
      </c>
      <c r="I526" s="331">
        <v>5</v>
      </c>
      <c r="J526" s="338">
        <v>15000</v>
      </c>
      <c r="K526" s="374">
        <f t="shared" si="27"/>
        <v>0</v>
      </c>
      <c r="L526" s="374">
        <f t="shared" si="28"/>
        <v>15000</v>
      </c>
      <c r="N526" s="325"/>
      <c r="O526" s="325"/>
      <c r="Q526" s="478"/>
      <c r="R526" s="479"/>
      <c r="S526" s="658"/>
      <c r="T526" s="290"/>
      <c r="U526" s="290"/>
      <c r="V526" s="290"/>
    </row>
    <row r="527" spans="1:22" ht="27.75" customHeight="1">
      <c r="B527" s="695" t="s">
        <v>517</v>
      </c>
      <c r="C527" s="696" t="s">
        <v>1070</v>
      </c>
      <c r="D527" s="697"/>
      <c r="E527" s="701"/>
      <c r="F527" s="579"/>
      <c r="G527" s="699"/>
      <c r="H527" s="373" t="s">
        <v>2053</v>
      </c>
      <c r="I527" s="331">
        <v>11</v>
      </c>
      <c r="J527" s="338">
        <v>35250</v>
      </c>
      <c r="K527" s="374">
        <f t="shared" si="27"/>
        <v>0</v>
      </c>
      <c r="L527" s="374">
        <f t="shared" si="28"/>
        <v>35250</v>
      </c>
      <c r="N527" s="325"/>
      <c r="O527" s="325"/>
      <c r="Q527" s="478"/>
      <c r="R527" s="479"/>
      <c r="S527" s="658"/>
      <c r="T527" s="290"/>
      <c r="U527" s="290"/>
      <c r="V527" s="290"/>
    </row>
    <row r="528" spans="1:22" ht="27.75" customHeight="1">
      <c r="A528" s="331">
        <v>44</v>
      </c>
      <c r="B528" s="695" t="s">
        <v>673</v>
      </c>
      <c r="C528" s="696" t="s">
        <v>1071</v>
      </c>
      <c r="D528" s="697"/>
      <c r="E528" s="701"/>
      <c r="F528" s="579"/>
      <c r="G528" s="699"/>
      <c r="H528" s="373" t="s">
        <v>1605</v>
      </c>
      <c r="I528" s="331">
        <v>9</v>
      </c>
      <c r="J528" s="338">
        <v>27000</v>
      </c>
      <c r="K528" s="374">
        <f t="shared" si="27"/>
        <v>0</v>
      </c>
      <c r="L528" s="374">
        <f t="shared" si="28"/>
        <v>27000</v>
      </c>
      <c r="N528" s="325"/>
      <c r="O528" s="325"/>
      <c r="Q528" s="478"/>
      <c r="R528" s="479"/>
      <c r="S528" s="658"/>
      <c r="T528" s="290"/>
      <c r="U528" s="290"/>
      <c r="V528" s="290"/>
    </row>
    <row r="529" spans="1:22" ht="27.75" customHeight="1">
      <c r="B529" s="695" t="s">
        <v>673</v>
      </c>
      <c r="C529" s="696" t="s">
        <v>1071</v>
      </c>
      <c r="D529" s="697"/>
      <c r="E529" s="701"/>
      <c r="F529" s="579"/>
      <c r="G529" s="699"/>
      <c r="H529" s="373" t="s">
        <v>2874</v>
      </c>
      <c r="I529" s="331">
        <v>5</v>
      </c>
      <c r="J529" s="338">
        <v>15000</v>
      </c>
      <c r="K529" s="374">
        <f t="shared" si="27"/>
        <v>0</v>
      </c>
      <c r="L529" s="374">
        <f t="shared" si="28"/>
        <v>15000</v>
      </c>
      <c r="N529" s="325"/>
      <c r="O529" s="325"/>
      <c r="Q529" s="478"/>
      <c r="R529" s="479"/>
      <c r="S529" s="658"/>
      <c r="T529" s="290"/>
      <c r="U529" s="290"/>
      <c r="V529" s="290"/>
    </row>
    <row r="530" spans="1:22" ht="27.75" customHeight="1">
      <c r="B530" s="695" t="s">
        <v>673</v>
      </c>
      <c r="C530" s="696" t="s">
        <v>1071</v>
      </c>
      <c r="D530" s="697"/>
      <c r="E530" s="701"/>
      <c r="F530" s="579"/>
      <c r="G530" s="699"/>
      <c r="H530" s="373" t="s">
        <v>2053</v>
      </c>
      <c r="I530" s="331">
        <v>11</v>
      </c>
      <c r="J530" s="338">
        <v>35250</v>
      </c>
      <c r="K530" s="374">
        <f t="shared" si="27"/>
        <v>0</v>
      </c>
      <c r="L530" s="374">
        <f t="shared" si="28"/>
        <v>35250</v>
      </c>
      <c r="N530" s="325"/>
      <c r="O530" s="325"/>
      <c r="Q530" s="478"/>
      <c r="R530" s="479"/>
      <c r="S530" s="658"/>
      <c r="T530" s="290"/>
      <c r="U530" s="290"/>
      <c r="V530" s="290"/>
    </row>
    <row r="531" spans="1:22" ht="27.75" customHeight="1">
      <c r="A531" s="331">
        <v>45</v>
      </c>
      <c r="B531" s="695" t="s">
        <v>674</v>
      </c>
      <c r="C531" s="696" t="s">
        <v>1072</v>
      </c>
      <c r="D531" s="697"/>
      <c r="E531" s="701"/>
      <c r="F531" s="579"/>
      <c r="G531" s="699"/>
      <c r="H531" s="373" t="s">
        <v>939</v>
      </c>
      <c r="I531" s="331">
        <v>14</v>
      </c>
      <c r="J531" s="338">
        <v>42000</v>
      </c>
      <c r="K531" s="374">
        <f t="shared" si="27"/>
        <v>0</v>
      </c>
      <c r="L531" s="374">
        <f t="shared" si="28"/>
        <v>42000</v>
      </c>
      <c r="N531" s="325"/>
      <c r="O531" s="325"/>
      <c r="Q531" s="478"/>
      <c r="R531" s="479"/>
      <c r="S531" s="658"/>
      <c r="T531" s="290"/>
      <c r="U531" s="290"/>
      <c r="V531" s="290"/>
    </row>
    <row r="532" spans="1:22" ht="27.75" customHeight="1">
      <c r="B532" s="695" t="s">
        <v>674</v>
      </c>
      <c r="C532" s="696" t="s">
        <v>1072</v>
      </c>
      <c r="D532" s="697"/>
      <c r="E532" s="701"/>
      <c r="F532" s="579"/>
      <c r="G532" s="699"/>
      <c r="H532" s="373" t="s">
        <v>2874</v>
      </c>
      <c r="I532" s="331">
        <v>5</v>
      </c>
      <c r="J532" s="338">
        <v>15000</v>
      </c>
      <c r="K532" s="374">
        <f t="shared" si="27"/>
        <v>0</v>
      </c>
      <c r="L532" s="374">
        <f t="shared" si="28"/>
        <v>15000</v>
      </c>
      <c r="N532" s="325"/>
      <c r="O532" s="325"/>
      <c r="Q532" s="478"/>
      <c r="R532" s="479"/>
      <c r="S532" s="658"/>
      <c r="T532" s="290"/>
      <c r="U532" s="290"/>
      <c r="V532" s="290"/>
    </row>
    <row r="533" spans="1:22" ht="27.75" customHeight="1">
      <c r="B533" s="695" t="s">
        <v>674</v>
      </c>
      <c r="C533" s="696" t="s">
        <v>1072</v>
      </c>
      <c r="D533" s="697"/>
      <c r="E533" s="701"/>
      <c r="F533" s="579"/>
      <c r="G533" s="699"/>
      <c r="H533" s="373" t="s">
        <v>2053</v>
      </c>
      <c r="I533" s="331">
        <v>11</v>
      </c>
      <c r="J533" s="338">
        <v>35250</v>
      </c>
      <c r="K533" s="374">
        <f t="shared" si="27"/>
        <v>0</v>
      </c>
      <c r="L533" s="374">
        <f t="shared" si="28"/>
        <v>35250</v>
      </c>
      <c r="N533" s="325"/>
      <c r="O533" s="325"/>
      <c r="Q533" s="478"/>
      <c r="R533" s="479"/>
      <c r="S533" s="658"/>
      <c r="T533" s="290"/>
      <c r="U533" s="290"/>
      <c r="V533" s="290"/>
    </row>
    <row r="534" spans="1:22" ht="27.75" customHeight="1">
      <c r="A534" s="331">
        <v>46</v>
      </c>
      <c r="B534" s="695" t="s">
        <v>1606</v>
      </c>
      <c r="C534" s="696" t="s">
        <v>1607</v>
      </c>
      <c r="D534" s="697"/>
      <c r="E534" s="701"/>
      <c r="F534" s="579"/>
      <c r="G534" s="699"/>
      <c r="H534" s="373" t="s">
        <v>1608</v>
      </c>
      <c r="I534" s="331">
        <v>8</v>
      </c>
      <c r="J534" s="338">
        <v>24000</v>
      </c>
      <c r="K534" s="374">
        <f t="shared" si="27"/>
        <v>0</v>
      </c>
      <c r="L534" s="374">
        <f t="shared" si="28"/>
        <v>24000</v>
      </c>
      <c r="N534" s="325"/>
      <c r="O534" s="325"/>
      <c r="Q534" s="478"/>
      <c r="R534" s="479"/>
      <c r="S534" s="658"/>
      <c r="T534" s="290"/>
      <c r="U534" s="290"/>
      <c r="V534" s="290"/>
    </row>
    <row r="535" spans="1:22" ht="27.75" customHeight="1">
      <c r="B535" s="695" t="s">
        <v>1606</v>
      </c>
      <c r="C535" s="696" t="s">
        <v>1607</v>
      </c>
      <c r="D535" s="697"/>
      <c r="E535" s="701"/>
      <c r="F535" s="579"/>
      <c r="G535" s="699"/>
      <c r="H535" s="373" t="s">
        <v>1514</v>
      </c>
      <c r="I535" s="331">
        <v>1</v>
      </c>
      <c r="J535" s="338">
        <v>3000</v>
      </c>
      <c r="K535" s="374">
        <f t="shared" si="27"/>
        <v>0</v>
      </c>
      <c r="L535" s="374">
        <f t="shared" si="28"/>
        <v>3000</v>
      </c>
      <c r="N535" s="325"/>
      <c r="O535" s="325"/>
      <c r="Q535" s="478"/>
      <c r="R535" s="479"/>
      <c r="S535" s="658"/>
      <c r="T535" s="290"/>
      <c r="U535" s="290"/>
      <c r="V535" s="290"/>
    </row>
    <row r="536" spans="1:22" ht="27.75" customHeight="1">
      <c r="A536" s="331">
        <v>47</v>
      </c>
      <c r="B536" s="695" t="s">
        <v>675</v>
      </c>
      <c r="C536" s="696" t="s">
        <v>1073</v>
      </c>
      <c r="D536" s="697"/>
      <c r="E536" s="701"/>
      <c r="F536" s="579"/>
      <c r="G536" s="699"/>
      <c r="H536" s="373" t="s">
        <v>940</v>
      </c>
      <c r="I536" s="331">
        <v>13</v>
      </c>
      <c r="J536" s="338">
        <v>39000</v>
      </c>
      <c r="K536" s="374">
        <f t="shared" si="27"/>
        <v>0</v>
      </c>
      <c r="L536" s="374">
        <f t="shared" si="28"/>
        <v>39000</v>
      </c>
      <c r="N536" s="325"/>
      <c r="O536" s="325"/>
      <c r="Q536" s="478"/>
      <c r="R536" s="479"/>
      <c r="S536" s="658"/>
      <c r="T536" s="290"/>
      <c r="U536" s="290"/>
      <c r="V536" s="290"/>
    </row>
    <row r="537" spans="1:22" ht="27.75" customHeight="1">
      <c r="B537" s="695" t="s">
        <v>675</v>
      </c>
      <c r="C537" s="696" t="s">
        <v>1073</v>
      </c>
      <c r="D537" s="697"/>
      <c r="E537" s="701"/>
      <c r="F537" s="579"/>
      <c r="G537" s="699"/>
      <c r="H537" s="373" t="s">
        <v>2874</v>
      </c>
      <c r="I537" s="331">
        <v>5</v>
      </c>
      <c r="J537" s="338">
        <v>15000</v>
      </c>
      <c r="K537" s="374">
        <f t="shared" si="27"/>
        <v>0</v>
      </c>
      <c r="L537" s="374">
        <f t="shared" si="28"/>
        <v>15000</v>
      </c>
      <c r="N537" s="325"/>
      <c r="O537" s="325"/>
      <c r="Q537" s="478"/>
      <c r="R537" s="479"/>
      <c r="S537" s="658"/>
      <c r="T537" s="290"/>
      <c r="U537" s="290"/>
      <c r="V537" s="290"/>
    </row>
    <row r="538" spans="1:22" ht="27.75" customHeight="1">
      <c r="B538" s="695" t="s">
        <v>675</v>
      </c>
      <c r="C538" s="696" t="s">
        <v>1073</v>
      </c>
      <c r="D538" s="697"/>
      <c r="E538" s="701"/>
      <c r="F538" s="579"/>
      <c r="G538" s="699"/>
      <c r="H538" s="373" t="s">
        <v>2053</v>
      </c>
      <c r="I538" s="331">
        <v>11</v>
      </c>
      <c r="J538" s="338">
        <v>35250</v>
      </c>
      <c r="K538" s="374">
        <f t="shared" si="27"/>
        <v>0</v>
      </c>
      <c r="L538" s="374">
        <f t="shared" si="28"/>
        <v>35250</v>
      </c>
      <c r="N538" s="325"/>
      <c r="O538" s="325"/>
      <c r="Q538" s="478"/>
      <c r="R538" s="479"/>
      <c r="S538" s="658"/>
      <c r="T538" s="290"/>
      <c r="U538" s="290"/>
      <c r="V538" s="290"/>
    </row>
    <row r="539" spans="1:22" ht="27.75" customHeight="1">
      <c r="A539" s="331">
        <v>48</v>
      </c>
      <c r="B539" s="695" t="s">
        <v>676</v>
      </c>
      <c r="C539" s="696" t="s">
        <v>1074</v>
      </c>
      <c r="D539" s="697"/>
      <c r="E539" s="701"/>
      <c r="F539" s="579"/>
      <c r="G539" s="699"/>
      <c r="H539" s="373" t="s">
        <v>940</v>
      </c>
      <c r="I539" s="331">
        <v>13</v>
      </c>
      <c r="J539" s="338">
        <v>39000</v>
      </c>
      <c r="K539" s="374">
        <f t="shared" si="27"/>
        <v>0</v>
      </c>
      <c r="L539" s="374">
        <f t="shared" si="28"/>
        <v>39000</v>
      </c>
      <c r="N539" s="325"/>
      <c r="O539" s="325"/>
      <c r="Q539" s="478"/>
      <c r="R539" s="479"/>
      <c r="S539" s="658"/>
      <c r="T539" s="290"/>
      <c r="U539" s="290"/>
      <c r="V539" s="290"/>
    </row>
    <row r="540" spans="1:22" ht="27.75" customHeight="1">
      <c r="B540" s="695" t="s">
        <v>676</v>
      </c>
      <c r="C540" s="696" t="s">
        <v>1074</v>
      </c>
      <c r="D540" s="697"/>
      <c r="E540" s="701"/>
      <c r="F540" s="579"/>
      <c r="G540" s="699"/>
      <c r="H540" s="373" t="s">
        <v>2874</v>
      </c>
      <c r="I540" s="331">
        <v>5</v>
      </c>
      <c r="J540" s="338">
        <v>15000</v>
      </c>
      <c r="K540" s="374">
        <f t="shared" si="27"/>
        <v>0</v>
      </c>
      <c r="L540" s="374">
        <f t="shared" si="28"/>
        <v>15000</v>
      </c>
      <c r="N540" s="325"/>
      <c r="O540" s="325"/>
      <c r="Q540" s="478"/>
      <c r="R540" s="479"/>
      <c r="S540" s="658"/>
      <c r="T540" s="290"/>
      <c r="U540" s="290"/>
      <c r="V540" s="290"/>
    </row>
    <row r="541" spans="1:22" ht="27.75" customHeight="1">
      <c r="B541" s="695" t="s">
        <v>676</v>
      </c>
      <c r="C541" s="696" t="s">
        <v>1074</v>
      </c>
      <c r="D541" s="697"/>
      <c r="E541" s="701"/>
      <c r="F541" s="579"/>
      <c r="G541" s="699"/>
      <c r="H541" s="373" t="s">
        <v>2053</v>
      </c>
      <c r="I541" s="331">
        <v>11</v>
      </c>
      <c r="J541" s="338">
        <v>35250</v>
      </c>
      <c r="K541" s="374">
        <f t="shared" si="27"/>
        <v>0</v>
      </c>
      <c r="L541" s="374">
        <f t="shared" si="28"/>
        <v>35250</v>
      </c>
      <c r="N541" s="325"/>
      <c r="O541" s="325"/>
      <c r="Q541" s="478"/>
      <c r="R541" s="479"/>
      <c r="S541" s="658"/>
      <c r="T541" s="290"/>
      <c r="U541" s="290"/>
      <c r="V541" s="290"/>
    </row>
    <row r="542" spans="1:22" ht="27.75" customHeight="1">
      <c r="A542" s="331">
        <v>49</v>
      </c>
      <c r="B542" s="695" t="s">
        <v>677</v>
      </c>
      <c r="C542" s="696" t="s">
        <v>1075</v>
      </c>
      <c r="D542" s="697"/>
      <c r="E542" s="701"/>
      <c r="F542" s="579"/>
      <c r="G542" s="699"/>
      <c r="H542" s="373" t="s">
        <v>2062</v>
      </c>
      <c r="I542" s="331">
        <v>9</v>
      </c>
      <c r="J542" s="338">
        <v>27000</v>
      </c>
      <c r="K542" s="374">
        <f t="shared" ref="K542:K604" si="29">G542*11.54/100</f>
        <v>0</v>
      </c>
      <c r="L542" s="374">
        <f t="shared" si="28"/>
        <v>27000</v>
      </c>
      <c r="N542" s="325"/>
      <c r="O542" s="325"/>
      <c r="Q542" s="478"/>
      <c r="R542" s="479"/>
      <c r="S542" s="658"/>
      <c r="T542" s="290"/>
      <c r="U542" s="290"/>
      <c r="V542" s="290"/>
    </row>
    <row r="543" spans="1:22" ht="27.75" customHeight="1">
      <c r="B543" s="695" t="s">
        <v>677</v>
      </c>
      <c r="C543" s="696" t="s">
        <v>1075</v>
      </c>
      <c r="D543" s="697"/>
      <c r="E543" s="701"/>
      <c r="F543" s="579"/>
      <c r="G543" s="699"/>
      <c r="H543" s="373" t="s">
        <v>2875</v>
      </c>
      <c r="I543" s="331">
        <v>2</v>
      </c>
      <c r="J543" s="338">
        <v>6000</v>
      </c>
      <c r="K543" s="374">
        <f t="shared" si="29"/>
        <v>0</v>
      </c>
      <c r="L543" s="374">
        <f t="shared" si="28"/>
        <v>6000</v>
      </c>
      <c r="N543" s="325"/>
      <c r="O543" s="325"/>
      <c r="Q543" s="478"/>
      <c r="R543" s="479"/>
      <c r="S543" s="658"/>
      <c r="T543" s="290"/>
      <c r="U543" s="290"/>
      <c r="V543" s="290"/>
    </row>
    <row r="544" spans="1:22" ht="27.75" customHeight="1">
      <c r="B544" s="695" t="s">
        <v>677</v>
      </c>
      <c r="C544" s="696" t="s">
        <v>1075</v>
      </c>
      <c r="D544" s="697"/>
      <c r="E544" s="701"/>
      <c r="F544" s="579"/>
      <c r="G544" s="699"/>
      <c r="H544" s="373" t="s">
        <v>2054</v>
      </c>
      <c r="I544" s="331">
        <v>9</v>
      </c>
      <c r="J544" s="338">
        <v>29250</v>
      </c>
      <c r="K544" s="374">
        <f t="shared" si="29"/>
        <v>0</v>
      </c>
      <c r="L544" s="374">
        <f t="shared" si="28"/>
        <v>29250</v>
      </c>
      <c r="N544" s="325"/>
      <c r="O544" s="325"/>
      <c r="Q544" s="478"/>
      <c r="R544" s="479"/>
      <c r="S544" s="658"/>
      <c r="T544" s="290"/>
      <c r="U544" s="290"/>
      <c r="V544" s="290"/>
    </row>
    <row r="545" spans="1:22" ht="27.75" customHeight="1">
      <c r="A545" s="331">
        <v>50</v>
      </c>
      <c r="B545" s="695" t="s">
        <v>1404</v>
      </c>
      <c r="C545" s="696" t="s">
        <v>1338</v>
      </c>
      <c r="D545" s="697"/>
      <c r="E545" s="701"/>
      <c r="F545" s="579"/>
      <c r="G545" s="699"/>
      <c r="H545" s="373" t="s">
        <v>1610</v>
      </c>
      <c r="I545" s="331">
        <v>7</v>
      </c>
      <c r="J545" s="338">
        <v>21000</v>
      </c>
      <c r="K545" s="374">
        <f t="shared" si="29"/>
        <v>0</v>
      </c>
      <c r="L545" s="374">
        <f t="shared" si="28"/>
        <v>21000</v>
      </c>
      <c r="N545" s="325"/>
      <c r="O545" s="325"/>
      <c r="Q545" s="478"/>
      <c r="R545" s="479"/>
      <c r="S545" s="658"/>
      <c r="T545" s="290"/>
      <c r="U545" s="290"/>
      <c r="V545" s="290"/>
    </row>
    <row r="546" spans="1:22" ht="27.75" customHeight="1">
      <c r="B546" s="695" t="s">
        <v>1404</v>
      </c>
      <c r="C546" s="696" t="s">
        <v>1338</v>
      </c>
      <c r="D546" s="697"/>
      <c r="E546" s="701"/>
      <c r="F546" s="579"/>
      <c r="G546" s="699"/>
      <c r="H546" s="373" t="s">
        <v>2876</v>
      </c>
      <c r="I546" s="331">
        <v>12</v>
      </c>
      <c r="J546" s="338">
        <v>36000</v>
      </c>
      <c r="K546" s="374">
        <f t="shared" si="29"/>
        <v>0</v>
      </c>
      <c r="L546" s="374">
        <f t="shared" si="28"/>
        <v>36000</v>
      </c>
      <c r="N546" s="325"/>
      <c r="O546" s="325"/>
      <c r="Q546" s="478"/>
      <c r="R546" s="479"/>
      <c r="S546" s="658"/>
      <c r="T546" s="290"/>
      <c r="U546" s="290"/>
      <c r="V546" s="290"/>
    </row>
    <row r="547" spans="1:22" ht="27.75" customHeight="1">
      <c r="B547" s="695" t="s">
        <v>1404</v>
      </c>
      <c r="C547" s="696" t="s">
        <v>1338</v>
      </c>
      <c r="D547" s="697"/>
      <c r="E547" s="701"/>
      <c r="F547" s="579"/>
      <c r="G547" s="699"/>
      <c r="H547" s="373" t="s">
        <v>2053</v>
      </c>
      <c r="I547" s="331">
        <v>11</v>
      </c>
      <c r="J547" s="338">
        <v>35250</v>
      </c>
      <c r="K547" s="374">
        <f t="shared" si="29"/>
        <v>0</v>
      </c>
      <c r="L547" s="374">
        <f t="shared" si="28"/>
        <v>35250</v>
      </c>
      <c r="N547" s="325"/>
      <c r="O547" s="325"/>
      <c r="Q547" s="478"/>
      <c r="R547" s="479"/>
      <c r="S547" s="658"/>
      <c r="T547" s="290"/>
      <c r="U547" s="290"/>
      <c r="V547" s="290"/>
    </row>
    <row r="548" spans="1:22" ht="27.75" customHeight="1">
      <c r="A548" s="331">
        <v>51</v>
      </c>
      <c r="B548" s="695" t="s">
        <v>1076</v>
      </c>
      <c r="C548" s="696" t="s">
        <v>1077</v>
      </c>
      <c r="D548" s="697"/>
      <c r="E548" s="701"/>
      <c r="F548" s="579"/>
      <c r="G548" s="699"/>
      <c r="H548" s="373" t="s">
        <v>1060</v>
      </c>
      <c r="I548" s="331">
        <v>8</v>
      </c>
      <c r="J548" s="338">
        <v>24000</v>
      </c>
      <c r="K548" s="374">
        <f t="shared" si="29"/>
        <v>0</v>
      </c>
      <c r="L548" s="374">
        <f t="shared" si="28"/>
        <v>24000</v>
      </c>
      <c r="N548" s="325"/>
      <c r="O548" s="325"/>
      <c r="Q548" s="478"/>
      <c r="R548" s="479"/>
      <c r="S548" s="658"/>
      <c r="T548" s="290"/>
      <c r="U548" s="290"/>
      <c r="V548" s="290"/>
    </row>
    <row r="549" spans="1:22" ht="27.75" customHeight="1">
      <c r="A549" s="331">
        <v>52</v>
      </c>
      <c r="B549" s="695" t="s">
        <v>1339</v>
      </c>
      <c r="C549" s="696" t="s">
        <v>1340</v>
      </c>
      <c r="D549" s="697"/>
      <c r="E549" s="701"/>
      <c r="F549" s="579"/>
      <c r="G549" s="699"/>
      <c r="H549" s="373" t="s">
        <v>1078</v>
      </c>
      <c r="I549" s="331">
        <v>11</v>
      </c>
      <c r="J549" s="338">
        <v>33000</v>
      </c>
      <c r="K549" s="374">
        <f t="shared" si="29"/>
        <v>0</v>
      </c>
      <c r="L549" s="374">
        <f t="shared" si="28"/>
        <v>33000</v>
      </c>
      <c r="N549" s="325"/>
      <c r="O549" s="325"/>
      <c r="Q549" s="478"/>
      <c r="R549" s="479"/>
      <c r="S549" s="658"/>
      <c r="T549" s="290"/>
      <c r="U549" s="290"/>
      <c r="V549" s="290"/>
    </row>
    <row r="550" spans="1:22" ht="27.75" customHeight="1">
      <c r="B550" s="695" t="s">
        <v>1339</v>
      </c>
      <c r="C550" s="696" t="s">
        <v>1340</v>
      </c>
      <c r="D550" s="697"/>
      <c r="E550" s="701"/>
      <c r="F550" s="579"/>
      <c r="G550" s="699"/>
      <c r="H550" s="373" t="s">
        <v>2874</v>
      </c>
      <c r="I550" s="331">
        <v>5</v>
      </c>
      <c r="J550" s="338">
        <v>15000</v>
      </c>
      <c r="K550" s="374">
        <f t="shared" si="29"/>
        <v>0</v>
      </c>
      <c r="L550" s="374">
        <f t="shared" ref="L550:L863" si="30">+J550</f>
        <v>15000</v>
      </c>
      <c r="N550" s="325"/>
      <c r="O550" s="325"/>
      <c r="Q550" s="478"/>
      <c r="R550" s="479"/>
      <c r="S550" s="658"/>
      <c r="T550" s="290"/>
      <c r="U550" s="290"/>
      <c r="V550" s="290"/>
    </row>
    <row r="551" spans="1:22" ht="27.75" customHeight="1">
      <c r="B551" s="695" t="s">
        <v>1339</v>
      </c>
      <c r="C551" s="696" t="s">
        <v>1340</v>
      </c>
      <c r="D551" s="697"/>
      <c r="E551" s="701"/>
      <c r="F551" s="579"/>
      <c r="G551" s="699"/>
      <c r="H551" s="373" t="s">
        <v>2053</v>
      </c>
      <c r="I551" s="331">
        <v>11</v>
      </c>
      <c r="J551" s="338">
        <v>35250</v>
      </c>
      <c r="K551" s="374">
        <f t="shared" si="29"/>
        <v>0</v>
      </c>
      <c r="L551" s="374">
        <f t="shared" si="30"/>
        <v>35250</v>
      </c>
      <c r="N551" s="325"/>
      <c r="O551" s="325"/>
      <c r="Q551" s="478"/>
      <c r="R551" s="479"/>
      <c r="S551" s="658"/>
      <c r="T551" s="290"/>
      <c r="U551" s="290"/>
      <c r="V551" s="290"/>
    </row>
    <row r="552" spans="1:22" ht="27.75" customHeight="1">
      <c r="A552" s="331">
        <v>53</v>
      </c>
      <c r="B552" s="695" t="s">
        <v>678</v>
      </c>
      <c r="C552" s="696" t="s">
        <v>679</v>
      </c>
      <c r="D552" s="697"/>
      <c r="E552" s="701"/>
      <c r="F552" s="579"/>
      <c r="G552" s="699"/>
      <c r="H552" s="373" t="s">
        <v>1142</v>
      </c>
      <c r="I552" s="331">
        <v>11</v>
      </c>
      <c r="J552" s="338">
        <v>33000</v>
      </c>
      <c r="K552" s="374">
        <f t="shared" si="29"/>
        <v>0</v>
      </c>
      <c r="L552" s="374">
        <f t="shared" si="30"/>
        <v>33000</v>
      </c>
      <c r="N552" s="325"/>
      <c r="O552" s="325"/>
      <c r="Q552" s="478"/>
      <c r="R552" s="479"/>
      <c r="S552" s="658"/>
      <c r="T552" s="290"/>
      <c r="U552" s="290"/>
      <c r="V552" s="290"/>
    </row>
    <row r="553" spans="1:22" ht="27.75" customHeight="1">
      <c r="B553" s="695" t="s">
        <v>678</v>
      </c>
      <c r="C553" s="696" t="s">
        <v>679</v>
      </c>
      <c r="D553" s="697"/>
      <c r="E553" s="701"/>
      <c r="F553" s="579"/>
      <c r="G553" s="699"/>
      <c r="H553" s="373" t="s">
        <v>1514</v>
      </c>
      <c r="I553" s="331">
        <v>1</v>
      </c>
      <c r="J553" s="338">
        <v>3000</v>
      </c>
      <c r="K553" s="374">
        <f t="shared" si="29"/>
        <v>0</v>
      </c>
      <c r="L553" s="374">
        <f t="shared" si="30"/>
        <v>3000</v>
      </c>
      <c r="N553" s="325"/>
      <c r="O553" s="325"/>
      <c r="Q553" s="478"/>
      <c r="R553" s="479"/>
      <c r="S553" s="658"/>
      <c r="T553" s="290"/>
      <c r="U553" s="290"/>
      <c r="V553" s="290"/>
    </row>
    <row r="554" spans="1:22" ht="27.75" customHeight="1">
      <c r="B554" s="695" t="s">
        <v>678</v>
      </c>
      <c r="C554" s="696" t="s">
        <v>679</v>
      </c>
      <c r="D554" s="697"/>
      <c r="E554" s="701"/>
      <c r="F554" s="579"/>
      <c r="G554" s="699"/>
      <c r="H554" s="373" t="s">
        <v>2053</v>
      </c>
      <c r="I554" s="331">
        <v>11</v>
      </c>
      <c r="J554" s="338">
        <v>35250</v>
      </c>
      <c r="K554" s="374">
        <f t="shared" si="29"/>
        <v>0</v>
      </c>
      <c r="L554" s="374">
        <f t="shared" si="30"/>
        <v>35250</v>
      </c>
      <c r="N554" s="325"/>
      <c r="O554" s="325"/>
      <c r="Q554" s="478"/>
      <c r="R554" s="479"/>
      <c r="S554" s="658"/>
      <c r="T554" s="290"/>
      <c r="U554" s="290"/>
      <c r="V554" s="290"/>
    </row>
    <row r="555" spans="1:22" ht="27.75" customHeight="1">
      <c r="A555" s="331">
        <v>54</v>
      </c>
      <c r="B555" s="695" t="s">
        <v>1021</v>
      </c>
      <c r="C555" s="696" t="s">
        <v>614</v>
      </c>
      <c r="D555" s="697"/>
      <c r="E555" s="701"/>
      <c r="F555" s="579"/>
      <c r="G555" s="699"/>
      <c r="H555" s="373" t="s">
        <v>2053</v>
      </c>
      <c r="I555" s="331">
        <v>11</v>
      </c>
      <c r="J555" s="338">
        <v>35250</v>
      </c>
      <c r="K555" s="374">
        <f t="shared" si="29"/>
        <v>0</v>
      </c>
      <c r="L555" s="374">
        <f t="shared" si="30"/>
        <v>35250</v>
      </c>
      <c r="N555" s="325"/>
      <c r="O555" s="325"/>
      <c r="Q555" s="478"/>
      <c r="R555" s="479"/>
      <c r="S555" s="658"/>
      <c r="T555" s="290"/>
      <c r="U555" s="290"/>
      <c r="V555" s="290"/>
    </row>
    <row r="556" spans="1:22" ht="27.75" customHeight="1">
      <c r="A556" s="331">
        <v>55</v>
      </c>
      <c r="B556" s="695" t="s">
        <v>1079</v>
      </c>
      <c r="C556" s="696" t="s">
        <v>1080</v>
      </c>
      <c r="D556" s="697"/>
      <c r="E556" s="701"/>
      <c r="F556" s="579"/>
      <c r="G556" s="699"/>
      <c r="H556" s="373" t="s">
        <v>941</v>
      </c>
      <c r="I556" s="331">
        <v>10</v>
      </c>
      <c r="J556" s="338">
        <v>30000</v>
      </c>
      <c r="K556" s="374">
        <f t="shared" si="29"/>
        <v>0</v>
      </c>
      <c r="L556" s="374">
        <f t="shared" si="30"/>
        <v>30000</v>
      </c>
      <c r="N556" s="325"/>
      <c r="O556" s="325"/>
      <c r="Q556" s="478"/>
      <c r="R556" s="479"/>
      <c r="S556" s="658"/>
      <c r="T556" s="290"/>
      <c r="U556" s="290"/>
      <c r="V556" s="290"/>
    </row>
    <row r="557" spans="1:22" ht="27.75" customHeight="1">
      <c r="B557" s="695" t="s">
        <v>1079</v>
      </c>
      <c r="C557" s="696" t="s">
        <v>1080</v>
      </c>
      <c r="D557" s="697"/>
      <c r="E557" s="701"/>
      <c r="F557" s="579"/>
      <c r="G557" s="699"/>
      <c r="H557" s="373" t="s">
        <v>2874</v>
      </c>
      <c r="I557" s="331">
        <v>5</v>
      </c>
      <c r="J557" s="338">
        <v>15000</v>
      </c>
      <c r="K557" s="374">
        <f t="shared" si="29"/>
        <v>0</v>
      </c>
      <c r="L557" s="374">
        <f t="shared" si="30"/>
        <v>15000</v>
      </c>
      <c r="N557" s="325"/>
      <c r="O557" s="325"/>
      <c r="Q557" s="478"/>
      <c r="R557" s="479"/>
      <c r="S557" s="658"/>
      <c r="T557" s="290"/>
      <c r="U557" s="290"/>
      <c r="V557" s="290"/>
    </row>
    <row r="558" spans="1:22" ht="27.75" customHeight="1">
      <c r="B558" s="695" t="s">
        <v>1079</v>
      </c>
      <c r="C558" s="696" t="s">
        <v>1080</v>
      </c>
      <c r="D558" s="697"/>
      <c r="E558" s="701"/>
      <c r="F558" s="579"/>
      <c r="G558" s="699"/>
      <c r="H558" s="373" t="s">
        <v>2053</v>
      </c>
      <c r="I558" s="331">
        <v>11</v>
      </c>
      <c r="J558" s="338">
        <v>35250</v>
      </c>
      <c r="K558" s="374">
        <f t="shared" si="29"/>
        <v>0</v>
      </c>
      <c r="L558" s="374">
        <f t="shared" si="30"/>
        <v>35250</v>
      </c>
      <c r="N558" s="325"/>
      <c r="O558" s="325"/>
      <c r="Q558" s="478"/>
      <c r="R558" s="479"/>
      <c r="S558" s="658"/>
      <c r="T558" s="290"/>
      <c r="U558" s="290"/>
      <c r="V558" s="290"/>
    </row>
    <row r="559" spans="1:22" ht="27.75" customHeight="1">
      <c r="A559" s="331">
        <v>56</v>
      </c>
      <c r="B559" s="695" t="s">
        <v>735</v>
      </c>
      <c r="C559" s="696" t="s">
        <v>802</v>
      </c>
      <c r="D559" s="697"/>
      <c r="E559" s="701"/>
      <c r="F559" s="579"/>
      <c r="G559" s="699"/>
      <c r="H559" s="373" t="s">
        <v>1139</v>
      </c>
      <c r="I559" s="331">
        <v>9</v>
      </c>
      <c r="J559" s="338">
        <v>27000</v>
      </c>
      <c r="K559" s="374">
        <f t="shared" si="29"/>
        <v>0</v>
      </c>
      <c r="L559" s="374">
        <f t="shared" si="30"/>
        <v>27000</v>
      </c>
      <c r="N559" s="325"/>
      <c r="O559" s="325"/>
      <c r="Q559" s="478"/>
      <c r="R559" s="479"/>
      <c r="S559" s="658"/>
      <c r="T559" s="290"/>
      <c r="U559" s="290"/>
      <c r="V559" s="290"/>
    </row>
    <row r="560" spans="1:22" ht="27.75" customHeight="1">
      <c r="A560" s="331">
        <v>57</v>
      </c>
      <c r="B560" s="695" t="s">
        <v>680</v>
      </c>
      <c r="C560" s="696" t="s">
        <v>615</v>
      </c>
      <c r="D560" s="697"/>
      <c r="E560" s="701"/>
      <c r="F560" s="579"/>
      <c r="G560" s="699"/>
      <c r="H560" s="373" t="s">
        <v>1142</v>
      </c>
      <c r="I560" s="331">
        <v>11</v>
      </c>
      <c r="J560" s="338">
        <v>33000</v>
      </c>
      <c r="K560" s="374">
        <f t="shared" si="29"/>
        <v>0</v>
      </c>
      <c r="L560" s="374">
        <f t="shared" si="30"/>
        <v>33000</v>
      </c>
      <c r="N560" s="325"/>
      <c r="O560" s="325"/>
      <c r="Q560" s="478"/>
      <c r="R560" s="479"/>
      <c r="S560" s="658"/>
      <c r="T560" s="290"/>
      <c r="U560" s="290"/>
      <c r="V560" s="290"/>
    </row>
    <row r="561" spans="1:22" ht="27.75" customHeight="1">
      <c r="B561" s="695" t="s">
        <v>680</v>
      </c>
      <c r="C561" s="696" t="s">
        <v>615</v>
      </c>
      <c r="D561" s="697"/>
      <c r="E561" s="701"/>
      <c r="F561" s="579"/>
      <c r="G561" s="699"/>
      <c r="H561" s="373" t="s">
        <v>1514</v>
      </c>
      <c r="I561" s="331">
        <v>1</v>
      </c>
      <c r="J561" s="338">
        <v>3000</v>
      </c>
      <c r="K561" s="374">
        <f t="shared" si="29"/>
        <v>0</v>
      </c>
      <c r="L561" s="374">
        <f t="shared" si="30"/>
        <v>3000</v>
      </c>
      <c r="N561" s="325"/>
      <c r="O561" s="325"/>
      <c r="Q561" s="478"/>
      <c r="R561" s="479"/>
      <c r="S561" s="658"/>
      <c r="T561" s="290"/>
      <c r="U561" s="290"/>
      <c r="V561" s="290"/>
    </row>
    <row r="562" spans="1:22" ht="27.75" customHeight="1">
      <c r="B562" s="695" t="s">
        <v>680</v>
      </c>
      <c r="C562" s="696" t="s">
        <v>615</v>
      </c>
      <c r="D562" s="697"/>
      <c r="E562" s="701"/>
      <c r="F562" s="579"/>
      <c r="G562" s="699"/>
      <c r="H562" s="373" t="s">
        <v>2053</v>
      </c>
      <c r="I562" s="331">
        <v>11</v>
      </c>
      <c r="J562" s="338">
        <v>35250</v>
      </c>
      <c r="K562" s="374">
        <f t="shared" si="29"/>
        <v>0</v>
      </c>
      <c r="L562" s="374">
        <f t="shared" si="30"/>
        <v>35250</v>
      </c>
      <c r="N562" s="325"/>
      <c r="O562" s="325"/>
      <c r="Q562" s="478"/>
      <c r="R562" s="479"/>
      <c r="S562" s="658"/>
      <c r="T562" s="290"/>
      <c r="U562" s="290"/>
      <c r="V562" s="290"/>
    </row>
    <row r="563" spans="1:22" ht="27.75" customHeight="1">
      <c r="A563" s="331">
        <v>58</v>
      </c>
      <c r="B563" s="695" t="s">
        <v>1341</v>
      </c>
      <c r="C563" s="696" t="s">
        <v>1342</v>
      </c>
      <c r="D563" s="697"/>
      <c r="E563" s="701"/>
      <c r="F563" s="579"/>
      <c r="G563" s="699"/>
      <c r="H563" s="373" t="s">
        <v>1081</v>
      </c>
      <c r="I563" s="331">
        <v>8</v>
      </c>
      <c r="J563" s="338">
        <v>24000</v>
      </c>
      <c r="K563" s="374">
        <f t="shared" si="29"/>
        <v>0</v>
      </c>
      <c r="L563" s="374">
        <f t="shared" si="30"/>
        <v>24000</v>
      </c>
      <c r="N563" s="325"/>
      <c r="O563" s="325"/>
      <c r="Q563" s="478"/>
      <c r="R563" s="479"/>
      <c r="S563" s="658"/>
      <c r="T563" s="290"/>
      <c r="U563" s="290"/>
      <c r="V563" s="290"/>
    </row>
    <row r="564" spans="1:22" ht="27.75" customHeight="1">
      <c r="B564" s="695" t="s">
        <v>1341</v>
      </c>
      <c r="C564" s="696" t="s">
        <v>1342</v>
      </c>
      <c r="D564" s="697"/>
      <c r="E564" s="701"/>
      <c r="F564" s="579"/>
      <c r="G564" s="699"/>
      <c r="H564" s="373" t="s">
        <v>2876</v>
      </c>
      <c r="I564" s="331">
        <v>12</v>
      </c>
      <c r="J564" s="338">
        <v>36000</v>
      </c>
      <c r="K564" s="374">
        <f t="shared" si="29"/>
        <v>0</v>
      </c>
      <c r="L564" s="374">
        <f t="shared" si="30"/>
        <v>36000</v>
      </c>
      <c r="N564" s="325"/>
      <c r="O564" s="325"/>
      <c r="Q564" s="478"/>
      <c r="R564" s="479"/>
      <c r="S564" s="658"/>
      <c r="T564" s="290"/>
      <c r="U564" s="290"/>
      <c r="V564" s="290"/>
    </row>
    <row r="565" spans="1:22" ht="27.75" customHeight="1">
      <c r="B565" s="695" t="s">
        <v>1341</v>
      </c>
      <c r="C565" s="696" t="s">
        <v>1342</v>
      </c>
      <c r="D565" s="697"/>
      <c r="E565" s="701"/>
      <c r="F565" s="579"/>
      <c r="G565" s="699"/>
      <c r="H565" s="373" t="s">
        <v>2053</v>
      </c>
      <c r="I565" s="331">
        <v>11</v>
      </c>
      <c r="J565" s="338">
        <v>35250</v>
      </c>
      <c r="K565" s="374">
        <f t="shared" si="29"/>
        <v>0</v>
      </c>
      <c r="L565" s="374">
        <f t="shared" si="30"/>
        <v>35250</v>
      </c>
      <c r="N565" s="325"/>
      <c r="O565" s="325"/>
      <c r="Q565" s="478"/>
      <c r="R565" s="479"/>
      <c r="S565" s="658"/>
      <c r="T565" s="290"/>
      <c r="U565" s="290"/>
      <c r="V565" s="290"/>
    </row>
    <row r="566" spans="1:22" ht="27.75" customHeight="1">
      <c r="A566" s="331">
        <v>59</v>
      </c>
      <c r="B566" s="695" t="s">
        <v>1777</v>
      </c>
      <c r="C566" s="696" t="s">
        <v>2253</v>
      </c>
      <c r="D566" s="697"/>
      <c r="E566" s="701"/>
      <c r="F566" s="579"/>
      <c r="G566" s="699"/>
      <c r="H566" s="373" t="s">
        <v>2061</v>
      </c>
      <c r="I566" s="331">
        <v>5</v>
      </c>
      <c r="J566" s="338">
        <v>17250</v>
      </c>
      <c r="K566" s="374">
        <f t="shared" si="29"/>
        <v>0</v>
      </c>
      <c r="L566" s="374">
        <f t="shared" si="30"/>
        <v>17250</v>
      </c>
      <c r="N566" s="325"/>
      <c r="O566" s="325"/>
      <c r="Q566" s="478"/>
      <c r="R566" s="479"/>
      <c r="S566" s="658"/>
      <c r="T566" s="290"/>
      <c r="U566" s="290"/>
      <c r="V566" s="290"/>
    </row>
    <row r="567" spans="1:22" ht="27.75" customHeight="1">
      <c r="A567" s="331">
        <v>60</v>
      </c>
      <c r="B567" s="695" t="s">
        <v>1778</v>
      </c>
      <c r="C567" s="696" t="s">
        <v>1779</v>
      </c>
      <c r="D567" s="697"/>
      <c r="E567" s="701"/>
      <c r="F567" s="579"/>
      <c r="G567" s="699"/>
      <c r="H567" s="373" t="s">
        <v>2061</v>
      </c>
      <c r="I567" s="331">
        <v>5</v>
      </c>
      <c r="J567" s="338">
        <v>17250</v>
      </c>
      <c r="K567" s="374">
        <f t="shared" si="29"/>
        <v>0</v>
      </c>
      <c r="L567" s="374">
        <f t="shared" si="30"/>
        <v>17250</v>
      </c>
      <c r="N567" s="325"/>
      <c r="O567" s="325"/>
      <c r="Q567" s="478"/>
      <c r="R567" s="479"/>
      <c r="S567" s="658"/>
      <c r="T567" s="290"/>
      <c r="U567" s="290"/>
      <c r="V567" s="290"/>
    </row>
    <row r="568" spans="1:22" ht="27.75" customHeight="1">
      <c r="A568" s="331">
        <v>61</v>
      </c>
      <c r="B568" s="695" t="s">
        <v>681</v>
      </c>
      <c r="C568" s="696" t="s">
        <v>682</v>
      </c>
      <c r="D568" s="697"/>
      <c r="E568" s="701"/>
      <c r="F568" s="579"/>
      <c r="G568" s="699"/>
      <c r="H568" s="373" t="s">
        <v>1139</v>
      </c>
      <c r="I568" s="331">
        <v>9</v>
      </c>
      <c r="J568" s="338">
        <v>27000</v>
      </c>
      <c r="K568" s="374">
        <f t="shared" si="29"/>
        <v>0</v>
      </c>
      <c r="L568" s="374">
        <f t="shared" si="30"/>
        <v>27000</v>
      </c>
      <c r="N568" s="325"/>
      <c r="O568" s="325"/>
      <c r="Q568" s="478"/>
      <c r="R568" s="479"/>
      <c r="S568" s="658"/>
      <c r="T568" s="290"/>
      <c r="U568" s="290"/>
      <c r="V568" s="290"/>
    </row>
    <row r="569" spans="1:22" ht="27.75" customHeight="1">
      <c r="B569" s="695" t="s">
        <v>681</v>
      </c>
      <c r="C569" s="696" t="s">
        <v>682</v>
      </c>
      <c r="D569" s="697"/>
      <c r="E569" s="701"/>
      <c r="F569" s="579"/>
      <c r="G569" s="699"/>
      <c r="H569" s="373" t="s">
        <v>1514</v>
      </c>
      <c r="I569" s="331">
        <v>1</v>
      </c>
      <c r="J569" s="338">
        <v>3000</v>
      </c>
      <c r="K569" s="374">
        <f t="shared" si="29"/>
        <v>0</v>
      </c>
      <c r="L569" s="374">
        <f t="shared" si="30"/>
        <v>3000</v>
      </c>
      <c r="N569" s="325"/>
      <c r="O569" s="325"/>
      <c r="Q569" s="478"/>
      <c r="R569" s="479"/>
      <c r="S569" s="658"/>
      <c r="T569" s="290"/>
      <c r="U569" s="290"/>
      <c r="V569" s="290"/>
    </row>
    <row r="570" spans="1:22" ht="27.75" customHeight="1">
      <c r="B570" s="695" t="s">
        <v>681</v>
      </c>
      <c r="C570" s="696" t="s">
        <v>682</v>
      </c>
      <c r="D570" s="697"/>
      <c r="E570" s="701"/>
      <c r="F570" s="579"/>
      <c r="G570" s="699"/>
      <c r="H570" s="373" t="s">
        <v>2053</v>
      </c>
      <c r="I570" s="331">
        <v>11</v>
      </c>
      <c r="J570" s="338">
        <v>35250</v>
      </c>
      <c r="K570" s="374">
        <f t="shared" si="29"/>
        <v>0</v>
      </c>
      <c r="L570" s="374">
        <f t="shared" si="30"/>
        <v>35250</v>
      </c>
      <c r="N570" s="325"/>
      <c r="O570" s="325"/>
      <c r="Q570" s="478"/>
      <c r="R570" s="479"/>
      <c r="S570" s="658"/>
      <c r="T570" s="290"/>
      <c r="U570" s="290"/>
      <c r="V570" s="290"/>
    </row>
    <row r="571" spans="1:22" ht="27.75" customHeight="1">
      <c r="A571" s="331">
        <v>62</v>
      </c>
      <c r="B571" s="695" t="s">
        <v>1082</v>
      </c>
      <c r="C571" s="696" t="s">
        <v>1083</v>
      </c>
      <c r="D571" s="697"/>
      <c r="E571" s="701"/>
      <c r="F571" s="579"/>
      <c r="G571" s="699"/>
      <c r="H571" s="373" t="s">
        <v>938</v>
      </c>
      <c r="I571" s="331">
        <v>12</v>
      </c>
      <c r="J571" s="338">
        <v>36000</v>
      </c>
      <c r="K571" s="374">
        <f t="shared" si="29"/>
        <v>0</v>
      </c>
      <c r="L571" s="374">
        <f t="shared" si="30"/>
        <v>36000</v>
      </c>
      <c r="N571" s="325"/>
      <c r="O571" s="325"/>
      <c r="Q571" s="478"/>
      <c r="R571" s="479"/>
      <c r="S571" s="658"/>
      <c r="T571" s="290"/>
      <c r="U571" s="290"/>
      <c r="V571" s="290"/>
    </row>
    <row r="572" spans="1:22" ht="27.75" customHeight="1">
      <c r="B572" s="695" t="s">
        <v>1082</v>
      </c>
      <c r="C572" s="696" t="s">
        <v>1083</v>
      </c>
      <c r="D572" s="697"/>
      <c r="E572" s="701"/>
      <c r="F572" s="579"/>
      <c r="G572" s="699"/>
      <c r="H572" s="373" t="s">
        <v>2874</v>
      </c>
      <c r="I572" s="331">
        <v>5</v>
      </c>
      <c r="J572" s="338">
        <v>15000</v>
      </c>
      <c r="K572" s="374">
        <f t="shared" si="29"/>
        <v>0</v>
      </c>
      <c r="L572" s="374">
        <f t="shared" si="30"/>
        <v>15000</v>
      </c>
      <c r="N572" s="325"/>
      <c r="O572" s="325"/>
      <c r="Q572" s="478"/>
      <c r="R572" s="479"/>
      <c r="S572" s="658"/>
      <c r="T572" s="290"/>
      <c r="U572" s="290"/>
      <c r="V572" s="290"/>
    </row>
    <row r="573" spans="1:22" ht="27.75" customHeight="1">
      <c r="B573" s="695" t="s">
        <v>1082</v>
      </c>
      <c r="C573" s="696" t="s">
        <v>1083</v>
      </c>
      <c r="D573" s="697"/>
      <c r="E573" s="701"/>
      <c r="F573" s="579"/>
      <c r="G573" s="699"/>
      <c r="H573" s="373" t="s">
        <v>2053</v>
      </c>
      <c r="I573" s="331">
        <v>11</v>
      </c>
      <c r="J573" s="338">
        <v>35250</v>
      </c>
      <c r="K573" s="374">
        <f t="shared" si="29"/>
        <v>0</v>
      </c>
      <c r="L573" s="374">
        <f t="shared" si="30"/>
        <v>35250</v>
      </c>
      <c r="N573" s="325"/>
      <c r="O573" s="325"/>
      <c r="Q573" s="478"/>
      <c r="R573" s="479"/>
      <c r="S573" s="658"/>
      <c r="T573" s="290"/>
      <c r="U573" s="290"/>
      <c r="V573" s="290"/>
    </row>
    <row r="574" spans="1:22" ht="27.75" customHeight="1">
      <c r="A574" s="331">
        <v>63</v>
      </c>
      <c r="B574" s="695" t="s">
        <v>1058</v>
      </c>
      <c r="C574" s="696" t="s">
        <v>1059</v>
      </c>
      <c r="D574" s="697"/>
      <c r="E574" s="701"/>
      <c r="F574" s="579"/>
      <c r="G574" s="699"/>
      <c r="H574" s="373" t="s">
        <v>1060</v>
      </c>
      <c r="I574" s="331">
        <v>8</v>
      </c>
      <c r="J574" s="338">
        <v>24000</v>
      </c>
      <c r="K574" s="374">
        <f t="shared" si="29"/>
        <v>0</v>
      </c>
      <c r="L574" s="374">
        <f t="shared" si="30"/>
        <v>24000</v>
      </c>
      <c r="N574" s="325"/>
      <c r="O574" s="325"/>
      <c r="Q574" s="478"/>
      <c r="R574" s="479"/>
      <c r="S574" s="658"/>
      <c r="T574" s="290"/>
      <c r="U574" s="290"/>
      <c r="V574" s="290"/>
    </row>
    <row r="575" spans="1:22" ht="27.75" customHeight="1">
      <c r="B575" s="695" t="s">
        <v>1058</v>
      </c>
      <c r="C575" s="696" t="s">
        <v>1059</v>
      </c>
      <c r="D575" s="697"/>
      <c r="E575" s="701"/>
      <c r="F575" s="579"/>
      <c r="G575" s="699"/>
      <c r="H575" s="373" t="s">
        <v>2875</v>
      </c>
      <c r="I575" s="331">
        <v>2</v>
      </c>
      <c r="J575" s="338">
        <v>6000</v>
      </c>
      <c r="K575" s="374">
        <f t="shared" si="29"/>
        <v>0</v>
      </c>
      <c r="L575" s="374">
        <f t="shared" si="30"/>
        <v>6000</v>
      </c>
      <c r="N575" s="325"/>
      <c r="O575" s="325"/>
      <c r="Q575" s="478"/>
      <c r="R575" s="479"/>
      <c r="S575" s="658"/>
      <c r="T575" s="290"/>
      <c r="U575" s="290"/>
      <c r="V575" s="290"/>
    </row>
    <row r="576" spans="1:22" ht="27.75" customHeight="1">
      <c r="B576" s="695" t="s">
        <v>1058</v>
      </c>
      <c r="C576" s="696" t="s">
        <v>1059</v>
      </c>
      <c r="D576" s="697"/>
      <c r="E576" s="701"/>
      <c r="F576" s="579"/>
      <c r="G576" s="699"/>
      <c r="H576" s="373" t="s">
        <v>2063</v>
      </c>
      <c r="I576" s="331">
        <v>3</v>
      </c>
      <c r="J576" s="338">
        <v>10350</v>
      </c>
      <c r="K576" s="374">
        <f t="shared" si="29"/>
        <v>0</v>
      </c>
      <c r="L576" s="374">
        <f t="shared" si="30"/>
        <v>10350</v>
      </c>
      <c r="N576" s="325"/>
      <c r="O576" s="325"/>
      <c r="Q576" s="478"/>
      <c r="R576" s="479"/>
      <c r="S576" s="658"/>
      <c r="T576" s="290"/>
      <c r="U576" s="290"/>
      <c r="V576" s="290"/>
    </row>
    <row r="577" spans="1:22" ht="27.75" customHeight="1">
      <c r="A577" s="331">
        <v>64</v>
      </c>
      <c r="B577" s="695" t="s">
        <v>1022</v>
      </c>
      <c r="C577" s="696" t="s">
        <v>1023</v>
      </c>
      <c r="D577" s="697"/>
      <c r="E577" s="701"/>
      <c r="F577" s="579"/>
      <c r="G577" s="699"/>
      <c r="H577" s="373" t="s">
        <v>2064</v>
      </c>
      <c r="I577" s="331">
        <v>15</v>
      </c>
      <c r="J577" s="338">
        <v>47250</v>
      </c>
      <c r="K577" s="374">
        <f t="shared" si="29"/>
        <v>0</v>
      </c>
      <c r="L577" s="374">
        <f t="shared" si="30"/>
        <v>47250</v>
      </c>
      <c r="N577" s="325"/>
      <c r="O577" s="325"/>
      <c r="Q577" s="478"/>
      <c r="R577" s="479"/>
      <c r="S577" s="658"/>
      <c r="T577" s="290"/>
      <c r="U577" s="290"/>
      <c r="V577" s="290"/>
    </row>
    <row r="578" spans="1:22" ht="27.75" customHeight="1">
      <c r="A578" s="331">
        <v>65</v>
      </c>
      <c r="B578" s="695" t="s">
        <v>683</v>
      </c>
      <c r="C578" s="696" t="s">
        <v>684</v>
      </c>
      <c r="D578" s="697"/>
      <c r="E578" s="701"/>
      <c r="F578" s="579"/>
      <c r="G578" s="699"/>
      <c r="H578" s="373" t="s">
        <v>1611</v>
      </c>
      <c r="I578" s="331">
        <v>10</v>
      </c>
      <c r="J578" s="338">
        <v>30000</v>
      </c>
      <c r="K578" s="374">
        <f t="shared" si="29"/>
        <v>0</v>
      </c>
      <c r="L578" s="374">
        <f t="shared" si="30"/>
        <v>30000</v>
      </c>
      <c r="N578" s="325"/>
      <c r="O578" s="325"/>
      <c r="Q578" s="478"/>
      <c r="R578" s="479"/>
      <c r="S578" s="658"/>
      <c r="T578" s="290"/>
      <c r="U578" s="290"/>
      <c r="V578" s="290"/>
    </row>
    <row r="579" spans="1:22" ht="27.75" customHeight="1">
      <c r="B579" s="695" t="s">
        <v>683</v>
      </c>
      <c r="C579" s="696" t="s">
        <v>684</v>
      </c>
      <c r="D579" s="697"/>
      <c r="E579" s="701"/>
      <c r="F579" s="579"/>
      <c r="G579" s="699"/>
      <c r="H579" s="373" t="s">
        <v>2053</v>
      </c>
      <c r="I579" s="331">
        <v>11</v>
      </c>
      <c r="J579" s="338">
        <v>35250</v>
      </c>
      <c r="K579" s="374">
        <f t="shared" si="29"/>
        <v>0</v>
      </c>
      <c r="L579" s="374">
        <f t="shared" si="30"/>
        <v>35250</v>
      </c>
      <c r="N579" s="325"/>
      <c r="O579" s="325"/>
      <c r="Q579" s="478"/>
      <c r="R579" s="479"/>
      <c r="S579" s="658"/>
      <c r="T579" s="290"/>
      <c r="U579" s="290"/>
      <c r="V579" s="290"/>
    </row>
    <row r="580" spans="1:22" ht="27.75" customHeight="1">
      <c r="A580" s="331">
        <v>66</v>
      </c>
      <c r="B580" s="695" t="s">
        <v>685</v>
      </c>
      <c r="C580" s="696" t="s">
        <v>686</v>
      </c>
      <c r="D580" s="697"/>
      <c r="E580" s="701"/>
      <c r="F580" s="579"/>
      <c r="G580" s="699"/>
      <c r="H580" s="373" t="s">
        <v>2056</v>
      </c>
      <c r="I580" s="331">
        <v>10</v>
      </c>
      <c r="J580" s="338">
        <v>32250</v>
      </c>
      <c r="K580" s="374">
        <f t="shared" si="29"/>
        <v>0</v>
      </c>
      <c r="L580" s="374">
        <f t="shared" si="30"/>
        <v>32250</v>
      </c>
      <c r="N580" s="325"/>
      <c r="O580" s="325"/>
      <c r="Q580" s="478"/>
      <c r="R580" s="479"/>
      <c r="S580" s="658"/>
      <c r="T580" s="290"/>
      <c r="U580" s="290"/>
      <c r="V580" s="290"/>
    </row>
    <row r="581" spans="1:22" ht="27.75" customHeight="1">
      <c r="A581" s="331">
        <v>67</v>
      </c>
      <c r="B581" s="695" t="s">
        <v>1343</v>
      </c>
      <c r="C581" s="696" t="s">
        <v>1344</v>
      </c>
      <c r="D581" s="697"/>
      <c r="E581" s="701"/>
      <c r="F581" s="579"/>
      <c r="G581" s="699"/>
      <c r="H581" s="373" t="s">
        <v>1612</v>
      </c>
      <c r="I581" s="331">
        <v>16</v>
      </c>
      <c r="J581" s="338">
        <v>48000</v>
      </c>
      <c r="K581" s="374">
        <f t="shared" si="29"/>
        <v>0</v>
      </c>
      <c r="L581" s="374">
        <f t="shared" si="30"/>
        <v>48000</v>
      </c>
      <c r="N581" s="325"/>
      <c r="O581" s="325"/>
      <c r="Q581" s="478"/>
      <c r="R581" s="479"/>
      <c r="S581" s="658"/>
      <c r="T581" s="290"/>
      <c r="U581" s="290"/>
      <c r="V581" s="290"/>
    </row>
    <row r="582" spans="1:22" ht="27.75" customHeight="1">
      <c r="B582" s="695" t="s">
        <v>1343</v>
      </c>
      <c r="C582" s="696" t="s">
        <v>1344</v>
      </c>
      <c r="D582" s="697"/>
      <c r="E582" s="701"/>
      <c r="F582" s="579"/>
      <c r="G582" s="699"/>
      <c r="H582" s="373" t="s">
        <v>2874</v>
      </c>
      <c r="I582" s="331">
        <v>5</v>
      </c>
      <c r="J582" s="338">
        <v>15000</v>
      </c>
      <c r="K582" s="374">
        <f t="shared" si="29"/>
        <v>0</v>
      </c>
      <c r="L582" s="374">
        <f t="shared" si="30"/>
        <v>15000</v>
      </c>
      <c r="N582" s="325"/>
      <c r="O582" s="325"/>
      <c r="Q582" s="478"/>
      <c r="R582" s="479"/>
      <c r="S582" s="658"/>
      <c r="T582" s="290"/>
      <c r="U582" s="290"/>
      <c r="V582" s="290"/>
    </row>
    <row r="583" spans="1:22" ht="27.75" customHeight="1">
      <c r="B583" s="695" t="s">
        <v>1343</v>
      </c>
      <c r="C583" s="696" t="s">
        <v>1344</v>
      </c>
      <c r="D583" s="697"/>
      <c r="E583" s="701"/>
      <c r="F583" s="579"/>
      <c r="G583" s="699"/>
      <c r="H583" s="373" t="s">
        <v>2053</v>
      </c>
      <c r="I583" s="331">
        <v>11</v>
      </c>
      <c r="J583" s="338">
        <v>35250</v>
      </c>
      <c r="K583" s="374">
        <f t="shared" si="29"/>
        <v>0</v>
      </c>
      <c r="L583" s="374">
        <f t="shared" si="30"/>
        <v>35250</v>
      </c>
      <c r="N583" s="325"/>
      <c r="O583" s="325"/>
      <c r="Q583" s="478"/>
      <c r="R583" s="479"/>
      <c r="S583" s="658"/>
      <c r="T583" s="290"/>
      <c r="U583" s="290"/>
      <c r="V583" s="290"/>
    </row>
    <row r="584" spans="1:22" ht="27.75" customHeight="1">
      <c r="A584" s="331">
        <v>68</v>
      </c>
      <c r="B584" s="695" t="s">
        <v>1827</v>
      </c>
      <c r="C584" s="696" t="s">
        <v>457</v>
      </c>
      <c r="D584" s="697"/>
      <c r="E584" s="701"/>
      <c r="F584" s="579"/>
      <c r="G584" s="699"/>
      <c r="H584" s="373" t="s">
        <v>2065</v>
      </c>
      <c r="I584" s="331">
        <v>14</v>
      </c>
      <c r="J584" s="338">
        <v>44250</v>
      </c>
      <c r="K584" s="374">
        <f t="shared" si="29"/>
        <v>0</v>
      </c>
      <c r="L584" s="374">
        <f t="shared" si="30"/>
        <v>44250</v>
      </c>
      <c r="N584" s="325"/>
      <c r="O584" s="325"/>
      <c r="Q584" s="478"/>
      <c r="R584" s="479"/>
      <c r="S584" s="658"/>
      <c r="T584" s="290"/>
      <c r="U584" s="290"/>
      <c r="V584" s="290"/>
    </row>
    <row r="585" spans="1:22" ht="27.75" customHeight="1">
      <c r="A585" s="331">
        <v>69</v>
      </c>
      <c r="B585" s="695" t="s">
        <v>1024</v>
      </c>
      <c r="C585" s="696" t="s">
        <v>1345</v>
      </c>
      <c r="D585" s="697"/>
      <c r="E585" s="701"/>
      <c r="F585" s="579"/>
      <c r="G585" s="699"/>
      <c r="H585" s="373" t="s">
        <v>2053</v>
      </c>
      <c r="I585" s="331">
        <v>11</v>
      </c>
      <c r="J585" s="338">
        <v>35250</v>
      </c>
      <c r="K585" s="374">
        <f t="shared" si="29"/>
        <v>0</v>
      </c>
      <c r="L585" s="374">
        <f t="shared" si="30"/>
        <v>35250</v>
      </c>
      <c r="N585" s="325"/>
      <c r="O585" s="325"/>
      <c r="Q585" s="478"/>
      <c r="R585" s="479"/>
      <c r="S585" s="658"/>
      <c r="T585" s="290"/>
      <c r="U585" s="290"/>
      <c r="V585" s="290"/>
    </row>
    <row r="586" spans="1:22" ht="27.75" customHeight="1">
      <c r="A586" s="331">
        <v>70</v>
      </c>
      <c r="B586" s="695" t="s">
        <v>1025</v>
      </c>
      <c r="C586" s="696" t="s">
        <v>1026</v>
      </c>
      <c r="D586" s="697"/>
      <c r="E586" s="701"/>
      <c r="F586" s="579"/>
      <c r="G586" s="699"/>
      <c r="H586" s="373" t="s">
        <v>2053</v>
      </c>
      <c r="I586" s="331">
        <v>11</v>
      </c>
      <c r="J586" s="338">
        <v>35250</v>
      </c>
      <c r="K586" s="374">
        <f t="shared" si="29"/>
        <v>0</v>
      </c>
      <c r="L586" s="374">
        <f t="shared" si="30"/>
        <v>35250</v>
      </c>
      <c r="N586" s="325"/>
      <c r="O586" s="325"/>
      <c r="Q586" s="478"/>
      <c r="R586" s="479"/>
      <c r="S586" s="658"/>
      <c r="T586" s="290"/>
      <c r="U586" s="290"/>
      <c r="V586" s="290"/>
    </row>
    <row r="587" spans="1:22" ht="27.75" customHeight="1">
      <c r="A587" s="331">
        <v>71</v>
      </c>
      <c r="B587" s="695" t="s">
        <v>1176</v>
      </c>
      <c r="C587" s="696" t="s">
        <v>1265</v>
      </c>
      <c r="D587" s="697"/>
      <c r="E587" s="701"/>
      <c r="F587" s="579"/>
      <c r="G587" s="699"/>
      <c r="H587" s="373" t="s">
        <v>2066</v>
      </c>
      <c r="I587" s="331">
        <v>12</v>
      </c>
      <c r="J587" s="338">
        <v>38250</v>
      </c>
      <c r="K587" s="374">
        <f t="shared" si="29"/>
        <v>0</v>
      </c>
      <c r="L587" s="374">
        <f t="shared" si="30"/>
        <v>38250</v>
      </c>
      <c r="N587" s="325"/>
      <c r="O587" s="325"/>
      <c r="Q587" s="478"/>
      <c r="R587" s="479"/>
      <c r="S587" s="658"/>
      <c r="T587" s="290"/>
      <c r="U587" s="290"/>
      <c r="V587" s="290"/>
    </row>
    <row r="588" spans="1:22" ht="27.75" customHeight="1">
      <c r="A588" s="331">
        <v>72</v>
      </c>
      <c r="B588" s="695" t="s">
        <v>1177</v>
      </c>
      <c r="C588" s="696" t="s">
        <v>1266</v>
      </c>
      <c r="D588" s="697"/>
      <c r="E588" s="701"/>
      <c r="F588" s="579"/>
      <c r="G588" s="699"/>
      <c r="H588" s="373" t="s">
        <v>2066</v>
      </c>
      <c r="I588" s="331">
        <v>12</v>
      </c>
      <c r="J588" s="338">
        <v>38250</v>
      </c>
      <c r="K588" s="374">
        <f t="shared" si="29"/>
        <v>0</v>
      </c>
      <c r="L588" s="374">
        <f t="shared" si="30"/>
        <v>38250</v>
      </c>
      <c r="N588" s="325"/>
      <c r="O588" s="325"/>
      <c r="Q588" s="478"/>
      <c r="R588" s="479"/>
      <c r="S588" s="658"/>
      <c r="T588" s="290"/>
      <c r="U588" s="290"/>
      <c r="V588" s="290"/>
    </row>
    <row r="589" spans="1:22" ht="27.75" customHeight="1">
      <c r="A589" s="331">
        <v>73</v>
      </c>
      <c r="B589" s="695" t="s">
        <v>1346</v>
      </c>
      <c r="C589" s="696" t="s">
        <v>1347</v>
      </c>
      <c r="D589" s="697"/>
      <c r="E589" s="701"/>
      <c r="F589" s="579"/>
      <c r="G589" s="699"/>
      <c r="H589" s="373" t="s">
        <v>2053</v>
      </c>
      <c r="I589" s="331">
        <v>11</v>
      </c>
      <c r="J589" s="338">
        <v>35250</v>
      </c>
      <c r="K589" s="374">
        <f t="shared" si="29"/>
        <v>0</v>
      </c>
      <c r="L589" s="374">
        <f t="shared" si="30"/>
        <v>35250</v>
      </c>
      <c r="N589" s="325"/>
      <c r="O589" s="325"/>
      <c r="Q589" s="478"/>
      <c r="R589" s="479"/>
      <c r="S589" s="658"/>
      <c r="T589" s="290"/>
      <c r="U589" s="290"/>
      <c r="V589" s="290"/>
    </row>
    <row r="590" spans="1:22" ht="27.75" customHeight="1">
      <c r="A590" s="331">
        <v>74</v>
      </c>
      <c r="B590" s="695" t="s">
        <v>1553</v>
      </c>
      <c r="C590" s="696" t="s">
        <v>1554</v>
      </c>
      <c r="D590" s="697"/>
      <c r="E590" s="701"/>
      <c r="F590" s="579"/>
      <c r="G590" s="699"/>
      <c r="H590" s="373" t="s">
        <v>2054</v>
      </c>
      <c r="I590" s="331">
        <v>9</v>
      </c>
      <c r="J590" s="338">
        <v>29250</v>
      </c>
      <c r="K590" s="374">
        <f t="shared" si="29"/>
        <v>0</v>
      </c>
      <c r="L590" s="374">
        <f t="shared" si="30"/>
        <v>29250</v>
      </c>
      <c r="N590" s="325"/>
      <c r="O590" s="325"/>
      <c r="Q590" s="478"/>
      <c r="R590" s="479"/>
      <c r="S590" s="658"/>
      <c r="T590" s="290"/>
      <c r="U590" s="290"/>
      <c r="V590" s="290"/>
    </row>
    <row r="591" spans="1:22" ht="27.75" customHeight="1">
      <c r="A591" s="331">
        <v>75</v>
      </c>
      <c r="B591" s="695" t="s">
        <v>412</v>
      </c>
      <c r="C591" s="696" t="s">
        <v>1084</v>
      </c>
      <c r="D591" s="697"/>
      <c r="E591" s="701"/>
      <c r="F591" s="579"/>
      <c r="G591" s="699"/>
      <c r="H591" s="373" t="s">
        <v>938</v>
      </c>
      <c r="I591" s="331">
        <v>12</v>
      </c>
      <c r="J591" s="338">
        <v>36000</v>
      </c>
      <c r="K591" s="374">
        <f t="shared" si="29"/>
        <v>0</v>
      </c>
      <c r="L591" s="374">
        <f t="shared" si="30"/>
        <v>36000</v>
      </c>
      <c r="N591" s="325"/>
      <c r="O591" s="325"/>
      <c r="Q591" s="478"/>
      <c r="R591" s="479"/>
      <c r="S591" s="658"/>
      <c r="T591" s="290"/>
      <c r="U591" s="290"/>
      <c r="V591" s="290"/>
    </row>
    <row r="592" spans="1:22" ht="27.75" customHeight="1">
      <c r="B592" s="695" t="s">
        <v>412</v>
      </c>
      <c r="C592" s="696" t="s">
        <v>1084</v>
      </c>
      <c r="D592" s="697"/>
      <c r="E592" s="701"/>
      <c r="F592" s="579"/>
      <c r="G592" s="699"/>
      <c r="H592" s="373" t="s">
        <v>2874</v>
      </c>
      <c r="I592" s="331">
        <v>5</v>
      </c>
      <c r="J592" s="338">
        <v>15000</v>
      </c>
      <c r="K592" s="374">
        <f t="shared" si="29"/>
        <v>0</v>
      </c>
      <c r="L592" s="374">
        <f t="shared" si="30"/>
        <v>15000</v>
      </c>
      <c r="N592" s="325"/>
      <c r="O592" s="325"/>
      <c r="Q592" s="478"/>
      <c r="R592" s="479"/>
      <c r="S592" s="658"/>
      <c r="T592" s="290"/>
      <c r="U592" s="290"/>
      <c r="V592" s="290"/>
    </row>
    <row r="593" spans="1:22" ht="27.75" customHeight="1">
      <c r="B593" s="695" t="s">
        <v>412</v>
      </c>
      <c r="C593" s="696" t="s">
        <v>1084</v>
      </c>
      <c r="D593" s="697"/>
      <c r="E593" s="701"/>
      <c r="F593" s="579"/>
      <c r="G593" s="699"/>
      <c r="H593" s="373" t="s">
        <v>2053</v>
      </c>
      <c r="I593" s="331">
        <v>11</v>
      </c>
      <c r="J593" s="338">
        <v>35250</v>
      </c>
      <c r="K593" s="374">
        <f t="shared" si="29"/>
        <v>0</v>
      </c>
      <c r="L593" s="374">
        <f t="shared" si="30"/>
        <v>35250</v>
      </c>
      <c r="N593" s="325"/>
      <c r="O593" s="325"/>
      <c r="Q593" s="478"/>
      <c r="R593" s="479"/>
      <c r="S593" s="658"/>
      <c r="T593" s="290"/>
      <c r="U593" s="290"/>
      <c r="V593" s="290"/>
    </row>
    <row r="594" spans="1:22" ht="27.75" customHeight="1">
      <c r="A594" s="331">
        <v>76</v>
      </c>
      <c r="B594" s="695" t="s">
        <v>1027</v>
      </c>
      <c r="C594" s="696" t="s">
        <v>687</v>
      </c>
      <c r="D594" s="697"/>
      <c r="E594" s="701"/>
      <c r="F594" s="579"/>
      <c r="G594" s="699"/>
      <c r="H594" s="373" t="s">
        <v>1142</v>
      </c>
      <c r="I594" s="331">
        <v>11</v>
      </c>
      <c r="J594" s="338">
        <v>33000</v>
      </c>
      <c r="K594" s="374">
        <f t="shared" si="29"/>
        <v>0</v>
      </c>
      <c r="L594" s="374">
        <f t="shared" si="30"/>
        <v>33000</v>
      </c>
      <c r="N594" s="325"/>
      <c r="O594" s="325"/>
      <c r="Q594" s="478"/>
      <c r="R594" s="479"/>
      <c r="S594" s="658"/>
      <c r="T594" s="290"/>
      <c r="U594" s="290"/>
      <c r="V594" s="290"/>
    </row>
    <row r="595" spans="1:22" ht="27.75" customHeight="1">
      <c r="B595" s="695" t="s">
        <v>1027</v>
      </c>
      <c r="C595" s="696" t="s">
        <v>687</v>
      </c>
      <c r="D595" s="697"/>
      <c r="E595" s="701"/>
      <c r="F595" s="579"/>
      <c r="G595" s="699"/>
      <c r="H595" s="373" t="s">
        <v>1514</v>
      </c>
      <c r="I595" s="331">
        <v>1</v>
      </c>
      <c r="J595" s="338">
        <v>3000</v>
      </c>
      <c r="K595" s="374">
        <f t="shared" si="29"/>
        <v>0</v>
      </c>
      <c r="L595" s="374">
        <f t="shared" si="30"/>
        <v>3000</v>
      </c>
      <c r="N595" s="325"/>
      <c r="O595" s="325"/>
      <c r="Q595" s="478"/>
      <c r="R595" s="479"/>
      <c r="S595" s="658"/>
      <c r="T595" s="290"/>
      <c r="U595" s="290"/>
      <c r="V595" s="290"/>
    </row>
    <row r="596" spans="1:22" ht="27.75" customHeight="1">
      <c r="B596" s="695" t="s">
        <v>1027</v>
      </c>
      <c r="C596" s="696" t="s">
        <v>687</v>
      </c>
      <c r="D596" s="697"/>
      <c r="E596" s="701"/>
      <c r="F596" s="579"/>
      <c r="G596" s="699"/>
      <c r="H596" s="373" t="s">
        <v>2053</v>
      </c>
      <c r="I596" s="331">
        <v>11</v>
      </c>
      <c r="J596" s="338">
        <v>35250</v>
      </c>
      <c r="K596" s="374">
        <f t="shared" si="29"/>
        <v>0</v>
      </c>
      <c r="L596" s="374">
        <f t="shared" si="30"/>
        <v>35250</v>
      </c>
      <c r="N596" s="325"/>
      <c r="O596" s="325"/>
      <c r="Q596" s="478"/>
      <c r="R596" s="479"/>
      <c r="S596" s="658"/>
      <c r="T596" s="290"/>
      <c r="U596" s="290"/>
      <c r="V596" s="290"/>
    </row>
    <row r="597" spans="1:22" ht="27.75" customHeight="1">
      <c r="A597" s="331">
        <v>77</v>
      </c>
      <c r="B597" s="695" t="s">
        <v>688</v>
      </c>
      <c r="C597" s="696" t="s">
        <v>536</v>
      </c>
      <c r="D597" s="697"/>
      <c r="E597" s="701"/>
      <c r="F597" s="579"/>
      <c r="G597" s="699"/>
      <c r="H597" s="373" t="s">
        <v>2065</v>
      </c>
      <c r="I597" s="331">
        <v>14</v>
      </c>
      <c r="J597" s="338">
        <v>44250</v>
      </c>
      <c r="K597" s="374">
        <f t="shared" si="29"/>
        <v>0</v>
      </c>
      <c r="L597" s="374">
        <f t="shared" si="30"/>
        <v>44250</v>
      </c>
      <c r="N597" s="325"/>
      <c r="O597" s="325"/>
      <c r="Q597" s="478"/>
      <c r="R597" s="479"/>
      <c r="S597" s="658"/>
      <c r="T597" s="290"/>
      <c r="U597" s="290"/>
      <c r="V597" s="290"/>
    </row>
    <row r="598" spans="1:22" ht="27.75" customHeight="1">
      <c r="A598" s="331">
        <v>78</v>
      </c>
      <c r="B598" s="695" t="s">
        <v>689</v>
      </c>
      <c r="C598" s="696" t="s">
        <v>616</v>
      </c>
      <c r="D598" s="697"/>
      <c r="E598" s="701"/>
      <c r="F598" s="579"/>
      <c r="G598" s="699"/>
      <c r="H598" s="373" t="s">
        <v>2053</v>
      </c>
      <c r="I598" s="331">
        <v>11</v>
      </c>
      <c r="J598" s="338">
        <v>35250</v>
      </c>
      <c r="K598" s="374">
        <f t="shared" si="29"/>
        <v>0</v>
      </c>
      <c r="L598" s="374">
        <f t="shared" si="30"/>
        <v>35250</v>
      </c>
      <c r="N598" s="325"/>
      <c r="O598" s="325"/>
      <c r="Q598" s="478"/>
      <c r="R598" s="479"/>
      <c r="S598" s="658"/>
      <c r="T598" s="290"/>
      <c r="U598" s="290"/>
      <c r="V598" s="290"/>
    </row>
    <row r="599" spans="1:22" ht="27.75" customHeight="1">
      <c r="A599" s="331">
        <v>79</v>
      </c>
      <c r="B599" s="695" t="s">
        <v>690</v>
      </c>
      <c r="C599" s="696" t="s">
        <v>691</v>
      </c>
      <c r="D599" s="697"/>
      <c r="E599" s="701"/>
      <c r="F599" s="579"/>
      <c r="G599" s="699"/>
      <c r="H599" s="373" t="s">
        <v>2056</v>
      </c>
      <c r="I599" s="331">
        <v>10</v>
      </c>
      <c r="J599" s="338">
        <v>32250</v>
      </c>
      <c r="K599" s="374">
        <f t="shared" si="29"/>
        <v>0</v>
      </c>
      <c r="L599" s="374">
        <f t="shared" si="30"/>
        <v>32250</v>
      </c>
      <c r="N599" s="325"/>
      <c r="O599" s="325"/>
      <c r="Q599" s="478"/>
      <c r="R599" s="479"/>
      <c r="S599" s="658"/>
      <c r="T599" s="290"/>
      <c r="U599" s="290"/>
      <c r="V599" s="290"/>
    </row>
    <row r="600" spans="1:22" ht="27.75" customHeight="1">
      <c r="A600" s="331">
        <v>80</v>
      </c>
      <c r="B600" s="695" t="s">
        <v>1029</v>
      </c>
      <c r="C600" s="696" t="s">
        <v>617</v>
      </c>
      <c r="D600" s="697"/>
      <c r="E600" s="701"/>
      <c r="F600" s="579"/>
      <c r="G600" s="699"/>
      <c r="H600" s="373" t="s">
        <v>2054</v>
      </c>
      <c r="I600" s="331">
        <v>9</v>
      </c>
      <c r="J600" s="338">
        <v>29250</v>
      </c>
      <c r="K600" s="374">
        <f t="shared" si="29"/>
        <v>0</v>
      </c>
      <c r="L600" s="374">
        <f t="shared" si="30"/>
        <v>29250</v>
      </c>
      <c r="N600" s="325"/>
      <c r="O600" s="325"/>
      <c r="Q600" s="478"/>
      <c r="R600" s="479"/>
      <c r="S600" s="658"/>
      <c r="T600" s="290"/>
      <c r="U600" s="290"/>
      <c r="V600" s="290"/>
    </row>
    <row r="601" spans="1:22" ht="27.75" customHeight="1">
      <c r="A601" s="331">
        <v>81</v>
      </c>
      <c r="B601" s="695" t="s">
        <v>1268</v>
      </c>
      <c r="C601" s="696" t="s">
        <v>1269</v>
      </c>
      <c r="D601" s="697"/>
      <c r="E601" s="701"/>
      <c r="F601" s="579"/>
      <c r="G601" s="699"/>
      <c r="H601" s="373" t="s">
        <v>2066</v>
      </c>
      <c r="I601" s="331">
        <v>12</v>
      </c>
      <c r="J601" s="338">
        <v>38250</v>
      </c>
      <c r="K601" s="374">
        <f t="shared" si="29"/>
        <v>0</v>
      </c>
      <c r="L601" s="374">
        <f t="shared" si="30"/>
        <v>38250</v>
      </c>
      <c r="N601" s="325"/>
      <c r="O601" s="325"/>
      <c r="Q601" s="478"/>
      <c r="R601" s="479"/>
      <c r="S601" s="658"/>
      <c r="T601" s="290"/>
      <c r="U601" s="290"/>
      <c r="V601" s="290"/>
    </row>
    <row r="602" spans="1:22" ht="27.75" customHeight="1">
      <c r="A602" s="331">
        <v>82</v>
      </c>
      <c r="B602" s="695" t="s">
        <v>360</v>
      </c>
      <c r="C602" s="696" t="s">
        <v>1085</v>
      </c>
      <c r="D602" s="697"/>
      <c r="E602" s="701"/>
      <c r="F602" s="579"/>
      <c r="G602" s="699"/>
      <c r="H602" s="373" t="s">
        <v>1081</v>
      </c>
      <c r="I602" s="331">
        <v>8</v>
      </c>
      <c r="J602" s="338">
        <v>24000</v>
      </c>
      <c r="K602" s="374">
        <f t="shared" si="29"/>
        <v>0</v>
      </c>
      <c r="L602" s="374">
        <f t="shared" si="30"/>
        <v>24000</v>
      </c>
      <c r="N602" s="325"/>
      <c r="O602" s="325"/>
      <c r="Q602" s="478"/>
      <c r="R602" s="479"/>
      <c r="S602" s="658"/>
      <c r="T602" s="290"/>
      <c r="U602" s="290"/>
      <c r="V602" s="290"/>
    </row>
    <row r="603" spans="1:22" ht="27.75" customHeight="1">
      <c r="A603" s="331">
        <v>83</v>
      </c>
      <c r="B603" s="695" t="s">
        <v>1273</v>
      </c>
      <c r="C603" s="696" t="s">
        <v>1348</v>
      </c>
      <c r="D603" s="697"/>
      <c r="E603" s="701"/>
      <c r="F603" s="579"/>
      <c r="G603" s="699"/>
      <c r="H603" s="373" t="s">
        <v>2053</v>
      </c>
      <c r="I603" s="331">
        <v>11</v>
      </c>
      <c r="J603" s="338">
        <v>35250</v>
      </c>
      <c r="K603" s="374">
        <f t="shared" si="29"/>
        <v>0</v>
      </c>
      <c r="L603" s="374">
        <f t="shared" si="30"/>
        <v>35250</v>
      </c>
      <c r="N603" s="325"/>
      <c r="O603" s="325"/>
      <c r="Q603" s="478"/>
      <c r="R603" s="479"/>
      <c r="S603" s="658"/>
      <c r="T603" s="290"/>
      <c r="U603" s="290"/>
      <c r="V603" s="290"/>
    </row>
    <row r="604" spans="1:22" ht="27.75" customHeight="1">
      <c r="A604" s="331">
        <v>84</v>
      </c>
      <c r="B604" s="695" t="s">
        <v>1349</v>
      </c>
      <c r="C604" s="696" t="s">
        <v>1350</v>
      </c>
      <c r="D604" s="697"/>
      <c r="E604" s="701"/>
      <c r="F604" s="579"/>
      <c r="G604" s="699"/>
      <c r="H604" s="373" t="s">
        <v>2053</v>
      </c>
      <c r="I604" s="331">
        <v>11</v>
      </c>
      <c r="J604" s="338">
        <v>35250</v>
      </c>
      <c r="K604" s="374">
        <f t="shared" si="29"/>
        <v>0</v>
      </c>
      <c r="L604" s="374">
        <f t="shared" si="30"/>
        <v>35250</v>
      </c>
      <c r="N604" s="325"/>
      <c r="O604" s="325"/>
      <c r="Q604" s="478"/>
      <c r="R604" s="479"/>
      <c r="S604" s="658"/>
      <c r="T604" s="290"/>
      <c r="U604" s="290"/>
      <c r="V604" s="290"/>
    </row>
    <row r="605" spans="1:22" ht="27.75" customHeight="1">
      <c r="A605" s="331">
        <v>85</v>
      </c>
      <c r="B605" s="695" t="s">
        <v>856</v>
      </c>
      <c r="C605" s="696" t="s">
        <v>992</v>
      </c>
      <c r="D605" s="697"/>
      <c r="E605" s="701"/>
      <c r="F605" s="579"/>
      <c r="G605" s="699"/>
      <c r="H605" s="373" t="s">
        <v>2067</v>
      </c>
      <c r="I605" s="331">
        <v>6</v>
      </c>
      <c r="J605" s="338">
        <v>20250</v>
      </c>
      <c r="K605" s="374">
        <f t="shared" ref="K605:K615" si="31">G605*11.54/100</f>
        <v>0</v>
      </c>
      <c r="L605" s="374">
        <f t="shared" ref="L605:L615" si="32">+J605</f>
        <v>20250</v>
      </c>
      <c r="N605" s="325"/>
      <c r="O605" s="325"/>
      <c r="Q605" s="478"/>
      <c r="R605" s="479"/>
      <c r="S605" s="658"/>
      <c r="T605" s="290"/>
      <c r="U605" s="290"/>
      <c r="V605" s="290"/>
    </row>
    <row r="606" spans="1:22" ht="27.75" customHeight="1">
      <c r="A606" s="331">
        <v>86</v>
      </c>
      <c r="B606" s="695" t="s">
        <v>692</v>
      </c>
      <c r="C606" s="696" t="s">
        <v>1086</v>
      </c>
      <c r="D606" s="697"/>
      <c r="E606" s="701"/>
      <c r="F606" s="579"/>
      <c r="G606" s="699"/>
      <c r="H606" s="373" t="s">
        <v>1081</v>
      </c>
      <c r="I606" s="331">
        <v>8</v>
      </c>
      <c r="J606" s="338">
        <v>24000</v>
      </c>
      <c r="K606" s="374">
        <f t="shared" si="31"/>
        <v>0</v>
      </c>
      <c r="L606" s="374">
        <f t="shared" si="32"/>
        <v>24000</v>
      </c>
      <c r="N606" s="325"/>
      <c r="O606" s="325"/>
      <c r="Q606" s="478"/>
      <c r="R606" s="479"/>
      <c r="S606" s="658"/>
      <c r="T606" s="290"/>
      <c r="U606" s="290"/>
      <c r="V606" s="290"/>
    </row>
    <row r="607" spans="1:22" ht="27.75" customHeight="1">
      <c r="B607" s="695" t="s">
        <v>692</v>
      </c>
      <c r="C607" s="696" t="s">
        <v>1086</v>
      </c>
      <c r="D607" s="697"/>
      <c r="E607" s="701"/>
      <c r="F607" s="579"/>
      <c r="G607" s="699"/>
      <c r="H607" s="373" t="s">
        <v>2053</v>
      </c>
      <c r="I607" s="331">
        <v>11</v>
      </c>
      <c r="J607" s="338">
        <v>35250</v>
      </c>
      <c r="K607" s="374">
        <f t="shared" si="31"/>
        <v>0</v>
      </c>
      <c r="L607" s="374">
        <f t="shared" si="32"/>
        <v>35250</v>
      </c>
      <c r="N607" s="325"/>
      <c r="O607" s="325"/>
      <c r="Q607" s="478"/>
      <c r="R607" s="479"/>
      <c r="S607" s="658"/>
      <c r="T607" s="290"/>
      <c r="U607" s="290"/>
      <c r="V607" s="290"/>
    </row>
    <row r="608" spans="1:22" ht="27.75" customHeight="1">
      <c r="A608" s="331">
        <v>87</v>
      </c>
      <c r="B608" s="695" t="s">
        <v>694</v>
      </c>
      <c r="C608" s="696" t="s">
        <v>1088</v>
      </c>
      <c r="D608" s="697"/>
      <c r="E608" s="701"/>
      <c r="F608" s="579"/>
      <c r="G608" s="699"/>
      <c r="H608" s="373" t="s">
        <v>2069</v>
      </c>
      <c r="I608" s="331">
        <v>8</v>
      </c>
      <c r="J608" s="338">
        <v>24000</v>
      </c>
      <c r="K608" s="374">
        <f t="shared" si="31"/>
        <v>0</v>
      </c>
      <c r="L608" s="374">
        <f t="shared" si="32"/>
        <v>24000</v>
      </c>
      <c r="N608" s="325"/>
      <c r="O608" s="325"/>
      <c r="Q608" s="478"/>
      <c r="R608" s="479"/>
      <c r="S608" s="658"/>
      <c r="T608" s="290"/>
      <c r="U608" s="290"/>
      <c r="V608" s="290"/>
    </row>
    <row r="609" spans="1:22" ht="27.75" customHeight="1">
      <c r="B609" s="695" t="s">
        <v>694</v>
      </c>
      <c r="C609" s="696" t="s">
        <v>1088</v>
      </c>
      <c r="D609" s="697"/>
      <c r="E609" s="701"/>
      <c r="F609" s="579"/>
      <c r="G609" s="699"/>
      <c r="H609" s="373" t="s">
        <v>2878</v>
      </c>
      <c r="I609" s="331">
        <v>12</v>
      </c>
      <c r="J609" s="338">
        <v>36000</v>
      </c>
      <c r="K609" s="374">
        <f t="shared" si="31"/>
        <v>0</v>
      </c>
      <c r="L609" s="374">
        <f t="shared" si="32"/>
        <v>36000</v>
      </c>
      <c r="N609" s="325"/>
      <c r="O609" s="325"/>
      <c r="Q609" s="478"/>
      <c r="R609" s="479"/>
      <c r="S609" s="658"/>
      <c r="T609" s="290"/>
      <c r="U609" s="290"/>
      <c r="V609" s="290"/>
    </row>
    <row r="610" spans="1:22" ht="27.75" customHeight="1">
      <c r="B610" s="695" t="s">
        <v>694</v>
      </c>
      <c r="C610" s="696" t="s">
        <v>1088</v>
      </c>
      <c r="D610" s="697"/>
      <c r="E610" s="701"/>
      <c r="F610" s="579"/>
      <c r="G610" s="699"/>
      <c r="H610" s="373" t="s">
        <v>2053</v>
      </c>
      <c r="I610" s="331">
        <v>11</v>
      </c>
      <c r="J610" s="338">
        <v>35250</v>
      </c>
      <c r="K610" s="374">
        <f t="shared" si="31"/>
        <v>0</v>
      </c>
      <c r="L610" s="374">
        <f t="shared" si="32"/>
        <v>35250</v>
      </c>
      <c r="N610" s="325"/>
      <c r="O610" s="325"/>
      <c r="Q610" s="478"/>
      <c r="R610" s="479"/>
      <c r="S610" s="658"/>
      <c r="T610" s="290"/>
      <c r="U610" s="290"/>
      <c r="V610" s="290"/>
    </row>
    <row r="611" spans="1:22" ht="27.75" customHeight="1">
      <c r="A611" s="331">
        <v>88</v>
      </c>
      <c r="B611" s="695" t="s">
        <v>1147</v>
      </c>
      <c r="C611" s="696" t="s">
        <v>803</v>
      </c>
      <c r="D611" s="697"/>
      <c r="E611" s="701"/>
      <c r="F611" s="579"/>
      <c r="G611" s="699"/>
      <c r="H611" s="373" t="s">
        <v>2072</v>
      </c>
      <c r="I611" s="331">
        <v>9</v>
      </c>
      <c r="J611" s="338">
        <v>27000</v>
      </c>
      <c r="K611" s="374">
        <f t="shared" si="31"/>
        <v>0</v>
      </c>
      <c r="L611" s="374">
        <f t="shared" si="32"/>
        <v>27000</v>
      </c>
      <c r="N611" s="325"/>
      <c r="O611" s="325"/>
      <c r="Q611" s="478"/>
      <c r="R611" s="479"/>
      <c r="S611" s="658"/>
      <c r="T611" s="290"/>
      <c r="U611" s="290"/>
      <c r="V611" s="290"/>
    </row>
    <row r="612" spans="1:22" ht="27.75" customHeight="1">
      <c r="A612" s="331">
        <v>89</v>
      </c>
      <c r="B612" s="695" t="s">
        <v>759</v>
      </c>
      <c r="C612" s="696" t="s">
        <v>804</v>
      </c>
      <c r="D612" s="697"/>
      <c r="E612" s="701"/>
      <c r="F612" s="579"/>
      <c r="G612" s="699"/>
      <c r="H612" s="373" t="s">
        <v>1139</v>
      </c>
      <c r="I612" s="331">
        <v>9</v>
      </c>
      <c r="J612" s="338">
        <v>27000</v>
      </c>
      <c r="K612" s="374">
        <f t="shared" si="31"/>
        <v>0</v>
      </c>
      <c r="L612" s="374">
        <f t="shared" si="32"/>
        <v>27000</v>
      </c>
      <c r="N612" s="325"/>
      <c r="O612" s="325"/>
      <c r="Q612" s="478"/>
      <c r="R612" s="479"/>
      <c r="S612" s="658"/>
      <c r="T612" s="290"/>
      <c r="U612" s="290"/>
      <c r="V612" s="290"/>
    </row>
    <row r="613" spans="1:22" ht="27.75" customHeight="1">
      <c r="A613" s="331">
        <v>90</v>
      </c>
      <c r="B613" s="695" t="s">
        <v>696</v>
      </c>
      <c r="C613" s="696" t="s">
        <v>1091</v>
      </c>
      <c r="D613" s="697"/>
      <c r="E613" s="701"/>
      <c r="F613" s="579"/>
      <c r="G613" s="699"/>
      <c r="H613" s="373" t="s">
        <v>940</v>
      </c>
      <c r="I613" s="331">
        <v>13</v>
      </c>
      <c r="J613" s="338">
        <v>39000</v>
      </c>
      <c r="K613" s="374">
        <f t="shared" si="31"/>
        <v>0</v>
      </c>
      <c r="L613" s="374">
        <f t="shared" si="32"/>
        <v>39000</v>
      </c>
      <c r="N613" s="325"/>
      <c r="O613" s="325"/>
      <c r="Q613" s="478"/>
      <c r="R613" s="479"/>
      <c r="S613" s="658"/>
      <c r="T613" s="290"/>
      <c r="U613" s="290"/>
      <c r="V613" s="290"/>
    </row>
    <row r="614" spans="1:22" ht="27.75" customHeight="1">
      <c r="B614" s="695" t="s">
        <v>696</v>
      </c>
      <c r="C614" s="696" t="s">
        <v>1091</v>
      </c>
      <c r="D614" s="697"/>
      <c r="E614" s="701"/>
      <c r="F614" s="579"/>
      <c r="G614" s="699"/>
      <c r="H614" s="373" t="s">
        <v>2874</v>
      </c>
      <c r="I614" s="331">
        <v>5</v>
      </c>
      <c r="J614" s="338">
        <v>15000</v>
      </c>
      <c r="K614" s="374">
        <f t="shared" si="31"/>
        <v>0</v>
      </c>
      <c r="L614" s="374">
        <f t="shared" si="32"/>
        <v>15000</v>
      </c>
      <c r="N614" s="325"/>
      <c r="O614" s="325"/>
      <c r="Q614" s="478"/>
      <c r="R614" s="479"/>
      <c r="S614" s="658"/>
      <c r="T614" s="290"/>
      <c r="U614" s="290"/>
      <c r="V614" s="290"/>
    </row>
    <row r="615" spans="1:22" ht="27.75" customHeight="1">
      <c r="B615" s="695" t="s">
        <v>696</v>
      </c>
      <c r="C615" s="696" t="s">
        <v>1091</v>
      </c>
      <c r="D615" s="697"/>
      <c r="E615" s="701"/>
      <c r="F615" s="579"/>
      <c r="G615" s="699"/>
      <c r="H615" s="373" t="s">
        <v>2053</v>
      </c>
      <c r="I615" s="331">
        <v>11</v>
      </c>
      <c r="J615" s="338">
        <v>35250</v>
      </c>
      <c r="K615" s="374">
        <f t="shared" si="31"/>
        <v>0</v>
      </c>
      <c r="L615" s="374">
        <f t="shared" si="32"/>
        <v>35250</v>
      </c>
      <c r="N615" s="325"/>
      <c r="O615" s="325"/>
      <c r="Q615" s="478"/>
      <c r="R615" s="479"/>
      <c r="S615" s="658"/>
      <c r="T615" s="290"/>
      <c r="U615" s="290"/>
      <c r="V615" s="290"/>
    </row>
    <row r="616" spans="1:22" ht="27.75" customHeight="1">
      <c r="A616" s="331">
        <v>91</v>
      </c>
      <c r="B616" s="695" t="s">
        <v>1753</v>
      </c>
      <c r="C616" s="696" t="s">
        <v>1728</v>
      </c>
      <c r="D616" s="697"/>
      <c r="E616" s="701"/>
      <c r="F616" s="579"/>
      <c r="G616" s="699"/>
      <c r="H616" s="373" t="s">
        <v>1161</v>
      </c>
      <c r="I616" s="331">
        <v>16</v>
      </c>
      <c r="J616" s="338">
        <v>48000</v>
      </c>
      <c r="K616" s="374">
        <f t="shared" ref="K616:K669" si="33">G616*11.54/100</f>
        <v>0</v>
      </c>
      <c r="L616" s="374">
        <f t="shared" si="30"/>
        <v>48000</v>
      </c>
      <c r="N616" s="325"/>
      <c r="O616" s="325"/>
      <c r="Q616" s="478"/>
      <c r="R616" s="479"/>
      <c r="S616" s="658"/>
      <c r="T616" s="290"/>
      <c r="U616" s="290"/>
      <c r="V616" s="290"/>
    </row>
    <row r="617" spans="1:22" ht="27.75" customHeight="1">
      <c r="A617" s="331">
        <v>92</v>
      </c>
      <c r="B617" s="695" t="s">
        <v>1053</v>
      </c>
      <c r="C617" s="696" t="s">
        <v>1061</v>
      </c>
      <c r="D617" s="697"/>
      <c r="E617" s="701"/>
      <c r="F617" s="579"/>
      <c r="G617" s="699"/>
      <c r="H617" s="373" t="s">
        <v>2053</v>
      </c>
      <c r="I617" s="331">
        <v>11</v>
      </c>
      <c r="J617" s="338">
        <v>35250</v>
      </c>
      <c r="K617" s="374">
        <f t="shared" si="33"/>
        <v>0</v>
      </c>
      <c r="L617" s="374">
        <f t="shared" si="30"/>
        <v>35250</v>
      </c>
      <c r="N617" s="325"/>
      <c r="O617" s="325"/>
      <c r="Q617" s="478"/>
      <c r="R617" s="479"/>
      <c r="S617" s="658"/>
      <c r="T617" s="290"/>
      <c r="U617" s="290"/>
      <c r="V617" s="290"/>
    </row>
    <row r="618" spans="1:22" ht="27.75" customHeight="1">
      <c r="A618" s="331">
        <v>93</v>
      </c>
      <c r="B618" s="695" t="s">
        <v>701</v>
      </c>
      <c r="C618" s="696" t="s">
        <v>537</v>
      </c>
      <c r="D618" s="697"/>
      <c r="E618" s="701"/>
      <c r="F618" s="579"/>
      <c r="G618" s="699"/>
      <c r="H618" s="373" t="s">
        <v>3065</v>
      </c>
      <c r="I618" s="331">
        <v>1</v>
      </c>
      <c r="J618" s="338">
        <v>3450</v>
      </c>
      <c r="K618" s="374">
        <f t="shared" si="33"/>
        <v>0</v>
      </c>
      <c r="L618" s="374">
        <f t="shared" si="30"/>
        <v>3450</v>
      </c>
      <c r="N618" s="325"/>
      <c r="O618" s="325"/>
      <c r="Q618" s="478"/>
      <c r="R618" s="479"/>
      <c r="S618" s="658"/>
      <c r="T618" s="290"/>
      <c r="U618" s="290"/>
      <c r="V618" s="290"/>
    </row>
    <row r="619" spans="1:22" ht="27.75" customHeight="1">
      <c r="A619" s="331">
        <v>94</v>
      </c>
      <c r="B619" s="695" t="s">
        <v>1555</v>
      </c>
      <c r="C619" s="696" t="s">
        <v>1556</v>
      </c>
      <c r="D619" s="697"/>
      <c r="E619" s="701"/>
      <c r="F619" s="579"/>
      <c r="G619" s="699"/>
      <c r="H619" s="373" t="s">
        <v>2056</v>
      </c>
      <c r="I619" s="331">
        <v>10</v>
      </c>
      <c r="J619" s="338">
        <v>32250</v>
      </c>
      <c r="K619" s="374">
        <f t="shared" si="33"/>
        <v>0</v>
      </c>
      <c r="L619" s="374">
        <f t="shared" si="30"/>
        <v>32250</v>
      </c>
      <c r="N619" s="325"/>
      <c r="O619" s="325"/>
      <c r="Q619" s="478"/>
      <c r="R619" s="479"/>
      <c r="S619" s="658"/>
      <c r="T619" s="290"/>
      <c r="U619" s="290"/>
      <c r="V619" s="290"/>
    </row>
    <row r="620" spans="1:22" ht="27.75" customHeight="1">
      <c r="A620" s="331">
        <v>95</v>
      </c>
      <c r="B620" s="695" t="s">
        <v>1557</v>
      </c>
      <c r="C620" s="696" t="s">
        <v>1558</v>
      </c>
      <c r="D620" s="697"/>
      <c r="E620" s="701"/>
      <c r="F620" s="579"/>
      <c r="G620" s="699"/>
      <c r="H620" s="373" t="s">
        <v>1613</v>
      </c>
      <c r="I620" s="331">
        <v>12</v>
      </c>
      <c r="J620" s="338">
        <v>36000</v>
      </c>
      <c r="K620" s="374">
        <f t="shared" si="33"/>
        <v>0</v>
      </c>
      <c r="L620" s="374">
        <f t="shared" si="30"/>
        <v>36000</v>
      </c>
      <c r="N620" s="325"/>
      <c r="O620" s="325"/>
      <c r="Q620" s="478"/>
      <c r="R620" s="479"/>
      <c r="S620" s="658"/>
      <c r="T620" s="290"/>
      <c r="U620" s="290"/>
      <c r="V620" s="290"/>
    </row>
    <row r="621" spans="1:22" ht="27.75" customHeight="1">
      <c r="B621" s="695" t="s">
        <v>1557</v>
      </c>
      <c r="C621" s="696" t="s">
        <v>1558</v>
      </c>
      <c r="D621" s="697"/>
      <c r="E621" s="701"/>
      <c r="F621" s="579"/>
      <c r="G621" s="699"/>
      <c r="H621" s="373" t="s">
        <v>2879</v>
      </c>
      <c r="I621" s="331">
        <v>7</v>
      </c>
      <c r="J621" s="338">
        <v>21000</v>
      </c>
      <c r="K621" s="374">
        <f t="shared" si="33"/>
        <v>0</v>
      </c>
      <c r="L621" s="374">
        <f t="shared" si="30"/>
        <v>21000</v>
      </c>
      <c r="N621" s="325"/>
      <c r="O621" s="325"/>
      <c r="Q621" s="478"/>
      <c r="R621" s="479"/>
      <c r="S621" s="658"/>
      <c r="T621" s="290"/>
      <c r="U621" s="290"/>
      <c r="V621" s="290"/>
    </row>
    <row r="622" spans="1:22" ht="27.75" customHeight="1">
      <c r="B622" s="695" t="s">
        <v>1557</v>
      </c>
      <c r="C622" s="696" t="s">
        <v>1558</v>
      </c>
      <c r="D622" s="697"/>
      <c r="E622" s="701"/>
      <c r="F622" s="579"/>
      <c r="G622" s="699"/>
      <c r="H622" s="373" t="s">
        <v>2056</v>
      </c>
      <c r="I622" s="331">
        <v>10</v>
      </c>
      <c r="J622" s="338">
        <v>32250</v>
      </c>
      <c r="K622" s="374">
        <f t="shared" si="33"/>
        <v>0</v>
      </c>
      <c r="L622" s="374">
        <f t="shared" si="30"/>
        <v>32250</v>
      </c>
      <c r="N622" s="325"/>
      <c r="O622" s="325"/>
      <c r="Q622" s="478"/>
      <c r="R622" s="479"/>
      <c r="S622" s="658"/>
      <c r="T622" s="290"/>
      <c r="U622" s="290"/>
      <c r="V622" s="290"/>
    </row>
    <row r="623" spans="1:22" ht="27.75" customHeight="1">
      <c r="A623" s="331">
        <v>96</v>
      </c>
      <c r="B623" s="695" t="s">
        <v>704</v>
      </c>
      <c r="C623" s="696" t="s">
        <v>1092</v>
      </c>
      <c r="D623" s="697"/>
      <c r="E623" s="701"/>
      <c r="F623" s="579"/>
      <c r="G623" s="699"/>
      <c r="H623" s="373" t="s">
        <v>1028</v>
      </c>
      <c r="I623" s="331">
        <v>4</v>
      </c>
      <c r="J623" s="338">
        <v>12000</v>
      </c>
      <c r="K623" s="374">
        <f t="shared" si="33"/>
        <v>0</v>
      </c>
      <c r="L623" s="374">
        <f t="shared" si="30"/>
        <v>12000</v>
      </c>
      <c r="N623" s="325"/>
      <c r="O623" s="325"/>
      <c r="Q623" s="478"/>
      <c r="R623" s="479"/>
      <c r="S623" s="658"/>
      <c r="T623" s="290"/>
      <c r="U623" s="290"/>
      <c r="V623" s="290"/>
    </row>
    <row r="624" spans="1:22" ht="27.75" customHeight="1">
      <c r="A624" s="331">
        <v>97</v>
      </c>
      <c r="B624" s="695" t="s">
        <v>1782</v>
      </c>
      <c r="C624" s="696" t="s">
        <v>1783</v>
      </c>
      <c r="D624" s="697"/>
      <c r="E624" s="701"/>
      <c r="F624" s="579"/>
      <c r="G624" s="699"/>
      <c r="H624" s="373" t="s">
        <v>2061</v>
      </c>
      <c r="I624" s="331">
        <v>5</v>
      </c>
      <c r="J624" s="338">
        <v>17250</v>
      </c>
      <c r="K624" s="374">
        <f t="shared" si="33"/>
        <v>0</v>
      </c>
      <c r="L624" s="374">
        <f t="shared" si="30"/>
        <v>17250</v>
      </c>
      <c r="N624" s="325"/>
      <c r="O624" s="325"/>
      <c r="Q624" s="478"/>
      <c r="R624" s="479"/>
      <c r="S624" s="658"/>
      <c r="T624" s="290"/>
      <c r="U624" s="290"/>
      <c r="V624" s="290"/>
    </row>
    <row r="625" spans="1:22" ht="27.75" customHeight="1">
      <c r="A625" s="331">
        <v>98</v>
      </c>
      <c r="B625" s="695" t="s">
        <v>747</v>
      </c>
      <c r="C625" s="696" t="s">
        <v>805</v>
      </c>
      <c r="D625" s="697"/>
      <c r="E625" s="701"/>
      <c r="F625" s="579"/>
      <c r="G625" s="699"/>
      <c r="H625" s="373" t="s">
        <v>1139</v>
      </c>
      <c r="I625" s="331">
        <v>9</v>
      </c>
      <c r="J625" s="338">
        <v>27000</v>
      </c>
      <c r="K625" s="374">
        <f t="shared" si="33"/>
        <v>0</v>
      </c>
      <c r="L625" s="374">
        <f t="shared" si="30"/>
        <v>27000</v>
      </c>
      <c r="N625" s="325"/>
      <c r="O625" s="325"/>
      <c r="Q625" s="478"/>
      <c r="R625" s="479"/>
      <c r="S625" s="658"/>
      <c r="T625" s="290"/>
      <c r="U625" s="290"/>
      <c r="V625" s="290"/>
    </row>
    <row r="626" spans="1:22" ht="27.75" customHeight="1">
      <c r="A626" s="331">
        <v>99</v>
      </c>
      <c r="B626" s="702" t="s">
        <v>1559</v>
      </c>
      <c r="C626" s="368" t="s">
        <v>1560</v>
      </c>
      <c r="D626" s="365"/>
      <c r="E626" s="1436"/>
      <c r="F626" s="397"/>
      <c r="G626" s="699"/>
      <c r="H626" s="373" t="s">
        <v>2074</v>
      </c>
      <c r="I626" s="331">
        <v>10</v>
      </c>
      <c r="J626" s="338">
        <v>32250</v>
      </c>
      <c r="K626" s="374">
        <f t="shared" si="33"/>
        <v>0</v>
      </c>
      <c r="L626" s="338">
        <f t="shared" si="30"/>
        <v>32250</v>
      </c>
      <c r="N626" s="325"/>
      <c r="O626" s="325"/>
      <c r="Q626" s="478"/>
      <c r="R626" s="479"/>
      <c r="S626" s="658"/>
      <c r="T626" s="290"/>
      <c r="U626" s="290"/>
      <c r="V626" s="290"/>
    </row>
    <row r="627" spans="1:22" ht="27.75" customHeight="1">
      <c r="A627" s="331">
        <v>100</v>
      </c>
      <c r="B627" s="695" t="s">
        <v>1729</v>
      </c>
      <c r="C627" s="696" t="s">
        <v>1730</v>
      </c>
      <c r="D627" s="697"/>
      <c r="E627" s="701"/>
      <c r="F627" s="579"/>
      <c r="G627" s="699"/>
      <c r="H627" s="373" t="s">
        <v>2060</v>
      </c>
      <c r="I627" s="331">
        <v>8</v>
      </c>
      <c r="J627" s="338">
        <v>26250</v>
      </c>
      <c r="K627" s="374">
        <f t="shared" si="33"/>
        <v>0</v>
      </c>
      <c r="L627" s="374">
        <f t="shared" si="30"/>
        <v>26250</v>
      </c>
      <c r="N627" s="325"/>
      <c r="O627" s="325"/>
      <c r="Q627" s="478"/>
      <c r="R627" s="479"/>
      <c r="S627" s="658"/>
      <c r="T627" s="290"/>
      <c r="U627" s="290"/>
      <c r="V627" s="290"/>
    </row>
    <row r="628" spans="1:22" ht="27.75" customHeight="1">
      <c r="A628" s="331">
        <v>101</v>
      </c>
      <c r="B628" s="695" t="s">
        <v>1351</v>
      </c>
      <c r="C628" s="696" t="s">
        <v>1352</v>
      </c>
      <c r="D628" s="697"/>
      <c r="E628" s="701"/>
      <c r="F628" s="579"/>
      <c r="G628" s="699"/>
      <c r="H628" s="373" t="s">
        <v>1614</v>
      </c>
      <c r="I628" s="331">
        <v>9</v>
      </c>
      <c r="J628" s="338">
        <v>27000</v>
      </c>
      <c r="K628" s="374">
        <f t="shared" si="33"/>
        <v>0</v>
      </c>
      <c r="L628" s="374">
        <f t="shared" si="30"/>
        <v>27000</v>
      </c>
      <c r="N628" s="325"/>
      <c r="O628" s="325"/>
      <c r="Q628" s="478"/>
      <c r="R628" s="479"/>
      <c r="S628" s="658"/>
      <c r="T628" s="290"/>
      <c r="U628" s="290"/>
      <c r="V628" s="290"/>
    </row>
    <row r="629" spans="1:22" ht="27.75" customHeight="1">
      <c r="B629" s="695" t="s">
        <v>1351</v>
      </c>
      <c r="C629" s="696" t="s">
        <v>1352</v>
      </c>
      <c r="D629" s="697"/>
      <c r="E629" s="701"/>
      <c r="F629" s="579"/>
      <c r="G629" s="699"/>
      <c r="H629" s="373" t="s">
        <v>2879</v>
      </c>
      <c r="I629" s="331">
        <v>7</v>
      </c>
      <c r="J629" s="338">
        <v>21000</v>
      </c>
      <c r="K629" s="374">
        <f t="shared" si="33"/>
        <v>0</v>
      </c>
      <c r="L629" s="374">
        <f t="shared" si="30"/>
        <v>21000</v>
      </c>
      <c r="N629" s="325"/>
      <c r="O629" s="325"/>
      <c r="Q629" s="478"/>
      <c r="R629" s="479"/>
      <c r="S629" s="658"/>
      <c r="T629" s="290"/>
      <c r="U629" s="290"/>
      <c r="V629" s="290"/>
    </row>
    <row r="630" spans="1:22" ht="27.75" customHeight="1">
      <c r="B630" s="695" t="s">
        <v>1351</v>
      </c>
      <c r="C630" s="696" t="s">
        <v>1352</v>
      </c>
      <c r="D630" s="697"/>
      <c r="E630" s="701"/>
      <c r="F630" s="579"/>
      <c r="G630" s="699"/>
      <c r="H630" s="373" t="s">
        <v>2053</v>
      </c>
      <c r="I630" s="331">
        <v>11</v>
      </c>
      <c r="J630" s="338">
        <v>35250</v>
      </c>
      <c r="K630" s="374">
        <f t="shared" si="33"/>
        <v>0</v>
      </c>
      <c r="L630" s="374">
        <f t="shared" si="30"/>
        <v>35250</v>
      </c>
      <c r="N630" s="325"/>
      <c r="O630" s="325"/>
      <c r="Q630" s="478"/>
      <c r="R630" s="479"/>
      <c r="S630" s="658"/>
      <c r="T630" s="290"/>
      <c r="U630" s="290"/>
      <c r="V630" s="290"/>
    </row>
    <row r="631" spans="1:22" ht="27.75" customHeight="1">
      <c r="A631" s="331">
        <v>102</v>
      </c>
      <c r="B631" s="695" t="s">
        <v>428</v>
      </c>
      <c r="C631" s="696" t="s">
        <v>488</v>
      </c>
      <c r="D631" s="697"/>
      <c r="E631" s="701"/>
      <c r="F631" s="579"/>
      <c r="G631" s="699"/>
      <c r="H631" s="373" t="s">
        <v>1267</v>
      </c>
      <c r="I631" s="331">
        <v>3</v>
      </c>
      <c r="J631" s="338">
        <v>9000</v>
      </c>
      <c r="K631" s="374">
        <f t="shared" si="33"/>
        <v>0</v>
      </c>
      <c r="L631" s="374">
        <f t="shared" si="30"/>
        <v>9000</v>
      </c>
      <c r="N631" s="325"/>
      <c r="O631" s="325"/>
      <c r="Q631" s="478"/>
      <c r="R631" s="479"/>
      <c r="S631" s="658"/>
      <c r="T631" s="290"/>
      <c r="U631" s="290"/>
      <c r="V631" s="290"/>
    </row>
    <row r="632" spans="1:22" ht="27.75" customHeight="1">
      <c r="B632" s="695" t="s">
        <v>428</v>
      </c>
      <c r="C632" s="696" t="s">
        <v>488</v>
      </c>
      <c r="D632" s="697"/>
      <c r="E632" s="701"/>
      <c r="F632" s="579"/>
      <c r="G632" s="699"/>
      <c r="H632" s="373" t="s">
        <v>2053</v>
      </c>
      <c r="I632" s="331">
        <v>11</v>
      </c>
      <c r="J632" s="338">
        <v>35250</v>
      </c>
      <c r="K632" s="374">
        <f t="shared" si="33"/>
        <v>0</v>
      </c>
      <c r="L632" s="374">
        <f t="shared" si="30"/>
        <v>35250</v>
      </c>
      <c r="N632" s="325"/>
      <c r="O632" s="325"/>
      <c r="Q632" s="478"/>
      <c r="R632" s="479"/>
      <c r="S632" s="658"/>
      <c r="T632" s="290"/>
      <c r="U632" s="290"/>
      <c r="V632" s="290"/>
    </row>
    <row r="633" spans="1:22" ht="27.75" customHeight="1">
      <c r="A633" s="331">
        <v>103</v>
      </c>
      <c r="B633" s="695" t="s">
        <v>705</v>
      </c>
      <c r="C633" s="696" t="s">
        <v>1270</v>
      </c>
      <c r="D633" s="697"/>
      <c r="E633" s="701"/>
      <c r="F633" s="579"/>
      <c r="G633" s="699"/>
      <c r="H633" s="701" t="s">
        <v>2053</v>
      </c>
      <c r="I633" s="579">
        <v>11</v>
      </c>
      <c r="J633" s="699">
        <v>35250</v>
      </c>
      <c r="K633" s="374">
        <f t="shared" si="33"/>
        <v>0</v>
      </c>
      <c r="L633" s="374">
        <f t="shared" si="30"/>
        <v>35250</v>
      </c>
      <c r="N633" s="325"/>
      <c r="O633" s="325"/>
      <c r="Q633" s="478"/>
      <c r="R633" s="479"/>
      <c r="S633" s="658"/>
      <c r="T633" s="290"/>
      <c r="U633" s="290"/>
      <c r="V633" s="290"/>
    </row>
    <row r="634" spans="1:22" ht="27.75" customHeight="1">
      <c r="A634" s="331">
        <v>104</v>
      </c>
      <c r="B634" s="695" t="s">
        <v>1038</v>
      </c>
      <c r="C634" s="696" t="s">
        <v>1271</v>
      </c>
      <c r="D634" s="697"/>
      <c r="E634" s="701"/>
      <c r="F634" s="579"/>
      <c r="G634" s="699"/>
      <c r="H634" s="373" t="s">
        <v>2066</v>
      </c>
      <c r="I634" s="331">
        <v>12</v>
      </c>
      <c r="J634" s="338">
        <v>38250</v>
      </c>
      <c r="K634" s="374">
        <f t="shared" si="33"/>
        <v>0</v>
      </c>
      <c r="L634" s="374">
        <f t="shared" si="30"/>
        <v>38250</v>
      </c>
      <c r="N634" s="325"/>
      <c r="O634" s="325"/>
      <c r="Q634" s="478"/>
      <c r="R634" s="479"/>
      <c r="S634" s="658"/>
      <c r="T634" s="290"/>
      <c r="U634" s="290"/>
      <c r="V634" s="290"/>
    </row>
    <row r="635" spans="1:22" ht="27.75" customHeight="1">
      <c r="A635" s="331">
        <v>105</v>
      </c>
      <c r="B635" s="695" t="s">
        <v>706</v>
      </c>
      <c r="C635" s="696" t="s">
        <v>1731</v>
      </c>
      <c r="D635" s="697"/>
      <c r="E635" s="701"/>
      <c r="F635" s="579"/>
      <c r="G635" s="699"/>
      <c r="H635" s="373" t="s">
        <v>2061</v>
      </c>
      <c r="I635" s="331">
        <v>5</v>
      </c>
      <c r="J635" s="338">
        <v>17250</v>
      </c>
      <c r="K635" s="374">
        <f t="shared" si="33"/>
        <v>0</v>
      </c>
      <c r="L635" s="374">
        <f t="shared" si="30"/>
        <v>17250</v>
      </c>
      <c r="N635" s="325"/>
      <c r="O635" s="325"/>
      <c r="Q635" s="478"/>
      <c r="R635" s="479"/>
      <c r="S635" s="658"/>
      <c r="T635" s="290"/>
      <c r="U635" s="290"/>
      <c r="V635" s="290"/>
    </row>
    <row r="636" spans="1:22" ht="27.75" customHeight="1">
      <c r="A636" s="331">
        <v>106</v>
      </c>
      <c r="B636" s="695" t="s">
        <v>361</v>
      </c>
      <c r="C636" s="696" t="s">
        <v>448</v>
      </c>
      <c r="D636" s="697"/>
      <c r="E636" s="701"/>
      <c r="F636" s="579"/>
      <c r="G636" s="699"/>
      <c r="H636" s="373" t="s">
        <v>1155</v>
      </c>
      <c r="I636" s="331">
        <v>21</v>
      </c>
      <c r="J636" s="338">
        <v>63000</v>
      </c>
      <c r="K636" s="374">
        <f t="shared" si="33"/>
        <v>0</v>
      </c>
      <c r="L636" s="374">
        <f t="shared" si="30"/>
        <v>63000</v>
      </c>
      <c r="N636" s="325"/>
      <c r="O636" s="325"/>
      <c r="Q636" s="478"/>
      <c r="R636" s="479"/>
      <c r="S636" s="658"/>
      <c r="T636" s="290"/>
      <c r="U636" s="290"/>
      <c r="V636" s="290"/>
    </row>
    <row r="637" spans="1:22" ht="27.75" customHeight="1">
      <c r="B637" s="695" t="s">
        <v>361</v>
      </c>
      <c r="C637" s="696" t="s">
        <v>448</v>
      </c>
      <c r="D637" s="697"/>
      <c r="E637" s="701"/>
      <c r="F637" s="579"/>
      <c r="G637" s="699"/>
      <c r="H637" s="373" t="s">
        <v>2053</v>
      </c>
      <c r="I637" s="331">
        <v>11</v>
      </c>
      <c r="J637" s="338">
        <v>35250</v>
      </c>
      <c r="K637" s="374">
        <f t="shared" si="33"/>
        <v>0</v>
      </c>
      <c r="L637" s="374">
        <f t="shared" si="30"/>
        <v>35250</v>
      </c>
      <c r="N637" s="325"/>
      <c r="O637" s="325"/>
      <c r="Q637" s="478"/>
      <c r="R637" s="479"/>
      <c r="S637" s="658"/>
      <c r="T637" s="290"/>
      <c r="U637" s="290"/>
      <c r="V637" s="290"/>
    </row>
    <row r="638" spans="1:22" ht="27.75" customHeight="1">
      <c r="A638" s="331">
        <v>107</v>
      </c>
      <c r="B638" s="695" t="s">
        <v>366</v>
      </c>
      <c r="C638" s="696" t="s">
        <v>1140</v>
      </c>
      <c r="D638" s="697"/>
      <c r="E638" s="701"/>
      <c r="F638" s="579"/>
      <c r="G638" s="699"/>
      <c r="H638" s="373" t="s">
        <v>2058</v>
      </c>
      <c r="I638" s="331">
        <v>13</v>
      </c>
      <c r="J638" s="338">
        <v>41250</v>
      </c>
      <c r="K638" s="374">
        <f t="shared" si="33"/>
        <v>0</v>
      </c>
      <c r="L638" s="374">
        <f t="shared" si="30"/>
        <v>41250</v>
      </c>
      <c r="N638" s="325"/>
      <c r="O638" s="325"/>
      <c r="Q638" s="478"/>
      <c r="R638" s="479"/>
      <c r="S638" s="658"/>
      <c r="T638" s="290"/>
      <c r="U638" s="290"/>
      <c r="V638" s="290"/>
    </row>
    <row r="639" spans="1:22" ht="27.75" customHeight="1">
      <c r="A639" s="331">
        <v>108</v>
      </c>
      <c r="B639" s="695" t="s">
        <v>1732</v>
      </c>
      <c r="C639" s="696" t="s">
        <v>1733</v>
      </c>
      <c r="D639" s="697"/>
      <c r="E639" s="701"/>
      <c r="F639" s="579"/>
      <c r="G639" s="699"/>
      <c r="H639" s="373" t="s">
        <v>2060</v>
      </c>
      <c r="I639" s="331">
        <v>8</v>
      </c>
      <c r="J639" s="338">
        <v>26250</v>
      </c>
      <c r="K639" s="374">
        <f t="shared" si="33"/>
        <v>0</v>
      </c>
      <c r="L639" s="374">
        <f t="shared" si="30"/>
        <v>26250</v>
      </c>
      <c r="N639" s="325"/>
      <c r="O639" s="325"/>
      <c r="Q639" s="478"/>
      <c r="R639" s="479"/>
      <c r="S639" s="658"/>
      <c r="T639" s="290"/>
      <c r="U639" s="290"/>
      <c r="V639" s="290"/>
    </row>
    <row r="640" spans="1:22" ht="27.75" customHeight="1">
      <c r="A640" s="331">
        <v>109</v>
      </c>
      <c r="B640" s="695" t="s">
        <v>1353</v>
      </c>
      <c r="C640" s="696" t="s">
        <v>1354</v>
      </c>
      <c r="D640" s="697"/>
      <c r="E640" s="701"/>
      <c r="F640" s="579"/>
      <c r="G640" s="699"/>
      <c r="H640" s="373" t="s">
        <v>1615</v>
      </c>
      <c r="I640" s="331">
        <v>10</v>
      </c>
      <c r="J640" s="338">
        <v>30000</v>
      </c>
      <c r="K640" s="374">
        <f t="shared" si="33"/>
        <v>0</v>
      </c>
      <c r="L640" s="374">
        <f t="shared" si="30"/>
        <v>30000</v>
      </c>
      <c r="N640" s="325"/>
      <c r="O640" s="325"/>
      <c r="Q640" s="478"/>
      <c r="R640" s="479"/>
      <c r="S640" s="658"/>
      <c r="T640" s="290"/>
      <c r="U640" s="290"/>
      <c r="V640" s="290"/>
    </row>
    <row r="641" spans="1:22" ht="27.75" customHeight="1">
      <c r="B641" s="695" t="s">
        <v>1353</v>
      </c>
      <c r="C641" s="696" t="s">
        <v>1354</v>
      </c>
      <c r="D641" s="697"/>
      <c r="E641" s="701"/>
      <c r="F641" s="579"/>
      <c r="G641" s="699"/>
      <c r="H641" s="373" t="s">
        <v>2879</v>
      </c>
      <c r="I641" s="331">
        <v>7</v>
      </c>
      <c r="J641" s="338">
        <v>21000</v>
      </c>
      <c r="K641" s="374">
        <f t="shared" si="33"/>
        <v>0</v>
      </c>
      <c r="L641" s="374">
        <f t="shared" si="30"/>
        <v>21000</v>
      </c>
      <c r="N641" s="325"/>
      <c r="O641" s="325"/>
      <c r="Q641" s="478"/>
      <c r="R641" s="479"/>
      <c r="S641" s="658"/>
      <c r="T641" s="290"/>
      <c r="U641" s="290"/>
      <c r="V641" s="290"/>
    </row>
    <row r="642" spans="1:22" ht="27.75" customHeight="1">
      <c r="B642" s="695" t="s">
        <v>1353</v>
      </c>
      <c r="C642" s="696" t="s">
        <v>1354</v>
      </c>
      <c r="D642" s="697"/>
      <c r="E642" s="701"/>
      <c r="F642" s="579"/>
      <c r="G642" s="699"/>
      <c r="H642" s="373" t="s">
        <v>2053</v>
      </c>
      <c r="I642" s="331">
        <v>11</v>
      </c>
      <c r="J642" s="338">
        <v>35250</v>
      </c>
      <c r="K642" s="374">
        <f t="shared" si="33"/>
        <v>0</v>
      </c>
      <c r="L642" s="374">
        <f t="shared" si="30"/>
        <v>35250</v>
      </c>
      <c r="N642" s="325"/>
      <c r="O642" s="325"/>
      <c r="Q642" s="478"/>
      <c r="R642" s="479"/>
      <c r="S642" s="658"/>
      <c r="T642" s="290"/>
      <c r="U642" s="290"/>
      <c r="V642" s="290"/>
    </row>
    <row r="643" spans="1:22" ht="27.75" customHeight="1">
      <c r="A643" s="331">
        <v>110</v>
      </c>
      <c r="B643" s="695" t="s">
        <v>857</v>
      </c>
      <c r="C643" s="696" t="s">
        <v>858</v>
      </c>
      <c r="D643" s="697"/>
      <c r="E643" s="701"/>
      <c r="F643" s="579"/>
      <c r="G643" s="699"/>
      <c r="H643" s="701" t="s">
        <v>1616</v>
      </c>
      <c r="I643" s="579">
        <v>2</v>
      </c>
      <c r="J643" s="699">
        <v>6000</v>
      </c>
      <c r="K643" s="374">
        <f t="shared" si="33"/>
        <v>0</v>
      </c>
      <c r="L643" s="374">
        <f t="shared" si="30"/>
        <v>6000</v>
      </c>
      <c r="N643" s="325"/>
      <c r="O643" s="325"/>
      <c r="Q643" s="478"/>
      <c r="R643" s="479"/>
      <c r="S643" s="658"/>
      <c r="T643" s="290"/>
      <c r="U643" s="290"/>
      <c r="V643" s="290"/>
    </row>
    <row r="644" spans="1:22" ht="27.75" customHeight="1">
      <c r="B644" s="695" t="s">
        <v>857</v>
      </c>
      <c r="C644" s="696" t="s">
        <v>858</v>
      </c>
      <c r="D644" s="697"/>
      <c r="E644" s="701"/>
      <c r="F644" s="579"/>
      <c r="G644" s="699"/>
      <c r="H644" s="373" t="s">
        <v>2053</v>
      </c>
      <c r="I644" s="331">
        <v>11</v>
      </c>
      <c r="J644" s="338">
        <v>35250</v>
      </c>
      <c r="K644" s="374">
        <f t="shared" si="33"/>
        <v>0</v>
      </c>
      <c r="L644" s="374">
        <f t="shared" si="30"/>
        <v>35250</v>
      </c>
      <c r="N644" s="325"/>
      <c r="O644" s="325"/>
      <c r="Q644" s="478"/>
      <c r="R644" s="479"/>
      <c r="S644" s="658"/>
      <c r="T644" s="290"/>
      <c r="U644" s="290"/>
      <c r="V644" s="290"/>
    </row>
    <row r="645" spans="1:22" ht="27.75" customHeight="1">
      <c r="A645" s="331">
        <v>111</v>
      </c>
      <c r="B645" s="695" t="s">
        <v>710</v>
      </c>
      <c r="C645" s="696" t="s">
        <v>489</v>
      </c>
      <c r="D645" s="697"/>
      <c r="E645" s="701"/>
      <c r="F645" s="579"/>
      <c r="G645" s="699"/>
      <c r="H645" s="373" t="s">
        <v>995</v>
      </c>
      <c r="I645" s="331">
        <v>13</v>
      </c>
      <c r="J645" s="338">
        <v>39000</v>
      </c>
      <c r="K645" s="374">
        <f t="shared" si="33"/>
        <v>0</v>
      </c>
      <c r="L645" s="374">
        <f t="shared" si="30"/>
        <v>39000</v>
      </c>
      <c r="N645" s="325"/>
      <c r="O645" s="325"/>
      <c r="Q645" s="478"/>
      <c r="R645" s="479"/>
      <c r="S645" s="658"/>
      <c r="T645" s="290"/>
      <c r="U645" s="290"/>
      <c r="V645" s="290"/>
    </row>
    <row r="646" spans="1:22" ht="27.75" customHeight="1">
      <c r="B646" s="695" t="s">
        <v>710</v>
      </c>
      <c r="C646" s="696" t="s">
        <v>489</v>
      </c>
      <c r="D646" s="697"/>
      <c r="E646" s="701"/>
      <c r="F646" s="579"/>
      <c r="G646" s="699"/>
      <c r="H646" s="373" t="s">
        <v>2879</v>
      </c>
      <c r="I646" s="331">
        <v>7</v>
      </c>
      <c r="J646" s="338">
        <v>21000</v>
      </c>
      <c r="K646" s="374">
        <f t="shared" si="33"/>
        <v>0</v>
      </c>
      <c r="L646" s="374">
        <f t="shared" si="30"/>
        <v>21000</v>
      </c>
      <c r="N646" s="325"/>
      <c r="O646" s="325"/>
      <c r="Q646" s="478"/>
      <c r="R646" s="479"/>
      <c r="S646" s="658"/>
      <c r="T646" s="290"/>
      <c r="U646" s="290"/>
      <c r="V646" s="290"/>
    </row>
    <row r="647" spans="1:22" ht="27.75" customHeight="1">
      <c r="B647" s="695" t="s">
        <v>710</v>
      </c>
      <c r="C647" s="696" t="s">
        <v>489</v>
      </c>
      <c r="D647" s="697"/>
      <c r="E647" s="701"/>
      <c r="F647" s="579"/>
      <c r="G647" s="699"/>
      <c r="H647" s="373" t="s">
        <v>2053</v>
      </c>
      <c r="I647" s="331">
        <v>11</v>
      </c>
      <c r="J647" s="338">
        <v>35250</v>
      </c>
      <c r="K647" s="374">
        <f t="shared" si="33"/>
        <v>0</v>
      </c>
      <c r="L647" s="374">
        <f t="shared" si="30"/>
        <v>35250</v>
      </c>
      <c r="N647" s="325"/>
      <c r="O647" s="325"/>
      <c r="Q647" s="478"/>
      <c r="R647" s="479"/>
      <c r="S647" s="658"/>
      <c r="T647" s="290"/>
      <c r="U647" s="290"/>
      <c r="V647" s="290"/>
    </row>
    <row r="648" spans="1:22" ht="27.75" customHeight="1">
      <c r="A648" s="331">
        <v>112</v>
      </c>
      <c r="B648" s="695" t="s">
        <v>760</v>
      </c>
      <c r="C648" s="696" t="s">
        <v>838</v>
      </c>
      <c r="D648" s="697"/>
      <c r="E648" s="701"/>
      <c r="F648" s="579"/>
      <c r="G648" s="699"/>
      <c r="H648" s="373" t="s">
        <v>1617</v>
      </c>
      <c r="I648" s="331">
        <v>4</v>
      </c>
      <c r="J648" s="338">
        <v>12000</v>
      </c>
      <c r="K648" s="374">
        <f t="shared" si="33"/>
        <v>0</v>
      </c>
      <c r="L648" s="374">
        <f t="shared" si="30"/>
        <v>12000</v>
      </c>
      <c r="N648" s="325"/>
      <c r="O648" s="325"/>
      <c r="Q648" s="478"/>
      <c r="R648" s="479"/>
      <c r="S648" s="658"/>
      <c r="T648" s="290"/>
      <c r="U648" s="290"/>
      <c r="V648" s="290"/>
    </row>
    <row r="649" spans="1:22" ht="27.75" customHeight="1">
      <c r="B649" s="695" t="s">
        <v>760</v>
      </c>
      <c r="C649" s="696" t="s">
        <v>838</v>
      </c>
      <c r="D649" s="697"/>
      <c r="E649" s="701"/>
      <c r="F649" s="579"/>
      <c r="G649" s="699"/>
      <c r="H649" s="373" t="s">
        <v>2053</v>
      </c>
      <c r="I649" s="331">
        <v>11</v>
      </c>
      <c r="J649" s="338">
        <v>35250</v>
      </c>
      <c r="K649" s="374">
        <f t="shared" si="33"/>
        <v>0</v>
      </c>
      <c r="L649" s="374">
        <f t="shared" si="30"/>
        <v>35250</v>
      </c>
      <c r="N649" s="325"/>
      <c r="O649" s="325"/>
      <c r="Q649" s="478"/>
      <c r="R649" s="479"/>
      <c r="S649" s="658"/>
      <c r="T649" s="290"/>
      <c r="U649" s="290"/>
      <c r="V649" s="290"/>
    </row>
    <row r="650" spans="1:22" ht="27.75" customHeight="1">
      <c r="A650" s="331">
        <v>113</v>
      </c>
      <c r="B650" s="695" t="s">
        <v>1278</v>
      </c>
      <c r="C650" s="696" t="s">
        <v>1355</v>
      </c>
      <c r="D650" s="697"/>
      <c r="E650" s="701"/>
      <c r="F650" s="579"/>
      <c r="G650" s="699"/>
      <c r="H650" s="373" t="s">
        <v>2066</v>
      </c>
      <c r="I650" s="331">
        <v>12</v>
      </c>
      <c r="J650" s="338">
        <v>38250</v>
      </c>
      <c r="K650" s="374">
        <f t="shared" si="33"/>
        <v>0</v>
      </c>
      <c r="L650" s="374">
        <f t="shared" si="30"/>
        <v>38250</v>
      </c>
      <c r="N650" s="325"/>
      <c r="O650" s="325"/>
      <c r="Q650" s="478"/>
      <c r="R650" s="479"/>
      <c r="S650" s="658"/>
      <c r="T650" s="290"/>
      <c r="U650" s="290"/>
      <c r="V650" s="290"/>
    </row>
    <row r="651" spans="1:22" ht="27.75" customHeight="1">
      <c r="A651" s="331">
        <v>114</v>
      </c>
      <c r="B651" s="695" t="s">
        <v>1356</v>
      </c>
      <c r="C651" s="696" t="s">
        <v>1357</v>
      </c>
      <c r="D651" s="697"/>
      <c r="E651" s="701"/>
      <c r="F651" s="579"/>
      <c r="G651" s="699"/>
      <c r="H651" s="373" t="s">
        <v>1615</v>
      </c>
      <c r="I651" s="331">
        <v>10</v>
      </c>
      <c r="J651" s="338">
        <v>30000</v>
      </c>
      <c r="K651" s="374">
        <f t="shared" si="33"/>
        <v>0</v>
      </c>
      <c r="L651" s="374">
        <f t="shared" si="30"/>
        <v>30000</v>
      </c>
      <c r="N651" s="325"/>
      <c r="O651" s="325"/>
      <c r="Q651" s="478"/>
      <c r="R651" s="479"/>
      <c r="S651" s="658"/>
      <c r="T651" s="290"/>
      <c r="U651" s="290"/>
      <c r="V651" s="290"/>
    </row>
    <row r="652" spans="1:22" ht="27.75" customHeight="1">
      <c r="B652" s="695" t="s">
        <v>1356</v>
      </c>
      <c r="C652" s="696" t="s">
        <v>1357</v>
      </c>
      <c r="D652" s="697"/>
      <c r="E652" s="701"/>
      <c r="F652" s="579"/>
      <c r="G652" s="699"/>
      <c r="H652" s="373" t="s">
        <v>2879</v>
      </c>
      <c r="I652" s="331">
        <v>7</v>
      </c>
      <c r="J652" s="338">
        <v>21000</v>
      </c>
      <c r="K652" s="374">
        <f t="shared" si="33"/>
        <v>0</v>
      </c>
      <c r="L652" s="374">
        <f t="shared" si="30"/>
        <v>21000</v>
      </c>
      <c r="N652" s="325"/>
      <c r="O652" s="325"/>
      <c r="Q652" s="478"/>
      <c r="R652" s="479"/>
      <c r="S652" s="658"/>
      <c r="T652" s="290"/>
      <c r="U652" s="290"/>
      <c r="V652" s="290"/>
    </row>
    <row r="653" spans="1:22" ht="27.75" customHeight="1">
      <c r="B653" s="695" t="s">
        <v>1356</v>
      </c>
      <c r="C653" s="696" t="s">
        <v>1357</v>
      </c>
      <c r="D653" s="697"/>
      <c r="E653" s="701"/>
      <c r="F653" s="579"/>
      <c r="G653" s="699"/>
      <c r="H653" s="373" t="s">
        <v>2053</v>
      </c>
      <c r="I653" s="331">
        <v>11</v>
      </c>
      <c r="J653" s="338">
        <v>35250</v>
      </c>
      <c r="K653" s="374">
        <f t="shared" si="33"/>
        <v>0</v>
      </c>
      <c r="L653" s="374">
        <f t="shared" si="30"/>
        <v>35250</v>
      </c>
      <c r="N653" s="325"/>
      <c r="O653" s="325"/>
      <c r="Q653" s="478"/>
      <c r="R653" s="479"/>
      <c r="S653" s="658"/>
      <c r="T653" s="290"/>
      <c r="U653" s="290"/>
      <c r="V653" s="290"/>
    </row>
    <row r="654" spans="1:22" ht="27.75" customHeight="1">
      <c r="A654" s="331">
        <v>115</v>
      </c>
      <c r="B654" s="695" t="s">
        <v>1358</v>
      </c>
      <c r="C654" s="696" t="s">
        <v>1359</v>
      </c>
      <c r="D654" s="697"/>
      <c r="E654" s="701"/>
      <c r="F654" s="579"/>
      <c r="G654" s="699"/>
      <c r="H654" s="373" t="s">
        <v>1618</v>
      </c>
      <c r="I654" s="331">
        <v>5</v>
      </c>
      <c r="J654" s="338">
        <v>15000</v>
      </c>
      <c r="K654" s="374">
        <f t="shared" si="33"/>
        <v>0</v>
      </c>
      <c r="L654" s="374">
        <f t="shared" si="30"/>
        <v>15000</v>
      </c>
      <c r="N654" s="325"/>
      <c r="O654" s="325"/>
      <c r="Q654" s="478"/>
      <c r="R654" s="479"/>
      <c r="S654" s="658"/>
      <c r="T654" s="290"/>
      <c r="U654" s="290"/>
      <c r="V654" s="290"/>
    </row>
    <row r="655" spans="1:22" ht="27.75" customHeight="1">
      <c r="B655" s="695" t="s">
        <v>1358</v>
      </c>
      <c r="C655" s="696" t="s">
        <v>1359</v>
      </c>
      <c r="D655" s="697"/>
      <c r="E655" s="701"/>
      <c r="F655" s="579"/>
      <c r="G655" s="699"/>
      <c r="H655" s="373" t="s">
        <v>2879</v>
      </c>
      <c r="I655" s="331">
        <v>7</v>
      </c>
      <c r="J655" s="338">
        <v>21000</v>
      </c>
      <c r="K655" s="374">
        <f t="shared" si="33"/>
        <v>0</v>
      </c>
      <c r="L655" s="374">
        <f t="shared" si="30"/>
        <v>21000</v>
      </c>
      <c r="N655" s="325"/>
      <c r="O655" s="325"/>
      <c r="Q655" s="478"/>
      <c r="R655" s="479"/>
      <c r="S655" s="658"/>
      <c r="T655" s="290"/>
      <c r="U655" s="290"/>
      <c r="V655" s="290"/>
    </row>
    <row r="656" spans="1:22" ht="27.75" customHeight="1">
      <c r="B656" s="695" t="s">
        <v>1358</v>
      </c>
      <c r="C656" s="696" t="s">
        <v>1359</v>
      </c>
      <c r="D656" s="697"/>
      <c r="E656" s="701"/>
      <c r="F656" s="579"/>
      <c r="G656" s="699"/>
      <c r="H656" s="373" t="s">
        <v>2053</v>
      </c>
      <c r="I656" s="331">
        <v>11</v>
      </c>
      <c r="J656" s="338">
        <v>35250</v>
      </c>
      <c r="K656" s="374">
        <f t="shared" si="33"/>
        <v>0</v>
      </c>
      <c r="L656" s="374">
        <f t="shared" si="30"/>
        <v>35250</v>
      </c>
      <c r="N656" s="325"/>
      <c r="O656" s="325"/>
      <c r="Q656" s="478"/>
      <c r="R656" s="479"/>
      <c r="S656" s="658"/>
      <c r="T656" s="290"/>
      <c r="U656" s="290"/>
      <c r="V656" s="290"/>
    </row>
    <row r="657" spans="1:22" ht="27.75" customHeight="1">
      <c r="A657" s="331">
        <v>116</v>
      </c>
      <c r="B657" s="695" t="s">
        <v>808</v>
      </c>
      <c r="C657" s="696" t="s">
        <v>1562</v>
      </c>
      <c r="D657" s="697"/>
      <c r="E657" s="701"/>
      <c r="F657" s="579"/>
      <c r="G657" s="699"/>
      <c r="H657" s="373" t="s">
        <v>2074</v>
      </c>
      <c r="I657" s="331">
        <v>10</v>
      </c>
      <c r="J657" s="338">
        <v>32250</v>
      </c>
      <c r="K657" s="374">
        <f t="shared" si="33"/>
        <v>0</v>
      </c>
      <c r="L657" s="374">
        <f t="shared" si="30"/>
        <v>32250</v>
      </c>
      <c r="N657" s="325"/>
      <c r="O657" s="325"/>
      <c r="Q657" s="478"/>
      <c r="R657" s="479"/>
      <c r="S657" s="658"/>
      <c r="T657" s="290"/>
      <c r="U657" s="290"/>
      <c r="V657" s="290"/>
    </row>
    <row r="658" spans="1:22" ht="27.75" customHeight="1">
      <c r="A658" s="331">
        <v>117</v>
      </c>
      <c r="B658" s="695" t="s">
        <v>711</v>
      </c>
      <c r="C658" s="696" t="s">
        <v>618</v>
      </c>
      <c r="D658" s="697"/>
      <c r="E658" s="701"/>
      <c r="F658" s="579"/>
      <c r="G658" s="699"/>
      <c r="H658" s="373" t="s">
        <v>1160</v>
      </c>
      <c r="I658" s="331">
        <v>13</v>
      </c>
      <c r="J658" s="338">
        <v>39000</v>
      </c>
      <c r="K658" s="374">
        <f t="shared" si="33"/>
        <v>0</v>
      </c>
      <c r="L658" s="374">
        <f t="shared" si="30"/>
        <v>39000</v>
      </c>
      <c r="N658" s="325"/>
      <c r="O658" s="325"/>
      <c r="Q658" s="478"/>
      <c r="R658" s="479"/>
      <c r="S658" s="658"/>
      <c r="T658" s="290"/>
      <c r="U658" s="290"/>
      <c r="V658" s="290"/>
    </row>
    <row r="659" spans="1:22" ht="27.75" customHeight="1">
      <c r="B659" s="695" t="s">
        <v>711</v>
      </c>
      <c r="C659" s="696" t="s">
        <v>618</v>
      </c>
      <c r="D659" s="697"/>
      <c r="E659" s="701"/>
      <c r="F659" s="579"/>
      <c r="G659" s="699"/>
      <c r="H659" s="373" t="s">
        <v>2053</v>
      </c>
      <c r="I659" s="331">
        <v>11</v>
      </c>
      <c r="J659" s="338">
        <v>35250</v>
      </c>
      <c r="K659" s="374">
        <f t="shared" si="33"/>
        <v>0</v>
      </c>
      <c r="L659" s="374">
        <f t="shared" si="30"/>
        <v>35250</v>
      </c>
      <c r="N659" s="325"/>
      <c r="O659" s="325"/>
      <c r="Q659" s="478"/>
      <c r="R659" s="479"/>
      <c r="S659" s="658"/>
      <c r="T659" s="290"/>
      <c r="U659" s="290"/>
      <c r="V659" s="290"/>
    </row>
    <row r="660" spans="1:22" ht="27.75" customHeight="1">
      <c r="A660" s="331">
        <v>118</v>
      </c>
      <c r="B660" s="695" t="s">
        <v>712</v>
      </c>
      <c r="C660" s="696" t="s">
        <v>458</v>
      </c>
      <c r="D660" s="697"/>
      <c r="E660" s="701"/>
      <c r="F660" s="579"/>
      <c r="G660" s="699"/>
      <c r="H660" s="373" t="s">
        <v>1159</v>
      </c>
      <c r="I660" s="331">
        <v>19</v>
      </c>
      <c r="J660" s="338">
        <v>57000</v>
      </c>
      <c r="K660" s="374">
        <f t="shared" si="33"/>
        <v>0</v>
      </c>
      <c r="L660" s="374">
        <f t="shared" si="30"/>
        <v>57000</v>
      </c>
      <c r="N660" s="325"/>
      <c r="O660" s="325"/>
      <c r="Q660" s="478"/>
      <c r="R660" s="479"/>
      <c r="S660" s="658"/>
      <c r="T660" s="290"/>
      <c r="U660" s="290"/>
      <c r="V660" s="290"/>
    </row>
    <row r="661" spans="1:22" ht="27.75" customHeight="1">
      <c r="B661" s="695" t="s">
        <v>712</v>
      </c>
      <c r="C661" s="696" t="s">
        <v>458</v>
      </c>
      <c r="D661" s="697"/>
      <c r="E661" s="701"/>
      <c r="F661" s="579"/>
      <c r="G661" s="699"/>
      <c r="H661" s="373" t="s">
        <v>2053</v>
      </c>
      <c r="I661" s="331">
        <v>11</v>
      </c>
      <c r="J661" s="338">
        <v>35250</v>
      </c>
      <c r="K661" s="374">
        <f t="shared" si="33"/>
        <v>0</v>
      </c>
      <c r="L661" s="374">
        <f t="shared" si="30"/>
        <v>35250</v>
      </c>
      <c r="N661" s="325"/>
      <c r="O661" s="325"/>
      <c r="Q661" s="478"/>
      <c r="R661" s="479"/>
      <c r="S661" s="658"/>
      <c r="T661" s="290"/>
      <c r="U661" s="290"/>
      <c r="V661" s="290"/>
    </row>
    <row r="662" spans="1:22" ht="27.75" customHeight="1">
      <c r="A662" s="331">
        <v>119</v>
      </c>
      <c r="B662" s="695" t="s">
        <v>761</v>
      </c>
      <c r="C662" s="696" t="s">
        <v>1272</v>
      </c>
      <c r="D662" s="697"/>
      <c r="E662" s="701"/>
      <c r="F662" s="579"/>
      <c r="G662" s="699"/>
      <c r="H662" s="373" t="s">
        <v>2053</v>
      </c>
      <c r="I662" s="331">
        <v>11</v>
      </c>
      <c r="J662" s="338">
        <v>35250</v>
      </c>
      <c r="K662" s="374">
        <f t="shared" si="33"/>
        <v>0</v>
      </c>
      <c r="L662" s="374">
        <f t="shared" si="30"/>
        <v>35250</v>
      </c>
      <c r="N662" s="325"/>
      <c r="O662" s="325"/>
      <c r="Q662" s="478"/>
      <c r="R662" s="479"/>
      <c r="S662" s="658"/>
      <c r="T662" s="290"/>
      <c r="U662" s="290"/>
      <c r="V662" s="290"/>
    </row>
    <row r="663" spans="1:22" ht="27.75" customHeight="1">
      <c r="A663" s="331">
        <v>120</v>
      </c>
      <c r="B663" s="695" t="s">
        <v>1030</v>
      </c>
      <c r="C663" s="696" t="s">
        <v>713</v>
      </c>
      <c r="D663" s="697"/>
      <c r="E663" s="701"/>
      <c r="F663" s="579"/>
      <c r="G663" s="699"/>
      <c r="H663" s="373" t="s">
        <v>1142</v>
      </c>
      <c r="I663" s="331">
        <v>11</v>
      </c>
      <c r="J663" s="338">
        <v>33000</v>
      </c>
      <c r="K663" s="374">
        <f t="shared" si="33"/>
        <v>0</v>
      </c>
      <c r="L663" s="374">
        <f t="shared" si="30"/>
        <v>33000</v>
      </c>
      <c r="N663" s="325"/>
      <c r="O663" s="325"/>
      <c r="Q663" s="478"/>
      <c r="R663" s="479"/>
      <c r="S663" s="658"/>
      <c r="T663" s="290"/>
      <c r="U663" s="290"/>
      <c r="V663" s="290"/>
    </row>
    <row r="664" spans="1:22" ht="27.75" customHeight="1">
      <c r="B664" s="695" t="s">
        <v>1030</v>
      </c>
      <c r="C664" s="696" t="s">
        <v>713</v>
      </c>
      <c r="D664" s="697"/>
      <c r="E664" s="701"/>
      <c r="F664" s="579"/>
      <c r="G664" s="699"/>
      <c r="H664" s="373" t="s">
        <v>1514</v>
      </c>
      <c r="I664" s="331">
        <v>1</v>
      </c>
      <c r="J664" s="338">
        <v>3000</v>
      </c>
      <c r="K664" s="374">
        <f t="shared" si="33"/>
        <v>0</v>
      </c>
      <c r="L664" s="374">
        <f t="shared" si="30"/>
        <v>3000</v>
      </c>
      <c r="N664" s="325"/>
      <c r="O664" s="325"/>
      <c r="Q664" s="478"/>
      <c r="R664" s="479"/>
      <c r="S664" s="658"/>
      <c r="T664" s="290"/>
      <c r="U664" s="290"/>
      <c r="V664" s="290"/>
    </row>
    <row r="665" spans="1:22" ht="27.75" customHeight="1">
      <c r="B665" s="695" t="s">
        <v>1030</v>
      </c>
      <c r="C665" s="696" t="s">
        <v>713</v>
      </c>
      <c r="D665" s="697"/>
      <c r="E665" s="701"/>
      <c r="F665" s="579"/>
      <c r="G665" s="699"/>
      <c r="H665" s="373" t="s">
        <v>2053</v>
      </c>
      <c r="I665" s="331">
        <v>11</v>
      </c>
      <c r="J665" s="338">
        <v>35250</v>
      </c>
      <c r="K665" s="374">
        <f t="shared" si="33"/>
        <v>0</v>
      </c>
      <c r="L665" s="374">
        <f t="shared" si="30"/>
        <v>35250</v>
      </c>
      <c r="N665" s="325"/>
      <c r="O665" s="325"/>
      <c r="Q665" s="478"/>
      <c r="R665" s="479"/>
      <c r="S665" s="658"/>
      <c r="T665" s="290"/>
      <c r="U665" s="290"/>
      <c r="V665" s="290"/>
    </row>
    <row r="666" spans="1:22" ht="27.75" customHeight="1">
      <c r="A666" s="331">
        <v>121</v>
      </c>
      <c r="B666" s="695" t="s">
        <v>362</v>
      </c>
      <c r="C666" s="696" t="s">
        <v>714</v>
      </c>
      <c r="D666" s="697"/>
      <c r="E666" s="701"/>
      <c r="F666" s="579"/>
      <c r="G666" s="699"/>
      <c r="H666" s="373" t="s">
        <v>1616</v>
      </c>
      <c r="I666" s="331">
        <v>2</v>
      </c>
      <c r="J666" s="338">
        <v>6000</v>
      </c>
      <c r="K666" s="374">
        <f t="shared" si="33"/>
        <v>0</v>
      </c>
      <c r="L666" s="374">
        <f t="shared" si="30"/>
        <v>6000</v>
      </c>
      <c r="N666" s="325"/>
      <c r="O666" s="325"/>
      <c r="Q666" s="478"/>
      <c r="R666" s="479"/>
      <c r="S666" s="658"/>
      <c r="T666" s="290"/>
      <c r="U666" s="290"/>
      <c r="V666" s="290"/>
    </row>
    <row r="667" spans="1:22" ht="27.75" customHeight="1">
      <c r="B667" s="695" t="s">
        <v>362</v>
      </c>
      <c r="C667" s="696" t="s">
        <v>714</v>
      </c>
      <c r="D667" s="697"/>
      <c r="E667" s="701"/>
      <c r="F667" s="579"/>
      <c r="G667" s="699"/>
      <c r="H667" s="373" t="s">
        <v>2053</v>
      </c>
      <c r="I667" s="331">
        <v>11</v>
      </c>
      <c r="J667" s="338">
        <v>35250</v>
      </c>
      <c r="K667" s="374">
        <f t="shared" si="33"/>
        <v>0</v>
      </c>
      <c r="L667" s="374">
        <f t="shared" si="30"/>
        <v>35250</v>
      </c>
      <c r="N667" s="325"/>
      <c r="O667" s="325"/>
      <c r="Q667" s="478"/>
      <c r="R667" s="479"/>
      <c r="S667" s="658"/>
      <c r="T667" s="290"/>
      <c r="U667" s="290"/>
      <c r="V667" s="290"/>
    </row>
    <row r="668" spans="1:22" ht="27.75" customHeight="1">
      <c r="A668" s="331">
        <v>122</v>
      </c>
      <c r="B668" s="695" t="s">
        <v>1360</v>
      </c>
      <c r="C668" s="696" t="s">
        <v>1361</v>
      </c>
      <c r="D668" s="697"/>
      <c r="E668" s="701"/>
      <c r="F668" s="579"/>
      <c r="G668" s="699"/>
      <c r="H668" s="373" t="s">
        <v>995</v>
      </c>
      <c r="I668" s="331">
        <v>13</v>
      </c>
      <c r="J668" s="338">
        <v>39000</v>
      </c>
      <c r="K668" s="374">
        <f t="shared" si="33"/>
        <v>0</v>
      </c>
      <c r="L668" s="374">
        <f t="shared" si="30"/>
        <v>39000</v>
      </c>
      <c r="N668" s="325"/>
      <c r="O668" s="325"/>
      <c r="Q668" s="478"/>
      <c r="R668" s="479"/>
      <c r="S668" s="658"/>
      <c r="T668" s="290"/>
      <c r="U668" s="290"/>
      <c r="V668" s="290"/>
    </row>
    <row r="669" spans="1:22" ht="27.75" customHeight="1">
      <c r="B669" s="695" t="s">
        <v>1360</v>
      </c>
      <c r="C669" s="696" t="s">
        <v>1361</v>
      </c>
      <c r="D669" s="697"/>
      <c r="E669" s="701"/>
      <c r="F669" s="579"/>
      <c r="G669" s="699"/>
      <c r="H669" s="373" t="s">
        <v>2879</v>
      </c>
      <c r="I669" s="331">
        <v>7</v>
      </c>
      <c r="J669" s="338">
        <v>21000</v>
      </c>
      <c r="K669" s="374">
        <f t="shared" si="33"/>
        <v>0</v>
      </c>
      <c r="L669" s="374">
        <f t="shared" si="30"/>
        <v>21000</v>
      </c>
      <c r="N669" s="325"/>
      <c r="O669" s="325"/>
      <c r="Q669" s="478"/>
      <c r="R669" s="479"/>
      <c r="S669" s="658"/>
      <c r="T669" s="290"/>
      <c r="U669" s="290"/>
      <c r="V669" s="290"/>
    </row>
    <row r="670" spans="1:22" ht="27.75" customHeight="1">
      <c r="B670" s="695" t="s">
        <v>1360</v>
      </c>
      <c r="C670" s="696" t="s">
        <v>1361</v>
      </c>
      <c r="D670" s="697"/>
      <c r="E670" s="701"/>
      <c r="F670" s="579"/>
      <c r="G670" s="699"/>
      <c r="H670" s="373" t="s">
        <v>2053</v>
      </c>
      <c r="I670" s="331">
        <v>11</v>
      </c>
      <c r="J670" s="338">
        <v>35250</v>
      </c>
      <c r="K670" s="374">
        <f t="shared" ref="K670:K733" si="34">G670*11.54/100</f>
        <v>0</v>
      </c>
      <c r="L670" s="374">
        <f t="shared" si="30"/>
        <v>35250</v>
      </c>
      <c r="N670" s="325"/>
      <c r="O670" s="325"/>
      <c r="Q670" s="478"/>
      <c r="R670" s="479"/>
      <c r="S670" s="658"/>
      <c r="T670" s="290"/>
      <c r="U670" s="290"/>
      <c r="V670" s="290"/>
    </row>
    <row r="671" spans="1:22" ht="27.75" customHeight="1">
      <c r="A671" s="331">
        <v>123</v>
      </c>
      <c r="B671" s="695" t="s">
        <v>1734</v>
      </c>
      <c r="C671" s="696" t="s">
        <v>1735</v>
      </c>
      <c r="D671" s="697"/>
      <c r="E671" s="701"/>
      <c r="F671" s="579"/>
      <c r="G671" s="699"/>
      <c r="H671" s="373" t="s">
        <v>2060</v>
      </c>
      <c r="I671" s="331">
        <v>8</v>
      </c>
      <c r="J671" s="338">
        <v>26250</v>
      </c>
      <c r="K671" s="374">
        <f t="shared" si="34"/>
        <v>0</v>
      </c>
      <c r="L671" s="374">
        <f t="shared" si="30"/>
        <v>26250</v>
      </c>
      <c r="N671" s="325"/>
      <c r="O671" s="325"/>
      <c r="Q671" s="478"/>
      <c r="R671" s="479"/>
      <c r="S671" s="658"/>
      <c r="T671" s="290"/>
      <c r="U671" s="290"/>
      <c r="V671" s="290"/>
    </row>
    <row r="672" spans="1:22" ht="27.75" customHeight="1">
      <c r="A672" s="331">
        <v>124</v>
      </c>
      <c r="B672" s="695" t="s">
        <v>715</v>
      </c>
      <c r="C672" s="696" t="s">
        <v>459</v>
      </c>
      <c r="D672" s="697"/>
      <c r="E672" s="701"/>
      <c r="F672" s="579"/>
      <c r="G672" s="699"/>
      <c r="H672" s="373" t="s">
        <v>1159</v>
      </c>
      <c r="I672" s="331">
        <v>19</v>
      </c>
      <c r="J672" s="338">
        <v>57000</v>
      </c>
      <c r="K672" s="374">
        <f t="shared" si="34"/>
        <v>0</v>
      </c>
      <c r="L672" s="374">
        <f t="shared" si="30"/>
        <v>57000</v>
      </c>
      <c r="N672" s="325"/>
      <c r="O672" s="325"/>
      <c r="Q672" s="478"/>
      <c r="R672" s="479"/>
      <c r="S672" s="658"/>
      <c r="T672" s="290"/>
      <c r="U672" s="290"/>
      <c r="V672" s="290"/>
    </row>
    <row r="673" spans="1:22" ht="27.75" customHeight="1">
      <c r="B673" s="695" t="s">
        <v>715</v>
      </c>
      <c r="C673" s="696" t="s">
        <v>459</v>
      </c>
      <c r="D673" s="697"/>
      <c r="E673" s="701"/>
      <c r="F673" s="579"/>
      <c r="G673" s="699"/>
      <c r="H673" s="373" t="s">
        <v>2053</v>
      </c>
      <c r="I673" s="331">
        <v>11</v>
      </c>
      <c r="J673" s="338">
        <v>35250</v>
      </c>
      <c r="K673" s="374">
        <f t="shared" si="34"/>
        <v>0</v>
      </c>
      <c r="L673" s="374">
        <f t="shared" si="30"/>
        <v>35250</v>
      </c>
      <c r="N673" s="325"/>
      <c r="O673" s="325"/>
      <c r="Q673" s="478"/>
      <c r="R673" s="479"/>
      <c r="S673" s="658"/>
      <c r="T673" s="290"/>
      <c r="U673" s="290"/>
      <c r="V673" s="290"/>
    </row>
    <row r="674" spans="1:22" ht="27.75" customHeight="1">
      <c r="A674" s="331">
        <v>125</v>
      </c>
      <c r="B674" s="695" t="s">
        <v>716</v>
      </c>
      <c r="C674" s="696" t="s">
        <v>619</v>
      </c>
      <c r="D674" s="697"/>
      <c r="E674" s="701"/>
      <c r="F674" s="579"/>
      <c r="G674" s="699"/>
      <c r="H674" s="373" t="s">
        <v>1160</v>
      </c>
      <c r="I674" s="331">
        <v>13</v>
      </c>
      <c r="J674" s="338">
        <v>39000</v>
      </c>
      <c r="K674" s="374">
        <f t="shared" si="34"/>
        <v>0</v>
      </c>
      <c r="L674" s="374">
        <f t="shared" si="30"/>
        <v>39000</v>
      </c>
      <c r="N674" s="325"/>
      <c r="O674" s="325"/>
      <c r="Q674" s="478"/>
      <c r="R674" s="479"/>
      <c r="S674" s="658"/>
      <c r="T674" s="290"/>
      <c r="U674" s="290"/>
      <c r="V674" s="290"/>
    </row>
    <row r="675" spans="1:22" ht="27.75" customHeight="1">
      <c r="B675" s="695" t="s">
        <v>716</v>
      </c>
      <c r="C675" s="696" t="s">
        <v>619</v>
      </c>
      <c r="D675" s="697"/>
      <c r="E675" s="701"/>
      <c r="F675" s="579"/>
      <c r="G675" s="699"/>
      <c r="H675" s="373" t="s">
        <v>2074</v>
      </c>
      <c r="I675" s="331">
        <v>10</v>
      </c>
      <c r="J675" s="338">
        <v>32250</v>
      </c>
      <c r="K675" s="374">
        <f t="shared" si="34"/>
        <v>0</v>
      </c>
      <c r="L675" s="374">
        <f t="shared" si="30"/>
        <v>32250</v>
      </c>
      <c r="N675" s="325"/>
      <c r="O675" s="325"/>
      <c r="Q675" s="478"/>
      <c r="R675" s="479"/>
      <c r="S675" s="658"/>
      <c r="T675" s="290"/>
      <c r="U675" s="290"/>
      <c r="V675" s="290"/>
    </row>
    <row r="676" spans="1:22" ht="27.75" customHeight="1">
      <c r="A676" s="331">
        <v>126</v>
      </c>
      <c r="B676" s="695" t="s">
        <v>717</v>
      </c>
      <c r="C676" s="696" t="s">
        <v>718</v>
      </c>
      <c r="D676" s="697"/>
      <c r="E676" s="701"/>
      <c r="F676" s="579"/>
      <c r="G676" s="699"/>
      <c r="H676" s="373" t="s">
        <v>1142</v>
      </c>
      <c r="I676" s="331">
        <v>11</v>
      </c>
      <c r="J676" s="338">
        <v>33000</v>
      </c>
      <c r="K676" s="374">
        <f t="shared" si="34"/>
        <v>0</v>
      </c>
      <c r="L676" s="374">
        <f t="shared" si="30"/>
        <v>33000</v>
      </c>
      <c r="N676" s="325"/>
      <c r="O676" s="325"/>
      <c r="Q676" s="478"/>
      <c r="R676" s="479"/>
      <c r="S676" s="658"/>
      <c r="T676" s="290"/>
      <c r="U676" s="290"/>
      <c r="V676" s="290"/>
    </row>
    <row r="677" spans="1:22" ht="27.75" customHeight="1">
      <c r="B677" s="695" t="s">
        <v>717</v>
      </c>
      <c r="C677" s="696" t="s">
        <v>718</v>
      </c>
      <c r="D677" s="697"/>
      <c r="E677" s="701"/>
      <c r="F677" s="579"/>
      <c r="G677" s="699"/>
      <c r="H677" s="373" t="s">
        <v>1514</v>
      </c>
      <c r="I677" s="331">
        <v>1</v>
      </c>
      <c r="J677" s="338">
        <v>3000</v>
      </c>
      <c r="K677" s="374">
        <f t="shared" si="34"/>
        <v>0</v>
      </c>
      <c r="L677" s="374">
        <f t="shared" si="30"/>
        <v>3000</v>
      </c>
      <c r="N677" s="325"/>
      <c r="O677" s="325"/>
      <c r="Q677" s="478"/>
      <c r="R677" s="479"/>
      <c r="S677" s="658"/>
      <c r="T677" s="290"/>
      <c r="U677" s="290"/>
      <c r="V677" s="290"/>
    </row>
    <row r="678" spans="1:22" ht="27.75" customHeight="1">
      <c r="B678" s="695" t="s">
        <v>717</v>
      </c>
      <c r="C678" s="696" t="s">
        <v>718</v>
      </c>
      <c r="D678" s="697"/>
      <c r="E678" s="701"/>
      <c r="F678" s="579"/>
      <c r="G678" s="699"/>
      <c r="H678" s="373" t="s">
        <v>2053</v>
      </c>
      <c r="I678" s="331">
        <v>11</v>
      </c>
      <c r="J678" s="338">
        <v>35250</v>
      </c>
      <c r="K678" s="374">
        <f t="shared" si="34"/>
        <v>0</v>
      </c>
      <c r="L678" s="374">
        <f t="shared" si="30"/>
        <v>35250</v>
      </c>
      <c r="N678" s="325"/>
      <c r="O678" s="325"/>
      <c r="Q678" s="478"/>
      <c r="R678" s="479"/>
      <c r="S678" s="658"/>
      <c r="T678" s="290"/>
      <c r="U678" s="290"/>
      <c r="V678" s="290"/>
    </row>
    <row r="679" spans="1:22" ht="27.75" customHeight="1">
      <c r="A679" s="331">
        <v>127</v>
      </c>
      <c r="B679" s="695" t="s">
        <v>719</v>
      </c>
      <c r="C679" s="696" t="s">
        <v>620</v>
      </c>
      <c r="D679" s="697"/>
      <c r="E679" s="701"/>
      <c r="F679" s="579"/>
      <c r="G679" s="699"/>
      <c r="H679" s="373" t="s">
        <v>1619</v>
      </c>
      <c r="I679" s="331">
        <v>7</v>
      </c>
      <c r="J679" s="338">
        <v>21000</v>
      </c>
      <c r="K679" s="374">
        <f t="shared" si="34"/>
        <v>0</v>
      </c>
      <c r="L679" s="374">
        <f t="shared" si="30"/>
        <v>21000</v>
      </c>
      <c r="N679" s="325"/>
      <c r="O679" s="325"/>
      <c r="Q679" s="478"/>
      <c r="R679" s="479"/>
      <c r="S679" s="658"/>
      <c r="T679" s="290"/>
      <c r="U679" s="290"/>
      <c r="V679" s="290"/>
    </row>
    <row r="680" spans="1:22" ht="27.75" customHeight="1">
      <c r="B680" s="695" t="s">
        <v>719</v>
      </c>
      <c r="C680" s="696" t="s">
        <v>620</v>
      </c>
      <c r="D680" s="697"/>
      <c r="E680" s="701"/>
      <c r="F680" s="579"/>
      <c r="G680" s="699"/>
      <c r="H680" s="373" t="s">
        <v>2053</v>
      </c>
      <c r="I680" s="331">
        <v>11</v>
      </c>
      <c r="J680" s="338">
        <v>35250</v>
      </c>
      <c r="K680" s="374">
        <f t="shared" si="34"/>
        <v>0</v>
      </c>
      <c r="L680" s="374">
        <f t="shared" si="30"/>
        <v>35250</v>
      </c>
      <c r="N680" s="325"/>
      <c r="O680" s="325"/>
      <c r="Q680" s="478"/>
      <c r="R680" s="479"/>
      <c r="S680" s="658"/>
      <c r="T680" s="290"/>
      <c r="U680" s="290"/>
      <c r="V680" s="290"/>
    </row>
    <row r="681" spans="1:22" ht="27.75" customHeight="1">
      <c r="A681" s="331">
        <v>128</v>
      </c>
      <c r="B681" s="695" t="s">
        <v>720</v>
      </c>
      <c r="C681" s="696" t="s">
        <v>490</v>
      </c>
      <c r="D681" s="697"/>
      <c r="E681" s="701"/>
      <c r="F681" s="579"/>
      <c r="G681" s="699"/>
      <c r="H681" s="373" t="s">
        <v>995</v>
      </c>
      <c r="I681" s="331">
        <v>13</v>
      </c>
      <c r="J681" s="338">
        <v>39000</v>
      </c>
      <c r="K681" s="374">
        <f t="shared" si="34"/>
        <v>0</v>
      </c>
      <c r="L681" s="374">
        <f t="shared" si="30"/>
        <v>39000</v>
      </c>
      <c r="N681" s="325"/>
      <c r="O681" s="325"/>
      <c r="Q681" s="478"/>
      <c r="R681" s="479"/>
      <c r="S681" s="658"/>
      <c r="T681" s="290"/>
      <c r="U681" s="290"/>
      <c r="V681" s="290"/>
    </row>
    <row r="682" spans="1:22" ht="27.75" customHeight="1">
      <c r="B682" s="695" t="s">
        <v>720</v>
      </c>
      <c r="C682" s="696" t="s">
        <v>490</v>
      </c>
      <c r="D682" s="697"/>
      <c r="E682" s="701"/>
      <c r="F682" s="579"/>
      <c r="G682" s="699"/>
      <c r="H682" s="373" t="s">
        <v>2879</v>
      </c>
      <c r="I682" s="331">
        <v>7</v>
      </c>
      <c r="J682" s="338">
        <v>21000</v>
      </c>
      <c r="K682" s="374">
        <f t="shared" si="34"/>
        <v>0</v>
      </c>
      <c r="L682" s="374">
        <f t="shared" si="30"/>
        <v>21000</v>
      </c>
      <c r="N682" s="325"/>
      <c r="O682" s="325"/>
      <c r="Q682" s="478"/>
      <c r="R682" s="479"/>
      <c r="S682" s="658"/>
      <c r="T682" s="290"/>
      <c r="U682" s="290"/>
      <c r="V682" s="290"/>
    </row>
    <row r="683" spans="1:22" ht="27.75" customHeight="1">
      <c r="B683" s="695" t="s">
        <v>720</v>
      </c>
      <c r="C683" s="696" t="s">
        <v>490</v>
      </c>
      <c r="D683" s="697"/>
      <c r="E683" s="701"/>
      <c r="F683" s="579"/>
      <c r="G683" s="699"/>
      <c r="H683" s="373" t="s">
        <v>2053</v>
      </c>
      <c r="I683" s="331">
        <v>11</v>
      </c>
      <c r="J683" s="338">
        <v>35250</v>
      </c>
      <c r="K683" s="374">
        <f t="shared" si="34"/>
        <v>0</v>
      </c>
      <c r="L683" s="374">
        <f t="shared" si="30"/>
        <v>35250</v>
      </c>
      <c r="N683" s="325"/>
      <c r="O683" s="325"/>
      <c r="Q683" s="478"/>
      <c r="R683" s="479"/>
      <c r="S683" s="658"/>
      <c r="T683" s="290"/>
      <c r="U683" s="290"/>
      <c r="V683" s="290"/>
    </row>
    <row r="684" spans="1:22" ht="27.75" customHeight="1">
      <c r="A684" s="331">
        <v>129</v>
      </c>
      <c r="B684" s="695" t="s">
        <v>1362</v>
      </c>
      <c r="C684" s="696" t="s">
        <v>1363</v>
      </c>
      <c r="D684" s="697"/>
      <c r="E684" s="701"/>
      <c r="F684" s="579"/>
      <c r="G684" s="699"/>
      <c r="H684" s="373" t="s">
        <v>1614</v>
      </c>
      <c r="I684" s="331">
        <v>9</v>
      </c>
      <c r="J684" s="338">
        <v>27000</v>
      </c>
      <c r="K684" s="374">
        <f t="shared" si="34"/>
        <v>0</v>
      </c>
      <c r="L684" s="374">
        <f t="shared" si="30"/>
        <v>27000</v>
      </c>
      <c r="N684" s="325"/>
      <c r="O684" s="325"/>
      <c r="Q684" s="478"/>
      <c r="R684" s="479"/>
      <c r="S684" s="658"/>
      <c r="T684" s="290"/>
      <c r="U684" s="290"/>
      <c r="V684" s="290"/>
    </row>
    <row r="685" spans="1:22" ht="27.75" customHeight="1">
      <c r="B685" s="695" t="s">
        <v>1362</v>
      </c>
      <c r="C685" s="696" t="s">
        <v>1363</v>
      </c>
      <c r="D685" s="697"/>
      <c r="E685" s="701"/>
      <c r="F685" s="579"/>
      <c r="G685" s="699"/>
      <c r="H685" s="373" t="s">
        <v>1619</v>
      </c>
      <c r="I685" s="331">
        <v>7</v>
      </c>
      <c r="J685" s="338">
        <v>21000</v>
      </c>
      <c r="K685" s="374">
        <f t="shared" si="34"/>
        <v>0</v>
      </c>
      <c r="L685" s="374">
        <f t="shared" si="30"/>
        <v>21000</v>
      </c>
      <c r="N685" s="325"/>
      <c r="O685" s="325"/>
      <c r="Q685" s="478"/>
      <c r="R685" s="479"/>
      <c r="S685" s="658"/>
      <c r="T685" s="290"/>
      <c r="U685" s="290"/>
      <c r="V685" s="290"/>
    </row>
    <row r="686" spans="1:22" ht="27.75" customHeight="1">
      <c r="B686" s="695" t="s">
        <v>1362</v>
      </c>
      <c r="C686" s="696" t="s">
        <v>1363</v>
      </c>
      <c r="D686" s="697"/>
      <c r="E686" s="701"/>
      <c r="F686" s="579"/>
      <c r="G686" s="699"/>
      <c r="H686" s="373" t="s">
        <v>2053</v>
      </c>
      <c r="I686" s="331">
        <v>11</v>
      </c>
      <c r="J686" s="338">
        <v>35250</v>
      </c>
      <c r="K686" s="374">
        <f t="shared" si="34"/>
        <v>0</v>
      </c>
      <c r="L686" s="374">
        <f t="shared" si="30"/>
        <v>35250</v>
      </c>
      <c r="N686" s="325"/>
      <c r="O686" s="325"/>
      <c r="Q686" s="478"/>
      <c r="R686" s="479"/>
      <c r="S686" s="658"/>
      <c r="T686" s="290"/>
      <c r="U686" s="290"/>
      <c r="V686" s="290"/>
    </row>
    <row r="687" spans="1:22" ht="27.75" customHeight="1">
      <c r="A687" s="331">
        <v>130</v>
      </c>
      <c r="B687" s="695" t="s">
        <v>430</v>
      </c>
      <c r="C687" s="696" t="s">
        <v>498</v>
      </c>
      <c r="D687" s="697"/>
      <c r="E687" s="701"/>
      <c r="F687" s="579"/>
      <c r="G687" s="699"/>
      <c r="H687" s="373" t="s">
        <v>1161</v>
      </c>
      <c r="I687" s="331">
        <v>16</v>
      </c>
      <c r="J687" s="338">
        <v>48000</v>
      </c>
      <c r="K687" s="374">
        <f t="shared" si="34"/>
        <v>0</v>
      </c>
      <c r="L687" s="374">
        <f t="shared" si="30"/>
        <v>48000</v>
      </c>
      <c r="N687" s="325"/>
      <c r="O687" s="325"/>
      <c r="Q687" s="478"/>
      <c r="R687" s="479"/>
      <c r="S687" s="658"/>
      <c r="T687" s="290"/>
      <c r="U687" s="290"/>
      <c r="V687" s="290"/>
    </row>
    <row r="688" spans="1:22" ht="27.75" customHeight="1">
      <c r="B688" s="695" t="s">
        <v>430</v>
      </c>
      <c r="C688" s="696" t="s">
        <v>498</v>
      </c>
      <c r="D688" s="697"/>
      <c r="E688" s="701"/>
      <c r="F688" s="579"/>
      <c r="G688" s="699"/>
      <c r="H688" s="373" t="s">
        <v>2053</v>
      </c>
      <c r="I688" s="331">
        <v>11</v>
      </c>
      <c r="J688" s="338">
        <v>35250</v>
      </c>
      <c r="K688" s="374">
        <f t="shared" si="34"/>
        <v>0</v>
      </c>
      <c r="L688" s="374">
        <f t="shared" si="30"/>
        <v>35250</v>
      </c>
      <c r="N688" s="325"/>
      <c r="O688" s="325"/>
      <c r="Q688" s="478"/>
      <c r="R688" s="479"/>
      <c r="S688" s="658"/>
      <c r="T688" s="290"/>
      <c r="U688" s="290"/>
      <c r="V688" s="290"/>
    </row>
    <row r="689" spans="1:22" ht="27.75" customHeight="1">
      <c r="A689" s="331">
        <v>131</v>
      </c>
      <c r="B689" s="695" t="s">
        <v>721</v>
      </c>
      <c r="C689" s="696" t="s">
        <v>460</v>
      </c>
      <c r="D689" s="697"/>
      <c r="E689" s="701"/>
      <c r="F689" s="579"/>
      <c r="G689" s="699"/>
      <c r="H689" s="373" t="s">
        <v>1620</v>
      </c>
      <c r="I689" s="331">
        <v>11</v>
      </c>
      <c r="J689" s="338">
        <v>33000</v>
      </c>
      <c r="K689" s="374">
        <f t="shared" si="34"/>
        <v>0</v>
      </c>
      <c r="L689" s="374">
        <f t="shared" si="30"/>
        <v>33000</v>
      </c>
      <c r="N689" s="325"/>
      <c r="O689" s="325"/>
      <c r="Q689" s="478"/>
      <c r="R689" s="479"/>
      <c r="S689" s="658"/>
      <c r="T689" s="290"/>
      <c r="U689" s="290"/>
      <c r="V689" s="290"/>
    </row>
    <row r="690" spans="1:22" ht="27.75" customHeight="1">
      <c r="B690" s="695" t="s">
        <v>721</v>
      </c>
      <c r="C690" s="696" t="s">
        <v>460</v>
      </c>
      <c r="D690" s="697"/>
      <c r="E690" s="701"/>
      <c r="F690" s="579"/>
      <c r="G690" s="699"/>
      <c r="H690" s="373" t="s">
        <v>2879</v>
      </c>
      <c r="I690" s="331">
        <v>7</v>
      </c>
      <c r="J690" s="338">
        <v>21000</v>
      </c>
      <c r="K690" s="374">
        <f t="shared" si="34"/>
        <v>0</v>
      </c>
      <c r="L690" s="374">
        <f t="shared" si="30"/>
        <v>21000</v>
      </c>
      <c r="N690" s="325"/>
      <c r="O690" s="325"/>
      <c r="Q690" s="478"/>
      <c r="R690" s="479"/>
      <c r="S690" s="658"/>
      <c r="T690" s="290"/>
      <c r="U690" s="290"/>
      <c r="V690" s="290"/>
    </row>
    <row r="691" spans="1:22" ht="27.75" customHeight="1">
      <c r="B691" s="695" t="s">
        <v>721</v>
      </c>
      <c r="C691" s="696" t="s">
        <v>460</v>
      </c>
      <c r="D691" s="697"/>
      <c r="E691" s="701"/>
      <c r="F691" s="579"/>
      <c r="G691" s="699"/>
      <c r="H691" s="373" t="s">
        <v>2053</v>
      </c>
      <c r="I691" s="331">
        <v>11</v>
      </c>
      <c r="J691" s="338">
        <v>35250</v>
      </c>
      <c r="K691" s="374">
        <f t="shared" si="34"/>
        <v>0</v>
      </c>
      <c r="L691" s="374">
        <f t="shared" si="30"/>
        <v>35250</v>
      </c>
      <c r="N691" s="325"/>
      <c r="O691" s="325"/>
      <c r="Q691" s="478"/>
      <c r="R691" s="479"/>
      <c r="S691" s="658"/>
      <c r="T691" s="290"/>
      <c r="U691" s="290"/>
      <c r="V691" s="290"/>
    </row>
    <row r="692" spans="1:22" ht="27.75" customHeight="1">
      <c r="A692" s="331">
        <v>132</v>
      </c>
      <c r="B692" s="695" t="s">
        <v>1563</v>
      </c>
      <c r="C692" s="696" t="s">
        <v>1364</v>
      </c>
      <c r="D692" s="697"/>
      <c r="E692" s="701"/>
      <c r="F692" s="579"/>
      <c r="G692" s="699"/>
      <c r="H692" s="373" t="s">
        <v>2053</v>
      </c>
      <c r="I692" s="331">
        <v>11</v>
      </c>
      <c r="J692" s="338">
        <v>35250</v>
      </c>
      <c r="K692" s="374">
        <f t="shared" si="34"/>
        <v>0</v>
      </c>
      <c r="L692" s="374">
        <f t="shared" si="30"/>
        <v>35250</v>
      </c>
      <c r="N692" s="325"/>
      <c r="O692" s="325"/>
      <c r="Q692" s="478"/>
      <c r="R692" s="479"/>
      <c r="S692" s="658"/>
      <c r="T692" s="290"/>
      <c r="U692" s="290"/>
      <c r="V692" s="290"/>
    </row>
    <row r="693" spans="1:22" ht="27.75" customHeight="1">
      <c r="A693" s="331">
        <v>133</v>
      </c>
      <c r="B693" s="695" t="s">
        <v>1365</v>
      </c>
      <c r="C693" s="696" t="s">
        <v>1366</v>
      </c>
      <c r="D693" s="697"/>
      <c r="E693" s="701"/>
      <c r="F693" s="579"/>
      <c r="G693" s="699"/>
      <c r="H693" s="373" t="s">
        <v>995</v>
      </c>
      <c r="I693" s="331">
        <v>13</v>
      </c>
      <c r="J693" s="338">
        <v>39000</v>
      </c>
      <c r="K693" s="374">
        <f t="shared" si="34"/>
        <v>0</v>
      </c>
      <c r="L693" s="374">
        <f t="shared" si="30"/>
        <v>39000</v>
      </c>
      <c r="N693" s="325"/>
      <c r="O693" s="325"/>
      <c r="Q693" s="478"/>
      <c r="R693" s="479"/>
      <c r="S693" s="658"/>
      <c r="T693" s="290"/>
      <c r="U693" s="290"/>
      <c r="V693" s="290"/>
    </row>
    <row r="694" spans="1:22" ht="27.75" customHeight="1">
      <c r="B694" s="695" t="s">
        <v>1365</v>
      </c>
      <c r="C694" s="696" t="s">
        <v>1366</v>
      </c>
      <c r="D694" s="697"/>
      <c r="E694" s="701"/>
      <c r="F694" s="579"/>
      <c r="G694" s="699"/>
      <c r="H694" s="373" t="s">
        <v>2879</v>
      </c>
      <c r="I694" s="331">
        <v>7</v>
      </c>
      <c r="J694" s="338">
        <v>21000</v>
      </c>
      <c r="K694" s="374">
        <f t="shared" si="34"/>
        <v>0</v>
      </c>
      <c r="L694" s="374">
        <f t="shared" si="30"/>
        <v>21000</v>
      </c>
      <c r="N694" s="325"/>
      <c r="O694" s="325"/>
      <c r="Q694" s="478"/>
      <c r="R694" s="479"/>
      <c r="S694" s="658"/>
      <c r="T694" s="290"/>
      <c r="U694" s="290"/>
      <c r="V694" s="290"/>
    </row>
    <row r="695" spans="1:22" ht="27.75" customHeight="1">
      <c r="B695" s="695" t="s">
        <v>1365</v>
      </c>
      <c r="C695" s="696" t="s">
        <v>1366</v>
      </c>
      <c r="D695" s="697"/>
      <c r="E695" s="701"/>
      <c r="F695" s="579"/>
      <c r="G695" s="699"/>
      <c r="H695" s="373" t="s">
        <v>2053</v>
      </c>
      <c r="I695" s="331">
        <v>11</v>
      </c>
      <c r="J695" s="338">
        <v>35250</v>
      </c>
      <c r="K695" s="374">
        <f t="shared" si="34"/>
        <v>0</v>
      </c>
      <c r="L695" s="374">
        <f t="shared" si="30"/>
        <v>35250</v>
      </c>
      <c r="N695" s="325"/>
      <c r="O695" s="325"/>
      <c r="Q695" s="478"/>
      <c r="R695" s="479"/>
      <c r="S695" s="658"/>
      <c r="T695" s="290"/>
      <c r="U695" s="290"/>
      <c r="V695" s="290"/>
    </row>
    <row r="696" spans="1:22" ht="27.75" customHeight="1">
      <c r="A696" s="331">
        <v>134</v>
      </c>
      <c r="B696" s="695" t="s">
        <v>806</v>
      </c>
      <c r="C696" s="696" t="s">
        <v>807</v>
      </c>
      <c r="D696" s="697"/>
      <c r="E696" s="701"/>
      <c r="F696" s="579"/>
      <c r="G696" s="699"/>
      <c r="H696" s="373" t="s">
        <v>1651</v>
      </c>
      <c r="I696" s="331">
        <v>12</v>
      </c>
      <c r="J696" s="338">
        <v>36000</v>
      </c>
      <c r="K696" s="374">
        <f t="shared" si="34"/>
        <v>0</v>
      </c>
      <c r="L696" s="374">
        <f t="shared" si="30"/>
        <v>36000</v>
      </c>
      <c r="N696" s="325"/>
      <c r="O696" s="325"/>
      <c r="Q696" s="478"/>
      <c r="R696" s="479"/>
      <c r="S696" s="658"/>
      <c r="T696" s="290"/>
      <c r="U696" s="290"/>
      <c r="V696" s="290"/>
    </row>
    <row r="697" spans="1:22" ht="27.75" customHeight="1">
      <c r="A697" s="331">
        <v>135</v>
      </c>
      <c r="B697" s="695" t="s">
        <v>1564</v>
      </c>
      <c r="C697" s="696" t="s">
        <v>1565</v>
      </c>
      <c r="D697" s="697"/>
      <c r="E697" s="701"/>
      <c r="F697" s="579"/>
      <c r="G697" s="699"/>
      <c r="H697" s="373" t="s">
        <v>1621</v>
      </c>
      <c r="I697" s="331">
        <v>6</v>
      </c>
      <c r="J697" s="338">
        <v>18000</v>
      </c>
      <c r="K697" s="374">
        <f t="shared" si="34"/>
        <v>0</v>
      </c>
      <c r="L697" s="374">
        <f t="shared" si="30"/>
        <v>18000</v>
      </c>
      <c r="N697" s="325"/>
      <c r="O697" s="325"/>
      <c r="Q697" s="478"/>
      <c r="R697" s="479"/>
      <c r="S697" s="658"/>
      <c r="T697" s="290"/>
      <c r="U697" s="290"/>
      <c r="V697" s="290"/>
    </row>
    <row r="698" spans="1:22" ht="27.75" customHeight="1">
      <c r="B698" s="695" t="s">
        <v>1564</v>
      </c>
      <c r="C698" s="696" t="s">
        <v>1565</v>
      </c>
      <c r="D698" s="697"/>
      <c r="E698" s="701"/>
      <c r="F698" s="579"/>
      <c r="G698" s="699"/>
      <c r="H698" s="373" t="s">
        <v>2074</v>
      </c>
      <c r="I698" s="331">
        <v>10</v>
      </c>
      <c r="J698" s="338">
        <v>32250</v>
      </c>
      <c r="K698" s="374">
        <f t="shared" si="34"/>
        <v>0</v>
      </c>
      <c r="L698" s="374">
        <f t="shared" si="30"/>
        <v>32250</v>
      </c>
      <c r="N698" s="325"/>
      <c r="O698" s="325"/>
      <c r="Q698" s="478"/>
      <c r="R698" s="479"/>
      <c r="S698" s="658"/>
      <c r="T698" s="290"/>
      <c r="U698" s="290"/>
      <c r="V698" s="290"/>
    </row>
    <row r="699" spans="1:22" ht="27.75" customHeight="1">
      <c r="A699" s="331">
        <v>136</v>
      </c>
      <c r="B699" s="695" t="s">
        <v>1367</v>
      </c>
      <c r="C699" s="696" t="s">
        <v>1368</v>
      </c>
      <c r="D699" s="697"/>
      <c r="E699" s="701"/>
      <c r="F699" s="579"/>
      <c r="G699" s="699"/>
      <c r="H699" s="373" t="s">
        <v>1620</v>
      </c>
      <c r="I699" s="331">
        <v>11</v>
      </c>
      <c r="J699" s="338">
        <v>33000</v>
      </c>
      <c r="K699" s="374">
        <f t="shared" si="34"/>
        <v>0</v>
      </c>
      <c r="L699" s="374">
        <f t="shared" si="30"/>
        <v>33000</v>
      </c>
      <c r="N699" s="325"/>
      <c r="O699" s="325"/>
      <c r="Q699" s="478"/>
      <c r="R699" s="479"/>
      <c r="S699" s="658"/>
      <c r="T699" s="290"/>
      <c r="U699" s="290"/>
      <c r="V699" s="290"/>
    </row>
    <row r="700" spans="1:22" ht="27.75" customHeight="1">
      <c r="B700" s="695" t="s">
        <v>1367</v>
      </c>
      <c r="C700" s="696" t="s">
        <v>1368</v>
      </c>
      <c r="D700" s="697"/>
      <c r="E700" s="701"/>
      <c r="F700" s="579"/>
      <c r="G700" s="699"/>
      <c r="H700" s="373" t="s">
        <v>2879</v>
      </c>
      <c r="I700" s="331">
        <v>7</v>
      </c>
      <c r="J700" s="338">
        <v>21000</v>
      </c>
      <c r="K700" s="374">
        <f t="shared" si="34"/>
        <v>0</v>
      </c>
      <c r="L700" s="374">
        <f t="shared" si="30"/>
        <v>21000</v>
      </c>
      <c r="N700" s="325"/>
      <c r="O700" s="325"/>
      <c r="Q700" s="478"/>
      <c r="R700" s="479"/>
      <c r="S700" s="658"/>
      <c r="T700" s="290"/>
      <c r="U700" s="290"/>
      <c r="V700" s="290"/>
    </row>
    <row r="701" spans="1:22" ht="27.75" customHeight="1">
      <c r="B701" s="695" t="s">
        <v>1367</v>
      </c>
      <c r="C701" s="696" t="s">
        <v>1368</v>
      </c>
      <c r="D701" s="697"/>
      <c r="E701" s="701"/>
      <c r="F701" s="579"/>
      <c r="G701" s="699"/>
      <c r="H701" s="373" t="s">
        <v>2053</v>
      </c>
      <c r="I701" s="331">
        <v>11</v>
      </c>
      <c r="J701" s="338">
        <v>35250</v>
      </c>
      <c r="K701" s="374">
        <f t="shared" si="34"/>
        <v>0</v>
      </c>
      <c r="L701" s="374">
        <f t="shared" si="30"/>
        <v>35250</v>
      </c>
      <c r="N701" s="325"/>
      <c r="O701" s="325"/>
      <c r="Q701" s="478"/>
      <c r="R701" s="479"/>
      <c r="S701" s="658"/>
      <c r="T701" s="290"/>
      <c r="U701" s="290"/>
      <c r="V701" s="290"/>
    </row>
    <row r="702" spans="1:22" ht="27.75" customHeight="1">
      <c r="A702" s="331">
        <v>137</v>
      </c>
      <c r="B702" s="695" t="s">
        <v>1369</v>
      </c>
      <c r="C702" s="696" t="s">
        <v>1370</v>
      </c>
      <c r="D702" s="697"/>
      <c r="E702" s="701"/>
      <c r="F702" s="579"/>
      <c r="G702" s="699"/>
      <c r="H702" s="373" t="s">
        <v>1160</v>
      </c>
      <c r="I702" s="331">
        <v>13</v>
      </c>
      <c r="J702" s="338">
        <v>39000</v>
      </c>
      <c r="K702" s="374">
        <f t="shared" si="34"/>
        <v>0</v>
      </c>
      <c r="L702" s="374">
        <f t="shared" si="30"/>
        <v>39000</v>
      </c>
      <c r="N702" s="325"/>
      <c r="O702" s="325"/>
      <c r="Q702" s="478"/>
      <c r="R702" s="479"/>
      <c r="S702" s="658"/>
      <c r="T702" s="290"/>
      <c r="U702" s="290"/>
      <c r="V702" s="290"/>
    </row>
    <row r="703" spans="1:22" ht="27.75" customHeight="1">
      <c r="B703" s="695" t="s">
        <v>1369</v>
      </c>
      <c r="C703" s="696" t="s">
        <v>1370</v>
      </c>
      <c r="D703" s="697"/>
      <c r="E703" s="701"/>
      <c r="F703" s="579"/>
      <c r="G703" s="699"/>
      <c r="H703" s="373" t="s">
        <v>2053</v>
      </c>
      <c r="I703" s="331">
        <v>11</v>
      </c>
      <c r="J703" s="338">
        <v>35250</v>
      </c>
      <c r="K703" s="374">
        <f t="shared" si="34"/>
        <v>0</v>
      </c>
      <c r="L703" s="374">
        <f t="shared" si="30"/>
        <v>35250</v>
      </c>
      <c r="N703" s="325"/>
      <c r="O703" s="325"/>
      <c r="Q703" s="478"/>
      <c r="R703" s="479"/>
      <c r="S703" s="658"/>
      <c r="T703" s="290"/>
      <c r="U703" s="290"/>
      <c r="V703" s="290"/>
    </row>
    <row r="704" spans="1:22" ht="27.75" customHeight="1">
      <c r="A704" s="331">
        <v>138</v>
      </c>
      <c r="B704" s="695" t="s">
        <v>367</v>
      </c>
      <c r="C704" s="696" t="s">
        <v>544</v>
      </c>
      <c r="D704" s="697"/>
      <c r="E704" s="701"/>
      <c r="F704" s="579"/>
      <c r="G704" s="699"/>
      <c r="H704" s="373" t="s">
        <v>1614</v>
      </c>
      <c r="I704" s="331">
        <v>9</v>
      </c>
      <c r="J704" s="338">
        <v>27000</v>
      </c>
      <c r="K704" s="374">
        <f t="shared" si="34"/>
        <v>0</v>
      </c>
      <c r="L704" s="374">
        <f t="shared" si="30"/>
        <v>27000</v>
      </c>
      <c r="N704" s="325"/>
      <c r="O704" s="325"/>
      <c r="Q704" s="478"/>
      <c r="R704" s="479"/>
      <c r="S704" s="658"/>
      <c r="T704" s="290"/>
      <c r="U704" s="290"/>
      <c r="V704" s="290"/>
    </row>
    <row r="705" spans="1:22" ht="27.75" customHeight="1">
      <c r="B705" s="695" t="s">
        <v>367</v>
      </c>
      <c r="C705" s="696" t="s">
        <v>544</v>
      </c>
      <c r="D705" s="697"/>
      <c r="E705" s="701"/>
      <c r="F705" s="579"/>
      <c r="G705" s="699"/>
      <c r="H705" s="373" t="s">
        <v>2879</v>
      </c>
      <c r="I705" s="331">
        <v>7</v>
      </c>
      <c r="J705" s="338">
        <v>21000</v>
      </c>
      <c r="K705" s="374">
        <f t="shared" si="34"/>
        <v>0</v>
      </c>
      <c r="L705" s="374">
        <f t="shared" si="30"/>
        <v>21000</v>
      </c>
      <c r="N705" s="325"/>
      <c r="O705" s="325"/>
      <c r="Q705" s="478"/>
      <c r="R705" s="479"/>
      <c r="S705" s="658"/>
      <c r="T705" s="290"/>
      <c r="U705" s="290"/>
      <c r="V705" s="290"/>
    </row>
    <row r="706" spans="1:22" ht="27.75" customHeight="1">
      <c r="B706" s="695" t="s">
        <v>367</v>
      </c>
      <c r="C706" s="696" t="s">
        <v>544</v>
      </c>
      <c r="D706" s="697"/>
      <c r="E706" s="701"/>
      <c r="F706" s="579"/>
      <c r="G706" s="699"/>
      <c r="H706" s="373" t="s">
        <v>2053</v>
      </c>
      <c r="I706" s="331">
        <v>11</v>
      </c>
      <c r="J706" s="338">
        <v>35250</v>
      </c>
      <c r="K706" s="374">
        <f t="shared" si="34"/>
        <v>0</v>
      </c>
      <c r="L706" s="374">
        <f t="shared" si="30"/>
        <v>35250</v>
      </c>
      <c r="N706" s="325"/>
      <c r="O706" s="325"/>
      <c r="Q706" s="478"/>
      <c r="R706" s="479"/>
      <c r="S706" s="658"/>
      <c r="T706" s="290"/>
      <c r="U706" s="290"/>
      <c r="V706" s="290"/>
    </row>
    <row r="707" spans="1:22" ht="27.75" customHeight="1">
      <c r="A707" s="331">
        <v>139</v>
      </c>
      <c r="B707" s="695" t="s">
        <v>722</v>
      </c>
      <c r="C707" s="696" t="s">
        <v>621</v>
      </c>
      <c r="D707" s="697"/>
      <c r="E707" s="701"/>
      <c r="F707" s="579"/>
      <c r="G707" s="699"/>
      <c r="H707" s="373" t="s">
        <v>1156</v>
      </c>
      <c r="I707" s="331">
        <v>4</v>
      </c>
      <c r="J707" s="338">
        <v>12000</v>
      </c>
      <c r="K707" s="374">
        <f t="shared" si="34"/>
        <v>0</v>
      </c>
      <c r="L707" s="374">
        <f t="shared" si="30"/>
        <v>12000</v>
      </c>
      <c r="N707" s="325"/>
      <c r="O707" s="325"/>
      <c r="Q707" s="478"/>
      <c r="R707" s="479"/>
      <c r="S707" s="658"/>
      <c r="T707" s="290"/>
      <c r="U707" s="290"/>
      <c r="V707" s="290"/>
    </row>
    <row r="708" spans="1:22" ht="27.75" customHeight="1">
      <c r="B708" s="695" t="s">
        <v>722</v>
      </c>
      <c r="C708" s="696" t="s">
        <v>621</v>
      </c>
      <c r="D708" s="697"/>
      <c r="E708" s="701"/>
      <c r="F708" s="579"/>
      <c r="G708" s="699"/>
      <c r="H708" s="373" t="s">
        <v>2053</v>
      </c>
      <c r="I708" s="331">
        <v>11</v>
      </c>
      <c r="J708" s="338">
        <v>35250</v>
      </c>
      <c r="K708" s="374">
        <f t="shared" si="34"/>
        <v>0</v>
      </c>
      <c r="L708" s="374">
        <f t="shared" si="30"/>
        <v>35250</v>
      </c>
      <c r="N708" s="325"/>
      <c r="O708" s="325"/>
      <c r="Q708" s="478"/>
      <c r="R708" s="479"/>
      <c r="S708" s="658"/>
      <c r="T708" s="290"/>
      <c r="U708" s="290"/>
      <c r="V708" s="290"/>
    </row>
    <row r="709" spans="1:22" ht="27.75" customHeight="1">
      <c r="A709" s="331">
        <v>140</v>
      </c>
      <c r="B709" s="695" t="s">
        <v>1371</v>
      </c>
      <c r="C709" s="696" t="s">
        <v>1372</v>
      </c>
      <c r="D709" s="697"/>
      <c r="E709" s="701"/>
      <c r="F709" s="579"/>
      <c r="G709" s="699"/>
      <c r="H709" s="373" t="s">
        <v>995</v>
      </c>
      <c r="I709" s="331">
        <v>13</v>
      </c>
      <c r="J709" s="338">
        <v>39000</v>
      </c>
      <c r="K709" s="374">
        <f t="shared" si="34"/>
        <v>0</v>
      </c>
      <c r="L709" s="374">
        <f t="shared" si="30"/>
        <v>39000</v>
      </c>
      <c r="N709" s="325"/>
      <c r="O709" s="325"/>
      <c r="Q709" s="478"/>
      <c r="R709" s="479"/>
      <c r="S709" s="658"/>
      <c r="T709" s="290"/>
      <c r="U709" s="290"/>
      <c r="V709" s="290"/>
    </row>
    <row r="710" spans="1:22" ht="27.75" customHeight="1">
      <c r="B710" s="695" t="s">
        <v>1371</v>
      </c>
      <c r="C710" s="696" t="s">
        <v>1372</v>
      </c>
      <c r="D710" s="697"/>
      <c r="E710" s="701"/>
      <c r="F710" s="579"/>
      <c r="G710" s="699"/>
      <c r="H710" s="373" t="s">
        <v>2879</v>
      </c>
      <c r="I710" s="331">
        <v>7</v>
      </c>
      <c r="J710" s="338">
        <v>21000</v>
      </c>
      <c r="K710" s="374">
        <f t="shared" si="34"/>
        <v>0</v>
      </c>
      <c r="L710" s="374">
        <f t="shared" si="30"/>
        <v>21000</v>
      </c>
      <c r="N710" s="325"/>
      <c r="O710" s="325"/>
      <c r="Q710" s="478"/>
      <c r="R710" s="479"/>
      <c r="S710" s="658"/>
      <c r="T710" s="290"/>
      <c r="U710" s="290"/>
      <c r="V710" s="290"/>
    </row>
    <row r="711" spans="1:22" ht="27.75" customHeight="1">
      <c r="B711" s="695" t="s">
        <v>1371</v>
      </c>
      <c r="C711" s="696" t="s">
        <v>1372</v>
      </c>
      <c r="D711" s="697"/>
      <c r="E711" s="701"/>
      <c r="F711" s="579"/>
      <c r="G711" s="699"/>
      <c r="H711" s="373" t="s">
        <v>2053</v>
      </c>
      <c r="I711" s="331">
        <v>11</v>
      </c>
      <c r="J711" s="338">
        <v>35250</v>
      </c>
      <c r="K711" s="374">
        <f t="shared" si="34"/>
        <v>0</v>
      </c>
      <c r="L711" s="374">
        <f t="shared" si="30"/>
        <v>35250</v>
      </c>
      <c r="N711" s="325"/>
      <c r="O711" s="325"/>
      <c r="Q711" s="478"/>
      <c r="R711" s="479"/>
      <c r="S711" s="658"/>
      <c r="T711" s="290"/>
      <c r="U711" s="290"/>
      <c r="V711" s="290"/>
    </row>
    <row r="712" spans="1:22" ht="27.75" customHeight="1">
      <c r="A712" s="331">
        <v>141</v>
      </c>
      <c r="B712" s="695" t="s">
        <v>1373</v>
      </c>
      <c r="C712" s="696" t="s">
        <v>1374</v>
      </c>
      <c r="D712" s="697"/>
      <c r="E712" s="701"/>
      <c r="F712" s="579"/>
      <c r="G712" s="699"/>
      <c r="H712" s="373" t="s">
        <v>1620</v>
      </c>
      <c r="I712" s="331">
        <v>11</v>
      </c>
      <c r="J712" s="338">
        <v>33000</v>
      </c>
      <c r="K712" s="374">
        <f t="shared" si="34"/>
        <v>0</v>
      </c>
      <c r="L712" s="374">
        <f t="shared" si="30"/>
        <v>33000</v>
      </c>
      <c r="N712" s="325"/>
      <c r="O712" s="325"/>
      <c r="Q712" s="478"/>
      <c r="R712" s="479"/>
      <c r="S712" s="658"/>
      <c r="T712" s="290"/>
      <c r="U712" s="290"/>
      <c r="V712" s="290"/>
    </row>
    <row r="713" spans="1:22" ht="27.75" customHeight="1">
      <c r="B713" s="695" t="s">
        <v>1373</v>
      </c>
      <c r="C713" s="696" t="s">
        <v>1374</v>
      </c>
      <c r="D713" s="697"/>
      <c r="E713" s="701"/>
      <c r="F713" s="579"/>
      <c r="G713" s="699"/>
      <c r="H713" s="373" t="s">
        <v>2879</v>
      </c>
      <c r="I713" s="331">
        <v>7</v>
      </c>
      <c r="J713" s="338">
        <v>21000</v>
      </c>
      <c r="K713" s="374">
        <f t="shared" si="34"/>
        <v>0</v>
      </c>
      <c r="L713" s="374">
        <f t="shared" si="30"/>
        <v>21000</v>
      </c>
      <c r="N713" s="325"/>
      <c r="O713" s="325"/>
      <c r="Q713" s="478"/>
      <c r="R713" s="479"/>
      <c r="S713" s="658"/>
      <c r="T713" s="290"/>
      <c r="U713" s="290"/>
      <c r="V713" s="290"/>
    </row>
    <row r="714" spans="1:22" ht="27.75" customHeight="1">
      <c r="B714" s="695" t="s">
        <v>1373</v>
      </c>
      <c r="C714" s="696" t="s">
        <v>1374</v>
      </c>
      <c r="D714" s="697"/>
      <c r="E714" s="701"/>
      <c r="F714" s="579"/>
      <c r="G714" s="699"/>
      <c r="H714" s="373" t="s">
        <v>2053</v>
      </c>
      <c r="I714" s="331">
        <v>11</v>
      </c>
      <c r="J714" s="338">
        <v>35250</v>
      </c>
      <c r="K714" s="374">
        <f t="shared" si="34"/>
        <v>0</v>
      </c>
      <c r="L714" s="374">
        <f t="shared" si="30"/>
        <v>35250</v>
      </c>
      <c r="N714" s="325"/>
      <c r="O714" s="325"/>
      <c r="Q714" s="478"/>
      <c r="R714" s="479"/>
      <c r="S714" s="658"/>
      <c r="T714" s="290"/>
      <c r="U714" s="290"/>
      <c r="V714" s="290"/>
    </row>
    <row r="715" spans="1:22" ht="27.75" customHeight="1">
      <c r="A715" s="331">
        <v>142</v>
      </c>
      <c r="B715" s="695" t="s">
        <v>1375</v>
      </c>
      <c r="C715" s="696" t="s">
        <v>1376</v>
      </c>
      <c r="D715" s="697"/>
      <c r="E715" s="701"/>
      <c r="F715" s="579"/>
      <c r="G715" s="699"/>
      <c r="H715" s="373" t="s">
        <v>995</v>
      </c>
      <c r="I715" s="331">
        <v>13</v>
      </c>
      <c r="J715" s="338">
        <v>39000</v>
      </c>
      <c r="K715" s="374">
        <f t="shared" si="34"/>
        <v>0</v>
      </c>
      <c r="L715" s="374">
        <f t="shared" si="30"/>
        <v>39000</v>
      </c>
      <c r="N715" s="325"/>
      <c r="O715" s="325"/>
      <c r="Q715" s="478"/>
      <c r="R715" s="479"/>
      <c r="S715" s="658"/>
      <c r="T715" s="290"/>
      <c r="U715" s="290"/>
      <c r="V715" s="290"/>
    </row>
    <row r="716" spans="1:22" ht="27.75" customHeight="1">
      <c r="B716" s="695" t="s">
        <v>1375</v>
      </c>
      <c r="C716" s="696" t="s">
        <v>1376</v>
      </c>
      <c r="D716" s="697"/>
      <c r="E716" s="701"/>
      <c r="F716" s="579"/>
      <c r="G716" s="699"/>
      <c r="H716" s="373" t="s">
        <v>2879</v>
      </c>
      <c r="I716" s="331">
        <v>7</v>
      </c>
      <c r="J716" s="338">
        <v>21000</v>
      </c>
      <c r="K716" s="374">
        <f t="shared" si="34"/>
        <v>0</v>
      </c>
      <c r="L716" s="374">
        <f t="shared" si="30"/>
        <v>21000</v>
      </c>
      <c r="N716" s="325"/>
      <c r="O716" s="325"/>
      <c r="Q716" s="478"/>
      <c r="R716" s="479"/>
      <c r="S716" s="658"/>
      <c r="T716" s="290"/>
      <c r="U716" s="290"/>
      <c r="V716" s="290"/>
    </row>
    <row r="717" spans="1:22" ht="27.75" customHeight="1">
      <c r="B717" s="695" t="s">
        <v>1375</v>
      </c>
      <c r="C717" s="696" t="s">
        <v>1376</v>
      </c>
      <c r="D717" s="697"/>
      <c r="E717" s="701"/>
      <c r="F717" s="579"/>
      <c r="G717" s="699"/>
      <c r="H717" s="373" t="s">
        <v>2053</v>
      </c>
      <c r="I717" s="331">
        <v>11</v>
      </c>
      <c r="J717" s="338">
        <v>35250</v>
      </c>
      <c r="K717" s="374">
        <f t="shared" si="34"/>
        <v>0</v>
      </c>
      <c r="L717" s="374">
        <f t="shared" si="30"/>
        <v>35250</v>
      </c>
      <c r="N717" s="325"/>
      <c r="O717" s="325"/>
      <c r="Q717" s="478"/>
      <c r="R717" s="479"/>
      <c r="S717" s="658"/>
      <c r="T717" s="290"/>
      <c r="U717" s="290"/>
      <c r="V717" s="290"/>
    </row>
    <row r="718" spans="1:22" ht="27.75" customHeight="1">
      <c r="A718" s="331">
        <v>143</v>
      </c>
      <c r="B718" s="695" t="s">
        <v>723</v>
      </c>
      <c r="C718" s="696" t="s">
        <v>461</v>
      </c>
      <c r="D718" s="697"/>
      <c r="E718" s="701"/>
      <c r="F718" s="579"/>
      <c r="G718" s="699"/>
      <c r="H718" s="373" t="s">
        <v>1622</v>
      </c>
      <c r="I718" s="331">
        <v>18</v>
      </c>
      <c r="J718" s="338">
        <v>52000</v>
      </c>
      <c r="K718" s="374">
        <f t="shared" si="34"/>
        <v>0</v>
      </c>
      <c r="L718" s="374">
        <f t="shared" si="30"/>
        <v>52000</v>
      </c>
      <c r="N718" s="325"/>
      <c r="O718" s="325"/>
      <c r="Q718" s="478"/>
      <c r="R718" s="479"/>
      <c r="S718" s="658"/>
      <c r="T718" s="290"/>
      <c r="U718" s="290"/>
      <c r="V718" s="290"/>
    </row>
    <row r="719" spans="1:22" ht="27.75" customHeight="1">
      <c r="B719" s="695" t="s">
        <v>723</v>
      </c>
      <c r="C719" s="696" t="s">
        <v>461</v>
      </c>
      <c r="D719" s="697"/>
      <c r="E719" s="701"/>
      <c r="F719" s="579"/>
      <c r="G719" s="699"/>
      <c r="H719" s="373" t="s">
        <v>2074</v>
      </c>
      <c r="I719" s="331">
        <v>10</v>
      </c>
      <c r="J719" s="338">
        <v>32250</v>
      </c>
      <c r="K719" s="374">
        <f t="shared" si="34"/>
        <v>0</v>
      </c>
      <c r="L719" s="374">
        <f t="shared" si="30"/>
        <v>32250</v>
      </c>
      <c r="N719" s="325"/>
      <c r="O719" s="325"/>
      <c r="Q719" s="478"/>
      <c r="R719" s="479"/>
      <c r="S719" s="658"/>
      <c r="T719" s="290"/>
      <c r="U719" s="290"/>
      <c r="V719" s="290"/>
    </row>
    <row r="720" spans="1:22" ht="27.75" customHeight="1">
      <c r="A720" s="331">
        <v>144</v>
      </c>
      <c r="B720" s="695" t="s">
        <v>1377</v>
      </c>
      <c r="C720" s="696" t="s">
        <v>1378</v>
      </c>
      <c r="D720" s="697"/>
      <c r="E720" s="701"/>
      <c r="F720" s="579"/>
      <c r="G720" s="699"/>
      <c r="H720" s="373" t="s">
        <v>1620</v>
      </c>
      <c r="I720" s="331">
        <v>11</v>
      </c>
      <c r="J720" s="338">
        <v>33000</v>
      </c>
      <c r="K720" s="374">
        <f t="shared" si="34"/>
        <v>0</v>
      </c>
      <c r="L720" s="374">
        <f t="shared" si="30"/>
        <v>33000</v>
      </c>
      <c r="N720" s="325"/>
      <c r="O720" s="325"/>
      <c r="Q720" s="478"/>
      <c r="R720" s="479"/>
      <c r="S720" s="658"/>
      <c r="T720" s="290"/>
      <c r="U720" s="290"/>
      <c r="V720" s="290"/>
    </row>
    <row r="721" spans="1:22" ht="27.75" customHeight="1">
      <c r="B721" s="695" t="s">
        <v>1377</v>
      </c>
      <c r="C721" s="696" t="s">
        <v>1378</v>
      </c>
      <c r="D721" s="697"/>
      <c r="E721" s="701"/>
      <c r="F721" s="579"/>
      <c r="G721" s="699"/>
      <c r="H721" s="373" t="s">
        <v>2879</v>
      </c>
      <c r="I721" s="331">
        <v>7</v>
      </c>
      <c r="J721" s="338">
        <v>21000</v>
      </c>
      <c r="K721" s="374">
        <f t="shared" si="34"/>
        <v>0</v>
      </c>
      <c r="L721" s="374">
        <f t="shared" si="30"/>
        <v>21000</v>
      </c>
      <c r="N721" s="325"/>
      <c r="O721" s="325"/>
      <c r="Q721" s="478"/>
      <c r="R721" s="479"/>
      <c r="S721" s="658"/>
      <c r="T721" s="290"/>
      <c r="U721" s="290"/>
      <c r="V721" s="290"/>
    </row>
    <row r="722" spans="1:22" ht="27.75" customHeight="1">
      <c r="B722" s="695" t="s">
        <v>1377</v>
      </c>
      <c r="C722" s="696" t="s">
        <v>1378</v>
      </c>
      <c r="D722" s="697"/>
      <c r="E722" s="701"/>
      <c r="F722" s="579"/>
      <c r="G722" s="699"/>
      <c r="H722" s="373" t="s">
        <v>2053</v>
      </c>
      <c r="I722" s="331">
        <v>11</v>
      </c>
      <c r="J722" s="338">
        <v>35250</v>
      </c>
      <c r="K722" s="374">
        <f t="shared" si="34"/>
        <v>0</v>
      </c>
      <c r="L722" s="374">
        <f t="shared" si="30"/>
        <v>35250</v>
      </c>
      <c r="N722" s="325"/>
      <c r="O722" s="325"/>
      <c r="Q722" s="478"/>
      <c r="R722" s="479"/>
      <c r="S722" s="658"/>
      <c r="T722" s="290"/>
      <c r="U722" s="290"/>
      <c r="V722" s="290"/>
    </row>
    <row r="723" spans="1:22" ht="27.75" customHeight="1">
      <c r="A723" s="331">
        <v>145</v>
      </c>
      <c r="B723" s="695" t="s">
        <v>724</v>
      </c>
      <c r="C723" s="696" t="s">
        <v>1094</v>
      </c>
      <c r="D723" s="697"/>
      <c r="E723" s="701"/>
      <c r="F723" s="579"/>
      <c r="G723" s="699"/>
      <c r="H723" s="373" t="s">
        <v>1017</v>
      </c>
      <c r="I723" s="331">
        <v>12</v>
      </c>
      <c r="J723" s="338">
        <v>36000</v>
      </c>
      <c r="K723" s="374">
        <f t="shared" si="34"/>
        <v>0</v>
      </c>
      <c r="L723" s="374">
        <f t="shared" si="30"/>
        <v>36000</v>
      </c>
      <c r="N723" s="325"/>
      <c r="O723" s="325"/>
      <c r="Q723" s="478"/>
      <c r="R723" s="479"/>
      <c r="S723" s="658"/>
      <c r="T723" s="290"/>
      <c r="U723" s="290"/>
      <c r="V723" s="290"/>
    </row>
    <row r="724" spans="1:22" ht="27.75" customHeight="1">
      <c r="A724" s="331">
        <v>146</v>
      </c>
      <c r="B724" s="695" t="s">
        <v>1379</v>
      </c>
      <c r="C724" s="696" t="s">
        <v>1380</v>
      </c>
      <c r="D724" s="697"/>
      <c r="E724" s="701"/>
      <c r="F724" s="579"/>
      <c r="G724" s="699"/>
      <c r="H724" s="373" t="s">
        <v>2053</v>
      </c>
      <c r="I724" s="331">
        <v>11</v>
      </c>
      <c r="J724" s="338">
        <v>35250</v>
      </c>
      <c r="K724" s="374">
        <f t="shared" si="34"/>
        <v>0</v>
      </c>
      <c r="L724" s="374">
        <f t="shared" si="30"/>
        <v>35250</v>
      </c>
      <c r="N724" s="325"/>
      <c r="O724" s="325"/>
      <c r="Q724" s="478"/>
      <c r="R724" s="479"/>
      <c r="S724" s="658"/>
      <c r="T724" s="290"/>
      <c r="U724" s="290"/>
      <c r="V724" s="290"/>
    </row>
    <row r="725" spans="1:22" ht="27.75" customHeight="1">
      <c r="A725" s="331">
        <v>147</v>
      </c>
      <c r="B725" s="695" t="s">
        <v>762</v>
      </c>
      <c r="C725" s="696" t="s">
        <v>817</v>
      </c>
      <c r="D725" s="697"/>
      <c r="E725" s="701"/>
      <c r="F725" s="579"/>
      <c r="G725" s="699"/>
      <c r="H725" s="373" t="s">
        <v>2074</v>
      </c>
      <c r="I725" s="331">
        <v>10</v>
      </c>
      <c r="J725" s="338">
        <v>32250</v>
      </c>
      <c r="K725" s="374">
        <f t="shared" si="34"/>
        <v>0</v>
      </c>
      <c r="L725" s="374">
        <f t="shared" si="30"/>
        <v>32250</v>
      </c>
      <c r="N725" s="325"/>
      <c r="O725" s="325"/>
      <c r="Q725" s="478"/>
      <c r="R725" s="479"/>
      <c r="S725" s="658"/>
      <c r="T725" s="290"/>
      <c r="U725" s="290"/>
      <c r="V725" s="290"/>
    </row>
    <row r="726" spans="1:22" ht="27.75" customHeight="1">
      <c r="A726" s="331">
        <v>148</v>
      </c>
      <c r="B726" s="695" t="s">
        <v>1381</v>
      </c>
      <c r="C726" s="696" t="s">
        <v>1382</v>
      </c>
      <c r="D726" s="697"/>
      <c r="E726" s="701"/>
      <c r="F726" s="579"/>
      <c r="G726" s="699"/>
      <c r="H726" s="373" t="s">
        <v>1614</v>
      </c>
      <c r="I726" s="331">
        <v>9</v>
      </c>
      <c r="J726" s="338">
        <v>27000</v>
      </c>
      <c r="K726" s="374">
        <f t="shared" si="34"/>
        <v>0</v>
      </c>
      <c r="L726" s="374">
        <f t="shared" si="30"/>
        <v>27000</v>
      </c>
      <c r="N726" s="325"/>
      <c r="O726" s="325"/>
      <c r="Q726" s="478"/>
      <c r="R726" s="479"/>
      <c r="S726" s="658"/>
      <c r="T726" s="290"/>
      <c r="U726" s="290"/>
      <c r="V726" s="290"/>
    </row>
    <row r="727" spans="1:22" ht="27.75" customHeight="1">
      <c r="B727" s="695" t="s">
        <v>1381</v>
      </c>
      <c r="C727" s="696" t="s">
        <v>1382</v>
      </c>
      <c r="D727" s="697"/>
      <c r="E727" s="701"/>
      <c r="F727" s="579"/>
      <c r="G727" s="699"/>
      <c r="H727" s="373" t="s">
        <v>2879</v>
      </c>
      <c r="I727" s="331">
        <v>7</v>
      </c>
      <c r="J727" s="338">
        <v>21000</v>
      </c>
      <c r="K727" s="374">
        <f t="shared" si="34"/>
        <v>0</v>
      </c>
      <c r="L727" s="374">
        <f t="shared" si="30"/>
        <v>21000</v>
      </c>
      <c r="N727" s="325"/>
      <c r="O727" s="325"/>
      <c r="Q727" s="478"/>
      <c r="R727" s="479"/>
      <c r="S727" s="658"/>
      <c r="T727" s="290"/>
      <c r="U727" s="290"/>
      <c r="V727" s="290"/>
    </row>
    <row r="728" spans="1:22" ht="27.75" customHeight="1">
      <c r="B728" s="695" t="s">
        <v>1381</v>
      </c>
      <c r="C728" s="696" t="s">
        <v>1382</v>
      </c>
      <c r="D728" s="697"/>
      <c r="E728" s="701"/>
      <c r="F728" s="579"/>
      <c r="G728" s="699"/>
      <c r="H728" s="373" t="s">
        <v>2053</v>
      </c>
      <c r="I728" s="331">
        <v>11</v>
      </c>
      <c r="J728" s="338">
        <v>35250</v>
      </c>
      <c r="K728" s="374">
        <f t="shared" si="34"/>
        <v>0</v>
      </c>
      <c r="L728" s="374">
        <f t="shared" si="30"/>
        <v>35250</v>
      </c>
      <c r="N728" s="325"/>
      <c r="O728" s="325"/>
      <c r="Q728" s="478"/>
      <c r="R728" s="479"/>
      <c r="S728" s="658"/>
      <c r="T728" s="290"/>
      <c r="U728" s="290"/>
      <c r="V728" s="290"/>
    </row>
    <row r="729" spans="1:22" ht="27.75" customHeight="1">
      <c r="A729" s="331">
        <v>149</v>
      </c>
      <c r="B729" s="695" t="s">
        <v>1169</v>
      </c>
      <c r="C729" s="696" t="s">
        <v>1170</v>
      </c>
      <c r="D729" s="697"/>
      <c r="E729" s="701"/>
      <c r="F729" s="579"/>
      <c r="G729" s="699"/>
      <c r="H729" s="373" t="s">
        <v>2058</v>
      </c>
      <c r="I729" s="331">
        <v>13</v>
      </c>
      <c r="J729" s="338">
        <v>41250</v>
      </c>
      <c r="K729" s="374">
        <f t="shared" si="34"/>
        <v>0</v>
      </c>
      <c r="L729" s="374">
        <f t="shared" si="30"/>
        <v>41250</v>
      </c>
      <c r="N729" s="325"/>
      <c r="O729" s="325"/>
      <c r="Q729" s="478"/>
      <c r="R729" s="479"/>
      <c r="S729" s="658"/>
      <c r="T729" s="290"/>
      <c r="U729" s="290"/>
      <c r="V729" s="290"/>
    </row>
    <row r="730" spans="1:22" ht="27.75" customHeight="1">
      <c r="A730" s="331">
        <v>150</v>
      </c>
      <c r="B730" s="695" t="s">
        <v>1171</v>
      </c>
      <c r="C730" s="696" t="s">
        <v>1172</v>
      </c>
      <c r="D730" s="697"/>
      <c r="E730" s="701"/>
      <c r="F730" s="579"/>
      <c r="G730" s="699"/>
      <c r="H730" s="373" t="s">
        <v>2053</v>
      </c>
      <c r="I730" s="331">
        <v>11</v>
      </c>
      <c r="J730" s="338">
        <v>35250</v>
      </c>
      <c r="K730" s="374">
        <f t="shared" si="34"/>
        <v>0</v>
      </c>
      <c r="L730" s="374">
        <f t="shared" si="30"/>
        <v>35250</v>
      </c>
      <c r="N730" s="325"/>
      <c r="O730" s="325"/>
      <c r="Q730" s="478"/>
      <c r="R730" s="479"/>
      <c r="S730" s="658"/>
      <c r="T730" s="290"/>
      <c r="U730" s="290"/>
      <c r="V730" s="290"/>
    </row>
    <row r="731" spans="1:22" ht="27.75" customHeight="1">
      <c r="A731" s="331">
        <v>151</v>
      </c>
      <c r="B731" s="695" t="s">
        <v>1383</v>
      </c>
      <c r="C731" s="696" t="s">
        <v>1384</v>
      </c>
      <c r="D731" s="697"/>
      <c r="E731" s="701"/>
      <c r="F731" s="579"/>
      <c r="G731" s="699"/>
      <c r="H731" s="373" t="s">
        <v>1623</v>
      </c>
      <c r="I731" s="331">
        <v>11</v>
      </c>
      <c r="J731" s="338">
        <v>33000</v>
      </c>
      <c r="K731" s="374">
        <f t="shared" si="34"/>
        <v>0</v>
      </c>
      <c r="L731" s="374">
        <f t="shared" si="30"/>
        <v>33000</v>
      </c>
      <c r="N731" s="325"/>
      <c r="O731" s="325"/>
      <c r="Q731" s="478"/>
      <c r="R731" s="479"/>
      <c r="S731" s="658"/>
      <c r="T731" s="290"/>
      <c r="U731" s="290"/>
      <c r="V731" s="290"/>
    </row>
    <row r="732" spans="1:22" ht="27.75" customHeight="1">
      <c r="B732" s="695" t="s">
        <v>1383</v>
      </c>
      <c r="C732" s="696" t="s">
        <v>1384</v>
      </c>
      <c r="D732" s="697"/>
      <c r="E732" s="701"/>
      <c r="F732" s="579"/>
      <c r="G732" s="699"/>
      <c r="H732" s="373" t="s">
        <v>2871</v>
      </c>
      <c r="I732" s="331">
        <v>2</v>
      </c>
      <c r="J732" s="338">
        <v>6000</v>
      </c>
      <c r="K732" s="374">
        <f t="shared" si="34"/>
        <v>0</v>
      </c>
      <c r="L732" s="374">
        <f t="shared" si="30"/>
        <v>6000</v>
      </c>
      <c r="N732" s="325"/>
      <c r="O732" s="325"/>
      <c r="Q732" s="478"/>
      <c r="R732" s="479"/>
      <c r="S732" s="658"/>
      <c r="T732" s="290"/>
      <c r="U732" s="290"/>
      <c r="V732" s="290"/>
    </row>
    <row r="733" spans="1:22" ht="27.75" customHeight="1">
      <c r="B733" s="695" t="s">
        <v>1383</v>
      </c>
      <c r="C733" s="696" t="s">
        <v>1384</v>
      </c>
      <c r="D733" s="697"/>
      <c r="E733" s="701"/>
      <c r="F733" s="579"/>
      <c r="G733" s="699"/>
      <c r="H733" s="373" t="s">
        <v>2053</v>
      </c>
      <c r="I733" s="331">
        <v>11</v>
      </c>
      <c r="J733" s="338">
        <v>35250</v>
      </c>
      <c r="K733" s="374">
        <f t="shared" si="34"/>
        <v>0</v>
      </c>
      <c r="L733" s="374">
        <f t="shared" si="30"/>
        <v>35250</v>
      </c>
      <c r="N733" s="325"/>
      <c r="O733" s="325"/>
      <c r="Q733" s="478"/>
      <c r="R733" s="479"/>
      <c r="S733" s="658"/>
      <c r="T733" s="290"/>
      <c r="U733" s="290"/>
      <c r="V733" s="290"/>
    </row>
    <row r="734" spans="1:22" ht="27.75" customHeight="1">
      <c r="A734" s="331">
        <v>152</v>
      </c>
      <c r="B734" s="695" t="s">
        <v>1385</v>
      </c>
      <c r="C734" s="696" t="s">
        <v>1386</v>
      </c>
      <c r="D734" s="697"/>
      <c r="E734" s="701"/>
      <c r="F734" s="579"/>
      <c r="G734" s="699"/>
      <c r="H734" s="373" t="s">
        <v>2053</v>
      </c>
      <c r="I734" s="331">
        <v>11</v>
      </c>
      <c r="J734" s="338">
        <v>35250</v>
      </c>
      <c r="K734" s="374">
        <f t="shared" ref="K734:K876" si="35">G734*11.54/100</f>
        <v>0</v>
      </c>
      <c r="L734" s="374">
        <f t="shared" si="30"/>
        <v>35250</v>
      </c>
      <c r="N734" s="325"/>
      <c r="O734" s="325"/>
      <c r="Q734" s="478"/>
      <c r="R734" s="479"/>
      <c r="S734" s="658"/>
      <c r="T734" s="290"/>
      <c r="U734" s="290"/>
      <c r="V734" s="290"/>
    </row>
    <row r="735" spans="1:22" ht="27.75" customHeight="1">
      <c r="A735" s="331">
        <v>153</v>
      </c>
      <c r="B735" s="695" t="s">
        <v>368</v>
      </c>
      <c r="C735" s="696" t="s">
        <v>1095</v>
      </c>
      <c r="D735" s="697"/>
      <c r="E735" s="701"/>
      <c r="F735" s="579"/>
      <c r="G735" s="699"/>
      <c r="H735" s="373" t="s">
        <v>1011</v>
      </c>
      <c r="I735" s="331">
        <v>16</v>
      </c>
      <c r="J735" s="338">
        <v>48000</v>
      </c>
      <c r="K735" s="374">
        <f t="shared" si="35"/>
        <v>0</v>
      </c>
      <c r="L735" s="374">
        <f t="shared" si="30"/>
        <v>48000</v>
      </c>
      <c r="N735" s="325"/>
      <c r="O735" s="325"/>
      <c r="Q735" s="478"/>
      <c r="R735" s="479"/>
      <c r="S735" s="658"/>
      <c r="T735" s="290"/>
      <c r="U735" s="290"/>
      <c r="V735" s="290"/>
    </row>
    <row r="736" spans="1:22" ht="27.75" customHeight="1">
      <c r="B736" s="695" t="s">
        <v>368</v>
      </c>
      <c r="C736" s="696" t="s">
        <v>1095</v>
      </c>
      <c r="D736" s="697"/>
      <c r="E736" s="701"/>
      <c r="F736" s="579"/>
      <c r="G736" s="699"/>
      <c r="H736" s="373" t="s">
        <v>2871</v>
      </c>
      <c r="I736" s="331">
        <v>2</v>
      </c>
      <c r="J736" s="338">
        <v>6000</v>
      </c>
      <c r="K736" s="374">
        <f t="shared" si="35"/>
        <v>0</v>
      </c>
      <c r="L736" s="374">
        <f t="shared" si="30"/>
        <v>6000</v>
      </c>
      <c r="N736" s="325"/>
      <c r="O736" s="325"/>
      <c r="Q736" s="478"/>
      <c r="R736" s="479"/>
      <c r="S736" s="658"/>
      <c r="T736" s="290"/>
      <c r="U736" s="290"/>
      <c r="V736" s="290"/>
    </row>
    <row r="737" spans="1:22" ht="27.75" customHeight="1">
      <c r="B737" s="695" t="s">
        <v>368</v>
      </c>
      <c r="C737" s="696" t="s">
        <v>1095</v>
      </c>
      <c r="D737" s="697"/>
      <c r="E737" s="701"/>
      <c r="F737" s="579"/>
      <c r="G737" s="699"/>
      <c r="H737" s="373" t="s">
        <v>2053</v>
      </c>
      <c r="I737" s="331">
        <v>11</v>
      </c>
      <c r="J737" s="338">
        <v>35250</v>
      </c>
      <c r="K737" s="374">
        <f t="shared" si="35"/>
        <v>0</v>
      </c>
      <c r="L737" s="374">
        <f t="shared" si="30"/>
        <v>35250</v>
      </c>
      <c r="N737" s="325"/>
      <c r="O737" s="325"/>
      <c r="Q737" s="478"/>
      <c r="R737" s="479"/>
      <c r="S737" s="658"/>
      <c r="T737" s="290"/>
      <c r="U737" s="290"/>
      <c r="V737" s="290"/>
    </row>
    <row r="738" spans="1:22" ht="27.75" customHeight="1">
      <c r="A738" s="331">
        <v>154</v>
      </c>
      <c r="B738" s="695" t="s">
        <v>1736</v>
      </c>
      <c r="C738" s="696" t="s">
        <v>1737</v>
      </c>
      <c r="D738" s="697"/>
      <c r="E738" s="701"/>
      <c r="F738" s="579"/>
      <c r="G738" s="699"/>
      <c r="H738" s="373" t="s">
        <v>2060</v>
      </c>
      <c r="I738" s="331">
        <v>8</v>
      </c>
      <c r="J738" s="338">
        <v>26250</v>
      </c>
      <c r="K738" s="374">
        <f t="shared" si="35"/>
        <v>0</v>
      </c>
      <c r="L738" s="374">
        <f t="shared" si="30"/>
        <v>26250</v>
      </c>
      <c r="N738" s="325"/>
      <c r="O738" s="325"/>
      <c r="Q738" s="478"/>
      <c r="R738" s="479"/>
      <c r="S738" s="658"/>
      <c r="T738" s="290"/>
      <c r="U738" s="290"/>
      <c r="V738" s="290"/>
    </row>
    <row r="739" spans="1:22" ht="27.75" customHeight="1">
      <c r="A739" s="331">
        <v>155</v>
      </c>
      <c r="B739" s="695" t="s">
        <v>1738</v>
      </c>
      <c r="C739" s="696" t="s">
        <v>1739</v>
      </c>
      <c r="D739" s="697"/>
      <c r="E739" s="701"/>
      <c r="F739" s="579"/>
      <c r="G739" s="699"/>
      <c r="H739" s="373" t="s">
        <v>2060</v>
      </c>
      <c r="I739" s="331">
        <v>8</v>
      </c>
      <c r="J739" s="338">
        <v>26250</v>
      </c>
      <c r="K739" s="374">
        <f t="shared" si="35"/>
        <v>0</v>
      </c>
      <c r="L739" s="374">
        <f t="shared" si="30"/>
        <v>26250</v>
      </c>
      <c r="N739" s="325"/>
      <c r="O739" s="325"/>
      <c r="Q739" s="478"/>
      <c r="R739" s="479"/>
      <c r="S739" s="658"/>
      <c r="T739" s="290"/>
      <c r="U739" s="290"/>
      <c r="V739" s="290"/>
    </row>
    <row r="740" spans="1:22" ht="27.75" customHeight="1">
      <c r="A740" s="331">
        <v>156</v>
      </c>
      <c r="B740" s="695" t="s">
        <v>725</v>
      </c>
      <c r="C740" s="696" t="s">
        <v>1096</v>
      </c>
      <c r="D740" s="697"/>
      <c r="E740" s="701"/>
      <c r="F740" s="579"/>
      <c r="G740" s="699"/>
      <c r="H740" s="373" t="s">
        <v>1009</v>
      </c>
      <c r="I740" s="331">
        <v>18</v>
      </c>
      <c r="J740" s="338">
        <v>54000</v>
      </c>
      <c r="K740" s="374">
        <f t="shared" si="35"/>
        <v>0</v>
      </c>
      <c r="L740" s="374">
        <f t="shared" si="30"/>
        <v>54000</v>
      </c>
      <c r="N740" s="325"/>
      <c r="O740" s="325"/>
      <c r="Q740" s="478"/>
      <c r="R740" s="479"/>
      <c r="S740" s="658"/>
      <c r="T740" s="290"/>
      <c r="U740" s="290"/>
      <c r="V740" s="290"/>
    </row>
    <row r="741" spans="1:22" ht="27.75" customHeight="1">
      <c r="B741" s="695" t="s">
        <v>725</v>
      </c>
      <c r="C741" s="696" t="s">
        <v>1096</v>
      </c>
      <c r="D741" s="697"/>
      <c r="E741" s="701"/>
      <c r="F741" s="579"/>
      <c r="G741" s="699"/>
      <c r="H741" s="373" t="s">
        <v>2871</v>
      </c>
      <c r="I741" s="331">
        <v>2</v>
      </c>
      <c r="J741" s="338">
        <v>6000</v>
      </c>
      <c r="K741" s="374">
        <f t="shared" si="35"/>
        <v>0</v>
      </c>
      <c r="L741" s="374">
        <f t="shared" si="30"/>
        <v>6000</v>
      </c>
      <c r="N741" s="325"/>
      <c r="O741" s="325"/>
      <c r="Q741" s="478"/>
      <c r="R741" s="479"/>
      <c r="S741" s="658"/>
      <c r="T741" s="290"/>
      <c r="U741" s="290"/>
      <c r="V741" s="290"/>
    </row>
    <row r="742" spans="1:22" ht="27.75" customHeight="1">
      <c r="B742" s="695" t="s">
        <v>725</v>
      </c>
      <c r="C742" s="696" t="s">
        <v>1096</v>
      </c>
      <c r="D742" s="697"/>
      <c r="E742" s="701"/>
      <c r="F742" s="579"/>
      <c r="G742" s="699"/>
      <c r="H742" s="373" t="s">
        <v>2053</v>
      </c>
      <c r="I742" s="331">
        <v>11</v>
      </c>
      <c r="J742" s="338">
        <v>35250</v>
      </c>
      <c r="K742" s="374">
        <f t="shared" si="35"/>
        <v>0</v>
      </c>
      <c r="L742" s="374">
        <f t="shared" si="30"/>
        <v>35250</v>
      </c>
      <c r="N742" s="325"/>
      <c r="O742" s="325"/>
      <c r="Q742" s="478"/>
      <c r="R742" s="479"/>
      <c r="S742" s="658"/>
      <c r="T742" s="290"/>
      <c r="U742" s="290"/>
      <c r="V742" s="290"/>
    </row>
    <row r="743" spans="1:22" ht="27.75" customHeight="1">
      <c r="A743" s="331">
        <v>157</v>
      </c>
      <c r="B743" s="695" t="s">
        <v>1173</v>
      </c>
      <c r="C743" s="696" t="s">
        <v>1174</v>
      </c>
      <c r="D743" s="697"/>
      <c r="E743" s="701"/>
      <c r="F743" s="579"/>
      <c r="G743" s="699"/>
      <c r="H743" s="373" t="s">
        <v>2058</v>
      </c>
      <c r="I743" s="331">
        <v>13</v>
      </c>
      <c r="J743" s="338">
        <v>41250</v>
      </c>
      <c r="K743" s="374">
        <f t="shared" si="35"/>
        <v>0</v>
      </c>
      <c r="L743" s="374">
        <f t="shared" si="30"/>
        <v>41250</v>
      </c>
      <c r="N743" s="325"/>
      <c r="O743" s="325"/>
      <c r="Q743" s="478"/>
      <c r="R743" s="479"/>
      <c r="S743" s="658"/>
      <c r="T743" s="290"/>
      <c r="U743" s="290"/>
      <c r="V743" s="290"/>
    </row>
    <row r="744" spans="1:22" ht="27.75" customHeight="1">
      <c r="A744" s="331">
        <v>158</v>
      </c>
      <c r="B744" s="695" t="s">
        <v>1387</v>
      </c>
      <c r="C744" s="696" t="s">
        <v>1388</v>
      </c>
      <c r="D744" s="697"/>
      <c r="E744" s="701"/>
      <c r="F744" s="579"/>
      <c r="G744" s="699"/>
      <c r="H744" s="373" t="s">
        <v>1160</v>
      </c>
      <c r="I744" s="331">
        <v>13</v>
      </c>
      <c r="J744" s="338">
        <v>39000</v>
      </c>
      <c r="K744" s="374">
        <f t="shared" si="35"/>
        <v>0</v>
      </c>
      <c r="L744" s="374">
        <f t="shared" si="30"/>
        <v>39000</v>
      </c>
      <c r="N744" s="325"/>
      <c r="O744" s="325"/>
      <c r="Q744" s="478"/>
      <c r="R744" s="479"/>
      <c r="S744" s="658"/>
      <c r="T744" s="290"/>
      <c r="U744" s="290"/>
      <c r="V744" s="290"/>
    </row>
    <row r="745" spans="1:22" ht="27.75" customHeight="1">
      <c r="B745" s="695" t="s">
        <v>1387</v>
      </c>
      <c r="C745" s="696" t="s">
        <v>1388</v>
      </c>
      <c r="D745" s="697"/>
      <c r="E745" s="701"/>
      <c r="F745" s="579"/>
      <c r="G745" s="699"/>
      <c r="H745" s="373" t="s">
        <v>2053</v>
      </c>
      <c r="I745" s="331">
        <v>11</v>
      </c>
      <c r="J745" s="338">
        <v>35250</v>
      </c>
      <c r="K745" s="374">
        <f t="shared" si="35"/>
        <v>0</v>
      </c>
      <c r="L745" s="374">
        <f t="shared" si="30"/>
        <v>35250</v>
      </c>
      <c r="N745" s="325"/>
      <c r="O745" s="325"/>
      <c r="Q745" s="478"/>
      <c r="R745" s="479"/>
      <c r="S745" s="658"/>
      <c r="T745" s="290"/>
      <c r="U745" s="290"/>
      <c r="V745" s="290"/>
    </row>
    <row r="746" spans="1:22" ht="27.75" customHeight="1">
      <c r="A746" s="331">
        <v>159</v>
      </c>
      <c r="B746" s="695" t="s">
        <v>1056</v>
      </c>
      <c r="C746" s="696" t="s">
        <v>1062</v>
      </c>
      <c r="D746" s="697"/>
      <c r="E746" s="701"/>
      <c r="F746" s="579"/>
      <c r="G746" s="699"/>
      <c r="H746" s="373" t="s">
        <v>1609</v>
      </c>
      <c r="I746" s="331">
        <v>8</v>
      </c>
      <c r="J746" s="338">
        <v>24000</v>
      </c>
      <c r="K746" s="374">
        <f t="shared" si="35"/>
        <v>0</v>
      </c>
      <c r="L746" s="374">
        <f t="shared" si="30"/>
        <v>24000</v>
      </c>
      <c r="N746" s="325"/>
      <c r="O746" s="325"/>
      <c r="Q746" s="478"/>
      <c r="R746" s="479"/>
      <c r="S746" s="658"/>
      <c r="T746" s="290"/>
      <c r="U746" s="290"/>
      <c r="V746" s="290"/>
    </row>
    <row r="747" spans="1:22" ht="27.75" customHeight="1">
      <c r="B747" s="695" t="s">
        <v>1056</v>
      </c>
      <c r="C747" s="696" t="s">
        <v>1062</v>
      </c>
      <c r="D747" s="697"/>
      <c r="E747" s="701"/>
      <c r="F747" s="579"/>
      <c r="G747" s="699"/>
      <c r="H747" s="373" t="s">
        <v>2871</v>
      </c>
      <c r="I747" s="331">
        <v>2</v>
      </c>
      <c r="J747" s="338">
        <v>6000</v>
      </c>
      <c r="K747" s="374">
        <f t="shared" si="35"/>
        <v>0</v>
      </c>
      <c r="L747" s="374">
        <f t="shared" si="30"/>
        <v>6000</v>
      </c>
      <c r="N747" s="325"/>
      <c r="O747" s="325"/>
      <c r="Q747" s="478"/>
      <c r="R747" s="479"/>
      <c r="S747" s="658"/>
      <c r="T747" s="290"/>
      <c r="U747" s="290"/>
      <c r="V747" s="290"/>
    </row>
    <row r="748" spans="1:22" ht="27.75" customHeight="1">
      <c r="B748" s="695" t="s">
        <v>1056</v>
      </c>
      <c r="C748" s="696" t="s">
        <v>1062</v>
      </c>
      <c r="D748" s="697"/>
      <c r="E748" s="701"/>
      <c r="F748" s="579"/>
      <c r="G748" s="699"/>
      <c r="H748" s="373" t="s">
        <v>2074</v>
      </c>
      <c r="I748" s="331">
        <v>10</v>
      </c>
      <c r="J748" s="338">
        <v>32250</v>
      </c>
      <c r="K748" s="374">
        <f t="shared" si="35"/>
        <v>0</v>
      </c>
      <c r="L748" s="374">
        <f t="shared" si="30"/>
        <v>32250</v>
      </c>
      <c r="N748" s="325"/>
      <c r="O748" s="325"/>
      <c r="Q748" s="478"/>
      <c r="R748" s="479"/>
      <c r="S748" s="658"/>
      <c r="T748" s="290"/>
      <c r="U748" s="290"/>
      <c r="V748" s="290"/>
    </row>
    <row r="749" spans="1:22" ht="27.75" customHeight="1">
      <c r="A749" s="331">
        <v>160</v>
      </c>
      <c r="B749" s="695" t="s">
        <v>748</v>
      </c>
      <c r="C749" s="696" t="s">
        <v>1788</v>
      </c>
      <c r="D749" s="697"/>
      <c r="E749" s="701"/>
      <c r="F749" s="579"/>
      <c r="G749" s="699"/>
      <c r="H749" s="373" t="s">
        <v>2061</v>
      </c>
      <c r="I749" s="331">
        <v>5</v>
      </c>
      <c r="J749" s="338">
        <v>17250</v>
      </c>
      <c r="K749" s="374">
        <f t="shared" si="35"/>
        <v>0</v>
      </c>
      <c r="L749" s="374">
        <f t="shared" si="30"/>
        <v>17250</v>
      </c>
      <c r="N749" s="325"/>
      <c r="O749" s="325"/>
      <c r="Q749" s="478"/>
      <c r="R749" s="479"/>
      <c r="S749" s="658"/>
      <c r="T749" s="290"/>
      <c r="U749" s="290"/>
      <c r="V749" s="290"/>
    </row>
    <row r="750" spans="1:22" ht="27.75" customHeight="1">
      <c r="A750" s="331">
        <v>161</v>
      </c>
      <c r="B750" s="695" t="s">
        <v>1389</v>
      </c>
      <c r="C750" s="696" t="s">
        <v>1390</v>
      </c>
      <c r="D750" s="697"/>
      <c r="E750" s="701"/>
      <c r="F750" s="579"/>
      <c r="G750" s="699"/>
      <c r="H750" s="373" t="s">
        <v>1018</v>
      </c>
      <c r="I750" s="331">
        <v>14</v>
      </c>
      <c r="J750" s="338">
        <v>42000</v>
      </c>
      <c r="K750" s="374">
        <f t="shared" si="35"/>
        <v>0</v>
      </c>
      <c r="L750" s="374">
        <f t="shared" si="30"/>
        <v>42000</v>
      </c>
      <c r="N750" s="325"/>
      <c r="O750" s="325"/>
      <c r="Q750" s="478"/>
      <c r="R750" s="479"/>
      <c r="S750" s="658"/>
      <c r="T750" s="290"/>
      <c r="U750" s="290"/>
      <c r="V750" s="290"/>
    </row>
    <row r="751" spans="1:22" ht="27.75" customHeight="1">
      <c r="B751" s="695" t="s">
        <v>1389</v>
      </c>
      <c r="C751" s="696" t="s">
        <v>1390</v>
      </c>
      <c r="D751" s="697"/>
      <c r="E751" s="701"/>
      <c r="F751" s="579"/>
      <c r="G751" s="699"/>
      <c r="H751" s="373" t="s">
        <v>2871</v>
      </c>
      <c r="I751" s="331">
        <v>2</v>
      </c>
      <c r="J751" s="338">
        <v>6000</v>
      </c>
      <c r="K751" s="374">
        <f t="shared" si="35"/>
        <v>0</v>
      </c>
      <c r="L751" s="374">
        <f t="shared" si="30"/>
        <v>6000</v>
      </c>
      <c r="N751" s="325"/>
      <c r="O751" s="325"/>
      <c r="Q751" s="478"/>
      <c r="R751" s="479"/>
      <c r="S751" s="658"/>
      <c r="T751" s="290"/>
      <c r="U751" s="290"/>
      <c r="V751" s="290"/>
    </row>
    <row r="752" spans="1:22" ht="27.75" customHeight="1">
      <c r="B752" s="695" t="s">
        <v>1389</v>
      </c>
      <c r="C752" s="696" t="s">
        <v>1390</v>
      </c>
      <c r="D752" s="697"/>
      <c r="E752" s="701"/>
      <c r="F752" s="579"/>
      <c r="G752" s="699"/>
      <c r="H752" s="373" t="s">
        <v>2053</v>
      </c>
      <c r="I752" s="331">
        <v>11</v>
      </c>
      <c r="J752" s="338">
        <v>35250</v>
      </c>
      <c r="K752" s="374">
        <f t="shared" si="35"/>
        <v>0</v>
      </c>
      <c r="L752" s="374">
        <f t="shared" si="30"/>
        <v>35250</v>
      </c>
      <c r="N752" s="325"/>
      <c r="O752" s="325"/>
      <c r="Q752" s="478"/>
      <c r="R752" s="479"/>
      <c r="S752" s="658"/>
      <c r="T752" s="290"/>
      <c r="U752" s="290"/>
      <c r="V752" s="290"/>
    </row>
    <row r="753" spans="1:22" ht="27.75" customHeight="1">
      <c r="A753" s="331">
        <v>162</v>
      </c>
      <c r="B753" s="695" t="s">
        <v>726</v>
      </c>
      <c r="C753" s="696" t="s">
        <v>1097</v>
      </c>
      <c r="D753" s="697"/>
      <c r="E753" s="701"/>
      <c r="F753" s="579"/>
      <c r="G753" s="699"/>
      <c r="H753" s="373" t="s">
        <v>1011</v>
      </c>
      <c r="I753" s="331">
        <v>16</v>
      </c>
      <c r="J753" s="338">
        <v>48000</v>
      </c>
      <c r="K753" s="374">
        <f t="shared" si="35"/>
        <v>0</v>
      </c>
      <c r="L753" s="374">
        <f t="shared" si="30"/>
        <v>48000</v>
      </c>
      <c r="N753" s="325"/>
      <c r="O753" s="325"/>
      <c r="Q753" s="478"/>
      <c r="R753" s="479"/>
      <c r="S753" s="658"/>
      <c r="T753" s="290"/>
      <c r="U753" s="290"/>
      <c r="V753" s="290"/>
    </row>
    <row r="754" spans="1:22" ht="27.75" customHeight="1">
      <c r="B754" s="695" t="s">
        <v>726</v>
      </c>
      <c r="C754" s="696" t="s">
        <v>1097</v>
      </c>
      <c r="D754" s="697"/>
      <c r="E754" s="701"/>
      <c r="F754" s="579"/>
      <c r="G754" s="699"/>
      <c r="H754" s="373" t="s">
        <v>2871</v>
      </c>
      <c r="I754" s="331">
        <v>2</v>
      </c>
      <c r="J754" s="338">
        <v>6000</v>
      </c>
      <c r="K754" s="374">
        <f t="shared" si="35"/>
        <v>0</v>
      </c>
      <c r="L754" s="374">
        <f t="shared" si="30"/>
        <v>6000</v>
      </c>
      <c r="N754" s="325"/>
      <c r="O754" s="325"/>
      <c r="Q754" s="478"/>
      <c r="R754" s="479"/>
      <c r="S754" s="658"/>
      <c r="T754" s="290"/>
      <c r="U754" s="290"/>
      <c r="V754" s="290"/>
    </row>
    <row r="755" spans="1:22" ht="27.75" customHeight="1">
      <c r="B755" s="695" t="s">
        <v>726</v>
      </c>
      <c r="C755" s="696" t="s">
        <v>1097</v>
      </c>
      <c r="D755" s="697"/>
      <c r="E755" s="701"/>
      <c r="F755" s="579"/>
      <c r="G755" s="699"/>
      <c r="H755" s="373" t="s">
        <v>2053</v>
      </c>
      <c r="I755" s="331">
        <v>11</v>
      </c>
      <c r="J755" s="338">
        <v>35250</v>
      </c>
      <c r="K755" s="374">
        <f t="shared" si="35"/>
        <v>0</v>
      </c>
      <c r="L755" s="374">
        <f t="shared" si="30"/>
        <v>35250</v>
      </c>
      <c r="N755" s="325"/>
      <c r="O755" s="325"/>
      <c r="Q755" s="478"/>
      <c r="R755" s="479"/>
      <c r="S755" s="658"/>
      <c r="T755" s="290"/>
      <c r="U755" s="290"/>
      <c r="V755" s="290"/>
    </row>
    <row r="756" spans="1:22" ht="27.75" customHeight="1">
      <c r="A756" s="331">
        <v>163</v>
      </c>
      <c r="B756" s="695" t="s">
        <v>661</v>
      </c>
      <c r="C756" s="696" t="s">
        <v>516</v>
      </c>
      <c r="D756" s="697"/>
      <c r="E756" s="701"/>
      <c r="F756" s="579"/>
      <c r="G756" s="699"/>
      <c r="H756" s="373" t="s">
        <v>1195</v>
      </c>
      <c r="I756" s="331">
        <v>17</v>
      </c>
      <c r="J756" s="338">
        <v>51000</v>
      </c>
      <c r="K756" s="374">
        <f t="shared" si="35"/>
        <v>0</v>
      </c>
      <c r="L756" s="374">
        <f t="shared" si="30"/>
        <v>51000</v>
      </c>
      <c r="N756" s="325"/>
      <c r="O756" s="325"/>
      <c r="Q756" s="478"/>
      <c r="R756" s="479"/>
      <c r="S756" s="658"/>
      <c r="T756" s="290"/>
      <c r="U756" s="290"/>
      <c r="V756" s="290"/>
    </row>
    <row r="757" spans="1:22" ht="27.75" customHeight="1">
      <c r="B757" s="695" t="s">
        <v>661</v>
      </c>
      <c r="C757" s="696" t="s">
        <v>516</v>
      </c>
      <c r="D757" s="697"/>
      <c r="E757" s="701"/>
      <c r="F757" s="579"/>
      <c r="G757" s="699"/>
      <c r="H757" s="373" t="s">
        <v>2053</v>
      </c>
      <c r="I757" s="331">
        <v>11</v>
      </c>
      <c r="J757" s="338">
        <v>35250</v>
      </c>
      <c r="K757" s="374">
        <f t="shared" si="35"/>
        <v>0</v>
      </c>
      <c r="L757" s="374">
        <f t="shared" si="30"/>
        <v>35250</v>
      </c>
      <c r="N757" s="325"/>
      <c r="O757" s="325"/>
      <c r="Q757" s="478"/>
      <c r="R757" s="479"/>
      <c r="S757" s="658"/>
      <c r="T757" s="290"/>
      <c r="U757" s="290"/>
      <c r="V757" s="290"/>
    </row>
    <row r="758" spans="1:22" ht="27.75" customHeight="1">
      <c r="A758" s="331">
        <v>164</v>
      </c>
      <c r="B758" s="695" t="s">
        <v>1042</v>
      </c>
      <c r="C758" s="696" t="s">
        <v>1063</v>
      </c>
      <c r="D758" s="697"/>
      <c r="E758" s="701"/>
      <c r="F758" s="579"/>
      <c r="G758" s="699"/>
      <c r="H758" s="373" t="s">
        <v>1060</v>
      </c>
      <c r="I758" s="331">
        <v>8</v>
      </c>
      <c r="J758" s="338">
        <v>24000</v>
      </c>
      <c r="K758" s="374">
        <f t="shared" si="35"/>
        <v>0</v>
      </c>
      <c r="L758" s="374">
        <f t="shared" si="30"/>
        <v>24000</v>
      </c>
      <c r="N758" s="325"/>
      <c r="O758" s="325"/>
      <c r="Q758" s="478"/>
      <c r="R758" s="479"/>
      <c r="S758" s="658"/>
      <c r="T758" s="290"/>
      <c r="U758" s="290"/>
      <c r="V758" s="290"/>
    </row>
    <row r="759" spans="1:22" ht="27.75" customHeight="1">
      <c r="B759" s="695" t="s">
        <v>1042</v>
      </c>
      <c r="C759" s="696" t="s">
        <v>1063</v>
      </c>
      <c r="D759" s="697"/>
      <c r="E759" s="701"/>
      <c r="F759" s="579"/>
      <c r="G759" s="699"/>
      <c r="H759" s="373" t="s">
        <v>2871</v>
      </c>
      <c r="I759" s="331">
        <v>2</v>
      </c>
      <c r="J759" s="338">
        <v>6000</v>
      </c>
      <c r="K759" s="374">
        <f t="shared" si="35"/>
        <v>0</v>
      </c>
      <c r="L759" s="374">
        <f t="shared" si="30"/>
        <v>6000</v>
      </c>
      <c r="N759" s="325"/>
      <c r="O759" s="325"/>
      <c r="Q759" s="478"/>
      <c r="R759" s="479"/>
      <c r="S759" s="658"/>
      <c r="T759" s="290"/>
      <c r="U759" s="290"/>
      <c r="V759" s="290"/>
    </row>
    <row r="760" spans="1:22" ht="27.75" customHeight="1">
      <c r="B760" s="695" t="s">
        <v>1042</v>
      </c>
      <c r="C760" s="696" t="s">
        <v>1063</v>
      </c>
      <c r="D760" s="697"/>
      <c r="E760" s="701"/>
      <c r="F760" s="579"/>
      <c r="G760" s="699"/>
      <c r="H760" s="373" t="s">
        <v>2074</v>
      </c>
      <c r="I760" s="331">
        <v>10</v>
      </c>
      <c r="J760" s="338">
        <v>32250</v>
      </c>
      <c r="K760" s="374">
        <f t="shared" si="35"/>
        <v>0</v>
      </c>
      <c r="L760" s="374">
        <f t="shared" si="30"/>
        <v>32250</v>
      </c>
      <c r="N760" s="325"/>
      <c r="O760" s="325"/>
      <c r="Q760" s="478"/>
      <c r="R760" s="479"/>
      <c r="S760" s="658"/>
      <c r="T760" s="290"/>
      <c r="U760" s="290"/>
      <c r="V760" s="290"/>
    </row>
    <row r="761" spans="1:22" ht="27.75" customHeight="1">
      <c r="A761" s="331">
        <v>165</v>
      </c>
      <c r="B761" s="695" t="s">
        <v>1566</v>
      </c>
      <c r="C761" s="696" t="s">
        <v>1098</v>
      </c>
      <c r="D761" s="697"/>
      <c r="E761" s="701"/>
      <c r="F761" s="579"/>
      <c r="G761" s="699"/>
      <c r="H761" s="373" t="s">
        <v>1010</v>
      </c>
      <c r="I761" s="331">
        <v>15</v>
      </c>
      <c r="J761" s="338">
        <v>45000</v>
      </c>
      <c r="K761" s="374">
        <f t="shared" si="35"/>
        <v>0</v>
      </c>
      <c r="L761" s="374">
        <f t="shared" si="30"/>
        <v>45000</v>
      </c>
      <c r="N761" s="325"/>
      <c r="O761" s="325"/>
      <c r="Q761" s="478"/>
      <c r="R761" s="479"/>
      <c r="S761" s="658"/>
      <c r="T761" s="290"/>
      <c r="U761" s="290"/>
      <c r="V761" s="290"/>
    </row>
    <row r="762" spans="1:22" ht="27.75" customHeight="1">
      <c r="B762" s="695" t="s">
        <v>1566</v>
      </c>
      <c r="C762" s="696" t="s">
        <v>1098</v>
      </c>
      <c r="D762" s="697"/>
      <c r="E762" s="701"/>
      <c r="F762" s="579"/>
      <c r="G762" s="699"/>
      <c r="H762" s="373" t="s">
        <v>2871</v>
      </c>
      <c r="I762" s="331">
        <v>2</v>
      </c>
      <c r="J762" s="338">
        <v>6000</v>
      </c>
      <c r="K762" s="374">
        <f t="shared" si="35"/>
        <v>0</v>
      </c>
      <c r="L762" s="374">
        <f t="shared" si="30"/>
        <v>6000</v>
      </c>
      <c r="N762" s="325"/>
      <c r="O762" s="325"/>
      <c r="Q762" s="478"/>
      <c r="R762" s="479"/>
      <c r="S762" s="658"/>
      <c r="T762" s="290"/>
      <c r="U762" s="290"/>
      <c r="V762" s="290"/>
    </row>
    <row r="763" spans="1:22" ht="27.75" customHeight="1">
      <c r="B763" s="695" t="s">
        <v>1566</v>
      </c>
      <c r="C763" s="696" t="s">
        <v>1098</v>
      </c>
      <c r="D763" s="697"/>
      <c r="E763" s="701"/>
      <c r="F763" s="579"/>
      <c r="G763" s="699"/>
      <c r="H763" s="373" t="s">
        <v>2074</v>
      </c>
      <c r="I763" s="331">
        <v>10</v>
      </c>
      <c r="J763" s="338">
        <v>32250</v>
      </c>
      <c r="K763" s="374">
        <f t="shared" si="35"/>
        <v>0</v>
      </c>
      <c r="L763" s="374">
        <f t="shared" si="30"/>
        <v>32250</v>
      </c>
      <c r="N763" s="325"/>
      <c r="O763" s="325"/>
      <c r="Q763" s="478"/>
      <c r="R763" s="479"/>
      <c r="S763" s="658"/>
      <c r="T763" s="290"/>
      <c r="U763" s="290"/>
      <c r="V763" s="290"/>
    </row>
    <row r="764" spans="1:22" ht="27.75" customHeight="1">
      <c r="A764" s="331">
        <v>166</v>
      </c>
      <c r="B764" s="695" t="s">
        <v>728</v>
      </c>
      <c r="C764" s="696" t="s">
        <v>559</v>
      </c>
      <c r="D764" s="697"/>
      <c r="E764" s="701"/>
      <c r="F764" s="579"/>
      <c r="G764" s="699"/>
      <c r="H764" s="373" t="s">
        <v>1196</v>
      </c>
      <c r="I764" s="331">
        <v>15</v>
      </c>
      <c r="J764" s="338">
        <v>45000</v>
      </c>
      <c r="K764" s="374">
        <f t="shared" si="35"/>
        <v>0</v>
      </c>
      <c r="L764" s="374">
        <f t="shared" si="30"/>
        <v>45000</v>
      </c>
      <c r="N764" s="325"/>
      <c r="O764" s="325"/>
      <c r="Q764" s="478"/>
      <c r="R764" s="479"/>
      <c r="S764" s="658"/>
      <c r="T764" s="290"/>
      <c r="U764" s="290"/>
      <c r="V764" s="290"/>
    </row>
    <row r="765" spans="1:22" ht="27.75" customHeight="1">
      <c r="A765" s="331">
        <v>167</v>
      </c>
      <c r="B765" s="695" t="s">
        <v>1567</v>
      </c>
      <c r="C765" s="696" t="s">
        <v>1568</v>
      </c>
      <c r="D765" s="697"/>
      <c r="E765" s="701"/>
      <c r="F765" s="579"/>
      <c r="G765" s="699"/>
      <c r="H765" s="373" t="s">
        <v>2074</v>
      </c>
      <c r="I765" s="331">
        <v>10</v>
      </c>
      <c r="J765" s="338">
        <v>32250</v>
      </c>
      <c r="K765" s="374">
        <f t="shared" si="35"/>
        <v>0</v>
      </c>
      <c r="L765" s="374">
        <f t="shared" si="30"/>
        <v>32250</v>
      </c>
      <c r="N765" s="325"/>
      <c r="O765" s="325"/>
      <c r="Q765" s="478"/>
      <c r="R765" s="479"/>
      <c r="S765" s="658"/>
      <c r="T765" s="290"/>
      <c r="U765" s="290"/>
      <c r="V765" s="290"/>
    </row>
    <row r="766" spans="1:22" ht="27.75" customHeight="1">
      <c r="A766" s="331">
        <v>168</v>
      </c>
      <c r="B766" s="695" t="s">
        <v>729</v>
      </c>
      <c r="C766" s="696" t="s">
        <v>1099</v>
      </c>
      <c r="D766" s="697"/>
      <c r="E766" s="701"/>
      <c r="F766" s="579"/>
      <c r="G766" s="699"/>
      <c r="H766" s="373" t="s">
        <v>1008</v>
      </c>
      <c r="I766" s="331">
        <v>19</v>
      </c>
      <c r="J766" s="338">
        <v>57000</v>
      </c>
      <c r="K766" s="374">
        <f t="shared" si="35"/>
        <v>0</v>
      </c>
      <c r="L766" s="374">
        <f t="shared" si="30"/>
        <v>57000</v>
      </c>
      <c r="N766" s="325"/>
      <c r="O766" s="325"/>
      <c r="Q766" s="478"/>
      <c r="R766" s="479"/>
      <c r="S766" s="658"/>
      <c r="T766" s="290"/>
      <c r="U766" s="290"/>
      <c r="V766" s="290"/>
    </row>
    <row r="767" spans="1:22" ht="27.75" customHeight="1">
      <c r="A767" s="331">
        <v>169</v>
      </c>
      <c r="B767" s="695" t="s">
        <v>730</v>
      </c>
      <c r="C767" s="696" t="s">
        <v>1100</v>
      </c>
      <c r="D767" s="697"/>
      <c r="E767" s="701"/>
      <c r="F767" s="579"/>
      <c r="G767" s="699"/>
      <c r="H767" s="373" t="s">
        <v>1010</v>
      </c>
      <c r="I767" s="331">
        <v>15</v>
      </c>
      <c r="J767" s="338">
        <v>45000</v>
      </c>
      <c r="K767" s="374">
        <f t="shared" si="35"/>
        <v>0</v>
      </c>
      <c r="L767" s="374">
        <f t="shared" si="30"/>
        <v>45000</v>
      </c>
      <c r="N767" s="325"/>
      <c r="O767" s="325"/>
      <c r="Q767" s="478"/>
      <c r="R767" s="479"/>
      <c r="S767" s="658"/>
      <c r="T767" s="290"/>
      <c r="U767" s="290"/>
      <c r="V767" s="290"/>
    </row>
    <row r="768" spans="1:22" ht="27.75" customHeight="1">
      <c r="A768" s="331">
        <v>170</v>
      </c>
      <c r="B768" s="695" t="s">
        <v>1031</v>
      </c>
      <c r="C768" s="696" t="s">
        <v>622</v>
      </c>
      <c r="D768" s="697"/>
      <c r="E768" s="701"/>
      <c r="F768" s="579"/>
      <c r="G768" s="699"/>
      <c r="H768" s="373" t="s">
        <v>1619</v>
      </c>
      <c r="I768" s="331">
        <v>7</v>
      </c>
      <c r="J768" s="338">
        <v>21000</v>
      </c>
      <c r="K768" s="374">
        <f t="shared" si="35"/>
        <v>0</v>
      </c>
      <c r="L768" s="374">
        <f t="shared" si="30"/>
        <v>21000</v>
      </c>
      <c r="N768" s="325"/>
      <c r="O768" s="325"/>
      <c r="Q768" s="478"/>
      <c r="R768" s="479"/>
      <c r="S768" s="658"/>
      <c r="T768" s="290"/>
      <c r="U768" s="290"/>
      <c r="V768" s="290"/>
    </row>
    <row r="769" spans="1:22" ht="27.75" customHeight="1">
      <c r="B769" s="695" t="s">
        <v>1031</v>
      </c>
      <c r="C769" s="696" t="s">
        <v>622</v>
      </c>
      <c r="D769" s="697"/>
      <c r="E769" s="701"/>
      <c r="F769" s="579"/>
      <c r="G769" s="699"/>
      <c r="H769" s="373" t="s">
        <v>2053</v>
      </c>
      <c r="I769" s="331">
        <v>11</v>
      </c>
      <c r="J769" s="338">
        <v>35250</v>
      </c>
      <c r="K769" s="374">
        <f t="shared" si="35"/>
        <v>0</v>
      </c>
      <c r="L769" s="374">
        <f t="shared" si="30"/>
        <v>35250</v>
      </c>
      <c r="N769" s="325"/>
      <c r="O769" s="325"/>
      <c r="Q769" s="478"/>
      <c r="R769" s="479"/>
      <c r="S769" s="658"/>
      <c r="T769" s="290"/>
      <c r="U769" s="290"/>
      <c r="V769" s="290"/>
    </row>
    <row r="770" spans="1:22" ht="27.75" customHeight="1">
      <c r="A770" s="331">
        <v>171</v>
      </c>
      <c r="B770" s="695" t="s">
        <v>731</v>
      </c>
      <c r="C770" s="696" t="s">
        <v>1101</v>
      </c>
      <c r="D770" s="697"/>
      <c r="E770" s="701"/>
      <c r="F770" s="579"/>
      <c r="G770" s="699"/>
      <c r="H770" s="373" t="s">
        <v>1624</v>
      </c>
      <c r="I770" s="331">
        <v>13</v>
      </c>
      <c r="J770" s="338">
        <v>39000</v>
      </c>
      <c r="K770" s="374">
        <f t="shared" si="35"/>
        <v>0</v>
      </c>
      <c r="L770" s="374">
        <f t="shared" si="30"/>
        <v>39000</v>
      </c>
      <c r="N770" s="325"/>
      <c r="O770" s="325"/>
      <c r="Q770" s="478"/>
      <c r="R770" s="479"/>
      <c r="S770" s="658"/>
      <c r="T770" s="290"/>
      <c r="U770" s="290"/>
      <c r="V770" s="290"/>
    </row>
    <row r="771" spans="1:22" ht="27.75" customHeight="1">
      <c r="B771" s="695" t="s">
        <v>731</v>
      </c>
      <c r="C771" s="696" t="s">
        <v>1101</v>
      </c>
      <c r="D771" s="697"/>
      <c r="E771" s="701"/>
      <c r="F771" s="579"/>
      <c r="G771" s="699"/>
      <c r="H771" s="373" t="s">
        <v>2871</v>
      </c>
      <c r="I771" s="331">
        <v>2</v>
      </c>
      <c r="J771" s="338">
        <v>6000</v>
      </c>
      <c r="K771" s="374">
        <f t="shared" si="35"/>
        <v>0</v>
      </c>
      <c r="L771" s="374">
        <f t="shared" si="30"/>
        <v>6000</v>
      </c>
      <c r="N771" s="325"/>
      <c r="O771" s="325"/>
      <c r="Q771" s="478"/>
      <c r="R771" s="479"/>
      <c r="S771" s="658"/>
      <c r="T771" s="290"/>
      <c r="U771" s="290"/>
      <c r="V771" s="290"/>
    </row>
    <row r="772" spans="1:22" ht="27.75" customHeight="1">
      <c r="B772" s="695" t="s">
        <v>731</v>
      </c>
      <c r="C772" s="696" t="s">
        <v>1101</v>
      </c>
      <c r="D772" s="697"/>
      <c r="E772" s="701"/>
      <c r="F772" s="579"/>
      <c r="G772" s="699"/>
      <c r="H772" s="373" t="s">
        <v>2053</v>
      </c>
      <c r="I772" s="331">
        <v>11</v>
      </c>
      <c r="J772" s="338">
        <v>35250</v>
      </c>
      <c r="K772" s="374">
        <f t="shared" si="35"/>
        <v>0</v>
      </c>
      <c r="L772" s="374">
        <f t="shared" si="30"/>
        <v>35250</v>
      </c>
      <c r="N772" s="325"/>
      <c r="O772" s="325"/>
      <c r="Q772" s="478"/>
      <c r="R772" s="479"/>
      <c r="S772" s="658"/>
      <c r="T772" s="290"/>
      <c r="U772" s="290"/>
      <c r="V772" s="290"/>
    </row>
    <row r="773" spans="1:22" ht="27.75" customHeight="1">
      <c r="A773" s="331">
        <v>172</v>
      </c>
      <c r="B773" s="695" t="s">
        <v>732</v>
      </c>
      <c r="C773" s="696" t="s">
        <v>1102</v>
      </c>
      <c r="D773" s="697"/>
      <c r="E773" s="701"/>
      <c r="F773" s="579"/>
      <c r="G773" s="699"/>
      <c r="H773" s="373" t="s">
        <v>1010</v>
      </c>
      <c r="I773" s="331">
        <v>15</v>
      </c>
      <c r="J773" s="338">
        <v>45000</v>
      </c>
      <c r="K773" s="374">
        <f t="shared" si="35"/>
        <v>0</v>
      </c>
      <c r="L773" s="374">
        <f t="shared" si="30"/>
        <v>45000</v>
      </c>
      <c r="N773" s="325"/>
      <c r="O773" s="325"/>
      <c r="Q773" s="478"/>
      <c r="R773" s="479"/>
      <c r="S773" s="658"/>
      <c r="T773" s="290"/>
      <c r="U773" s="290"/>
      <c r="V773" s="290"/>
    </row>
    <row r="774" spans="1:22" ht="27.75" customHeight="1">
      <c r="B774" s="695" t="s">
        <v>732</v>
      </c>
      <c r="C774" s="696" t="s">
        <v>1102</v>
      </c>
      <c r="D774" s="697"/>
      <c r="E774" s="701"/>
      <c r="F774" s="579"/>
      <c r="G774" s="699"/>
      <c r="H774" s="373" t="s">
        <v>2871</v>
      </c>
      <c r="I774" s="331">
        <v>2</v>
      </c>
      <c r="J774" s="338">
        <v>6000</v>
      </c>
      <c r="K774" s="374">
        <f t="shared" si="35"/>
        <v>0</v>
      </c>
      <c r="L774" s="374">
        <f t="shared" si="30"/>
        <v>6000</v>
      </c>
      <c r="N774" s="325"/>
      <c r="O774" s="325"/>
      <c r="Q774" s="478"/>
      <c r="R774" s="479"/>
      <c r="S774" s="658"/>
      <c r="T774" s="290"/>
      <c r="U774" s="290"/>
      <c r="V774" s="290"/>
    </row>
    <row r="775" spans="1:22" ht="27.75" customHeight="1">
      <c r="B775" s="695" t="s">
        <v>732</v>
      </c>
      <c r="C775" s="696" t="s">
        <v>1102</v>
      </c>
      <c r="D775" s="697"/>
      <c r="E775" s="701"/>
      <c r="F775" s="579"/>
      <c r="G775" s="699"/>
      <c r="H775" s="373" t="s">
        <v>2053</v>
      </c>
      <c r="I775" s="331">
        <v>11</v>
      </c>
      <c r="J775" s="338">
        <v>35250</v>
      </c>
      <c r="K775" s="374">
        <f t="shared" si="35"/>
        <v>0</v>
      </c>
      <c r="L775" s="374">
        <f t="shared" si="30"/>
        <v>35250</v>
      </c>
      <c r="N775" s="325"/>
      <c r="O775" s="325"/>
      <c r="Q775" s="478"/>
      <c r="R775" s="479"/>
      <c r="S775" s="658"/>
      <c r="T775" s="290"/>
      <c r="U775" s="290"/>
      <c r="V775" s="290"/>
    </row>
    <row r="776" spans="1:22" ht="27.75" customHeight="1">
      <c r="A776" s="331">
        <v>173</v>
      </c>
      <c r="B776" s="695" t="s">
        <v>1391</v>
      </c>
      <c r="C776" s="696" t="s">
        <v>1392</v>
      </c>
      <c r="D776" s="697"/>
      <c r="E776" s="701"/>
      <c r="F776" s="579"/>
      <c r="G776" s="699"/>
      <c r="H776" s="373" t="s">
        <v>1138</v>
      </c>
      <c r="I776" s="331">
        <v>12</v>
      </c>
      <c r="J776" s="338">
        <v>36000</v>
      </c>
      <c r="K776" s="374">
        <f t="shared" si="35"/>
        <v>0</v>
      </c>
      <c r="L776" s="374">
        <f t="shared" si="30"/>
        <v>36000</v>
      </c>
      <c r="N776" s="325"/>
      <c r="O776" s="325"/>
      <c r="Q776" s="478"/>
      <c r="R776" s="479"/>
      <c r="S776" s="658"/>
      <c r="T776" s="290"/>
      <c r="U776" s="290"/>
      <c r="V776" s="290"/>
    </row>
    <row r="777" spans="1:22" ht="27.75" customHeight="1">
      <c r="B777" s="695" t="s">
        <v>1391</v>
      </c>
      <c r="C777" s="696" t="s">
        <v>1392</v>
      </c>
      <c r="D777" s="697"/>
      <c r="E777" s="701"/>
      <c r="F777" s="579"/>
      <c r="G777" s="699"/>
      <c r="H777" s="373" t="s">
        <v>1514</v>
      </c>
      <c r="I777" s="331">
        <v>1</v>
      </c>
      <c r="J777" s="338">
        <v>3000</v>
      </c>
      <c r="K777" s="374">
        <f t="shared" si="35"/>
        <v>0</v>
      </c>
      <c r="L777" s="374">
        <f t="shared" si="30"/>
        <v>3000</v>
      </c>
      <c r="N777" s="325"/>
      <c r="O777" s="325"/>
      <c r="Q777" s="478"/>
      <c r="R777" s="479"/>
      <c r="S777" s="658"/>
      <c r="T777" s="290"/>
      <c r="U777" s="290"/>
      <c r="V777" s="290"/>
    </row>
    <row r="778" spans="1:22" ht="27.75" customHeight="1">
      <c r="B778" s="695" t="s">
        <v>1391</v>
      </c>
      <c r="C778" s="696" t="s">
        <v>1392</v>
      </c>
      <c r="D778" s="697"/>
      <c r="E778" s="701"/>
      <c r="F778" s="579"/>
      <c r="G778" s="699"/>
      <c r="H778" s="373" t="s">
        <v>2053</v>
      </c>
      <c r="I778" s="331">
        <v>11</v>
      </c>
      <c r="J778" s="338">
        <v>35250</v>
      </c>
      <c r="K778" s="374">
        <f t="shared" si="35"/>
        <v>0</v>
      </c>
      <c r="L778" s="374">
        <f t="shared" si="30"/>
        <v>35250</v>
      </c>
      <c r="N778" s="325"/>
      <c r="O778" s="325"/>
      <c r="Q778" s="478"/>
      <c r="R778" s="479"/>
      <c r="S778" s="658"/>
      <c r="T778" s="290"/>
      <c r="U778" s="290"/>
      <c r="V778" s="290"/>
    </row>
    <row r="779" spans="1:22" ht="27.75" customHeight="1">
      <c r="A779" s="331">
        <v>174</v>
      </c>
      <c r="B779" s="695" t="s">
        <v>733</v>
      </c>
      <c r="C779" s="696" t="s">
        <v>1103</v>
      </c>
      <c r="D779" s="697"/>
      <c r="E779" s="701"/>
      <c r="F779" s="579"/>
      <c r="G779" s="699"/>
      <c r="H779" s="373" t="s">
        <v>1011</v>
      </c>
      <c r="I779" s="331">
        <v>16</v>
      </c>
      <c r="J779" s="338">
        <v>48000</v>
      </c>
      <c r="K779" s="374">
        <f t="shared" si="35"/>
        <v>0</v>
      </c>
      <c r="L779" s="374">
        <f t="shared" si="30"/>
        <v>48000</v>
      </c>
      <c r="N779" s="325"/>
      <c r="O779" s="325"/>
      <c r="Q779" s="478"/>
      <c r="R779" s="479"/>
      <c r="S779" s="658"/>
      <c r="T779" s="290"/>
      <c r="U779" s="290"/>
      <c r="V779" s="290"/>
    </row>
    <row r="780" spans="1:22" ht="27.75" customHeight="1">
      <c r="B780" s="695" t="s">
        <v>733</v>
      </c>
      <c r="C780" s="696" t="s">
        <v>1103</v>
      </c>
      <c r="D780" s="697"/>
      <c r="E780" s="701"/>
      <c r="F780" s="579"/>
      <c r="G780" s="699"/>
      <c r="H780" s="373" t="s">
        <v>2871</v>
      </c>
      <c r="I780" s="331">
        <v>2</v>
      </c>
      <c r="J780" s="338">
        <v>6000</v>
      </c>
      <c r="K780" s="374">
        <f t="shared" si="35"/>
        <v>0</v>
      </c>
      <c r="L780" s="374">
        <f t="shared" si="30"/>
        <v>6000</v>
      </c>
      <c r="N780" s="325"/>
      <c r="O780" s="325"/>
      <c r="Q780" s="478"/>
      <c r="R780" s="479"/>
      <c r="S780" s="658"/>
      <c r="T780" s="290"/>
      <c r="U780" s="290"/>
      <c r="V780" s="290"/>
    </row>
    <row r="781" spans="1:22" ht="27.75" customHeight="1">
      <c r="B781" s="695" t="s">
        <v>733</v>
      </c>
      <c r="C781" s="696" t="s">
        <v>1103</v>
      </c>
      <c r="D781" s="697"/>
      <c r="E781" s="701"/>
      <c r="F781" s="579"/>
      <c r="G781" s="699"/>
      <c r="H781" s="373" t="s">
        <v>2053</v>
      </c>
      <c r="I781" s="331">
        <v>11</v>
      </c>
      <c r="J781" s="338">
        <v>35250</v>
      </c>
      <c r="K781" s="374">
        <f t="shared" si="35"/>
        <v>0</v>
      </c>
      <c r="L781" s="374">
        <f t="shared" si="30"/>
        <v>35250</v>
      </c>
      <c r="N781" s="325"/>
      <c r="O781" s="325"/>
      <c r="Q781" s="478"/>
      <c r="R781" s="479"/>
      <c r="S781" s="658"/>
      <c r="T781" s="290"/>
      <c r="U781" s="290"/>
      <c r="V781" s="290"/>
    </row>
    <row r="782" spans="1:22" ht="27.75" customHeight="1">
      <c r="A782" s="331">
        <v>175</v>
      </c>
      <c r="B782" s="695" t="s">
        <v>369</v>
      </c>
      <c r="C782" s="696" t="s">
        <v>1104</v>
      </c>
      <c r="D782" s="697"/>
      <c r="E782" s="701"/>
      <c r="F782" s="579"/>
      <c r="G782" s="699"/>
      <c r="H782" s="373" t="s">
        <v>1010</v>
      </c>
      <c r="I782" s="331">
        <v>15</v>
      </c>
      <c r="J782" s="338">
        <v>45000</v>
      </c>
      <c r="K782" s="374">
        <f t="shared" si="35"/>
        <v>0</v>
      </c>
      <c r="L782" s="374">
        <f t="shared" si="30"/>
        <v>45000</v>
      </c>
      <c r="N782" s="325"/>
      <c r="O782" s="325"/>
      <c r="Q782" s="478"/>
      <c r="R782" s="479"/>
      <c r="S782" s="658"/>
      <c r="T782" s="290"/>
      <c r="U782" s="290"/>
      <c r="V782" s="290"/>
    </row>
    <row r="783" spans="1:22" ht="27.75" customHeight="1">
      <c r="A783" s="331">
        <v>176</v>
      </c>
      <c r="B783" s="695" t="s">
        <v>545</v>
      </c>
      <c r="C783" s="696" t="s">
        <v>1569</v>
      </c>
      <c r="D783" s="697"/>
      <c r="E783" s="701"/>
      <c r="F783" s="579"/>
      <c r="G783" s="699"/>
      <c r="H783" s="373" t="s">
        <v>1192</v>
      </c>
      <c r="I783" s="331">
        <v>5</v>
      </c>
      <c r="J783" s="338">
        <v>50000</v>
      </c>
      <c r="K783" s="374">
        <f t="shared" si="35"/>
        <v>0</v>
      </c>
      <c r="L783" s="374">
        <f t="shared" si="30"/>
        <v>50000</v>
      </c>
      <c r="N783" s="325"/>
      <c r="O783" s="325"/>
      <c r="Q783" s="478"/>
      <c r="R783" s="479"/>
      <c r="S783" s="658"/>
      <c r="T783" s="290"/>
      <c r="U783" s="290"/>
      <c r="V783" s="290"/>
    </row>
    <row r="784" spans="1:22" ht="27.75" customHeight="1">
      <c r="B784" s="695" t="s">
        <v>545</v>
      </c>
      <c r="C784" s="696" t="s">
        <v>1569</v>
      </c>
      <c r="D784" s="697"/>
      <c r="E784" s="701"/>
      <c r="F784" s="579"/>
      <c r="G784" s="699"/>
      <c r="H784" s="373" t="s">
        <v>2078</v>
      </c>
      <c r="I784" s="331">
        <v>14</v>
      </c>
      <c r="J784" s="338">
        <v>140000</v>
      </c>
      <c r="K784" s="374">
        <f t="shared" si="35"/>
        <v>0</v>
      </c>
      <c r="L784" s="374">
        <f t="shared" si="30"/>
        <v>140000</v>
      </c>
      <c r="N784" s="325"/>
      <c r="O784" s="325"/>
      <c r="Q784" s="478"/>
      <c r="R784" s="479"/>
      <c r="S784" s="658"/>
      <c r="T784" s="290"/>
      <c r="U784" s="290"/>
      <c r="V784" s="290"/>
    </row>
    <row r="785" spans="1:22" ht="27.75" customHeight="1">
      <c r="A785" s="331">
        <v>177</v>
      </c>
      <c r="B785" s="695" t="s">
        <v>545</v>
      </c>
      <c r="C785" s="696" t="s">
        <v>1570</v>
      </c>
      <c r="D785" s="697"/>
      <c r="E785" s="701"/>
      <c r="F785" s="579"/>
      <c r="G785" s="699"/>
      <c r="H785" s="373" t="s">
        <v>1192</v>
      </c>
      <c r="I785" s="331">
        <v>5</v>
      </c>
      <c r="J785" s="338">
        <v>50000</v>
      </c>
      <c r="K785" s="374">
        <f t="shared" si="35"/>
        <v>0</v>
      </c>
      <c r="L785" s="374">
        <f t="shared" si="30"/>
        <v>50000</v>
      </c>
      <c r="N785" s="325"/>
      <c r="O785" s="325"/>
      <c r="Q785" s="478"/>
      <c r="R785" s="479"/>
      <c r="S785" s="658"/>
      <c r="T785" s="290"/>
      <c r="U785" s="290"/>
      <c r="V785" s="290"/>
    </row>
    <row r="786" spans="1:22" ht="27.75" customHeight="1">
      <c r="B786" s="695" t="s">
        <v>545</v>
      </c>
      <c r="C786" s="696" t="s">
        <v>1570</v>
      </c>
      <c r="D786" s="697"/>
      <c r="E786" s="701"/>
      <c r="F786" s="579"/>
      <c r="G786" s="699"/>
      <c r="H786" s="373" t="s">
        <v>2078</v>
      </c>
      <c r="I786" s="331">
        <v>14</v>
      </c>
      <c r="J786" s="338">
        <v>140000</v>
      </c>
      <c r="K786" s="374">
        <f t="shared" si="35"/>
        <v>0</v>
      </c>
      <c r="L786" s="374">
        <f t="shared" si="30"/>
        <v>140000</v>
      </c>
      <c r="N786" s="325"/>
      <c r="O786" s="325"/>
      <c r="Q786" s="478"/>
      <c r="R786" s="479"/>
      <c r="S786" s="658"/>
      <c r="T786" s="290"/>
      <c r="U786" s="290"/>
      <c r="V786" s="290"/>
    </row>
    <row r="787" spans="1:22" ht="27.75" customHeight="1">
      <c r="A787" s="331">
        <v>178</v>
      </c>
      <c r="B787" s="695" t="s">
        <v>508</v>
      </c>
      <c r="C787" s="696" t="s">
        <v>1571</v>
      </c>
      <c r="D787" s="697"/>
      <c r="E787" s="701"/>
      <c r="F787" s="579"/>
      <c r="G787" s="699"/>
      <c r="H787" s="373" t="s">
        <v>1146</v>
      </c>
      <c r="I787" s="331">
        <v>14</v>
      </c>
      <c r="J787" s="338">
        <v>135502.41</v>
      </c>
      <c r="K787" s="374">
        <f t="shared" si="35"/>
        <v>0</v>
      </c>
      <c r="L787" s="374">
        <f t="shared" si="30"/>
        <v>135502.41</v>
      </c>
      <c r="N787" s="325"/>
      <c r="O787" s="325"/>
      <c r="Q787" s="478"/>
      <c r="R787" s="479"/>
      <c r="S787" s="658"/>
      <c r="T787" s="290"/>
      <c r="U787" s="290"/>
      <c r="V787" s="290"/>
    </row>
    <row r="788" spans="1:22" ht="27.75" customHeight="1">
      <c r="B788" s="695" t="s">
        <v>508</v>
      </c>
      <c r="C788" s="696" t="s">
        <v>1571</v>
      </c>
      <c r="D788" s="697"/>
      <c r="E788" s="701"/>
      <c r="F788" s="579"/>
      <c r="G788" s="699"/>
      <c r="H788" s="373" t="s">
        <v>2058</v>
      </c>
      <c r="I788" s="331">
        <v>13</v>
      </c>
      <c r="J788" s="338">
        <v>131300</v>
      </c>
      <c r="K788" s="374">
        <f t="shared" si="35"/>
        <v>0</v>
      </c>
      <c r="L788" s="374">
        <f t="shared" si="30"/>
        <v>131300</v>
      </c>
      <c r="N788" s="325"/>
      <c r="O788" s="325"/>
      <c r="Q788" s="478"/>
      <c r="R788" s="479"/>
      <c r="S788" s="658"/>
      <c r="T788" s="290"/>
      <c r="U788" s="290"/>
      <c r="V788" s="290"/>
    </row>
    <row r="789" spans="1:22" ht="27.75" customHeight="1">
      <c r="A789" s="331">
        <v>179</v>
      </c>
      <c r="B789" s="695" t="s">
        <v>411</v>
      </c>
      <c r="C789" s="696" t="s">
        <v>1572</v>
      </c>
      <c r="D789" s="697"/>
      <c r="E789" s="701"/>
      <c r="F789" s="579"/>
      <c r="G789" s="699"/>
      <c r="H789" s="373" t="s">
        <v>1057</v>
      </c>
      <c r="I789" s="331">
        <v>7</v>
      </c>
      <c r="J789" s="338">
        <v>70000</v>
      </c>
      <c r="K789" s="374">
        <f t="shared" si="35"/>
        <v>0</v>
      </c>
      <c r="L789" s="374">
        <f t="shared" si="30"/>
        <v>70000</v>
      </c>
      <c r="N789" s="325"/>
      <c r="O789" s="325"/>
      <c r="Q789" s="478"/>
      <c r="R789" s="479"/>
      <c r="S789" s="658"/>
      <c r="T789" s="290"/>
      <c r="U789" s="290"/>
      <c r="V789" s="290"/>
    </row>
    <row r="790" spans="1:22" ht="27.75" customHeight="1">
      <c r="B790" s="695" t="s">
        <v>411</v>
      </c>
      <c r="C790" s="696" t="s">
        <v>1572</v>
      </c>
      <c r="D790" s="697"/>
      <c r="E790" s="701"/>
      <c r="F790" s="579"/>
      <c r="G790" s="699"/>
      <c r="H790" s="373" t="s">
        <v>2075</v>
      </c>
      <c r="I790" s="331">
        <v>16</v>
      </c>
      <c r="J790" s="338">
        <v>160000</v>
      </c>
      <c r="K790" s="374">
        <f t="shared" si="35"/>
        <v>0</v>
      </c>
      <c r="L790" s="374">
        <f t="shared" si="30"/>
        <v>160000</v>
      </c>
      <c r="N790" s="325"/>
      <c r="O790" s="325"/>
      <c r="Q790" s="478"/>
      <c r="R790" s="479"/>
      <c r="S790" s="658"/>
      <c r="T790" s="290"/>
      <c r="U790" s="290"/>
      <c r="V790" s="290"/>
    </row>
    <row r="791" spans="1:22" ht="27.75" customHeight="1">
      <c r="A791" s="331">
        <v>180</v>
      </c>
      <c r="B791" s="695" t="s">
        <v>411</v>
      </c>
      <c r="C791" s="696" t="s">
        <v>1573</v>
      </c>
      <c r="D791" s="697"/>
      <c r="E791" s="701"/>
      <c r="F791" s="579"/>
      <c r="G791" s="699"/>
      <c r="H791" s="373" t="s">
        <v>1057</v>
      </c>
      <c r="I791" s="331">
        <v>7</v>
      </c>
      <c r="J791" s="338">
        <v>70000</v>
      </c>
      <c r="K791" s="374">
        <f t="shared" si="35"/>
        <v>0</v>
      </c>
      <c r="L791" s="374">
        <f t="shared" si="30"/>
        <v>70000</v>
      </c>
      <c r="N791" s="325"/>
      <c r="O791" s="325"/>
      <c r="Q791" s="478"/>
      <c r="R791" s="479"/>
      <c r="S791" s="658"/>
      <c r="T791" s="290"/>
      <c r="U791" s="290"/>
      <c r="V791" s="290"/>
    </row>
    <row r="792" spans="1:22" ht="27.75" customHeight="1">
      <c r="B792" s="695" t="s">
        <v>411</v>
      </c>
      <c r="C792" s="696" t="s">
        <v>1573</v>
      </c>
      <c r="D792" s="697"/>
      <c r="E792" s="701"/>
      <c r="F792" s="579"/>
      <c r="G792" s="699"/>
      <c r="H792" s="373" t="s">
        <v>2075</v>
      </c>
      <c r="I792" s="331">
        <v>16</v>
      </c>
      <c r="J792" s="338">
        <v>160000</v>
      </c>
      <c r="K792" s="374">
        <f t="shared" si="35"/>
        <v>0</v>
      </c>
      <c r="L792" s="374">
        <f t="shared" si="30"/>
        <v>160000</v>
      </c>
      <c r="N792" s="325"/>
      <c r="O792" s="325"/>
      <c r="Q792" s="478"/>
      <c r="R792" s="479"/>
      <c r="S792" s="658"/>
      <c r="T792" s="290"/>
      <c r="U792" s="290"/>
      <c r="V792" s="290"/>
    </row>
    <row r="793" spans="1:22" ht="27.75" customHeight="1">
      <c r="B793" s="695"/>
      <c r="C793" s="696"/>
      <c r="D793" s="697"/>
      <c r="E793" s="701"/>
      <c r="F793" s="579"/>
      <c r="G793" s="699"/>
      <c r="H793" s="373"/>
      <c r="K793" s="374"/>
      <c r="L793" s="374"/>
      <c r="N793" s="325"/>
      <c r="O793" s="325"/>
      <c r="Q793" s="478"/>
      <c r="R793" s="479"/>
      <c r="S793" s="658"/>
      <c r="T793" s="290"/>
      <c r="U793" s="290"/>
      <c r="V793" s="290"/>
    </row>
    <row r="794" spans="1:22" ht="27.75" customHeight="1">
      <c r="B794" s="695" t="s">
        <v>2735</v>
      </c>
      <c r="C794" s="696"/>
      <c r="D794" s="697"/>
      <c r="E794" s="701"/>
      <c r="F794" s="579"/>
      <c r="G794" s="699"/>
      <c r="H794" s="373"/>
      <c r="K794" s="374">
        <f t="shared" si="35"/>
        <v>0</v>
      </c>
      <c r="L794" s="374">
        <f t="shared" si="30"/>
        <v>0</v>
      </c>
      <c r="N794" s="325"/>
      <c r="O794" s="325"/>
      <c r="Q794" s="478"/>
      <c r="R794" s="479"/>
      <c r="S794" s="658"/>
      <c r="T794" s="290"/>
      <c r="U794" s="290"/>
      <c r="V794" s="290"/>
    </row>
    <row r="795" spans="1:22" ht="27.75" customHeight="1">
      <c r="A795" s="331">
        <v>1</v>
      </c>
      <c r="B795" s="695" t="s">
        <v>643</v>
      </c>
      <c r="C795" s="696" t="s">
        <v>610</v>
      </c>
      <c r="D795" s="697"/>
      <c r="E795" s="701"/>
      <c r="F795" s="579"/>
      <c r="G795" s="699"/>
      <c r="H795" s="373" t="s">
        <v>1142</v>
      </c>
      <c r="I795" s="331">
        <v>11</v>
      </c>
      <c r="J795" s="338">
        <v>33000</v>
      </c>
      <c r="K795" s="374">
        <f t="shared" si="35"/>
        <v>0</v>
      </c>
      <c r="L795" s="374">
        <f t="shared" si="30"/>
        <v>33000</v>
      </c>
      <c r="N795" s="325"/>
      <c r="O795" s="325"/>
      <c r="Q795" s="478"/>
      <c r="R795" s="479"/>
      <c r="S795" s="658"/>
      <c r="T795" s="290"/>
      <c r="U795" s="290"/>
      <c r="V795" s="290"/>
    </row>
    <row r="796" spans="1:22" ht="27.75" customHeight="1">
      <c r="B796" s="695" t="s">
        <v>643</v>
      </c>
      <c r="C796" s="696" t="s">
        <v>610</v>
      </c>
      <c r="D796" s="697"/>
      <c r="E796" s="701"/>
      <c r="F796" s="579"/>
      <c r="G796" s="699"/>
      <c r="H796" s="373" t="s">
        <v>1514</v>
      </c>
      <c r="I796" s="331">
        <v>1</v>
      </c>
      <c r="J796" s="338">
        <v>3000</v>
      </c>
      <c r="K796" s="374">
        <f t="shared" si="35"/>
        <v>0</v>
      </c>
      <c r="L796" s="374">
        <f t="shared" si="30"/>
        <v>3000</v>
      </c>
      <c r="N796" s="325"/>
      <c r="O796" s="325"/>
      <c r="Q796" s="478"/>
      <c r="R796" s="479"/>
      <c r="S796" s="658"/>
      <c r="T796" s="290"/>
      <c r="U796" s="290"/>
      <c r="V796" s="290"/>
    </row>
    <row r="797" spans="1:22" ht="27.75" customHeight="1">
      <c r="B797" s="695" t="s">
        <v>643</v>
      </c>
      <c r="C797" s="696" t="s">
        <v>610</v>
      </c>
      <c r="D797" s="697"/>
      <c r="E797" s="701"/>
      <c r="F797" s="579"/>
      <c r="G797" s="699"/>
      <c r="H797" s="373" t="s">
        <v>2055</v>
      </c>
      <c r="I797" s="331">
        <v>10</v>
      </c>
      <c r="J797" s="338">
        <v>31800</v>
      </c>
      <c r="K797" s="374">
        <f t="shared" si="35"/>
        <v>0</v>
      </c>
      <c r="L797" s="374">
        <f t="shared" si="30"/>
        <v>31800</v>
      </c>
      <c r="N797" s="325"/>
      <c r="O797" s="325"/>
      <c r="Q797" s="478"/>
      <c r="R797" s="479"/>
      <c r="S797" s="658"/>
      <c r="T797" s="290"/>
      <c r="U797" s="290"/>
      <c r="V797" s="290"/>
    </row>
    <row r="798" spans="1:22" ht="27.75" customHeight="1">
      <c r="A798" s="331">
        <v>2</v>
      </c>
      <c r="B798" s="695" t="s">
        <v>645</v>
      </c>
      <c r="C798" s="696" t="s">
        <v>1065</v>
      </c>
      <c r="D798" s="697"/>
      <c r="E798" s="701"/>
      <c r="F798" s="579"/>
      <c r="G798" s="699"/>
      <c r="H798" s="373" t="s">
        <v>1598</v>
      </c>
      <c r="I798" s="331">
        <v>17</v>
      </c>
      <c r="J798" s="338">
        <v>51000</v>
      </c>
      <c r="K798" s="374">
        <f t="shared" si="35"/>
        <v>0</v>
      </c>
      <c r="L798" s="374">
        <f t="shared" si="30"/>
        <v>51000</v>
      </c>
      <c r="N798" s="325"/>
      <c r="O798" s="325"/>
      <c r="Q798" s="478"/>
      <c r="R798" s="479"/>
      <c r="S798" s="658"/>
      <c r="T798" s="290"/>
      <c r="U798" s="290"/>
      <c r="V798" s="290"/>
    </row>
    <row r="799" spans="1:22" ht="27.75" customHeight="1">
      <c r="B799" s="695" t="s">
        <v>645</v>
      </c>
      <c r="C799" s="696" t="s">
        <v>1065</v>
      </c>
      <c r="D799" s="697"/>
      <c r="E799" s="701"/>
      <c r="F799" s="579"/>
      <c r="G799" s="699"/>
      <c r="H799" s="373" t="s">
        <v>2869</v>
      </c>
      <c r="I799" s="331">
        <v>3</v>
      </c>
      <c r="J799" s="338">
        <v>9000</v>
      </c>
      <c r="K799" s="374">
        <f t="shared" si="35"/>
        <v>0</v>
      </c>
      <c r="L799" s="374">
        <f t="shared" si="30"/>
        <v>9000</v>
      </c>
      <c r="N799" s="325"/>
      <c r="O799" s="325"/>
      <c r="Q799" s="478"/>
      <c r="R799" s="479"/>
      <c r="S799" s="658"/>
      <c r="T799" s="290"/>
      <c r="U799" s="290"/>
      <c r="V799" s="290"/>
    </row>
    <row r="800" spans="1:22" ht="27.75" customHeight="1">
      <c r="B800" s="695" t="s">
        <v>645</v>
      </c>
      <c r="C800" s="696" t="s">
        <v>1065</v>
      </c>
      <c r="D800" s="697"/>
      <c r="E800" s="701"/>
      <c r="F800" s="579"/>
      <c r="G800" s="699"/>
      <c r="H800" s="373" t="s">
        <v>2055</v>
      </c>
      <c r="I800" s="331">
        <v>10</v>
      </c>
      <c r="J800" s="338">
        <v>31800</v>
      </c>
      <c r="K800" s="374">
        <f t="shared" si="35"/>
        <v>0</v>
      </c>
      <c r="L800" s="374">
        <f t="shared" si="30"/>
        <v>31800</v>
      </c>
      <c r="N800" s="325"/>
      <c r="O800" s="325"/>
      <c r="Q800" s="478"/>
      <c r="R800" s="479"/>
      <c r="S800" s="658"/>
      <c r="T800" s="290"/>
      <c r="U800" s="290"/>
      <c r="V800" s="290"/>
    </row>
    <row r="801" spans="1:22" ht="27.75" customHeight="1">
      <c r="A801" s="331">
        <v>3</v>
      </c>
      <c r="B801" s="695" t="s">
        <v>647</v>
      </c>
      <c r="C801" s="696" t="s">
        <v>534</v>
      </c>
      <c r="D801" s="697"/>
      <c r="E801" s="701"/>
      <c r="F801" s="579"/>
      <c r="G801" s="699"/>
      <c r="H801" s="373" t="s">
        <v>1160</v>
      </c>
      <c r="I801" s="331">
        <v>13</v>
      </c>
      <c r="J801" s="338">
        <v>39000</v>
      </c>
      <c r="K801" s="374">
        <f t="shared" si="35"/>
        <v>0</v>
      </c>
      <c r="L801" s="374">
        <f t="shared" si="30"/>
        <v>39000</v>
      </c>
      <c r="N801" s="325"/>
      <c r="O801" s="325"/>
      <c r="Q801" s="478"/>
      <c r="R801" s="479"/>
      <c r="S801" s="658"/>
      <c r="T801" s="290"/>
      <c r="U801" s="290"/>
      <c r="V801" s="290"/>
    </row>
    <row r="802" spans="1:22" ht="27.75" customHeight="1">
      <c r="B802" s="695" t="s">
        <v>647</v>
      </c>
      <c r="C802" s="696" t="s">
        <v>534</v>
      </c>
      <c r="D802" s="697"/>
      <c r="E802" s="701"/>
      <c r="F802" s="579"/>
      <c r="G802" s="699"/>
      <c r="H802" s="373" t="s">
        <v>2057</v>
      </c>
      <c r="I802" s="331">
        <v>10</v>
      </c>
      <c r="J802" s="338">
        <v>31800</v>
      </c>
      <c r="K802" s="374">
        <f t="shared" si="35"/>
        <v>0</v>
      </c>
      <c r="L802" s="374">
        <f t="shared" si="30"/>
        <v>31800</v>
      </c>
      <c r="N802" s="325"/>
      <c r="O802" s="325"/>
      <c r="Q802" s="478"/>
      <c r="R802" s="479"/>
      <c r="S802" s="658"/>
      <c r="T802" s="290"/>
      <c r="U802" s="290"/>
      <c r="V802" s="290"/>
    </row>
    <row r="803" spans="1:22" ht="27.75" customHeight="1">
      <c r="A803" s="331">
        <v>4</v>
      </c>
      <c r="B803" s="695" t="s">
        <v>648</v>
      </c>
      <c r="C803" s="696" t="s">
        <v>611</v>
      </c>
      <c r="D803" s="697"/>
      <c r="E803" s="701"/>
      <c r="F803" s="579"/>
      <c r="G803" s="699"/>
      <c r="H803" s="373" t="s">
        <v>1138</v>
      </c>
      <c r="I803" s="331">
        <v>12</v>
      </c>
      <c r="J803" s="338">
        <v>36000</v>
      </c>
      <c r="K803" s="374">
        <f t="shared" si="35"/>
        <v>0</v>
      </c>
      <c r="L803" s="374">
        <f t="shared" si="30"/>
        <v>36000</v>
      </c>
      <c r="N803" s="325"/>
      <c r="O803" s="325"/>
      <c r="Q803" s="478"/>
      <c r="R803" s="479"/>
      <c r="S803" s="658"/>
      <c r="T803" s="290"/>
      <c r="U803" s="290"/>
      <c r="V803" s="290"/>
    </row>
    <row r="804" spans="1:22" ht="27.75" customHeight="1">
      <c r="B804" s="695" t="s">
        <v>648</v>
      </c>
      <c r="C804" s="696" t="s">
        <v>611</v>
      </c>
      <c r="D804" s="697"/>
      <c r="E804" s="701"/>
      <c r="F804" s="579"/>
      <c r="G804" s="699"/>
      <c r="H804" s="373" t="s">
        <v>1514</v>
      </c>
      <c r="I804" s="331">
        <v>1</v>
      </c>
      <c r="J804" s="338">
        <v>3000</v>
      </c>
      <c r="K804" s="374">
        <f t="shared" si="35"/>
        <v>0</v>
      </c>
      <c r="L804" s="374">
        <f t="shared" si="30"/>
        <v>3000</v>
      </c>
      <c r="N804" s="325"/>
      <c r="O804" s="325"/>
      <c r="Q804" s="478"/>
      <c r="R804" s="479"/>
      <c r="S804" s="658"/>
      <c r="T804" s="290"/>
      <c r="U804" s="290"/>
      <c r="V804" s="290"/>
    </row>
    <row r="805" spans="1:22" ht="27.75" customHeight="1">
      <c r="B805" s="695" t="s">
        <v>648</v>
      </c>
      <c r="C805" s="696" t="s">
        <v>611</v>
      </c>
      <c r="D805" s="697"/>
      <c r="E805" s="701"/>
      <c r="F805" s="579"/>
      <c r="G805" s="699"/>
      <c r="H805" s="373" t="s">
        <v>2057</v>
      </c>
      <c r="I805" s="331">
        <v>10</v>
      </c>
      <c r="J805" s="338">
        <v>31800</v>
      </c>
      <c r="K805" s="374">
        <f t="shared" si="35"/>
        <v>0</v>
      </c>
      <c r="L805" s="374">
        <f t="shared" si="30"/>
        <v>31800</v>
      </c>
      <c r="N805" s="325"/>
      <c r="O805" s="325"/>
      <c r="Q805" s="478"/>
      <c r="R805" s="479"/>
      <c r="S805" s="658"/>
      <c r="T805" s="290"/>
      <c r="U805" s="290"/>
      <c r="V805" s="290"/>
    </row>
    <row r="806" spans="1:22" ht="27.75" customHeight="1">
      <c r="A806" s="331">
        <v>5</v>
      </c>
      <c r="B806" s="695" t="s">
        <v>653</v>
      </c>
      <c r="C806" s="696" t="s">
        <v>472</v>
      </c>
      <c r="D806" s="697"/>
      <c r="E806" s="701"/>
      <c r="F806" s="579"/>
      <c r="G806" s="699"/>
      <c r="H806" s="373" t="s">
        <v>1599</v>
      </c>
      <c r="I806" s="331">
        <v>20</v>
      </c>
      <c r="J806" s="338">
        <v>60000</v>
      </c>
      <c r="K806" s="374">
        <f t="shared" si="35"/>
        <v>0</v>
      </c>
      <c r="L806" s="374">
        <f t="shared" si="30"/>
        <v>60000</v>
      </c>
      <c r="N806" s="325"/>
      <c r="O806" s="325"/>
      <c r="Q806" s="478"/>
      <c r="R806" s="479"/>
      <c r="S806" s="658"/>
      <c r="T806" s="290"/>
      <c r="U806" s="290"/>
      <c r="V806" s="290"/>
    </row>
    <row r="807" spans="1:22" ht="27.6" customHeight="1">
      <c r="B807" s="695" t="s">
        <v>653</v>
      </c>
      <c r="C807" s="696" t="s">
        <v>472</v>
      </c>
      <c r="D807" s="697"/>
      <c r="E807" s="701"/>
      <c r="F807" s="579"/>
      <c r="G807" s="699"/>
      <c r="H807" s="373" t="s">
        <v>1514</v>
      </c>
      <c r="I807" s="331">
        <v>1</v>
      </c>
      <c r="J807" s="338">
        <v>3000</v>
      </c>
      <c r="K807" s="374">
        <f t="shared" si="35"/>
        <v>0</v>
      </c>
      <c r="L807" s="374">
        <f t="shared" si="30"/>
        <v>3000</v>
      </c>
      <c r="N807" s="325"/>
      <c r="O807" s="325"/>
      <c r="Q807" s="478"/>
      <c r="R807" s="479"/>
      <c r="S807" s="658"/>
      <c r="T807" s="290"/>
      <c r="U807" s="290"/>
      <c r="V807" s="290"/>
    </row>
    <row r="808" spans="1:22" ht="27.6" customHeight="1">
      <c r="B808" s="695" t="s">
        <v>653</v>
      </c>
      <c r="C808" s="696" t="s">
        <v>472</v>
      </c>
      <c r="D808" s="697"/>
      <c r="E808" s="701"/>
      <c r="F808" s="579"/>
      <c r="G808" s="699"/>
      <c r="H808" s="373" t="s">
        <v>2053</v>
      </c>
      <c r="I808" s="331">
        <v>11</v>
      </c>
      <c r="J808" s="338">
        <v>35250</v>
      </c>
      <c r="K808" s="374">
        <f t="shared" si="35"/>
        <v>0</v>
      </c>
      <c r="L808" s="374">
        <f t="shared" si="30"/>
        <v>35250</v>
      </c>
      <c r="N808" s="325"/>
      <c r="O808" s="325"/>
      <c r="Q808" s="478"/>
      <c r="R808" s="479"/>
      <c r="S808" s="658"/>
      <c r="T808" s="290"/>
      <c r="U808" s="290"/>
      <c r="V808" s="290"/>
    </row>
    <row r="809" spans="1:22" ht="27.6" customHeight="1">
      <c r="A809" s="331">
        <v>6</v>
      </c>
      <c r="B809" s="695" t="s">
        <v>654</v>
      </c>
      <c r="C809" s="696" t="s">
        <v>496</v>
      </c>
      <c r="D809" s="697"/>
      <c r="E809" s="701"/>
      <c r="F809" s="579"/>
      <c r="G809" s="699"/>
      <c r="H809" s="373" t="s">
        <v>1137</v>
      </c>
      <c r="I809" s="331">
        <v>18</v>
      </c>
      <c r="J809" s="338">
        <v>54000</v>
      </c>
      <c r="K809" s="374">
        <f t="shared" si="35"/>
        <v>0</v>
      </c>
      <c r="L809" s="374">
        <f t="shared" ref="L809:L861" si="36">+J809</f>
        <v>54000</v>
      </c>
      <c r="N809" s="325"/>
      <c r="O809" s="325"/>
      <c r="Q809" s="478"/>
      <c r="R809" s="479"/>
      <c r="S809" s="658"/>
      <c r="T809" s="290"/>
      <c r="U809" s="290"/>
      <c r="V809" s="290"/>
    </row>
    <row r="810" spans="1:22" ht="27.6" customHeight="1">
      <c r="B810" s="695" t="s">
        <v>654</v>
      </c>
      <c r="C810" s="696" t="s">
        <v>496</v>
      </c>
      <c r="D810" s="697"/>
      <c r="E810" s="701"/>
      <c r="F810" s="579"/>
      <c r="G810" s="699"/>
      <c r="H810" s="373" t="s">
        <v>1514</v>
      </c>
      <c r="I810" s="331">
        <v>1</v>
      </c>
      <c r="J810" s="338">
        <v>3000</v>
      </c>
      <c r="K810" s="374">
        <f t="shared" si="35"/>
        <v>0</v>
      </c>
      <c r="L810" s="374">
        <f t="shared" si="36"/>
        <v>3000</v>
      </c>
      <c r="N810" s="325"/>
      <c r="O810" s="325"/>
      <c r="Q810" s="478"/>
      <c r="R810" s="479"/>
      <c r="S810" s="658"/>
      <c r="T810" s="290"/>
      <c r="U810" s="290"/>
      <c r="V810" s="290"/>
    </row>
    <row r="811" spans="1:22" ht="27.6" customHeight="1">
      <c r="B811" s="695" t="s">
        <v>654</v>
      </c>
      <c r="C811" s="696" t="s">
        <v>496</v>
      </c>
      <c r="D811" s="697"/>
      <c r="E811" s="701"/>
      <c r="F811" s="579"/>
      <c r="G811" s="699"/>
      <c r="H811" s="373" t="s">
        <v>2053</v>
      </c>
      <c r="I811" s="331">
        <v>11</v>
      </c>
      <c r="J811" s="338">
        <v>35250</v>
      </c>
      <c r="K811" s="374">
        <f t="shared" si="35"/>
        <v>0</v>
      </c>
      <c r="L811" s="374">
        <f t="shared" si="36"/>
        <v>35250</v>
      </c>
      <c r="N811" s="325"/>
      <c r="O811" s="325"/>
      <c r="Q811" s="478"/>
      <c r="R811" s="479"/>
      <c r="S811" s="658"/>
      <c r="T811" s="290"/>
      <c r="U811" s="290"/>
      <c r="V811" s="290"/>
    </row>
    <row r="812" spans="1:22" ht="27.6" customHeight="1">
      <c r="A812" s="331">
        <v>7</v>
      </c>
      <c r="B812" s="695" t="s">
        <v>655</v>
      </c>
      <c r="C812" s="696" t="s">
        <v>486</v>
      </c>
      <c r="D812" s="697"/>
      <c r="E812" s="701"/>
      <c r="F812" s="579"/>
      <c r="G812" s="699"/>
      <c r="H812" s="373" t="s">
        <v>1137</v>
      </c>
      <c r="I812" s="331">
        <v>18</v>
      </c>
      <c r="J812" s="338">
        <v>54000</v>
      </c>
      <c r="K812" s="374">
        <f t="shared" si="35"/>
        <v>0</v>
      </c>
      <c r="L812" s="374">
        <f t="shared" si="36"/>
        <v>54000</v>
      </c>
      <c r="N812" s="325"/>
      <c r="O812" s="325"/>
      <c r="Q812" s="478"/>
      <c r="R812" s="479"/>
      <c r="S812" s="658"/>
      <c r="T812" s="290"/>
      <c r="U812" s="290"/>
      <c r="V812" s="290"/>
    </row>
    <row r="813" spans="1:22" ht="27.6" customHeight="1">
      <c r="B813" s="695" t="s">
        <v>655</v>
      </c>
      <c r="C813" s="696" t="s">
        <v>486</v>
      </c>
      <c r="D813" s="697"/>
      <c r="E813" s="701"/>
      <c r="F813" s="579"/>
      <c r="G813" s="699"/>
      <c r="H813" s="373" t="s">
        <v>1514</v>
      </c>
      <c r="I813" s="331">
        <v>1</v>
      </c>
      <c r="J813" s="338">
        <v>3000</v>
      </c>
      <c r="K813" s="374">
        <f t="shared" si="35"/>
        <v>0</v>
      </c>
      <c r="L813" s="374">
        <f t="shared" si="36"/>
        <v>3000</v>
      </c>
      <c r="N813" s="325"/>
      <c r="O813" s="325"/>
      <c r="Q813" s="478"/>
      <c r="R813" s="479"/>
      <c r="S813" s="658"/>
      <c r="T813" s="290"/>
      <c r="U813" s="290"/>
      <c r="V813" s="290"/>
    </row>
    <row r="814" spans="1:22" ht="27.6" customHeight="1">
      <c r="B814" s="695" t="s">
        <v>655</v>
      </c>
      <c r="C814" s="696" t="s">
        <v>486</v>
      </c>
      <c r="D814" s="697"/>
      <c r="E814" s="701"/>
      <c r="F814" s="579"/>
      <c r="G814" s="699"/>
      <c r="H814" s="373" t="s">
        <v>2053</v>
      </c>
      <c r="I814" s="331">
        <v>11</v>
      </c>
      <c r="J814" s="338">
        <v>35250</v>
      </c>
      <c r="K814" s="374">
        <f t="shared" si="35"/>
        <v>0</v>
      </c>
      <c r="L814" s="374">
        <f t="shared" si="36"/>
        <v>35250</v>
      </c>
      <c r="N814" s="325"/>
      <c r="O814" s="325"/>
      <c r="Q814" s="478"/>
      <c r="R814" s="479"/>
      <c r="S814" s="658"/>
      <c r="T814" s="290"/>
      <c r="U814" s="290"/>
      <c r="V814" s="290"/>
    </row>
    <row r="815" spans="1:22" ht="27.6" customHeight="1">
      <c r="A815" s="331">
        <v>8</v>
      </c>
      <c r="B815" s="695" t="s">
        <v>1549</v>
      </c>
      <c r="C815" s="696" t="s">
        <v>656</v>
      </c>
      <c r="D815" s="697"/>
      <c r="E815" s="701"/>
      <c r="F815" s="579"/>
      <c r="G815" s="699"/>
      <c r="H815" s="373" t="s">
        <v>1142</v>
      </c>
      <c r="I815" s="331">
        <v>11</v>
      </c>
      <c r="J815" s="338">
        <v>33000</v>
      </c>
      <c r="K815" s="374">
        <f t="shared" si="35"/>
        <v>0</v>
      </c>
      <c r="L815" s="374">
        <f t="shared" si="36"/>
        <v>33000</v>
      </c>
      <c r="N815" s="325"/>
      <c r="O815" s="325"/>
      <c r="Q815" s="478"/>
      <c r="R815" s="479"/>
      <c r="S815" s="658"/>
      <c r="T815" s="290"/>
      <c r="U815" s="290"/>
      <c r="V815" s="290"/>
    </row>
    <row r="816" spans="1:22" ht="27.6" customHeight="1">
      <c r="B816" s="695" t="s">
        <v>1549</v>
      </c>
      <c r="C816" s="696" t="s">
        <v>656</v>
      </c>
      <c r="D816" s="697"/>
      <c r="E816" s="701"/>
      <c r="F816" s="579"/>
      <c r="G816" s="699"/>
      <c r="H816" s="373" t="s">
        <v>1514</v>
      </c>
      <c r="I816" s="331">
        <v>1</v>
      </c>
      <c r="J816" s="338">
        <v>3000</v>
      </c>
      <c r="K816" s="374">
        <f t="shared" si="35"/>
        <v>0</v>
      </c>
      <c r="L816" s="374">
        <f t="shared" si="36"/>
        <v>3000</v>
      </c>
      <c r="N816" s="325"/>
      <c r="O816" s="325"/>
      <c r="Q816" s="478"/>
      <c r="R816" s="479"/>
      <c r="S816" s="658"/>
      <c r="T816" s="290"/>
      <c r="U816" s="290"/>
      <c r="V816" s="290"/>
    </row>
    <row r="817" spans="1:22" ht="27.6" customHeight="1">
      <c r="B817" s="695" t="s">
        <v>1549</v>
      </c>
      <c r="C817" s="696" t="s">
        <v>656</v>
      </c>
      <c r="D817" s="697"/>
      <c r="E817" s="701"/>
      <c r="F817" s="579"/>
      <c r="G817" s="699"/>
      <c r="H817" s="373" t="s">
        <v>2053</v>
      </c>
      <c r="I817" s="331">
        <v>11</v>
      </c>
      <c r="J817" s="338">
        <v>35250</v>
      </c>
      <c r="K817" s="374">
        <f t="shared" si="35"/>
        <v>0</v>
      </c>
      <c r="L817" s="374">
        <f t="shared" si="36"/>
        <v>35250</v>
      </c>
      <c r="N817" s="325"/>
      <c r="O817" s="325"/>
      <c r="Q817" s="478"/>
      <c r="R817" s="479"/>
      <c r="S817" s="658"/>
      <c r="T817" s="290"/>
      <c r="U817" s="290"/>
      <c r="V817" s="290"/>
    </row>
    <row r="818" spans="1:22" ht="27.6" customHeight="1">
      <c r="A818" s="331">
        <v>9</v>
      </c>
      <c r="B818" s="695" t="s">
        <v>657</v>
      </c>
      <c r="C818" s="696" t="s">
        <v>487</v>
      </c>
      <c r="D818" s="697"/>
      <c r="E818" s="701"/>
      <c r="F818" s="579"/>
      <c r="G818" s="699"/>
      <c r="H818" s="373" t="s">
        <v>1144</v>
      </c>
      <c r="I818" s="331">
        <v>17</v>
      </c>
      <c r="J818" s="338">
        <v>51000</v>
      </c>
      <c r="K818" s="374">
        <f t="shared" si="35"/>
        <v>0</v>
      </c>
      <c r="L818" s="374">
        <f t="shared" si="36"/>
        <v>51000</v>
      </c>
      <c r="N818" s="325"/>
      <c r="O818" s="325"/>
      <c r="Q818" s="478"/>
      <c r="R818" s="479"/>
      <c r="S818" s="658"/>
      <c r="T818" s="290"/>
      <c r="U818" s="290"/>
      <c r="V818" s="290"/>
    </row>
    <row r="819" spans="1:22" ht="27.6" customHeight="1">
      <c r="B819" s="695" t="s">
        <v>657</v>
      </c>
      <c r="C819" s="696" t="s">
        <v>487</v>
      </c>
      <c r="D819" s="697"/>
      <c r="E819" s="701"/>
      <c r="F819" s="579"/>
      <c r="G819" s="699"/>
      <c r="H819" s="373" t="s">
        <v>1514</v>
      </c>
      <c r="I819" s="331">
        <v>1</v>
      </c>
      <c r="J819" s="338">
        <v>3000</v>
      </c>
      <c r="K819" s="374">
        <f t="shared" si="35"/>
        <v>0</v>
      </c>
      <c r="L819" s="374">
        <f t="shared" si="36"/>
        <v>3000</v>
      </c>
      <c r="N819" s="325"/>
      <c r="O819" s="325"/>
      <c r="Q819" s="478"/>
      <c r="R819" s="479"/>
      <c r="S819" s="658"/>
      <c r="T819" s="290"/>
      <c r="U819" s="290"/>
      <c r="V819" s="290"/>
    </row>
    <row r="820" spans="1:22" ht="27.6" customHeight="1">
      <c r="B820" s="695" t="s">
        <v>657</v>
      </c>
      <c r="C820" s="696" t="s">
        <v>487</v>
      </c>
      <c r="D820" s="697"/>
      <c r="E820" s="701"/>
      <c r="F820" s="579"/>
      <c r="G820" s="699"/>
      <c r="H820" s="373" t="s">
        <v>2053</v>
      </c>
      <c r="I820" s="331">
        <v>11</v>
      </c>
      <c r="J820" s="338">
        <v>35250</v>
      </c>
      <c r="K820" s="374">
        <f t="shared" si="35"/>
        <v>0</v>
      </c>
      <c r="L820" s="374">
        <f t="shared" si="36"/>
        <v>35250</v>
      </c>
      <c r="N820" s="325"/>
      <c r="O820" s="325"/>
      <c r="Q820" s="478"/>
      <c r="R820" s="479"/>
      <c r="S820" s="658"/>
      <c r="T820" s="290"/>
      <c r="U820" s="290"/>
      <c r="V820" s="290"/>
    </row>
    <row r="821" spans="1:22" ht="27.6" customHeight="1">
      <c r="A821" s="331">
        <v>10</v>
      </c>
      <c r="B821" s="695" t="s">
        <v>1015</v>
      </c>
      <c r="C821" s="696" t="s">
        <v>1016</v>
      </c>
      <c r="D821" s="697"/>
      <c r="E821" s="701"/>
      <c r="F821" s="579"/>
      <c r="G821" s="699"/>
      <c r="H821" s="373" t="s">
        <v>1600</v>
      </c>
      <c r="I821" s="331">
        <v>3</v>
      </c>
      <c r="J821" s="338">
        <v>9000</v>
      </c>
      <c r="K821" s="374">
        <f t="shared" si="35"/>
        <v>0</v>
      </c>
      <c r="L821" s="374">
        <f t="shared" si="36"/>
        <v>9000</v>
      </c>
      <c r="N821" s="325"/>
      <c r="O821" s="325"/>
      <c r="Q821" s="478"/>
      <c r="R821" s="479"/>
      <c r="S821" s="658"/>
      <c r="T821" s="290"/>
      <c r="U821" s="290"/>
      <c r="V821" s="290"/>
    </row>
    <row r="822" spans="1:22" ht="27.6" customHeight="1">
      <c r="B822" s="695" t="s">
        <v>1015</v>
      </c>
      <c r="C822" s="696" t="s">
        <v>1016</v>
      </c>
      <c r="D822" s="697"/>
      <c r="E822" s="701"/>
      <c r="F822" s="579"/>
      <c r="G822" s="699"/>
      <c r="H822" s="373" t="s">
        <v>2053</v>
      </c>
      <c r="I822" s="331">
        <v>11</v>
      </c>
      <c r="J822" s="338">
        <v>35250</v>
      </c>
      <c r="K822" s="374">
        <f t="shared" si="35"/>
        <v>0</v>
      </c>
      <c r="L822" s="374">
        <f t="shared" si="36"/>
        <v>35250</v>
      </c>
      <c r="N822" s="325"/>
      <c r="O822" s="325"/>
      <c r="Q822" s="478"/>
      <c r="R822" s="479"/>
      <c r="S822" s="658"/>
      <c r="T822" s="290"/>
      <c r="U822" s="290"/>
      <c r="V822" s="290"/>
    </row>
    <row r="823" spans="1:22" ht="27.6" customHeight="1">
      <c r="A823" s="331">
        <v>11</v>
      </c>
      <c r="B823" s="695" t="s">
        <v>2609</v>
      </c>
      <c r="C823" s="696" t="s">
        <v>2610</v>
      </c>
      <c r="D823" s="697"/>
      <c r="E823" s="701"/>
      <c r="F823" s="579"/>
      <c r="G823" s="699"/>
      <c r="H823" s="373" t="s">
        <v>2718</v>
      </c>
      <c r="I823" s="331">
        <v>4</v>
      </c>
      <c r="J823" s="338">
        <v>13800</v>
      </c>
      <c r="K823" s="374">
        <f t="shared" si="35"/>
        <v>0</v>
      </c>
      <c r="L823" s="374">
        <f t="shared" si="36"/>
        <v>13800</v>
      </c>
      <c r="N823" s="325"/>
      <c r="O823" s="325"/>
      <c r="Q823" s="478"/>
      <c r="R823" s="479"/>
      <c r="S823" s="658"/>
      <c r="T823" s="290"/>
      <c r="U823" s="290"/>
      <c r="V823" s="290"/>
    </row>
    <row r="824" spans="1:22" ht="27.6" customHeight="1">
      <c r="A824" s="331">
        <v>12</v>
      </c>
      <c r="B824" s="695" t="s">
        <v>1333</v>
      </c>
      <c r="C824" s="696" t="s">
        <v>1334</v>
      </c>
      <c r="D824" s="697"/>
      <c r="E824" s="701"/>
      <c r="F824" s="579"/>
      <c r="G824" s="699"/>
      <c r="H824" s="373" t="s">
        <v>1161</v>
      </c>
      <c r="I824" s="331">
        <v>16</v>
      </c>
      <c r="J824" s="338">
        <v>48000</v>
      </c>
      <c r="K824" s="374">
        <f t="shared" si="35"/>
        <v>0</v>
      </c>
      <c r="L824" s="374">
        <f t="shared" si="36"/>
        <v>48000</v>
      </c>
      <c r="N824" s="325"/>
      <c r="O824" s="325"/>
      <c r="Q824" s="478"/>
      <c r="R824" s="479"/>
      <c r="S824" s="658"/>
      <c r="T824" s="290"/>
      <c r="U824" s="290"/>
      <c r="V824" s="290"/>
    </row>
    <row r="825" spans="1:22" ht="27.6" customHeight="1">
      <c r="B825" s="695" t="s">
        <v>1333</v>
      </c>
      <c r="C825" s="696" t="s">
        <v>1334</v>
      </c>
      <c r="D825" s="697"/>
      <c r="E825" s="701"/>
      <c r="F825" s="579"/>
      <c r="G825" s="699"/>
      <c r="H825" s="373" t="s">
        <v>2053</v>
      </c>
      <c r="I825" s="331">
        <v>11</v>
      </c>
      <c r="J825" s="338">
        <v>35250</v>
      </c>
      <c r="K825" s="374">
        <f t="shared" si="35"/>
        <v>0</v>
      </c>
      <c r="L825" s="374">
        <f t="shared" si="36"/>
        <v>35250</v>
      </c>
      <c r="N825" s="325"/>
      <c r="O825" s="325"/>
      <c r="Q825" s="478"/>
      <c r="R825" s="479"/>
      <c r="S825" s="658"/>
      <c r="T825" s="290"/>
      <c r="U825" s="290"/>
      <c r="V825" s="290"/>
    </row>
    <row r="826" spans="1:22" ht="27.6" customHeight="1">
      <c r="A826" s="331">
        <v>13</v>
      </c>
      <c r="B826" s="695" t="s">
        <v>663</v>
      </c>
      <c r="C826" s="696" t="s">
        <v>514</v>
      </c>
      <c r="D826" s="697"/>
      <c r="E826" s="701"/>
      <c r="F826" s="579"/>
      <c r="G826" s="699"/>
      <c r="H826" s="373" t="s">
        <v>1193</v>
      </c>
      <c r="I826" s="331">
        <v>18</v>
      </c>
      <c r="J826" s="338">
        <v>54000</v>
      </c>
      <c r="K826" s="374">
        <f t="shared" si="35"/>
        <v>0</v>
      </c>
      <c r="L826" s="374">
        <f t="shared" si="36"/>
        <v>54000</v>
      </c>
      <c r="N826" s="325"/>
      <c r="O826" s="325"/>
      <c r="Q826" s="478"/>
      <c r="R826" s="479"/>
      <c r="S826" s="658"/>
      <c r="T826" s="290"/>
      <c r="U826" s="290"/>
      <c r="V826" s="290"/>
    </row>
    <row r="827" spans="1:22" ht="27.6" customHeight="1">
      <c r="B827" s="695" t="s">
        <v>663</v>
      </c>
      <c r="C827" s="696" t="s">
        <v>514</v>
      </c>
      <c r="D827" s="697"/>
      <c r="E827" s="701"/>
      <c r="F827" s="579"/>
      <c r="G827" s="699"/>
      <c r="H827" s="373" t="s">
        <v>2053</v>
      </c>
      <c r="I827" s="331">
        <v>11</v>
      </c>
      <c r="J827" s="338">
        <v>35250</v>
      </c>
      <c r="K827" s="374">
        <f t="shared" si="35"/>
        <v>0</v>
      </c>
      <c r="L827" s="374">
        <f t="shared" si="36"/>
        <v>35250</v>
      </c>
      <c r="N827" s="325"/>
      <c r="O827" s="325"/>
      <c r="Q827" s="478"/>
      <c r="R827" s="479"/>
      <c r="S827" s="658"/>
      <c r="T827" s="290"/>
      <c r="U827" s="290"/>
      <c r="V827" s="290"/>
    </row>
    <row r="828" spans="1:22" ht="27.6" customHeight="1">
      <c r="A828" s="331">
        <v>14</v>
      </c>
      <c r="B828" s="695" t="s">
        <v>665</v>
      </c>
      <c r="C828" s="696" t="s">
        <v>515</v>
      </c>
      <c r="D828" s="697"/>
      <c r="E828" s="701"/>
      <c r="F828" s="579"/>
      <c r="G828" s="699"/>
      <c r="H828" s="373" t="s">
        <v>2054</v>
      </c>
      <c r="I828" s="331">
        <v>9</v>
      </c>
      <c r="J828" s="338">
        <v>29250</v>
      </c>
      <c r="K828" s="374">
        <f t="shared" si="35"/>
        <v>0</v>
      </c>
      <c r="L828" s="374">
        <f t="shared" si="36"/>
        <v>29250</v>
      </c>
      <c r="N828" s="325"/>
      <c r="O828" s="325"/>
      <c r="Q828" s="478"/>
      <c r="R828" s="479"/>
      <c r="S828" s="658"/>
      <c r="T828" s="290"/>
      <c r="U828" s="290"/>
      <c r="V828" s="290"/>
    </row>
    <row r="829" spans="1:22" ht="27.6" customHeight="1">
      <c r="A829" s="331">
        <v>15</v>
      </c>
      <c r="B829" s="695" t="s">
        <v>363</v>
      </c>
      <c r="C829" s="696" t="s">
        <v>1166</v>
      </c>
      <c r="D829" s="697"/>
      <c r="E829" s="701"/>
      <c r="F829" s="579"/>
      <c r="G829" s="699"/>
      <c r="H829" s="373" t="s">
        <v>2060</v>
      </c>
      <c r="I829" s="331">
        <v>8</v>
      </c>
      <c r="J829" s="338">
        <v>26250</v>
      </c>
      <c r="K829" s="374">
        <f t="shared" si="35"/>
        <v>0</v>
      </c>
      <c r="L829" s="374">
        <f t="shared" si="36"/>
        <v>26250</v>
      </c>
      <c r="N829" s="325"/>
      <c r="O829" s="325"/>
      <c r="Q829" s="478"/>
      <c r="R829" s="479"/>
      <c r="S829" s="658"/>
      <c r="T829" s="290"/>
      <c r="U829" s="290"/>
      <c r="V829" s="290"/>
    </row>
    <row r="830" spans="1:22" ht="27.75" customHeight="1">
      <c r="A830" s="331">
        <v>16</v>
      </c>
      <c r="B830" s="695" t="s">
        <v>2613</v>
      </c>
      <c r="C830" s="696" t="s">
        <v>2614</v>
      </c>
      <c r="D830" s="697"/>
      <c r="E830" s="701"/>
      <c r="F830" s="579"/>
      <c r="G830" s="699"/>
      <c r="H830" s="373" t="s">
        <v>2718</v>
      </c>
      <c r="I830" s="331">
        <v>4</v>
      </c>
      <c r="J830" s="338">
        <v>13800</v>
      </c>
      <c r="K830" s="374">
        <f t="shared" si="35"/>
        <v>0</v>
      </c>
      <c r="L830" s="374">
        <f t="shared" si="36"/>
        <v>13800</v>
      </c>
      <c r="N830" s="325"/>
      <c r="O830" s="325"/>
      <c r="Q830" s="478"/>
      <c r="R830" s="479"/>
      <c r="S830" s="658"/>
      <c r="T830" s="290"/>
      <c r="U830" s="290"/>
      <c r="V830" s="290"/>
    </row>
    <row r="831" spans="1:22" ht="27.75" customHeight="1">
      <c r="A831" s="331">
        <v>17</v>
      </c>
      <c r="B831" s="695" t="s">
        <v>1775</v>
      </c>
      <c r="C831" s="696" t="s">
        <v>1776</v>
      </c>
      <c r="D831" s="697"/>
      <c r="E831" s="701"/>
      <c r="F831" s="579"/>
      <c r="G831" s="699"/>
      <c r="H831" s="373" t="s">
        <v>2784</v>
      </c>
      <c r="I831" s="331">
        <v>6</v>
      </c>
      <c r="J831" s="338">
        <v>20700</v>
      </c>
      <c r="K831" s="374">
        <f t="shared" si="35"/>
        <v>0</v>
      </c>
      <c r="L831" s="374">
        <f t="shared" si="36"/>
        <v>20700</v>
      </c>
      <c r="N831" s="325"/>
      <c r="O831" s="325"/>
      <c r="Q831" s="478"/>
      <c r="R831" s="479"/>
      <c r="S831" s="658"/>
      <c r="T831" s="290"/>
      <c r="U831" s="290"/>
      <c r="V831" s="290"/>
    </row>
    <row r="832" spans="1:22" ht="27.75" customHeight="1">
      <c r="A832" s="331">
        <v>18</v>
      </c>
      <c r="B832" s="695" t="s">
        <v>1780</v>
      </c>
      <c r="C832" s="696" t="s">
        <v>1781</v>
      </c>
      <c r="D832" s="697"/>
      <c r="E832" s="701"/>
      <c r="F832" s="579"/>
      <c r="G832" s="699"/>
      <c r="H832" s="373" t="s">
        <v>2784</v>
      </c>
      <c r="I832" s="331">
        <v>6</v>
      </c>
      <c r="J832" s="338">
        <v>20700</v>
      </c>
      <c r="K832" s="374">
        <f t="shared" si="35"/>
        <v>0</v>
      </c>
      <c r="L832" s="374">
        <f t="shared" si="36"/>
        <v>20700</v>
      </c>
      <c r="N832" s="325"/>
      <c r="O832" s="325"/>
      <c r="Q832" s="478"/>
      <c r="R832" s="479"/>
      <c r="S832" s="658"/>
      <c r="T832" s="290"/>
      <c r="U832" s="290"/>
      <c r="V832" s="290"/>
    </row>
    <row r="833" spans="1:22" ht="27.75" customHeight="1">
      <c r="A833" s="331">
        <v>19</v>
      </c>
      <c r="B833" s="695" t="s">
        <v>693</v>
      </c>
      <c r="C833" s="696" t="s">
        <v>1087</v>
      </c>
      <c r="D833" s="697"/>
      <c r="E833" s="701"/>
      <c r="F833" s="579"/>
      <c r="G833" s="699"/>
      <c r="H833" s="373" t="s">
        <v>2068</v>
      </c>
      <c r="I833" s="331">
        <v>11</v>
      </c>
      <c r="J833" s="338">
        <v>33000</v>
      </c>
      <c r="K833" s="374">
        <f t="shared" si="35"/>
        <v>0</v>
      </c>
      <c r="L833" s="374">
        <f t="shared" si="36"/>
        <v>33000</v>
      </c>
      <c r="N833" s="325"/>
      <c r="O833" s="325"/>
      <c r="Q833" s="478"/>
      <c r="R833" s="479"/>
      <c r="S833" s="658"/>
      <c r="T833" s="290"/>
      <c r="U833" s="290"/>
      <c r="V833" s="290"/>
    </row>
    <row r="834" spans="1:22" ht="27.75" customHeight="1">
      <c r="B834" s="695" t="s">
        <v>693</v>
      </c>
      <c r="C834" s="696" t="s">
        <v>1087</v>
      </c>
      <c r="D834" s="697"/>
      <c r="E834" s="701"/>
      <c r="F834" s="579"/>
      <c r="G834" s="699"/>
      <c r="H834" s="373" t="s">
        <v>2877</v>
      </c>
      <c r="I834" s="331">
        <v>5</v>
      </c>
      <c r="J834" s="338">
        <v>15000</v>
      </c>
      <c r="K834" s="374">
        <f t="shared" si="35"/>
        <v>0</v>
      </c>
      <c r="L834" s="374">
        <f t="shared" si="36"/>
        <v>15000</v>
      </c>
      <c r="N834" s="325"/>
      <c r="O834" s="325"/>
      <c r="Q834" s="478"/>
      <c r="R834" s="479"/>
      <c r="S834" s="658"/>
      <c r="T834" s="290"/>
      <c r="U834" s="290"/>
      <c r="V834" s="290"/>
    </row>
    <row r="835" spans="1:22" ht="27.75" customHeight="1">
      <c r="B835" s="695" t="s">
        <v>693</v>
      </c>
      <c r="C835" s="696" t="s">
        <v>1087</v>
      </c>
      <c r="D835" s="697"/>
      <c r="E835" s="701"/>
      <c r="F835" s="579"/>
      <c r="G835" s="699"/>
      <c r="H835" s="373" t="s">
        <v>2053</v>
      </c>
      <c r="I835" s="331">
        <v>11</v>
      </c>
      <c r="J835" s="338">
        <v>35250</v>
      </c>
      <c r="K835" s="374">
        <f t="shared" si="35"/>
        <v>0</v>
      </c>
      <c r="L835" s="374">
        <f t="shared" si="36"/>
        <v>35250</v>
      </c>
      <c r="N835" s="325"/>
      <c r="O835" s="325"/>
      <c r="Q835" s="478"/>
      <c r="R835" s="479"/>
      <c r="S835" s="658"/>
      <c r="T835" s="290"/>
      <c r="U835" s="290"/>
      <c r="V835" s="290"/>
    </row>
    <row r="836" spans="1:22" ht="27.75" customHeight="1">
      <c r="A836" s="331">
        <v>20</v>
      </c>
      <c r="B836" s="695" t="s">
        <v>425</v>
      </c>
      <c r="C836" s="696" t="s">
        <v>1089</v>
      </c>
      <c r="D836" s="697"/>
      <c r="E836" s="701"/>
      <c r="F836" s="579"/>
      <c r="G836" s="699"/>
      <c r="H836" s="373" t="s">
        <v>2070</v>
      </c>
      <c r="I836" s="331">
        <v>12</v>
      </c>
      <c r="J836" s="338">
        <v>36000</v>
      </c>
      <c r="K836" s="374">
        <f t="shared" si="35"/>
        <v>0</v>
      </c>
      <c r="L836" s="374">
        <f t="shared" si="36"/>
        <v>36000</v>
      </c>
      <c r="N836" s="325"/>
      <c r="O836" s="325"/>
      <c r="Q836" s="478"/>
      <c r="R836" s="479"/>
      <c r="S836" s="658"/>
      <c r="T836" s="290"/>
      <c r="U836" s="290"/>
      <c r="V836" s="290"/>
    </row>
    <row r="837" spans="1:22" ht="27.75" customHeight="1">
      <c r="B837" s="695" t="s">
        <v>425</v>
      </c>
      <c r="C837" s="696" t="s">
        <v>1089</v>
      </c>
      <c r="D837" s="697"/>
      <c r="E837" s="701"/>
      <c r="F837" s="579"/>
      <c r="G837" s="699"/>
      <c r="H837" s="373" t="s">
        <v>2877</v>
      </c>
      <c r="I837" s="331">
        <v>5</v>
      </c>
      <c r="J837" s="338">
        <v>15000</v>
      </c>
      <c r="K837" s="374">
        <f t="shared" si="35"/>
        <v>0</v>
      </c>
      <c r="L837" s="374">
        <f t="shared" si="36"/>
        <v>15000</v>
      </c>
      <c r="N837" s="325"/>
      <c r="O837" s="325"/>
      <c r="Q837" s="478"/>
      <c r="R837" s="479"/>
      <c r="S837" s="658"/>
      <c r="T837" s="290"/>
      <c r="U837" s="290"/>
      <c r="V837" s="290"/>
    </row>
    <row r="838" spans="1:22" ht="27.75" customHeight="1">
      <c r="B838" s="695" t="s">
        <v>425</v>
      </c>
      <c r="C838" s="696" t="s">
        <v>1089</v>
      </c>
      <c r="D838" s="697"/>
      <c r="E838" s="701"/>
      <c r="F838" s="579"/>
      <c r="G838" s="699"/>
      <c r="H838" s="373" t="s">
        <v>2053</v>
      </c>
      <c r="I838" s="331">
        <v>11</v>
      </c>
      <c r="J838" s="338">
        <v>35250</v>
      </c>
      <c r="K838" s="374">
        <f t="shared" si="35"/>
        <v>0</v>
      </c>
      <c r="L838" s="374">
        <f t="shared" si="36"/>
        <v>35250</v>
      </c>
      <c r="N838" s="325"/>
      <c r="O838" s="325"/>
      <c r="Q838" s="478"/>
      <c r="R838" s="479"/>
      <c r="S838" s="658"/>
      <c r="T838" s="290"/>
      <c r="U838" s="290"/>
      <c r="V838" s="290"/>
    </row>
    <row r="839" spans="1:22" ht="27.75" customHeight="1">
      <c r="A839" s="331">
        <v>21</v>
      </c>
      <c r="B839" s="695" t="s">
        <v>695</v>
      </c>
      <c r="C839" s="696" t="s">
        <v>1090</v>
      </c>
      <c r="D839" s="697"/>
      <c r="E839" s="701"/>
      <c r="F839" s="579"/>
      <c r="G839" s="699"/>
      <c r="H839" s="373" t="s">
        <v>2071</v>
      </c>
      <c r="I839" s="331">
        <v>14</v>
      </c>
      <c r="J839" s="338">
        <v>42000</v>
      </c>
      <c r="K839" s="374">
        <f t="shared" si="35"/>
        <v>0</v>
      </c>
      <c r="L839" s="374">
        <f t="shared" si="36"/>
        <v>42000</v>
      </c>
      <c r="N839" s="325"/>
      <c r="O839" s="325"/>
      <c r="Q839" s="478"/>
      <c r="R839" s="479"/>
      <c r="S839" s="658"/>
      <c r="T839" s="290"/>
      <c r="U839" s="290"/>
      <c r="V839" s="290"/>
    </row>
    <row r="840" spans="1:22" ht="27.75" customHeight="1">
      <c r="B840" s="695" t="s">
        <v>695</v>
      </c>
      <c r="C840" s="696" t="s">
        <v>1090</v>
      </c>
      <c r="D840" s="697"/>
      <c r="E840" s="701"/>
      <c r="F840" s="579"/>
      <c r="G840" s="699"/>
      <c r="H840" s="373" t="s">
        <v>2877</v>
      </c>
      <c r="I840" s="331">
        <v>5</v>
      </c>
      <c r="J840" s="338">
        <v>15000</v>
      </c>
      <c r="K840" s="374">
        <f t="shared" si="35"/>
        <v>0</v>
      </c>
      <c r="L840" s="374">
        <f t="shared" si="36"/>
        <v>15000</v>
      </c>
      <c r="N840" s="325"/>
      <c r="O840" s="325"/>
      <c r="Q840" s="478"/>
      <c r="R840" s="479"/>
      <c r="S840" s="658"/>
      <c r="T840" s="290"/>
      <c r="U840" s="290"/>
      <c r="V840" s="290"/>
    </row>
    <row r="841" spans="1:22" ht="27.75" customHeight="1">
      <c r="B841" s="695" t="s">
        <v>695</v>
      </c>
      <c r="C841" s="696" t="s">
        <v>1090</v>
      </c>
      <c r="D841" s="697"/>
      <c r="E841" s="701"/>
      <c r="F841" s="579"/>
      <c r="G841" s="699"/>
      <c r="H841" s="373" t="s">
        <v>2053</v>
      </c>
      <c r="I841" s="331">
        <v>11</v>
      </c>
      <c r="J841" s="338">
        <v>35250</v>
      </c>
      <c r="K841" s="374">
        <f t="shared" si="35"/>
        <v>0</v>
      </c>
      <c r="L841" s="374">
        <f t="shared" si="36"/>
        <v>35250</v>
      </c>
      <c r="N841" s="325"/>
      <c r="O841" s="325"/>
      <c r="Q841" s="478"/>
      <c r="R841" s="479"/>
      <c r="S841" s="658"/>
      <c r="T841" s="290"/>
      <c r="U841" s="290"/>
      <c r="V841" s="290"/>
    </row>
    <row r="842" spans="1:22" ht="27.75" customHeight="1">
      <c r="A842" s="331">
        <v>22</v>
      </c>
      <c r="B842" s="695" t="s">
        <v>697</v>
      </c>
      <c r="C842" s="696" t="s">
        <v>543</v>
      </c>
      <c r="D842" s="697"/>
      <c r="E842" s="701"/>
      <c r="F842" s="579"/>
      <c r="G842" s="699"/>
      <c r="H842" s="373" t="s">
        <v>2073</v>
      </c>
      <c r="I842" s="331">
        <v>13</v>
      </c>
      <c r="J842" s="338">
        <v>39000</v>
      </c>
      <c r="K842" s="374">
        <f t="shared" si="35"/>
        <v>0</v>
      </c>
      <c r="L842" s="374">
        <f t="shared" si="36"/>
        <v>39000</v>
      </c>
      <c r="N842" s="325"/>
      <c r="O842" s="325"/>
      <c r="Q842" s="478"/>
      <c r="R842" s="479"/>
      <c r="S842" s="658"/>
      <c r="T842" s="290"/>
      <c r="U842" s="290"/>
      <c r="V842" s="290"/>
    </row>
    <row r="843" spans="1:22" ht="27.75" customHeight="1">
      <c r="B843" s="695" t="s">
        <v>697</v>
      </c>
      <c r="C843" s="696" t="s">
        <v>543</v>
      </c>
      <c r="D843" s="697"/>
      <c r="E843" s="701"/>
      <c r="F843" s="579"/>
      <c r="G843" s="699"/>
      <c r="H843" s="373" t="s">
        <v>1514</v>
      </c>
      <c r="I843" s="331">
        <v>1</v>
      </c>
      <c r="J843" s="338">
        <v>3000</v>
      </c>
      <c r="K843" s="374">
        <f t="shared" si="35"/>
        <v>0</v>
      </c>
      <c r="L843" s="374">
        <f t="shared" si="36"/>
        <v>3000</v>
      </c>
      <c r="N843" s="325"/>
      <c r="O843" s="325"/>
      <c r="Q843" s="478"/>
      <c r="R843" s="479"/>
      <c r="S843" s="658"/>
      <c r="T843" s="290"/>
      <c r="U843" s="290"/>
      <c r="V843" s="290"/>
    </row>
    <row r="844" spans="1:22" ht="27.75" customHeight="1">
      <c r="B844" s="695" t="s">
        <v>697</v>
      </c>
      <c r="C844" s="696" t="s">
        <v>543</v>
      </c>
      <c r="D844" s="697"/>
      <c r="E844" s="701"/>
      <c r="F844" s="579"/>
      <c r="G844" s="699"/>
      <c r="H844" s="373" t="s">
        <v>2053</v>
      </c>
      <c r="I844" s="331">
        <v>11</v>
      </c>
      <c r="J844" s="338">
        <v>35250</v>
      </c>
      <c r="K844" s="374">
        <f t="shared" si="35"/>
        <v>0</v>
      </c>
      <c r="L844" s="374">
        <f t="shared" si="36"/>
        <v>35250</v>
      </c>
      <c r="N844" s="325"/>
      <c r="O844" s="325"/>
      <c r="Q844" s="478"/>
      <c r="R844" s="479"/>
      <c r="S844" s="658"/>
      <c r="T844" s="290"/>
      <c r="U844" s="290"/>
      <c r="V844" s="290"/>
    </row>
    <row r="845" spans="1:22" ht="27.75" customHeight="1">
      <c r="A845" s="331">
        <v>23</v>
      </c>
      <c r="B845" s="695" t="s">
        <v>702</v>
      </c>
      <c r="C845" s="696" t="s">
        <v>703</v>
      </c>
      <c r="D845" s="697"/>
      <c r="E845" s="701"/>
      <c r="F845" s="579"/>
      <c r="G845" s="699"/>
      <c r="H845" s="373" t="s">
        <v>1139</v>
      </c>
      <c r="I845" s="331">
        <v>9</v>
      </c>
      <c r="J845" s="338">
        <v>27000</v>
      </c>
      <c r="K845" s="374">
        <f t="shared" si="35"/>
        <v>0</v>
      </c>
      <c r="L845" s="374">
        <f t="shared" si="36"/>
        <v>27000</v>
      </c>
      <c r="N845" s="325"/>
      <c r="O845" s="325"/>
      <c r="Q845" s="478"/>
      <c r="R845" s="479"/>
      <c r="S845" s="658"/>
      <c r="T845" s="290"/>
      <c r="U845" s="290"/>
      <c r="V845" s="290"/>
    </row>
    <row r="846" spans="1:22" ht="27.75" customHeight="1">
      <c r="B846" s="695" t="s">
        <v>702</v>
      </c>
      <c r="C846" s="696" t="s">
        <v>703</v>
      </c>
      <c r="D846" s="697"/>
      <c r="E846" s="701"/>
      <c r="F846" s="579"/>
      <c r="G846" s="699"/>
      <c r="H846" s="373" t="s">
        <v>1514</v>
      </c>
      <c r="I846" s="331">
        <v>1</v>
      </c>
      <c r="J846" s="338">
        <v>3000</v>
      </c>
      <c r="K846" s="374">
        <f t="shared" si="35"/>
        <v>0</v>
      </c>
      <c r="L846" s="374">
        <f t="shared" si="36"/>
        <v>3000</v>
      </c>
      <c r="N846" s="325"/>
      <c r="O846" s="325"/>
      <c r="Q846" s="478"/>
      <c r="R846" s="479"/>
      <c r="S846" s="658"/>
      <c r="T846" s="290"/>
      <c r="U846" s="290"/>
      <c r="V846" s="290"/>
    </row>
    <row r="847" spans="1:22" ht="27.75" customHeight="1">
      <c r="B847" s="695" t="s">
        <v>702</v>
      </c>
      <c r="C847" s="696" t="s">
        <v>703</v>
      </c>
      <c r="D847" s="697"/>
      <c r="E847" s="701"/>
      <c r="F847" s="579"/>
      <c r="G847" s="699"/>
      <c r="H847" s="373" t="s">
        <v>2053</v>
      </c>
      <c r="I847" s="331">
        <v>11</v>
      </c>
      <c r="J847" s="338">
        <v>35250</v>
      </c>
      <c r="K847" s="374">
        <f t="shared" si="35"/>
        <v>0</v>
      </c>
      <c r="L847" s="374">
        <f t="shared" si="36"/>
        <v>35250</v>
      </c>
      <c r="N847" s="325"/>
      <c r="O847" s="325"/>
      <c r="Q847" s="478"/>
      <c r="R847" s="479"/>
      <c r="S847" s="658"/>
      <c r="T847" s="290"/>
      <c r="U847" s="290"/>
      <c r="V847" s="290"/>
    </row>
    <row r="848" spans="1:22" ht="27.75" customHeight="1">
      <c r="A848" s="331">
        <v>24</v>
      </c>
      <c r="B848" s="695" t="s">
        <v>707</v>
      </c>
      <c r="C848" s="696" t="s">
        <v>1093</v>
      </c>
      <c r="D848" s="697"/>
      <c r="E848" s="701"/>
      <c r="F848" s="579"/>
      <c r="G848" s="699"/>
      <c r="H848" s="373" t="s">
        <v>941</v>
      </c>
      <c r="I848" s="331">
        <v>10</v>
      </c>
      <c r="J848" s="338">
        <v>30000</v>
      </c>
      <c r="K848" s="374">
        <f t="shared" si="35"/>
        <v>0</v>
      </c>
      <c r="L848" s="374">
        <f t="shared" si="36"/>
        <v>30000</v>
      </c>
      <c r="N848" s="325"/>
      <c r="O848" s="325"/>
      <c r="Q848" s="478"/>
      <c r="R848" s="479"/>
      <c r="S848" s="658"/>
      <c r="T848" s="290"/>
      <c r="U848" s="290"/>
      <c r="V848" s="290"/>
    </row>
    <row r="849" spans="1:22" ht="27.75" customHeight="1">
      <c r="B849" s="695" t="s">
        <v>707</v>
      </c>
      <c r="C849" s="696" t="s">
        <v>1093</v>
      </c>
      <c r="D849" s="697"/>
      <c r="E849" s="701"/>
      <c r="F849" s="579"/>
      <c r="G849" s="699"/>
      <c r="H849" s="373" t="s">
        <v>2877</v>
      </c>
      <c r="I849" s="331">
        <v>5</v>
      </c>
      <c r="J849" s="338">
        <v>15000</v>
      </c>
      <c r="K849" s="374">
        <f t="shared" si="35"/>
        <v>0</v>
      </c>
      <c r="L849" s="374">
        <f t="shared" si="36"/>
        <v>15000</v>
      </c>
      <c r="N849" s="325"/>
      <c r="O849" s="325"/>
      <c r="Q849" s="478"/>
      <c r="R849" s="479"/>
      <c r="S849" s="658"/>
      <c r="T849" s="290"/>
      <c r="U849" s="290"/>
      <c r="V849" s="290"/>
    </row>
    <row r="850" spans="1:22" ht="27.75" customHeight="1">
      <c r="B850" s="695" t="s">
        <v>1561</v>
      </c>
      <c r="C850" s="696" t="s">
        <v>1093</v>
      </c>
      <c r="D850" s="697"/>
      <c r="E850" s="701"/>
      <c r="F850" s="579"/>
      <c r="G850" s="699"/>
      <c r="H850" s="373" t="s">
        <v>2053</v>
      </c>
      <c r="I850" s="331">
        <v>11</v>
      </c>
      <c r="J850" s="338">
        <v>35250</v>
      </c>
      <c r="K850" s="374">
        <f t="shared" si="35"/>
        <v>0</v>
      </c>
      <c r="L850" s="374">
        <f t="shared" si="36"/>
        <v>35250</v>
      </c>
      <c r="N850" s="325"/>
      <c r="O850" s="325"/>
      <c r="Q850" s="478"/>
      <c r="R850" s="479"/>
      <c r="S850" s="658"/>
      <c r="T850" s="290"/>
      <c r="U850" s="290"/>
      <c r="V850" s="290"/>
    </row>
    <row r="851" spans="1:22" ht="27.75" customHeight="1">
      <c r="A851" s="331">
        <v>25</v>
      </c>
      <c r="B851" s="695" t="s">
        <v>708</v>
      </c>
      <c r="C851" s="696" t="s">
        <v>709</v>
      </c>
      <c r="D851" s="697"/>
      <c r="E851" s="701"/>
      <c r="F851" s="579"/>
      <c r="G851" s="699"/>
      <c r="H851" s="373" t="s">
        <v>2075</v>
      </c>
      <c r="I851" s="331">
        <v>16</v>
      </c>
      <c r="J851" s="338">
        <v>50250</v>
      </c>
      <c r="K851" s="374">
        <f t="shared" si="35"/>
        <v>0</v>
      </c>
      <c r="L851" s="374">
        <f t="shared" si="36"/>
        <v>50250</v>
      </c>
      <c r="N851" s="325"/>
      <c r="O851" s="325"/>
      <c r="Q851" s="478"/>
      <c r="R851" s="479"/>
      <c r="S851" s="658"/>
      <c r="T851" s="290"/>
      <c r="U851" s="290"/>
      <c r="V851" s="290"/>
    </row>
    <row r="852" spans="1:22" ht="27.75" customHeight="1">
      <c r="A852" s="331">
        <v>26</v>
      </c>
      <c r="B852" s="695" t="s">
        <v>1807</v>
      </c>
      <c r="C852" s="696" t="s">
        <v>1808</v>
      </c>
      <c r="D852" s="697"/>
      <c r="E852" s="701"/>
      <c r="F852" s="579"/>
      <c r="G852" s="699"/>
      <c r="H852" s="373" t="s">
        <v>2737</v>
      </c>
      <c r="I852" s="331">
        <v>8</v>
      </c>
      <c r="J852" s="338">
        <v>27600</v>
      </c>
      <c r="K852" s="374">
        <f t="shared" si="35"/>
        <v>0</v>
      </c>
      <c r="L852" s="374">
        <f t="shared" si="36"/>
        <v>27600</v>
      </c>
      <c r="N852" s="325"/>
      <c r="O852" s="325"/>
      <c r="Q852" s="478"/>
      <c r="R852" s="479"/>
      <c r="S852" s="658"/>
      <c r="T852" s="290"/>
      <c r="U852" s="290"/>
      <c r="V852" s="290"/>
    </row>
    <row r="853" spans="1:22" ht="27.75" customHeight="1">
      <c r="A853" s="331">
        <v>27</v>
      </c>
      <c r="B853" s="695" t="s">
        <v>2738</v>
      </c>
      <c r="C853" s="696" t="s">
        <v>2272</v>
      </c>
      <c r="D853" s="697"/>
      <c r="E853" s="701"/>
      <c r="F853" s="579"/>
      <c r="G853" s="699"/>
      <c r="H853" s="373" t="s">
        <v>3236</v>
      </c>
      <c r="I853" s="331">
        <v>4</v>
      </c>
      <c r="J853" s="338">
        <v>13800</v>
      </c>
      <c r="K853" s="374">
        <f t="shared" si="35"/>
        <v>0</v>
      </c>
      <c r="L853" s="374">
        <f t="shared" si="36"/>
        <v>13800</v>
      </c>
      <c r="N853" s="325"/>
      <c r="O853" s="325"/>
      <c r="Q853" s="478"/>
      <c r="R853" s="479"/>
      <c r="S853" s="658"/>
      <c r="T853" s="290"/>
      <c r="U853" s="290"/>
      <c r="V853" s="290"/>
    </row>
    <row r="854" spans="1:22" ht="27.75" customHeight="1">
      <c r="A854" s="331">
        <v>28</v>
      </c>
      <c r="B854" s="695" t="s">
        <v>727</v>
      </c>
      <c r="C854" s="696" t="s">
        <v>538</v>
      </c>
      <c r="D854" s="697"/>
      <c r="E854" s="701"/>
      <c r="F854" s="579"/>
      <c r="G854" s="699"/>
      <c r="H854" s="373" t="s">
        <v>1616</v>
      </c>
      <c r="I854" s="331">
        <v>2</v>
      </c>
      <c r="J854" s="338">
        <v>6000</v>
      </c>
      <c r="K854" s="374">
        <f t="shared" si="35"/>
        <v>0</v>
      </c>
      <c r="L854" s="374">
        <f t="shared" si="36"/>
        <v>6000</v>
      </c>
      <c r="N854" s="325"/>
      <c r="O854" s="325"/>
      <c r="Q854" s="478"/>
      <c r="R854" s="479"/>
      <c r="S854" s="658"/>
      <c r="T854" s="290"/>
      <c r="U854" s="290"/>
      <c r="V854" s="290"/>
    </row>
    <row r="855" spans="1:22" ht="27.75" customHeight="1">
      <c r="B855" s="695" t="s">
        <v>727</v>
      </c>
      <c r="C855" s="696" t="s">
        <v>538</v>
      </c>
      <c r="D855" s="697"/>
      <c r="E855" s="701"/>
      <c r="F855" s="579"/>
      <c r="G855" s="699"/>
      <c r="H855" s="373" t="s">
        <v>2785</v>
      </c>
      <c r="I855" s="331">
        <v>4</v>
      </c>
      <c r="J855" s="338">
        <v>13800</v>
      </c>
      <c r="K855" s="374">
        <f t="shared" si="35"/>
        <v>0</v>
      </c>
      <c r="L855" s="374">
        <f t="shared" si="36"/>
        <v>13800</v>
      </c>
      <c r="N855" s="325"/>
      <c r="O855" s="325"/>
      <c r="Q855" s="478"/>
      <c r="R855" s="479"/>
      <c r="S855" s="658"/>
      <c r="T855" s="290"/>
      <c r="U855" s="290"/>
      <c r="V855" s="290"/>
    </row>
    <row r="856" spans="1:22" ht="27.75" customHeight="1">
      <c r="B856" s="695" t="s">
        <v>727</v>
      </c>
      <c r="C856" s="696" t="s">
        <v>538</v>
      </c>
      <c r="D856" s="697"/>
      <c r="E856" s="701"/>
      <c r="F856" s="579"/>
      <c r="G856" s="699"/>
      <c r="H856" s="373" t="s">
        <v>1805</v>
      </c>
      <c r="I856" s="331">
        <v>5</v>
      </c>
      <c r="J856" s="338">
        <v>10600</v>
      </c>
      <c r="K856" s="374">
        <f t="shared" si="35"/>
        <v>0</v>
      </c>
      <c r="L856" s="374">
        <f t="shared" si="36"/>
        <v>10600</v>
      </c>
      <c r="N856" s="325"/>
      <c r="O856" s="325"/>
      <c r="Q856" s="478"/>
      <c r="R856" s="479"/>
      <c r="S856" s="658"/>
      <c r="T856" s="290"/>
      <c r="U856" s="290"/>
      <c r="V856" s="290"/>
    </row>
    <row r="857" spans="1:22" ht="27.75" customHeight="1">
      <c r="A857" s="331">
        <v>29</v>
      </c>
      <c r="B857" s="695" t="s">
        <v>2617</v>
      </c>
      <c r="C857" s="696" t="s">
        <v>2618</v>
      </c>
      <c r="D857" s="697"/>
      <c r="E857" s="701"/>
      <c r="F857" s="579"/>
      <c r="G857" s="699"/>
      <c r="H857" s="373" t="s">
        <v>2718</v>
      </c>
      <c r="I857" s="331">
        <v>4</v>
      </c>
      <c r="J857" s="338">
        <v>13800</v>
      </c>
      <c r="K857" s="374">
        <f t="shared" si="35"/>
        <v>0</v>
      </c>
      <c r="L857" s="374">
        <f t="shared" si="36"/>
        <v>13800</v>
      </c>
      <c r="N857" s="325"/>
      <c r="O857" s="325"/>
      <c r="Q857" s="478"/>
      <c r="R857" s="479"/>
      <c r="S857" s="658"/>
      <c r="T857" s="290"/>
      <c r="U857" s="290"/>
      <c r="V857" s="290"/>
    </row>
    <row r="858" spans="1:22" ht="27.75" customHeight="1">
      <c r="A858" s="331">
        <v>30</v>
      </c>
      <c r="B858" s="695" t="s">
        <v>734</v>
      </c>
      <c r="C858" s="696" t="s">
        <v>499</v>
      </c>
      <c r="D858" s="697"/>
      <c r="E858" s="701"/>
      <c r="F858" s="579"/>
      <c r="G858" s="699"/>
      <c r="H858" s="373" t="s">
        <v>1760</v>
      </c>
      <c r="I858" s="331">
        <v>11</v>
      </c>
      <c r="J858" s="338">
        <v>720784.5</v>
      </c>
      <c r="K858" s="374">
        <f t="shared" si="35"/>
        <v>0</v>
      </c>
      <c r="L858" s="374">
        <f t="shared" si="36"/>
        <v>720784.5</v>
      </c>
      <c r="N858" s="325"/>
      <c r="O858" s="325"/>
      <c r="Q858" s="478"/>
      <c r="R858" s="479"/>
      <c r="S858" s="658"/>
      <c r="T858" s="290"/>
      <c r="U858" s="290"/>
      <c r="V858" s="290"/>
    </row>
    <row r="859" spans="1:22" ht="27.75" customHeight="1">
      <c r="B859" s="695" t="s">
        <v>734</v>
      </c>
      <c r="C859" s="696" t="s">
        <v>2076</v>
      </c>
      <c r="D859" s="697"/>
      <c r="E859" s="701"/>
      <c r="F859" s="579"/>
      <c r="G859" s="699"/>
      <c r="H859" s="373" t="s">
        <v>2077</v>
      </c>
      <c r="I859" s="331">
        <v>9</v>
      </c>
      <c r="J859" s="338">
        <v>558900</v>
      </c>
      <c r="K859" s="374">
        <f t="shared" si="35"/>
        <v>0</v>
      </c>
      <c r="L859" s="374">
        <f t="shared" si="36"/>
        <v>558900</v>
      </c>
      <c r="N859" s="325"/>
      <c r="O859" s="325"/>
      <c r="Q859" s="478"/>
      <c r="R859" s="479"/>
      <c r="S859" s="658"/>
      <c r="T859" s="290"/>
      <c r="U859" s="290"/>
      <c r="V859" s="290"/>
    </row>
    <row r="860" spans="1:22" ht="27.75" customHeight="1">
      <c r="B860" s="695"/>
      <c r="C860" s="696"/>
      <c r="D860" s="697"/>
      <c r="E860" s="701"/>
      <c r="F860" s="579"/>
      <c r="G860" s="699"/>
      <c r="H860" s="373"/>
      <c r="K860" s="374">
        <f t="shared" si="35"/>
        <v>0</v>
      </c>
      <c r="L860" s="374">
        <f t="shared" si="36"/>
        <v>0</v>
      </c>
      <c r="N860" s="325"/>
      <c r="O860" s="325"/>
      <c r="Q860" s="478"/>
      <c r="R860" s="479"/>
      <c r="S860" s="658"/>
      <c r="T860" s="290"/>
      <c r="U860" s="290"/>
      <c r="V860" s="290"/>
    </row>
    <row r="861" spans="1:22" ht="27.75" customHeight="1">
      <c r="B861" s="695"/>
      <c r="C861" s="696"/>
      <c r="D861" s="697"/>
      <c r="E861" s="701"/>
      <c r="F861" s="579"/>
      <c r="G861" s="699"/>
      <c r="H861" s="373"/>
      <c r="K861" s="374">
        <f t="shared" si="35"/>
        <v>0</v>
      </c>
      <c r="L861" s="374">
        <f t="shared" si="36"/>
        <v>0</v>
      </c>
      <c r="N861" s="325"/>
      <c r="O861" s="325"/>
      <c r="Q861" s="478"/>
      <c r="R861" s="479"/>
      <c r="S861" s="658"/>
      <c r="T861" s="290"/>
      <c r="U861" s="290"/>
      <c r="V861" s="290"/>
    </row>
    <row r="862" spans="1:22" ht="27.75" customHeight="1" thickBot="1">
      <c r="B862" s="695"/>
      <c r="C862" s="696"/>
      <c r="D862" s="697"/>
      <c r="E862" s="701"/>
      <c r="F862" s="579"/>
      <c r="G862" s="699"/>
      <c r="H862" s="373"/>
      <c r="K862" s="374">
        <f t="shared" si="35"/>
        <v>0</v>
      </c>
      <c r="L862" s="374">
        <f t="shared" si="30"/>
        <v>0</v>
      </c>
      <c r="N862" s="325"/>
      <c r="O862" s="325"/>
      <c r="Q862" s="478"/>
      <c r="R862" s="479"/>
      <c r="S862" s="658"/>
      <c r="T862" s="290"/>
      <c r="U862" s="290"/>
      <c r="V862" s="290"/>
    </row>
    <row r="863" spans="1:22" s="455" customFormat="1" ht="27.75" customHeight="1" thickTop="1" thickBot="1">
      <c r="A863" s="450"/>
      <c r="B863" s="703"/>
      <c r="C863" s="704"/>
      <c r="D863" s="705"/>
      <c r="E863" s="576"/>
      <c r="F863" s="706"/>
      <c r="G863" s="707"/>
      <c r="H863" s="622"/>
      <c r="I863" s="450"/>
      <c r="J863" s="446"/>
      <c r="K863" s="374">
        <f t="shared" si="35"/>
        <v>0</v>
      </c>
      <c r="L863" s="374">
        <f t="shared" si="30"/>
        <v>0</v>
      </c>
      <c r="M863" s="551"/>
      <c r="N863" s="708">
        <f>SUM(G421:G862)</f>
        <v>122800</v>
      </c>
      <c r="O863" s="708">
        <f>SUM(J421:J862)</f>
        <v>14592527.51</v>
      </c>
      <c r="P863" s="452">
        <f>SUM(N863:O863)</f>
        <v>14715327.51</v>
      </c>
      <c r="Q863" s="481">
        <f>SUM(D421:D862)</f>
        <v>0</v>
      </c>
      <c r="R863" s="552" t="s">
        <v>407</v>
      </c>
      <c r="S863" s="655"/>
    </row>
    <row r="864" spans="1:22" ht="27.75" customHeight="1" thickTop="1">
      <c r="B864" s="709"/>
      <c r="C864" s="710"/>
      <c r="D864" s="505"/>
      <c r="E864" s="505"/>
      <c r="F864" s="710"/>
      <c r="G864" s="586"/>
      <c r="H864" s="373"/>
      <c r="K864" s="374">
        <f t="shared" si="35"/>
        <v>0</v>
      </c>
      <c r="L864" s="374">
        <f t="shared" ref="L864:L873" si="37">+J864</f>
        <v>0</v>
      </c>
      <c r="N864" s="325"/>
      <c r="O864" s="325"/>
      <c r="Q864" s="478"/>
      <c r="R864" s="479"/>
      <c r="S864" s="658"/>
      <c r="T864" s="290"/>
      <c r="U864" s="290"/>
      <c r="V864" s="290"/>
    </row>
    <row r="865" spans="1:22" ht="27.75" customHeight="1">
      <c r="B865" s="709" t="s">
        <v>99</v>
      </c>
      <c r="C865" s="710"/>
      <c r="D865" s="505"/>
      <c r="E865" s="505"/>
      <c r="F865" s="710"/>
      <c r="G865" s="586"/>
      <c r="H865" s="373"/>
      <c r="K865" s="374">
        <f t="shared" si="35"/>
        <v>0</v>
      </c>
      <c r="L865" s="374">
        <f t="shared" si="37"/>
        <v>0</v>
      </c>
      <c r="N865" s="325"/>
      <c r="O865" s="325"/>
      <c r="Q865" s="478"/>
      <c r="R865" s="479"/>
      <c r="S865" s="658"/>
      <c r="T865" s="290"/>
      <c r="U865" s="290"/>
      <c r="V865" s="290"/>
    </row>
    <row r="866" spans="1:22" ht="27.75" customHeight="1">
      <c r="A866" s="331">
        <v>1</v>
      </c>
      <c r="B866" s="1348" t="s">
        <v>2031</v>
      </c>
      <c r="C866" s="1349" t="s">
        <v>2246</v>
      </c>
      <c r="D866" s="505"/>
      <c r="E866" s="1350" t="s">
        <v>3416</v>
      </c>
      <c r="F866" s="1351">
        <v>1</v>
      </c>
      <c r="G866" s="1352">
        <v>10000</v>
      </c>
      <c r="H866" s="373"/>
      <c r="K866" s="374">
        <f t="shared" si="35"/>
        <v>1153.9999999999998</v>
      </c>
      <c r="L866" s="374">
        <f t="shared" si="37"/>
        <v>0</v>
      </c>
      <c r="N866" s="325"/>
      <c r="O866" s="325"/>
      <c r="Q866" s="478"/>
      <c r="R866" s="479"/>
      <c r="S866" s="658"/>
      <c r="T866" s="290"/>
      <c r="U866" s="290"/>
      <c r="V866" s="290"/>
    </row>
    <row r="867" spans="1:22" ht="27.75" customHeight="1">
      <c r="A867" s="331">
        <v>2</v>
      </c>
      <c r="B867" s="1348" t="s">
        <v>2031</v>
      </c>
      <c r="C867" s="1349" t="s">
        <v>2247</v>
      </c>
      <c r="D867" s="505"/>
      <c r="E867" s="1350" t="s">
        <v>3416</v>
      </c>
      <c r="F867" s="1351">
        <v>1</v>
      </c>
      <c r="G867" s="1352">
        <v>10000</v>
      </c>
      <c r="H867" s="373"/>
      <c r="K867" s="374">
        <f t="shared" si="35"/>
        <v>1153.9999999999998</v>
      </c>
      <c r="L867" s="374">
        <f t="shared" si="37"/>
        <v>0</v>
      </c>
      <c r="N867" s="325"/>
      <c r="O867" s="325"/>
      <c r="Q867" s="478"/>
      <c r="R867" s="479"/>
      <c r="S867" s="658"/>
      <c r="T867" s="290"/>
      <c r="U867" s="290"/>
      <c r="V867" s="290"/>
    </row>
    <row r="868" spans="1:22" ht="27.75" customHeight="1">
      <c r="B868" s="1348"/>
      <c r="C868" s="1349"/>
      <c r="D868" s="505"/>
      <c r="E868" s="1350"/>
      <c r="F868" s="1351"/>
      <c r="G868" s="1352"/>
      <c r="H868" s="373"/>
      <c r="K868" s="374"/>
      <c r="L868" s="374"/>
      <c r="N868" s="325"/>
      <c r="O868" s="325"/>
      <c r="Q868" s="478"/>
      <c r="R868" s="479"/>
      <c r="S868" s="658"/>
      <c r="T868" s="290"/>
      <c r="U868" s="290"/>
      <c r="V868" s="290"/>
    </row>
    <row r="869" spans="1:22" ht="27.75" customHeight="1">
      <c r="B869" s="709" t="s">
        <v>2735</v>
      </c>
      <c r="C869" s="710"/>
      <c r="D869" s="505"/>
      <c r="E869" s="505"/>
      <c r="F869" s="710"/>
      <c r="G869" s="586"/>
      <c r="H869" s="373"/>
      <c r="K869" s="374">
        <f t="shared" si="35"/>
        <v>0</v>
      </c>
      <c r="L869" s="374">
        <f t="shared" si="37"/>
        <v>0</v>
      </c>
      <c r="N869" s="325"/>
      <c r="O869" s="325"/>
      <c r="Q869" s="478"/>
      <c r="R869" s="479"/>
      <c r="S869" s="658"/>
      <c r="T869" s="290"/>
      <c r="U869" s="290"/>
      <c r="V869" s="290"/>
    </row>
    <row r="870" spans="1:22" ht="27.75" customHeight="1">
      <c r="A870" s="331">
        <v>1</v>
      </c>
      <c r="B870" s="709" t="s">
        <v>2786</v>
      </c>
      <c r="C870" s="710" t="s">
        <v>2248</v>
      </c>
      <c r="D870" s="505"/>
      <c r="E870" s="505"/>
      <c r="F870" s="710"/>
      <c r="G870" s="586"/>
      <c r="H870" s="373" t="s">
        <v>2249</v>
      </c>
      <c r="I870" s="331">
        <v>3</v>
      </c>
      <c r="J870" s="338">
        <v>36000</v>
      </c>
      <c r="K870" s="374">
        <f t="shared" si="35"/>
        <v>0</v>
      </c>
      <c r="L870" s="374">
        <f t="shared" si="37"/>
        <v>36000</v>
      </c>
      <c r="N870" s="325"/>
      <c r="O870" s="325"/>
      <c r="Q870" s="478"/>
      <c r="R870" s="479"/>
      <c r="S870" s="658"/>
      <c r="T870" s="290"/>
      <c r="U870" s="290"/>
      <c r="V870" s="290"/>
    </row>
    <row r="871" spans="1:22" s="686" customFormat="1" ht="27.75" customHeight="1">
      <c r="A871" s="673"/>
      <c r="B871" s="711"/>
      <c r="C871" s="712"/>
      <c r="D871" s="713"/>
      <c r="E871" s="713"/>
      <c r="F871" s="712"/>
      <c r="G871" s="714"/>
      <c r="H871" s="679"/>
      <c r="I871" s="673"/>
      <c r="J871" s="676"/>
      <c r="K871" s="374">
        <f t="shared" si="35"/>
        <v>0</v>
      </c>
      <c r="L871" s="676">
        <f t="shared" si="37"/>
        <v>0</v>
      </c>
      <c r="M871" s="715"/>
      <c r="N871" s="716">
        <f>SUM(G866:G871)</f>
        <v>20000</v>
      </c>
      <c r="O871" s="716">
        <f>SUM(J866:J871)</f>
        <v>36000</v>
      </c>
      <c r="P871" s="682">
        <f>+N871+O871</f>
        <v>56000</v>
      </c>
      <c r="Q871" s="683">
        <f>SUM(D866:D871)</f>
        <v>0</v>
      </c>
      <c r="R871" s="684" t="s">
        <v>99</v>
      </c>
      <c r="S871" s="685"/>
    </row>
    <row r="872" spans="1:22" ht="27.75" customHeight="1">
      <c r="B872" s="709"/>
      <c r="C872" s="710"/>
      <c r="D872" s="505"/>
      <c r="E872" s="505"/>
      <c r="F872" s="710"/>
      <c r="G872" s="586"/>
      <c r="H872" s="373"/>
      <c r="K872" s="374">
        <f t="shared" si="35"/>
        <v>0</v>
      </c>
      <c r="L872" s="374">
        <f t="shared" si="37"/>
        <v>0</v>
      </c>
      <c r="N872" s="325"/>
      <c r="O872" s="325"/>
      <c r="Q872" s="478"/>
      <c r="R872" s="479"/>
      <c r="S872" s="658"/>
      <c r="T872" s="290"/>
      <c r="U872" s="290"/>
      <c r="V872" s="290"/>
    </row>
    <row r="873" spans="1:22" ht="27.75" customHeight="1">
      <c r="B873" s="717" t="s">
        <v>35</v>
      </c>
      <c r="C873" s="718"/>
      <c r="D873" s="719"/>
      <c r="E873" s="502"/>
      <c r="F873" s="720"/>
      <c r="G873" s="586"/>
      <c r="H873" s="373"/>
      <c r="K873" s="374">
        <f t="shared" si="35"/>
        <v>0</v>
      </c>
      <c r="L873" s="374">
        <f t="shared" si="37"/>
        <v>0</v>
      </c>
      <c r="N873" s="325"/>
      <c r="O873" s="325"/>
      <c r="Q873" s="289" t="s">
        <v>961</v>
      </c>
      <c r="S873" s="290"/>
      <c r="T873" s="290"/>
      <c r="U873" s="290"/>
      <c r="V873" s="290"/>
    </row>
    <row r="874" spans="1:22" ht="27.6" customHeight="1">
      <c r="A874" s="331">
        <v>1</v>
      </c>
      <c r="B874" s="695" t="s">
        <v>666</v>
      </c>
      <c r="C874" s="364" t="s">
        <v>2733</v>
      </c>
      <c r="D874" s="409">
        <v>513.6</v>
      </c>
      <c r="E874" s="701"/>
      <c r="F874" s="579"/>
      <c r="G874" s="721"/>
      <c r="H874" s="701"/>
      <c r="I874" s="579"/>
      <c r="J874" s="721"/>
      <c r="K874" s="374">
        <f t="shared" si="35"/>
        <v>0</v>
      </c>
      <c r="L874" s="374">
        <f>+J874</f>
        <v>0</v>
      </c>
      <c r="N874" s="325"/>
      <c r="O874" s="325"/>
      <c r="S874" s="290"/>
      <c r="T874" s="290"/>
      <c r="U874" s="290"/>
      <c r="V874" s="290"/>
    </row>
    <row r="875" spans="1:22" ht="27.75" customHeight="1">
      <c r="A875" s="331">
        <v>2</v>
      </c>
      <c r="B875" s="695" t="s">
        <v>1664</v>
      </c>
      <c r="C875" s="696" t="s">
        <v>1665</v>
      </c>
      <c r="D875" s="697">
        <v>42.8</v>
      </c>
      <c r="E875" s="722"/>
      <c r="F875" s="579"/>
      <c r="G875" s="721"/>
      <c r="H875" s="373"/>
      <c r="K875" s="374">
        <f t="shared" si="35"/>
        <v>0</v>
      </c>
      <c r="L875" s="374">
        <f t="shared" ref="L875:L916" si="38">+J875</f>
        <v>0</v>
      </c>
      <c r="N875" s="325"/>
      <c r="O875" s="325"/>
      <c r="S875" s="290"/>
      <c r="T875" s="290"/>
      <c r="U875" s="290"/>
      <c r="V875" s="290"/>
    </row>
    <row r="876" spans="1:22" ht="39" customHeight="1">
      <c r="A876" s="331">
        <v>3</v>
      </c>
      <c r="B876" s="695" t="s">
        <v>736</v>
      </c>
      <c r="C876" s="364" t="s">
        <v>500</v>
      </c>
      <c r="D876" s="409"/>
      <c r="E876" s="722" t="s">
        <v>3416</v>
      </c>
      <c r="F876" s="579">
        <v>1</v>
      </c>
      <c r="G876" s="721">
        <v>342.39999999999941</v>
      </c>
      <c r="H876" s="373"/>
      <c r="K876" s="374">
        <f t="shared" si="35"/>
        <v>39.512959999999929</v>
      </c>
      <c r="L876" s="374">
        <f t="shared" si="38"/>
        <v>0</v>
      </c>
      <c r="N876" s="325"/>
      <c r="O876" s="325"/>
      <c r="S876" s="290"/>
      <c r="T876" s="290"/>
      <c r="U876" s="290"/>
      <c r="V876" s="290"/>
    </row>
    <row r="877" spans="1:22" ht="27.75" customHeight="1">
      <c r="A877" s="331">
        <v>4</v>
      </c>
      <c r="B877" s="695" t="s">
        <v>698</v>
      </c>
      <c r="C877" s="364" t="s">
        <v>1741</v>
      </c>
      <c r="D877" s="409"/>
      <c r="E877" s="722" t="s">
        <v>3416</v>
      </c>
      <c r="F877" s="579">
        <v>1</v>
      </c>
      <c r="G877" s="721">
        <v>770.39999999999975</v>
      </c>
      <c r="H877" s="373"/>
      <c r="K877" s="374">
        <f t="shared" ref="K877:K915" si="39">G877*11.54/100</f>
        <v>88.904159999999962</v>
      </c>
      <c r="L877" s="374">
        <f t="shared" si="38"/>
        <v>0</v>
      </c>
      <c r="N877" s="325"/>
      <c r="O877" s="325"/>
      <c r="S877" s="290"/>
      <c r="T877" s="290"/>
      <c r="U877" s="290"/>
      <c r="V877" s="290"/>
    </row>
    <row r="878" spans="1:22" ht="27.75" customHeight="1">
      <c r="A878" s="331">
        <v>5</v>
      </c>
      <c r="B878" s="695" t="s">
        <v>737</v>
      </c>
      <c r="C878" s="364" t="s">
        <v>501</v>
      </c>
      <c r="D878" s="409"/>
      <c r="E878" s="722" t="s">
        <v>3416</v>
      </c>
      <c r="F878" s="579">
        <v>1</v>
      </c>
      <c r="G878" s="721">
        <v>428</v>
      </c>
      <c r="H878" s="373"/>
      <c r="K878" s="374">
        <f t="shared" si="39"/>
        <v>49.391199999999998</v>
      </c>
      <c r="L878" s="374">
        <f t="shared" si="38"/>
        <v>0</v>
      </c>
      <c r="N878" s="325"/>
      <c r="O878" s="325"/>
      <c r="S878" s="290"/>
      <c r="T878" s="290"/>
      <c r="U878" s="290"/>
      <c r="V878" s="290"/>
    </row>
    <row r="879" spans="1:22" ht="27.75" customHeight="1">
      <c r="A879" s="331">
        <v>6</v>
      </c>
      <c r="B879" s="695" t="s">
        <v>738</v>
      </c>
      <c r="C879" s="364" t="s">
        <v>623</v>
      </c>
      <c r="D879" s="409"/>
      <c r="E879" s="722" t="s">
        <v>3416</v>
      </c>
      <c r="F879" s="579">
        <v>1</v>
      </c>
      <c r="G879" s="721">
        <v>256.8</v>
      </c>
      <c r="H879" s="373"/>
      <c r="K879" s="374">
        <f t="shared" si="39"/>
        <v>29.634719999999998</v>
      </c>
      <c r="L879" s="374">
        <f t="shared" si="38"/>
        <v>0</v>
      </c>
      <c r="N879" s="325"/>
      <c r="O879" s="325"/>
      <c r="S879" s="290"/>
      <c r="T879" s="290"/>
      <c r="U879" s="290"/>
      <c r="V879" s="290"/>
    </row>
    <row r="880" spans="1:22" ht="27.75" customHeight="1">
      <c r="A880" s="331">
        <v>7</v>
      </c>
      <c r="B880" s="695" t="s">
        <v>1770</v>
      </c>
      <c r="C880" s="364" t="s">
        <v>1771</v>
      </c>
      <c r="D880" s="409"/>
      <c r="E880" s="722" t="s">
        <v>3416</v>
      </c>
      <c r="F880" s="579">
        <v>1</v>
      </c>
      <c r="G880" s="721">
        <v>128.40000000000006</v>
      </c>
      <c r="H880" s="373"/>
      <c r="K880" s="374">
        <f t="shared" si="39"/>
        <v>14.817360000000006</v>
      </c>
      <c r="L880" s="374">
        <f t="shared" si="38"/>
        <v>0</v>
      </c>
      <c r="N880" s="325"/>
      <c r="O880" s="325"/>
      <c r="S880" s="290"/>
      <c r="T880" s="290"/>
      <c r="U880" s="290"/>
      <c r="V880" s="290"/>
    </row>
    <row r="881" spans="1:22" ht="27.75" customHeight="1">
      <c r="A881" s="331">
        <v>8</v>
      </c>
      <c r="B881" s="695" t="s">
        <v>699</v>
      </c>
      <c r="C881" s="364" t="s">
        <v>518</v>
      </c>
      <c r="D881" s="409"/>
      <c r="E881" s="722" t="s">
        <v>3416</v>
      </c>
      <c r="F881" s="579">
        <v>1</v>
      </c>
      <c r="G881" s="721">
        <v>2525.1999999999998</v>
      </c>
      <c r="H881" s="373"/>
      <c r="K881" s="374">
        <f t="shared" si="39"/>
        <v>291.40807999999998</v>
      </c>
      <c r="L881" s="374">
        <f t="shared" si="38"/>
        <v>0</v>
      </c>
      <c r="N881" s="325"/>
      <c r="O881" s="325"/>
      <c r="S881" s="290"/>
      <c r="T881" s="290"/>
      <c r="U881" s="290"/>
      <c r="V881" s="290"/>
    </row>
    <row r="882" spans="1:22" ht="27.75" customHeight="1">
      <c r="A882" s="331">
        <v>9</v>
      </c>
      <c r="B882" s="695" t="s">
        <v>739</v>
      </c>
      <c r="C882" s="364" t="s">
        <v>519</v>
      </c>
      <c r="D882" s="409"/>
      <c r="E882" s="722" t="s">
        <v>3416</v>
      </c>
      <c r="F882" s="579">
        <v>1</v>
      </c>
      <c r="G882" s="721">
        <v>171.19999999999993</v>
      </c>
      <c r="H882" s="373"/>
      <c r="K882" s="374">
        <f t="shared" si="39"/>
        <v>19.756479999999989</v>
      </c>
      <c r="L882" s="374">
        <f t="shared" si="38"/>
        <v>0</v>
      </c>
      <c r="N882" s="325"/>
      <c r="O882" s="325"/>
      <c r="S882" s="290"/>
      <c r="T882" s="290"/>
      <c r="U882" s="290"/>
      <c r="V882" s="290"/>
    </row>
    <row r="883" spans="1:22" ht="27.75" customHeight="1">
      <c r="A883" s="331">
        <v>10</v>
      </c>
      <c r="B883" s="695" t="s">
        <v>1150</v>
      </c>
      <c r="C883" s="364" t="s">
        <v>502</v>
      </c>
      <c r="D883" s="409"/>
      <c r="E883" s="722" t="s">
        <v>3416</v>
      </c>
      <c r="F883" s="579">
        <v>1</v>
      </c>
      <c r="G883" s="721">
        <v>2867.5999999999995</v>
      </c>
      <c r="H883" s="373"/>
      <c r="K883" s="374">
        <f t="shared" si="39"/>
        <v>330.92103999999995</v>
      </c>
      <c r="L883" s="374">
        <f t="shared" si="38"/>
        <v>0</v>
      </c>
      <c r="N883" s="325"/>
      <c r="O883" s="325"/>
      <c r="S883" s="290"/>
      <c r="T883" s="290"/>
      <c r="U883" s="290"/>
      <c r="V883" s="290"/>
    </row>
    <row r="884" spans="1:22" ht="27.75" customHeight="1">
      <c r="A884" s="331">
        <v>11</v>
      </c>
      <c r="B884" s="695" t="s">
        <v>700</v>
      </c>
      <c r="C884" s="364" t="s">
        <v>503</v>
      </c>
      <c r="D884" s="409"/>
      <c r="E884" s="722" t="s">
        <v>3416</v>
      </c>
      <c r="F884" s="579">
        <v>1</v>
      </c>
      <c r="G884" s="721">
        <v>941.59999999999991</v>
      </c>
      <c r="H884" s="373"/>
      <c r="K884" s="374">
        <f t="shared" si="39"/>
        <v>108.66063999999999</v>
      </c>
      <c r="L884" s="374">
        <f t="shared" si="38"/>
        <v>0</v>
      </c>
      <c r="N884" s="325"/>
      <c r="O884" s="325"/>
      <c r="S884" s="290"/>
      <c r="T884" s="290"/>
      <c r="U884" s="290"/>
      <c r="V884" s="290"/>
    </row>
    <row r="885" spans="1:22" ht="27.75" customHeight="1">
      <c r="A885" s="331">
        <v>12</v>
      </c>
      <c r="B885" s="695" t="s">
        <v>740</v>
      </c>
      <c r="C885" s="364" t="s">
        <v>504</v>
      </c>
      <c r="D885" s="409"/>
      <c r="E885" s="722" t="s">
        <v>3416</v>
      </c>
      <c r="F885" s="579">
        <v>1</v>
      </c>
      <c r="G885" s="721">
        <v>1112.8</v>
      </c>
      <c r="H885" s="373"/>
      <c r="K885" s="374">
        <f t="shared" si="39"/>
        <v>128.41711999999998</v>
      </c>
      <c r="L885" s="374">
        <f t="shared" si="38"/>
        <v>0</v>
      </c>
      <c r="N885" s="325"/>
      <c r="O885" s="325"/>
      <c r="S885" s="290"/>
      <c r="T885" s="290"/>
      <c r="U885" s="290"/>
      <c r="V885" s="290"/>
    </row>
    <row r="886" spans="1:22" ht="27.75" customHeight="1">
      <c r="A886" s="331">
        <v>13</v>
      </c>
      <c r="B886" s="695" t="s">
        <v>741</v>
      </c>
      <c r="C886" s="364" t="s">
        <v>624</v>
      </c>
      <c r="D886" s="409"/>
      <c r="E886" s="722" t="s">
        <v>3416</v>
      </c>
      <c r="F886" s="579">
        <v>1</v>
      </c>
      <c r="G886" s="721">
        <v>2268.4000000000005</v>
      </c>
      <c r="H886" s="373"/>
      <c r="K886" s="374">
        <f t="shared" si="39"/>
        <v>261.77336000000003</v>
      </c>
      <c r="L886" s="374">
        <f t="shared" si="38"/>
        <v>0</v>
      </c>
      <c r="N886" s="325"/>
      <c r="O886" s="325"/>
      <c r="S886" s="290"/>
      <c r="T886" s="290"/>
      <c r="U886" s="290"/>
      <c r="V886" s="290"/>
    </row>
    <row r="887" spans="1:22" ht="27.75" customHeight="1">
      <c r="A887" s="331">
        <v>14</v>
      </c>
      <c r="B887" s="695" t="s">
        <v>742</v>
      </c>
      <c r="C887" s="364" t="s">
        <v>413</v>
      </c>
      <c r="D887" s="409"/>
      <c r="E887" s="722" t="s">
        <v>3416</v>
      </c>
      <c r="F887" s="579">
        <v>1</v>
      </c>
      <c r="G887" s="721">
        <v>42.799999999999869</v>
      </c>
      <c r="H887" s="373"/>
      <c r="K887" s="374">
        <f t="shared" si="39"/>
        <v>4.9391199999999849</v>
      </c>
      <c r="L887" s="374">
        <f t="shared" si="38"/>
        <v>0</v>
      </c>
      <c r="N887" s="325"/>
      <c r="O887" s="325"/>
      <c r="S887" s="290"/>
      <c r="T887" s="290"/>
      <c r="U887" s="290"/>
      <c r="V887" s="290"/>
    </row>
    <row r="888" spans="1:22" ht="27.75" customHeight="1">
      <c r="A888" s="331">
        <v>15</v>
      </c>
      <c r="B888" s="695" t="s">
        <v>743</v>
      </c>
      <c r="C888" s="364" t="s">
        <v>414</v>
      </c>
      <c r="D888" s="409"/>
      <c r="E888" s="722" t="s">
        <v>3416</v>
      </c>
      <c r="F888" s="579">
        <v>1</v>
      </c>
      <c r="G888" s="721">
        <v>342.40000000000003</v>
      </c>
      <c r="H888" s="373"/>
      <c r="K888" s="374">
        <f t="shared" si="39"/>
        <v>39.51296</v>
      </c>
      <c r="L888" s="374">
        <f t="shared" si="38"/>
        <v>0</v>
      </c>
      <c r="N888" s="325"/>
      <c r="O888" s="325"/>
      <c r="S888" s="290"/>
      <c r="T888" s="290"/>
      <c r="U888" s="290"/>
      <c r="V888" s="290"/>
    </row>
    <row r="889" spans="1:22" ht="27.75" customHeight="1">
      <c r="A889" s="331">
        <v>16</v>
      </c>
      <c r="B889" s="695" t="s">
        <v>1037</v>
      </c>
      <c r="C889" s="364" t="s">
        <v>1274</v>
      </c>
      <c r="D889" s="409"/>
      <c r="E889" s="722" t="s">
        <v>3416</v>
      </c>
      <c r="F889" s="579">
        <v>1</v>
      </c>
      <c r="G889" s="721">
        <v>85.6</v>
      </c>
      <c r="H889" s="373"/>
      <c r="K889" s="374">
        <f t="shared" si="39"/>
        <v>9.8782399999999981</v>
      </c>
      <c r="L889" s="374">
        <f t="shared" si="38"/>
        <v>0</v>
      </c>
      <c r="N889" s="325"/>
      <c r="O889" s="325"/>
      <c r="S889" s="290"/>
      <c r="T889" s="290"/>
      <c r="U889" s="290"/>
      <c r="V889" s="290"/>
    </row>
    <row r="890" spans="1:22" ht="27.75" customHeight="1">
      <c r="A890" s="331">
        <v>17</v>
      </c>
      <c r="B890" s="695" t="s">
        <v>1829</v>
      </c>
      <c r="C890" s="364" t="s">
        <v>1830</v>
      </c>
      <c r="D890" s="409"/>
      <c r="E890" s="722" t="s">
        <v>3416</v>
      </c>
      <c r="F890" s="579">
        <v>1</v>
      </c>
      <c r="G890" s="721">
        <v>171.2</v>
      </c>
      <c r="H890" s="373"/>
      <c r="K890" s="374">
        <f t="shared" si="39"/>
        <v>19.756479999999996</v>
      </c>
      <c r="L890" s="374">
        <f t="shared" si="38"/>
        <v>0</v>
      </c>
      <c r="N890" s="325"/>
      <c r="O890" s="325"/>
      <c r="S890" s="290"/>
      <c r="T890" s="290"/>
      <c r="U890" s="290"/>
      <c r="V890" s="290"/>
    </row>
    <row r="891" spans="1:22" ht="27.75" customHeight="1">
      <c r="A891" s="331">
        <v>18</v>
      </c>
      <c r="B891" s="695" t="s">
        <v>3179</v>
      </c>
      <c r="C891" s="364" t="s">
        <v>3180</v>
      </c>
      <c r="D891" s="409"/>
      <c r="E891" s="722" t="s">
        <v>3416</v>
      </c>
      <c r="F891" s="579">
        <v>1</v>
      </c>
      <c r="G891" s="721">
        <v>128.4</v>
      </c>
      <c r="H891" s="373"/>
      <c r="K891" s="374">
        <f t="shared" si="39"/>
        <v>14.817359999999999</v>
      </c>
      <c r="L891" s="374">
        <f t="shared" si="38"/>
        <v>0</v>
      </c>
      <c r="N891" s="325"/>
      <c r="O891" s="325"/>
      <c r="S891" s="290"/>
      <c r="T891" s="290"/>
      <c r="U891" s="290"/>
      <c r="V891" s="290"/>
    </row>
    <row r="892" spans="1:22" ht="27.75" customHeight="1">
      <c r="A892" s="331">
        <v>19</v>
      </c>
      <c r="B892" s="695" t="s">
        <v>744</v>
      </c>
      <c r="C892" s="364" t="s">
        <v>505</v>
      </c>
      <c r="D892" s="409"/>
      <c r="E892" s="722" t="s">
        <v>3416</v>
      </c>
      <c r="F892" s="579">
        <v>1</v>
      </c>
      <c r="G892" s="721">
        <v>641.99999999999989</v>
      </c>
      <c r="H892" s="373"/>
      <c r="K892" s="374">
        <f t="shared" si="39"/>
        <v>74.086799999999982</v>
      </c>
      <c r="L892" s="374">
        <f t="shared" si="38"/>
        <v>0</v>
      </c>
      <c r="N892" s="325"/>
      <c r="O892" s="325"/>
      <c r="S892" s="290"/>
      <c r="T892" s="290"/>
      <c r="U892" s="290"/>
      <c r="V892" s="290"/>
    </row>
    <row r="893" spans="1:22" ht="27.75" customHeight="1">
      <c r="A893" s="331">
        <v>20</v>
      </c>
      <c r="B893" s="695" t="s">
        <v>701</v>
      </c>
      <c r="C893" s="364" t="s">
        <v>2023</v>
      </c>
      <c r="D893" s="409">
        <v>2568</v>
      </c>
      <c r="E893" s="722"/>
      <c r="F893" s="579"/>
      <c r="G893" s="721"/>
      <c r="H893" s="373"/>
      <c r="K893" s="374">
        <f t="shared" si="39"/>
        <v>0</v>
      </c>
      <c r="L893" s="374">
        <f t="shared" si="38"/>
        <v>0</v>
      </c>
      <c r="N893" s="325"/>
      <c r="O893" s="325"/>
      <c r="S893" s="290"/>
      <c r="T893" s="290"/>
      <c r="U893" s="290"/>
      <c r="V893" s="290"/>
    </row>
    <row r="894" spans="1:22" ht="27.75" customHeight="1">
      <c r="A894" s="331">
        <v>21</v>
      </c>
      <c r="B894" s="695" t="s">
        <v>1178</v>
      </c>
      <c r="C894" s="364" t="s">
        <v>625</v>
      </c>
      <c r="D894" s="409"/>
      <c r="E894" s="722" t="s">
        <v>3416</v>
      </c>
      <c r="F894" s="579">
        <v>1</v>
      </c>
      <c r="G894" s="721">
        <v>214.00000000000006</v>
      </c>
      <c r="H894" s="373"/>
      <c r="K894" s="374">
        <f t="shared" si="39"/>
        <v>24.695600000000002</v>
      </c>
      <c r="L894" s="374">
        <f t="shared" si="38"/>
        <v>0</v>
      </c>
      <c r="N894" s="325"/>
      <c r="O894" s="325"/>
      <c r="S894" s="290"/>
      <c r="T894" s="290"/>
      <c r="U894" s="290"/>
      <c r="V894" s="290"/>
    </row>
    <row r="895" spans="1:22" ht="27.75" customHeight="1">
      <c r="A895" s="331">
        <v>22</v>
      </c>
      <c r="B895" s="695" t="s">
        <v>3438</v>
      </c>
      <c r="C895" s="364" t="s">
        <v>3439</v>
      </c>
      <c r="D895" s="409"/>
      <c r="E895" s="722" t="s">
        <v>3416</v>
      </c>
      <c r="F895" s="579">
        <v>1</v>
      </c>
      <c r="G895" s="721">
        <v>42.8</v>
      </c>
      <c r="H895" s="373"/>
      <c r="K895" s="374">
        <f t="shared" si="39"/>
        <v>4.9391199999999991</v>
      </c>
      <c r="L895" s="374">
        <f t="shared" si="38"/>
        <v>0</v>
      </c>
      <c r="N895" s="325"/>
      <c r="O895" s="325"/>
      <c r="S895" s="290"/>
      <c r="T895" s="290"/>
      <c r="U895" s="290"/>
      <c r="V895" s="290"/>
    </row>
    <row r="896" spans="1:22" ht="27.75" customHeight="1">
      <c r="A896" s="331">
        <v>23</v>
      </c>
      <c r="B896" s="695" t="s">
        <v>1168</v>
      </c>
      <c r="C896" s="364" t="s">
        <v>1275</v>
      </c>
      <c r="D896" s="409"/>
      <c r="E896" s="722" t="s">
        <v>3416</v>
      </c>
      <c r="F896" s="579">
        <v>1</v>
      </c>
      <c r="G896" s="721">
        <v>171.2</v>
      </c>
      <c r="H896" s="373"/>
      <c r="K896" s="374">
        <f t="shared" si="39"/>
        <v>19.756479999999996</v>
      </c>
      <c r="L896" s="374">
        <f t="shared" si="38"/>
        <v>0</v>
      </c>
      <c r="N896" s="325"/>
      <c r="O896" s="325"/>
      <c r="S896" s="290"/>
      <c r="T896" s="290"/>
      <c r="U896" s="290"/>
      <c r="V896" s="290"/>
    </row>
    <row r="897" spans="1:22" ht="27.75" customHeight="1">
      <c r="A897" s="331">
        <v>24</v>
      </c>
      <c r="B897" s="695" t="s">
        <v>1742</v>
      </c>
      <c r="C897" s="364" t="s">
        <v>2005</v>
      </c>
      <c r="D897" s="409"/>
      <c r="E897" s="722" t="s">
        <v>3416</v>
      </c>
      <c r="F897" s="579">
        <v>1</v>
      </c>
      <c r="G897" s="721">
        <v>171.2</v>
      </c>
      <c r="H897" s="373"/>
      <c r="K897" s="374">
        <f t="shared" si="39"/>
        <v>19.756479999999996</v>
      </c>
      <c r="L897" s="374">
        <f t="shared" si="38"/>
        <v>0</v>
      </c>
      <c r="N897" s="325"/>
      <c r="O897" s="325"/>
      <c r="S897" s="290"/>
      <c r="T897" s="290"/>
      <c r="U897" s="290"/>
      <c r="V897" s="290"/>
    </row>
    <row r="898" spans="1:22" ht="27.75" customHeight="1">
      <c r="A898" s="331">
        <v>25</v>
      </c>
      <c r="B898" s="695" t="s">
        <v>2024</v>
      </c>
      <c r="C898" s="364" t="s">
        <v>2025</v>
      </c>
      <c r="D898" s="409"/>
      <c r="E898" s="701" t="s">
        <v>3416</v>
      </c>
      <c r="F898" s="579">
        <v>1</v>
      </c>
      <c r="G898" s="721">
        <v>3680.8</v>
      </c>
      <c r="H898" s="373"/>
      <c r="K898" s="374">
        <f t="shared" si="39"/>
        <v>424.76432</v>
      </c>
      <c r="L898" s="374">
        <f t="shared" si="38"/>
        <v>0</v>
      </c>
      <c r="N898" s="325"/>
      <c r="O898" s="325"/>
      <c r="S898" s="290"/>
      <c r="T898" s="290"/>
      <c r="U898" s="290"/>
      <c r="V898" s="290"/>
    </row>
    <row r="899" spans="1:22" ht="27.75" customHeight="1">
      <c r="A899" s="331">
        <v>26</v>
      </c>
      <c r="B899" s="695" t="s">
        <v>1179</v>
      </c>
      <c r="C899" s="364" t="s">
        <v>370</v>
      </c>
      <c r="D899" s="409"/>
      <c r="E899" s="701" t="s">
        <v>3416</v>
      </c>
      <c r="F899" s="579">
        <v>1</v>
      </c>
      <c r="G899" s="721">
        <v>85.599999999999966</v>
      </c>
      <c r="H899" s="373"/>
      <c r="K899" s="374">
        <f t="shared" si="39"/>
        <v>9.8782399999999946</v>
      </c>
      <c r="L899" s="374">
        <f t="shared" si="38"/>
        <v>0</v>
      </c>
      <c r="N899" s="325"/>
      <c r="O899" s="325"/>
      <c r="S899" s="290"/>
      <c r="T899" s="290"/>
      <c r="U899" s="290"/>
      <c r="V899" s="290"/>
    </row>
    <row r="900" spans="1:22" ht="27.75" customHeight="1">
      <c r="A900" s="331">
        <v>27</v>
      </c>
      <c r="B900" s="695" t="s">
        <v>1809</v>
      </c>
      <c r="C900" s="364" t="s">
        <v>1810</v>
      </c>
      <c r="D900" s="409"/>
      <c r="E900" s="722" t="s">
        <v>3416</v>
      </c>
      <c r="F900" s="579">
        <v>1</v>
      </c>
      <c r="G900" s="721">
        <v>1027.2</v>
      </c>
      <c r="H900" s="373"/>
      <c r="K900" s="374">
        <f t="shared" si="39"/>
        <v>118.53887999999999</v>
      </c>
      <c r="L900" s="374">
        <f t="shared" si="38"/>
        <v>0</v>
      </c>
      <c r="N900" s="325"/>
      <c r="O900" s="325"/>
      <c r="S900" s="290"/>
      <c r="T900" s="290"/>
      <c r="U900" s="290"/>
      <c r="V900" s="290"/>
    </row>
    <row r="901" spans="1:22" ht="27.75" customHeight="1">
      <c r="A901" s="331">
        <v>28</v>
      </c>
      <c r="B901" s="695" t="s">
        <v>3143</v>
      </c>
      <c r="C901" s="364" t="s">
        <v>3145</v>
      </c>
      <c r="D901" s="409"/>
      <c r="E901" s="722" t="s">
        <v>3416</v>
      </c>
      <c r="F901" s="579">
        <v>1</v>
      </c>
      <c r="G901" s="721">
        <v>128.40000000000003</v>
      </c>
      <c r="H901" s="373"/>
      <c r="K901" s="374">
        <f t="shared" si="39"/>
        <v>14.817360000000003</v>
      </c>
      <c r="L901" s="374">
        <f t="shared" si="38"/>
        <v>0</v>
      </c>
      <c r="N901" s="325"/>
      <c r="O901" s="325"/>
      <c r="S901" s="290"/>
      <c r="T901" s="290"/>
      <c r="U901" s="290"/>
      <c r="V901" s="290"/>
    </row>
    <row r="902" spans="1:22" ht="27.75" customHeight="1">
      <c r="A902" s="331">
        <v>29</v>
      </c>
      <c r="B902" s="695" t="s">
        <v>745</v>
      </c>
      <c r="C902" s="364" t="s">
        <v>506</v>
      </c>
      <c r="D902" s="409"/>
      <c r="E902" s="701" t="s">
        <v>3416</v>
      </c>
      <c r="F902" s="579">
        <v>1</v>
      </c>
      <c r="G902" s="721">
        <v>427.99999999999989</v>
      </c>
      <c r="H902" s="373"/>
      <c r="K902" s="374">
        <f t="shared" si="39"/>
        <v>49.391199999999984</v>
      </c>
      <c r="L902" s="374">
        <f t="shared" si="38"/>
        <v>0</v>
      </c>
      <c r="N902" s="325"/>
      <c r="O902" s="325"/>
      <c r="S902" s="290"/>
      <c r="T902" s="290"/>
      <c r="U902" s="290"/>
      <c r="V902" s="290"/>
    </row>
    <row r="903" spans="1:22" ht="27.75" customHeight="1">
      <c r="A903" s="331">
        <v>30</v>
      </c>
      <c r="B903" s="695" t="s">
        <v>746</v>
      </c>
      <c r="C903" s="364" t="s">
        <v>507</v>
      </c>
      <c r="D903" s="409"/>
      <c r="E903" s="722" t="s">
        <v>3416</v>
      </c>
      <c r="F903" s="579">
        <v>1</v>
      </c>
      <c r="G903" s="721">
        <v>941.60000000000014</v>
      </c>
      <c r="H903" s="373"/>
      <c r="K903" s="374">
        <f t="shared" si="39"/>
        <v>108.66064</v>
      </c>
      <c r="L903" s="374">
        <f t="shared" si="38"/>
        <v>0</v>
      </c>
      <c r="N903" s="325"/>
      <c r="O903" s="325"/>
      <c r="S903" s="290"/>
      <c r="T903" s="290"/>
      <c r="U903" s="290"/>
      <c r="V903" s="290"/>
    </row>
    <row r="904" spans="1:22" ht="27.75" customHeight="1">
      <c r="A904" s="331">
        <v>31</v>
      </c>
      <c r="B904" s="695" t="s">
        <v>2022</v>
      </c>
      <c r="C904" s="364" t="s">
        <v>2026</v>
      </c>
      <c r="D904" s="409"/>
      <c r="E904" s="722" t="s">
        <v>3416</v>
      </c>
      <c r="F904" s="579">
        <v>1</v>
      </c>
      <c r="G904" s="721">
        <v>385.20200000000006</v>
      </c>
      <c r="H904" s="373"/>
      <c r="K904" s="374">
        <f t="shared" si="39"/>
        <v>44.452310800000006</v>
      </c>
      <c r="L904" s="374">
        <f t="shared" si="38"/>
        <v>0</v>
      </c>
      <c r="N904" s="325"/>
      <c r="O904" s="325"/>
      <c r="S904" s="290"/>
      <c r="T904" s="290"/>
      <c r="U904" s="290"/>
      <c r="V904" s="290"/>
    </row>
    <row r="905" spans="1:22" ht="27.75" customHeight="1">
      <c r="A905" s="331">
        <v>32</v>
      </c>
      <c r="B905" s="695" t="s">
        <v>1766</v>
      </c>
      <c r="C905" s="364" t="s">
        <v>1767</v>
      </c>
      <c r="D905" s="409"/>
      <c r="E905" s="701" t="s">
        <v>3416</v>
      </c>
      <c r="F905" s="579">
        <v>1</v>
      </c>
      <c r="G905" s="721">
        <v>256.80000000000013</v>
      </c>
      <c r="H905" s="373"/>
      <c r="K905" s="374">
        <f t="shared" si="39"/>
        <v>29.634720000000012</v>
      </c>
      <c r="L905" s="374">
        <f t="shared" si="38"/>
        <v>0</v>
      </c>
      <c r="N905" s="325"/>
      <c r="O905" s="325"/>
      <c r="S905" s="290"/>
      <c r="T905" s="290"/>
      <c r="U905" s="290"/>
      <c r="V905" s="290"/>
    </row>
    <row r="906" spans="1:22" ht="27.75" customHeight="1">
      <c r="A906" s="331">
        <v>33</v>
      </c>
      <c r="B906" s="695" t="s">
        <v>1831</v>
      </c>
      <c r="C906" s="364" t="s">
        <v>3181</v>
      </c>
      <c r="D906" s="409"/>
      <c r="E906" s="701" t="s">
        <v>3416</v>
      </c>
      <c r="F906" s="579">
        <v>1</v>
      </c>
      <c r="G906" s="721">
        <v>85.599999999999966</v>
      </c>
      <c r="H906" s="373"/>
      <c r="K906" s="374">
        <f t="shared" si="39"/>
        <v>9.8782399999999946</v>
      </c>
      <c r="L906" s="374">
        <f t="shared" si="38"/>
        <v>0</v>
      </c>
      <c r="N906" s="325"/>
      <c r="O906" s="325"/>
      <c r="S906" s="290"/>
      <c r="T906" s="290"/>
      <c r="U906" s="290"/>
      <c r="V906" s="290"/>
    </row>
    <row r="907" spans="1:22" ht="27.75" customHeight="1">
      <c r="A907" s="331">
        <v>34</v>
      </c>
      <c r="B907" s="695" t="s">
        <v>3063</v>
      </c>
      <c r="C907" s="364" t="s">
        <v>3347</v>
      </c>
      <c r="D907" s="409"/>
      <c r="E907" s="701" t="s">
        <v>3416</v>
      </c>
      <c r="F907" s="579">
        <v>1</v>
      </c>
      <c r="G907" s="721">
        <v>214</v>
      </c>
      <c r="H907" s="373"/>
      <c r="K907" s="374">
        <f t="shared" si="39"/>
        <v>24.695599999999999</v>
      </c>
      <c r="L907" s="374">
        <f t="shared" si="38"/>
        <v>0</v>
      </c>
      <c r="N907" s="325"/>
      <c r="O907" s="325"/>
      <c r="S907" s="290"/>
      <c r="T907" s="290"/>
      <c r="U907" s="290"/>
      <c r="V907" s="290"/>
    </row>
    <row r="908" spans="1:22" ht="27.75" customHeight="1">
      <c r="A908" s="331">
        <v>35</v>
      </c>
      <c r="B908" s="695" t="s">
        <v>2990</v>
      </c>
      <c r="C908" s="364" t="s">
        <v>2991</v>
      </c>
      <c r="D908" s="409"/>
      <c r="E908" s="701" t="s">
        <v>3416</v>
      </c>
      <c r="F908" s="579">
        <v>1</v>
      </c>
      <c r="G908" s="721">
        <v>213.99999999999989</v>
      </c>
      <c r="H908" s="373"/>
      <c r="K908" s="374">
        <f t="shared" si="39"/>
        <v>24.695599999999985</v>
      </c>
      <c r="L908" s="374">
        <f t="shared" si="38"/>
        <v>0</v>
      </c>
      <c r="N908" s="325"/>
      <c r="O908" s="325"/>
      <c r="S908" s="290"/>
      <c r="T908" s="290"/>
      <c r="U908" s="290"/>
      <c r="V908" s="290"/>
    </row>
    <row r="909" spans="1:22" ht="27.75" customHeight="1">
      <c r="A909" s="331">
        <v>36</v>
      </c>
      <c r="B909" s="695" t="s">
        <v>2992</v>
      </c>
      <c r="C909" s="364" t="s">
        <v>2993</v>
      </c>
      <c r="D909" s="409"/>
      <c r="E909" s="722" t="s">
        <v>3416</v>
      </c>
      <c r="F909" s="579">
        <v>1</v>
      </c>
      <c r="G909" s="721">
        <v>556.39999999999986</v>
      </c>
      <c r="H909" s="373"/>
      <c r="K909" s="374">
        <f t="shared" si="39"/>
        <v>64.208559999999977</v>
      </c>
      <c r="L909" s="374">
        <f t="shared" si="38"/>
        <v>0</v>
      </c>
      <c r="N909" s="325"/>
      <c r="O909" s="325"/>
      <c r="S909" s="290"/>
      <c r="T909" s="290"/>
      <c r="U909" s="290"/>
      <c r="V909" s="290"/>
    </row>
    <row r="910" spans="1:22" ht="27.75" customHeight="1">
      <c r="A910" s="331">
        <v>37</v>
      </c>
      <c r="B910" s="695" t="s">
        <v>2994</v>
      </c>
      <c r="C910" s="364" t="s">
        <v>2995</v>
      </c>
      <c r="D910" s="409"/>
      <c r="E910" s="701" t="s">
        <v>3416</v>
      </c>
      <c r="F910" s="579">
        <v>1</v>
      </c>
      <c r="G910" s="721">
        <v>171.19999999999993</v>
      </c>
      <c r="H910" s="373"/>
      <c r="K910" s="374">
        <f t="shared" si="39"/>
        <v>19.756479999999989</v>
      </c>
      <c r="L910" s="374">
        <f t="shared" si="38"/>
        <v>0</v>
      </c>
      <c r="N910" s="325"/>
      <c r="O910" s="325"/>
      <c r="S910" s="290"/>
      <c r="T910" s="290"/>
      <c r="U910" s="290"/>
      <c r="V910" s="290"/>
    </row>
    <row r="911" spans="1:22" ht="27.75" customHeight="1">
      <c r="A911" s="331">
        <v>38</v>
      </c>
      <c r="B911" s="695" t="s">
        <v>3348</v>
      </c>
      <c r="C911" s="364" t="s">
        <v>3349</v>
      </c>
      <c r="D911" s="409"/>
      <c r="E911" s="701" t="s">
        <v>3416</v>
      </c>
      <c r="F911" s="579">
        <v>1</v>
      </c>
      <c r="G911" s="721">
        <v>513.60000000000014</v>
      </c>
      <c r="H911" s="373"/>
      <c r="K911" s="374">
        <f t="shared" si="39"/>
        <v>59.26944000000001</v>
      </c>
      <c r="L911" s="374">
        <f t="shared" si="38"/>
        <v>0</v>
      </c>
      <c r="N911" s="325"/>
      <c r="O911" s="325"/>
      <c r="S911" s="290"/>
      <c r="T911" s="290"/>
      <c r="U911" s="290"/>
      <c r="V911" s="290"/>
    </row>
    <row r="912" spans="1:22" ht="27.75" customHeight="1">
      <c r="A912" s="331">
        <v>39</v>
      </c>
      <c r="B912" s="695" t="s">
        <v>417</v>
      </c>
      <c r="C912" s="364" t="s">
        <v>2040</v>
      </c>
      <c r="D912" s="409"/>
      <c r="E912" s="722" t="s">
        <v>3416</v>
      </c>
      <c r="F912" s="579">
        <v>1</v>
      </c>
      <c r="G912" s="721">
        <v>42.800000000000011</v>
      </c>
      <c r="H912" s="373"/>
      <c r="K912" s="374">
        <f t="shared" si="39"/>
        <v>4.9391200000000008</v>
      </c>
      <c r="L912" s="374">
        <f t="shared" si="38"/>
        <v>0</v>
      </c>
      <c r="N912" s="325"/>
      <c r="O912" s="325"/>
      <c r="S912" s="290"/>
      <c r="T912" s="290"/>
      <c r="U912" s="290"/>
      <c r="V912" s="290"/>
    </row>
    <row r="913" spans="1:22" ht="27.75" customHeight="1">
      <c r="A913" s="331">
        <v>40</v>
      </c>
      <c r="B913" s="695" t="s">
        <v>520</v>
      </c>
      <c r="C913" s="696" t="s">
        <v>3440</v>
      </c>
      <c r="D913" s="697"/>
      <c r="E913" s="701" t="s">
        <v>3416</v>
      </c>
      <c r="F913" s="579">
        <v>1</v>
      </c>
      <c r="G913" s="721">
        <v>42.8</v>
      </c>
      <c r="H913" s="373"/>
      <c r="K913" s="374">
        <f t="shared" si="39"/>
        <v>4.9391199999999991</v>
      </c>
      <c r="L913" s="374">
        <f t="shared" si="38"/>
        <v>0</v>
      </c>
      <c r="N913" s="325"/>
      <c r="O913" s="325"/>
      <c r="S913" s="290"/>
      <c r="T913" s="290"/>
      <c r="U913" s="290"/>
      <c r="V913" s="290"/>
    </row>
    <row r="914" spans="1:22" ht="27.75" customHeight="1">
      <c r="A914" s="331">
        <v>41</v>
      </c>
      <c r="B914" s="695" t="s">
        <v>417</v>
      </c>
      <c r="C914" s="364" t="s">
        <v>3350</v>
      </c>
      <c r="D914" s="409"/>
      <c r="E914" s="701" t="s">
        <v>3416</v>
      </c>
      <c r="F914" s="579">
        <v>1</v>
      </c>
      <c r="G914" s="721">
        <v>85.6</v>
      </c>
      <c r="H914" s="373"/>
      <c r="K914" s="374">
        <f t="shared" si="39"/>
        <v>9.8782399999999981</v>
      </c>
      <c r="L914" s="374">
        <f t="shared" si="38"/>
        <v>0</v>
      </c>
      <c r="N914" s="325"/>
      <c r="O914" s="325"/>
      <c r="S914" s="290"/>
      <c r="T914" s="290"/>
      <c r="U914" s="290"/>
      <c r="V914" s="290"/>
    </row>
    <row r="915" spans="1:22" ht="27.75" customHeight="1">
      <c r="B915" s="695"/>
      <c r="C915" s="364"/>
      <c r="D915" s="409"/>
      <c r="E915" s="701"/>
      <c r="F915" s="579"/>
      <c r="G915" s="721"/>
      <c r="H915" s="373"/>
      <c r="K915" s="374">
        <f t="shared" si="39"/>
        <v>0</v>
      </c>
      <c r="L915" s="374">
        <f t="shared" si="38"/>
        <v>0</v>
      </c>
      <c r="N915" s="325"/>
      <c r="O915" s="325"/>
      <c r="S915" s="290"/>
      <c r="T915" s="290"/>
      <c r="U915" s="290"/>
      <c r="V915" s="290"/>
    </row>
    <row r="916" spans="1:22" ht="27.75" customHeight="1">
      <c r="B916" s="695"/>
      <c r="C916" s="364"/>
      <c r="D916" s="409"/>
      <c r="E916" s="722"/>
      <c r="F916" s="579"/>
      <c r="G916" s="721"/>
      <c r="H916" s="373"/>
      <c r="K916" s="374">
        <f t="shared" ref="K916:K970" si="40">G916*11.54/100</f>
        <v>0</v>
      </c>
      <c r="L916" s="374">
        <f t="shared" si="38"/>
        <v>0</v>
      </c>
      <c r="N916" s="325"/>
      <c r="O916" s="325"/>
      <c r="S916" s="290"/>
      <c r="T916" s="290"/>
      <c r="U916" s="290"/>
      <c r="V916" s="290"/>
    </row>
    <row r="917" spans="1:22" ht="27.75" customHeight="1">
      <c r="B917" s="695" t="s">
        <v>1003</v>
      </c>
      <c r="C917" s="364"/>
      <c r="D917" s="409"/>
      <c r="E917" s="701"/>
      <c r="F917" s="579"/>
      <c r="G917" s="721"/>
      <c r="H917" s="373"/>
      <c r="K917" s="374">
        <f t="shared" si="40"/>
        <v>0</v>
      </c>
      <c r="L917" s="374">
        <f t="shared" ref="L917:L942" si="41">+J917</f>
        <v>0</v>
      </c>
      <c r="N917" s="325"/>
      <c r="O917" s="325"/>
      <c r="S917" s="290"/>
      <c r="T917" s="290"/>
      <c r="U917" s="290"/>
      <c r="V917" s="290"/>
    </row>
    <row r="918" spans="1:22" ht="27.75" customHeight="1">
      <c r="A918" s="331">
        <v>1</v>
      </c>
      <c r="B918" s="695" t="s">
        <v>644</v>
      </c>
      <c r="C918" s="364" t="s">
        <v>1764</v>
      </c>
      <c r="D918" s="409"/>
      <c r="E918" s="701"/>
      <c r="F918" s="579"/>
      <c r="G918" s="721"/>
      <c r="H918" s="373" t="s">
        <v>1762</v>
      </c>
      <c r="I918" s="331">
        <v>1</v>
      </c>
      <c r="J918" s="338">
        <v>42.8</v>
      </c>
      <c r="K918" s="374">
        <f t="shared" si="40"/>
        <v>0</v>
      </c>
      <c r="L918" s="374">
        <f t="shared" si="41"/>
        <v>42.8</v>
      </c>
      <c r="N918" s="325"/>
      <c r="O918" s="325"/>
      <c r="S918" s="290"/>
      <c r="T918" s="290"/>
      <c r="U918" s="290"/>
      <c r="V918" s="290"/>
    </row>
    <row r="919" spans="1:22" ht="27.75" customHeight="1">
      <c r="A919" s="331">
        <v>2</v>
      </c>
      <c r="B919" s="695" t="s">
        <v>646</v>
      </c>
      <c r="C919" s="364" t="s">
        <v>462</v>
      </c>
      <c r="D919" s="409"/>
      <c r="E919" s="722"/>
      <c r="F919" s="579"/>
      <c r="G919" s="721"/>
      <c r="H919" s="373" t="s">
        <v>453</v>
      </c>
      <c r="I919" s="331">
        <v>1</v>
      </c>
      <c r="J919" s="338">
        <v>42.8</v>
      </c>
      <c r="K919" s="374">
        <f t="shared" si="40"/>
        <v>0</v>
      </c>
      <c r="L919" s="374">
        <f t="shared" si="41"/>
        <v>42.8</v>
      </c>
      <c r="N919" s="325"/>
      <c r="O919" s="325"/>
      <c r="S919" s="290"/>
      <c r="T919" s="290"/>
      <c r="U919" s="290"/>
      <c r="V919" s="290"/>
    </row>
    <row r="920" spans="1:22" ht="27.75" customHeight="1">
      <c r="A920" s="331">
        <v>3</v>
      </c>
      <c r="B920" s="695" t="s">
        <v>650</v>
      </c>
      <c r="C920" s="364" t="s">
        <v>2275</v>
      </c>
      <c r="D920" s="409"/>
      <c r="E920" s="701"/>
      <c r="F920" s="579"/>
      <c r="G920" s="721"/>
      <c r="H920" s="373" t="s">
        <v>2303</v>
      </c>
      <c r="I920" s="331">
        <v>6</v>
      </c>
      <c r="J920" s="338">
        <v>428</v>
      </c>
      <c r="K920" s="374">
        <f t="shared" si="40"/>
        <v>0</v>
      </c>
      <c r="L920" s="374">
        <f t="shared" si="41"/>
        <v>428</v>
      </c>
      <c r="N920" s="325"/>
      <c r="O920" s="325"/>
      <c r="S920" s="290"/>
      <c r="T920" s="290"/>
      <c r="U920" s="290"/>
      <c r="V920" s="290"/>
    </row>
    <row r="921" spans="1:22" ht="27.75" customHeight="1">
      <c r="A921" s="331">
        <v>4</v>
      </c>
      <c r="B921" s="723" t="s">
        <v>757</v>
      </c>
      <c r="C921" s="364" t="s">
        <v>2276</v>
      </c>
      <c r="D921" s="409"/>
      <c r="E921" s="722"/>
      <c r="F921" s="579"/>
      <c r="G921" s="721"/>
      <c r="H921" s="373" t="s">
        <v>951</v>
      </c>
      <c r="I921" s="331">
        <v>1</v>
      </c>
      <c r="J921" s="338">
        <v>42.8</v>
      </c>
      <c r="K921" s="374">
        <f t="shared" si="40"/>
        <v>0</v>
      </c>
      <c r="L921" s="374">
        <f t="shared" si="41"/>
        <v>42.8</v>
      </c>
      <c r="N921" s="325"/>
      <c r="O921" s="325"/>
      <c r="S921" s="290"/>
      <c r="T921" s="290"/>
      <c r="U921" s="290"/>
      <c r="V921" s="290"/>
    </row>
    <row r="922" spans="1:22" ht="27.75" customHeight="1">
      <c r="A922" s="331">
        <v>5</v>
      </c>
      <c r="B922" s="695" t="s">
        <v>1013</v>
      </c>
      <c r="C922" s="696" t="s">
        <v>2277</v>
      </c>
      <c r="D922" s="697"/>
      <c r="E922" s="722"/>
      <c r="F922" s="579"/>
      <c r="G922" s="721"/>
      <c r="H922" s="373" t="s">
        <v>855</v>
      </c>
      <c r="I922" s="331">
        <v>2</v>
      </c>
      <c r="J922" s="338">
        <v>342.4</v>
      </c>
      <c r="K922" s="374">
        <f t="shared" si="40"/>
        <v>0</v>
      </c>
      <c r="L922" s="374">
        <f t="shared" si="41"/>
        <v>342.4</v>
      </c>
      <c r="N922" s="325"/>
      <c r="O922" s="325"/>
      <c r="S922" s="290"/>
      <c r="T922" s="290"/>
      <c r="U922" s="290"/>
      <c r="V922" s="290"/>
    </row>
    <row r="923" spans="1:22" ht="27.75" customHeight="1">
      <c r="A923" s="331">
        <v>6</v>
      </c>
      <c r="B923" s="695" t="s">
        <v>1755</v>
      </c>
      <c r="C923" s="364" t="s">
        <v>1758</v>
      </c>
      <c r="D923" s="409"/>
      <c r="E923" s="722"/>
      <c r="F923" s="1437"/>
      <c r="G923" s="721"/>
      <c r="H923" s="373" t="s">
        <v>558</v>
      </c>
      <c r="I923" s="331">
        <v>1</v>
      </c>
      <c r="J923" s="338">
        <v>42.8</v>
      </c>
      <c r="K923" s="374">
        <f t="shared" si="40"/>
        <v>0</v>
      </c>
      <c r="L923" s="374">
        <f t="shared" si="41"/>
        <v>42.8</v>
      </c>
      <c r="N923" s="325"/>
      <c r="O923" s="325"/>
      <c r="S923" s="290"/>
      <c r="T923" s="290"/>
      <c r="U923" s="290"/>
      <c r="V923" s="290"/>
    </row>
    <row r="924" spans="1:22" ht="27.75" customHeight="1">
      <c r="A924" s="331">
        <v>7</v>
      </c>
      <c r="B924" s="695" t="s">
        <v>1019</v>
      </c>
      <c r="C924" s="696" t="s">
        <v>2278</v>
      </c>
      <c r="D924" s="697"/>
      <c r="E924" s="701"/>
      <c r="F924" s="579"/>
      <c r="G924" s="721"/>
      <c r="H924" s="373" t="s">
        <v>1722</v>
      </c>
      <c r="I924" s="331">
        <v>1</v>
      </c>
      <c r="J924" s="338">
        <v>128.4</v>
      </c>
      <c r="K924" s="374">
        <f t="shared" si="40"/>
        <v>0</v>
      </c>
      <c r="L924" s="374">
        <f t="shared" si="41"/>
        <v>128.4</v>
      </c>
      <c r="N924" s="325"/>
      <c r="O924" s="325"/>
      <c r="S924" s="290"/>
      <c r="T924" s="290"/>
      <c r="U924" s="290"/>
      <c r="V924" s="290"/>
    </row>
    <row r="925" spans="1:22" ht="27.75" customHeight="1">
      <c r="A925" s="331">
        <v>8</v>
      </c>
      <c r="B925" s="695" t="s">
        <v>1020</v>
      </c>
      <c r="C925" s="364" t="s">
        <v>2280</v>
      </c>
      <c r="D925" s="409"/>
      <c r="E925" s="701"/>
      <c r="F925" s="579"/>
      <c r="G925" s="721"/>
      <c r="H925" s="373" t="s">
        <v>2039</v>
      </c>
      <c r="I925" s="331">
        <v>2</v>
      </c>
      <c r="J925" s="338">
        <v>299.60000000000002</v>
      </c>
      <c r="K925" s="374">
        <f t="shared" si="40"/>
        <v>0</v>
      </c>
      <c r="L925" s="374">
        <f t="shared" si="41"/>
        <v>299.60000000000002</v>
      </c>
      <c r="N925" s="325"/>
      <c r="O925" s="325"/>
      <c r="S925" s="290"/>
      <c r="T925" s="290"/>
      <c r="U925" s="290"/>
      <c r="V925" s="290"/>
    </row>
    <row r="926" spans="1:22" ht="27.75" customHeight="1">
      <c r="A926" s="331">
        <v>9</v>
      </c>
      <c r="B926" s="695" t="s">
        <v>673</v>
      </c>
      <c r="C926" s="364" t="s">
        <v>2281</v>
      </c>
      <c r="D926" s="409"/>
      <c r="E926" s="701"/>
      <c r="F926" s="579"/>
      <c r="G926" s="721"/>
      <c r="H926" s="373" t="s">
        <v>1653</v>
      </c>
      <c r="I926" s="331">
        <v>1</v>
      </c>
      <c r="J926" s="338">
        <v>42.8</v>
      </c>
      <c r="K926" s="374">
        <f t="shared" si="40"/>
        <v>0</v>
      </c>
      <c r="L926" s="374">
        <f t="shared" si="41"/>
        <v>42.8</v>
      </c>
      <c r="N926" s="325"/>
      <c r="O926" s="325"/>
      <c r="S926" s="290"/>
      <c r="T926" s="290"/>
      <c r="U926" s="290"/>
      <c r="V926" s="290"/>
    </row>
    <row r="927" spans="1:22" ht="27.75" customHeight="1">
      <c r="A927" s="331">
        <v>10</v>
      </c>
      <c r="B927" s="695" t="s">
        <v>1021</v>
      </c>
      <c r="C927" s="696" t="s">
        <v>2282</v>
      </c>
      <c r="D927" s="697"/>
      <c r="E927" s="701"/>
      <c r="F927" s="579"/>
      <c r="G927" s="721"/>
      <c r="H927" s="373" t="s">
        <v>1828</v>
      </c>
      <c r="I927" s="331">
        <v>3</v>
      </c>
      <c r="J927" s="338">
        <v>128.39999999999995</v>
      </c>
      <c r="K927" s="374">
        <f t="shared" si="40"/>
        <v>0</v>
      </c>
      <c r="L927" s="374">
        <f t="shared" si="41"/>
        <v>128.39999999999995</v>
      </c>
      <c r="N927" s="325"/>
      <c r="O927" s="325"/>
      <c r="S927" s="290"/>
      <c r="T927" s="290"/>
      <c r="U927" s="290"/>
      <c r="V927" s="290"/>
    </row>
    <row r="928" spans="1:22" ht="27.75" customHeight="1">
      <c r="A928" s="331">
        <v>11</v>
      </c>
      <c r="B928" s="695" t="s">
        <v>683</v>
      </c>
      <c r="C928" s="364" t="s">
        <v>2283</v>
      </c>
      <c r="D928" s="409"/>
      <c r="E928" s="722"/>
      <c r="F928" s="579"/>
      <c r="G928" s="721"/>
      <c r="H928" s="373" t="s">
        <v>1722</v>
      </c>
      <c r="I928" s="331">
        <v>1</v>
      </c>
      <c r="J928" s="338">
        <v>42.8</v>
      </c>
      <c r="K928" s="374">
        <f t="shared" si="40"/>
        <v>0</v>
      </c>
      <c r="L928" s="374">
        <f t="shared" si="41"/>
        <v>42.8</v>
      </c>
      <c r="N928" s="325"/>
      <c r="O928" s="325"/>
      <c r="S928" s="290"/>
      <c r="T928" s="290"/>
      <c r="U928" s="290"/>
      <c r="V928" s="290"/>
    </row>
    <row r="929" spans="1:22" ht="27.75" customHeight="1">
      <c r="A929" s="331">
        <v>12</v>
      </c>
      <c r="B929" s="695" t="s">
        <v>1024</v>
      </c>
      <c r="C929" s="364" t="s">
        <v>1175</v>
      </c>
      <c r="D929" s="409"/>
      <c r="E929" s="701"/>
      <c r="F929" s="579"/>
      <c r="G929" s="721"/>
      <c r="H929" s="373" t="s">
        <v>1577</v>
      </c>
      <c r="I929" s="331">
        <v>3</v>
      </c>
      <c r="J929" s="338">
        <v>128.39999999999998</v>
      </c>
      <c r="K929" s="374">
        <f t="shared" si="40"/>
        <v>0</v>
      </c>
      <c r="L929" s="374">
        <f t="shared" si="41"/>
        <v>128.39999999999998</v>
      </c>
      <c r="N929" s="325"/>
      <c r="O929" s="325"/>
      <c r="S929" s="290"/>
      <c r="T929" s="290"/>
      <c r="U929" s="290"/>
      <c r="V929" s="290"/>
    </row>
    <row r="930" spans="1:22" ht="27.75" customHeight="1">
      <c r="A930" s="331">
        <v>13</v>
      </c>
      <c r="B930" s="695" t="s">
        <v>1025</v>
      </c>
      <c r="C930" s="696" t="s">
        <v>1818</v>
      </c>
      <c r="D930" s="697"/>
      <c r="E930" s="722"/>
      <c r="F930" s="579"/>
      <c r="G930" s="721"/>
      <c r="H930" s="373" t="s">
        <v>3183</v>
      </c>
      <c r="I930" s="331" t="s">
        <v>1493</v>
      </c>
      <c r="J930" s="338">
        <v>214</v>
      </c>
      <c r="K930" s="374">
        <f t="shared" si="40"/>
        <v>0</v>
      </c>
      <c r="L930" s="374">
        <f t="shared" si="41"/>
        <v>214</v>
      </c>
      <c r="N930" s="325"/>
      <c r="O930" s="325"/>
      <c r="S930" s="290"/>
      <c r="T930" s="290"/>
      <c r="U930" s="290"/>
      <c r="V930" s="290"/>
    </row>
    <row r="931" spans="1:22" ht="27.75" customHeight="1">
      <c r="A931" s="331">
        <v>14</v>
      </c>
      <c r="B931" s="695" t="s">
        <v>1176</v>
      </c>
      <c r="C931" s="364" t="s">
        <v>2284</v>
      </c>
      <c r="D931" s="409"/>
      <c r="E931" s="722"/>
      <c r="F931" s="579"/>
      <c r="G931" s="721"/>
      <c r="H931" s="373" t="s">
        <v>1765</v>
      </c>
      <c r="I931" s="331">
        <v>5</v>
      </c>
      <c r="J931" s="338">
        <v>342.40000000000003</v>
      </c>
      <c r="K931" s="374">
        <f t="shared" si="40"/>
        <v>0</v>
      </c>
      <c r="L931" s="374">
        <f t="shared" si="41"/>
        <v>342.40000000000003</v>
      </c>
      <c r="N931" s="325"/>
      <c r="O931" s="325"/>
      <c r="S931" s="290"/>
      <c r="T931" s="290"/>
      <c r="U931" s="290"/>
      <c r="V931" s="290"/>
    </row>
    <row r="932" spans="1:22" ht="27.75" customHeight="1">
      <c r="A932" s="331">
        <v>15</v>
      </c>
      <c r="B932" s="695" t="s">
        <v>690</v>
      </c>
      <c r="C932" s="364" t="s">
        <v>2285</v>
      </c>
      <c r="D932" s="409"/>
      <c r="E932" s="722"/>
      <c r="F932" s="579"/>
      <c r="G932" s="721"/>
      <c r="H932" s="373" t="s">
        <v>2781</v>
      </c>
      <c r="I932" s="331">
        <v>2</v>
      </c>
      <c r="J932" s="338">
        <v>85.6</v>
      </c>
      <c r="K932" s="374">
        <f t="shared" si="40"/>
        <v>0</v>
      </c>
      <c r="L932" s="374">
        <f t="shared" si="41"/>
        <v>85.6</v>
      </c>
      <c r="N932" s="325"/>
      <c r="O932" s="325"/>
      <c r="S932" s="290"/>
      <c r="T932" s="290"/>
      <c r="U932" s="290"/>
      <c r="V932" s="290"/>
    </row>
    <row r="933" spans="1:22" ht="27.75" customHeight="1">
      <c r="A933" s="331">
        <v>16</v>
      </c>
      <c r="B933" s="695" t="s">
        <v>360</v>
      </c>
      <c r="C933" s="364" t="s">
        <v>1105</v>
      </c>
      <c r="D933" s="409"/>
      <c r="H933" s="722" t="s">
        <v>1106</v>
      </c>
      <c r="I933" s="579">
        <v>4</v>
      </c>
      <c r="J933" s="721">
        <v>214</v>
      </c>
      <c r="K933" s="374">
        <f t="shared" si="40"/>
        <v>0</v>
      </c>
      <c r="L933" s="374">
        <f t="shared" si="41"/>
        <v>214</v>
      </c>
      <c r="N933" s="325"/>
      <c r="O933" s="325"/>
      <c r="S933" s="290"/>
      <c r="T933" s="290"/>
      <c r="U933" s="290"/>
      <c r="V933" s="290"/>
    </row>
    <row r="934" spans="1:22" ht="27.75" customHeight="1">
      <c r="A934" s="331">
        <v>17</v>
      </c>
      <c r="B934" s="695" t="s">
        <v>1273</v>
      </c>
      <c r="C934" s="364" t="s">
        <v>2286</v>
      </c>
      <c r="D934" s="409"/>
      <c r="E934" s="722"/>
      <c r="F934" s="579"/>
      <c r="G934" s="721"/>
      <c r="H934" s="373" t="s">
        <v>1264</v>
      </c>
      <c r="I934" s="331">
        <v>1</v>
      </c>
      <c r="J934" s="338">
        <v>42.8</v>
      </c>
      <c r="K934" s="374">
        <f t="shared" si="40"/>
        <v>0</v>
      </c>
      <c r="L934" s="374">
        <f t="shared" si="41"/>
        <v>42.8</v>
      </c>
      <c r="N934" s="325"/>
      <c r="O934" s="325"/>
      <c r="S934" s="290"/>
      <c r="T934" s="290"/>
      <c r="U934" s="290"/>
      <c r="V934" s="290"/>
    </row>
    <row r="935" spans="1:22" ht="27.75" customHeight="1">
      <c r="A935" s="331">
        <v>18</v>
      </c>
      <c r="B935" s="695" t="s">
        <v>694</v>
      </c>
      <c r="C935" s="364" t="s">
        <v>2287</v>
      </c>
      <c r="D935" s="409"/>
      <c r="E935" s="722"/>
      <c r="F935" s="579"/>
      <c r="G935" s="721"/>
      <c r="H935" s="373" t="s">
        <v>1476</v>
      </c>
      <c r="I935" s="331">
        <v>1</v>
      </c>
      <c r="J935" s="338">
        <v>85.6</v>
      </c>
      <c r="K935" s="374">
        <f t="shared" si="40"/>
        <v>0</v>
      </c>
      <c r="L935" s="374">
        <f t="shared" si="41"/>
        <v>85.6</v>
      </c>
      <c r="N935" s="325"/>
      <c r="O935" s="325"/>
      <c r="S935" s="290"/>
      <c r="T935" s="290"/>
      <c r="U935" s="290"/>
      <c r="V935" s="290"/>
    </row>
    <row r="936" spans="1:22" ht="27.75" customHeight="1">
      <c r="A936" s="331">
        <v>19</v>
      </c>
      <c r="B936" s="695" t="s">
        <v>1753</v>
      </c>
      <c r="C936" s="364" t="s">
        <v>2288</v>
      </c>
      <c r="D936" s="409"/>
      <c r="E936" s="722"/>
      <c r="F936" s="579"/>
      <c r="G936" s="721"/>
      <c r="H936" s="373" t="s">
        <v>1740</v>
      </c>
      <c r="I936" s="331">
        <v>6</v>
      </c>
      <c r="J936" s="338">
        <v>1883.1999999999998</v>
      </c>
      <c r="K936" s="374">
        <f t="shared" si="40"/>
        <v>0</v>
      </c>
      <c r="L936" s="374">
        <f t="shared" si="41"/>
        <v>1883.1999999999998</v>
      </c>
      <c r="N936" s="325"/>
      <c r="O936" s="325"/>
      <c r="S936" s="290"/>
      <c r="T936" s="290"/>
      <c r="U936" s="290"/>
      <c r="V936" s="290"/>
    </row>
    <row r="937" spans="1:22" ht="27.75" customHeight="1">
      <c r="A937" s="331">
        <v>20</v>
      </c>
      <c r="B937" s="695" t="s">
        <v>428</v>
      </c>
      <c r="C937" s="364" t="s">
        <v>2079</v>
      </c>
      <c r="D937" s="409"/>
      <c r="E937" s="722"/>
      <c r="F937" s="579"/>
      <c r="G937" s="721"/>
      <c r="H937" s="373" t="s">
        <v>2042</v>
      </c>
      <c r="I937" s="331">
        <v>1</v>
      </c>
      <c r="J937" s="338">
        <v>214</v>
      </c>
      <c r="K937" s="374">
        <f t="shared" si="40"/>
        <v>0</v>
      </c>
      <c r="L937" s="374">
        <f t="shared" si="41"/>
        <v>214</v>
      </c>
      <c r="N937" s="325"/>
      <c r="O937" s="325"/>
      <c r="S937" s="290"/>
      <c r="T937" s="290"/>
      <c r="U937" s="290"/>
      <c r="V937" s="290"/>
    </row>
    <row r="938" spans="1:22" ht="27.75" customHeight="1">
      <c r="A938" s="331">
        <v>21</v>
      </c>
      <c r="B938" s="695" t="s">
        <v>705</v>
      </c>
      <c r="C938" s="364" t="s">
        <v>1789</v>
      </c>
      <c r="D938" s="409"/>
      <c r="E938" s="722"/>
      <c r="F938" s="579"/>
      <c r="G938" s="721"/>
      <c r="H938" s="373" t="s">
        <v>1801</v>
      </c>
      <c r="I938" s="331">
        <v>2</v>
      </c>
      <c r="J938" s="338">
        <v>1540.8000000000002</v>
      </c>
      <c r="K938" s="374">
        <f t="shared" si="40"/>
        <v>0</v>
      </c>
      <c r="L938" s="374">
        <f t="shared" si="41"/>
        <v>1540.8000000000002</v>
      </c>
      <c r="N938" s="325"/>
      <c r="O938" s="325"/>
      <c r="S938" s="290"/>
      <c r="T938" s="290"/>
      <c r="U938" s="290"/>
      <c r="V938" s="290"/>
    </row>
    <row r="939" spans="1:22" ht="27.75" customHeight="1">
      <c r="A939" s="331">
        <v>22</v>
      </c>
      <c r="B939" s="695" t="s">
        <v>366</v>
      </c>
      <c r="C939" s="364" t="s">
        <v>1180</v>
      </c>
      <c r="D939" s="409"/>
      <c r="E939" s="722"/>
      <c r="F939" s="579"/>
      <c r="G939" s="721"/>
      <c r="H939" s="373" t="s">
        <v>1800</v>
      </c>
      <c r="I939" s="331">
        <v>1</v>
      </c>
      <c r="J939" s="338">
        <v>21.399999999999991</v>
      </c>
      <c r="K939" s="374">
        <f t="shared" si="40"/>
        <v>0</v>
      </c>
      <c r="L939" s="374">
        <f t="shared" si="41"/>
        <v>21.399999999999991</v>
      </c>
      <c r="N939" s="325"/>
      <c r="O939" s="325"/>
      <c r="S939" s="290"/>
      <c r="T939" s="290"/>
      <c r="U939" s="290"/>
      <c r="V939" s="290"/>
    </row>
    <row r="940" spans="1:22" ht="27.75" customHeight="1">
      <c r="A940" s="331">
        <v>23</v>
      </c>
      <c r="B940" s="695" t="s">
        <v>857</v>
      </c>
      <c r="C940" s="364" t="s">
        <v>1181</v>
      </c>
      <c r="D940" s="409"/>
      <c r="E940" s="722"/>
      <c r="F940" s="579"/>
      <c r="G940" s="721"/>
      <c r="H940" s="373" t="s">
        <v>1322</v>
      </c>
      <c r="I940" s="331">
        <v>1</v>
      </c>
      <c r="J940" s="338">
        <v>85.599999999999966</v>
      </c>
      <c r="K940" s="374">
        <f t="shared" si="40"/>
        <v>0</v>
      </c>
      <c r="L940" s="374">
        <f t="shared" si="41"/>
        <v>85.599999999999966</v>
      </c>
      <c r="N940" s="325"/>
      <c r="O940" s="325"/>
      <c r="S940" s="290"/>
      <c r="T940" s="290"/>
      <c r="U940" s="290"/>
      <c r="V940" s="290"/>
    </row>
    <row r="941" spans="1:22" ht="35.25" customHeight="1">
      <c r="A941" s="331">
        <v>24</v>
      </c>
      <c r="B941" s="695" t="s">
        <v>712</v>
      </c>
      <c r="C941" s="364" t="s">
        <v>2006</v>
      </c>
      <c r="D941" s="409"/>
      <c r="E941" s="722"/>
      <c r="F941" s="579"/>
      <c r="G941" s="721"/>
      <c r="H941" s="373" t="s">
        <v>1997</v>
      </c>
      <c r="I941" s="331">
        <v>1</v>
      </c>
      <c r="J941" s="338">
        <v>85.6</v>
      </c>
      <c r="K941" s="374">
        <f t="shared" si="40"/>
        <v>0</v>
      </c>
      <c r="L941" s="374">
        <f t="shared" si="41"/>
        <v>85.6</v>
      </c>
      <c r="N941" s="325"/>
      <c r="O941" s="325"/>
      <c r="S941" s="290"/>
      <c r="T941" s="290"/>
      <c r="U941" s="290"/>
      <c r="V941" s="290"/>
    </row>
    <row r="942" spans="1:22" ht="27.75" customHeight="1">
      <c r="A942" s="331">
        <v>25</v>
      </c>
      <c r="B942" s="695" t="s">
        <v>1360</v>
      </c>
      <c r="C942" s="364" t="s">
        <v>2080</v>
      </c>
      <c r="D942" s="409"/>
      <c r="E942" s="722"/>
      <c r="F942" s="579"/>
      <c r="G942" s="721"/>
      <c r="H942" s="373" t="s">
        <v>2251</v>
      </c>
      <c r="I942" s="331">
        <v>2</v>
      </c>
      <c r="J942" s="338">
        <v>85.6</v>
      </c>
      <c r="K942" s="374">
        <f t="shared" si="40"/>
        <v>0</v>
      </c>
      <c r="L942" s="374">
        <f t="shared" si="41"/>
        <v>85.6</v>
      </c>
      <c r="N942" s="325"/>
      <c r="O942" s="325"/>
      <c r="S942" s="290"/>
      <c r="T942" s="290"/>
      <c r="U942" s="290"/>
      <c r="V942" s="290"/>
    </row>
    <row r="943" spans="1:22" ht="27.75" customHeight="1">
      <c r="A943" s="331">
        <v>26</v>
      </c>
      <c r="B943" s="695" t="s">
        <v>716</v>
      </c>
      <c r="C943" s="364" t="s">
        <v>1394</v>
      </c>
      <c r="D943" s="409"/>
      <c r="E943" s="722"/>
      <c r="F943" s="579"/>
      <c r="G943" s="721"/>
      <c r="H943" s="373" t="s">
        <v>2782</v>
      </c>
      <c r="I943" s="331">
        <v>12</v>
      </c>
      <c r="J943" s="338">
        <v>1198.3999999999999</v>
      </c>
      <c r="K943" s="374">
        <f t="shared" si="40"/>
        <v>0</v>
      </c>
      <c r="L943" s="374">
        <f t="shared" ref="L943:L965" si="42">+J943</f>
        <v>1198.3999999999999</v>
      </c>
      <c r="N943" s="325"/>
      <c r="O943" s="325"/>
      <c r="S943" s="290"/>
      <c r="T943" s="290"/>
      <c r="U943" s="290"/>
      <c r="V943" s="290"/>
    </row>
    <row r="944" spans="1:22" ht="27.75" customHeight="1">
      <c r="A944" s="331">
        <v>27</v>
      </c>
      <c r="B944" s="695" t="s">
        <v>719</v>
      </c>
      <c r="C944" s="696" t="s">
        <v>1395</v>
      </c>
      <c r="D944" s="697"/>
      <c r="E944" s="722"/>
      <c r="F944" s="579"/>
      <c r="G944" s="721"/>
      <c r="H944" s="373" t="s">
        <v>2027</v>
      </c>
      <c r="I944" s="331">
        <v>2</v>
      </c>
      <c r="J944" s="338">
        <v>256.8</v>
      </c>
      <c r="K944" s="374">
        <f t="shared" si="40"/>
        <v>0</v>
      </c>
      <c r="L944" s="374">
        <f t="shared" si="42"/>
        <v>256.8</v>
      </c>
      <c r="N944" s="325"/>
      <c r="O944" s="325"/>
      <c r="S944" s="290"/>
      <c r="T944" s="290"/>
      <c r="U944" s="290"/>
      <c r="V944" s="290"/>
    </row>
    <row r="945" spans="1:22" ht="27.75" customHeight="1">
      <c r="A945" s="331">
        <v>28</v>
      </c>
      <c r="B945" s="695" t="s">
        <v>724</v>
      </c>
      <c r="C945" s="364" t="s">
        <v>1107</v>
      </c>
      <c r="D945" s="409"/>
      <c r="E945" s="722"/>
      <c r="F945" s="579"/>
      <c r="G945" s="721"/>
      <c r="H945" s="373" t="s">
        <v>558</v>
      </c>
      <c r="I945" s="331">
        <v>1</v>
      </c>
      <c r="J945" s="338">
        <v>42.80000000000004</v>
      </c>
      <c r="K945" s="374">
        <f t="shared" si="40"/>
        <v>0</v>
      </c>
      <c r="L945" s="374">
        <f t="shared" si="42"/>
        <v>42.80000000000004</v>
      </c>
      <c r="N945" s="325"/>
      <c r="O945" s="325"/>
      <c r="S945" s="290"/>
      <c r="T945" s="290"/>
      <c r="U945" s="290"/>
      <c r="V945" s="290"/>
    </row>
    <row r="946" spans="1:22" ht="27.75" customHeight="1">
      <c r="A946" s="331">
        <v>29</v>
      </c>
      <c r="B946" s="695" t="s">
        <v>1379</v>
      </c>
      <c r="C946" s="364" t="s">
        <v>1819</v>
      </c>
      <c r="D946" s="409"/>
      <c r="E946" s="722"/>
      <c r="F946" s="579"/>
      <c r="G946" s="721"/>
      <c r="H946" s="373" t="s">
        <v>1814</v>
      </c>
      <c r="I946" s="331">
        <v>1</v>
      </c>
      <c r="J946" s="338">
        <v>42.8</v>
      </c>
      <c r="K946" s="374">
        <f t="shared" si="40"/>
        <v>0</v>
      </c>
      <c r="L946" s="374">
        <f t="shared" si="42"/>
        <v>42.8</v>
      </c>
      <c r="N946" s="325"/>
      <c r="O946" s="325"/>
      <c r="S946" s="290"/>
      <c r="T946" s="290"/>
      <c r="U946" s="290"/>
      <c r="V946" s="290"/>
    </row>
    <row r="947" spans="1:22" ht="27.75" customHeight="1">
      <c r="A947" s="331">
        <v>30</v>
      </c>
      <c r="B947" s="695" t="s">
        <v>368</v>
      </c>
      <c r="C947" s="696" t="s">
        <v>1743</v>
      </c>
      <c r="D947" s="697"/>
      <c r="E947" s="722"/>
      <c r="F947" s="579"/>
      <c r="G947" s="721"/>
      <c r="H947" s="373" t="s">
        <v>2289</v>
      </c>
      <c r="I947" s="331">
        <v>7</v>
      </c>
      <c r="J947" s="338">
        <v>299.60000000000002</v>
      </c>
      <c r="K947" s="374">
        <f t="shared" si="40"/>
        <v>0</v>
      </c>
      <c r="L947" s="374">
        <f t="shared" si="42"/>
        <v>299.60000000000002</v>
      </c>
      <c r="N947" s="325"/>
      <c r="O947" s="325"/>
      <c r="S947" s="290"/>
      <c r="T947" s="290"/>
      <c r="U947" s="290"/>
      <c r="V947" s="290"/>
    </row>
    <row r="948" spans="1:22" ht="27.75" customHeight="1">
      <c r="A948" s="331">
        <v>31</v>
      </c>
      <c r="B948" s="695" t="s">
        <v>725</v>
      </c>
      <c r="C948" s="364" t="s">
        <v>2028</v>
      </c>
      <c r="D948" s="409"/>
      <c r="E948" s="722"/>
      <c r="F948" s="579"/>
      <c r="G948" s="721"/>
      <c r="H948" s="373" t="s">
        <v>2000</v>
      </c>
      <c r="I948" s="331">
        <v>1</v>
      </c>
      <c r="J948" s="338">
        <v>171.2</v>
      </c>
      <c r="K948" s="374">
        <f t="shared" si="40"/>
        <v>0</v>
      </c>
      <c r="L948" s="374">
        <f t="shared" si="42"/>
        <v>171.2</v>
      </c>
      <c r="N948" s="325"/>
      <c r="O948" s="325"/>
      <c r="S948" s="290"/>
      <c r="T948" s="290"/>
      <c r="U948" s="290"/>
      <c r="V948" s="290"/>
    </row>
    <row r="949" spans="1:22" ht="36" customHeight="1">
      <c r="A949" s="331">
        <v>32</v>
      </c>
      <c r="B949" s="702" t="s">
        <v>748</v>
      </c>
      <c r="C949" s="368" t="s">
        <v>475</v>
      </c>
      <c r="D949" s="365"/>
      <c r="E949" s="724"/>
      <c r="F949" s="397"/>
      <c r="G949" s="721"/>
      <c r="H949" s="373" t="s">
        <v>1806</v>
      </c>
      <c r="I949" s="331">
        <v>3</v>
      </c>
      <c r="J949" s="338">
        <v>2225.6000000000013</v>
      </c>
      <c r="K949" s="374">
        <f t="shared" si="40"/>
        <v>0</v>
      </c>
      <c r="L949" s="338">
        <f t="shared" si="42"/>
        <v>2225.6000000000013</v>
      </c>
      <c r="N949" s="325"/>
      <c r="O949" s="325"/>
      <c r="S949" s="290"/>
      <c r="T949" s="290"/>
      <c r="U949" s="290"/>
      <c r="V949" s="290"/>
    </row>
    <row r="950" spans="1:22" ht="27.75" customHeight="1">
      <c r="A950" s="331">
        <v>33</v>
      </c>
      <c r="B950" s="695" t="s">
        <v>730</v>
      </c>
      <c r="C950" s="364" t="s">
        <v>1108</v>
      </c>
      <c r="D950" s="409"/>
      <c r="E950" s="722"/>
      <c r="F950" s="579"/>
      <c r="G950" s="721"/>
      <c r="H950" s="373" t="s">
        <v>1109</v>
      </c>
      <c r="I950" s="331">
        <v>8</v>
      </c>
      <c r="J950" s="338">
        <v>1070</v>
      </c>
      <c r="K950" s="374">
        <f t="shared" si="40"/>
        <v>0</v>
      </c>
      <c r="L950" s="374">
        <f t="shared" si="42"/>
        <v>1070</v>
      </c>
      <c r="N950" s="325"/>
      <c r="O950" s="325"/>
      <c r="S950" s="290"/>
      <c r="T950" s="290"/>
      <c r="U950" s="290"/>
      <c r="V950" s="290"/>
    </row>
    <row r="951" spans="1:22" ht="27.75" customHeight="1">
      <c r="A951" s="331">
        <v>34</v>
      </c>
      <c r="B951" s="695" t="s">
        <v>1031</v>
      </c>
      <c r="C951" s="364" t="s">
        <v>2029</v>
      </c>
      <c r="D951" s="409"/>
      <c r="E951" s="722"/>
      <c r="F951" s="579"/>
      <c r="G951" s="721"/>
      <c r="H951" s="373" t="s">
        <v>2000</v>
      </c>
      <c r="I951" s="331">
        <v>1</v>
      </c>
      <c r="J951" s="338">
        <v>42.8</v>
      </c>
      <c r="K951" s="374">
        <f t="shared" si="40"/>
        <v>0</v>
      </c>
      <c r="L951" s="374">
        <f t="shared" si="42"/>
        <v>42.8</v>
      </c>
      <c r="N951" s="325"/>
      <c r="O951" s="325"/>
      <c r="S951" s="290"/>
      <c r="T951" s="290"/>
      <c r="U951" s="290"/>
      <c r="V951" s="290"/>
    </row>
    <row r="952" spans="1:22" ht="27.75" customHeight="1">
      <c r="A952" s="331">
        <v>35</v>
      </c>
      <c r="B952" s="695" t="s">
        <v>732</v>
      </c>
      <c r="C952" s="364" t="s">
        <v>1396</v>
      </c>
      <c r="D952" s="409"/>
      <c r="E952" s="722"/>
      <c r="F952" s="579"/>
      <c r="G952" s="721"/>
      <c r="H952" s="373" t="s">
        <v>1476</v>
      </c>
      <c r="I952" s="331">
        <v>1</v>
      </c>
      <c r="J952" s="338">
        <v>42.799999999999983</v>
      </c>
      <c r="K952" s="374">
        <f t="shared" si="40"/>
        <v>0</v>
      </c>
      <c r="L952" s="374">
        <f t="shared" si="42"/>
        <v>42.799999999999983</v>
      </c>
      <c r="N952" s="325"/>
      <c r="O952" s="325"/>
      <c r="Q952" s="478"/>
      <c r="R952" s="479"/>
      <c r="S952" s="658"/>
      <c r="T952" s="290"/>
      <c r="U952" s="290"/>
      <c r="V952" s="290"/>
    </row>
    <row r="953" spans="1:22" ht="27.75" customHeight="1">
      <c r="A953" s="331">
        <v>36</v>
      </c>
      <c r="B953" s="695" t="s">
        <v>369</v>
      </c>
      <c r="C953" s="364" t="s">
        <v>1110</v>
      </c>
      <c r="D953" s="409"/>
      <c r="E953" s="722"/>
      <c r="F953" s="579"/>
      <c r="G953" s="721"/>
      <c r="H953" s="373" t="s">
        <v>558</v>
      </c>
      <c r="I953" s="331">
        <v>1</v>
      </c>
      <c r="J953" s="338">
        <v>42.8</v>
      </c>
      <c r="K953" s="374">
        <f t="shared" si="40"/>
        <v>0</v>
      </c>
      <c r="L953" s="374">
        <f t="shared" si="42"/>
        <v>42.8</v>
      </c>
      <c r="N953" s="325"/>
      <c r="O953" s="325"/>
      <c r="Q953" s="478"/>
      <c r="R953" s="479"/>
      <c r="S953" s="658"/>
      <c r="T953" s="290"/>
      <c r="U953" s="290"/>
      <c r="V953" s="290"/>
    </row>
    <row r="954" spans="1:22" ht="40.200000000000003" customHeight="1">
      <c r="A954" s="331">
        <v>37</v>
      </c>
      <c r="B954" s="695" t="s">
        <v>508</v>
      </c>
      <c r="C954" s="364" t="s">
        <v>1579</v>
      </c>
      <c r="D954" s="409"/>
      <c r="E954" s="722"/>
      <c r="F954" s="579"/>
      <c r="G954" s="721"/>
      <c r="H954" s="373" t="s">
        <v>2030</v>
      </c>
      <c r="I954" s="331">
        <v>3</v>
      </c>
      <c r="J954" s="338">
        <v>128.39999999999989</v>
      </c>
      <c r="K954" s="374">
        <f t="shared" si="40"/>
        <v>0</v>
      </c>
      <c r="L954" s="374">
        <f t="shared" si="42"/>
        <v>128.39999999999989</v>
      </c>
      <c r="N954" s="325"/>
      <c r="O954" s="325"/>
      <c r="Q954" s="478"/>
      <c r="R954" s="479"/>
      <c r="S954" s="658"/>
      <c r="T954" s="290"/>
      <c r="U954" s="290"/>
      <c r="V954" s="290"/>
    </row>
    <row r="955" spans="1:22" ht="36" customHeight="1">
      <c r="B955" s="695"/>
      <c r="C955" s="364"/>
      <c r="D955" s="409"/>
      <c r="E955" s="722"/>
      <c r="F955" s="579"/>
      <c r="G955" s="721"/>
      <c r="H955" s="373"/>
      <c r="K955" s="374"/>
      <c r="L955" s="374"/>
      <c r="N955" s="325"/>
      <c r="O955" s="325"/>
      <c r="Q955" s="478"/>
      <c r="R955" s="479"/>
      <c r="S955" s="658"/>
      <c r="T955" s="290"/>
      <c r="U955" s="290"/>
      <c r="V955" s="290"/>
    </row>
    <row r="956" spans="1:22" ht="27.75" customHeight="1">
      <c r="B956" s="695"/>
      <c r="C956" s="364"/>
      <c r="D956" s="409"/>
      <c r="E956" s="722"/>
      <c r="F956" s="579"/>
      <c r="G956" s="721"/>
      <c r="H956" s="373"/>
      <c r="K956" s="374"/>
      <c r="L956" s="374"/>
      <c r="N956" s="325"/>
      <c r="O956" s="325"/>
      <c r="Q956" s="478"/>
      <c r="R956" s="479"/>
      <c r="S956" s="658"/>
      <c r="T956" s="290"/>
      <c r="U956" s="290"/>
      <c r="V956" s="290"/>
    </row>
    <row r="957" spans="1:22" ht="27.75" customHeight="1">
      <c r="B957" s="695" t="s">
        <v>2735</v>
      </c>
      <c r="C957" s="364"/>
      <c r="D957" s="409"/>
      <c r="E957" s="722"/>
      <c r="F957" s="579"/>
      <c r="G957" s="721"/>
      <c r="H957" s="373"/>
      <c r="K957" s="374">
        <f t="shared" si="40"/>
        <v>0</v>
      </c>
      <c r="L957" s="374">
        <f t="shared" si="42"/>
        <v>0</v>
      </c>
      <c r="N957" s="325"/>
      <c r="O957" s="325"/>
      <c r="Q957" s="478"/>
      <c r="R957" s="479"/>
      <c r="S957" s="658"/>
      <c r="T957" s="290"/>
      <c r="U957" s="290"/>
      <c r="V957" s="290"/>
    </row>
    <row r="958" spans="1:22" ht="27.75" customHeight="1">
      <c r="A958" s="331">
        <v>1</v>
      </c>
      <c r="B958" s="695" t="s">
        <v>654</v>
      </c>
      <c r="C958" s="364" t="s">
        <v>1576</v>
      </c>
      <c r="D958" s="409"/>
      <c r="E958" s="722"/>
      <c r="F958" s="579"/>
      <c r="G958" s="721"/>
      <c r="H958" s="373" t="s">
        <v>1659</v>
      </c>
      <c r="I958" s="331">
        <v>2</v>
      </c>
      <c r="J958" s="338">
        <v>128.39999999999998</v>
      </c>
      <c r="K958" s="374">
        <f t="shared" si="40"/>
        <v>0</v>
      </c>
      <c r="L958" s="374">
        <f t="shared" si="42"/>
        <v>128.39999999999998</v>
      </c>
      <c r="N958" s="325"/>
      <c r="O958" s="325"/>
      <c r="Q958" s="478"/>
      <c r="R958" s="479"/>
      <c r="S958" s="658"/>
      <c r="T958" s="290"/>
      <c r="U958" s="290"/>
      <c r="V958" s="290"/>
    </row>
    <row r="959" spans="1:22" ht="27.75" customHeight="1">
      <c r="A959" s="331">
        <v>2</v>
      </c>
      <c r="B959" s="695" t="s">
        <v>665</v>
      </c>
      <c r="C959" s="364" t="s">
        <v>2279</v>
      </c>
      <c r="D959" s="409"/>
      <c r="E959" s="722"/>
      <c r="F959" s="579"/>
      <c r="G959" s="721"/>
      <c r="H959" s="373" t="s">
        <v>2787</v>
      </c>
      <c r="I959" s="331">
        <v>6</v>
      </c>
      <c r="J959" s="338">
        <v>470.8</v>
      </c>
      <c r="K959" s="374">
        <f t="shared" si="40"/>
        <v>0</v>
      </c>
      <c r="L959" s="374">
        <f t="shared" si="42"/>
        <v>470.8</v>
      </c>
      <c r="N959" s="325"/>
      <c r="O959" s="325"/>
      <c r="Q959" s="478"/>
      <c r="R959" s="479"/>
      <c r="S959" s="658"/>
      <c r="T959" s="290"/>
      <c r="U959" s="290"/>
      <c r="V959" s="290"/>
    </row>
    <row r="960" spans="1:22" ht="37.200000000000003" customHeight="1">
      <c r="A960" s="331">
        <v>3</v>
      </c>
      <c r="B960" s="695" t="s">
        <v>1780</v>
      </c>
      <c r="C960" s="364" t="s">
        <v>2250</v>
      </c>
      <c r="D960" s="409"/>
      <c r="E960" s="722"/>
      <c r="F960" s="579"/>
      <c r="G960" s="721"/>
      <c r="H960" s="373" t="s">
        <v>2235</v>
      </c>
      <c r="I960" s="331">
        <v>1</v>
      </c>
      <c r="J960" s="338">
        <v>128.4</v>
      </c>
      <c r="K960" s="374">
        <f t="shared" si="40"/>
        <v>0</v>
      </c>
      <c r="L960" s="374">
        <f t="shared" si="42"/>
        <v>128.4</v>
      </c>
      <c r="N960" s="325"/>
      <c r="O960" s="325"/>
      <c r="Q960" s="478"/>
      <c r="R960" s="479"/>
      <c r="S960" s="658"/>
      <c r="T960" s="290"/>
      <c r="U960" s="290"/>
      <c r="V960" s="290"/>
    </row>
    <row r="961" spans="1:22" ht="35.4" customHeight="1">
      <c r="A961" s="331">
        <v>4</v>
      </c>
      <c r="B961" s="695" t="s">
        <v>708</v>
      </c>
      <c r="C961" s="364" t="s">
        <v>839</v>
      </c>
      <c r="D961" s="409"/>
      <c r="E961" s="722"/>
      <c r="F961" s="579"/>
      <c r="G961" s="721"/>
      <c r="H961" s="373" t="s">
        <v>2675</v>
      </c>
      <c r="I961" s="331">
        <v>4</v>
      </c>
      <c r="J961" s="338">
        <v>299.60000000000002</v>
      </c>
      <c r="K961" s="374">
        <f t="shared" si="40"/>
        <v>0</v>
      </c>
      <c r="L961" s="374">
        <f t="shared" si="42"/>
        <v>299.60000000000002</v>
      </c>
      <c r="N961" s="325"/>
      <c r="O961" s="325"/>
      <c r="Q961" s="478"/>
      <c r="R961" s="479"/>
      <c r="S961" s="658"/>
      <c r="T961" s="290"/>
      <c r="U961" s="290"/>
      <c r="V961" s="290"/>
    </row>
    <row r="962" spans="1:22" ht="46.8" customHeight="1">
      <c r="A962" s="331">
        <v>5</v>
      </c>
      <c r="B962" s="695" t="s">
        <v>1561</v>
      </c>
      <c r="C962" s="364" t="s">
        <v>1578</v>
      </c>
      <c r="D962" s="409"/>
      <c r="E962" s="722"/>
      <c r="F962" s="579"/>
      <c r="G962" s="721"/>
      <c r="H962" s="373" t="s">
        <v>1476</v>
      </c>
      <c r="I962" s="331">
        <v>1</v>
      </c>
      <c r="J962" s="338">
        <v>1155.5999999999999</v>
      </c>
      <c r="K962" s="374">
        <f t="shared" si="40"/>
        <v>0</v>
      </c>
      <c r="L962" s="374">
        <f t="shared" si="42"/>
        <v>1155.5999999999999</v>
      </c>
      <c r="N962" s="325"/>
      <c r="O962" s="325"/>
      <c r="Q962" s="478"/>
      <c r="R962" s="479"/>
      <c r="S962" s="658"/>
      <c r="T962" s="290"/>
      <c r="U962" s="290"/>
      <c r="V962" s="290"/>
    </row>
    <row r="963" spans="1:22" ht="38.4" customHeight="1">
      <c r="A963" s="331">
        <v>6</v>
      </c>
      <c r="B963" s="695" t="s">
        <v>2736</v>
      </c>
      <c r="C963" s="364" t="s">
        <v>2051</v>
      </c>
      <c r="D963" s="409"/>
      <c r="E963" s="722"/>
      <c r="F963" s="579"/>
      <c r="G963" s="721"/>
      <c r="H963" s="373" t="s">
        <v>2257</v>
      </c>
      <c r="I963" s="331">
        <v>3</v>
      </c>
      <c r="J963" s="338">
        <v>941.6</v>
      </c>
      <c r="K963" s="374">
        <f t="shared" si="40"/>
        <v>0</v>
      </c>
      <c r="L963" s="374">
        <f t="shared" si="42"/>
        <v>941.6</v>
      </c>
      <c r="N963" s="325"/>
      <c r="O963" s="325"/>
      <c r="Q963" s="478"/>
      <c r="R963" s="479"/>
      <c r="S963" s="658"/>
      <c r="T963" s="290"/>
      <c r="U963" s="290"/>
      <c r="V963" s="290"/>
    </row>
    <row r="964" spans="1:22" ht="31.8" customHeight="1">
      <c r="A964" s="331">
        <v>7</v>
      </c>
      <c r="B964" s="695" t="s">
        <v>734</v>
      </c>
      <c r="C964" s="364" t="s">
        <v>1182</v>
      </c>
      <c r="D964" s="409"/>
      <c r="E964" s="722"/>
      <c r="F964" s="579"/>
      <c r="G964" s="721"/>
      <c r="H964" s="373" t="s">
        <v>2783</v>
      </c>
      <c r="I964" s="331">
        <v>29</v>
      </c>
      <c r="J964" s="338">
        <v>203385.60000000001</v>
      </c>
      <c r="K964" s="374">
        <f t="shared" si="40"/>
        <v>0</v>
      </c>
      <c r="L964" s="374">
        <f t="shared" si="42"/>
        <v>203385.60000000001</v>
      </c>
      <c r="N964" s="325"/>
      <c r="O964" s="325"/>
      <c r="Q964" s="478"/>
      <c r="R964" s="479"/>
      <c r="S964" s="658"/>
      <c r="T964" s="290"/>
      <c r="U964" s="290"/>
      <c r="V964" s="290"/>
    </row>
    <row r="965" spans="1:22" ht="36.6" customHeight="1">
      <c r="B965" s="695" t="s">
        <v>734</v>
      </c>
      <c r="C965" s="364" t="s">
        <v>1183</v>
      </c>
      <c r="D965" s="409"/>
      <c r="E965" s="722"/>
      <c r="F965" s="579"/>
      <c r="G965" s="721"/>
      <c r="H965" s="373" t="s">
        <v>2032</v>
      </c>
      <c r="I965" s="331">
        <v>11</v>
      </c>
      <c r="J965" s="338">
        <v>38477.200000000004</v>
      </c>
      <c r="K965" s="374">
        <f t="shared" si="40"/>
        <v>0</v>
      </c>
      <c r="L965" s="374">
        <f t="shared" si="42"/>
        <v>38477.200000000004</v>
      </c>
      <c r="N965" s="325"/>
      <c r="O965" s="325"/>
      <c r="Q965" s="478"/>
      <c r="R965" s="479"/>
      <c r="S965" s="658"/>
      <c r="T965" s="290"/>
      <c r="U965" s="290"/>
      <c r="V965" s="290"/>
    </row>
    <row r="966" spans="1:22" ht="45" customHeight="1" thickBot="1">
      <c r="B966" s="695"/>
      <c r="C966" s="364"/>
      <c r="D966" s="409"/>
      <c r="E966" s="722"/>
      <c r="F966" s="579"/>
      <c r="G966" s="721"/>
      <c r="H966" s="373"/>
      <c r="K966" s="374"/>
      <c r="L966" s="374"/>
      <c r="N966" s="325"/>
      <c r="O966" s="325"/>
      <c r="Q966" s="478"/>
      <c r="R966" s="479"/>
      <c r="S966" s="658"/>
      <c r="T966" s="290"/>
      <c r="U966" s="290"/>
      <c r="V966" s="290"/>
    </row>
    <row r="967" spans="1:22" s="455" customFormat="1" ht="27.75" customHeight="1" thickTop="1" thickBot="1">
      <c r="A967" s="450"/>
      <c r="B967" s="725"/>
      <c r="C967" s="706"/>
      <c r="D967" s="576"/>
      <c r="E967" s="576"/>
      <c r="F967" s="706"/>
      <c r="G967" s="707"/>
      <c r="H967" s="622"/>
      <c r="I967" s="450"/>
      <c r="J967" s="446"/>
      <c r="K967" s="374">
        <f t="shared" si="40"/>
        <v>0</v>
      </c>
      <c r="L967" s="446">
        <f>+J967</f>
        <v>0</v>
      </c>
      <c r="M967" s="551"/>
      <c r="N967" s="708">
        <f>SUM(G874:G966)</f>
        <v>22684.001999999997</v>
      </c>
      <c r="O967" s="708">
        <f>SUM(J874:J966)</f>
        <v>257163.80000000002</v>
      </c>
      <c r="P967" s="452">
        <f>SUM(N967:O967)</f>
        <v>279847.80200000003</v>
      </c>
      <c r="Q967" s="481">
        <f>SUM(D874:D966)</f>
        <v>3124.4</v>
      </c>
      <c r="R967" s="552" t="s">
        <v>371</v>
      </c>
      <c r="S967" s="655"/>
    </row>
    <row r="968" spans="1:22" ht="27.75" customHeight="1" thickTop="1">
      <c r="B968" s="726" t="s">
        <v>993</v>
      </c>
      <c r="C968" s="720"/>
      <c r="D968" s="502"/>
      <c r="E968" s="502"/>
      <c r="F968" s="720"/>
      <c r="G968" s="586"/>
      <c r="H968" s="373"/>
      <c r="K968" s="374">
        <f t="shared" si="40"/>
        <v>0</v>
      </c>
      <c r="L968" s="374"/>
      <c r="N968" s="325"/>
      <c r="O968" s="325"/>
      <c r="Q968" s="478"/>
      <c r="R968" s="479"/>
      <c r="S968" s="658"/>
      <c r="T968" s="290"/>
      <c r="U968" s="290"/>
      <c r="V968" s="290"/>
    </row>
    <row r="969" spans="1:22" ht="27.75" customHeight="1">
      <c r="A969" s="331">
        <v>1</v>
      </c>
      <c r="B969" s="695" t="s">
        <v>1664</v>
      </c>
      <c r="C969" s="364" t="s">
        <v>3234</v>
      </c>
      <c r="D969" s="409"/>
      <c r="E969" s="722" t="s">
        <v>3441</v>
      </c>
      <c r="F969" s="727">
        <v>3</v>
      </c>
      <c r="G969" s="721">
        <v>192.60000000000002</v>
      </c>
      <c r="H969" s="373"/>
      <c r="K969" s="374">
        <f t="shared" si="40"/>
        <v>22.226040000000001</v>
      </c>
      <c r="L969" s="374">
        <f t="shared" ref="L969:L1017" si="43">+J969</f>
        <v>0</v>
      </c>
      <c r="N969" s="325"/>
      <c r="O969" s="325"/>
      <c r="Q969" s="478"/>
      <c r="R969" s="479"/>
      <c r="S969" s="658"/>
      <c r="T969" s="290"/>
      <c r="U969" s="290"/>
      <c r="V969" s="290"/>
    </row>
    <row r="970" spans="1:22" ht="27.75" customHeight="1">
      <c r="A970" s="331">
        <v>2</v>
      </c>
      <c r="B970" s="695" t="s">
        <v>3232</v>
      </c>
      <c r="C970" s="364" t="s">
        <v>3235</v>
      </c>
      <c r="D970" s="409"/>
      <c r="E970" s="722" t="s">
        <v>3441</v>
      </c>
      <c r="F970" s="727">
        <v>3</v>
      </c>
      <c r="G970" s="721">
        <v>192.60000000000002</v>
      </c>
      <c r="H970" s="373"/>
      <c r="K970" s="374">
        <f t="shared" si="40"/>
        <v>22.226040000000001</v>
      </c>
      <c r="L970" s="374">
        <f t="shared" si="43"/>
        <v>0</v>
      </c>
      <c r="N970" s="325"/>
      <c r="O970" s="325"/>
      <c r="Q970" s="478"/>
      <c r="R970" s="479"/>
      <c r="S970" s="658"/>
      <c r="T970" s="290"/>
      <c r="U970" s="290"/>
      <c r="V970" s="290"/>
    </row>
    <row r="971" spans="1:22" ht="27.75" customHeight="1">
      <c r="A971" s="331">
        <v>3</v>
      </c>
      <c r="B971" s="695" t="s">
        <v>739</v>
      </c>
      <c r="C971" s="364" t="s">
        <v>2755</v>
      </c>
      <c r="D971" s="409"/>
      <c r="E971" s="722" t="s">
        <v>3416</v>
      </c>
      <c r="F971" s="727">
        <v>1</v>
      </c>
      <c r="G971" s="721">
        <v>64.200000000000031</v>
      </c>
      <c r="H971" s="373"/>
      <c r="K971" s="374">
        <f t="shared" ref="K971:K1013" si="44">G971*11.54/100</f>
        <v>7.408680000000003</v>
      </c>
      <c r="L971" s="374">
        <f t="shared" si="43"/>
        <v>0</v>
      </c>
      <c r="N971" s="325"/>
      <c r="O971" s="325"/>
      <c r="Q971" s="478"/>
      <c r="R971" s="479"/>
      <c r="S971" s="658"/>
      <c r="T971" s="290"/>
      <c r="U971" s="290"/>
      <c r="V971" s="290"/>
    </row>
    <row r="972" spans="1:22" ht="27.75" customHeight="1">
      <c r="A972" s="331">
        <v>4</v>
      </c>
      <c r="B972" s="695" t="s">
        <v>3176</v>
      </c>
      <c r="C972" s="696" t="s">
        <v>3182</v>
      </c>
      <c r="D972" s="697">
        <v>64.2</v>
      </c>
      <c r="E972" s="722"/>
      <c r="F972" s="727"/>
      <c r="G972" s="721"/>
      <c r="H972" s="373"/>
      <c r="K972" s="374">
        <f t="shared" si="44"/>
        <v>0</v>
      </c>
      <c r="L972" s="374">
        <f t="shared" si="43"/>
        <v>0</v>
      </c>
      <c r="N972" s="325"/>
      <c r="O972" s="325"/>
      <c r="Q972" s="478"/>
      <c r="R972" s="479"/>
      <c r="S972" s="658"/>
      <c r="T972" s="290"/>
      <c r="U972" s="290"/>
      <c r="V972" s="290"/>
    </row>
    <row r="973" spans="1:22" ht="27.75" customHeight="1">
      <c r="A973" s="331">
        <v>5</v>
      </c>
      <c r="B973" s="695" t="s">
        <v>417</v>
      </c>
      <c r="C973" s="364" t="s">
        <v>2756</v>
      </c>
      <c r="D973" s="409"/>
      <c r="E973" s="722" t="s">
        <v>3416</v>
      </c>
      <c r="F973" s="727">
        <v>1</v>
      </c>
      <c r="G973" s="721">
        <v>64.200000000000031</v>
      </c>
      <c r="H973" s="373"/>
      <c r="K973" s="374">
        <f t="shared" si="44"/>
        <v>7.408680000000003</v>
      </c>
      <c r="L973" s="374">
        <f t="shared" si="43"/>
        <v>0</v>
      </c>
      <c r="N973" s="325"/>
      <c r="O973" s="325"/>
      <c r="Q973" s="478"/>
      <c r="R973" s="479"/>
      <c r="S973" s="658"/>
      <c r="T973" s="290"/>
      <c r="U973" s="290"/>
      <c r="V973" s="290"/>
    </row>
    <row r="974" spans="1:22" ht="27.75" customHeight="1">
      <c r="A974" s="331">
        <v>6</v>
      </c>
      <c r="B974" s="695" t="s">
        <v>417</v>
      </c>
      <c r="C974" s="364" t="s">
        <v>2757</v>
      </c>
      <c r="D974" s="409"/>
      <c r="E974" s="722" t="s">
        <v>3416</v>
      </c>
      <c r="F974" s="727">
        <v>1</v>
      </c>
      <c r="G974" s="721">
        <v>64.200000000000031</v>
      </c>
      <c r="H974" s="373"/>
      <c r="K974" s="374">
        <f t="shared" si="44"/>
        <v>7.408680000000003</v>
      </c>
      <c r="L974" s="374">
        <f t="shared" si="43"/>
        <v>0</v>
      </c>
      <c r="N974" s="325"/>
      <c r="O974" s="325"/>
      <c r="Q974" s="478"/>
      <c r="R974" s="479"/>
      <c r="S974" s="658"/>
      <c r="T974" s="290"/>
      <c r="U974" s="290"/>
      <c r="V974" s="290"/>
    </row>
    <row r="975" spans="1:22" ht="27.75" customHeight="1">
      <c r="A975" s="331">
        <v>7</v>
      </c>
      <c r="B975" s="695" t="s">
        <v>417</v>
      </c>
      <c r="C975" s="364" t="s">
        <v>2758</v>
      </c>
      <c r="D975" s="409"/>
      <c r="E975" s="722" t="s">
        <v>3416</v>
      </c>
      <c r="F975" s="727">
        <v>1</v>
      </c>
      <c r="G975" s="721">
        <v>64.200000000000031</v>
      </c>
      <c r="H975" s="373"/>
      <c r="K975" s="374">
        <f t="shared" si="44"/>
        <v>7.408680000000003</v>
      </c>
      <c r="L975" s="374">
        <f t="shared" si="43"/>
        <v>0</v>
      </c>
      <c r="N975" s="325"/>
      <c r="O975" s="325"/>
      <c r="Q975" s="478"/>
      <c r="R975" s="479"/>
      <c r="S975" s="658"/>
      <c r="T975" s="290"/>
      <c r="U975" s="290"/>
      <c r="V975" s="290"/>
    </row>
    <row r="976" spans="1:22" ht="27.75" customHeight="1">
      <c r="A976" s="331">
        <v>8</v>
      </c>
      <c r="B976" s="695" t="s">
        <v>417</v>
      </c>
      <c r="C976" s="364" t="s">
        <v>2759</v>
      </c>
      <c r="D976" s="409"/>
      <c r="E976" s="722" t="s">
        <v>3416</v>
      </c>
      <c r="F976" s="727">
        <v>1</v>
      </c>
      <c r="G976" s="721">
        <v>64.200000000000031</v>
      </c>
      <c r="H976" s="373"/>
      <c r="K976" s="374">
        <f t="shared" si="44"/>
        <v>7.408680000000003</v>
      </c>
      <c r="L976" s="374">
        <f t="shared" si="43"/>
        <v>0</v>
      </c>
      <c r="N976" s="325"/>
      <c r="O976" s="325"/>
      <c r="Q976" s="478"/>
      <c r="R976" s="479"/>
      <c r="S976" s="658"/>
      <c r="T976" s="290"/>
      <c r="U976" s="290"/>
      <c r="V976" s="290"/>
    </row>
    <row r="977" spans="1:22" ht="27.75" customHeight="1">
      <c r="A977" s="331">
        <v>9</v>
      </c>
      <c r="B977" s="695" t="s">
        <v>520</v>
      </c>
      <c r="C977" s="364" t="s">
        <v>2760</v>
      </c>
      <c r="D977" s="409"/>
      <c r="E977" s="722" t="s">
        <v>3416</v>
      </c>
      <c r="F977" s="727">
        <v>1</v>
      </c>
      <c r="G977" s="721">
        <v>64.200000000000031</v>
      </c>
      <c r="H977" s="373"/>
      <c r="K977" s="374">
        <f t="shared" si="44"/>
        <v>7.408680000000003</v>
      </c>
      <c r="L977" s="374">
        <f t="shared" si="43"/>
        <v>0</v>
      </c>
      <c r="N977" s="325"/>
      <c r="O977" s="325"/>
      <c r="Q977" s="478"/>
      <c r="R977" s="479"/>
      <c r="S977" s="658"/>
      <c r="T977" s="290"/>
      <c r="U977" s="290"/>
      <c r="V977" s="290"/>
    </row>
    <row r="978" spans="1:22" ht="27.75" customHeight="1">
      <c r="A978" s="331">
        <v>10</v>
      </c>
      <c r="B978" s="695" t="s">
        <v>520</v>
      </c>
      <c r="C978" s="364" t="s">
        <v>2761</v>
      </c>
      <c r="D978" s="409"/>
      <c r="E978" s="722" t="s">
        <v>3416</v>
      </c>
      <c r="F978" s="727">
        <v>1</v>
      </c>
      <c r="G978" s="721">
        <v>64.200000000000031</v>
      </c>
      <c r="H978" s="373"/>
      <c r="K978" s="374">
        <f t="shared" si="44"/>
        <v>7.408680000000003</v>
      </c>
      <c r="L978" s="374">
        <f t="shared" si="43"/>
        <v>0</v>
      </c>
      <c r="N978" s="325"/>
      <c r="O978" s="325"/>
      <c r="Q978" s="478"/>
      <c r="R978" s="479"/>
      <c r="S978" s="658"/>
      <c r="T978" s="290"/>
      <c r="U978" s="290"/>
      <c r="V978" s="290"/>
    </row>
    <row r="979" spans="1:22" ht="27.75" customHeight="1">
      <c r="A979" s="331">
        <v>11</v>
      </c>
      <c r="B979" s="695" t="s">
        <v>520</v>
      </c>
      <c r="C979" s="364" t="s">
        <v>2762</v>
      </c>
      <c r="D979" s="409"/>
      <c r="E979" s="722" t="s">
        <v>3416</v>
      </c>
      <c r="F979" s="727">
        <v>1</v>
      </c>
      <c r="G979" s="721">
        <v>64.200000000000031</v>
      </c>
      <c r="H979" s="373"/>
      <c r="K979" s="374">
        <f t="shared" si="44"/>
        <v>7.408680000000003</v>
      </c>
      <c r="L979" s="374">
        <f t="shared" si="43"/>
        <v>0</v>
      </c>
      <c r="N979" s="325"/>
      <c r="O979" s="325"/>
      <c r="Q979" s="478"/>
      <c r="R979" s="479"/>
      <c r="S979" s="658"/>
      <c r="T979" s="290"/>
      <c r="U979" s="290"/>
      <c r="V979" s="290"/>
    </row>
    <row r="980" spans="1:22" ht="27.75" customHeight="1">
      <c r="A980" s="331">
        <v>12</v>
      </c>
      <c r="B980" s="695" t="s">
        <v>520</v>
      </c>
      <c r="C980" s="364" t="s">
        <v>2763</v>
      </c>
      <c r="D980" s="409"/>
      <c r="E980" s="722" t="s">
        <v>3416</v>
      </c>
      <c r="F980" s="727">
        <v>1</v>
      </c>
      <c r="G980" s="721">
        <v>64.200000000000031</v>
      </c>
      <c r="H980" s="373"/>
      <c r="K980" s="374">
        <f t="shared" si="44"/>
        <v>7.408680000000003</v>
      </c>
      <c r="L980" s="374">
        <f t="shared" si="43"/>
        <v>0</v>
      </c>
      <c r="N980" s="325"/>
      <c r="O980" s="325"/>
      <c r="Q980" s="478"/>
      <c r="R980" s="479"/>
      <c r="S980" s="658"/>
      <c r="T980" s="290"/>
      <c r="U980" s="290"/>
      <c r="V980" s="290"/>
    </row>
    <row r="981" spans="1:22" ht="27.75" customHeight="1">
      <c r="B981" s="695"/>
      <c r="C981" s="364"/>
      <c r="D981" s="409"/>
      <c r="E981" s="722"/>
      <c r="F981" s="727"/>
      <c r="G981" s="721"/>
      <c r="H981" s="373"/>
      <c r="K981" s="374"/>
      <c r="L981" s="374"/>
      <c r="N981" s="325"/>
      <c r="O981" s="325"/>
      <c r="Q981" s="478"/>
      <c r="R981" s="479"/>
      <c r="S981" s="658"/>
      <c r="T981" s="290"/>
      <c r="U981" s="290"/>
      <c r="V981" s="290"/>
    </row>
    <row r="982" spans="1:22" ht="27.75" customHeight="1">
      <c r="B982" s="695" t="s">
        <v>1003</v>
      </c>
      <c r="C982" s="364"/>
      <c r="D982" s="409"/>
      <c r="E982" s="722"/>
      <c r="F982" s="727"/>
      <c r="G982" s="721"/>
      <c r="H982" s="373"/>
      <c r="K982" s="374">
        <f t="shared" si="44"/>
        <v>0</v>
      </c>
      <c r="L982" s="374">
        <f t="shared" si="43"/>
        <v>0</v>
      </c>
      <c r="N982" s="325"/>
      <c r="O982" s="325"/>
      <c r="Q982" s="478"/>
      <c r="R982" s="479"/>
      <c r="S982" s="658"/>
      <c r="T982" s="290"/>
      <c r="U982" s="290"/>
      <c r="V982" s="290"/>
    </row>
    <row r="983" spans="1:22" s="385" customFormat="1" ht="27.75" customHeight="1">
      <c r="A983" s="331">
        <v>1</v>
      </c>
      <c r="B983" s="702" t="s">
        <v>642</v>
      </c>
      <c r="C983" s="368" t="s">
        <v>415</v>
      </c>
      <c r="D983" s="365"/>
      <c r="E983" s="724"/>
      <c r="F983" s="728"/>
      <c r="G983" s="721"/>
      <c r="H983" s="373" t="s">
        <v>1625</v>
      </c>
      <c r="I983" s="331">
        <v>17</v>
      </c>
      <c r="J983" s="338">
        <v>1091.4000000000003</v>
      </c>
      <c r="K983" s="374">
        <f t="shared" si="44"/>
        <v>0</v>
      </c>
      <c r="L983" s="374">
        <f t="shared" si="43"/>
        <v>1091.4000000000003</v>
      </c>
      <c r="M983" s="329"/>
      <c r="N983" s="690"/>
      <c r="O983" s="690"/>
      <c r="P983" s="288"/>
      <c r="Q983" s="288"/>
    </row>
    <row r="984" spans="1:22" s="385" customFormat="1" ht="27.75" customHeight="1">
      <c r="A984" s="331"/>
      <c r="B984" s="702" t="s">
        <v>642</v>
      </c>
      <c r="C984" s="368" t="s">
        <v>415</v>
      </c>
      <c r="D984" s="365"/>
      <c r="E984" s="724"/>
      <c r="F984" s="728"/>
      <c r="G984" s="721"/>
      <c r="H984" s="373" t="s">
        <v>2053</v>
      </c>
      <c r="I984" s="331">
        <v>11</v>
      </c>
      <c r="J984" s="338">
        <v>706.2</v>
      </c>
      <c r="K984" s="374">
        <f t="shared" si="44"/>
        <v>0</v>
      </c>
      <c r="L984" s="374">
        <f t="shared" si="43"/>
        <v>706.2</v>
      </c>
      <c r="M984" s="329"/>
      <c r="N984" s="690"/>
      <c r="O984" s="690"/>
      <c r="P984" s="288"/>
      <c r="Q984" s="288"/>
    </row>
    <row r="985" spans="1:22" s="385" customFormat="1" ht="27.75" customHeight="1">
      <c r="A985" s="331">
        <v>2</v>
      </c>
      <c r="B985" s="702" t="s">
        <v>1657</v>
      </c>
      <c r="C985" s="368" t="s">
        <v>1666</v>
      </c>
      <c r="D985" s="365"/>
      <c r="E985" s="724"/>
      <c r="F985" s="728"/>
      <c r="G985" s="721"/>
      <c r="H985" s="373" t="s">
        <v>2054</v>
      </c>
      <c r="I985" s="331">
        <v>9</v>
      </c>
      <c r="J985" s="338">
        <v>577.79999999999995</v>
      </c>
      <c r="K985" s="374">
        <f t="shared" si="44"/>
        <v>0</v>
      </c>
      <c r="L985" s="374">
        <f t="shared" si="43"/>
        <v>577.79999999999995</v>
      </c>
      <c r="M985" s="329"/>
      <c r="N985" s="690"/>
      <c r="O985" s="690"/>
      <c r="P985" s="288"/>
      <c r="Q985" s="288"/>
    </row>
    <row r="986" spans="1:22" s="385" customFormat="1" ht="27.75" customHeight="1">
      <c r="A986" s="331">
        <v>3</v>
      </c>
      <c r="B986" s="702" t="s">
        <v>644</v>
      </c>
      <c r="C986" s="368" t="s">
        <v>376</v>
      </c>
      <c r="D986" s="365"/>
      <c r="E986" s="724"/>
      <c r="F986" s="728"/>
      <c r="G986" s="721"/>
      <c r="H986" s="373" t="s">
        <v>1598</v>
      </c>
      <c r="I986" s="331">
        <v>17</v>
      </c>
      <c r="J986" s="338">
        <v>1091.4000000000003</v>
      </c>
      <c r="K986" s="374">
        <f t="shared" si="44"/>
        <v>0</v>
      </c>
      <c r="L986" s="374">
        <f t="shared" si="43"/>
        <v>1091.4000000000003</v>
      </c>
      <c r="M986" s="329"/>
      <c r="N986" s="690"/>
      <c r="O986" s="690"/>
      <c r="P986" s="288"/>
      <c r="Q986" s="288"/>
    </row>
    <row r="987" spans="1:22" s="385" customFormat="1" ht="27.75" customHeight="1">
      <c r="A987" s="331"/>
      <c r="B987" s="702" t="s">
        <v>644</v>
      </c>
      <c r="C987" s="368" t="s">
        <v>376</v>
      </c>
      <c r="D987" s="365"/>
      <c r="E987" s="724"/>
      <c r="F987" s="728"/>
      <c r="G987" s="721"/>
      <c r="H987" s="373" t="s">
        <v>2872</v>
      </c>
      <c r="I987" s="331">
        <v>3</v>
      </c>
      <c r="J987" s="338">
        <v>192.6</v>
      </c>
      <c r="K987" s="374">
        <f t="shared" si="44"/>
        <v>0</v>
      </c>
      <c r="L987" s="374">
        <f t="shared" si="43"/>
        <v>192.6</v>
      </c>
      <c r="M987" s="329"/>
      <c r="N987" s="690"/>
      <c r="O987" s="690"/>
      <c r="P987" s="288"/>
      <c r="Q987" s="288"/>
    </row>
    <row r="988" spans="1:22" s="385" customFormat="1" ht="27.75" customHeight="1">
      <c r="A988" s="331"/>
      <c r="B988" s="702" t="s">
        <v>644</v>
      </c>
      <c r="C988" s="368" t="s">
        <v>376</v>
      </c>
      <c r="D988" s="365"/>
      <c r="E988" s="724"/>
      <c r="F988" s="728"/>
      <c r="G988" s="721"/>
      <c r="H988" s="373" t="s">
        <v>2053</v>
      </c>
      <c r="I988" s="331">
        <v>11</v>
      </c>
      <c r="J988" s="338">
        <v>706.2</v>
      </c>
      <c r="K988" s="374">
        <f t="shared" si="44"/>
        <v>0</v>
      </c>
      <c r="L988" s="374">
        <f t="shared" si="43"/>
        <v>706.2</v>
      </c>
      <c r="M988" s="329"/>
      <c r="N988" s="690"/>
      <c r="O988" s="690"/>
      <c r="P988" s="288"/>
      <c r="Q988" s="288"/>
    </row>
    <row r="989" spans="1:22" s="385" customFormat="1" ht="27.75" customHeight="1">
      <c r="A989" s="331">
        <v>4</v>
      </c>
      <c r="B989" s="702" t="s">
        <v>1325</v>
      </c>
      <c r="C989" s="368" t="s">
        <v>1397</v>
      </c>
      <c r="D989" s="365"/>
      <c r="E989" s="724"/>
      <c r="F989" s="728"/>
      <c r="G989" s="721"/>
      <c r="H989" s="373" t="s">
        <v>2057</v>
      </c>
      <c r="I989" s="331">
        <v>10</v>
      </c>
      <c r="J989" s="338">
        <v>642</v>
      </c>
      <c r="K989" s="374">
        <f t="shared" si="44"/>
        <v>0</v>
      </c>
      <c r="L989" s="374">
        <f t="shared" si="43"/>
        <v>642</v>
      </c>
      <c r="M989" s="329"/>
      <c r="N989" s="690"/>
      <c r="O989" s="690"/>
      <c r="P989" s="288"/>
      <c r="Q989" s="288"/>
    </row>
    <row r="990" spans="1:22" s="385" customFormat="1" ht="27.75" customHeight="1">
      <c r="A990" s="331">
        <v>5</v>
      </c>
      <c r="B990" s="702" t="s">
        <v>646</v>
      </c>
      <c r="C990" s="368" t="s">
        <v>1689</v>
      </c>
      <c r="D990" s="365"/>
      <c r="E990" s="724"/>
      <c r="F990" s="728"/>
      <c r="G990" s="721"/>
      <c r="H990" s="373" t="s">
        <v>1639</v>
      </c>
      <c r="I990" s="331">
        <v>19</v>
      </c>
      <c r="J990" s="338">
        <v>1219.8</v>
      </c>
      <c r="K990" s="374">
        <f t="shared" si="44"/>
        <v>0</v>
      </c>
      <c r="L990" s="374">
        <f t="shared" si="43"/>
        <v>1219.8</v>
      </c>
      <c r="M990" s="329"/>
      <c r="N990" s="690"/>
      <c r="O990" s="690"/>
      <c r="P990" s="288"/>
      <c r="Q990" s="288"/>
    </row>
    <row r="991" spans="1:22" s="385" customFormat="1" ht="27.75" customHeight="1">
      <c r="A991" s="331">
        <v>6</v>
      </c>
      <c r="B991" s="702" t="s">
        <v>1547</v>
      </c>
      <c r="C991" s="368" t="s">
        <v>1580</v>
      </c>
      <c r="D991" s="365"/>
      <c r="E991" s="724"/>
      <c r="F991" s="728"/>
      <c r="G991" s="721"/>
      <c r="H991" s="373" t="s">
        <v>2074</v>
      </c>
      <c r="I991" s="331">
        <v>10</v>
      </c>
      <c r="J991" s="338">
        <v>642</v>
      </c>
      <c r="K991" s="374">
        <f t="shared" si="44"/>
        <v>0</v>
      </c>
      <c r="L991" s="374">
        <f t="shared" si="43"/>
        <v>642</v>
      </c>
      <c r="M991" s="329"/>
      <c r="N991" s="690"/>
      <c r="O991" s="690"/>
      <c r="P991" s="288"/>
      <c r="Q991" s="288"/>
    </row>
    <row r="992" spans="1:22" s="385" customFormat="1" ht="27.75" customHeight="1">
      <c r="A992" s="331">
        <v>7</v>
      </c>
      <c r="B992" s="702" t="s">
        <v>649</v>
      </c>
      <c r="C992" s="368" t="s">
        <v>1143</v>
      </c>
      <c r="D992" s="365"/>
      <c r="E992" s="724"/>
      <c r="F992" s="728"/>
      <c r="G992" s="721"/>
      <c r="H992" s="373" t="s">
        <v>1616</v>
      </c>
      <c r="I992" s="331">
        <v>2</v>
      </c>
      <c r="J992" s="338">
        <v>128.4</v>
      </c>
      <c r="K992" s="374">
        <f t="shared" si="44"/>
        <v>0</v>
      </c>
      <c r="L992" s="374">
        <f t="shared" si="43"/>
        <v>128.4</v>
      </c>
      <c r="M992" s="329"/>
      <c r="N992" s="690"/>
      <c r="O992" s="690"/>
      <c r="P992" s="288"/>
      <c r="Q992" s="288"/>
    </row>
    <row r="993" spans="1:17" s="385" customFormat="1" ht="27.75" customHeight="1">
      <c r="A993" s="331"/>
      <c r="B993" s="702" t="s">
        <v>649</v>
      </c>
      <c r="C993" s="368" t="s">
        <v>1143</v>
      </c>
      <c r="D993" s="365"/>
      <c r="E993" s="724"/>
      <c r="F993" s="728"/>
      <c r="G993" s="721"/>
      <c r="H993" s="373" t="s">
        <v>2082</v>
      </c>
      <c r="I993" s="331">
        <v>8</v>
      </c>
      <c r="J993" s="338">
        <v>513.6</v>
      </c>
      <c r="K993" s="374">
        <f t="shared" si="44"/>
        <v>0</v>
      </c>
      <c r="L993" s="374">
        <f t="shared" si="43"/>
        <v>513.6</v>
      </c>
      <c r="M993" s="329"/>
      <c r="N993" s="690"/>
      <c r="O993" s="690"/>
      <c r="P993" s="288"/>
      <c r="Q993" s="288"/>
    </row>
    <row r="994" spans="1:17" s="385" customFormat="1" ht="27.75" customHeight="1">
      <c r="A994" s="331">
        <v>8</v>
      </c>
      <c r="B994" s="702" t="s">
        <v>650</v>
      </c>
      <c r="C994" s="368" t="s">
        <v>378</v>
      </c>
      <c r="D994" s="365"/>
      <c r="E994" s="724"/>
      <c r="F994" s="728"/>
      <c r="G994" s="721"/>
      <c r="H994" s="373" t="s">
        <v>1155</v>
      </c>
      <c r="I994" s="331">
        <v>21</v>
      </c>
      <c r="J994" s="338">
        <v>1412.4000000000005</v>
      </c>
      <c r="K994" s="374">
        <f t="shared" si="44"/>
        <v>0</v>
      </c>
      <c r="L994" s="374">
        <f t="shared" si="43"/>
        <v>1412.4000000000005</v>
      </c>
      <c r="M994" s="329"/>
      <c r="N994" s="690"/>
      <c r="O994" s="690"/>
      <c r="P994" s="288"/>
      <c r="Q994" s="288"/>
    </row>
    <row r="995" spans="1:17" s="385" customFormat="1" ht="27.75" customHeight="1">
      <c r="A995" s="331"/>
      <c r="B995" s="702" t="s">
        <v>650</v>
      </c>
      <c r="C995" s="368" t="s">
        <v>378</v>
      </c>
      <c r="D995" s="365"/>
      <c r="E995" s="724"/>
      <c r="F995" s="728"/>
      <c r="G995" s="721"/>
      <c r="H995" s="373" t="s">
        <v>2053</v>
      </c>
      <c r="I995" s="331">
        <v>11</v>
      </c>
      <c r="J995" s="338">
        <v>706.2</v>
      </c>
      <c r="K995" s="374">
        <f t="shared" si="44"/>
        <v>0</v>
      </c>
      <c r="L995" s="374">
        <f t="shared" si="43"/>
        <v>706.2</v>
      </c>
      <c r="M995" s="329"/>
      <c r="N995" s="690"/>
      <c r="O995" s="690"/>
      <c r="P995" s="288"/>
      <c r="Q995" s="288"/>
    </row>
    <row r="996" spans="1:17" s="385" customFormat="1" ht="27.75" customHeight="1">
      <c r="A996" s="331">
        <v>9</v>
      </c>
      <c r="B996" s="702" t="s">
        <v>1825</v>
      </c>
      <c r="C996" s="368" t="s">
        <v>1184</v>
      </c>
      <c r="D996" s="365"/>
      <c r="E996" s="724"/>
      <c r="F996" s="728"/>
      <c r="G996" s="721"/>
      <c r="H996" s="373" t="s">
        <v>2083</v>
      </c>
      <c r="I996" s="331">
        <v>13</v>
      </c>
      <c r="J996" s="338">
        <v>834.6</v>
      </c>
      <c r="K996" s="374">
        <f t="shared" si="44"/>
        <v>0</v>
      </c>
      <c r="L996" s="374">
        <f t="shared" si="43"/>
        <v>834.6</v>
      </c>
      <c r="M996" s="329"/>
      <c r="N996" s="690"/>
      <c r="O996" s="690"/>
      <c r="P996" s="288"/>
      <c r="Q996" s="288"/>
    </row>
    <row r="997" spans="1:17" s="385" customFormat="1" ht="27.75" customHeight="1">
      <c r="A997" s="331">
        <v>10</v>
      </c>
      <c r="B997" s="702" t="s">
        <v>1680</v>
      </c>
      <c r="C997" s="368" t="s">
        <v>1686</v>
      </c>
      <c r="D997" s="365"/>
      <c r="E997" s="724"/>
      <c r="F997" s="728"/>
      <c r="G997" s="721"/>
      <c r="H997" s="373" t="s">
        <v>1687</v>
      </c>
      <c r="I997" s="331">
        <v>23</v>
      </c>
      <c r="J997" s="338">
        <v>1476.6</v>
      </c>
      <c r="K997" s="374">
        <f t="shared" si="44"/>
        <v>0</v>
      </c>
      <c r="L997" s="374">
        <f t="shared" si="43"/>
        <v>1476.6</v>
      </c>
      <c r="M997" s="329"/>
      <c r="N997" s="690"/>
      <c r="O997" s="690"/>
      <c r="P997" s="288"/>
      <c r="Q997" s="288"/>
    </row>
    <row r="998" spans="1:17" s="385" customFormat="1" ht="27.75" customHeight="1">
      <c r="A998" s="331">
        <v>11</v>
      </c>
      <c r="B998" s="702" t="s">
        <v>651</v>
      </c>
      <c r="C998" s="368" t="s">
        <v>379</v>
      </c>
      <c r="D998" s="365"/>
      <c r="E998" s="724"/>
      <c r="F998" s="728"/>
      <c r="G998" s="721"/>
      <c r="H998" s="373" t="s">
        <v>2084</v>
      </c>
      <c r="I998" s="331">
        <v>20</v>
      </c>
      <c r="J998" s="338">
        <v>1348.2</v>
      </c>
      <c r="K998" s="374">
        <f t="shared" si="44"/>
        <v>0</v>
      </c>
      <c r="L998" s="374">
        <f t="shared" si="43"/>
        <v>1348.2</v>
      </c>
      <c r="M998" s="329"/>
      <c r="N998" s="690"/>
      <c r="O998" s="690"/>
      <c r="P998" s="288"/>
      <c r="Q998" s="288"/>
    </row>
    <row r="999" spans="1:17" s="385" customFormat="1" ht="27.75" customHeight="1">
      <c r="A999" s="331"/>
      <c r="B999" s="702" t="s">
        <v>651</v>
      </c>
      <c r="C999" s="368" t="s">
        <v>379</v>
      </c>
      <c r="D999" s="365"/>
      <c r="E999" s="724"/>
      <c r="F999" s="728"/>
      <c r="G999" s="721"/>
      <c r="H999" s="373" t="s">
        <v>2053</v>
      </c>
      <c r="I999" s="331">
        <v>11</v>
      </c>
      <c r="J999" s="338">
        <v>706.2</v>
      </c>
      <c r="K999" s="374">
        <f t="shared" si="44"/>
        <v>0</v>
      </c>
      <c r="L999" s="374">
        <f t="shared" si="43"/>
        <v>706.2</v>
      </c>
      <c r="M999" s="329"/>
      <c r="N999" s="690"/>
      <c r="O999" s="690"/>
      <c r="P999" s="288"/>
      <c r="Q999" s="288"/>
    </row>
    <row r="1000" spans="1:17" s="385" customFormat="1" ht="27.75" customHeight="1">
      <c r="A1000" s="331">
        <v>12</v>
      </c>
      <c r="B1000" s="702" t="s">
        <v>652</v>
      </c>
      <c r="C1000" s="368" t="s">
        <v>416</v>
      </c>
      <c r="D1000" s="365"/>
      <c r="E1000" s="724"/>
      <c r="F1000" s="728"/>
      <c r="G1000" s="721"/>
      <c r="H1000" s="373" t="s">
        <v>1155</v>
      </c>
      <c r="I1000" s="331">
        <v>21</v>
      </c>
      <c r="J1000" s="338">
        <v>1348.2</v>
      </c>
      <c r="K1000" s="374">
        <f t="shared" si="44"/>
        <v>0</v>
      </c>
      <c r="L1000" s="374">
        <f t="shared" si="43"/>
        <v>1348.2</v>
      </c>
      <c r="M1000" s="329"/>
      <c r="N1000" s="690"/>
      <c r="O1000" s="690"/>
      <c r="P1000" s="288"/>
      <c r="Q1000" s="288"/>
    </row>
    <row r="1001" spans="1:17" s="385" customFormat="1" ht="27.75" customHeight="1">
      <c r="A1001" s="331"/>
      <c r="B1001" s="702" t="s">
        <v>652</v>
      </c>
      <c r="C1001" s="368" t="s">
        <v>416</v>
      </c>
      <c r="D1001" s="365"/>
      <c r="E1001" s="724"/>
      <c r="F1001" s="728"/>
      <c r="G1001" s="721"/>
      <c r="H1001" s="373" t="s">
        <v>2054</v>
      </c>
      <c r="I1001" s="331">
        <v>9</v>
      </c>
      <c r="J1001" s="338">
        <v>577.79999999999995</v>
      </c>
      <c r="K1001" s="374">
        <f t="shared" si="44"/>
        <v>0</v>
      </c>
      <c r="L1001" s="374">
        <f t="shared" si="43"/>
        <v>577.79999999999995</v>
      </c>
      <c r="M1001" s="329"/>
      <c r="N1001" s="690"/>
      <c r="O1001" s="690"/>
      <c r="P1001" s="288"/>
      <c r="Q1001" s="288"/>
    </row>
    <row r="1002" spans="1:17" s="385" customFormat="1" ht="27.75" customHeight="1">
      <c r="A1002" s="331">
        <v>13</v>
      </c>
      <c r="B1002" s="702" t="s">
        <v>1683</v>
      </c>
      <c r="C1002" s="368" t="s">
        <v>1688</v>
      </c>
      <c r="D1002" s="365"/>
      <c r="E1002" s="724"/>
      <c r="F1002" s="728"/>
      <c r="G1002" s="721"/>
      <c r="H1002" s="373" t="s">
        <v>1193</v>
      </c>
      <c r="I1002" s="331">
        <v>18</v>
      </c>
      <c r="J1002" s="338">
        <v>1155.5999999999999</v>
      </c>
      <c r="K1002" s="374">
        <f t="shared" si="44"/>
        <v>0</v>
      </c>
      <c r="L1002" s="374">
        <f t="shared" si="43"/>
        <v>1155.5999999999999</v>
      </c>
      <c r="M1002" s="329"/>
      <c r="N1002" s="690"/>
      <c r="O1002" s="690"/>
      <c r="P1002" s="288"/>
      <c r="Q1002" s="288"/>
    </row>
    <row r="1003" spans="1:17" s="385" customFormat="1" ht="27.75" customHeight="1">
      <c r="A1003" s="331">
        <v>14</v>
      </c>
      <c r="B1003" s="702" t="s">
        <v>1327</v>
      </c>
      <c r="C1003" s="368" t="s">
        <v>1398</v>
      </c>
      <c r="D1003" s="365"/>
      <c r="E1003" s="724"/>
      <c r="F1003" s="728"/>
      <c r="G1003" s="721"/>
      <c r="H1003" s="373" t="s">
        <v>2053</v>
      </c>
      <c r="I1003" s="331">
        <v>11</v>
      </c>
      <c r="J1003" s="338">
        <v>706.2</v>
      </c>
      <c r="K1003" s="374">
        <f t="shared" si="44"/>
        <v>0</v>
      </c>
      <c r="L1003" s="374">
        <f t="shared" si="43"/>
        <v>706.2</v>
      </c>
      <c r="M1003" s="329"/>
      <c r="N1003" s="690"/>
      <c r="O1003" s="690"/>
      <c r="P1003" s="288"/>
      <c r="Q1003" s="288"/>
    </row>
    <row r="1004" spans="1:17" s="385" customFormat="1" ht="27.75" customHeight="1">
      <c r="A1004" s="331">
        <v>15</v>
      </c>
      <c r="B1004" s="702" t="s">
        <v>757</v>
      </c>
      <c r="C1004" s="368" t="s">
        <v>1690</v>
      </c>
      <c r="D1004" s="365"/>
      <c r="E1004" s="724"/>
      <c r="F1004" s="728"/>
      <c r="G1004" s="721"/>
      <c r="H1004" s="373" t="s">
        <v>1139</v>
      </c>
      <c r="I1004" s="331">
        <v>9</v>
      </c>
      <c r="J1004" s="338">
        <v>577.79999999999995</v>
      </c>
      <c r="K1004" s="374">
        <f t="shared" si="44"/>
        <v>0</v>
      </c>
      <c r="L1004" s="374">
        <f t="shared" si="43"/>
        <v>577.79999999999995</v>
      </c>
      <c r="M1004" s="329"/>
      <c r="N1004" s="690"/>
      <c r="O1004" s="690"/>
      <c r="P1004" s="288"/>
      <c r="Q1004" s="288"/>
    </row>
    <row r="1005" spans="1:17" s="385" customFormat="1" ht="27.75" customHeight="1">
      <c r="A1005" s="331">
        <v>16</v>
      </c>
      <c r="B1005" s="702" t="s">
        <v>1329</v>
      </c>
      <c r="C1005" s="368" t="s">
        <v>1399</v>
      </c>
      <c r="D1005" s="365"/>
      <c r="E1005" s="724"/>
      <c r="F1005" s="728"/>
      <c r="G1005" s="721"/>
      <c r="H1005" s="373" t="s">
        <v>2053</v>
      </c>
      <c r="I1005" s="331">
        <v>11</v>
      </c>
      <c r="J1005" s="338">
        <v>706.2</v>
      </c>
      <c r="K1005" s="374">
        <f t="shared" si="44"/>
        <v>0</v>
      </c>
      <c r="L1005" s="374">
        <f t="shared" si="43"/>
        <v>706.2</v>
      </c>
      <c r="M1005" s="329"/>
      <c r="N1005" s="690"/>
      <c r="O1005" s="690"/>
      <c r="P1005" s="288"/>
      <c r="Q1005" s="288"/>
    </row>
    <row r="1006" spans="1:17" s="385" customFormat="1" ht="27.75" customHeight="1">
      <c r="A1006" s="331">
        <v>17</v>
      </c>
      <c r="B1006" s="702" t="s">
        <v>1012</v>
      </c>
      <c r="C1006" s="368" t="s">
        <v>418</v>
      </c>
      <c r="D1006" s="365"/>
      <c r="E1006" s="724"/>
      <c r="F1006" s="728"/>
      <c r="G1006" s="721"/>
      <c r="H1006" s="373" t="s">
        <v>1598</v>
      </c>
      <c r="I1006" s="331">
        <v>17</v>
      </c>
      <c r="J1006" s="338">
        <v>1348.2000000000005</v>
      </c>
      <c r="K1006" s="374">
        <f t="shared" si="44"/>
        <v>0</v>
      </c>
      <c r="L1006" s="374">
        <f t="shared" si="43"/>
        <v>1348.2000000000005</v>
      </c>
      <c r="M1006" s="329"/>
      <c r="N1006" s="690"/>
      <c r="O1006" s="690"/>
      <c r="P1006" s="288"/>
      <c r="Q1006" s="288"/>
    </row>
    <row r="1007" spans="1:17" s="385" customFormat="1" ht="27.75" customHeight="1">
      <c r="A1007" s="331"/>
      <c r="B1007" s="702" t="s">
        <v>1012</v>
      </c>
      <c r="C1007" s="368" t="s">
        <v>418</v>
      </c>
      <c r="D1007" s="290"/>
      <c r="E1007" s="724"/>
      <c r="F1007" s="728"/>
      <c r="G1007" s="721"/>
      <c r="H1007" s="373" t="s">
        <v>2872</v>
      </c>
      <c r="I1007" s="331">
        <v>3</v>
      </c>
      <c r="J1007" s="338">
        <v>192.6</v>
      </c>
      <c r="K1007" s="374">
        <f t="shared" si="44"/>
        <v>0</v>
      </c>
      <c r="L1007" s="374">
        <f t="shared" si="43"/>
        <v>192.6</v>
      </c>
      <c r="M1007" s="329"/>
      <c r="N1007" s="690"/>
      <c r="O1007" s="690"/>
      <c r="P1007" s="288"/>
      <c r="Q1007" s="288"/>
    </row>
    <row r="1008" spans="1:17" s="385" customFormat="1" ht="27.75" customHeight="1">
      <c r="A1008" s="331"/>
      <c r="B1008" s="702" t="s">
        <v>1012</v>
      </c>
      <c r="C1008" s="368" t="s">
        <v>418</v>
      </c>
      <c r="D1008" s="290"/>
      <c r="E1008" s="724"/>
      <c r="F1008" s="728"/>
      <c r="G1008" s="721"/>
      <c r="H1008" s="373" t="s">
        <v>2054</v>
      </c>
      <c r="I1008" s="331">
        <v>9</v>
      </c>
      <c r="J1008" s="338">
        <v>577.79999999999995</v>
      </c>
      <c r="K1008" s="374">
        <f t="shared" si="44"/>
        <v>0</v>
      </c>
      <c r="L1008" s="374">
        <f t="shared" si="43"/>
        <v>577.79999999999995</v>
      </c>
      <c r="M1008" s="329"/>
      <c r="N1008" s="690"/>
      <c r="O1008" s="690"/>
      <c r="P1008" s="288"/>
      <c r="Q1008" s="288"/>
    </row>
    <row r="1009" spans="1:17" s="385" customFormat="1" ht="27.75" customHeight="1">
      <c r="A1009" s="331">
        <v>18</v>
      </c>
      <c r="B1009" s="702" t="s">
        <v>1013</v>
      </c>
      <c r="C1009" s="368" t="s">
        <v>1691</v>
      </c>
      <c r="D1009" s="365"/>
      <c r="E1009" s="724"/>
      <c r="F1009" s="728"/>
      <c r="G1009" s="721"/>
      <c r="H1009" s="373" t="s">
        <v>1160</v>
      </c>
      <c r="I1009" s="331">
        <v>13</v>
      </c>
      <c r="J1009" s="338">
        <v>834.6</v>
      </c>
      <c r="K1009" s="374">
        <f t="shared" si="44"/>
        <v>0</v>
      </c>
      <c r="L1009" s="374">
        <f t="shared" si="43"/>
        <v>834.6</v>
      </c>
      <c r="M1009" s="329"/>
      <c r="N1009" s="690"/>
      <c r="O1009" s="690"/>
      <c r="P1009" s="288"/>
      <c r="Q1009" s="288"/>
    </row>
    <row r="1010" spans="1:17" s="385" customFormat="1" ht="27.75" customHeight="1">
      <c r="A1010" s="331">
        <v>19</v>
      </c>
      <c r="B1010" s="702" t="s">
        <v>658</v>
      </c>
      <c r="C1010" s="368" t="s">
        <v>382</v>
      </c>
      <c r="D1010" s="365"/>
      <c r="E1010" s="724"/>
      <c r="F1010" s="728"/>
      <c r="G1010" s="721"/>
      <c r="H1010" s="373" t="s">
        <v>1018</v>
      </c>
      <c r="I1010" s="331">
        <v>14</v>
      </c>
      <c r="J1010" s="338">
        <v>898.8000000000003</v>
      </c>
      <c r="K1010" s="374">
        <f t="shared" si="44"/>
        <v>0</v>
      </c>
      <c r="L1010" s="374">
        <f t="shared" si="43"/>
        <v>898.8000000000003</v>
      </c>
      <c r="M1010" s="329"/>
      <c r="N1010" s="690"/>
      <c r="O1010" s="690"/>
      <c r="P1010" s="288"/>
      <c r="Q1010" s="288"/>
    </row>
    <row r="1011" spans="1:17" s="385" customFormat="1" ht="27.75" customHeight="1">
      <c r="A1011" s="331"/>
      <c r="B1011" s="702" t="s">
        <v>658</v>
      </c>
      <c r="C1011" s="368" t="s">
        <v>382</v>
      </c>
      <c r="D1011" s="365"/>
      <c r="E1011" s="724"/>
      <c r="F1011" s="728"/>
      <c r="G1011" s="721"/>
      <c r="H1011" s="373" t="s">
        <v>2875</v>
      </c>
      <c r="I1011" s="331">
        <v>2</v>
      </c>
      <c r="J1011" s="338">
        <v>128.4</v>
      </c>
      <c r="K1011" s="374">
        <f t="shared" si="44"/>
        <v>0</v>
      </c>
      <c r="L1011" s="374">
        <f t="shared" si="43"/>
        <v>128.4</v>
      </c>
      <c r="M1011" s="329"/>
      <c r="N1011" s="690"/>
      <c r="O1011" s="690"/>
      <c r="P1011" s="288"/>
      <c r="Q1011" s="288"/>
    </row>
    <row r="1012" spans="1:17" s="385" customFormat="1" ht="27.75" customHeight="1">
      <c r="A1012" s="331"/>
      <c r="B1012" s="702" t="s">
        <v>658</v>
      </c>
      <c r="C1012" s="368" t="s">
        <v>382</v>
      </c>
      <c r="D1012" s="365"/>
      <c r="E1012" s="724"/>
      <c r="F1012" s="728"/>
      <c r="G1012" s="721"/>
      <c r="H1012" s="373" t="s">
        <v>2054</v>
      </c>
      <c r="I1012" s="331">
        <v>9</v>
      </c>
      <c r="J1012" s="338">
        <v>577.79999999999995</v>
      </c>
      <c r="K1012" s="374">
        <f t="shared" si="44"/>
        <v>0</v>
      </c>
      <c r="L1012" s="374">
        <f t="shared" si="43"/>
        <v>577.79999999999995</v>
      </c>
      <c r="M1012" s="329"/>
      <c r="N1012" s="690"/>
      <c r="O1012" s="690"/>
      <c r="P1012" s="288"/>
      <c r="Q1012" s="288"/>
    </row>
    <row r="1013" spans="1:17" s="385" customFormat="1" ht="27.75" customHeight="1">
      <c r="A1013" s="331">
        <v>20</v>
      </c>
      <c r="B1013" s="702" t="s">
        <v>659</v>
      </c>
      <c r="C1013" s="368" t="s">
        <v>419</v>
      </c>
      <c r="D1013" s="365"/>
      <c r="E1013" s="724"/>
      <c r="F1013" s="728"/>
      <c r="G1013" s="721"/>
      <c r="H1013" s="373" t="s">
        <v>1628</v>
      </c>
      <c r="I1013" s="331">
        <v>10</v>
      </c>
      <c r="J1013" s="338">
        <v>642</v>
      </c>
      <c r="K1013" s="374">
        <f t="shared" si="44"/>
        <v>0</v>
      </c>
      <c r="L1013" s="374">
        <f t="shared" si="43"/>
        <v>642</v>
      </c>
      <c r="M1013" s="329"/>
      <c r="N1013" s="690"/>
      <c r="O1013" s="690"/>
      <c r="P1013" s="288"/>
      <c r="Q1013" s="288"/>
    </row>
    <row r="1014" spans="1:17" s="385" customFormat="1" ht="27.75" customHeight="1">
      <c r="A1014" s="331"/>
      <c r="B1014" s="702" t="s">
        <v>659</v>
      </c>
      <c r="C1014" s="368" t="s">
        <v>419</v>
      </c>
      <c r="D1014" s="365"/>
      <c r="E1014" s="724"/>
      <c r="F1014" s="728"/>
      <c r="G1014" s="721"/>
      <c r="H1014" s="373" t="s">
        <v>2871</v>
      </c>
      <c r="I1014" s="331">
        <v>2</v>
      </c>
      <c r="J1014" s="338">
        <v>128.4</v>
      </c>
      <c r="K1014" s="374">
        <f t="shared" ref="K1014:K1077" si="45">G1014*11.54/100</f>
        <v>0</v>
      </c>
      <c r="L1014" s="374">
        <f t="shared" si="43"/>
        <v>128.4</v>
      </c>
      <c r="M1014" s="329"/>
      <c r="N1014" s="690"/>
      <c r="O1014" s="690"/>
      <c r="P1014" s="288"/>
      <c r="Q1014" s="288"/>
    </row>
    <row r="1015" spans="1:17" s="385" customFormat="1" ht="27.75" customHeight="1">
      <c r="A1015" s="331"/>
      <c r="B1015" s="702" t="s">
        <v>659</v>
      </c>
      <c r="C1015" s="368" t="s">
        <v>419</v>
      </c>
      <c r="D1015" s="365"/>
      <c r="E1015" s="724"/>
      <c r="F1015" s="728"/>
      <c r="G1015" s="721"/>
      <c r="H1015" s="373" t="s">
        <v>2054</v>
      </c>
      <c r="I1015" s="331">
        <v>9</v>
      </c>
      <c r="J1015" s="338">
        <v>577.79999999999995</v>
      </c>
      <c r="K1015" s="374">
        <f t="shared" si="45"/>
        <v>0</v>
      </c>
      <c r="L1015" s="374">
        <f t="shared" si="43"/>
        <v>577.79999999999995</v>
      </c>
      <c r="M1015" s="329"/>
      <c r="N1015" s="690"/>
      <c r="O1015" s="690"/>
      <c r="P1015" s="288"/>
      <c r="Q1015" s="288"/>
    </row>
    <row r="1016" spans="1:17" s="385" customFormat="1" ht="27.75" customHeight="1">
      <c r="A1016" s="331">
        <v>21</v>
      </c>
      <c r="B1016" s="702" t="s">
        <v>1660</v>
      </c>
      <c r="C1016" s="368" t="s">
        <v>1668</v>
      </c>
      <c r="D1016" s="365"/>
      <c r="E1016" s="724"/>
      <c r="F1016" s="728"/>
      <c r="G1016" s="721"/>
      <c r="H1016" s="373" t="s">
        <v>2054</v>
      </c>
      <c r="I1016" s="331">
        <v>9</v>
      </c>
      <c r="J1016" s="338">
        <v>577.79999999999995</v>
      </c>
      <c r="K1016" s="374">
        <f t="shared" si="45"/>
        <v>0</v>
      </c>
      <c r="L1016" s="374">
        <f t="shared" si="43"/>
        <v>577.79999999999995</v>
      </c>
      <c r="M1016" s="329"/>
      <c r="N1016" s="690"/>
      <c r="O1016" s="690"/>
      <c r="P1016" s="288"/>
      <c r="Q1016" s="288"/>
    </row>
    <row r="1017" spans="1:17" s="385" customFormat="1" ht="27.75" customHeight="1">
      <c r="A1017" s="331">
        <v>22</v>
      </c>
      <c r="B1017" s="702" t="s">
        <v>1755</v>
      </c>
      <c r="C1017" s="368" t="s">
        <v>1757</v>
      </c>
      <c r="D1017" s="365"/>
      <c r="E1017" s="724"/>
      <c r="F1017" s="728"/>
      <c r="G1017" s="721"/>
      <c r="H1017" s="373" t="s">
        <v>1155</v>
      </c>
      <c r="I1017" s="331">
        <v>21</v>
      </c>
      <c r="J1017" s="338">
        <v>1348.2000000000005</v>
      </c>
      <c r="K1017" s="374">
        <f t="shared" si="45"/>
        <v>0</v>
      </c>
      <c r="L1017" s="374">
        <f t="shared" si="43"/>
        <v>1348.2000000000005</v>
      </c>
      <c r="M1017" s="329"/>
      <c r="N1017" s="690"/>
      <c r="O1017" s="690"/>
      <c r="P1017" s="288"/>
      <c r="Q1017" s="288"/>
    </row>
    <row r="1018" spans="1:17" s="385" customFormat="1" ht="27.75" customHeight="1">
      <c r="A1018" s="331">
        <v>23</v>
      </c>
      <c r="B1018" s="702" t="s">
        <v>758</v>
      </c>
      <c r="C1018" s="368" t="s">
        <v>1581</v>
      </c>
      <c r="D1018" s="365"/>
      <c r="E1018" s="724"/>
      <c r="F1018" s="728"/>
      <c r="G1018" s="721"/>
      <c r="H1018" s="373" t="s">
        <v>2074</v>
      </c>
      <c r="I1018" s="331">
        <v>10</v>
      </c>
      <c r="J1018" s="338">
        <v>642</v>
      </c>
      <c r="K1018" s="374">
        <f t="shared" si="45"/>
        <v>0</v>
      </c>
      <c r="L1018" s="374">
        <f t="shared" ref="L1018:L1081" si="46">+J1018</f>
        <v>642</v>
      </c>
      <c r="M1018" s="329"/>
      <c r="N1018" s="690"/>
      <c r="O1018" s="690"/>
      <c r="P1018" s="288"/>
      <c r="Q1018" s="288"/>
    </row>
    <row r="1019" spans="1:17" s="385" customFormat="1" ht="27.75" customHeight="1">
      <c r="A1019" s="331">
        <v>24</v>
      </c>
      <c r="B1019" s="702" t="s">
        <v>660</v>
      </c>
      <c r="C1019" s="368" t="s">
        <v>420</v>
      </c>
      <c r="D1019" s="365"/>
      <c r="E1019" s="724"/>
      <c r="F1019" s="728"/>
      <c r="G1019" s="721"/>
      <c r="H1019" s="373" t="s">
        <v>1600</v>
      </c>
      <c r="I1019" s="331">
        <v>3</v>
      </c>
      <c r="J1019" s="338">
        <v>192.6</v>
      </c>
      <c r="K1019" s="374">
        <f t="shared" si="45"/>
        <v>0</v>
      </c>
      <c r="L1019" s="374">
        <f t="shared" si="46"/>
        <v>192.6</v>
      </c>
      <c r="M1019" s="329"/>
      <c r="N1019" s="690"/>
      <c r="O1019" s="690"/>
      <c r="P1019" s="288"/>
      <c r="Q1019" s="288"/>
    </row>
    <row r="1020" spans="1:17" s="385" customFormat="1" ht="27.75" customHeight="1">
      <c r="A1020" s="331"/>
      <c r="B1020" s="702" t="s">
        <v>660</v>
      </c>
      <c r="C1020" s="368" t="s">
        <v>420</v>
      </c>
      <c r="D1020" s="365"/>
      <c r="E1020" s="724"/>
      <c r="F1020" s="728"/>
      <c r="G1020" s="721"/>
      <c r="H1020" s="373" t="s">
        <v>2054</v>
      </c>
      <c r="I1020" s="331">
        <v>9</v>
      </c>
      <c r="J1020" s="338">
        <v>577.79999999999995</v>
      </c>
      <c r="K1020" s="374">
        <f t="shared" si="45"/>
        <v>0</v>
      </c>
      <c r="L1020" s="374">
        <f t="shared" si="46"/>
        <v>577.79999999999995</v>
      </c>
      <c r="M1020" s="329"/>
      <c r="N1020" s="690"/>
      <c r="O1020" s="690"/>
      <c r="P1020" s="288"/>
      <c r="Q1020" s="288"/>
    </row>
    <row r="1021" spans="1:17" s="385" customFormat="1" ht="27.75" customHeight="1">
      <c r="A1021" s="331">
        <v>25</v>
      </c>
      <c r="B1021" s="702" t="s">
        <v>661</v>
      </c>
      <c r="C1021" s="368" t="s">
        <v>1400</v>
      </c>
      <c r="D1021" s="365"/>
      <c r="E1021" s="724"/>
      <c r="F1021" s="728"/>
      <c r="G1021" s="721"/>
      <c r="H1021" s="373" t="s">
        <v>2053</v>
      </c>
      <c r="I1021" s="331">
        <v>11</v>
      </c>
      <c r="J1021" s="338">
        <v>706.2</v>
      </c>
      <c r="K1021" s="374">
        <f t="shared" si="45"/>
        <v>0</v>
      </c>
      <c r="L1021" s="374">
        <f t="shared" si="46"/>
        <v>706.2</v>
      </c>
      <c r="M1021" s="329"/>
      <c r="N1021" s="690"/>
      <c r="O1021" s="690"/>
      <c r="P1021" s="288"/>
      <c r="Q1021" s="288"/>
    </row>
    <row r="1022" spans="1:17" s="385" customFormat="1" ht="27.75" customHeight="1">
      <c r="A1022" s="331">
        <v>26</v>
      </c>
      <c r="B1022" s="702" t="s">
        <v>662</v>
      </c>
      <c r="C1022" s="368" t="s">
        <v>421</v>
      </c>
      <c r="D1022" s="365"/>
      <c r="E1022" s="724"/>
      <c r="F1022" s="728"/>
      <c r="G1022" s="721"/>
      <c r="H1022" s="373" t="s">
        <v>1155</v>
      </c>
      <c r="I1022" s="331">
        <v>21</v>
      </c>
      <c r="J1022" s="338">
        <v>1348.2</v>
      </c>
      <c r="K1022" s="374">
        <f t="shared" si="45"/>
        <v>0</v>
      </c>
      <c r="L1022" s="374">
        <f t="shared" si="46"/>
        <v>1348.2</v>
      </c>
      <c r="M1022" s="329"/>
      <c r="N1022" s="690"/>
      <c r="O1022" s="690"/>
      <c r="P1022" s="288"/>
      <c r="Q1022" s="288"/>
    </row>
    <row r="1023" spans="1:17" s="385" customFormat="1" ht="27.75" customHeight="1">
      <c r="A1023" s="331"/>
      <c r="B1023" s="702" t="s">
        <v>662</v>
      </c>
      <c r="C1023" s="368" t="s">
        <v>421</v>
      </c>
      <c r="D1023" s="365"/>
      <c r="E1023" s="724"/>
      <c r="F1023" s="728"/>
      <c r="G1023" s="721"/>
      <c r="H1023" s="373" t="s">
        <v>2054</v>
      </c>
      <c r="I1023" s="331">
        <v>9</v>
      </c>
      <c r="J1023" s="338">
        <v>577.79999999999995</v>
      </c>
      <c r="K1023" s="374">
        <f t="shared" si="45"/>
        <v>0</v>
      </c>
      <c r="L1023" s="374">
        <f t="shared" si="46"/>
        <v>577.79999999999995</v>
      </c>
      <c r="M1023" s="329"/>
      <c r="N1023" s="690"/>
      <c r="O1023" s="690"/>
      <c r="P1023" s="288"/>
      <c r="Q1023" s="288"/>
    </row>
    <row r="1024" spans="1:17" s="385" customFormat="1" ht="27.75" customHeight="1">
      <c r="A1024" s="331">
        <v>27</v>
      </c>
      <c r="B1024" s="702" t="s">
        <v>1019</v>
      </c>
      <c r="C1024" s="368" t="s">
        <v>1185</v>
      </c>
      <c r="D1024" s="365"/>
      <c r="E1024" s="724"/>
      <c r="F1024" s="728"/>
      <c r="G1024" s="721"/>
      <c r="H1024" s="373" t="s">
        <v>1630</v>
      </c>
      <c r="I1024" s="331">
        <v>1</v>
      </c>
      <c r="J1024" s="338">
        <v>64.2</v>
      </c>
      <c r="K1024" s="374">
        <f t="shared" si="45"/>
        <v>0</v>
      </c>
      <c r="L1024" s="374">
        <f t="shared" si="46"/>
        <v>64.2</v>
      </c>
      <c r="M1024" s="329"/>
      <c r="N1024" s="690"/>
      <c r="O1024" s="690"/>
      <c r="P1024" s="288"/>
      <c r="Q1024" s="288"/>
    </row>
    <row r="1025" spans="1:17" s="385" customFormat="1" ht="27.6" customHeight="1">
      <c r="A1025" s="331"/>
      <c r="B1025" s="702" t="s">
        <v>1019</v>
      </c>
      <c r="C1025" s="368" t="s">
        <v>1185</v>
      </c>
      <c r="D1025" s="365"/>
      <c r="E1025" s="724"/>
      <c r="F1025" s="728"/>
      <c r="G1025" s="721"/>
      <c r="H1025" s="373" t="s">
        <v>2053</v>
      </c>
      <c r="I1025" s="331">
        <v>11</v>
      </c>
      <c r="J1025" s="338">
        <v>706.2</v>
      </c>
      <c r="K1025" s="374">
        <f t="shared" si="45"/>
        <v>0</v>
      </c>
      <c r="L1025" s="374">
        <f t="shared" si="46"/>
        <v>706.2</v>
      </c>
      <c r="M1025" s="329"/>
      <c r="N1025" s="690"/>
      <c r="O1025" s="690"/>
      <c r="P1025" s="288"/>
      <c r="Q1025" s="288"/>
    </row>
    <row r="1026" spans="1:17" s="385" customFormat="1" ht="27.75" customHeight="1">
      <c r="A1026" s="331">
        <v>28</v>
      </c>
      <c r="B1026" s="702" t="s">
        <v>1162</v>
      </c>
      <c r="C1026" s="368" t="s">
        <v>1186</v>
      </c>
      <c r="D1026" s="365"/>
      <c r="E1026" s="724"/>
      <c r="F1026" s="728"/>
      <c r="G1026" s="721"/>
      <c r="H1026" s="373" t="s">
        <v>2083</v>
      </c>
      <c r="I1026" s="331">
        <v>13</v>
      </c>
      <c r="J1026" s="338">
        <v>834.6</v>
      </c>
      <c r="K1026" s="374">
        <f t="shared" si="45"/>
        <v>0</v>
      </c>
      <c r="L1026" s="374">
        <f t="shared" si="46"/>
        <v>834.6</v>
      </c>
      <c r="M1026" s="329"/>
      <c r="N1026" s="690"/>
      <c r="O1026" s="690"/>
      <c r="P1026" s="288"/>
      <c r="Q1026" s="288"/>
    </row>
    <row r="1027" spans="1:17" s="385" customFormat="1" ht="27.75" customHeight="1">
      <c r="A1027" s="331">
        <v>29</v>
      </c>
      <c r="B1027" s="702" t="s">
        <v>664</v>
      </c>
      <c r="C1027" s="368" t="s">
        <v>1152</v>
      </c>
      <c r="D1027" s="365"/>
      <c r="E1027" s="724"/>
      <c r="F1027" s="728"/>
      <c r="G1027" s="721"/>
      <c r="H1027" s="373" t="s">
        <v>1198</v>
      </c>
      <c r="I1027" s="331">
        <v>3</v>
      </c>
      <c r="J1027" s="338">
        <v>192.6</v>
      </c>
      <c r="K1027" s="374">
        <f t="shared" si="45"/>
        <v>0</v>
      </c>
      <c r="L1027" s="374">
        <f t="shared" si="46"/>
        <v>192.6</v>
      </c>
      <c r="M1027" s="329"/>
      <c r="N1027" s="690"/>
      <c r="O1027" s="690"/>
      <c r="P1027" s="288"/>
      <c r="Q1027" s="288"/>
    </row>
    <row r="1028" spans="1:17" s="385" customFormat="1" ht="27.75" customHeight="1">
      <c r="A1028" s="331"/>
      <c r="B1028" s="702" t="s">
        <v>664</v>
      </c>
      <c r="C1028" s="368" t="s">
        <v>1152</v>
      </c>
      <c r="D1028" s="365"/>
      <c r="E1028" s="724"/>
      <c r="F1028" s="728"/>
      <c r="G1028" s="721"/>
      <c r="H1028" s="373" t="s">
        <v>2871</v>
      </c>
      <c r="I1028" s="331">
        <v>2</v>
      </c>
      <c r="J1028" s="338">
        <v>128.4</v>
      </c>
      <c r="K1028" s="374">
        <f t="shared" si="45"/>
        <v>0</v>
      </c>
      <c r="L1028" s="374">
        <f t="shared" si="46"/>
        <v>128.4</v>
      </c>
      <c r="M1028" s="329"/>
      <c r="N1028" s="690"/>
      <c r="O1028" s="690"/>
      <c r="P1028" s="288"/>
      <c r="Q1028" s="288"/>
    </row>
    <row r="1029" spans="1:17" s="385" customFormat="1" ht="27.75" customHeight="1">
      <c r="A1029" s="331"/>
      <c r="B1029" s="702" t="s">
        <v>664</v>
      </c>
      <c r="C1029" s="368" t="s">
        <v>1152</v>
      </c>
      <c r="D1029" s="365"/>
      <c r="E1029" s="724"/>
      <c r="F1029" s="728"/>
      <c r="G1029" s="721"/>
      <c r="H1029" s="373" t="s">
        <v>2054</v>
      </c>
      <c r="I1029" s="331">
        <v>9</v>
      </c>
      <c r="J1029" s="338">
        <v>577.79999999999995</v>
      </c>
      <c r="K1029" s="374">
        <f t="shared" si="45"/>
        <v>0</v>
      </c>
      <c r="L1029" s="374">
        <f t="shared" si="46"/>
        <v>577.79999999999995</v>
      </c>
      <c r="M1029" s="329"/>
      <c r="N1029" s="690"/>
      <c r="O1029" s="690"/>
      <c r="P1029" s="288"/>
      <c r="Q1029" s="288"/>
    </row>
    <row r="1030" spans="1:17" s="385" customFormat="1" ht="27.75" customHeight="1">
      <c r="A1030" s="331">
        <v>30</v>
      </c>
      <c r="B1030" s="702" t="s">
        <v>1164</v>
      </c>
      <c r="C1030" s="368" t="s">
        <v>1187</v>
      </c>
      <c r="D1030" s="365"/>
      <c r="E1030" s="724"/>
      <c r="F1030" s="728"/>
      <c r="G1030" s="721"/>
      <c r="H1030" s="373" t="s">
        <v>2083</v>
      </c>
      <c r="I1030" s="331">
        <v>13</v>
      </c>
      <c r="J1030" s="338">
        <v>834.6</v>
      </c>
      <c r="K1030" s="374">
        <f t="shared" si="45"/>
        <v>0</v>
      </c>
      <c r="L1030" s="374">
        <f t="shared" si="46"/>
        <v>834.6</v>
      </c>
      <c r="M1030" s="329"/>
      <c r="N1030" s="690"/>
      <c r="O1030" s="690"/>
      <c r="P1030" s="288"/>
      <c r="Q1030" s="288"/>
    </row>
    <row r="1031" spans="1:17" s="385" customFormat="1" ht="27.75" customHeight="1">
      <c r="A1031" s="331">
        <v>31</v>
      </c>
      <c r="B1031" s="702" t="s">
        <v>359</v>
      </c>
      <c r="C1031" s="368" t="s">
        <v>750</v>
      </c>
      <c r="D1031" s="365"/>
      <c r="E1031" s="724"/>
      <c r="F1031" s="728"/>
      <c r="G1031" s="721"/>
      <c r="H1031" s="373" t="s">
        <v>1631</v>
      </c>
      <c r="I1031" s="331">
        <v>3</v>
      </c>
      <c r="J1031" s="338">
        <v>192.6</v>
      </c>
      <c r="K1031" s="374">
        <f t="shared" si="45"/>
        <v>0</v>
      </c>
      <c r="L1031" s="374">
        <f t="shared" si="46"/>
        <v>192.6</v>
      </c>
      <c r="M1031" s="329"/>
      <c r="N1031" s="690"/>
      <c r="O1031" s="690"/>
      <c r="P1031" s="288"/>
      <c r="Q1031" s="288"/>
    </row>
    <row r="1032" spans="1:17" s="385" customFormat="1" ht="27.75" customHeight="1">
      <c r="A1032" s="331"/>
      <c r="B1032" s="702" t="s">
        <v>359</v>
      </c>
      <c r="C1032" s="368" t="s">
        <v>750</v>
      </c>
      <c r="D1032" s="365"/>
      <c r="E1032" s="724"/>
      <c r="F1032" s="728"/>
      <c r="G1032" s="721"/>
      <c r="H1032" s="373" t="s">
        <v>2871</v>
      </c>
      <c r="I1032" s="331">
        <v>2</v>
      </c>
      <c r="J1032" s="338">
        <v>128.4</v>
      </c>
      <c r="K1032" s="374">
        <f t="shared" si="45"/>
        <v>0</v>
      </c>
      <c r="L1032" s="374">
        <f t="shared" si="46"/>
        <v>128.4</v>
      </c>
      <c r="M1032" s="329"/>
      <c r="N1032" s="690"/>
      <c r="O1032" s="690"/>
      <c r="P1032" s="288"/>
      <c r="Q1032" s="288"/>
    </row>
    <row r="1033" spans="1:17" s="385" customFormat="1" ht="27.75" customHeight="1">
      <c r="A1033" s="331"/>
      <c r="B1033" s="702" t="s">
        <v>359</v>
      </c>
      <c r="C1033" s="368" t="s">
        <v>750</v>
      </c>
      <c r="D1033" s="365"/>
      <c r="E1033" s="724"/>
      <c r="F1033" s="728"/>
      <c r="G1033" s="721"/>
      <c r="H1033" s="373" t="s">
        <v>2054</v>
      </c>
      <c r="I1033" s="331">
        <v>9</v>
      </c>
      <c r="J1033" s="338">
        <v>577.79999999999995</v>
      </c>
      <c r="K1033" s="374">
        <f t="shared" si="45"/>
        <v>0</v>
      </c>
      <c r="L1033" s="374">
        <f t="shared" si="46"/>
        <v>577.79999999999995</v>
      </c>
      <c r="M1033" s="329"/>
      <c r="N1033" s="690"/>
      <c r="O1033" s="690"/>
      <c r="P1033" s="288"/>
      <c r="Q1033" s="288"/>
    </row>
    <row r="1034" spans="1:17" s="385" customFormat="1" ht="27.75" customHeight="1">
      <c r="A1034" s="331">
        <v>32</v>
      </c>
      <c r="B1034" s="702" t="s">
        <v>1551</v>
      </c>
      <c r="C1034" s="368" t="s">
        <v>1582</v>
      </c>
      <c r="D1034" s="365"/>
      <c r="E1034" s="724"/>
      <c r="F1034" s="728"/>
      <c r="G1034" s="721"/>
      <c r="H1034" s="373" t="s">
        <v>2074</v>
      </c>
      <c r="I1034" s="331">
        <v>10</v>
      </c>
      <c r="J1034" s="338">
        <v>642</v>
      </c>
      <c r="K1034" s="374">
        <f t="shared" si="45"/>
        <v>0</v>
      </c>
      <c r="L1034" s="374">
        <f t="shared" si="46"/>
        <v>642</v>
      </c>
      <c r="M1034" s="329"/>
      <c r="N1034" s="690"/>
      <c r="O1034" s="690"/>
      <c r="P1034" s="288"/>
      <c r="Q1034" s="288"/>
    </row>
    <row r="1035" spans="1:17" s="385" customFormat="1" ht="27.75" customHeight="1">
      <c r="A1035" s="331">
        <v>33</v>
      </c>
      <c r="B1035" s="702" t="s">
        <v>668</v>
      </c>
      <c r="C1035" s="368" t="s">
        <v>1402</v>
      </c>
      <c r="D1035" s="365"/>
      <c r="E1035" s="724"/>
      <c r="F1035" s="728"/>
      <c r="G1035" s="721"/>
      <c r="H1035" s="373" t="s">
        <v>2053</v>
      </c>
      <c r="I1035" s="331">
        <v>11</v>
      </c>
      <c r="J1035" s="338">
        <v>706.2</v>
      </c>
      <c r="K1035" s="374">
        <f t="shared" si="45"/>
        <v>0</v>
      </c>
      <c r="L1035" s="374">
        <f t="shared" si="46"/>
        <v>706.2</v>
      </c>
      <c r="M1035" s="329"/>
      <c r="N1035" s="690"/>
      <c r="O1035" s="690"/>
      <c r="P1035" s="288"/>
      <c r="Q1035" s="288"/>
    </row>
    <row r="1036" spans="1:17" s="385" customFormat="1" ht="27.75" customHeight="1">
      <c r="A1036" s="331">
        <v>34</v>
      </c>
      <c r="B1036" s="702" t="s">
        <v>1662</v>
      </c>
      <c r="C1036" s="368" t="s">
        <v>1669</v>
      </c>
      <c r="D1036" s="365"/>
      <c r="E1036" s="724"/>
      <c r="F1036" s="728"/>
      <c r="G1036" s="721"/>
      <c r="H1036" s="373" t="s">
        <v>2054</v>
      </c>
      <c r="I1036" s="331">
        <v>9</v>
      </c>
      <c r="J1036" s="338">
        <v>577.79999999999995</v>
      </c>
      <c r="K1036" s="374">
        <f t="shared" si="45"/>
        <v>0</v>
      </c>
      <c r="L1036" s="374">
        <f t="shared" si="46"/>
        <v>577.79999999999995</v>
      </c>
      <c r="M1036" s="329"/>
      <c r="N1036" s="690"/>
      <c r="O1036" s="690"/>
      <c r="P1036" s="288"/>
      <c r="Q1036" s="288"/>
    </row>
    <row r="1037" spans="1:17" s="385" customFormat="1" ht="27.75" customHeight="1">
      <c r="A1037" s="331">
        <v>35</v>
      </c>
      <c r="B1037" s="702" t="s">
        <v>1020</v>
      </c>
      <c r="C1037" s="368" t="s">
        <v>751</v>
      </c>
      <c r="D1037" s="365"/>
      <c r="E1037" s="724"/>
      <c r="F1037" s="728"/>
      <c r="G1037" s="721"/>
      <c r="H1037" s="373" t="s">
        <v>1167</v>
      </c>
      <c r="I1037" s="331">
        <v>12</v>
      </c>
      <c r="J1037" s="338">
        <v>770.4000000000002</v>
      </c>
      <c r="K1037" s="374">
        <f t="shared" si="45"/>
        <v>0</v>
      </c>
      <c r="L1037" s="374">
        <f t="shared" si="46"/>
        <v>770.4000000000002</v>
      </c>
      <c r="M1037" s="329"/>
      <c r="N1037" s="690"/>
      <c r="O1037" s="690"/>
      <c r="P1037" s="288"/>
      <c r="Q1037" s="288"/>
    </row>
    <row r="1038" spans="1:17" s="385" customFormat="1" ht="27.75" customHeight="1">
      <c r="A1038" s="331"/>
      <c r="B1038" s="702" t="s">
        <v>1020</v>
      </c>
      <c r="C1038" s="368" t="s">
        <v>751</v>
      </c>
      <c r="D1038" s="365"/>
      <c r="E1038" s="724"/>
      <c r="F1038" s="728"/>
      <c r="G1038" s="721"/>
      <c r="H1038" s="373" t="s">
        <v>2882</v>
      </c>
      <c r="I1038" s="331">
        <v>11</v>
      </c>
      <c r="J1038" s="338">
        <v>706.2</v>
      </c>
      <c r="K1038" s="374">
        <f t="shared" si="45"/>
        <v>0</v>
      </c>
      <c r="L1038" s="374">
        <f t="shared" si="46"/>
        <v>706.2</v>
      </c>
      <c r="M1038" s="329"/>
      <c r="N1038" s="690"/>
      <c r="O1038" s="690"/>
      <c r="P1038" s="288"/>
      <c r="Q1038" s="288"/>
    </row>
    <row r="1039" spans="1:17" s="385" customFormat="1" ht="27.75" customHeight="1">
      <c r="A1039" s="331">
        <v>36</v>
      </c>
      <c r="B1039" s="702" t="s">
        <v>671</v>
      </c>
      <c r="C1039" s="368" t="s">
        <v>422</v>
      </c>
      <c r="D1039" s="365"/>
      <c r="E1039" s="724"/>
      <c r="F1039" s="728"/>
      <c r="G1039" s="721"/>
      <c r="H1039" s="373" t="s">
        <v>1604</v>
      </c>
      <c r="I1039" s="331">
        <v>3</v>
      </c>
      <c r="J1039" s="338">
        <v>192.6</v>
      </c>
      <c r="K1039" s="374">
        <f t="shared" si="45"/>
        <v>0</v>
      </c>
      <c r="L1039" s="374">
        <f t="shared" si="46"/>
        <v>192.6</v>
      </c>
      <c r="M1039" s="329"/>
      <c r="N1039" s="690"/>
      <c r="O1039" s="690"/>
      <c r="P1039" s="288"/>
      <c r="Q1039" s="288"/>
    </row>
    <row r="1040" spans="1:17" s="385" customFormat="1" ht="27.75" customHeight="1">
      <c r="A1040" s="331"/>
      <c r="B1040" s="702" t="s">
        <v>671</v>
      </c>
      <c r="C1040" s="368" t="s">
        <v>422</v>
      </c>
      <c r="D1040" s="365"/>
      <c r="E1040" s="724"/>
      <c r="F1040" s="728"/>
      <c r="G1040" s="721"/>
      <c r="H1040" s="373" t="s">
        <v>1167</v>
      </c>
      <c r="I1040" s="331">
        <v>12</v>
      </c>
      <c r="J1040" s="338">
        <v>770.4000000000002</v>
      </c>
      <c r="K1040" s="374">
        <f t="shared" si="45"/>
        <v>0</v>
      </c>
      <c r="L1040" s="374">
        <f t="shared" si="46"/>
        <v>770.4000000000002</v>
      </c>
      <c r="M1040" s="329"/>
      <c r="N1040" s="690"/>
      <c r="O1040" s="690"/>
      <c r="P1040" s="288"/>
      <c r="Q1040" s="288"/>
    </row>
    <row r="1041" spans="1:17" s="385" customFormat="1" ht="27.75" customHeight="1">
      <c r="A1041" s="331"/>
      <c r="B1041" s="702" t="s">
        <v>671</v>
      </c>
      <c r="C1041" s="368" t="s">
        <v>422</v>
      </c>
      <c r="D1041" s="365"/>
      <c r="E1041" s="724"/>
      <c r="F1041" s="728"/>
      <c r="G1041" s="721"/>
      <c r="H1041" s="373" t="s">
        <v>2061</v>
      </c>
      <c r="I1041" s="331">
        <v>5</v>
      </c>
      <c r="J1041" s="338">
        <v>321</v>
      </c>
      <c r="K1041" s="374">
        <f t="shared" si="45"/>
        <v>0</v>
      </c>
      <c r="L1041" s="374">
        <f t="shared" si="46"/>
        <v>321</v>
      </c>
      <c r="M1041" s="329"/>
      <c r="N1041" s="690"/>
      <c r="O1041" s="690"/>
      <c r="P1041" s="288"/>
      <c r="Q1041" s="288"/>
    </row>
    <row r="1042" spans="1:17" s="385" customFormat="1" ht="27.75" customHeight="1">
      <c r="A1042" s="331">
        <v>37</v>
      </c>
      <c r="B1042" s="702" t="s">
        <v>1335</v>
      </c>
      <c r="C1042" s="368" t="s">
        <v>1403</v>
      </c>
      <c r="D1042" s="365"/>
      <c r="E1042" s="724"/>
      <c r="F1042" s="728"/>
      <c r="G1042" s="721"/>
      <c r="H1042" s="373" t="s">
        <v>2053</v>
      </c>
      <c r="I1042" s="331">
        <v>11</v>
      </c>
      <c r="J1042" s="338">
        <v>706.2</v>
      </c>
      <c r="K1042" s="374">
        <f t="shared" si="45"/>
        <v>0</v>
      </c>
      <c r="L1042" s="374">
        <f t="shared" si="46"/>
        <v>706.2</v>
      </c>
      <c r="M1042" s="329"/>
      <c r="N1042" s="690"/>
      <c r="O1042" s="690"/>
      <c r="P1042" s="288"/>
      <c r="Q1042" s="288"/>
    </row>
    <row r="1043" spans="1:17" s="385" customFormat="1" ht="27.75" customHeight="1">
      <c r="A1043" s="331">
        <v>38</v>
      </c>
      <c r="B1043" s="702" t="s">
        <v>364</v>
      </c>
      <c r="C1043" s="368" t="s">
        <v>1692</v>
      </c>
      <c r="D1043" s="365"/>
      <c r="E1043" s="724"/>
      <c r="F1043" s="728"/>
      <c r="G1043" s="721"/>
      <c r="H1043" s="373" t="s">
        <v>1139</v>
      </c>
      <c r="I1043" s="331">
        <v>9</v>
      </c>
      <c r="J1043" s="338">
        <v>577.79999999999995</v>
      </c>
      <c r="K1043" s="374">
        <f t="shared" si="45"/>
        <v>0</v>
      </c>
      <c r="L1043" s="374">
        <f t="shared" si="46"/>
        <v>577.79999999999995</v>
      </c>
      <c r="M1043" s="329"/>
      <c r="N1043" s="690"/>
      <c r="O1043" s="690"/>
      <c r="P1043" s="288"/>
      <c r="Q1043" s="288"/>
    </row>
    <row r="1044" spans="1:17" s="385" customFormat="1" ht="27.75" customHeight="1">
      <c r="A1044" s="331">
        <v>39</v>
      </c>
      <c r="B1044" s="702" t="s">
        <v>672</v>
      </c>
      <c r="C1044" s="368" t="s">
        <v>384</v>
      </c>
      <c r="D1044" s="365"/>
      <c r="E1044" s="724"/>
      <c r="F1044" s="728"/>
      <c r="G1044" s="721"/>
      <c r="H1044" s="373" t="s">
        <v>938</v>
      </c>
      <c r="I1044" s="331">
        <v>12</v>
      </c>
      <c r="J1044" s="338">
        <v>770.4</v>
      </c>
      <c r="K1044" s="374">
        <f t="shared" si="45"/>
        <v>0</v>
      </c>
      <c r="L1044" s="374">
        <f t="shared" si="46"/>
        <v>770.4</v>
      </c>
      <c r="M1044" s="329"/>
      <c r="N1044" s="690"/>
      <c r="O1044" s="690"/>
      <c r="P1044" s="288"/>
      <c r="Q1044" s="288"/>
    </row>
    <row r="1045" spans="1:17" s="385" customFormat="1" ht="27.75" customHeight="1">
      <c r="A1045" s="331"/>
      <c r="B1045" s="702" t="s">
        <v>672</v>
      </c>
      <c r="C1045" s="368" t="s">
        <v>384</v>
      </c>
      <c r="D1045" s="365"/>
      <c r="E1045" s="724"/>
      <c r="F1045" s="728"/>
      <c r="G1045" s="721"/>
      <c r="H1045" s="373" t="s">
        <v>2874</v>
      </c>
      <c r="I1045" s="331">
        <v>5</v>
      </c>
      <c r="J1045" s="338">
        <v>321</v>
      </c>
      <c r="K1045" s="374">
        <f t="shared" si="45"/>
        <v>0</v>
      </c>
      <c r="L1045" s="374">
        <f t="shared" si="46"/>
        <v>321</v>
      </c>
      <c r="M1045" s="329"/>
      <c r="N1045" s="690"/>
      <c r="O1045" s="690"/>
      <c r="P1045" s="288"/>
      <c r="Q1045" s="288"/>
    </row>
    <row r="1046" spans="1:17" s="385" customFormat="1" ht="27.75" customHeight="1">
      <c r="A1046" s="331"/>
      <c r="B1046" s="702" t="s">
        <v>672</v>
      </c>
      <c r="C1046" s="368" t="s">
        <v>384</v>
      </c>
      <c r="D1046" s="365"/>
      <c r="E1046" s="724"/>
      <c r="F1046" s="728"/>
      <c r="G1046" s="721"/>
      <c r="H1046" s="373" t="s">
        <v>2053</v>
      </c>
      <c r="I1046" s="331">
        <v>11</v>
      </c>
      <c r="J1046" s="338">
        <v>706.2</v>
      </c>
      <c r="K1046" s="374">
        <f t="shared" si="45"/>
        <v>0</v>
      </c>
      <c r="L1046" s="374">
        <f t="shared" si="46"/>
        <v>706.2</v>
      </c>
      <c r="M1046" s="329"/>
      <c r="N1046" s="690"/>
      <c r="O1046" s="690"/>
      <c r="P1046" s="288"/>
      <c r="Q1046" s="288"/>
    </row>
    <row r="1047" spans="1:17" s="385" customFormat="1" ht="27.75" customHeight="1">
      <c r="A1047" s="331">
        <v>41</v>
      </c>
      <c r="B1047" s="702" t="s">
        <v>517</v>
      </c>
      <c r="C1047" s="368" t="s">
        <v>522</v>
      </c>
      <c r="D1047" s="365"/>
      <c r="E1047" s="724"/>
      <c r="F1047" s="728"/>
      <c r="G1047" s="721"/>
      <c r="H1047" s="373" t="s">
        <v>1632</v>
      </c>
      <c r="I1047" s="331">
        <v>12</v>
      </c>
      <c r="J1047" s="338">
        <v>770.4000000000002</v>
      </c>
      <c r="K1047" s="374">
        <f t="shared" si="45"/>
        <v>0</v>
      </c>
      <c r="L1047" s="374">
        <f t="shared" si="46"/>
        <v>770.4000000000002</v>
      </c>
      <c r="M1047" s="329"/>
      <c r="N1047" s="690"/>
      <c r="O1047" s="690"/>
      <c r="P1047" s="288"/>
      <c r="Q1047" s="288"/>
    </row>
    <row r="1048" spans="1:17" s="385" customFormat="1" ht="27.75" customHeight="1">
      <c r="A1048" s="331"/>
      <c r="B1048" s="702" t="s">
        <v>517</v>
      </c>
      <c r="C1048" s="368" t="s">
        <v>522</v>
      </c>
      <c r="D1048" s="365"/>
      <c r="E1048" s="724"/>
      <c r="F1048" s="728"/>
      <c r="G1048" s="721"/>
      <c r="H1048" s="373" t="s">
        <v>2874</v>
      </c>
      <c r="I1048" s="331">
        <v>5</v>
      </c>
      <c r="J1048" s="338">
        <v>321</v>
      </c>
      <c r="K1048" s="374">
        <f t="shared" si="45"/>
        <v>0</v>
      </c>
      <c r="L1048" s="374">
        <f t="shared" si="46"/>
        <v>321</v>
      </c>
      <c r="M1048" s="329"/>
      <c r="N1048" s="690"/>
      <c r="O1048" s="690"/>
      <c r="P1048" s="288"/>
      <c r="Q1048" s="288"/>
    </row>
    <row r="1049" spans="1:17" s="385" customFormat="1" ht="27.75" customHeight="1">
      <c r="A1049" s="331"/>
      <c r="B1049" s="702" t="s">
        <v>517</v>
      </c>
      <c r="C1049" s="368" t="s">
        <v>522</v>
      </c>
      <c r="D1049" s="365"/>
      <c r="E1049" s="724"/>
      <c r="F1049" s="728"/>
      <c r="G1049" s="721"/>
      <c r="H1049" s="373" t="s">
        <v>2053</v>
      </c>
      <c r="I1049" s="331">
        <v>11</v>
      </c>
      <c r="J1049" s="338">
        <v>706.2</v>
      </c>
      <c r="K1049" s="374">
        <f t="shared" si="45"/>
        <v>0</v>
      </c>
      <c r="L1049" s="374">
        <f t="shared" si="46"/>
        <v>706.2</v>
      </c>
      <c r="M1049" s="329"/>
      <c r="N1049" s="690"/>
      <c r="O1049" s="690"/>
      <c r="P1049" s="288"/>
      <c r="Q1049" s="288"/>
    </row>
    <row r="1050" spans="1:17" s="385" customFormat="1" ht="27.75" customHeight="1">
      <c r="A1050" s="331">
        <v>42</v>
      </c>
      <c r="B1050" s="702" t="s">
        <v>673</v>
      </c>
      <c r="C1050" s="368" t="s">
        <v>385</v>
      </c>
      <c r="D1050" s="365"/>
      <c r="E1050" s="724"/>
      <c r="F1050" s="728"/>
      <c r="G1050" s="721"/>
      <c r="H1050" s="373" t="s">
        <v>941</v>
      </c>
      <c r="I1050" s="331">
        <v>10</v>
      </c>
      <c r="J1050" s="338">
        <v>642.00000000000011</v>
      </c>
      <c r="K1050" s="374">
        <f t="shared" si="45"/>
        <v>0</v>
      </c>
      <c r="L1050" s="374">
        <f t="shared" si="46"/>
        <v>642.00000000000011</v>
      </c>
      <c r="M1050" s="329"/>
      <c r="N1050" s="690"/>
      <c r="O1050" s="690"/>
      <c r="P1050" s="288"/>
      <c r="Q1050" s="288"/>
    </row>
    <row r="1051" spans="1:17" s="385" customFormat="1" ht="27.75" customHeight="1">
      <c r="A1051" s="331"/>
      <c r="B1051" s="702" t="s">
        <v>673</v>
      </c>
      <c r="C1051" s="368" t="s">
        <v>385</v>
      </c>
      <c r="D1051" s="365"/>
      <c r="E1051" s="724"/>
      <c r="F1051" s="728"/>
      <c r="G1051" s="721"/>
      <c r="H1051" s="373" t="s">
        <v>2874</v>
      </c>
      <c r="I1051" s="331">
        <v>5</v>
      </c>
      <c r="J1051" s="338">
        <v>321</v>
      </c>
      <c r="K1051" s="374">
        <f t="shared" si="45"/>
        <v>0</v>
      </c>
      <c r="L1051" s="374">
        <f t="shared" si="46"/>
        <v>321</v>
      </c>
      <c r="M1051" s="329"/>
      <c r="N1051" s="690"/>
      <c r="O1051" s="690"/>
      <c r="P1051" s="288"/>
      <c r="Q1051" s="288"/>
    </row>
    <row r="1052" spans="1:17" s="385" customFormat="1" ht="27.75" customHeight="1">
      <c r="A1052" s="331"/>
      <c r="B1052" s="702" t="s">
        <v>673</v>
      </c>
      <c r="C1052" s="368" t="s">
        <v>385</v>
      </c>
      <c r="D1052" s="365"/>
      <c r="E1052" s="724"/>
      <c r="F1052" s="728"/>
      <c r="G1052" s="721"/>
      <c r="H1052" s="373" t="s">
        <v>2053</v>
      </c>
      <c r="I1052" s="331">
        <v>11</v>
      </c>
      <c r="J1052" s="338">
        <v>706.2</v>
      </c>
      <c r="K1052" s="374">
        <f t="shared" si="45"/>
        <v>0</v>
      </c>
      <c r="L1052" s="374">
        <f t="shared" si="46"/>
        <v>706.2</v>
      </c>
      <c r="M1052" s="329"/>
      <c r="N1052" s="690"/>
      <c r="O1052" s="690"/>
      <c r="P1052" s="288"/>
      <c r="Q1052" s="288"/>
    </row>
    <row r="1053" spans="1:17" s="385" customFormat="1" ht="27.75" customHeight="1">
      <c r="A1053" s="331">
        <v>43</v>
      </c>
      <c r="B1053" s="702" t="s">
        <v>674</v>
      </c>
      <c r="C1053" s="368" t="s">
        <v>386</v>
      </c>
      <c r="D1053" s="365"/>
      <c r="E1053" s="724"/>
      <c r="F1053" s="728"/>
      <c r="G1053" s="721"/>
      <c r="H1053" s="373" t="s">
        <v>1078</v>
      </c>
      <c r="I1053" s="331">
        <v>10</v>
      </c>
      <c r="J1053" s="338">
        <v>642</v>
      </c>
      <c r="K1053" s="374">
        <f t="shared" si="45"/>
        <v>0</v>
      </c>
      <c r="L1053" s="374">
        <f t="shared" si="46"/>
        <v>642</v>
      </c>
      <c r="M1053" s="329"/>
      <c r="N1053" s="690"/>
      <c r="O1053" s="690"/>
      <c r="P1053" s="288"/>
      <c r="Q1053" s="288"/>
    </row>
    <row r="1054" spans="1:17" s="385" customFormat="1" ht="27.75" customHeight="1">
      <c r="A1054" s="331"/>
      <c r="B1054" s="702" t="s">
        <v>674</v>
      </c>
      <c r="C1054" s="368" t="s">
        <v>386</v>
      </c>
      <c r="D1054" s="365"/>
      <c r="E1054" s="724"/>
      <c r="F1054" s="728"/>
      <c r="G1054" s="721"/>
      <c r="H1054" s="373" t="s">
        <v>2874</v>
      </c>
      <c r="I1054" s="331">
        <v>5</v>
      </c>
      <c r="J1054" s="338">
        <v>321</v>
      </c>
      <c r="K1054" s="374">
        <f t="shared" si="45"/>
        <v>0</v>
      </c>
      <c r="L1054" s="374">
        <f t="shared" si="46"/>
        <v>321</v>
      </c>
      <c r="M1054" s="329"/>
      <c r="N1054" s="690"/>
      <c r="O1054" s="690"/>
      <c r="P1054" s="288"/>
      <c r="Q1054" s="288"/>
    </row>
    <row r="1055" spans="1:17" s="385" customFormat="1" ht="27.75" customHeight="1">
      <c r="A1055" s="331"/>
      <c r="B1055" s="702" t="s">
        <v>674</v>
      </c>
      <c r="C1055" s="368" t="s">
        <v>386</v>
      </c>
      <c r="D1055" s="365"/>
      <c r="E1055" s="724"/>
      <c r="F1055" s="728"/>
      <c r="G1055" s="721"/>
      <c r="H1055" s="373" t="s">
        <v>2053</v>
      </c>
      <c r="I1055" s="331">
        <v>11</v>
      </c>
      <c r="J1055" s="338">
        <v>706.2</v>
      </c>
      <c r="K1055" s="374">
        <f t="shared" si="45"/>
        <v>0</v>
      </c>
      <c r="L1055" s="374">
        <f t="shared" si="46"/>
        <v>706.2</v>
      </c>
      <c r="M1055" s="329"/>
      <c r="N1055" s="690"/>
      <c r="O1055" s="690"/>
      <c r="P1055" s="288"/>
      <c r="Q1055" s="288"/>
    </row>
    <row r="1056" spans="1:17" s="385" customFormat="1" ht="27.75" customHeight="1">
      <c r="A1056" s="331">
        <v>44</v>
      </c>
      <c r="B1056" s="702" t="s">
        <v>1606</v>
      </c>
      <c r="C1056" s="368" t="s">
        <v>1633</v>
      </c>
      <c r="D1056" s="365"/>
      <c r="E1056" s="724"/>
      <c r="F1056" s="728"/>
      <c r="G1056" s="721"/>
      <c r="H1056" s="373" t="s">
        <v>1197</v>
      </c>
      <c r="I1056" s="331">
        <v>2</v>
      </c>
      <c r="J1056" s="338">
        <v>128.4</v>
      </c>
      <c r="K1056" s="374">
        <f t="shared" si="45"/>
        <v>0</v>
      </c>
      <c r="L1056" s="374">
        <f t="shared" si="46"/>
        <v>128.4</v>
      </c>
      <c r="M1056" s="329"/>
      <c r="N1056" s="690"/>
      <c r="O1056" s="690"/>
      <c r="P1056" s="288"/>
      <c r="Q1056" s="288"/>
    </row>
    <row r="1057" spans="1:17" s="385" customFormat="1" ht="27.75" customHeight="1">
      <c r="A1057" s="331">
        <v>45</v>
      </c>
      <c r="B1057" s="702" t="s">
        <v>675</v>
      </c>
      <c r="C1057" s="368" t="s">
        <v>423</v>
      </c>
      <c r="D1057" s="365"/>
      <c r="E1057" s="724"/>
      <c r="F1057" s="728"/>
      <c r="G1057" s="721"/>
      <c r="H1057" s="373" t="s">
        <v>940</v>
      </c>
      <c r="I1057" s="331">
        <v>13</v>
      </c>
      <c r="J1057" s="338">
        <v>834.6</v>
      </c>
      <c r="K1057" s="374">
        <f t="shared" si="45"/>
        <v>0</v>
      </c>
      <c r="L1057" s="374">
        <f t="shared" si="46"/>
        <v>834.6</v>
      </c>
      <c r="M1057" s="329"/>
      <c r="N1057" s="690"/>
      <c r="O1057" s="690"/>
      <c r="P1057" s="288"/>
      <c r="Q1057" s="288"/>
    </row>
    <row r="1058" spans="1:17" s="385" customFormat="1" ht="27.75" customHeight="1">
      <c r="A1058" s="331"/>
      <c r="B1058" s="702" t="s">
        <v>675</v>
      </c>
      <c r="C1058" s="368" t="s">
        <v>423</v>
      </c>
      <c r="D1058" s="365"/>
      <c r="E1058" s="724"/>
      <c r="F1058" s="728"/>
      <c r="G1058" s="721"/>
      <c r="H1058" s="373" t="s">
        <v>2874</v>
      </c>
      <c r="I1058" s="331">
        <v>5</v>
      </c>
      <c r="J1058" s="338">
        <v>321</v>
      </c>
      <c r="K1058" s="374">
        <f t="shared" si="45"/>
        <v>0</v>
      </c>
      <c r="L1058" s="374">
        <f t="shared" si="46"/>
        <v>321</v>
      </c>
      <c r="M1058" s="329"/>
      <c r="N1058" s="690"/>
      <c r="O1058" s="690"/>
      <c r="P1058" s="288"/>
      <c r="Q1058" s="288"/>
    </row>
    <row r="1059" spans="1:17" s="385" customFormat="1" ht="27.75" customHeight="1">
      <c r="A1059" s="331"/>
      <c r="B1059" s="702" t="s">
        <v>675</v>
      </c>
      <c r="C1059" s="368" t="s">
        <v>423</v>
      </c>
      <c r="D1059" s="365"/>
      <c r="E1059" s="724"/>
      <c r="F1059" s="728"/>
      <c r="G1059" s="721"/>
      <c r="H1059" s="373" t="s">
        <v>2053</v>
      </c>
      <c r="I1059" s="331">
        <v>11</v>
      </c>
      <c r="J1059" s="338">
        <v>706.2</v>
      </c>
      <c r="K1059" s="374">
        <f t="shared" si="45"/>
        <v>0</v>
      </c>
      <c r="L1059" s="374">
        <f t="shared" si="46"/>
        <v>706.2</v>
      </c>
      <c r="M1059" s="329"/>
      <c r="N1059" s="690"/>
      <c r="O1059" s="690"/>
      <c r="P1059" s="288"/>
      <c r="Q1059" s="288"/>
    </row>
    <row r="1060" spans="1:17" s="385" customFormat="1" ht="27.75" customHeight="1">
      <c r="A1060" s="331">
        <v>46</v>
      </c>
      <c r="B1060" s="702" t="s">
        <v>676</v>
      </c>
      <c r="C1060" s="368" t="s">
        <v>387</v>
      </c>
      <c r="D1060" s="365"/>
      <c r="E1060" s="724"/>
      <c r="F1060" s="728"/>
      <c r="G1060" s="721"/>
      <c r="H1060" s="373" t="s">
        <v>939</v>
      </c>
      <c r="I1060" s="331">
        <v>14</v>
      </c>
      <c r="J1060" s="338">
        <v>898.8000000000003</v>
      </c>
      <c r="K1060" s="374">
        <f t="shared" si="45"/>
        <v>0</v>
      </c>
      <c r="L1060" s="374">
        <f t="shared" si="46"/>
        <v>898.8000000000003</v>
      </c>
      <c r="M1060" s="329"/>
      <c r="N1060" s="690"/>
      <c r="O1060" s="690"/>
      <c r="P1060" s="288"/>
      <c r="Q1060" s="288"/>
    </row>
    <row r="1061" spans="1:17" s="385" customFormat="1" ht="27.75" customHeight="1">
      <c r="A1061" s="331"/>
      <c r="B1061" s="702" t="s">
        <v>676</v>
      </c>
      <c r="C1061" s="368" t="s">
        <v>387</v>
      </c>
      <c r="D1061" s="365"/>
      <c r="E1061" s="724"/>
      <c r="F1061" s="728"/>
      <c r="G1061" s="721"/>
      <c r="H1061" s="373" t="s">
        <v>2874</v>
      </c>
      <c r="I1061" s="331">
        <v>5</v>
      </c>
      <c r="J1061" s="338">
        <v>321</v>
      </c>
      <c r="K1061" s="374">
        <f t="shared" si="45"/>
        <v>0</v>
      </c>
      <c r="L1061" s="374">
        <f t="shared" si="46"/>
        <v>321</v>
      </c>
      <c r="M1061" s="329"/>
      <c r="N1061" s="690"/>
      <c r="O1061" s="690"/>
      <c r="P1061" s="288"/>
      <c r="Q1061" s="288"/>
    </row>
    <row r="1062" spans="1:17" s="385" customFormat="1" ht="27.75" customHeight="1">
      <c r="A1062" s="331"/>
      <c r="B1062" s="702" t="s">
        <v>676</v>
      </c>
      <c r="C1062" s="368" t="s">
        <v>387</v>
      </c>
      <c r="D1062" s="365"/>
      <c r="E1062" s="724"/>
      <c r="F1062" s="728"/>
      <c r="G1062" s="721"/>
      <c r="H1062" s="373" t="s">
        <v>2054</v>
      </c>
      <c r="I1062" s="331">
        <v>9</v>
      </c>
      <c r="J1062" s="338">
        <v>577.79999999999995</v>
      </c>
      <c r="K1062" s="374">
        <f t="shared" si="45"/>
        <v>0</v>
      </c>
      <c r="L1062" s="374">
        <f t="shared" si="46"/>
        <v>577.79999999999995</v>
      </c>
      <c r="M1062" s="329"/>
      <c r="N1062" s="690"/>
      <c r="O1062" s="690"/>
      <c r="P1062" s="288"/>
      <c r="Q1062" s="288"/>
    </row>
    <row r="1063" spans="1:17" s="385" customFormat="1" ht="27.75" customHeight="1">
      <c r="A1063" s="331">
        <v>47</v>
      </c>
      <c r="B1063" s="702" t="s">
        <v>677</v>
      </c>
      <c r="C1063" s="368" t="s">
        <v>388</v>
      </c>
      <c r="D1063" s="365"/>
      <c r="E1063" s="724"/>
      <c r="F1063" s="728"/>
      <c r="G1063" s="721"/>
      <c r="H1063" s="373" t="s">
        <v>1634</v>
      </c>
      <c r="I1063" s="331">
        <v>8</v>
      </c>
      <c r="J1063" s="338">
        <v>513.6</v>
      </c>
      <c r="K1063" s="374">
        <f t="shared" si="45"/>
        <v>0</v>
      </c>
      <c r="L1063" s="374">
        <f t="shared" si="46"/>
        <v>513.6</v>
      </c>
      <c r="M1063" s="329"/>
      <c r="N1063" s="690"/>
      <c r="O1063" s="690"/>
      <c r="P1063" s="288"/>
      <c r="Q1063" s="288"/>
    </row>
    <row r="1064" spans="1:17" s="385" customFormat="1" ht="27.75" customHeight="1">
      <c r="A1064" s="331"/>
      <c r="B1064" s="702" t="s">
        <v>677</v>
      </c>
      <c r="C1064" s="368" t="s">
        <v>388</v>
      </c>
      <c r="D1064" s="365"/>
      <c r="E1064" s="724"/>
      <c r="F1064" s="728"/>
      <c r="G1064" s="721"/>
      <c r="H1064" s="373" t="s">
        <v>2871</v>
      </c>
      <c r="I1064" s="331">
        <v>2</v>
      </c>
      <c r="J1064" s="338">
        <v>128.4</v>
      </c>
      <c r="K1064" s="374">
        <f t="shared" si="45"/>
        <v>0</v>
      </c>
      <c r="L1064" s="374">
        <f t="shared" si="46"/>
        <v>128.4</v>
      </c>
      <c r="M1064" s="329"/>
      <c r="N1064" s="690"/>
      <c r="O1064" s="690"/>
      <c r="P1064" s="288"/>
      <c r="Q1064" s="288"/>
    </row>
    <row r="1065" spans="1:17" s="385" customFormat="1" ht="27.75" customHeight="1">
      <c r="A1065" s="331"/>
      <c r="B1065" s="702" t="s">
        <v>677</v>
      </c>
      <c r="C1065" s="368" t="s">
        <v>388</v>
      </c>
      <c r="D1065" s="365"/>
      <c r="E1065" s="724"/>
      <c r="F1065" s="728"/>
      <c r="G1065" s="721"/>
      <c r="H1065" s="373" t="s">
        <v>2054</v>
      </c>
      <c r="I1065" s="331">
        <v>9</v>
      </c>
      <c r="J1065" s="338">
        <v>577.79999999999995</v>
      </c>
      <c r="K1065" s="374">
        <f t="shared" si="45"/>
        <v>0</v>
      </c>
      <c r="L1065" s="374">
        <f t="shared" si="46"/>
        <v>577.79999999999995</v>
      </c>
      <c r="M1065" s="329"/>
      <c r="N1065" s="690"/>
      <c r="O1065" s="690"/>
      <c r="P1065" s="288"/>
      <c r="Q1065" s="288"/>
    </row>
    <row r="1066" spans="1:17" s="385" customFormat="1" ht="27.75" customHeight="1">
      <c r="A1066" s="331">
        <v>48</v>
      </c>
      <c r="B1066" s="702" t="s">
        <v>1404</v>
      </c>
      <c r="C1066" s="368" t="s">
        <v>1405</v>
      </c>
      <c r="D1066" s="365"/>
      <c r="E1066" s="724"/>
      <c r="F1066" s="728"/>
      <c r="G1066" s="721"/>
      <c r="H1066" s="373" t="s">
        <v>1081</v>
      </c>
      <c r="I1066" s="331">
        <v>8</v>
      </c>
      <c r="J1066" s="338">
        <v>513.6</v>
      </c>
      <c r="K1066" s="374">
        <f t="shared" si="45"/>
        <v>0</v>
      </c>
      <c r="L1066" s="374">
        <f t="shared" si="46"/>
        <v>513.6</v>
      </c>
      <c r="M1066" s="329"/>
      <c r="N1066" s="690"/>
      <c r="O1066" s="690"/>
      <c r="P1066" s="288"/>
      <c r="Q1066" s="288"/>
    </row>
    <row r="1067" spans="1:17" s="385" customFormat="1" ht="27.75" customHeight="1">
      <c r="A1067" s="331"/>
      <c r="B1067" s="702" t="s">
        <v>1404</v>
      </c>
      <c r="C1067" s="368" t="s">
        <v>1405</v>
      </c>
      <c r="D1067" s="365"/>
      <c r="E1067" s="724"/>
      <c r="F1067" s="728"/>
      <c r="G1067" s="721"/>
      <c r="H1067" s="373" t="s">
        <v>2053</v>
      </c>
      <c r="I1067" s="331">
        <v>11</v>
      </c>
      <c r="J1067" s="338">
        <v>706.2</v>
      </c>
      <c r="K1067" s="374">
        <f t="shared" si="45"/>
        <v>0</v>
      </c>
      <c r="L1067" s="374">
        <f t="shared" si="46"/>
        <v>706.2</v>
      </c>
      <c r="M1067" s="329"/>
      <c r="N1067" s="690"/>
      <c r="O1067" s="690"/>
      <c r="P1067" s="288"/>
      <c r="Q1067" s="288"/>
    </row>
    <row r="1068" spans="1:17" s="385" customFormat="1" ht="27.75" customHeight="1">
      <c r="A1068" s="331">
        <v>49</v>
      </c>
      <c r="B1068" s="702" t="s">
        <v>1339</v>
      </c>
      <c r="C1068" s="368" t="s">
        <v>1406</v>
      </c>
      <c r="D1068" s="365"/>
      <c r="E1068" s="724"/>
      <c r="F1068" s="728"/>
      <c r="G1068" s="721"/>
      <c r="H1068" s="373" t="s">
        <v>1635</v>
      </c>
      <c r="I1068" s="331">
        <v>2</v>
      </c>
      <c r="J1068" s="338">
        <v>128.4</v>
      </c>
      <c r="K1068" s="374">
        <f t="shared" si="45"/>
        <v>0</v>
      </c>
      <c r="L1068" s="374">
        <f t="shared" si="46"/>
        <v>128.4</v>
      </c>
      <c r="M1068" s="329"/>
      <c r="N1068" s="690"/>
      <c r="O1068" s="690"/>
      <c r="P1068" s="288"/>
      <c r="Q1068" s="288"/>
    </row>
    <row r="1069" spans="1:17" s="385" customFormat="1" ht="27.75" customHeight="1">
      <c r="A1069" s="331"/>
      <c r="B1069" s="702" t="s">
        <v>1339</v>
      </c>
      <c r="C1069" s="368" t="s">
        <v>1406</v>
      </c>
      <c r="D1069" s="365"/>
      <c r="E1069" s="724"/>
      <c r="F1069" s="728"/>
      <c r="G1069" s="721"/>
      <c r="H1069" s="373" t="s">
        <v>2877</v>
      </c>
      <c r="I1069" s="331">
        <v>5</v>
      </c>
      <c r="J1069" s="338">
        <v>321</v>
      </c>
      <c r="K1069" s="374">
        <f t="shared" si="45"/>
        <v>0</v>
      </c>
      <c r="L1069" s="374">
        <f t="shared" si="46"/>
        <v>321</v>
      </c>
      <c r="M1069" s="329"/>
      <c r="N1069" s="690"/>
      <c r="O1069" s="690"/>
      <c r="P1069" s="288"/>
      <c r="Q1069" s="288"/>
    </row>
    <row r="1070" spans="1:17" s="385" customFormat="1" ht="27.75" customHeight="1">
      <c r="A1070" s="331" t="s">
        <v>961</v>
      </c>
      <c r="B1070" s="702" t="s">
        <v>1339</v>
      </c>
      <c r="C1070" s="368" t="s">
        <v>1406</v>
      </c>
      <c r="D1070" s="365"/>
      <c r="E1070" s="724"/>
      <c r="F1070" s="728"/>
      <c r="G1070" s="721"/>
      <c r="H1070" s="373" t="s">
        <v>2053</v>
      </c>
      <c r="I1070" s="331">
        <v>11</v>
      </c>
      <c r="J1070" s="338">
        <v>706.2</v>
      </c>
      <c r="K1070" s="374">
        <f t="shared" si="45"/>
        <v>0</v>
      </c>
      <c r="L1070" s="374">
        <f t="shared" si="46"/>
        <v>706.2</v>
      </c>
      <c r="M1070" s="329"/>
      <c r="N1070" s="690"/>
      <c r="O1070" s="690"/>
      <c r="P1070" s="288"/>
      <c r="Q1070" s="288"/>
    </row>
    <row r="1071" spans="1:17" s="385" customFormat="1" ht="27.75" customHeight="1">
      <c r="A1071" s="331">
        <v>50</v>
      </c>
      <c r="B1071" s="702" t="s">
        <v>678</v>
      </c>
      <c r="C1071" s="368" t="s">
        <v>752</v>
      </c>
      <c r="D1071" s="365"/>
      <c r="E1071" s="724"/>
      <c r="F1071" s="728"/>
      <c r="G1071" s="721"/>
      <c r="H1071" s="373" t="s">
        <v>1007</v>
      </c>
      <c r="I1071" s="331">
        <v>10</v>
      </c>
      <c r="J1071" s="338">
        <v>642</v>
      </c>
      <c r="K1071" s="374">
        <f t="shared" si="45"/>
        <v>0</v>
      </c>
      <c r="L1071" s="374">
        <f t="shared" si="46"/>
        <v>642</v>
      </c>
      <c r="M1071" s="329"/>
      <c r="N1071" s="690"/>
      <c r="O1071" s="690"/>
      <c r="P1071" s="288"/>
      <c r="Q1071" s="288"/>
    </row>
    <row r="1072" spans="1:17" s="385" customFormat="1" ht="27.75" customHeight="1">
      <c r="A1072" s="331"/>
      <c r="B1072" s="702" t="s">
        <v>678</v>
      </c>
      <c r="C1072" s="368" t="s">
        <v>752</v>
      </c>
      <c r="D1072" s="365"/>
      <c r="E1072" s="724"/>
      <c r="F1072" s="728"/>
      <c r="G1072" s="721"/>
      <c r="H1072" s="373" t="s">
        <v>2871</v>
      </c>
      <c r="I1072" s="331">
        <v>2</v>
      </c>
      <c r="J1072" s="338">
        <v>128.4</v>
      </c>
      <c r="K1072" s="374">
        <f t="shared" si="45"/>
        <v>0</v>
      </c>
      <c r="L1072" s="374">
        <f t="shared" si="46"/>
        <v>128.4</v>
      </c>
      <c r="M1072" s="329"/>
      <c r="N1072" s="690"/>
      <c r="O1072" s="690"/>
      <c r="P1072" s="288"/>
      <c r="Q1072" s="288"/>
    </row>
    <row r="1073" spans="1:17" s="385" customFormat="1" ht="27.75" customHeight="1">
      <c r="A1073" s="331"/>
      <c r="B1073" s="702" t="s">
        <v>678</v>
      </c>
      <c r="C1073" s="368" t="s">
        <v>752</v>
      </c>
      <c r="D1073" s="365"/>
      <c r="E1073" s="724"/>
      <c r="F1073" s="728"/>
      <c r="G1073" s="721"/>
      <c r="H1073" s="373" t="s">
        <v>2054</v>
      </c>
      <c r="I1073" s="331">
        <v>9</v>
      </c>
      <c r="J1073" s="338">
        <v>577.79999999999995</v>
      </c>
      <c r="K1073" s="374">
        <f t="shared" si="45"/>
        <v>0</v>
      </c>
      <c r="L1073" s="374">
        <f t="shared" si="46"/>
        <v>577.79999999999995</v>
      </c>
      <c r="M1073" s="329"/>
      <c r="N1073" s="690"/>
      <c r="O1073" s="690"/>
      <c r="P1073" s="288"/>
      <c r="Q1073" s="288"/>
    </row>
    <row r="1074" spans="1:17" s="385" customFormat="1" ht="27.75" customHeight="1">
      <c r="A1074" s="331">
        <v>51</v>
      </c>
      <c r="B1074" s="702" t="s">
        <v>1021</v>
      </c>
      <c r="C1074" s="368" t="s">
        <v>1811</v>
      </c>
      <c r="D1074" s="365"/>
      <c r="E1074" s="724"/>
      <c r="F1074" s="728"/>
      <c r="G1074" s="721"/>
      <c r="H1074" s="373" t="s">
        <v>2088</v>
      </c>
      <c r="I1074" s="331">
        <v>4</v>
      </c>
      <c r="J1074" s="338">
        <v>256.8</v>
      </c>
      <c r="K1074" s="374">
        <f t="shared" si="45"/>
        <v>0</v>
      </c>
      <c r="L1074" s="374">
        <f t="shared" si="46"/>
        <v>256.8</v>
      </c>
      <c r="M1074" s="329"/>
      <c r="N1074" s="690"/>
      <c r="O1074" s="690"/>
      <c r="P1074" s="288"/>
      <c r="Q1074" s="288"/>
    </row>
    <row r="1075" spans="1:17" s="385" customFormat="1" ht="27.75" customHeight="1">
      <c r="A1075" s="331">
        <v>52</v>
      </c>
      <c r="B1075" s="702" t="s">
        <v>1079</v>
      </c>
      <c r="C1075" s="368" t="s">
        <v>1407</v>
      </c>
      <c r="D1075" s="365"/>
      <c r="E1075" s="724"/>
      <c r="F1075" s="728"/>
      <c r="G1075" s="721"/>
      <c r="H1075" s="373" t="s">
        <v>2053</v>
      </c>
      <c r="I1075" s="331">
        <v>11</v>
      </c>
      <c r="J1075" s="338">
        <v>706.2</v>
      </c>
      <c r="K1075" s="374">
        <f t="shared" si="45"/>
        <v>0</v>
      </c>
      <c r="L1075" s="374">
        <f t="shared" si="46"/>
        <v>706.2</v>
      </c>
      <c r="M1075" s="329"/>
      <c r="N1075" s="690"/>
      <c r="O1075" s="690"/>
      <c r="P1075" s="288"/>
      <c r="Q1075" s="288"/>
    </row>
    <row r="1076" spans="1:17" s="385" customFormat="1" ht="27.75" customHeight="1">
      <c r="A1076" s="331">
        <v>53</v>
      </c>
      <c r="B1076" s="702" t="s">
        <v>735</v>
      </c>
      <c r="C1076" s="368" t="s">
        <v>1693</v>
      </c>
      <c r="D1076" s="365"/>
      <c r="E1076" s="724"/>
      <c r="F1076" s="728"/>
      <c r="G1076" s="721"/>
      <c r="H1076" s="373" t="s">
        <v>1139</v>
      </c>
      <c r="I1076" s="331">
        <v>9</v>
      </c>
      <c r="J1076" s="338">
        <v>577.79999999999995</v>
      </c>
      <c r="K1076" s="374">
        <f t="shared" si="45"/>
        <v>0</v>
      </c>
      <c r="L1076" s="374">
        <f t="shared" si="46"/>
        <v>577.79999999999995</v>
      </c>
      <c r="M1076" s="329"/>
      <c r="N1076" s="690"/>
      <c r="O1076" s="690"/>
      <c r="P1076" s="288"/>
      <c r="Q1076" s="288"/>
    </row>
    <row r="1077" spans="1:17" s="385" customFormat="1" ht="27.75" customHeight="1">
      <c r="A1077" s="331">
        <v>54</v>
      </c>
      <c r="B1077" s="702" t="s">
        <v>680</v>
      </c>
      <c r="C1077" s="368" t="s">
        <v>1583</v>
      </c>
      <c r="D1077" s="365"/>
      <c r="E1077" s="724"/>
      <c r="F1077" s="728"/>
      <c r="G1077" s="721"/>
      <c r="H1077" s="373" t="s">
        <v>1007</v>
      </c>
      <c r="I1077" s="331">
        <v>10</v>
      </c>
      <c r="J1077" s="338">
        <v>642.00000000000011</v>
      </c>
      <c r="K1077" s="374">
        <f t="shared" si="45"/>
        <v>0</v>
      </c>
      <c r="L1077" s="374">
        <f t="shared" si="46"/>
        <v>642.00000000000011</v>
      </c>
      <c r="M1077" s="329"/>
      <c r="N1077" s="690"/>
      <c r="O1077" s="690"/>
      <c r="P1077" s="288"/>
      <c r="Q1077" s="288"/>
    </row>
    <row r="1078" spans="1:17" s="385" customFormat="1" ht="27.75" customHeight="1">
      <c r="A1078" s="331"/>
      <c r="B1078" s="702" t="s">
        <v>680</v>
      </c>
      <c r="C1078" s="368" t="s">
        <v>1583</v>
      </c>
      <c r="D1078" s="365"/>
      <c r="E1078" s="724"/>
      <c r="F1078" s="728"/>
      <c r="G1078" s="721"/>
      <c r="H1078" s="373" t="s">
        <v>2871</v>
      </c>
      <c r="I1078" s="331">
        <v>2</v>
      </c>
      <c r="J1078" s="338">
        <v>128.4</v>
      </c>
      <c r="K1078" s="374">
        <f t="shared" ref="K1078:K1141" si="47">G1078*11.54/100</f>
        <v>0</v>
      </c>
      <c r="L1078" s="374">
        <f t="shared" si="46"/>
        <v>128.4</v>
      </c>
      <c r="M1078" s="329"/>
      <c r="N1078" s="690"/>
      <c r="O1078" s="690"/>
      <c r="P1078" s="288"/>
      <c r="Q1078" s="288"/>
    </row>
    <row r="1079" spans="1:17" s="385" customFormat="1" ht="27.75" customHeight="1">
      <c r="A1079" s="331"/>
      <c r="B1079" s="702" t="s">
        <v>680</v>
      </c>
      <c r="C1079" s="368" t="s">
        <v>1583</v>
      </c>
      <c r="D1079" s="365"/>
      <c r="E1079" s="724"/>
      <c r="F1079" s="728"/>
      <c r="G1079" s="721"/>
      <c r="H1079" s="373" t="s">
        <v>2074</v>
      </c>
      <c r="I1079" s="331">
        <v>10</v>
      </c>
      <c r="J1079" s="338">
        <v>642</v>
      </c>
      <c r="K1079" s="374">
        <f t="shared" si="47"/>
        <v>0</v>
      </c>
      <c r="L1079" s="374">
        <f t="shared" si="46"/>
        <v>642</v>
      </c>
      <c r="M1079" s="329"/>
      <c r="N1079" s="690"/>
      <c r="O1079" s="690"/>
      <c r="P1079" s="288"/>
      <c r="Q1079" s="288"/>
    </row>
    <row r="1080" spans="1:17" s="385" customFormat="1" ht="27.75" customHeight="1">
      <c r="A1080" s="331">
        <v>55</v>
      </c>
      <c r="B1080" s="702" t="s">
        <v>1341</v>
      </c>
      <c r="C1080" s="368" t="s">
        <v>1408</v>
      </c>
      <c r="D1080" s="365"/>
      <c r="E1080" s="724"/>
      <c r="F1080" s="728"/>
      <c r="G1080" s="721"/>
      <c r="H1080" s="373" t="s">
        <v>1081</v>
      </c>
      <c r="I1080" s="331">
        <v>8</v>
      </c>
      <c r="J1080" s="338">
        <v>513.6</v>
      </c>
      <c r="K1080" s="374">
        <f t="shared" si="47"/>
        <v>0</v>
      </c>
      <c r="L1080" s="374">
        <f t="shared" si="46"/>
        <v>513.6</v>
      </c>
      <c r="M1080" s="329"/>
      <c r="N1080" s="690"/>
      <c r="O1080" s="690"/>
      <c r="P1080" s="288"/>
      <c r="Q1080" s="288"/>
    </row>
    <row r="1081" spans="1:17" s="385" customFormat="1" ht="27.75" customHeight="1">
      <c r="A1081" s="331"/>
      <c r="B1081" s="702" t="s">
        <v>1341</v>
      </c>
      <c r="C1081" s="368" t="s">
        <v>1408</v>
      </c>
      <c r="D1081" s="365"/>
      <c r="E1081" s="724"/>
      <c r="F1081" s="728"/>
      <c r="G1081" s="721"/>
      <c r="H1081" s="373" t="s">
        <v>2883</v>
      </c>
      <c r="I1081" s="331">
        <v>12</v>
      </c>
      <c r="J1081" s="338">
        <v>770.4</v>
      </c>
      <c r="K1081" s="374">
        <f t="shared" si="47"/>
        <v>0</v>
      </c>
      <c r="L1081" s="374">
        <f t="shared" si="46"/>
        <v>770.4</v>
      </c>
      <c r="M1081" s="329"/>
      <c r="N1081" s="690"/>
      <c r="O1081" s="690"/>
      <c r="P1081" s="288"/>
      <c r="Q1081" s="288"/>
    </row>
    <row r="1082" spans="1:17" s="385" customFormat="1" ht="27.75" customHeight="1">
      <c r="A1082" s="331"/>
      <c r="B1082" s="702" t="s">
        <v>1341</v>
      </c>
      <c r="C1082" s="368" t="s">
        <v>1408</v>
      </c>
      <c r="D1082" s="365"/>
      <c r="E1082" s="724"/>
      <c r="F1082" s="728"/>
      <c r="G1082" s="721"/>
      <c r="H1082" s="724" t="s">
        <v>2053</v>
      </c>
      <c r="I1082" s="728">
        <v>11</v>
      </c>
      <c r="J1082" s="721">
        <v>706.2</v>
      </c>
      <c r="K1082" s="374">
        <f t="shared" si="47"/>
        <v>0</v>
      </c>
      <c r="L1082" s="374">
        <f t="shared" ref="L1082:L1223" si="48">+J1082</f>
        <v>706.2</v>
      </c>
      <c r="M1082" s="329"/>
      <c r="N1082" s="690"/>
      <c r="O1082" s="690"/>
      <c r="P1082" s="288"/>
      <c r="Q1082" s="288"/>
    </row>
    <row r="1083" spans="1:17" s="385" customFormat="1" ht="27.75" customHeight="1">
      <c r="A1083" s="331">
        <v>56</v>
      </c>
      <c r="B1083" s="702" t="s">
        <v>1777</v>
      </c>
      <c r="C1083" s="368" t="s">
        <v>1790</v>
      </c>
      <c r="D1083" s="365"/>
      <c r="E1083" s="724"/>
      <c r="F1083" s="728"/>
      <c r="G1083" s="721"/>
      <c r="H1083" s="373" t="s">
        <v>2061</v>
      </c>
      <c r="I1083" s="331">
        <v>5</v>
      </c>
      <c r="J1083" s="338">
        <v>321</v>
      </c>
      <c r="K1083" s="374">
        <f t="shared" si="47"/>
        <v>0</v>
      </c>
      <c r="L1083" s="374">
        <f t="shared" si="48"/>
        <v>321</v>
      </c>
      <c r="M1083" s="329"/>
      <c r="N1083" s="690"/>
      <c r="O1083" s="690"/>
      <c r="P1083" s="288"/>
      <c r="Q1083" s="288"/>
    </row>
    <row r="1084" spans="1:17" s="385" customFormat="1" ht="27.75" customHeight="1">
      <c r="A1084" s="331">
        <v>57</v>
      </c>
      <c r="B1084" s="702" t="s">
        <v>1778</v>
      </c>
      <c r="C1084" s="368" t="s">
        <v>1791</v>
      </c>
      <c r="D1084" s="365"/>
      <c r="E1084" s="1438"/>
      <c r="F1084" s="728"/>
      <c r="G1084" s="721"/>
      <c r="H1084" s="373" t="s">
        <v>2061</v>
      </c>
      <c r="I1084" s="331">
        <v>5</v>
      </c>
      <c r="J1084" s="338">
        <v>321</v>
      </c>
      <c r="K1084" s="374">
        <f t="shared" si="47"/>
        <v>0</v>
      </c>
      <c r="L1084" s="374">
        <f t="shared" si="48"/>
        <v>321</v>
      </c>
      <c r="M1084" s="329"/>
      <c r="N1084" s="690"/>
      <c r="O1084" s="690"/>
      <c r="P1084" s="288"/>
      <c r="Q1084" s="288"/>
    </row>
    <row r="1085" spans="1:17" s="385" customFormat="1" ht="27.75" customHeight="1">
      <c r="A1085" s="331">
        <v>58</v>
      </c>
      <c r="B1085" s="702" t="s">
        <v>681</v>
      </c>
      <c r="C1085" s="368" t="s">
        <v>1670</v>
      </c>
      <c r="D1085" s="365"/>
      <c r="E1085" s="724"/>
      <c r="F1085" s="728"/>
      <c r="G1085" s="721"/>
      <c r="H1085" s="724" t="s">
        <v>2054</v>
      </c>
      <c r="I1085" s="728">
        <v>9</v>
      </c>
      <c r="J1085" s="721">
        <v>577.79999999999995</v>
      </c>
      <c r="K1085" s="374">
        <f t="shared" si="47"/>
        <v>0</v>
      </c>
      <c r="L1085" s="374">
        <f t="shared" si="48"/>
        <v>577.79999999999995</v>
      </c>
      <c r="M1085" s="329"/>
      <c r="N1085" s="690"/>
      <c r="O1085" s="690"/>
      <c r="P1085" s="288"/>
      <c r="Q1085" s="288"/>
    </row>
    <row r="1086" spans="1:17" s="385" customFormat="1" ht="27.75" customHeight="1">
      <c r="A1086" s="331">
        <v>59</v>
      </c>
      <c r="B1086" s="363" t="s">
        <v>1082</v>
      </c>
      <c r="C1086" s="397" t="s">
        <v>1671</v>
      </c>
      <c r="D1086" s="505"/>
      <c r="E1086" s="397"/>
      <c r="F1086" s="397"/>
      <c r="G1086" s="505"/>
      <c r="H1086" s="724" t="s">
        <v>2054</v>
      </c>
      <c r="I1086" s="728">
        <v>9</v>
      </c>
      <c r="J1086" s="721">
        <v>577.79999999999995</v>
      </c>
      <c r="K1086" s="374">
        <f t="shared" si="47"/>
        <v>0</v>
      </c>
      <c r="L1086" s="374">
        <f t="shared" si="48"/>
        <v>577.79999999999995</v>
      </c>
      <c r="M1086" s="329"/>
      <c r="N1086" s="690"/>
      <c r="O1086" s="690"/>
      <c r="P1086" s="288"/>
      <c r="Q1086" s="288"/>
    </row>
    <row r="1087" spans="1:17" s="385" customFormat="1" ht="27.75" customHeight="1">
      <c r="A1087" s="331">
        <v>60</v>
      </c>
      <c r="B1087" s="363" t="s">
        <v>1058</v>
      </c>
      <c r="C1087" s="397" t="s">
        <v>1792</v>
      </c>
      <c r="D1087" s="505"/>
      <c r="E1087" s="397"/>
      <c r="F1087" s="397"/>
      <c r="G1087" s="505"/>
      <c r="H1087" s="724" t="s">
        <v>2089</v>
      </c>
      <c r="I1087" s="728">
        <v>3</v>
      </c>
      <c r="J1087" s="721">
        <v>192.6</v>
      </c>
      <c r="K1087" s="374">
        <f t="shared" si="47"/>
        <v>0</v>
      </c>
      <c r="L1087" s="374">
        <f t="shared" si="48"/>
        <v>192.6</v>
      </c>
      <c r="M1087" s="329"/>
      <c r="N1087" s="690"/>
      <c r="O1087" s="690"/>
      <c r="P1087" s="288"/>
      <c r="Q1087" s="288"/>
    </row>
    <row r="1088" spans="1:17" s="385" customFormat="1" ht="27.75" customHeight="1">
      <c r="A1088" s="331">
        <v>61</v>
      </c>
      <c r="B1088" s="363" t="s">
        <v>1022</v>
      </c>
      <c r="C1088" s="397" t="s">
        <v>1040</v>
      </c>
      <c r="D1088" s="505"/>
      <c r="E1088" s="397"/>
      <c r="F1088" s="397"/>
      <c r="G1088" s="505"/>
      <c r="H1088" s="724" t="s">
        <v>2090</v>
      </c>
      <c r="I1088" s="728">
        <v>15</v>
      </c>
      <c r="J1088" s="721">
        <v>963</v>
      </c>
      <c r="K1088" s="374">
        <f t="shared" si="47"/>
        <v>0</v>
      </c>
      <c r="L1088" s="374">
        <f t="shared" si="48"/>
        <v>963</v>
      </c>
      <c r="M1088" s="329"/>
      <c r="N1088" s="690"/>
      <c r="O1088" s="690"/>
      <c r="P1088" s="288"/>
      <c r="Q1088" s="288"/>
    </row>
    <row r="1089" spans="1:17" s="385" customFormat="1" ht="27.75" customHeight="1">
      <c r="A1089" s="331">
        <v>62</v>
      </c>
      <c r="B1089" s="363" t="s">
        <v>683</v>
      </c>
      <c r="C1089" s="397" t="s">
        <v>1188</v>
      </c>
      <c r="D1089" s="505"/>
      <c r="E1089" s="397"/>
      <c r="F1089" s="397"/>
      <c r="G1089" s="505"/>
      <c r="H1089" s="724" t="s">
        <v>1630</v>
      </c>
      <c r="I1089" s="728">
        <v>1</v>
      </c>
      <c r="J1089" s="721">
        <v>64.2</v>
      </c>
      <c r="K1089" s="374">
        <f t="shared" si="47"/>
        <v>0</v>
      </c>
      <c r="L1089" s="374">
        <f t="shared" si="48"/>
        <v>64.2</v>
      </c>
      <c r="M1089" s="329"/>
      <c r="N1089" s="690"/>
      <c r="O1089" s="690"/>
      <c r="P1089" s="288"/>
      <c r="Q1089" s="288"/>
    </row>
    <row r="1090" spans="1:17" s="385" customFormat="1" ht="27.75" customHeight="1">
      <c r="A1090" s="331"/>
      <c r="B1090" s="363" t="s">
        <v>683</v>
      </c>
      <c r="C1090" s="397" t="s">
        <v>1188</v>
      </c>
      <c r="D1090" s="505"/>
      <c r="E1090" s="397"/>
      <c r="F1090" s="397"/>
      <c r="G1090" s="505"/>
      <c r="H1090" s="724" t="s">
        <v>2054</v>
      </c>
      <c r="I1090" s="728">
        <v>9</v>
      </c>
      <c r="J1090" s="721">
        <v>577.79999999999995</v>
      </c>
      <c r="K1090" s="374">
        <f t="shared" si="47"/>
        <v>0</v>
      </c>
      <c r="L1090" s="374">
        <f t="shared" si="48"/>
        <v>577.79999999999995</v>
      </c>
      <c r="M1090" s="329"/>
      <c r="N1090" s="690"/>
      <c r="O1090" s="690"/>
      <c r="P1090" s="288"/>
      <c r="Q1090" s="288"/>
    </row>
    <row r="1091" spans="1:17" s="385" customFormat="1" ht="27.75" customHeight="1">
      <c r="A1091" s="331">
        <v>63</v>
      </c>
      <c r="B1091" s="363" t="s">
        <v>685</v>
      </c>
      <c r="C1091" s="397" t="s">
        <v>1672</v>
      </c>
      <c r="D1091" s="505"/>
      <c r="E1091" s="397"/>
      <c r="F1091" s="397"/>
      <c r="G1091" s="505"/>
      <c r="H1091" s="724" t="s">
        <v>2054</v>
      </c>
      <c r="I1091" s="728">
        <v>9</v>
      </c>
      <c r="J1091" s="721">
        <v>577.79999999999995</v>
      </c>
      <c r="K1091" s="374">
        <f t="shared" si="47"/>
        <v>0</v>
      </c>
      <c r="L1091" s="374">
        <f t="shared" si="48"/>
        <v>577.79999999999995</v>
      </c>
      <c r="M1091" s="329"/>
      <c r="N1091" s="690"/>
      <c r="O1091" s="690"/>
      <c r="P1091" s="288"/>
      <c r="Q1091" s="288"/>
    </row>
    <row r="1092" spans="1:17" s="385" customFormat="1" ht="27.75" customHeight="1">
      <c r="A1092" s="331">
        <v>64</v>
      </c>
      <c r="B1092" s="363" t="s">
        <v>1343</v>
      </c>
      <c r="C1092" s="397" t="s">
        <v>1409</v>
      </c>
      <c r="D1092" s="505"/>
      <c r="E1092" s="397"/>
      <c r="F1092" s="397"/>
      <c r="G1092" s="505"/>
      <c r="H1092" s="724" t="s">
        <v>2091</v>
      </c>
      <c r="I1092" s="728">
        <v>17</v>
      </c>
      <c r="J1092" s="721">
        <v>1091.4000000000003</v>
      </c>
      <c r="K1092" s="374">
        <f t="shared" si="47"/>
        <v>0</v>
      </c>
      <c r="L1092" s="374">
        <f t="shared" si="48"/>
        <v>1091.4000000000003</v>
      </c>
      <c r="M1092" s="329"/>
      <c r="N1092" s="690"/>
      <c r="O1092" s="690"/>
      <c r="P1092" s="288"/>
      <c r="Q1092" s="288"/>
    </row>
    <row r="1093" spans="1:17" s="385" customFormat="1" ht="27.75" customHeight="1">
      <c r="A1093" s="331"/>
      <c r="B1093" s="363" t="s">
        <v>1343</v>
      </c>
      <c r="C1093" s="397" t="s">
        <v>1409</v>
      </c>
      <c r="D1093" s="505"/>
      <c r="E1093" s="397"/>
      <c r="F1093" s="397"/>
      <c r="G1093" s="505"/>
      <c r="H1093" s="724" t="s">
        <v>2874</v>
      </c>
      <c r="I1093" s="728">
        <v>5</v>
      </c>
      <c r="J1093" s="721">
        <v>321</v>
      </c>
      <c r="K1093" s="374">
        <f t="shared" si="47"/>
        <v>0</v>
      </c>
      <c r="L1093" s="374">
        <f t="shared" si="48"/>
        <v>321</v>
      </c>
      <c r="M1093" s="329"/>
      <c r="N1093" s="690"/>
      <c r="O1093" s="690"/>
      <c r="P1093" s="288"/>
      <c r="Q1093" s="288"/>
    </row>
    <row r="1094" spans="1:17" s="385" customFormat="1" ht="30" customHeight="1">
      <c r="A1094" s="331"/>
      <c r="B1094" s="363" t="s">
        <v>1343</v>
      </c>
      <c r="C1094" s="397" t="s">
        <v>1409</v>
      </c>
      <c r="D1094" s="505"/>
      <c r="E1094" s="397"/>
      <c r="F1094" s="397"/>
      <c r="G1094" s="505"/>
      <c r="H1094" s="724" t="s">
        <v>2053</v>
      </c>
      <c r="I1094" s="728">
        <v>11</v>
      </c>
      <c r="J1094" s="721">
        <v>706.2</v>
      </c>
      <c r="K1094" s="374">
        <f t="shared" si="47"/>
        <v>0</v>
      </c>
      <c r="L1094" s="374">
        <f t="shared" si="48"/>
        <v>706.2</v>
      </c>
      <c r="M1094" s="329"/>
      <c r="N1094" s="690"/>
      <c r="O1094" s="690"/>
      <c r="P1094" s="288"/>
      <c r="Q1094" s="288"/>
    </row>
    <row r="1095" spans="1:17" s="385" customFormat="1" ht="30" customHeight="1">
      <c r="A1095" s="331">
        <v>65</v>
      </c>
      <c r="B1095" s="363" t="s">
        <v>1827</v>
      </c>
      <c r="C1095" s="397" t="s">
        <v>389</v>
      </c>
      <c r="D1095" s="505"/>
      <c r="E1095" s="397"/>
      <c r="F1095" s="397"/>
      <c r="G1095" s="505"/>
      <c r="H1095" s="724" t="s">
        <v>2083</v>
      </c>
      <c r="I1095" s="728">
        <v>13</v>
      </c>
      <c r="J1095" s="721">
        <v>834.6</v>
      </c>
      <c r="K1095" s="374">
        <f t="shared" si="47"/>
        <v>0</v>
      </c>
      <c r="L1095" s="374">
        <f t="shared" si="48"/>
        <v>834.6</v>
      </c>
      <c r="M1095" s="329"/>
      <c r="N1095" s="690"/>
      <c r="O1095" s="690"/>
      <c r="P1095" s="288"/>
      <c r="Q1095" s="288"/>
    </row>
    <row r="1096" spans="1:17" s="385" customFormat="1" ht="30" customHeight="1">
      <c r="A1096" s="331">
        <v>66</v>
      </c>
      <c r="B1096" s="363" t="s">
        <v>1024</v>
      </c>
      <c r="C1096" s="397" t="s">
        <v>1410</v>
      </c>
      <c r="D1096" s="505"/>
      <c r="E1096" s="397"/>
      <c r="F1096" s="397"/>
      <c r="G1096" s="505"/>
      <c r="H1096" s="724" t="s">
        <v>2053</v>
      </c>
      <c r="I1096" s="728">
        <v>11</v>
      </c>
      <c r="J1096" s="721">
        <v>706.2</v>
      </c>
      <c r="K1096" s="374">
        <f t="shared" si="47"/>
        <v>0</v>
      </c>
      <c r="L1096" s="374">
        <f t="shared" si="48"/>
        <v>706.2</v>
      </c>
      <c r="M1096" s="329"/>
      <c r="N1096" s="690"/>
      <c r="O1096" s="690"/>
      <c r="P1096" s="288"/>
      <c r="Q1096" s="288"/>
    </row>
    <row r="1097" spans="1:17" s="385" customFormat="1" ht="30" customHeight="1">
      <c r="A1097" s="331">
        <v>67</v>
      </c>
      <c r="B1097" s="363" t="s">
        <v>1025</v>
      </c>
      <c r="C1097" s="397" t="s">
        <v>1584</v>
      </c>
      <c r="D1097" s="505"/>
      <c r="E1097" s="397"/>
      <c r="F1097" s="397"/>
      <c r="G1097" s="505"/>
      <c r="H1097" s="724" t="s">
        <v>2074</v>
      </c>
      <c r="I1097" s="728">
        <v>10</v>
      </c>
      <c r="J1097" s="721">
        <v>642</v>
      </c>
      <c r="K1097" s="374">
        <f t="shared" si="47"/>
        <v>0</v>
      </c>
      <c r="L1097" s="374">
        <f t="shared" si="48"/>
        <v>642</v>
      </c>
      <c r="M1097" s="329"/>
      <c r="N1097" s="690"/>
      <c r="O1097" s="690"/>
      <c r="P1097" s="288"/>
      <c r="Q1097" s="288"/>
    </row>
    <row r="1098" spans="1:17" s="385" customFormat="1" ht="30" customHeight="1">
      <c r="A1098" s="331">
        <v>68</v>
      </c>
      <c r="B1098" s="363" t="s">
        <v>1176</v>
      </c>
      <c r="C1098" s="397" t="s">
        <v>1411</v>
      </c>
      <c r="D1098" s="505"/>
      <c r="E1098" s="397"/>
      <c r="F1098" s="397"/>
      <c r="G1098" s="505"/>
      <c r="H1098" s="724" t="s">
        <v>2053</v>
      </c>
      <c r="I1098" s="728">
        <v>11</v>
      </c>
      <c r="J1098" s="721">
        <v>706.2</v>
      </c>
      <c r="K1098" s="374">
        <f t="shared" si="47"/>
        <v>0</v>
      </c>
      <c r="L1098" s="374">
        <f t="shared" si="48"/>
        <v>706.2</v>
      </c>
      <c r="M1098" s="329"/>
      <c r="N1098" s="690"/>
      <c r="O1098" s="690"/>
      <c r="P1098" s="288"/>
      <c r="Q1098" s="288"/>
    </row>
    <row r="1099" spans="1:17" s="385" customFormat="1" ht="30" customHeight="1">
      <c r="A1099" s="331">
        <v>69</v>
      </c>
      <c r="B1099" s="363" t="s">
        <v>1177</v>
      </c>
      <c r="C1099" s="397" t="s">
        <v>1412</v>
      </c>
      <c r="D1099" s="505"/>
      <c r="E1099" s="397"/>
      <c r="F1099" s="397"/>
      <c r="G1099" s="505"/>
      <c r="H1099" s="724" t="s">
        <v>2053</v>
      </c>
      <c r="I1099" s="728">
        <v>11</v>
      </c>
      <c r="J1099" s="721">
        <v>706.2</v>
      </c>
      <c r="K1099" s="374">
        <f t="shared" si="47"/>
        <v>0</v>
      </c>
      <c r="L1099" s="374">
        <f t="shared" si="48"/>
        <v>706.2</v>
      </c>
      <c r="M1099" s="329"/>
      <c r="N1099" s="690"/>
      <c r="O1099" s="690"/>
      <c r="P1099" s="288"/>
      <c r="Q1099" s="288"/>
    </row>
    <row r="1100" spans="1:17" s="385" customFormat="1" ht="30" customHeight="1">
      <c r="A1100" s="331">
        <v>70</v>
      </c>
      <c r="B1100" s="363" t="s">
        <v>1346</v>
      </c>
      <c r="C1100" s="397" t="s">
        <v>1413</v>
      </c>
      <c r="D1100" s="505"/>
      <c r="E1100" s="397"/>
      <c r="F1100" s="397"/>
      <c r="G1100" s="505"/>
      <c r="H1100" s="724" t="s">
        <v>2053</v>
      </c>
      <c r="I1100" s="728">
        <v>11</v>
      </c>
      <c r="J1100" s="721">
        <v>706.2</v>
      </c>
      <c r="K1100" s="374">
        <f t="shared" si="47"/>
        <v>0</v>
      </c>
      <c r="L1100" s="374">
        <f t="shared" si="48"/>
        <v>706.2</v>
      </c>
      <c r="M1100" s="329"/>
      <c r="N1100" s="690"/>
      <c r="O1100" s="690"/>
      <c r="P1100" s="288"/>
      <c r="Q1100" s="288"/>
    </row>
    <row r="1101" spans="1:17" s="385" customFormat="1" ht="30" customHeight="1">
      <c r="A1101" s="331">
        <v>71</v>
      </c>
      <c r="B1101" s="363" t="s">
        <v>1553</v>
      </c>
      <c r="C1101" s="397" t="s">
        <v>1673</v>
      </c>
      <c r="D1101" s="505"/>
      <c r="E1101" s="397"/>
      <c r="F1101" s="397"/>
      <c r="G1101" s="505"/>
      <c r="H1101" s="724" t="s">
        <v>2054</v>
      </c>
      <c r="I1101" s="728">
        <v>9</v>
      </c>
      <c r="J1101" s="721">
        <v>577.79999999999995</v>
      </c>
      <c r="K1101" s="374">
        <f t="shared" si="47"/>
        <v>0</v>
      </c>
      <c r="L1101" s="374">
        <f t="shared" si="48"/>
        <v>577.79999999999995</v>
      </c>
      <c r="M1101" s="329"/>
      <c r="N1101" s="690"/>
      <c r="O1101" s="690"/>
      <c r="P1101" s="288"/>
      <c r="Q1101" s="288"/>
    </row>
    <row r="1102" spans="1:17" s="385" customFormat="1" ht="30" customHeight="1">
      <c r="A1102" s="331">
        <v>72</v>
      </c>
      <c r="B1102" s="363" t="s">
        <v>412</v>
      </c>
      <c r="C1102" s="397" t="s">
        <v>424</v>
      </c>
      <c r="D1102" s="505"/>
      <c r="E1102" s="397"/>
      <c r="F1102" s="397"/>
      <c r="G1102" s="505"/>
      <c r="H1102" s="724" t="s">
        <v>1636</v>
      </c>
      <c r="I1102" s="728">
        <v>8</v>
      </c>
      <c r="J1102" s="721">
        <v>513.6</v>
      </c>
      <c r="K1102" s="374">
        <f t="shared" si="47"/>
        <v>0</v>
      </c>
      <c r="L1102" s="374">
        <f t="shared" si="48"/>
        <v>513.6</v>
      </c>
      <c r="M1102" s="329"/>
      <c r="N1102" s="690"/>
      <c r="O1102" s="690"/>
      <c r="P1102" s="288"/>
      <c r="Q1102" s="288"/>
    </row>
    <row r="1103" spans="1:17" s="385" customFormat="1" ht="30" customHeight="1">
      <c r="A1103" s="331"/>
      <c r="B1103" s="363" t="s">
        <v>412</v>
      </c>
      <c r="C1103" s="397" t="s">
        <v>424</v>
      </c>
      <c r="D1103" s="505"/>
      <c r="E1103" s="397"/>
      <c r="F1103" s="397"/>
      <c r="G1103" s="505"/>
      <c r="H1103" s="724" t="s">
        <v>2874</v>
      </c>
      <c r="I1103" s="728">
        <v>5</v>
      </c>
      <c r="J1103" s="721">
        <v>321</v>
      </c>
      <c r="K1103" s="374">
        <f t="shared" si="47"/>
        <v>0</v>
      </c>
      <c r="L1103" s="374">
        <f t="shared" si="48"/>
        <v>321</v>
      </c>
      <c r="M1103" s="329"/>
      <c r="N1103" s="690"/>
      <c r="O1103" s="690"/>
      <c r="P1103" s="288"/>
      <c r="Q1103" s="288"/>
    </row>
    <row r="1104" spans="1:17" s="385" customFormat="1" ht="30" customHeight="1">
      <c r="A1104" s="331"/>
      <c r="B1104" s="363" t="s">
        <v>412</v>
      </c>
      <c r="C1104" s="397" t="s">
        <v>424</v>
      </c>
      <c r="D1104" s="505"/>
      <c r="E1104" s="397"/>
      <c r="F1104" s="397"/>
      <c r="G1104" s="505"/>
      <c r="H1104" s="724" t="s">
        <v>2054</v>
      </c>
      <c r="I1104" s="728">
        <v>9</v>
      </c>
      <c r="J1104" s="721">
        <v>577.79999999999995</v>
      </c>
      <c r="K1104" s="374">
        <f t="shared" si="47"/>
        <v>0</v>
      </c>
      <c r="L1104" s="374">
        <f t="shared" si="48"/>
        <v>577.79999999999995</v>
      </c>
      <c r="M1104" s="329"/>
      <c r="N1104" s="690"/>
      <c r="O1104" s="690"/>
      <c r="P1104" s="288"/>
      <c r="Q1104" s="288"/>
    </row>
    <row r="1105" spans="1:19" s="385" customFormat="1" ht="30" customHeight="1">
      <c r="A1105" s="331">
        <v>73</v>
      </c>
      <c r="B1105" s="363" t="s">
        <v>1027</v>
      </c>
      <c r="C1105" s="397" t="s">
        <v>753</v>
      </c>
      <c r="D1105" s="505"/>
      <c r="E1105" s="397"/>
      <c r="F1105" s="397"/>
      <c r="G1105" s="505"/>
      <c r="H1105" s="724" t="s">
        <v>1007</v>
      </c>
      <c r="I1105" s="728">
        <v>10</v>
      </c>
      <c r="J1105" s="721">
        <v>642.00000000000011</v>
      </c>
      <c r="K1105" s="374">
        <f t="shared" si="47"/>
        <v>0</v>
      </c>
      <c r="L1105" s="374">
        <f t="shared" si="48"/>
        <v>642.00000000000011</v>
      </c>
      <c r="M1105" s="329"/>
      <c r="N1105" s="690"/>
      <c r="O1105" s="690"/>
      <c r="P1105" s="288"/>
      <c r="Q1105" s="553"/>
      <c r="R1105" s="525"/>
      <c r="S1105" s="729"/>
    </row>
    <row r="1106" spans="1:19" s="385" customFormat="1" ht="30" customHeight="1">
      <c r="A1106" s="331"/>
      <c r="B1106" s="363" t="s">
        <v>1027</v>
      </c>
      <c r="C1106" s="397" t="s">
        <v>753</v>
      </c>
      <c r="D1106" s="505"/>
      <c r="E1106" s="397"/>
      <c r="F1106" s="397"/>
      <c r="G1106" s="505"/>
      <c r="H1106" s="724" t="s">
        <v>2871</v>
      </c>
      <c r="I1106" s="728">
        <v>2</v>
      </c>
      <c r="J1106" s="721">
        <v>128.4</v>
      </c>
      <c r="K1106" s="374">
        <f t="shared" si="47"/>
        <v>0</v>
      </c>
      <c r="L1106" s="374">
        <f t="shared" si="48"/>
        <v>128.4</v>
      </c>
      <c r="M1106" s="329"/>
      <c r="N1106" s="690"/>
      <c r="O1106" s="690"/>
      <c r="P1106" s="288"/>
      <c r="Q1106" s="553"/>
      <c r="R1106" s="525"/>
      <c r="S1106" s="729"/>
    </row>
    <row r="1107" spans="1:19" s="385" customFormat="1" ht="30" customHeight="1">
      <c r="A1107" s="331"/>
      <c r="B1107" s="363" t="s">
        <v>1027</v>
      </c>
      <c r="C1107" s="397" t="s">
        <v>753</v>
      </c>
      <c r="D1107" s="505"/>
      <c r="E1107" s="397"/>
      <c r="F1107" s="397"/>
      <c r="G1107" s="505"/>
      <c r="H1107" s="724" t="s">
        <v>2053</v>
      </c>
      <c r="I1107" s="728">
        <v>11</v>
      </c>
      <c r="J1107" s="721">
        <v>706.2</v>
      </c>
      <c r="K1107" s="374">
        <f t="shared" si="47"/>
        <v>0</v>
      </c>
      <c r="L1107" s="374">
        <f t="shared" si="48"/>
        <v>706.2</v>
      </c>
      <c r="M1107" s="329"/>
      <c r="N1107" s="690"/>
      <c r="O1107" s="690"/>
      <c r="P1107" s="288"/>
      <c r="Q1107" s="553"/>
      <c r="R1107" s="525"/>
      <c r="S1107" s="729"/>
    </row>
    <row r="1108" spans="1:19" s="385" customFormat="1" ht="30" customHeight="1">
      <c r="A1108" s="331">
        <v>74</v>
      </c>
      <c r="B1108" s="363" t="s">
        <v>688</v>
      </c>
      <c r="C1108" s="397" t="s">
        <v>1768</v>
      </c>
      <c r="D1108" s="505"/>
      <c r="E1108" s="397"/>
      <c r="F1108" s="397"/>
      <c r="G1108" s="505"/>
      <c r="H1108" s="724" t="s">
        <v>2092</v>
      </c>
      <c r="I1108" s="728">
        <v>7</v>
      </c>
      <c r="J1108" s="721">
        <v>449.4</v>
      </c>
      <c r="K1108" s="374">
        <f t="shared" si="47"/>
        <v>0</v>
      </c>
      <c r="L1108" s="374">
        <f t="shared" si="48"/>
        <v>449.4</v>
      </c>
      <c r="M1108" s="329"/>
      <c r="N1108" s="690"/>
      <c r="O1108" s="690"/>
      <c r="P1108" s="288"/>
      <c r="Q1108" s="553"/>
      <c r="R1108" s="525"/>
      <c r="S1108" s="729"/>
    </row>
    <row r="1109" spans="1:19" s="385" customFormat="1" ht="30" customHeight="1">
      <c r="A1109" s="331">
        <v>75</v>
      </c>
      <c r="B1109" s="363" t="s">
        <v>689</v>
      </c>
      <c r="C1109" s="397" t="s">
        <v>1745</v>
      </c>
      <c r="D1109" s="505"/>
      <c r="E1109" s="397"/>
      <c r="F1109" s="397"/>
      <c r="G1109" s="505"/>
      <c r="H1109" s="724" t="s">
        <v>2060</v>
      </c>
      <c r="I1109" s="728">
        <v>8</v>
      </c>
      <c r="J1109" s="721">
        <v>513.6</v>
      </c>
      <c r="K1109" s="374">
        <f t="shared" si="47"/>
        <v>0</v>
      </c>
      <c r="L1109" s="374">
        <f t="shared" si="48"/>
        <v>513.6</v>
      </c>
      <c r="M1109" s="329"/>
      <c r="N1109" s="690"/>
      <c r="O1109" s="690"/>
      <c r="P1109" s="288"/>
      <c r="Q1109" s="553"/>
      <c r="R1109" s="525"/>
      <c r="S1109" s="729"/>
    </row>
    <row r="1110" spans="1:19" s="385" customFormat="1" ht="30" customHeight="1">
      <c r="A1110" s="331">
        <v>76</v>
      </c>
      <c r="B1110" s="363" t="s">
        <v>690</v>
      </c>
      <c r="C1110" s="397" t="s">
        <v>1674</v>
      </c>
      <c r="D1110" s="505"/>
      <c r="E1110" s="397"/>
      <c r="F1110" s="397"/>
      <c r="G1110" s="505"/>
      <c r="H1110" s="724" t="s">
        <v>2054</v>
      </c>
      <c r="I1110" s="728">
        <v>9</v>
      </c>
      <c r="J1110" s="721">
        <v>577.79999999999995</v>
      </c>
      <c r="K1110" s="374">
        <f t="shared" si="47"/>
        <v>0</v>
      </c>
      <c r="L1110" s="374">
        <f t="shared" si="48"/>
        <v>577.79999999999995</v>
      </c>
      <c r="M1110" s="329"/>
      <c r="N1110" s="690"/>
      <c r="O1110" s="690"/>
      <c r="P1110" s="288"/>
      <c r="Q1110" s="553"/>
      <c r="R1110" s="525"/>
      <c r="S1110" s="729"/>
    </row>
    <row r="1111" spans="1:19" s="385" customFormat="1" ht="30" customHeight="1">
      <c r="A1111" s="331">
        <v>77</v>
      </c>
      <c r="B1111" s="363" t="s">
        <v>1029</v>
      </c>
      <c r="C1111" s="397" t="s">
        <v>1812</v>
      </c>
      <c r="D1111" s="505"/>
      <c r="E1111" s="397"/>
      <c r="F1111" s="397"/>
      <c r="G1111" s="505"/>
      <c r="H1111" s="724" t="s">
        <v>2088</v>
      </c>
      <c r="I1111" s="728">
        <v>7</v>
      </c>
      <c r="J1111" s="721">
        <v>449.4</v>
      </c>
      <c r="K1111" s="374">
        <f t="shared" si="47"/>
        <v>0</v>
      </c>
      <c r="L1111" s="374">
        <f t="shared" si="48"/>
        <v>449.4</v>
      </c>
      <c r="M1111" s="329"/>
      <c r="N1111" s="690"/>
      <c r="O1111" s="690"/>
      <c r="P1111" s="288"/>
      <c r="Q1111" s="553"/>
      <c r="R1111" s="525"/>
      <c r="S1111" s="729"/>
    </row>
    <row r="1112" spans="1:19" s="385" customFormat="1" ht="30" customHeight="1">
      <c r="A1112" s="331">
        <v>78</v>
      </c>
      <c r="B1112" s="363" t="s">
        <v>1268</v>
      </c>
      <c r="C1112" s="397" t="s">
        <v>1276</v>
      </c>
      <c r="D1112" s="505"/>
      <c r="E1112" s="397"/>
      <c r="F1112" s="397"/>
      <c r="G1112" s="505"/>
      <c r="H1112" s="724" t="s">
        <v>2066</v>
      </c>
      <c r="I1112" s="728">
        <v>12</v>
      </c>
      <c r="J1112" s="721">
        <v>770.4</v>
      </c>
      <c r="K1112" s="374">
        <f t="shared" si="47"/>
        <v>0</v>
      </c>
      <c r="L1112" s="374">
        <f t="shared" si="48"/>
        <v>770.4</v>
      </c>
      <c r="M1112" s="329"/>
      <c r="N1112" s="690"/>
      <c r="O1112" s="690"/>
      <c r="P1112" s="288"/>
      <c r="Q1112" s="553"/>
      <c r="R1112" s="525"/>
      <c r="S1112" s="729"/>
    </row>
    <row r="1113" spans="1:19" s="385" customFormat="1" ht="30" customHeight="1">
      <c r="A1113" s="331">
        <v>79</v>
      </c>
      <c r="B1113" s="363" t="s">
        <v>360</v>
      </c>
      <c r="C1113" s="397" t="s">
        <v>1694</v>
      </c>
      <c r="D1113" s="505"/>
      <c r="E1113" s="397"/>
      <c r="F1113" s="397"/>
      <c r="G1113" s="505"/>
      <c r="H1113" s="724" t="s">
        <v>994</v>
      </c>
      <c r="I1113" s="728">
        <v>9</v>
      </c>
      <c r="J1113" s="721">
        <v>577.79999999999995</v>
      </c>
      <c r="K1113" s="374">
        <f t="shared" si="47"/>
        <v>0</v>
      </c>
      <c r="L1113" s="374">
        <f t="shared" si="48"/>
        <v>577.79999999999995</v>
      </c>
      <c r="M1113" s="329"/>
      <c r="N1113" s="690"/>
      <c r="O1113" s="690"/>
      <c r="P1113" s="288"/>
      <c r="Q1113" s="553"/>
      <c r="R1113" s="525"/>
      <c r="S1113" s="729"/>
    </row>
    <row r="1114" spans="1:19" s="385" customFormat="1" ht="30" customHeight="1">
      <c r="A1114" s="331">
        <v>80</v>
      </c>
      <c r="B1114" s="363" t="s">
        <v>1273</v>
      </c>
      <c r="C1114" s="397" t="s">
        <v>1414</v>
      </c>
      <c r="D1114" s="505"/>
      <c r="E1114" s="397"/>
      <c r="F1114" s="397"/>
      <c r="G1114" s="505"/>
      <c r="H1114" s="724" t="s">
        <v>2053</v>
      </c>
      <c r="I1114" s="728">
        <v>11</v>
      </c>
      <c r="J1114" s="721">
        <v>706.2</v>
      </c>
      <c r="K1114" s="374">
        <f t="shared" si="47"/>
        <v>0</v>
      </c>
      <c r="L1114" s="374">
        <f t="shared" si="48"/>
        <v>706.2</v>
      </c>
      <c r="M1114" s="329"/>
      <c r="N1114" s="690"/>
      <c r="O1114" s="690"/>
      <c r="P1114" s="288"/>
      <c r="Q1114" s="553"/>
      <c r="R1114" s="525"/>
      <c r="S1114" s="729"/>
    </row>
    <row r="1115" spans="1:19" s="385" customFormat="1" ht="30" customHeight="1">
      <c r="A1115" s="331">
        <v>81</v>
      </c>
      <c r="B1115" s="363" t="s">
        <v>1349</v>
      </c>
      <c r="C1115" s="397" t="s">
        <v>1415</v>
      </c>
      <c r="D1115" s="505"/>
      <c r="E1115" s="397"/>
      <c r="F1115" s="397"/>
      <c r="G1115" s="505"/>
      <c r="H1115" s="724" t="s">
        <v>2053</v>
      </c>
      <c r="I1115" s="728">
        <v>11</v>
      </c>
      <c r="J1115" s="721">
        <v>706.2</v>
      </c>
      <c r="K1115" s="374">
        <f t="shared" si="47"/>
        <v>0</v>
      </c>
      <c r="L1115" s="374">
        <f t="shared" si="48"/>
        <v>706.2</v>
      </c>
      <c r="M1115" s="329"/>
      <c r="N1115" s="690"/>
      <c r="O1115" s="690"/>
      <c r="P1115" s="288"/>
      <c r="Q1115" s="553"/>
      <c r="R1115" s="525"/>
      <c r="S1115" s="729"/>
    </row>
    <row r="1116" spans="1:19" s="385" customFormat="1" ht="30" customHeight="1">
      <c r="A1116" s="331">
        <v>82</v>
      </c>
      <c r="B1116" s="363" t="s">
        <v>692</v>
      </c>
      <c r="C1116" s="397" t="s">
        <v>390</v>
      </c>
      <c r="D1116" s="505"/>
      <c r="E1116" s="397"/>
      <c r="F1116" s="397"/>
      <c r="G1116" s="505"/>
      <c r="H1116" s="724" t="s">
        <v>994</v>
      </c>
      <c r="I1116" s="728">
        <v>9</v>
      </c>
      <c r="J1116" s="721">
        <v>577.79999999999995</v>
      </c>
      <c r="K1116" s="374">
        <f t="shared" si="47"/>
        <v>0</v>
      </c>
      <c r="L1116" s="374">
        <f t="shared" si="48"/>
        <v>577.79999999999995</v>
      </c>
      <c r="M1116" s="329"/>
      <c r="N1116" s="690"/>
      <c r="O1116" s="690"/>
      <c r="P1116" s="288"/>
      <c r="Q1116" s="553"/>
      <c r="R1116" s="525"/>
      <c r="S1116" s="729"/>
    </row>
    <row r="1117" spans="1:19" s="385" customFormat="1" ht="30" customHeight="1">
      <c r="A1117" s="331"/>
      <c r="B1117" s="363" t="s">
        <v>692</v>
      </c>
      <c r="C1117" s="397" t="s">
        <v>390</v>
      </c>
      <c r="D1117" s="505"/>
      <c r="E1117" s="397"/>
      <c r="F1117" s="397"/>
      <c r="G1117" s="505"/>
      <c r="H1117" s="724" t="s">
        <v>2876</v>
      </c>
      <c r="I1117" s="728">
        <v>12</v>
      </c>
      <c r="J1117" s="721">
        <v>770.4</v>
      </c>
      <c r="K1117" s="374">
        <f t="shared" si="47"/>
        <v>0</v>
      </c>
      <c r="L1117" s="374">
        <f t="shared" si="48"/>
        <v>770.4</v>
      </c>
      <c r="M1117" s="329"/>
      <c r="N1117" s="690"/>
      <c r="O1117" s="690"/>
      <c r="P1117" s="288"/>
      <c r="Q1117" s="553"/>
      <c r="R1117" s="525"/>
      <c r="S1117" s="729"/>
    </row>
    <row r="1118" spans="1:19" s="385" customFormat="1" ht="30" customHeight="1">
      <c r="A1118" s="331"/>
      <c r="B1118" s="363" t="s">
        <v>692</v>
      </c>
      <c r="C1118" s="397" t="s">
        <v>390</v>
      </c>
      <c r="D1118" s="505"/>
      <c r="E1118" s="397"/>
      <c r="F1118" s="397"/>
      <c r="G1118" s="505"/>
      <c r="H1118" s="724" t="s">
        <v>2054</v>
      </c>
      <c r="I1118" s="728">
        <v>9</v>
      </c>
      <c r="J1118" s="721">
        <v>577.79999999999995</v>
      </c>
      <c r="K1118" s="374">
        <f t="shared" si="47"/>
        <v>0</v>
      </c>
      <c r="L1118" s="374">
        <f t="shared" si="48"/>
        <v>577.79999999999995</v>
      </c>
      <c r="M1118" s="329"/>
      <c r="N1118" s="690"/>
      <c r="O1118" s="690"/>
      <c r="P1118" s="288"/>
      <c r="Q1118" s="553"/>
      <c r="R1118" s="525"/>
      <c r="S1118" s="729"/>
    </row>
    <row r="1119" spans="1:19" s="385" customFormat="1" ht="30" customHeight="1">
      <c r="A1119" s="331">
        <v>83</v>
      </c>
      <c r="B1119" s="363" t="s">
        <v>694</v>
      </c>
      <c r="C1119" s="397" t="s">
        <v>392</v>
      </c>
      <c r="D1119" s="505"/>
      <c r="E1119" s="397"/>
      <c r="F1119" s="397"/>
      <c r="G1119" s="505"/>
      <c r="H1119" s="724" t="s">
        <v>1604</v>
      </c>
      <c r="I1119" s="728">
        <v>3</v>
      </c>
      <c r="J1119" s="721">
        <v>192.6</v>
      </c>
      <c r="K1119" s="374">
        <f t="shared" si="47"/>
        <v>0</v>
      </c>
      <c r="L1119" s="374">
        <f t="shared" si="48"/>
        <v>192.6</v>
      </c>
      <c r="M1119" s="329"/>
      <c r="N1119" s="690"/>
      <c r="O1119" s="690"/>
      <c r="P1119" s="288"/>
      <c r="Q1119" s="553"/>
      <c r="R1119" s="525"/>
      <c r="S1119" s="729"/>
    </row>
    <row r="1120" spans="1:19" s="385" customFormat="1" ht="30" customHeight="1">
      <c r="A1120" s="331"/>
      <c r="B1120" s="363" t="s">
        <v>694</v>
      </c>
      <c r="C1120" s="397" t="s">
        <v>392</v>
      </c>
      <c r="D1120" s="505"/>
      <c r="E1120" s="397"/>
      <c r="F1120" s="397"/>
      <c r="G1120" s="505"/>
      <c r="H1120" s="724" t="s">
        <v>2876</v>
      </c>
      <c r="I1120" s="728">
        <v>12</v>
      </c>
      <c r="J1120" s="721">
        <v>770.4</v>
      </c>
      <c r="K1120" s="374">
        <f t="shared" si="47"/>
        <v>0</v>
      </c>
      <c r="L1120" s="374">
        <f t="shared" si="48"/>
        <v>770.4</v>
      </c>
      <c r="M1120" s="329"/>
      <c r="N1120" s="690"/>
      <c r="O1120" s="690"/>
      <c r="P1120" s="288"/>
      <c r="Q1120" s="553"/>
      <c r="R1120" s="525"/>
      <c r="S1120" s="729"/>
    </row>
    <row r="1121" spans="1:19" s="385" customFormat="1" ht="30" customHeight="1">
      <c r="A1121" s="331"/>
      <c r="B1121" s="363" t="s">
        <v>694</v>
      </c>
      <c r="C1121" s="397" t="s">
        <v>392</v>
      </c>
      <c r="D1121" s="505"/>
      <c r="E1121" s="397"/>
      <c r="F1121" s="397"/>
      <c r="G1121" s="505"/>
      <c r="H1121" s="724" t="s">
        <v>2053</v>
      </c>
      <c r="I1121" s="728">
        <v>11</v>
      </c>
      <c r="J1121" s="721">
        <v>706.2</v>
      </c>
      <c r="K1121" s="374">
        <f t="shared" si="47"/>
        <v>0</v>
      </c>
      <c r="L1121" s="374">
        <f t="shared" si="48"/>
        <v>706.2</v>
      </c>
      <c r="M1121" s="329"/>
      <c r="N1121" s="690"/>
      <c r="O1121" s="690"/>
      <c r="P1121" s="288"/>
      <c r="Q1121" s="553"/>
      <c r="R1121" s="525"/>
      <c r="S1121" s="729"/>
    </row>
    <row r="1122" spans="1:19" s="385" customFormat="1" ht="30" customHeight="1">
      <c r="A1122" s="331">
        <v>84</v>
      </c>
      <c r="B1122" s="363" t="s">
        <v>1147</v>
      </c>
      <c r="C1122" s="397" t="s">
        <v>1695</v>
      </c>
      <c r="D1122" s="505"/>
      <c r="E1122" s="397"/>
      <c r="F1122" s="397"/>
      <c r="G1122" s="505"/>
      <c r="H1122" s="724" t="s">
        <v>1139</v>
      </c>
      <c r="I1122" s="728">
        <v>9</v>
      </c>
      <c r="J1122" s="721">
        <v>577.79999999999995</v>
      </c>
      <c r="K1122" s="374">
        <f t="shared" si="47"/>
        <v>0</v>
      </c>
      <c r="L1122" s="374">
        <f t="shared" si="48"/>
        <v>577.79999999999995</v>
      </c>
      <c r="M1122" s="329"/>
      <c r="N1122" s="690"/>
      <c r="O1122" s="690"/>
      <c r="P1122" s="288"/>
      <c r="Q1122" s="553"/>
      <c r="R1122" s="525"/>
      <c r="S1122" s="729"/>
    </row>
    <row r="1123" spans="1:19" s="385" customFormat="1" ht="30" customHeight="1">
      <c r="A1123" s="331">
        <v>85</v>
      </c>
      <c r="B1123" s="363" t="s">
        <v>759</v>
      </c>
      <c r="C1123" s="397" t="s">
        <v>1696</v>
      </c>
      <c r="D1123" s="505"/>
      <c r="E1123" s="397"/>
      <c r="F1123" s="397"/>
      <c r="G1123" s="505"/>
      <c r="H1123" s="724" t="s">
        <v>1139</v>
      </c>
      <c r="I1123" s="728">
        <v>9</v>
      </c>
      <c r="J1123" s="721">
        <v>577.79999999999995</v>
      </c>
      <c r="K1123" s="374">
        <f t="shared" si="47"/>
        <v>0</v>
      </c>
      <c r="L1123" s="374">
        <f t="shared" si="48"/>
        <v>577.79999999999995</v>
      </c>
      <c r="M1123" s="329"/>
      <c r="N1123" s="690"/>
      <c r="O1123" s="690"/>
      <c r="P1123" s="288"/>
      <c r="Q1123" s="553"/>
      <c r="R1123" s="525"/>
      <c r="S1123" s="729"/>
    </row>
    <row r="1124" spans="1:19" s="385" customFormat="1" ht="30" customHeight="1">
      <c r="A1124" s="331">
        <v>86</v>
      </c>
      <c r="B1124" s="363" t="s">
        <v>696</v>
      </c>
      <c r="C1124" s="397" t="s">
        <v>393</v>
      </c>
      <c r="D1124" s="505"/>
      <c r="E1124" s="397"/>
      <c r="F1124" s="397"/>
      <c r="G1124" s="505"/>
      <c r="H1124" s="724" t="s">
        <v>1637</v>
      </c>
      <c r="I1124" s="728">
        <v>3</v>
      </c>
      <c r="J1124" s="721">
        <v>192.6</v>
      </c>
      <c r="K1124" s="374">
        <f t="shared" si="47"/>
        <v>0</v>
      </c>
      <c r="L1124" s="374">
        <f t="shared" si="48"/>
        <v>192.6</v>
      </c>
      <c r="M1124" s="329"/>
      <c r="N1124" s="690"/>
      <c r="O1124" s="690"/>
      <c r="P1124" s="288"/>
      <c r="Q1124" s="553"/>
      <c r="R1124" s="525"/>
      <c r="S1124" s="729"/>
    </row>
    <row r="1125" spans="1:19" s="385" customFormat="1" ht="30" customHeight="1">
      <c r="A1125" s="331"/>
      <c r="B1125" s="363" t="s">
        <v>696</v>
      </c>
      <c r="C1125" s="397" t="s">
        <v>393</v>
      </c>
      <c r="D1125" s="505"/>
      <c r="E1125" s="397"/>
      <c r="F1125" s="397"/>
      <c r="G1125" s="505"/>
      <c r="H1125" s="724" t="s">
        <v>2884</v>
      </c>
      <c r="I1125" s="728">
        <v>5</v>
      </c>
      <c r="J1125" s="721">
        <v>321</v>
      </c>
      <c r="K1125" s="374">
        <f t="shared" si="47"/>
        <v>0</v>
      </c>
      <c r="L1125" s="374">
        <f t="shared" si="48"/>
        <v>321</v>
      </c>
      <c r="M1125" s="329"/>
      <c r="N1125" s="690"/>
      <c r="O1125" s="690"/>
      <c r="P1125" s="288"/>
      <c r="Q1125" s="553"/>
      <c r="R1125" s="525"/>
      <c r="S1125" s="729"/>
    </row>
    <row r="1126" spans="1:19" s="385" customFormat="1" ht="30" customHeight="1">
      <c r="A1126" s="331"/>
      <c r="B1126" s="363" t="s">
        <v>696</v>
      </c>
      <c r="C1126" s="397" t="s">
        <v>393</v>
      </c>
      <c r="D1126" s="505"/>
      <c r="E1126" s="397"/>
      <c r="F1126" s="397"/>
      <c r="G1126" s="505"/>
      <c r="H1126" s="724" t="s">
        <v>2053</v>
      </c>
      <c r="I1126" s="728">
        <v>11</v>
      </c>
      <c r="J1126" s="721">
        <v>706.2</v>
      </c>
      <c r="K1126" s="374">
        <f t="shared" si="47"/>
        <v>0</v>
      </c>
      <c r="L1126" s="374">
        <f t="shared" si="48"/>
        <v>706.2</v>
      </c>
      <c r="M1126" s="329"/>
      <c r="N1126" s="690"/>
      <c r="O1126" s="690"/>
      <c r="P1126" s="288"/>
      <c r="Q1126" s="553"/>
      <c r="R1126" s="525"/>
      <c r="S1126" s="729"/>
    </row>
    <row r="1127" spans="1:19" s="385" customFormat="1" ht="30" customHeight="1">
      <c r="A1127" s="331">
        <v>87</v>
      </c>
      <c r="B1127" s="363" t="s">
        <v>1753</v>
      </c>
      <c r="C1127" s="397" t="s">
        <v>1746</v>
      </c>
      <c r="D1127" s="505"/>
      <c r="E1127" s="397"/>
      <c r="F1127" s="397"/>
      <c r="G1127" s="505"/>
      <c r="H1127" s="724" t="s">
        <v>1167</v>
      </c>
      <c r="I1127" s="728">
        <v>12</v>
      </c>
      <c r="J1127" s="721">
        <v>770.4</v>
      </c>
      <c r="K1127" s="374">
        <f t="shared" si="47"/>
        <v>0</v>
      </c>
      <c r="L1127" s="374">
        <f t="shared" si="48"/>
        <v>770.4</v>
      </c>
      <c r="M1127" s="329"/>
      <c r="N1127" s="690"/>
      <c r="O1127" s="690"/>
      <c r="P1127" s="288"/>
      <c r="Q1127" s="553"/>
      <c r="R1127" s="525"/>
      <c r="S1127" s="729"/>
    </row>
    <row r="1128" spans="1:19" s="385" customFormat="1" ht="30" customHeight="1">
      <c r="A1128" s="331">
        <v>88</v>
      </c>
      <c r="B1128" s="363" t="s">
        <v>1053</v>
      </c>
      <c r="C1128" s="397" t="s">
        <v>1793</v>
      </c>
      <c r="D1128" s="505"/>
      <c r="E1128" s="397"/>
      <c r="F1128" s="397"/>
      <c r="G1128" s="505"/>
      <c r="H1128" s="724" t="s">
        <v>2061</v>
      </c>
      <c r="I1128" s="728">
        <v>5</v>
      </c>
      <c r="J1128" s="721">
        <v>321</v>
      </c>
      <c r="K1128" s="374">
        <f t="shared" si="47"/>
        <v>0</v>
      </c>
      <c r="L1128" s="374">
        <f t="shared" si="48"/>
        <v>321</v>
      </c>
      <c r="M1128" s="329"/>
      <c r="N1128" s="690"/>
      <c r="O1128" s="690"/>
      <c r="P1128" s="288"/>
      <c r="Q1128" s="553"/>
      <c r="R1128" s="525"/>
      <c r="S1128" s="729"/>
    </row>
    <row r="1129" spans="1:19" s="385" customFormat="1" ht="30" customHeight="1">
      <c r="A1129" s="331">
        <v>89</v>
      </c>
      <c r="B1129" s="363" t="s">
        <v>1555</v>
      </c>
      <c r="C1129" s="397" t="s">
        <v>1585</v>
      </c>
      <c r="D1129" s="505"/>
      <c r="E1129" s="397"/>
      <c r="F1129" s="397"/>
      <c r="G1129" s="505"/>
      <c r="H1129" s="724" t="s">
        <v>2074</v>
      </c>
      <c r="I1129" s="728">
        <v>10</v>
      </c>
      <c r="J1129" s="721">
        <v>642</v>
      </c>
      <c r="K1129" s="374">
        <f t="shared" si="47"/>
        <v>0</v>
      </c>
      <c r="L1129" s="374">
        <f t="shared" si="48"/>
        <v>642</v>
      </c>
      <c r="M1129" s="329"/>
      <c r="N1129" s="690"/>
      <c r="O1129" s="690"/>
      <c r="P1129" s="288"/>
      <c r="Q1129" s="553"/>
      <c r="R1129" s="525"/>
      <c r="S1129" s="729"/>
    </row>
    <row r="1130" spans="1:19" s="385" customFormat="1" ht="30" customHeight="1">
      <c r="A1130" s="331">
        <v>90</v>
      </c>
      <c r="B1130" s="363" t="s">
        <v>1557</v>
      </c>
      <c r="C1130" s="397" t="s">
        <v>1586</v>
      </c>
      <c r="D1130" s="505"/>
      <c r="E1130" s="397"/>
      <c r="F1130" s="397"/>
      <c r="G1130" s="505"/>
      <c r="H1130" s="724" t="s">
        <v>1638</v>
      </c>
      <c r="I1130" s="728">
        <v>11</v>
      </c>
      <c r="J1130" s="721">
        <v>706.2</v>
      </c>
      <c r="K1130" s="374">
        <f t="shared" si="47"/>
        <v>0</v>
      </c>
      <c r="L1130" s="374">
        <f t="shared" si="48"/>
        <v>706.2</v>
      </c>
      <c r="M1130" s="329"/>
      <c r="N1130" s="690"/>
      <c r="O1130" s="690"/>
      <c r="P1130" s="288"/>
      <c r="Q1130" s="553"/>
      <c r="R1130" s="525"/>
      <c r="S1130" s="729"/>
    </row>
    <row r="1131" spans="1:19" s="385" customFormat="1" ht="30" customHeight="1">
      <c r="A1131" s="331"/>
      <c r="B1131" s="363" t="s">
        <v>1557</v>
      </c>
      <c r="C1131" s="397" t="s">
        <v>1586</v>
      </c>
      <c r="D1131" s="505"/>
      <c r="E1131" s="397"/>
      <c r="F1131" s="397"/>
      <c r="G1131" s="505"/>
      <c r="H1131" s="724" t="s">
        <v>2879</v>
      </c>
      <c r="I1131" s="728">
        <v>7</v>
      </c>
      <c r="J1131" s="721">
        <v>449.4</v>
      </c>
      <c r="K1131" s="374">
        <f t="shared" si="47"/>
        <v>0</v>
      </c>
      <c r="L1131" s="374">
        <f t="shared" si="48"/>
        <v>449.4</v>
      </c>
      <c r="M1131" s="329"/>
      <c r="N1131" s="690"/>
      <c r="O1131" s="690"/>
      <c r="P1131" s="288"/>
      <c r="Q1131" s="553"/>
      <c r="R1131" s="525"/>
      <c r="S1131" s="729"/>
    </row>
    <row r="1132" spans="1:19" s="385" customFormat="1" ht="30" customHeight="1">
      <c r="A1132" s="331"/>
      <c r="B1132" s="363" t="s">
        <v>1557</v>
      </c>
      <c r="C1132" s="397" t="s">
        <v>1586</v>
      </c>
      <c r="D1132" s="505"/>
      <c r="E1132" s="397"/>
      <c r="F1132" s="397"/>
      <c r="G1132" s="505"/>
      <c r="H1132" s="724" t="s">
        <v>2074</v>
      </c>
      <c r="I1132" s="728">
        <v>10</v>
      </c>
      <c r="J1132" s="721">
        <v>642</v>
      </c>
      <c r="K1132" s="374">
        <f t="shared" si="47"/>
        <v>0</v>
      </c>
      <c r="L1132" s="374">
        <f t="shared" si="48"/>
        <v>642</v>
      </c>
      <c r="M1132" s="329"/>
      <c r="N1132" s="690"/>
      <c r="O1132" s="690"/>
      <c r="P1132" s="288"/>
      <c r="Q1132" s="553"/>
      <c r="R1132" s="525"/>
      <c r="S1132" s="729"/>
    </row>
    <row r="1133" spans="1:19" s="385" customFormat="1" ht="30" customHeight="1">
      <c r="A1133" s="331">
        <v>91</v>
      </c>
      <c r="B1133" s="363" t="s">
        <v>704</v>
      </c>
      <c r="C1133" s="397" t="s">
        <v>1697</v>
      </c>
      <c r="D1133" s="505"/>
      <c r="E1133" s="397"/>
      <c r="F1133" s="397"/>
      <c r="G1133" s="505"/>
      <c r="H1133" s="724" t="s">
        <v>1698</v>
      </c>
      <c r="I1133" s="728">
        <v>5</v>
      </c>
      <c r="J1133" s="721">
        <v>321</v>
      </c>
      <c r="K1133" s="374">
        <f t="shared" si="47"/>
        <v>0</v>
      </c>
      <c r="L1133" s="374">
        <f t="shared" si="48"/>
        <v>321</v>
      </c>
      <c r="M1133" s="329"/>
      <c r="N1133" s="690"/>
      <c r="O1133" s="690"/>
      <c r="P1133" s="288"/>
      <c r="Q1133" s="553"/>
      <c r="R1133" s="525"/>
      <c r="S1133" s="729"/>
    </row>
    <row r="1134" spans="1:19" s="385" customFormat="1" ht="30" customHeight="1">
      <c r="A1134" s="331">
        <v>92</v>
      </c>
      <c r="B1134" s="363" t="s">
        <v>1782</v>
      </c>
      <c r="C1134" s="397" t="s">
        <v>1794</v>
      </c>
      <c r="D1134" s="505"/>
      <c r="E1134" s="397"/>
      <c r="F1134" s="397"/>
      <c r="G1134" s="505"/>
      <c r="H1134" s="724" t="s">
        <v>2061</v>
      </c>
      <c r="I1134" s="728">
        <v>5</v>
      </c>
      <c r="J1134" s="721">
        <v>321</v>
      </c>
      <c r="K1134" s="374">
        <f t="shared" si="47"/>
        <v>0</v>
      </c>
      <c r="L1134" s="374">
        <f t="shared" si="48"/>
        <v>321</v>
      </c>
      <c r="M1134" s="329"/>
      <c r="N1134" s="690"/>
      <c r="O1134" s="690"/>
      <c r="P1134" s="288"/>
      <c r="Q1134" s="553"/>
      <c r="R1134" s="525"/>
      <c r="S1134" s="729"/>
    </row>
    <row r="1135" spans="1:19" s="385" customFormat="1" ht="30" customHeight="1">
      <c r="A1135" s="331">
        <v>93</v>
      </c>
      <c r="B1135" s="363" t="s">
        <v>747</v>
      </c>
      <c r="C1135" s="397" t="s">
        <v>1699</v>
      </c>
      <c r="D1135" s="505"/>
      <c r="E1135" s="397"/>
      <c r="F1135" s="397"/>
      <c r="G1135" s="505"/>
      <c r="H1135" s="724" t="s">
        <v>1139</v>
      </c>
      <c r="I1135" s="728">
        <v>9</v>
      </c>
      <c r="J1135" s="721">
        <v>577.79999999999995</v>
      </c>
      <c r="K1135" s="374">
        <f t="shared" si="47"/>
        <v>0</v>
      </c>
      <c r="L1135" s="374">
        <f t="shared" si="48"/>
        <v>577.79999999999995</v>
      </c>
      <c r="M1135" s="329"/>
      <c r="N1135" s="690"/>
      <c r="O1135" s="690"/>
      <c r="P1135" s="288"/>
      <c r="Q1135" s="553"/>
      <c r="R1135" s="525"/>
      <c r="S1135" s="729"/>
    </row>
    <row r="1136" spans="1:19" s="385" customFormat="1" ht="30" customHeight="1">
      <c r="A1136" s="331">
        <v>94</v>
      </c>
      <c r="B1136" s="363" t="s">
        <v>1559</v>
      </c>
      <c r="C1136" s="397" t="s">
        <v>1587</v>
      </c>
      <c r="D1136" s="505"/>
      <c r="E1136" s="397"/>
      <c r="F1136" s="397"/>
      <c r="G1136" s="505"/>
      <c r="H1136" s="724" t="s">
        <v>2074</v>
      </c>
      <c r="I1136" s="728">
        <v>10</v>
      </c>
      <c r="J1136" s="721">
        <v>642</v>
      </c>
      <c r="K1136" s="374">
        <f t="shared" si="47"/>
        <v>0</v>
      </c>
      <c r="L1136" s="374">
        <f t="shared" si="48"/>
        <v>642</v>
      </c>
      <c r="M1136" s="329"/>
      <c r="N1136" s="690"/>
      <c r="O1136" s="690"/>
      <c r="P1136" s="288"/>
      <c r="Q1136" s="553"/>
      <c r="R1136" s="525"/>
      <c r="S1136" s="729"/>
    </row>
    <row r="1137" spans="1:19" s="385" customFormat="1" ht="30" customHeight="1">
      <c r="A1137" s="331">
        <v>95</v>
      </c>
      <c r="B1137" s="363" t="s">
        <v>1729</v>
      </c>
      <c r="C1137" s="397" t="s">
        <v>1747</v>
      </c>
      <c r="D1137" s="505"/>
      <c r="E1137" s="397"/>
      <c r="F1137" s="397"/>
      <c r="G1137" s="505"/>
      <c r="H1137" s="724" t="s">
        <v>2060</v>
      </c>
      <c r="I1137" s="728">
        <v>8</v>
      </c>
      <c r="J1137" s="721">
        <v>513.6</v>
      </c>
      <c r="K1137" s="374">
        <f t="shared" si="47"/>
        <v>0</v>
      </c>
      <c r="L1137" s="374">
        <f t="shared" si="48"/>
        <v>513.6</v>
      </c>
      <c r="M1137" s="329"/>
      <c r="N1137" s="690"/>
      <c r="O1137" s="690"/>
      <c r="P1137" s="288"/>
      <c r="Q1137" s="553"/>
      <c r="R1137" s="525"/>
      <c r="S1137" s="729"/>
    </row>
    <row r="1138" spans="1:19" s="385" customFormat="1" ht="30" customHeight="1">
      <c r="A1138" s="331">
        <v>96</v>
      </c>
      <c r="B1138" s="363" t="s">
        <v>1351</v>
      </c>
      <c r="C1138" s="397" t="s">
        <v>1417</v>
      </c>
      <c r="D1138" s="505"/>
      <c r="E1138" s="397"/>
      <c r="F1138" s="397"/>
      <c r="G1138" s="505"/>
      <c r="H1138" s="724" t="s">
        <v>1615</v>
      </c>
      <c r="I1138" s="728">
        <v>10</v>
      </c>
      <c r="J1138" s="721">
        <v>642</v>
      </c>
      <c r="K1138" s="374">
        <f t="shared" si="47"/>
        <v>0</v>
      </c>
      <c r="L1138" s="374">
        <f t="shared" si="48"/>
        <v>642</v>
      </c>
      <c r="M1138" s="329"/>
      <c r="N1138" s="690"/>
      <c r="O1138" s="690"/>
      <c r="P1138" s="288"/>
      <c r="Q1138" s="553"/>
      <c r="R1138" s="525"/>
      <c r="S1138" s="729"/>
    </row>
    <row r="1139" spans="1:19" s="385" customFormat="1" ht="30" customHeight="1">
      <c r="A1139" s="331"/>
      <c r="B1139" s="363" t="s">
        <v>1351</v>
      </c>
      <c r="C1139" s="397" t="s">
        <v>1417</v>
      </c>
      <c r="D1139" s="505"/>
      <c r="E1139" s="397"/>
      <c r="F1139" s="397"/>
      <c r="G1139" s="505"/>
      <c r="H1139" s="724" t="s">
        <v>2879</v>
      </c>
      <c r="I1139" s="728">
        <v>7</v>
      </c>
      <c r="J1139" s="721">
        <v>449.4</v>
      </c>
      <c r="K1139" s="374">
        <f t="shared" si="47"/>
        <v>0</v>
      </c>
      <c r="L1139" s="374">
        <f t="shared" si="48"/>
        <v>449.4</v>
      </c>
      <c r="M1139" s="329"/>
      <c r="N1139" s="690"/>
      <c r="O1139" s="690"/>
      <c r="P1139" s="288"/>
      <c r="Q1139" s="553"/>
      <c r="R1139" s="525"/>
      <c r="S1139" s="729"/>
    </row>
    <row r="1140" spans="1:19" s="385" customFormat="1" ht="30" customHeight="1">
      <c r="A1140" s="331"/>
      <c r="B1140" s="363" t="s">
        <v>1351</v>
      </c>
      <c r="C1140" s="397" t="s">
        <v>1417</v>
      </c>
      <c r="D1140" s="505"/>
      <c r="E1140" s="397"/>
      <c r="F1140" s="397"/>
      <c r="G1140" s="505"/>
      <c r="H1140" s="724" t="s">
        <v>2053</v>
      </c>
      <c r="I1140" s="728">
        <v>11</v>
      </c>
      <c r="J1140" s="721">
        <v>706.2</v>
      </c>
      <c r="K1140" s="374">
        <f t="shared" si="47"/>
        <v>0</v>
      </c>
      <c r="L1140" s="374">
        <f t="shared" si="48"/>
        <v>706.2</v>
      </c>
      <c r="M1140" s="329"/>
      <c r="N1140" s="690"/>
      <c r="O1140" s="690"/>
      <c r="P1140" s="288"/>
      <c r="Q1140" s="553"/>
      <c r="R1140" s="525"/>
      <c r="S1140" s="729"/>
    </row>
    <row r="1141" spans="1:19" s="385" customFormat="1" ht="30" customHeight="1">
      <c r="A1141" s="331">
        <v>97</v>
      </c>
      <c r="B1141" s="363" t="s">
        <v>428</v>
      </c>
      <c r="C1141" s="397" t="s">
        <v>1277</v>
      </c>
      <c r="D1141" s="505"/>
      <c r="E1141" s="397"/>
      <c r="F1141" s="397"/>
      <c r="G1141" s="505"/>
      <c r="H1141" s="724" t="s">
        <v>1264</v>
      </c>
      <c r="I1141" s="728">
        <v>1</v>
      </c>
      <c r="J1141" s="721">
        <v>64.2</v>
      </c>
      <c r="K1141" s="374">
        <f t="shared" si="47"/>
        <v>0</v>
      </c>
      <c r="L1141" s="374">
        <f t="shared" si="48"/>
        <v>64.2</v>
      </c>
      <c r="M1141" s="329"/>
      <c r="N1141" s="690"/>
      <c r="O1141" s="690"/>
      <c r="P1141" s="288"/>
      <c r="Q1141" s="553"/>
      <c r="R1141" s="525"/>
      <c r="S1141" s="729"/>
    </row>
    <row r="1142" spans="1:19" s="385" customFormat="1" ht="30" customHeight="1">
      <c r="A1142" s="331"/>
      <c r="B1142" s="363" t="s">
        <v>428</v>
      </c>
      <c r="C1142" s="397" t="s">
        <v>1277</v>
      </c>
      <c r="D1142" s="505"/>
      <c r="E1142" s="397"/>
      <c r="F1142" s="397"/>
      <c r="G1142" s="505"/>
      <c r="H1142" s="724" t="s">
        <v>2054</v>
      </c>
      <c r="I1142" s="728">
        <v>9</v>
      </c>
      <c r="J1142" s="721">
        <v>577.79999999999995</v>
      </c>
      <c r="K1142" s="374">
        <f t="shared" ref="K1142:K1205" si="49">G1142*11.54/100</f>
        <v>0</v>
      </c>
      <c r="L1142" s="374">
        <f t="shared" si="48"/>
        <v>577.79999999999995</v>
      </c>
      <c r="M1142" s="329"/>
      <c r="N1142" s="690"/>
      <c r="O1142" s="690"/>
      <c r="P1142" s="288"/>
      <c r="Q1142" s="553"/>
      <c r="R1142" s="525"/>
      <c r="S1142" s="729"/>
    </row>
    <row r="1143" spans="1:19" s="385" customFormat="1" ht="30" customHeight="1">
      <c r="A1143" s="331">
        <v>98</v>
      </c>
      <c r="B1143" s="363" t="s">
        <v>705</v>
      </c>
      <c r="C1143" s="397" t="s">
        <v>1795</v>
      </c>
      <c r="D1143" s="505"/>
      <c r="E1143" s="397"/>
      <c r="F1143" s="397"/>
      <c r="G1143" s="505"/>
      <c r="H1143" s="724" t="s">
        <v>2061</v>
      </c>
      <c r="I1143" s="728">
        <v>5</v>
      </c>
      <c r="J1143" s="721">
        <v>321</v>
      </c>
      <c r="K1143" s="374">
        <f t="shared" si="49"/>
        <v>0</v>
      </c>
      <c r="L1143" s="374">
        <f t="shared" si="48"/>
        <v>321</v>
      </c>
      <c r="M1143" s="329"/>
      <c r="N1143" s="690"/>
      <c r="O1143" s="690"/>
      <c r="P1143" s="288"/>
      <c r="Q1143" s="553"/>
      <c r="R1143" s="525"/>
      <c r="S1143" s="729"/>
    </row>
    <row r="1144" spans="1:19" s="385" customFormat="1" ht="30" customHeight="1">
      <c r="A1144" s="331">
        <v>99</v>
      </c>
      <c r="B1144" s="363" t="s">
        <v>1038</v>
      </c>
      <c r="C1144" s="397" t="s">
        <v>1820</v>
      </c>
      <c r="D1144" s="505"/>
      <c r="E1144" s="397"/>
      <c r="F1144" s="397"/>
      <c r="G1144" s="505"/>
      <c r="H1144" s="724" t="s">
        <v>2089</v>
      </c>
      <c r="I1144" s="728">
        <v>3</v>
      </c>
      <c r="J1144" s="721">
        <v>192.6</v>
      </c>
      <c r="K1144" s="374">
        <f t="shared" si="49"/>
        <v>0</v>
      </c>
      <c r="L1144" s="374">
        <f t="shared" si="48"/>
        <v>192.6</v>
      </c>
      <c r="M1144" s="329"/>
      <c r="N1144" s="690"/>
      <c r="O1144" s="690"/>
      <c r="P1144" s="288"/>
      <c r="Q1144" s="553"/>
      <c r="R1144" s="525"/>
      <c r="S1144" s="729"/>
    </row>
    <row r="1145" spans="1:19" s="385" customFormat="1" ht="30" customHeight="1">
      <c r="A1145" s="331">
        <v>100</v>
      </c>
      <c r="B1145" s="363" t="s">
        <v>706</v>
      </c>
      <c r="C1145" s="397" t="s">
        <v>1748</v>
      </c>
      <c r="D1145" s="505"/>
      <c r="E1145" s="397"/>
      <c r="F1145" s="397"/>
      <c r="G1145" s="505"/>
      <c r="H1145" s="724" t="s">
        <v>2061</v>
      </c>
      <c r="I1145" s="728">
        <v>5</v>
      </c>
      <c r="J1145" s="721">
        <v>321</v>
      </c>
      <c r="K1145" s="374">
        <f t="shared" si="49"/>
        <v>0</v>
      </c>
      <c r="L1145" s="374">
        <f t="shared" si="48"/>
        <v>321</v>
      </c>
      <c r="M1145" s="329"/>
      <c r="N1145" s="690"/>
      <c r="O1145" s="690"/>
      <c r="P1145" s="288"/>
      <c r="Q1145" s="553"/>
      <c r="R1145" s="525"/>
      <c r="S1145" s="729"/>
    </row>
    <row r="1146" spans="1:19" s="385" customFormat="1" ht="30" customHeight="1">
      <c r="A1146" s="331">
        <v>101</v>
      </c>
      <c r="B1146" s="363" t="s">
        <v>361</v>
      </c>
      <c r="C1146" s="397" t="s">
        <v>394</v>
      </c>
      <c r="D1146" s="505"/>
      <c r="E1146" s="397"/>
      <c r="F1146" s="397"/>
      <c r="G1146" s="505"/>
      <c r="H1146" s="724" t="s">
        <v>1639</v>
      </c>
      <c r="I1146" s="728">
        <v>19</v>
      </c>
      <c r="J1146" s="721">
        <v>1219.8</v>
      </c>
      <c r="K1146" s="374">
        <f t="shared" si="49"/>
        <v>0</v>
      </c>
      <c r="L1146" s="374">
        <f t="shared" si="48"/>
        <v>1219.8</v>
      </c>
      <c r="M1146" s="329"/>
      <c r="N1146" s="690"/>
      <c r="O1146" s="690"/>
      <c r="P1146" s="288"/>
      <c r="Q1146" s="553"/>
      <c r="R1146" s="525"/>
      <c r="S1146" s="729"/>
    </row>
    <row r="1147" spans="1:19" s="385" customFormat="1" ht="30" customHeight="1">
      <c r="A1147" s="331">
        <v>102</v>
      </c>
      <c r="B1147" s="363" t="s">
        <v>366</v>
      </c>
      <c r="C1147" s="397" t="s">
        <v>1145</v>
      </c>
      <c r="D1147" s="505"/>
      <c r="E1147" s="397"/>
      <c r="F1147" s="397"/>
      <c r="G1147" s="505"/>
      <c r="H1147" s="724" t="s">
        <v>2066</v>
      </c>
      <c r="I1147" s="728">
        <v>12</v>
      </c>
      <c r="J1147" s="721">
        <v>770.4</v>
      </c>
      <c r="K1147" s="374">
        <f t="shared" si="49"/>
        <v>0</v>
      </c>
      <c r="L1147" s="374">
        <f t="shared" si="48"/>
        <v>770.4</v>
      </c>
      <c r="M1147" s="329"/>
      <c r="N1147" s="690"/>
      <c r="O1147" s="690"/>
      <c r="P1147" s="288"/>
      <c r="Q1147" s="553"/>
      <c r="R1147" s="525"/>
      <c r="S1147" s="729"/>
    </row>
    <row r="1148" spans="1:19" s="385" customFormat="1" ht="30" customHeight="1">
      <c r="A1148" s="331">
        <v>103</v>
      </c>
      <c r="B1148" s="363" t="s">
        <v>1732</v>
      </c>
      <c r="C1148" s="397" t="s">
        <v>1749</v>
      </c>
      <c r="D1148" s="505"/>
      <c r="E1148" s="397"/>
      <c r="F1148" s="397"/>
      <c r="G1148" s="505"/>
      <c r="H1148" s="724" t="s">
        <v>2060</v>
      </c>
      <c r="I1148" s="728">
        <v>8</v>
      </c>
      <c r="J1148" s="721">
        <v>513.6</v>
      </c>
      <c r="K1148" s="374">
        <f t="shared" si="49"/>
        <v>0</v>
      </c>
      <c r="L1148" s="374">
        <f t="shared" si="48"/>
        <v>513.6</v>
      </c>
      <c r="M1148" s="329"/>
      <c r="N1148" s="690"/>
      <c r="O1148" s="690"/>
      <c r="P1148" s="288"/>
      <c r="Q1148" s="553"/>
      <c r="R1148" s="525"/>
      <c r="S1148" s="729"/>
    </row>
    <row r="1149" spans="1:19" s="385" customFormat="1" ht="30" customHeight="1">
      <c r="A1149" s="331">
        <v>104</v>
      </c>
      <c r="B1149" s="363" t="s">
        <v>1353</v>
      </c>
      <c r="C1149" s="397" t="s">
        <v>1418</v>
      </c>
      <c r="D1149" s="505"/>
      <c r="E1149" s="397"/>
      <c r="F1149" s="397"/>
      <c r="G1149" s="505"/>
      <c r="H1149" s="724" t="s">
        <v>2053</v>
      </c>
      <c r="I1149" s="728">
        <v>11</v>
      </c>
      <c r="J1149" s="721">
        <v>706.2</v>
      </c>
      <c r="K1149" s="374">
        <f t="shared" si="49"/>
        <v>0</v>
      </c>
      <c r="L1149" s="374">
        <f t="shared" si="48"/>
        <v>706.2</v>
      </c>
      <c r="M1149" s="329"/>
      <c r="N1149" s="690"/>
      <c r="O1149" s="690"/>
      <c r="P1149" s="288"/>
      <c r="Q1149" s="553"/>
      <c r="R1149" s="525"/>
      <c r="S1149" s="729"/>
    </row>
    <row r="1150" spans="1:19" s="385" customFormat="1" ht="30" customHeight="1">
      <c r="A1150" s="331">
        <v>105</v>
      </c>
      <c r="B1150" s="363" t="s">
        <v>857</v>
      </c>
      <c r="C1150" s="397" t="s">
        <v>1588</v>
      </c>
      <c r="D1150" s="505"/>
      <c r="E1150" s="397"/>
      <c r="F1150" s="397"/>
      <c r="G1150" s="505"/>
      <c r="H1150" s="724" t="s">
        <v>2074</v>
      </c>
      <c r="I1150" s="728">
        <v>10</v>
      </c>
      <c r="J1150" s="721">
        <v>642</v>
      </c>
      <c r="K1150" s="374">
        <f t="shared" si="49"/>
        <v>0</v>
      </c>
      <c r="L1150" s="374">
        <f t="shared" si="48"/>
        <v>642</v>
      </c>
      <c r="M1150" s="329"/>
      <c r="N1150" s="690"/>
      <c r="O1150" s="690"/>
      <c r="P1150" s="288"/>
      <c r="Q1150" s="553"/>
      <c r="R1150" s="525"/>
      <c r="S1150" s="729"/>
    </row>
    <row r="1151" spans="1:19" s="385" customFormat="1" ht="30" customHeight="1">
      <c r="A1151" s="331">
        <v>106</v>
      </c>
      <c r="B1151" s="363" t="s">
        <v>710</v>
      </c>
      <c r="C1151" s="397" t="s">
        <v>395</v>
      </c>
      <c r="D1151" s="505"/>
      <c r="E1151" s="397"/>
      <c r="F1151" s="397"/>
      <c r="G1151" s="505"/>
      <c r="H1151" s="724" t="s">
        <v>2053</v>
      </c>
      <c r="I1151" s="728">
        <v>11</v>
      </c>
      <c r="J1151" s="721">
        <v>706.2</v>
      </c>
      <c r="K1151" s="374">
        <f t="shared" si="49"/>
        <v>0</v>
      </c>
      <c r="L1151" s="374">
        <f t="shared" si="48"/>
        <v>706.2</v>
      </c>
      <c r="M1151" s="329"/>
      <c r="N1151" s="690"/>
      <c r="O1151" s="690"/>
      <c r="P1151" s="288"/>
      <c r="Q1151" s="553"/>
      <c r="R1151" s="525"/>
      <c r="S1151" s="729"/>
    </row>
    <row r="1152" spans="1:19" s="385" customFormat="1" ht="30" customHeight="1">
      <c r="A1152" s="331">
        <v>107</v>
      </c>
      <c r="B1152" s="363" t="s">
        <v>760</v>
      </c>
      <c r="C1152" s="397" t="s">
        <v>1676</v>
      </c>
      <c r="D1152" s="505"/>
      <c r="E1152" s="397"/>
      <c r="F1152" s="397"/>
      <c r="G1152" s="505"/>
      <c r="H1152" s="724" t="s">
        <v>2054</v>
      </c>
      <c r="I1152" s="728">
        <v>9</v>
      </c>
      <c r="J1152" s="721">
        <v>577.79999999999995</v>
      </c>
      <c r="K1152" s="374">
        <f t="shared" si="49"/>
        <v>0</v>
      </c>
      <c r="L1152" s="374">
        <f t="shared" si="48"/>
        <v>577.79999999999995</v>
      </c>
      <c r="M1152" s="329"/>
      <c r="N1152" s="690"/>
      <c r="O1152" s="690"/>
      <c r="P1152" s="288"/>
      <c r="Q1152" s="553"/>
      <c r="R1152" s="525"/>
      <c r="S1152" s="729"/>
    </row>
    <row r="1153" spans="1:19" s="385" customFormat="1" ht="30" customHeight="1">
      <c r="A1153" s="331">
        <v>108</v>
      </c>
      <c r="B1153" s="363" t="s">
        <v>1278</v>
      </c>
      <c r="C1153" s="397" t="s">
        <v>1279</v>
      </c>
      <c r="D1153" s="505"/>
      <c r="E1153" s="397"/>
      <c r="F1153" s="397"/>
      <c r="G1153" s="505"/>
      <c r="H1153" s="724" t="s">
        <v>2066</v>
      </c>
      <c r="I1153" s="728">
        <v>12</v>
      </c>
      <c r="J1153" s="721">
        <v>770.4</v>
      </c>
      <c r="K1153" s="374">
        <f t="shared" si="49"/>
        <v>0</v>
      </c>
      <c r="L1153" s="374">
        <f t="shared" si="48"/>
        <v>770.4</v>
      </c>
      <c r="M1153" s="329"/>
      <c r="N1153" s="690"/>
      <c r="O1153" s="690"/>
      <c r="P1153" s="288"/>
      <c r="Q1153" s="553"/>
      <c r="R1153" s="525"/>
      <c r="S1153" s="729"/>
    </row>
    <row r="1154" spans="1:19" s="385" customFormat="1" ht="30" customHeight="1">
      <c r="A1154" s="331">
        <v>109</v>
      </c>
      <c r="B1154" s="363" t="s">
        <v>1356</v>
      </c>
      <c r="C1154" s="397" t="s">
        <v>1419</v>
      </c>
      <c r="D1154" s="505"/>
      <c r="E1154" s="397"/>
      <c r="F1154" s="397"/>
      <c r="G1154" s="505"/>
      <c r="H1154" s="724" t="s">
        <v>2053</v>
      </c>
      <c r="I1154" s="728">
        <v>11</v>
      </c>
      <c r="J1154" s="721">
        <v>706.2</v>
      </c>
      <c r="K1154" s="374">
        <f t="shared" si="49"/>
        <v>0</v>
      </c>
      <c r="L1154" s="374">
        <f t="shared" si="48"/>
        <v>706.2</v>
      </c>
      <c r="M1154" s="329"/>
      <c r="N1154" s="690"/>
      <c r="O1154" s="690"/>
      <c r="P1154" s="288"/>
      <c r="Q1154" s="553"/>
      <c r="R1154" s="525"/>
      <c r="S1154" s="729"/>
    </row>
    <row r="1155" spans="1:19" s="385" customFormat="1" ht="30" customHeight="1">
      <c r="A1155" s="331">
        <v>110</v>
      </c>
      <c r="B1155" s="363" t="s">
        <v>1358</v>
      </c>
      <c r="C1155" s="397" t="s">
        <v>1420</v>
      </c>
      <c r="D1155" s="505"/>
      <c r="E1155" s="397"/>
      <c r="F1155" s="397"/>
      <c r="G1155" s="505"/>
      <c r="H1155" s="724" t="s">
        <v>1618</v>
      </c>
      <c r="I1155" s="728">
        <v>5</v>
      </c>
      <c r="J1155" s="721">
        <v>321</v>
      </c>
      <c r="K1155" s="374">
        <f t="shared" si="49"/>
        <v>0</v>
      </c>
      <c r="L1155" s="374">
        <f t="shared" si="48"/>
        <v>321</v>
      </c>
      <c r="M1155" s="329"/>
      <c r="N1155" s="690"/>
      <c r="O1155" s="690"/>
      <c r="P1155" s="288"/>
      <c r="Q1155" s="553"/>
      <c r="R1155" s="525"/>
      <c r="S1155" s="729"/>
    </row>
    <row r="1156" spans="1:19" s="385" customFormat="1" ht="30" customHeight="1">
      <c r="A1156" s="331"/>
      <c r="B1156" s="363" t="s">
        <v>1358</v>
      </c>
      <c r="C1156" s="397" t="s">
        <v>1420</v>
      </c>
      <c r="D1156" s="505"/>
      <c r="E1156" s="397"/>
      <c r="F1156" s="397"/>
      <c r="G1156" s="505"/>
      <c r="H1156" s="724" t="s">
        <v>2879</v>
      </c>
      <c r="I1156" s="728">
        <v>7</v>
      </c>
      <c r="J1156" s="721">
        <v>449.4</v>
      </c>
      <c r="K1156" s="374">
        <f t="shared" si="49"/>
        <v>0</v>
      </c>
      <c r="L1156" s="374">
        <f t="shared" si="48"/>
        <v>449.4</v>
      </c>
      <c r="M1156" s="329"/>
      <c r="N1156" s="690"/>
      <c r="O1156" s="690"/>
      <c r="P1156" s="288"/>
      <c r="Q1156" s="553"/>
      <c r="R1156" s="525"/>
      <c r="S1156" s="729"/>
    </row>
    <row r="1157" spans="1:19" s="385" customFormat="1" ht="30" customHeight="1">
      <c r="A1157" s="331"/>
      <c r="B1157" s="363" t="s">
        <v>1358</v>
      </c>
      <c r="C1157" s="397" t="s">
        <v>1420</v>
      </c>
      <c r="D1157" s="505"/>
      <c r="E1157" s="397"/>
      <c r="F1157" s="397"/>
      <c r="G1157" s="505"/>
      <c r="H1157" s="724" t="s">
        <v>2053</v>
      </c>
      <c r="I1157" s="728">
        <v>11</v>
      </c>
      <c r="J1157" s="721">
        <v>706.2</v>
      </c>
      <c r="K1157" s="374">
        <f t="shared" si="49"/>
        <v>0</v>
      </c>
      <c r="L1157" s="374">
        <f t="shared" si="48"/>
        <v>706.2</v>
      </c>
      <c r="M1157" s="329"/>
      <c r="N1157" s="690"/>
      <c r="O1157" s="690"/>
      <c r="P1157" s="288"/>
      <c r="Q1157" s="553"/>
      <c r="R1157" s="525"/>
      <c r="S1157" s="729"/>
    </row>
    <row r="1158" spans="1:19" s="385" customFormat="1" ht="30" customHeight="1">
      <c r="A1158" s="331">
        <v>111</v>
      </c>
      <c r="B1158" s="363" t="s">
        <v>808</v>
      </c>
      <c r="C1158" s="397" t="s">
        <v>1589</v>
      </c>
      <c r="D1158" s="505"/>
      <c r="E1158" s="397"/>
      <c r="F1158" s="397"/>
      <c r="G1158" s="505"/>
      <c r="H1158" s="724" t="s">
        <v>2074</v>
      </c>
      <c r="I1158" s="728">
        <v>10</v>
      </c>
      <c r="J1158" s="721">
        <v>642</v>
      </c>
      <c r="K1158" s="374">
        <f t="shared" si="49"/>
        <v>0</v>
      </c>
      <c r="L1158" s="374">
        <f t="shared" si="48"/>
        <v>642</v>
      </c>
      <c r="M1158" s="329"/>
      <c r="N1158" s="690"/>
      <c r="O1158" s="690"/>
      <c r="P1158" s="288"/>
      <c r="Q1158" s="553"/>
      <c r="R1158" s="525"/>
      <c r="S1158" s="729"/>
    </row>
    <row r="1159" spans="1:19" s="385" customFormat="1" ht="30" customHeight="1">
      <c r="A1159" s="331">
        <v>112</v>
      </c>
      <c r="B1159" s="363" t="s">
        <v>711</v>
      </c>
      <c r="C1159" s="397" t="s">
        <v>626</v>
      </c>
      <c r="D1159" s="505"/>
      <c r="E1159" s="397"/>
      <c r="F1159" s="397"/>
      <c r="G1159" s="505"/>
      <c r="H1159" s="724" t="s">
        <v>1138</v>
      </c>
      <c r="I1159" s="728">
        <v>12</v>
      </c>
      <c r="J1159" s="721">
        <v>770.4000000000002</v>
      </c>
      <c r="K1159" s="374">
        <f t="shared" si="49"/>
        <v>0</v>
      </c>
      <c r="L1159" s="374">
        <f t="shared" si="48"/>
        <v>770.4000000000002</v>
      </c>
      <c r="M1159" s="329"/>
      <c r="N1159" s="690"/>
      <c r="O1159" s="690"/>
      <c r="P1159" s="288"/>
      <c r="Q1159" s="553"/>
      <c r="R1159" s="525"/>
      <c r="S1159" s="729"/>
    </row>
    <row r="1160" spans="1:19" s="385" customFormat="1" ht="30" customHeight="1">
      <c r="A1160" s="331"/>
      <c r="B1160" s="363" t="s">
        <v>711</v>
      </c>
      <c r="C1160" s="397" t="s">
        <v>626</v>
      </c>
      <c r="D1160" s="505"/>
      <c r="E1160" s="397"/>
      <c r="F1160" s="397"/>
      <c r="G1160" s="505"/>
      <c r="H1160" s="724" t="s">
        <v>1514</v>
      </c>
      <c r="I1160" s="728">
        <v>1</v>
      </c>
      <c r="J1160" s="721">
        <v>64.2</v>
      </c>
      <c r="K1160" s="374">
        <f t="shared" si="49"/>
        <v>0</v>
      </c>
      <c r="L1160" s="374">
        <f t="shared" si="48"/>
        <v>64.2</v>
      </c>
      <c r="M1160" s="329"/>
      <c r="N1160" s="690"/>
      <c r="O1160" s="690"/>
      <c r="P1160" s="288"/>
      <c r="Q1160" s="553"/>
      <c r="R1160" s="525"/>
      <c r="S1160" s="729"/>
    </row>
    <row r="1161" spans="1:19" s="385" customFormat="1" ht="30" customHeight="1">
      <c r="A1161" s="331"/>
      <c r="B1161" s="363" t="s">
        <v>711</v>
      </c>
      <c r="C1161" s="397" t="s">
        <v>626</v>
      </c>
      <c r="D1161" s="505"/>
      <c r="E1161" s="397"/>
      <c r="F1161" s="397"/>
      <c r="G1161" s="505"/>
      <c r="H1161" s="724" t="s">
        <v>2053</v>
      </c>
      <c r="I1161" s="728">
        <v>11</v>
      </c>
      <c r="J1161" s="721">
        <v>706.2</v>
      </c>
      <c r="K1161" s="374">
        <f t="shared" si="49"/>
        <v>0</v>
      </c>
      <c r="L1161" s="374">
        <f t="shared" si="48"/>
        <v>706.2</v>
      </c>
      <c r="M1161" s="329"/>
      <c r="N1161" s="690"/>
      <c r="O1161" s="690"/>
      <c r="P1161" s="288"/>
      <c r="Q1161" s="553"/>
      <c r="R1161" s="525"/>
      <c r="S1161" s="729"/>
    </row>
    <row r="1162" spans="1:19" s="385" customFormat="1" ht="30" customHeight="1">
      <c r="A1162" s="331">
        <v>113</v>
      </c>
      <c r="B1162" s="363" t="s">
        <v>712</v>
      </c>
      <c r="C1162" s="397" t="s">
        <v>396</v>
      </c>
      <c r="D1162" s="505"/>
      <c r="E1162" s="397"/>
      <c r="F1162" s="397"/>
      <c r="G1162" s="505"/>
      <c r="H1162" s="724" t="s">
        <v>1640</v>
      </c>
      <c r="I1162" s="728">
        <v>8</v>
      </c>
      <c r="J1162" s="721">
        <v>513.6</v>
      </c>
      <c r="K1162" s="374">
        <f t="shared" si="49"/>
        <v>0</v>
      </c>
      <c r="L1162" s="374">
        <f t="shared" si="48"/>
        <v>513.6</v>
      </c>
      <c r="M1162" s="329"/>
      <c r="N1162" s="690"/>
      <c r="O1162" s="690"/>
      <c r="P1162" s="288"/>
      <c r="Q1162" s="553"/>
      <c r="R1162" s="525"/>
      <c r="S1162" s="729"/>
    </row>
    <row r="1163" spans="1:19" s="385" customFormat="1" ht="30" customHeight="1">
      <c r="A1163" s="331"/>
      <c r="B1163" s="363" t="s">
        <v>712</v>
      </c>
      <c r="C1163" s="397" t="s">
        <v>396</v>
      </c>
      <c r="D1163" s="505"/>
      <c r="E1163" s="397"/>
      <c r="F1163" s="397"/>
      <c r="G1163" s="505"/>
      <c r="H1163" s="724" t="s">
        <v>2054</v>
      </c>
      <c r="I1163" s="728">
        <v>9</v>
      </c>
      <c r="J1163" s="721">
        <v>577.79999999999995</v>
      </c>
      <c r="K1163" s="374">
        <f t="shared" si="49"/>
        <v>0</v>
      </c>
      <c r="L1163" s="374">
        <f t="shared" si="48"/>
        <v>577.79999999999995</v>
      </c>
      <c r="M1163" s="329"/>
      <c r="N1163" s="690"/>
      <c r="O1163" s="690"/>
      <c r="P1163" s="288"/>
      <c r="Q1163" s="553"/>
      <c r="R1163" s="525"/>
      <c r="S1163" s="729"/>
    </row>
    <row r="1164" spans="1:19" s="385" customFormat="1" ht="30" customHeight="1">
      <c r="A1164" s="331">
        <v>114</v>
      </c>
      <c r="B1164" s="363" t="s">
        <v>761</v>
      </c>
      <c r="C1164" s="397" t="s">
        <v>1280</v>
      </c>
      <c r="D1164" s="505"/>
      <c r="E1164" s="397"/>
      <c r="F1164" s="397"/>
      <c r="G1164" s="505"/>
      <c r="H1164" s="724" t="s">
        <v>2053</v>
      </c>
      <c r="I1164" s="728">
        <v>11</v>
      </c>
      <c r="J1164" s="721">
        <v>706.2</v>
      </c>
      <c r="K1164" s="374">
        <f t="shared" si="49"/>
        <v>0</v>
      </c>
      <c r="L1164" s="374">
        <f t="shared" si="48"/>
        <v>706.2</v>
      </c>
      <c r="M1164" s="329"/>
      <c r="N1164" s="690"/>
      <c r="O1164" s="690"/>
      <c r="P1164" s="288"/>
      <c r="Q1164" s="553"/>
      <c r="R1164" s="525"/>
      <c r="S1164" s="729"/>
    </row>
    <row r="1165" spans="1:19" s="385" customFormat="1" ht="30" customHeight="1">
      <c r="A1165" s="331">
        <v>115</v>
      </c>
      <c r="B1165" s="363" t="s">
        <v>1030</v>
      </c>
      <c r="C1165" s="397" t="s">
        <v>754</v>
      </c>
      <c r="D1165" s="505"/>
      <c r="E1165" s="397"/>
      <c r="F1165" s="397"/>
      <c r="G1165" s="505"/>
      <c r="H1165" s="724" t="s">
        <v>1641</v>
      </c>
      <c r="I1165" s="728">
        <v>3</v>
      </c>
      <c r="J1165" s="721">
        <v>192.6</v>
      </c>
      <c r="K1165" s="374">
        <f t="shared" si="49"/>
        <v>0</v>
      </c>
      <c r="L1165" s="374">
        <f t="shared" si="48"/>
        <v>192.6</v>
      </c>
      <c r="M1165" s="329"/>
      <c r="N1165" s="690"/>
      <c r="O1165" s="690"/>
      <c r="P1165" s="288"/>
      <c r="Q1165" s="553"/>
      <c r="R1165" s="525"/>
      <c r="S1165" s="729"/>
    </row>
    <row r="1166" spans="1:19" s="385" customFormat="1" ht="30" customHeight="1">
      <c r="A1166" s="331"/>
      <c r="B1166" s="363" t="s">
        <v>1030</v>
      </c>
      <c r="C1166" s="397" t="s">
        <v>754</v>
      </c>
      <c r="D1166" s="505"/>
      <c r="E1166" s="397"/>
      <c r="F1166" s="397"/>
      <c r="G1166" s="505"/>
      <c r="H1166" s="724" t="s">
        <v>2054</v>
      </c>
      <c r="I1166" s="728">
        <v>9</v>
      </c>
      <c r="J1166" s="721">
        <v>577.79999999999995</v>
      </c>
      <c r="K1166" s="374">
        <f t="shared" si="49"/>
        <v>0</v>
      </c>
      <c r="L1166" s="374">
        <f t="shared" si="48"/>
        <v>577.79999999999995</v>
      </c>
      <c r="M1166" s="329"/>
      <c r="N1166" s="690"/>
      <c r="O1166" s="690"/>
      <c r="P1166" s="288"/>
      <c r="Q1166" s="553"/>
      <c r="R1166" s="525"/>
      <c r="S1166" s="729"/>
    </row>
    <row r="1167" spans="1:19" s="385" customFormat="1" ht="30" customHeight="1">
      <c r="A1167" s="331">
        <v>116</v>
      </c>
      <c r="B1167" s="363" t="s">
        <v>362</v>
      </c>
      <c r="C1167" s="397" t="s">
        <v>755</v>
      </c>
      <c r="D1167" s="505"/>
      <c r="E1167" s="397"/>
      <c r="F1167" s="397"/>
      <c r="G1167" s="505"/>
      <c r="H1167" s="724" t="s">
        <v>1616</v>
      </c>
      <c r="I1167" s="728">
        <v>2</v>
      </c>
      <c r="J1167" s="721">
        <v>128.4</v>
      </c>
      <c r="K1167" s="374">
        <f t="shared" si="49"/>
        <v>0</v>
      </c>
      <c r="L1167" s="374">
        <f t="shared" si="48"/>
        <v>128.4</v>
      </c>
      <c r="M1167" s="329"/>
      <c r="N1167" s="690"/>
      <c r="O1167" s="690"/>
      <c r="P1167" s="288"/>
      <c r="Q1167" s="553"/>
      <c r="R1167" s="525"/>
      <c r="S1167" s="729"/>
    </row>
    <row r="1168" spans="1:19" s="385" customFormat="1" ht="30" customHeight="1">
      <c r="A1168" s="331"/>
      <c r="B1168" s="363" t="s">
        <v>362</v>
      </c>
      <c r="C1168" s="397" t="s">
        <v>755</v>
      </c>
      <c r="D1168" s="505"/>
      <c r="E1168" s="397"/>
      <c r="F1168" s="397"/>
      <c r="G1168" s="505"/>
      <c r="H1168" s="724" t="s">
        <v>2054</v>
      </c>
      <c r="I1168" s="728">
        <v>9</v>
      </c>
      <c r="J1168" s="721">
        <v>577.79999999999995</v>
      </c>
      <c r="K1168" s="374">
        <f t="shared" si="49"/>
        <v>0</v>
      </c>
      <c r="L1168" s="374">
        <f t="shared" si="48"/>
        <v>577.79999999999995</v>
      </c>
      <c r="M1168" s="329"/>
      <c r="N1168" s="690"/>
      <c r="O1168" s="690"/>
      <c r="P1168" s="288"/>
      <c r="Q1168" s="553"/>
      <c r="R1168" s="525"/>
      <c r="S1168" s="729"/>
    </row>
    <row r="1169" spans="1:19" s="385" customFormat="1" ht="30" customHeight="1">
      <c r="A1169" s="331">
        <v>117</v>
      </c>
      <c r="B1169" s="363" t="s">
        <v>1360</v>
      </c>
      <c r="C1169" s="397" t="s">
        <v>1421</v>
      </c>
      <c r="D1169" s="505"/>
      <c r="E1169" s="397"/>
      <c r="F1169" s="397"/>
      <c r="G1169" s="505"/>
      <c r="H1169" s="724" t="s">
        <v>1148</v>
      </c>
      <c r="I1169" s="728">
        <v>14</v>
      </c>
      <c r="J1169" s="721">
        <v>898.8</v>
      </c>
      <c r="K1169" s="374">
        <f t="shared" si="49"/>
        <v>0</v>
      </c>
      <c r="L1169" s="374">
        <f t="shared" si="48"/>
        <v>898.8</v>
      </c>
      <c r="M1169" s="329"/>
      <c r="N1169" s="690"/>
      <c r="O1169" s="690"/>
      <c r="P1169" s="288"/>
      <c r="Q1169" s="553"/>
      <c r="R1169" s="525"/>
      <c r="S1169" s="729"/>
    </row>
    <row r="1170" spans="1:19" s="385" customFormat="1" ht="30" customHeight="1">
      <c r="A1170" s="331"/>
      <c r="B1170" s="363" t="s">
        <v>1360</v>
      </c>
      <c r="C1170" s="397" t="s">
        <v>1421</v>
      </c>
      <c r="D1170" s="505"/>
      <c r="E1170" s="397"/>
      <c r="F1170" s="397"/>
      <c r="G1170" s="505"/>
      <c r="H1170" s="724" t="s">
        <v>2879</v>
      </c>
      <c r="I1170" s="728">
        <v>7</v>
      </c>
      <c r="J1170" s="721">
        <v>449.4</v>
      </c>
      <c r="K1170" s="374">
        <f t="shared" si="49"/>
        <v>0</v>
      </c>
      <c r="L1170" s="374">
        <f t="shared" si="48"/>
        <v>449.4</v>
      </c>
      <c r="M1170" s="329"/>
      <c r="N1170" s="690"/>
      <c r="O1170" s="690"/>
      <c r="P1170" s="288"/>
      <c r="Q1170" s="553"/>
      <c r="R1170" s="525"/>
      <c r="S1170" s="729"/>
    </row>
    <row r="1171" spans="1:19" s="385" customFormat="1" ht="30" customHeight="1">
      <c r="A1171" s="331"/>
      <c r="B1171" s="363" t="s">
        <v>1360</v>
      </c>
      <c r="C1171" s="397" t="s">
        <v>1421</v>
      </c>
      <c r="D1171" s="505"/>
      <c r="E1171" s="397"/>
      <c r="F1171" s="397"/>
      <c r="G1171" s="505"/>
      <c r="H1171" s="724" t="s">
        <v>2053</v>
      </c>
      <c r="I1171" s="728">
        <v>11</v>
      </c>
      <c r="J1171" s="721">
        <v>706.2</v>
      </c>
      <c r="K1171" s="374">
        <f t="shared" si="49"/>
        <v>0</v>
      </c>
      <c r="L1171" s="374">
        <f t="shared" si="48"/>
        <v>706.2</v>
      </c>
      <c r="M1171" s="329"/>
      <c r="N1171" s="690"/>
      <c r="O1171" s="690"/>
      <c r="P1171" s="288"/>
      <c r="Q1171" s="553"/>
      <c r="R1171" s="525"/>
      <c r="S1171" s="729"/>
    </row>
    <row r="1172" spans="1:19" s="385" customFormat="1" ht="30" customHeight="1">
      <c r="A1172" s="331">
        <v>118</v>
      </c>
      <c r="B1172" s="363" t="s">
        <v>1734</v>
      </c>
      <c r="C1172" s="397" t="s">
        <v>1750</v>
      </c>
      <c r="D1172" s="505"/>
      <c r="E1172" s="397"/>
      <c r="F1172" s="397"/>
      <c r="G1172" s="505"/>
      <c r="H1172" s="724" t="s">
        <v>2060</v>
      </c>
      <c r="I1172" s="728">
        <v>8</v>
      </c>
      <c r="J1172" s="721">
        <v>513.6</v>
      </c>
      <c r="K1172" s="374">
        <f t="shared" si="49"/>
        <v>0</v>
      </c>
      <c r="L1172" s="374">
        <f t="shared" si="48"/>
        <v>513.6</v>
      </c>
      <c r="M1172" s="329"/>
      <c r="N1172" s="690"/>
      <c r="O1172" s="690"/>
      <c r="P1172" s="288"/>
      <c r="Q1172" s="553"/>
      <c r="R1172" s="525"/>
      <c r="S1172" s="729"/>
    </row>
    <row r="1173" spans="1:19" s="385" customFormat="1" ht="30" customHeight="1">
      <c r="A1173" s="331">
        <v>119</v>
      </c>
      <c r="B1173" s="363" t="s">
        <v>715</v>
      </c>
      <c r="C1173" s="397" t="s">
        <v>429</v>
      </c>
      <c r="D1173" s="505"/>
      <c r="E1173" s="397"/>
      <c r="F1173" s="397"/>
      <c r="G1173" s="505"/>
      <c r="H1173" s="724" t="s">
        <v>1146</v>
      </c>
      <c r="I1173" s="728">
        <v>14</v>
      </c>
      <c r="J1173" s="721">
        <v>898.80000000000018</v>
      </c>
      <c r="K1173" s="374">
        <f t="shared" si="49"/>
        <v>0</v>
      </c>
      <c r="L1173" s="374">
        <f t="shared" si="48"/>
        <v>898.80000000000018</v>
      </c>
      <c r="M1173" s="329"/>
      <c r="N1173" s="690"/>
      <c r="O1173" s="690"/>
      <c r="P1173" s="288"/>
      <c r="Q1173" s="553"/>
      <c r="R1173" s="525"/>
      <c r="S1173" s="729"/>
    </row>
    <row r="1174" spans="1:19" s="385" customFormat="1" ht="30" customHeight="1">
      <c r="A1174" s="331"/>
      <c r="B1174" s="363" t="s">
        <v>715</v>
      </c>
      <c r="C1174" s="397" t="s">
        <v>429</v>
      </c>
      <c r="D1174" s="505"/>
      <c r="E1174" s="397"/>
      <c r="F1174" s="397"/>
      <c r="G1174" s="505"/>
      <c r="H1174" s="724" t="s">
        <v>1514</v>
      </c>
      <c r="I1174" s="728">
        <v>1</v>
      </c>
      <c r="J1174" s="721">
        <v>64.2</v>
      </c>
      <c r="K1174" s="374">
        <f t="shared" si="49"/>
        <v>0</v>
      </c>
      <c r="L1174" s="374">
        <f t="shared" si="48"/>
        <v>64.2</v>
      </c>
      <c r="M1174" s="329"/>
      <c r="N1174" s="690"/>
      <c r="O1174" s="690"/>
      <c r="P1174" s="288"/>
      <c r="Q1174" s="553"/>
      <c r="R1174" s="525"/>
      <c r="S1174" s="729"/>
    </row>
    <row r="1175" spans="1:19" s="385" customFormat="1" ht="30" customHeight="1">
      <c r="A1175" s="331"/>
      <c r="B1175" s="363" t="s">
        <v>715</v>
      </c>
      <c r="C1175" s="397" t="s">
        <v>429</v>
      </c>
      <c r="D1175" s="505"/>
      <c r="E1175" s="397"/>
      <c r="F1175" s="397"/>
      <c r="G1175" s="505"/>
      <c r="H1175" s="724" t="s">
        <v>2054</v>
      </c>
      <c r="I1175" s="728">
        <v>9</v>
      </c>
      <c r="J1175" s="721">
        <v>577.79999999999995</v>
      </c>
      <c r="K1175" s="374">
        <f t="shared" si="49"/>
        <v>0</v>
      </c>
      <c r="L1175" s="374">
        <f t="shared" si="48"/>
        <v>577.79999999999995</v>
      </c>
      <c r="M1175" s="329"/>
      <c r="N1175" s="690"/>
      <c r="O1175" s="690"/>
      <c r="P1175" s="288"/>
      <c r="Q1175" s="553"/>
      <c r="R1175" s="525"/>
      <c r="S1175" s="729"/>
    </row>
    <row r="1176" spans="1:19" s="385" customFormat="1" ht="30" customHeight="1">
      <c r="A1176" s="331">
        <v>120</v>
      </c>
      <c r="B1176" s="363" t="s">
        <v>716</v>
      </c>
      <c r="C1176" s="397" t="s">
        <v>1772</v>
      </c>
      <c r="D1176" s="505"/>
      <c r="E1176" s="397"/>
      <c r="F1176" s="397"/>
      <c r="G1176" s="505"/>
      <c r="H1176" s="724" t="s">
        <v>2067</v>
      </c>
      <c r="I1176" s="728">
        <v>6</v>
      </c>
      <c r="J1176" s="721">
        <v>385.2</v>
      </c>
      <c r="K1176" s="374">
        <f t="shared" si="49"/>
        <v>0</v>
      </c>
      <c r="L1176" s="374">
        <f t="shared" si="48"/>
        <v>385.2</v>
      </c>
      <c r="M1176" s="329"/>
      <c r="N1176" s="690"/>
      <c r="O1176" s="690"/>
      <c r="P1176" s="288"/>
      <c r="Q1176" s="553"/>
      <c r="R1176" s="525"/>
      <c r="S1176" s="729"/>
    </row>
    <row r="1177" spans="1:19" s="385" customFormat="1" ht="30" customHeight="1">
      <c r="A1177" s="331">
        <v>121</v>
      </c>
      <c r="B1177" s="363" t="s">
        <v>717</v>
      </c>
      <c r="C1177" s="397" t="s">
        <v>756</v>
      </c>
      <c r="D1177" s="505"/>
      <c r="E1177" s="397"/>
      <c r="F1177" s="397"/>
      <c r="G1177" s="505"/>
      <c r="H1177" s="724" t="s">
        <v>1007</v>
      </c>
      <c r="I1177" s="728">
        <v>10</v>
      </c>
      <c r="J1177" s="721">
        <v>642.00000000000011</v>
      </c>
      <c r="K1177" s="374">
        <f t="shared" si="49"/>
        <v>0</v>
      </c>
      <c r="L1177" s="374">
        <f t="shared" si="48"/>
        <v>642.00000000000011</v>
      </c>
      <c r="M1177" s="329"/>
      <c r="N1177" s="690"/>
      <c r="O1177" s="690"/>
      <c r="P1177" s="288"/>
      <c r="Q1177" s="553"/>
      <c r="R1177" s="525"/>
      <c r="S1177" s="729"/>
    </row>
    <row r="1178" spans="1:19" s="385" customFormat="1" ht="30" customHeight="1">
      <c r="A1178" s="331"/>
      <c r="B1178" s="363" t="s">
        <v>717</v>
      </c>
      <c r="C1178" s="397" t="s">
        <v>756</v>
      </c>
      <c r="D1178" s="505"/>
      <c r="E1178" s="397"/>
      <c r="F1178" s="397"/>
      <c r="G1178" s="505"/>
      <c r="H1178" s="724" t="s">
        <v>2871</v>
      </c>
      <c r="I1178" s="728">
        <v>2</v>
      </c>
      <c r="J1178" s="721">
        <v>128.4</v>
      </c>
      <c r="K1178" s="374">
        <f t="shared" si="49"/>
        <v>0</v>
      </c>
      <c r="L1178" s="374">
        <f t="shared" si="48"/>
        <v>128.4</v>
      </c>
      <c r="M1178" s="329"/>
      <c r="N1178" s="690"/>
      <c r="O1178" s="690"/>
      <c r="P1178" s="288"/>
      <c r="Q1178" s="553"/>
      <c r="R1178" s="525"/>
      <c r="S1178" s="729"/>
    </row>
    <row r="1179" spans="1:19" s="385" customFormat="1" ht="30" customHeight="1">
      <c r="A1179" s="331"/>
      <c r="B1179" s="363" t="s">
        <v>717</v>
      </c>
      <c r="C1179" s="397" t="s">
        <v>756</v>
      </c>
      <c r="D1179" s="505"/>
      <c r="E1179" s="397"/>
      <c r="F1179" s="397"/>
      <c r="G1179" s="505"/>
      <c r="H1179" s="724" t="s">
        <v>2054</v>
      </c>
      <c r="I1179" s="728">
        <v>9</v>
      </c>
      <c r="J1179" s="721">
        <v>577.79999999999995</v>
      </c>
      <c r="K1179" s="374">
        <f t="shared" si="49"/>
        <v>0</v>
      </c>
      <c r="L1179" s="374">
        <f t="shared" si="48"/>
        <v>577.79999999999995</v>
      </c>
      <c r="M1179" s="329"/>
      <c r="N1179" s="690"/>
      <c r="O1179" s="690"/>
      <c r="P1179" s="288"/>
      <c r="Q1179" s="553"/>
      <c r="R1179" s="525"/>
      <c r="S1179" s="729"/>
    </row>
    <row r="1180" spans="1:19" s="385" customFormat="1" ht="30" customHeight="1">
      <c r="A1180" s="331">
        <v>122</v>
      </c>
      <c r="B1180" s="584" t="s">
        <v>719</v>
      </c>
      <c r="C1180" s="579" t="s">
        <v>627</v>
      </c>
      <c r="D1180" s="502"/>
      <c r="E1180" s="579"/>
      <c r="F1180" s="579"/>
      <c r="G1180" s="502"/>
      <c r="H1180" s="724" t="s">
        <v>1642</v>
      </c>
      <c r="I1180" s="728">
        <v>6</v>
      </c>
      <c r="J1180" s="721">
        <v>385.2</v>
      </c>
      <c r="K1180" s="374">
        <f t="shared" si="49"/>
        <v>0</v>
      </c>
      <c r="L1180" s="374">
        <f t="shared" si="48"/>
        <v>385.2</v>
      </c>
      <c r="M1180" s="329"/>
      <c r="N1180" s="690"/>
      <c r="O1180" s="690"/>
      <c r="P1180" s="288"/>
      <c r="Q1180" s="553"/>
      <c r="R1180" s="525"/>
      <c r="S1180" s="729"/>
    </row>
    <row r="1181" spans="1:19" s="385" customFormat="1" ht="30" customHeight="1">
      <c r="A1181" s="331"/>
      <c r="B1181" s="584" t="s">
        <v>719</v>
      </c>
      <c r="C1181" s="579" t="s">
        <v>627</v>
      </c>
      <c r="D1181" s="502"/>
      <c r="E1181" s="579"/>
      <c r="F1181" s="579"/>
      <c r="G1181" s="502"/>
      <c r="H1181" s="724" t="s">
        <v>1514</v>
      </c>
      <c r="I1181" s="728">
        <v>1</v>
      </c>
      <c r="J1181" s="721">
        <v>64.2</v>
      </c>
      <c r="K1181" s="374">
        <f t="shared" si="49"/>
        <v>0</v>
      </c>
      <c r="L1181" s="374">
        <f t="shared" si="48"/>
        <v>64.2</v>
      </c>
      <c r="M1181" s="329"/>
      <c r="N1181" s="690"/>
      <c r="O1181" s="690"/>
      <c r="P1181" s="288"/>
      <c r="Q1181" s="553"/>
      <c r="R1181" s="525"/>
      <c r="S1181" s="729"/>
    </row>
    <row r="1182" spans="1:19" s="385" customFormat="1" ht="30" customHeight="1">
      <c r="A1182" s="331"/>
      <c r="B1182" s="584" t="s">
        <v>719</v>
      </c>
      <c r="C1182" s="579" t="s">
        <v>627</v>
      </c>
      <c r="D1182" s="502"/>
      <c r="E1182" s="579"/>
      <c r="F1182" s="579"/>
      <c r="G1182" s="502"/>
      <c r="H1182" s="724" t="s">
        <v>2053</v>
      </c>
      <c r="I1182" s="728">
        <v>11</v>
      </c>
      <c r="J1182" s="721">
        <v>706.2</v>
      </c>
      <c r="K1182" s="374">
        <f t="shared" si="49"/>
        <v>0</v>
      </c>
      <c r="L1182" s="374">
        <f t="shared" si="48"/>
        <v>706.2</v>
      </c>
      <c r="M1182" s="329"/>
      <c r="N1182" s="690"/>
      <c r="O1182" s="690"/>
      <c r="P1182" s="288"/>
      <c r="Q1182" s="553"/>
      <c r="R1182" s="525"/>
      <c r="S1182" s="729"/>
    </row>
    <row r="1183" spans="1:19" s="385" customFormat="1" ht="30" customHeight="1">
      <c r="A1183" s="331">
        <v>123</v>
      </c>
      <c r="B1183" s="584" t="s">
        <v>720</v>
      </c>
      <c r="C1183" s="579" t="s">
        <v>397</v>
      </c>
      <c r="D1183" s="502"/>
      <c r="E1183" s="579"/>
      <c r="F1183" s="579"/>
      <c r="G1183" s="502"/>
      <c r="H1183" s="724" t="s">
        <v>1148</v>
      </c>
      <c r="I1183" s="728">
        <v>14</v>
      </c>
      <c r="J1183" s="721">
        <v>898.8</v>
      </c>
      <c r="K1183" s="374">
        <f t="shared" si="49"/>
        <v>0</v>
      </c>
      <c r="L1183" s="374">
        <f t="shared" si="48"/>
        <v>898.8</v>
      </c>
      <c r="M1183" s="329"/>
      <c r="N1183" s="690"/>
      <c r="O1183" s="690"/>
      <c r="P1183" s="288"/>
      <c r="Q1183" s="553"/>
      <c r="R1183" s="525"/>
      <c r="S1183" s="729"/>
    </row>
    <row r="1184" spans="1:19" s="385" customFormat="1" ht="30" customHeight="1">
      <c r="A1184" s="331"/>
      <c r="B1184" s="584" t="s">
        <v>720</v>
      </c>
      <c r="C1184" s="579" t="s">
        <v>397</v>
      </c>
      <c r="D1184" s="502"/>
      <c r="E1184" s="579"/>
      <c r="F1184" s="579"/>
      <c r="G1184" s="502"/>
      <c r="H1184" s="724" t="s">
        <v>2879</v>
      </c>
      <c r="I1184" s="728">
        <v>7</v>
      </c>
      <c r="J1184" s="721">
        <v>449.4</v>
      </c>
      <c r="K1184" s="374">
        <f t="shared" si="49"/>
        <v>0</v>
      </c>
      <c r="L1184" s="374">
        <f t="shared" si="48"/>
        <v>449.4</v>
      </c>
      <c r="M1184" s="329"/>
      <c r="N1184" s="690"/>
      <c r="O1184" s="690"/>
      <c r="P1184" s="288"/>
      <c r="Q1184" s="553"/>
      <c r="R1184" s="525"/>
      <c r="S1184" s="729"/>
    </row>
    <row r="1185" spans="1:19" s="385" customFormat="1" ht="30" customHeight="1">
      <c r="A1185" s="331"/>
      <c r="B1185" s="584" t="s">
        <v>720</v>
      </c>
      <c r="C1185" s="579" t="s">
        <v>397</v>
      </c>
      <c r="D1185" s="502"/>
      <c r="E1185" s="579"/>
      <c r="F1185" s="579"/>
      <c r="G1185" s="502"/>
      <c r="H1185" s="724" t="s">
        <v>2054</v>
      </c>
      <c r="I1185" s="728">
        <v>9</v>
      </c>
      <c r="J1185" s="721">
        <v>577.79999999999995</v>
      </c>
      <c r="K1185" s="374">
        <f t="shared" si="49"/>
        <v>0</v>
      </c>
      <c r="L1185" s="374">
        <f t="shared" si="48"/>
        <v>577.79999999999995</v>
      </c>
      <c r="M1185" s="329"/>
      <c r="N1185" s="690"/>
      <c r="O1185" s="690"/>
      <c r="P1185" s="288"/>
      <c r="Q1185" s="553"/>
      <c r="R1185" s="525"/>
      <c r="S1185" s="729"/>
    </row>
    <row r="1186" spans="1:19" s="385" customFormat="1" ht="30" customHeight="1">
      <c r="A1186" s="331">
        <v>124</v>
      </c>
      <c r="B1186" s="584" t="s">
        <v>1362</v>
      </c>
      <c r="C1186" s="579" t="s">
        <v>1422</v>
      </c>
      <c r="D1186" s="502"/>
      <c r="E1186" s="579"/>
      <c r="F1186" s="579"/>
      <c r="G1186" s="502"/>
      <c r="H1186" s="724" t="s">
        <v>1635</v>
      </c>
      <c r="I1186" s="728">
        <v>2</v>
      </c>
      <c r="J1186" s="721">
        <v>128.4</v>
      </c>
      <c r="K1186" s="374">
        <f t="shared" si="49"/>
        <v>0</v>
      </c>
      <c r="L1186" s="374">
        <f t="shared" si="48"/>
        <v>128.4</v>
      </c>
      <c r="M1186" s="329"/>
      <c r="N1186" s="690"/>
      <c r="O1186" s="690"/>
      <c r="P1186" s="288"/>
      <c r="Q1186" s="553"/>
      <c r="R1186" s="525"/>
      <c r="S1186" s="729"/>
    </row>
    <row r="1187" spans="1:19" s="385" customFormat="1" ht="30" customHeight="1">
      <c r="A1187" s="331"/>
      <c r="B1187" s="584" t="s">
        <v>1362</v>
      </c>
      <c r="C1187" s="579" t="s">
        <v>1422</v>
      </c>
      <c r="D1187" s="502"/>
      <c r="E1187" s="579"/>
      <c r="F1187" s="579"/>
      <c r="G1187" s="502"/>
      <c r="H1187" s="724" t="s">
        <v>2879</v>
      </c>
      <c r="I1187" s="728">
        <v>7</v>
      </c>
      <c r="J1187" s="721">
        <v>449.4</v>
      </c>
      <c r="K1187" s="374">
        <f t="shared" si="49"/>
        <v>0</v>
      </c>
      <c r="L1187" s="374">
        <f t="shared" si="48"/>
        <v>449.4</v>
      </c>
      <c r="M1187" s="329"/>
      <c r="N1187" s="690"/>
      <c r="O1187" s="690"/>
      <c r="P1187" s="288"/>
      <c r="Q1187" s="553"/>
      <c r="R1187" s="525"/>
      <c r="S1187" s="729"/>
    </row>
    <row r="1188" spans="1:19" s="385" customFormat="1" ht="30" customHeight="1">
      <c r="A1188" s="331"/>
      <c r="B1188" s="584" t="s">
        <v>1362</v>
      </c>
      <c r="C1188" s="579" t="s">
        <v>1422</v>
      </c>
      <c r="D1188" s="502"/>
      <c r="E1188" s="579"/>
      <c r="F1188" s="579"/>
      <c r="G1188" s="502"/>
      <c r="H1188" s="724" t="s">
        <v>2053</v>
      </c>
      <c r="I1188" s="728">
        <v>11</v>
      </c>
      <c r="J1188" s="721">
        <v>706.2</v>
      </c>
      <c r="K1188" s="374">
        <f t="shared" si="49"/>
        <v>0</v>
      </c>
      <c r="L1188" s="374">
        <f t="shared" si="48"/>
        <v>706.2</v>
      </c>
      <c r="M1188" s="329"/>
      <c r="N1188" s="690"/>
      <c r="O1188" s="690"/>
      <c r="P1188" s="288"/>
      <c r="Q1188" s="553"/>
      <c r="R1188" s="525"/>
      <c r="S1188" s="729"/>
    </row>
    <row r="1189" spans="1:19" s="385" customFormat="1" ht="30" customHeight="1">
      <c r="A1189" s="331">
        <v>125</v>
      </c>
      <c r="B1189" s="584" t="s">
        <v>430</v>
      </c>
      <c r="C1189" s="579" t="s">
        <v>431</v>
      </c>
      <c r="D1189" s="502"/>
      <c r="E1189" s="579"/>
      <c r="F1189" s="579"/>
      <c r="G1189" s="502"/>
      <c r="H1189" s="724" t="s">
        <v>1643</v>
      </c>
      <c r="I1189" s="728">
        <v>15</v>
      </c>
      <c r="J1189" s="721">
        <v>963.00000000000034</v>
      </c>
      <c r="K1189" s="374">
        <f t="shared" si="49"/>
        <v>0</v>
      </c>
      <c r="L1189" s="374">
        <f t="shared" si="48"/>
        <v>963.00000000000034</v>
      </c>
      <c r="M1189" s="329"/>
      <c r="N1189" s="690"/>
      <c r="O1189" s="690"/>
      <c r="P1189" s="288"/>
      <c r="Q1189" s="553"/>
      <c r="R1189" s="525"/>
      <c r="S1189" s="729"/>
    </row>
    <row r="1190" spans="1:19" s="385" customFormat="1" ht="30" customHeight="1">
      <c r="A1190" s="331"/>
      <c r="B1190" s="584" t="s">
        <v>430</v>
      </c>
      <c r="C1190" s="579" t="s">
        <v>431</v>
      </c>
      <c r="D1190" s="502"/>
      <c r="E1190" s="579"/>
      <c r="F1190" s="579"/>
      <c r="G1190" s="502"/>
      <c r="H1190" s="724" t="s">
        <v>1514</v>
      </c>
      <c r="I1190" s="728">
        <v>1</v>
      </c>
      <c r="J1190" s="721">
        <v>64.2</v>
      </c>
      <c r="K1190" s="374">
        <f t="shared" si="49"/>
        <v>0</v>
      </c>
      <c r="L1190" s="374">
        <f t="shared" si="48"/>
        <v>64.2</v>
      </c>
      <c r="M1190" s="329"/>
      <c r="N1190" s="690"/>
      <c r="O1190" s="690"/>
      <c r="P1190" s="288"/>
      <c r="Q1190" s="553"/>
      <c r="R1190" s="525"/>
      <c r="S1190" s="729"/>
    </row>
    <row r="1191" spans="1:19" s="385" customFormat="1" ht="30" customHeight="1">
      <c r="A1191" s="331"/>
      <c r="B1191" s="584" t="s">
        <v>430</v>
      </c>
      <c r="C1191" s="579" t="s">
        <v>431</v>
      </c>
      <c r="D1191" s="502"/>
      <c r="E1191" s="579"/>
      <c r="F1191" s="579"/>
      <c r="G1191" s="502"/>
      <c r="H1191" s="724" t="s">
        <v>2053</v>
      </c>
      <c r="I1191" s="728">
        <v>11</v>
      </c>
      <c r="J1191" s="721">
        <v>706.2</v>
      </c>
      <c r="K1191" s="374">
        <f t="shared" si="49"/>
        <v>0</v>
      </c>
      <c r="L1191" s="374">
        <f t="shared" si="48"/>
        <v>706.2</v>
      </c>
      <c r="M1191" s="329"/>
      <c r="N1191" s="690"/>
      <c r="O1191" s="690"/>
      <c r="P1191" s="288"/>
      <c r="Q1191" s="553"/>
      <c r="R1191" s="525"/>
      <c r="S1191" s="729"/>
    </row>
    <row r="1192" spans="1:19" s="385" customFormat="1" ht="30" customHeight="1">
      <c r="A1192" s="331">
        <v>126</v>
      </c>
      <c r="B1192" s="584" t="s">
        <v>721</v>
      </c>
      <c r="C1192" s="579" t="s">
        <v>438</v>
      </c>
      <c r="D1192" s="502"/>
      <c r="E1192" s="579"/>
      <c r="F1192" s="579"/>
      <c r="G1192" s="502"/>
      <c r="H1192" s="724" t="s">
        <v>1613</v>
      </c>
      <c r="I1192" s="728">
        <v>12</v>
      </c>
      <c r="J1192" s="721">
        <v>770.4</v>
      </c>
      <c r="K1192" s="374">
        <f t="shared" si="49"/>
        <v>0</v>
      </c>
      <c r="L1192" s="374">
        <f t="shared" si="48"/>
        <v>770.4</v>
      </c>
      <c r="M1192" s="329"/>
      <c r="N1192" s="690"/>
      <c r="O1192" s="690"/>
      <c r="P1192" s="288"/>
      <c r="Q1192" s="553"/>
      <c r="R1192" s="525"/>
      <c r="S1192" s="729"/>
    </row>
    <row r="1193" spans="1:19" s="385" customFormat="1" ht="30" customHeight="1">
      <c r="A1193" s="331"/>
      <c r="B1193" s="584" t="s">
        <v>721</v>
      </c>
      <c r="C1193" s="579" t="s">
        <v>438</v>
      </c>
      <c r="D1193" s="502"/>
      <c r="E1193" s="579"/>
      <c r="F1193" s="579"/>
      <c r="G1193" s="502"/>
      <c r="H1193" s="724" t="s">
        <v>2879</v>
      </c>
      <c r="I1193" s="728">
        <v>7</v>
      </c>
      <c r="J1193" s="721">
        <v>449.4</v>
      </c>
      <c r="K1193" s="374">
        <f t="shared" si="49"/>
        <v>0</v>
      </c>
      <c r="L1193" s="374">
        <f t="shared" si="48"/>
        <v>449.4</v>
      </c>
      <c r="M1193" s="329"/>
      <c r="N1193" s="690"/>
      <c r="O1193" s="690"/>
      <c r="P1193" s="288"/>
      <c r="Q1193" s="553"/>
      <c r="R1193" s="525"/>
      <c r="S1193" s="729"/>
    </row>
    <row r="1194" spans="1:19" s="385" customFormat="1" ht="30" customHeight="1">
      <c r="A1194" s="331"/>
      <c r="B1194" s="584" t="s">
        <v>721</v>
      </c>
      <c r="C1194" s="579" t="s">
        <v>438</v>
      </c>
      <c r="D1194" s="502"/>
      <c r="E1194" s="579"/>
      <c r="F1194" s="579"/>
      <c r="G1194" s="502"/>
      <c r="H1194" s="724" t="s">
        <v>2053</v>
      </c>
      <c r="I1194" s="728">
        <v>11</v>
      </c>
      <c r="J1194" s="721">
        <v>706.2</v>
      </c>
      <c r="K1194" s="374">
        <f t="shared" si="49"/>
        <v>0</v>
      </c>
      <c r="L1194" s="374">
        <f t="shared" si="48"/>
        <v>706.2</v>
      </c>
      <c r="M1194" s="329"/>
      <c r="N1194" s="690"/>
      <c r="O1194" s="690"/>
      <c r="P1194" s="288"/>
      <c r="Q1194" s="553"/>
      <c r="R1194" s="525"/>
      <c r="S1194" s="729"/>
    </row>
    <row r="1195" spans="1:19" s="385" customFormat="1" ht="30" customHeight="1">
      <c r="A1195" s="331">
        <v>127</v>
      </c>
      <c r="B1195" s="584" t="s">
        <v>1563</v>
      </c>
      <c r="C1195" s="579" t="s">
        <v>1423</v>
      </c>
      <c r="D1195" s="502"/>
      <c r="E1195" s="579"/>
      <c r="F1195" s="579"/>
      <c r="G1195" s="502"/>
      <c r="H1195" s="724" t="s">
        <v>2053</v>
      </c>
      <c r="I1195" s="728">
        <v>11</v>
      </c>
      <c r="J1195" s="721">
        <v>706.2</v>
      </c>
      <c r="K1195" s="374">
        <f t="shared" si="49"/>
        <v>0</v>
      </c>
      <c r="L1195" s="374">
        <f t="shared" si="48"/>
        <v>706.2</v>
      </c>
      <c r="M1195" s="329"/>
      <c r="N1195" s="690"/>
      <c r="O1195" s="690"/>
      <c r="P1195" s="288"/>
      <c r="Q1195" s="553"/>
      <c r="R1195" s="525"/>
      <c r="S1195" s="729"/>
    </row>
    <row r="1196" spans="1:19" s="385" customFormat="1" ht="30" customHeight="1">
      <c r="A1196" s="331">
        <v>128</v>
      </c>
      <c r="B1196" s="584" t="s">
        <v>1365</v>
      </c>
      <c r="C1196" s="579" t="s">
        <v>1424</v>
      </c>
      <c r="D1196" s="502"/>
      <c r="E1196" s="579"/>
      <c r="F1196" s="579"/>
      <c r="G1196" s="502"/>
      <c r="H1196" s="724" t="s">
        <v>1148</v>
      </c>
      <c r="I1196" s="728">
        <v>14</v>
      </c>
      <c r="J1196" s="721">
        <v>898.8</v>
      </c>
      <c r="K1196" s="374">
        <f t="shared" si="49"/>
        <v>0</v>
      </c>
      <c r="L1196" s="374">
        <f t="shared" si="48"/>
        <v>898.8</v>
      </c>
      <c r="M1196" s="329"/>
      <c r="N1196" s="690"/>
      <c r="O1196" s="690"/>
      <c r="P1196" s="288"/>
      <c r="Q1196" s="553"/>
      <c r="R1196" s="525"/>
      <c r="S1196" s="729"/>
    </row>
    <row r="1197" spans="1:19" s="385" customFormat="1" ht="30" customHeight="1">
      <c r="A1197" s="331"/>
      <c r="B1197" s="584" t="s">
        <v>1365</v>
      </c>
      <c r="C1197" s="579" t="s">
        <v>1424</v>
      </c>
      <c r="D1197" s="502"/>
      <c r="E1197" s="579"/>
      <c r="F1197" s="579"/>
      <c r="G1197" s="502"/>
      <c r="H1197" s="724" t="s">
        <v>2879</v>
      </c>
      <c r="I1197" s="728">
        <v>7</v>
      </c>
      <c r="J1197" s="721">
        <v>449.4</v>
      </c>
      <c r="K1197" s="374">
        <f t="shared" si="49"/>
        <v>0</v>
      </c>
      <c r="L1197" s="374">
        <f t="shared" si="48"/>
        <v>449.4</v>
      </c>
      <c r="M1197" s="329"/>
      <c r="N1197" s="690"/>
      <c r="O1197" s="690"/>
      <c r="P1197" s="288"/>
      <c r="Q1197" s="553"/>
      <c r="R1197" s="525"/>
      <c r="S1197" s="729"/>
    </row>
    <row r="1198" spans="1:19" s="385" customFormat="1" ht="30" customHeight="1">
      <c r="A1198" s="331"/>
      <c r="B1198" s="584" t="s">
        <v>1365</v>
      </c>
      <c r="C1198" s="579" t="s">
        <v>1424</v>
      </c>
      <c r="D1198" s="502"/>
      <c r="E1198" s="579"/>
      <c r="F1198" s="579"/>
      <c r="G1198" s="502"/>
      <c r="H1198" s="724" t="s">
        <v>2053</v>
      </c>
      <c r="I1198" s="728">
        <v>11</v>
      </c>
      <c r="J1198" s="721">
        <v>706.2</v>
      </c>
      <c r="K1198" s="374">
        <f t="shared" si="49"/>
        <v>0</v>
      </c>
      <c r="L1198" s="374">
        <f t="shared" si="48"/>
        <v>706.2</v>
      </c>
      <c r="M1198" s="329"/>
      <c r="N1198" s="690"/>
      <c r="O1198" s="690"/>
      <c r="P1198" s="288"/>
      <c r="Q1198" s="553"/>
      <c r="R1198" s="525"/>
      <c r="S1198" s="729"/>
    </row>
    <row r="1199" spans="1:19" s="385" customFormat="1" ht="30" customHeight="1">
      <c r="A1199" s="331">
        <v>129</v>
      </c>
      <c r="B1199" s="584" t="s">
        <v>806</v>
      </c>
      <c r="C1199" s="579" t="s">
        <v>1700</v>
      </c>
      <c r="D1199" s="502"/>
      <c r="E1199" s="579"/>
      <c r="F1199" s="579"/>
      <c r="G1199" s="502"/>
      <c r="H1199" s="724" t="s">
        <v>1651</v>
      </c>
      <c r="I1199" s="728">
        <v>12</v>
      </c>
      <c r="J1199" s="721">
        <v>770.4</v>
      </c>
      <c r="K1199" s="374">
        <f t="shared" si="49"/>
        <v>0</v>
      </c>
      <c r="L1199" s="374">
        <f t="shared" si="48"/>
        <v>770.4</v>
      </c>
      <c r="M1199" s="329"/>
      <c r="N1199" s="690"/>
      <c r="O1199" s="690"/>
      <c r="P1199" s="288"/>
      <c r="Q1199" s="553"/>
      <c r="R1199" s="525"/>
      <c r="S1199" s="729"/>
    </row>
    <row r="1200" spans="1:19" s="385" customFormat="1" ht="30" customHeight="1">
      <c r="A1200" s="331">
        <v>130</v>
      </c>
      <c r="B1200" s="584" t="s">
        <v>1564</v>
      </c>
      <c r="C1200" s="579" t="s">
        <v>1590</v>
      </c>
      <c r="D1200" s="502"/>
      <c r="E1200" s="579"/>
      <c r="F1200" s="579"/>
      <c r="G1200" s="502"/>
      <c r="H1200" s="724" t="s">
        <v>2074</v>
      </c>
      <c r="I1200" s="728">
        <v>10</v>
      </c>
      <c r="J1200" s="721">
        <v>642</v>
      </c>
      <c r="K1200" s="374">
        <f t="shared" si="49"/>
        <v>0</v>
      </c>
      <c r="L1200" s="374">
        <f t="shared" si="48"/>
        <v>642</v>
      </c>
      <c r="M1200" s="329"/>
      <c r="N1200" s="690"/>
      <c r="O1200" s="690"/>
      <c r="P1200" s="288"/>
      <c r="Q1200" s="553"/>
      <c r="R1200" s="525"/>
      <c r="S1200" s="729"/>
    </row>
    <row r="1201" spans="1:19" s="385" customFormat="1" ht="30" customHeight="1">
      <c r="A1201" s="331">
        <v>131</v>
      </c>
      <c r="B1201" s="584" t="s">
        <v>1367</v>
      </c>
      <c r="C1201" s="579" t="s">
        <v>1425</v>
      </c>
      <c r="D1201" s="502"/>
      <c r="E1201" s="579"/>
      <c r="F1201" s="579"/>
      <c r="G1201" s="502"/>
      <c r="H1201" s="724" t="s">
        <v>1613</v>
      </c>
      <c r="I1201" s="728">
        <v>12</v>
      </c>
      <c r="J1201" s="721">
        <v>770.4</v>
      </c>
      <c r="K1201" s="374">
        <f t="shared" si="49"/>
        <v>0</v>
      </c>
      <c r="L1201" s="374">
        <f t="shared" si="48"/>
        <v>770.4</v>
      </c>
      <c r="M1201" s="329"/>
      <c r="N1201" s="690"/>
      <c r="O1201" s="690"/>
      <c r="P1201" s="288"/>
      <c r="Q1201" s="553"/>
      <c r="R1201" s="525"/>
      <c r="S1201" s="729"/>
    </row>
    <row r="1202" spans="1:19" s="385" customFormat="1" ht="30" customHeight="1">
      <c r="A1202" s="331"/>
      <c r="B1202" s="584" t="s">
        <v>1367</v>
      </c>
      <c r="C1202" s="579" t="s">
        <v>1425</v>
      </c>
      <c r="D1202" s="502"/>
      <c r="E1202" s="579"/>
      <c r="F1202" s="579"/>
      <c r="G1202" s="502"/>
      <c r="H1202" s="724" t="s">
        <v>2879</v>
      </c>
      <c r="I1202" s="728">
        <v>7</v>
      </c>
      <c r="J1202" s="721">
        <v>449.4</v>
      </c>
      <c r="K1202" s="374">
        <f t="shared" si="49"/>
        <v>0</v>
      </c>
      <c r="L1202" s="374">
        <f t="shared" si="48"/>
        <v>449.4</v>
      </c>
      <c r="M1202" s="329"/>
      <c r="N1202" s="690"/>
      <c r="O1202" s="690"/>
      <c r="P1202" s="288"/>
      <c r="Q1202" s="553"/>
      <c r="R1202" s="525"/>
      <c r="S1202" s="729"/>
    </row>
    <row r="1203" spans="1:19" s="385" customFormat="1" ht="30" customHeight="1">
      <c r="A1203" s="331"/>
      <c r="B1203" s="584" t="s">
        <v>1367</v>
      </c>
      <c r="C1203" s="579" t="s">
        <v>1425</v>
      </c>
      <c r="D1203" s="502"/>
      <c r="E1203" s="579"/>
      <c r="F1203" s="579"/>
      <c r="G1203" s="502"/>
      <c r="H1203" s="724" t="s">
        <v>2053</v>
      </c>
      <c r="I1203" s="728">
        <v>11</v>
      </c>
      <c r="J1203" s="721">
        <v>706.2</v>
      </c>
      <c r="K1203" s="374">
        <f t="shared" si="49"/>
        <v>0</v>
      </c>
      <c r="L1203" s="374">
        <f t="shared" si="48"/>
        <v>706.2</v>
      </c>
      <c r="M1203" s="329"/>
      <c r="N1203" s="690"/>
      <c r="O1203" s="690"/>
      <c r="P1203" s="288"/>
      <c r="Q1203" s="553"/>
      <c r="R1203" s="525"/>
      <c r="S1203" s="729"/>
    </row>
    <row r="1204" spans="1:19" s="385" customFormat="1" ht="30" customHeight="1">
      <c r="A1204" s="331">
        <v>132</v>
      </c>
      <c r="B1204" s="584" t="s">
        <v>1369</v>
      </c>
      <c r="C1204" s="579" t="s">
        <v>1426</v>
      </c>
      <c r="D1204" s="502"/>
      <c r="E1204" s="579"/>
      <c r="F1204" s="579"/>
      <c r="G1204" s="502"/>
      <c r="H1204" s="724" t="s">
        <v>1138</v>
      </c>
      <c r="I1204" s="728">
        <v>12</v>
      </c>
      <c r="J1204" s="721">
        <v>770.4000000000002</v>
      </c>
      <c r="K1204" s="374">
        <f t="shared" si="49"/>
        <v>0</v>
      </c>
      <c r="L1204" s="374">
        <f t="shared" si="48"/>
        <v>770.4000000000002</v>
      </c>
      <c r="M1204" s="329"/>
      <c r="N1204" s="690"/>
      <c r="O1204" s="690"/>
      <c r="P1204" s="288"/>
      <c r="Q1204" s="553"/>
      <c r="R1204" s="525"/>
      <c r="S1204" s="729"/>
    </row>
    <row r="1205" spans="1:19" s="385" customFormat="1" ht="30" customHeight="1">
      <c r="A1205" s="331"/>
      <c r="B1205" s="584" t="s">
        <v>1369</v>
      </c>
      <c r="C1205" s="579" t="s">
        <v>1426</v>
      </c>
      <c r="D1205" s="502"/>
      <c r="E1205" s="579"/>
      <c r="F1205" s="579"/>
      <c r="G1205" s="502"/>
      <c r="H1205" s="724" t="s">
        <v>1514</v>
      </c>
      <c r="I1205" s="728">
        <v>1</v>
      </c>
      <c r="J1205" s="721">
        <v>64.2</v>
      </c>
      <c r="K1205" s="374">
        <f t="shared" si="49"/>
        <v>0</v>
      </c>
      <c r="L1205" s="374">
        <f t="shared" si="48"/>
        <v>64.2</v>
      </c>
      <c r="M1205" s="329"/>
      <c r="N1205" s="690"/>
      <c r="O1205" s="690"/>
      <c r="P1205" s="288"/>
      <c r="Q1205" s="553"/>
      <c r="R1205" s="525"/>
      <c r="S1205" s="729"/>
    </row>
    <row r="1206" spans="1:19" s="385" customFormat="1" ht="30" customHeight="1">
      <c r="A1206" s="331"/>
      <c r="B1206" s="584" t="s">
        <v>1369</v>
      </c>
      <c r="C1206" s="579" t="s">
        <v>1426</v>
      </c>
      <c r="D1206" s="502"/>
      <c r="E1206" s="579"/>
      <c r="F1206" s="579"/>
      <c r="G1206" s="502"/>
      <c r="H1206" s="724" t="s">
        <v>2053</v>
      </c>
      <c r="I1206" s="728">
        <v>11</v>
      </c>
      <c r="J1206" s="721">
        <v>706.2</v>
      </c>
      <c r="K1206" s="374">
        <f t="shared" ref="K1206:K1269" si="50">G1206*11.54/100</f>
        <v>0</v>
      </c>
      <c r="L1206" s="374">
        <f t="shared" si="48"/>
        <v>706.2</v>
      </c>
      <c r="M1206" s="329"/>
      <c r="N1206" s="690"/>
      <c r="O1206" s="690"/>
      <c r="P1206" s="288"/>
      <c r="Q1206" s="553"/>
      <c r="R1206" s="525"/>
      <c r="S1206" s="729"/>
    </row>
    <row r="1207" spans="1:19" s="385" customFormat="1" ht="30" customHeight="1">
      <c r="A1207" s="331">
        <v>133</v>
      </c>
      <c r="B1207" s="584" t="s">
        <v>367</v>
      </c>
      <c r="C1207" s="579" t="s">
        <v>1591</v>
      </c>
      <c r="D1207" s="502"/>
      <c r="E1207" s="579"/>
      <c r="F1207" s="579"/>
      <c r="G1207" s="502"/>
      <c r="H1207" s="724" t="s">
        <v>2886</v>
      </c>
      <c r="I1207" s="728">
        <v>9</v>
      </c>
      <c r="J1207" s="721">
        <v>577.79999999999995</v>
      </c>
      <c r="K1207" s="374">
        <f t="shared" si="50"/>
        <v>0</v>
      </c>
      <c r="L1207" s="374">
        <f t="shared" si="48"/>
        <v>577.79999999999995</v>
      </c>
      <c r="M1207" s="329"/>
      <c r="N1207" s="690"/>
      <c r="O1207" s="690"/>
      <c r="P1207" s="288"/>
      <c r="Q1207" s="553"/>
      <c r="R1207" s="525"/>
      <c r="S1207" s="729"/>
    </row>
    <row r="1208" spans="1:19" s="385" customFormat="1" ht="30" customHeight="1">
      <c r="A1208" s="331"/>
      <c r="B1208" s="584" t="s">
        <v>367</v>
      </c>
      <c r="C1208" s="579" t="s">
        <v>1591</v>
      </c>
      <c r="D1208" s="502"/>
      <c r="E1208" s="579"/>
      <c r="F1208" s="579"/>
      <c r="G1208" s="502"/>
      <c r="H1208" s="724" t="s">
        <v>2879</v>
      </c>
      <c r="I1208" s="728">
        <v>7</v>
      </c>
      <c r="J1208" s="721">
        <v>449.4</v>
      </c>
      <c r="K1208" s="374">
        <f t="shared" si="50"/>
        <v>0</v>
      </c>
      <c r="L1208" s="374">
        <f t="shared" si="48"/>
        <v>449.4</v>
      </c>
      <c r="M1208" s="329"/>
      <c r="N1208" s="690"/>
      <c r="O1208" s="690"/>
      <c r="P1208" s="288"/>
      <c r="Q1208" s="553"/>
      <c r="R1208" s="525"/>
      <c r="S1208" s="729"/>
    </row>
    <row r="1209" spans="1:19" s="385" customFormat="1" ht="30" customHeight="1">
      <c r="A1209" s="331"/>
      <c r="B1209" s="584" t="s">
        <v>367</v>
      </c>
      <c r="C1209" s="579" t="s">
        <v>1591</v>
      </c>
      <c r="D1209" s="502"/>
      <c r="E1209" s="579"/>
      <c r="F1209" s="579"/>
      <c r="G1209" s="502"/>
      <c r="H1209" s="724" t="s">
        <v>2074</v>
      </c>
      <c r="I1209" s="728">
        <v>10</v>
      </c>
      <c r="J1209" s="721">
        <v>642</v>
      </c>
      <c r="K1209" s="374">
        <f t="shared" si="50"/>
        <v>0</v>
      </c>
      <c r="L1209" s="374">
        <f t="shared" si="48"/>
        <v>642</v>
      </c>
      <c r="M1209" s="329"/>
      <c r="N1209" s="690"/>
      <c r="O1209" s="690"/>
      <c r="P1209" s="288"/>
      <c r="Q1209" s="553"/>
      <c r="R1209" s="525"/>
      <c r="S1209" s="729"/>
    </row>
    <row r="1210" spans="1:19" s="385" customFormat="1" ht="30" customHeight="1">
      <c r="A1210" s="331">
        <v>134</v>
      </c>
      <c r="B1210" s="584" t="s">
        <v>722</v>
      </c>
      <c r="C1210" s="579" t="s">
        <v>1677</v>
      </c>
      <c r="D1210" s="502"/>
      <c r="E1210" s="579"/>
      <c r="F1210" s="579"/>
      <c r="G1210" s="502"/>
      <c r="H1210" s="724" t="s">
        <v>2054</v>
      </c>
      <c r="I1210" s="728">
        <v>9</v>
      </c>
      <c r="J1210" s="721">
        <v>577.79999999999995</v>
      </c>
      <c r="K1210" s="374">
        <f t="shared" si="50"/>
        <v>0</v>
      </c>
      <c r="L1210" s="374">
        <f t="shared" si="48"/>
        <v>577.79999999999995</v>
      </c>
      <c r="M1210" s="329"/>
      <c r="N1210" s="690"/>
      <c r="O1210" s="690"/>
      <c r="P1210" s="288"/>
      <c r="Q1210" s="553"/>
      <c r="R1210" s="525"/>
      <c r="S1210" s="729"/>
    </row>
    <row r="1211" spans="1:19" s="385" customFormat="1" ht="30" customHeight="1">
      <c r="A1211" s="331">
        <v>135</v>
      </c>
      <c r="B1211" s="584" t="s">
        <v>1371</v>
      </c>
      <c r="C1211" s="579" t="s">
        <v>1427</v>
      </c>
      <c r="D1211" s="502"/>
      <c r="E1211" s="579"/>
      <c r="F1211" s="579"/>
      <c r="G1211" s="502"/>
      <c r="H1211" s="724" t="s">
        <v>995</v>
      </c>
      <c r="I1211" s="728">
        <v>13</v>
      </c>
      <c r="J1211" s="721">
        <v>1155.6000000000004</v>
      </c>
      <c r="K1211" s="374">
        <f t="shared" si="50"/>
        <v>0</v>
      </c>
      <c r="L1211" s="374">
        <f t="shared" si="48"/>
        <v>1155.6000000000004</v>
      </c>
      <c r="M1211" s="329"/>
      <c r="N1211" s="690"/>
      <c r="O1211" s="690"/>
      <c r="P1211" s="288"/>
      <c r="Q1211" s="553"/>
      <c r="R1211" s="525"/>
      <c r="S1211" s="729"/>
    </row>
    <row r="1212" spans="1:19" s="385" customFormat="1" ht="30" customHeight="1">
      <c r="A1212" s="331"/>
      <c r="B1212" s="584" t="s">
        <v>1371</v>
      </c>
      <c r="C1212" s="579" t="s">
        <v>1427</v>
      </c>
      <c r="D1212" s="502"/>
      <c r="E1212" s="579"/>
      <c r="F1212" s="579"/>
      <c r="G1212" s="502"/>
      <c r="H1212" s="724" t="s">
        <v>2879</v>
      </c>
      <c r="I1212" s="728">
        <v>7</v>
      </c>
      <c r="J1212" s="721">
        <v>449.4</v>
      </c>
      <c r="K1212" s="374">
        <f t="shared" si="50"/>
        <v>0</v>
      </c>
      <c r="L1212" s="374">
        <f t="shared" si="48"/>
        <v>449.4</v>
      </c>
      <c r="M1212" s="329"/>
      <c r="N1212" s="690"/>
      <c r="O1212" s="690"/>
      <c r="P1212" s="288"/>
      <c r="Q1212" s="553"/>
      <c r="R1212" s="525"/>
      <c r="S1212" s="729"/>
    </row>
    <row r="1213" spans="1:19" s="385" customFormat="1" ht="30" customHeight="1">
      <c r="A1213" s="331"/>
      <c r="B1213" s="584" t="s">
        <v>1371</v>
      </c>
      <c r="C1213" s="579" t="s">
        <v>1427</v>
      </c>
      <c r="D1213" s="502"/>
      <c r="E1213" s="579"/>
      <c r="F1213" s="579"/>
      <c r="G1213" s="502"/>
      <c r="H1213" s="724" t="s">
        <v>2053</v>
      </c>
      <c r="I1213" s="728">
        <v>11</v>
      </c>
      <c r="J1213" s="721">
        <v>706.2</v>
      </c>
      <c r="K1213" s="374">
        <f t="shared" si="50"/>
        <v>0</v>
      </c>
      <c r="L1213" s="374">
        <f t="shared" si="48"/>
        <v>706.2</v>
      </c>
      <c r="M1213" s="329"/>
      <c r="N1213" s="690"/>
      <c r="O1213" s="690"/>
      <c r="P1213" s="288"/>
      <c r="Q1213" s="553"/>
      <c r="R1213" s="525"/>
      <c r="S1213" s="729"/>
    </row>
    <row r="1214" spans="1:19" s="385" customFormat="1" ht="30" customHeight="1">
      <c r="A1214" s="331">
        <v>136</v>
      </c>
      <c r="B1214" s="584" t="s">
        <v>1373</v>
      </c>
      <c r="C1214" s="579" t="s">
        <v>1428</v>
      </c>
      <c r="D1214" s="502"/>
      <c r="E1214" s="579"/>
      <c r="F1214" s="579"/>
      <c r="G1214" s="502"/>
      <c r="H1214" s="724" t="s">
        <v>1613</v>
      </c>
      <c r="I1214" s="728">
        <v>12</v>
      </c>
      <c r="J1214" s="721">
        <v>770.4</v>
      </c>
      <c r="K1214" s="374">
        <f t="shared" si="50"/>
        <v>0</v>
      </c>
      <c r="L1214" s="374">
        <f t="shared" si="48"/>
        <v>770.4</v>
      </c>
      <c r="M1214" s="329"/>
      <c r="N1214" s="690"/>
      <c r="O1214" s="690"/>
      <c r="P1214" s="288"/>
      <c r="Q1214" s="553"/>
      <c r="R1214" s="525"/>
      <c r="S1214" s="729"/>
    </row>
    <row r="1215" spans="1:19" s="385" customFormat="1" ht="30" customHeight="1">
      <c r="A1215" s="331"/>
      <c r="B1215" s="584" t="s">
        <v>1373</v>
      </c>
      <c r="C1215" s="579" t="s">
        <v>1428</v>
      </c>
      <c r="D1215" s="502"/>
      <c r="E1215" s="579"/>
      <c r="F1215" s="579"/>
      <c r="G1215" s="502"/>
      <c r="H1215" s="724" t="s">
        <v>2879</v>
      </c>
      <c r="I1215" s="728">
        <v>7</v>
      </c>
      <c r="J1215" s="721">
        <v>449.4</v>
      </c>
      <c r="K1215" s="374">
        <f t="shared" si="50"/>
        <v>0</v>
      </c>
      <c r="L1215" s="374">
        <f t="shared" si="48"/>
        <v>449.4</v>
      </c>
      <c r="M1215" s="329"/>
      <c r="N1215" s="690"/>
      <c r="O1215" s="690"/>
      <c r="P1215" s="288"/>
      <c r="Q1215" s="553"/>
      <c r="R1215" s="525"/>
      <c r="S1215" s="729"/>
    </row>
    <row r="1216" spans="1:19" s="385" customFormat="1" ht="30" customHeight="1">
      <c r="A1216" s="331"/>
      <c r="B1216" s="584" t="s">
        <v>1373</v>
      </c>
      <c r="C1216" s="579" t="s">
        <v>1428</v>
      </c>
      <c r="D1216" s="502"/>
      <c r="E1216" s="579"/>
      <c r="F1216" s="579"/>
      <c r="G1216" s="502"/>
      <c r="H1216" s="724" t="s">
        <v>2053</v>
      </c>
      <c r="I1216" s="728">
        <v>11</v>
      </c>
      <c r="J1216" s="721">
        <v>706.2</v>
      </c>
      <c r="K1216" s="374">
        <f t="shared" si="50"/>
        <v>0</v>
      </c>
      <c r="L1216" s="374">
        <f t="shared" si="48"/>
        <v>706.2</v>
      </c>
      <c r="M1216" s="329"/>
      <c r="N1216" s="690"/>
      <c r="O1216" s="690"/>
      <c r="P1216" s="288"/>
      <c r="Q1216" s="553"/>
      <c r="R1216" s="525"/>
      <c r="S1216" s="729"/>
    </row>
    <row r="1217" spans="1:19" s="385" customFormat="1" ht="30" customHeight="1">
      <c r="A1217" s="331">
        <v>137</v>
      </c>
      <c r="B1217" s="584" t="s">
        <v>1375</v>
      </c>
      <c r="C1217" s="579" t="s">
        <v>1429</v>
      </c>
      <c r="D1217" s="502"/>
      <c r="E1217" s="579"/>
      <c r="F1217" s="579"/>
      <c r="G1217" s="502"/>
      <c r="H1217" s="724" t="s">
        <v>1148</v>
      </c>
      <c r="I1217" s="728">
        <v>14</v>
      </c>
      <c r="J1217" s="721">
        <v>898.8</v>
      </c>
      <c r="K1217" s="374">
        <f t="shared" si="50"/>
        <v>0</v>
      </c>
      <c r="L1217" s="374">
        <f t="shared" si="48"/>
        <v>898.8</v>
      </c>
      <c r="M1217" s="329"/>
      <c r="N1217" s="690"/>
      <c r="O1217" s="690"/>
      <c r="P1217" s="288"/>
      <c r="Q1217" s="553"/>
      <c r="R1217" s="525"/>
      <c r="S1217" s="729"/>
    </row>
    <row r="1218" spans="1:19" s="385" customFormat="1" ht="30" customHeight="1">
      <c r="A1218" s="331"/>
      <c r="B1218" s="584" t="s">
        <v>1375</v>
      </c>
      <c r="C1218" s="579" t="s">
        <v>1429</v>
      </c>
      <c r="D1218" s="502"/>
      <c r="E1218" s="579"/>
      <c r="F1218" s="579"/>
      <c r="G1218" s="502"/>
      <c r="H1218" s="724" t="s">
        <v>2879</v>
      </c>
      <c r="I1218" s="728">
        <v>7</v>
      </c>
      <c r="J1218" s="721">
        <v>449.4</v>
      </c>
      <c r="K1218" s="374">
        <f t="shared" si="50"/>
        <v>0</v>
      </c>
      <c r="L1218" s="374">
        <f t="shared" si="48"/>
        <v>449.4</v>
      </c>
      <c r="M1218" s="329"/>
      <c r="N1218" s="690"/>
      <c r="O1218" s="690"/>
      <c r="P1218" s="288"/>
      <c r="Q1218" s="553"/>
      <c r="R1218" s="525"/>
      <c r="S1218" s="729"/>
    </row>
    <row r="1219" spans="1:19" s="385" customFormat="1" ht="30" customHeight="1">
      <c r="A1219" s="331"/>
      <c r="B1219" s="584" t="s">
        <v>1375</v>
      </c>
      <c r="C1219" s="579" t="s">
        <v>1429</v>
      </c>
      <c r="D1219" s="502"/>
      <c r="E1219" s="579"/>
      <c r="F1219" s="579"/>
      <c r="G1219" s="502"/>
      <c r="H1219" s="724" t="s">
        <v>2053</v>
      </c>
      <c r="I1219" s="728">
        <v>11</v>
      </c>
      <c r="J1219" s="721">
        <v>706.2</v>
      </c>
      <c r="K1219" s="374">
        <f t="shared" si="50"/>
        <v>0</v>
      </c>
      <c r="L1219" s="374">
        <f t="shared" si="48"/>
        <v>706.2</v>
      </c>
      <c r="M1219" s="329"/>
      <c r="N1219" s="690"/>
      <c r="O1219" s="690"/>
      <c r="P1219" s="288"/>
      <c r="Q1219" s="553"/>
      <c r="R1219" s="525"/>
      <c r="S1219" s="729"/>
    </row>
    <row r="1220" spans="1:19" s="385" customFormat="1" ht="30" customHeight="1">
      <c r="A1220" s="331">
        <v>138</v>
      </c>
      <c r="B1220" s="584" t="s">
        <v>723</v>
      </c>
      <c r="C1220" s="579" t="s">
        <v>432</v>
      </c>
      <c r="D1220" s="502"/>
      <c r="E1220" s="579"/>
      <c r="F1220" s="579"/>
      <c r="G1220" s="502"/>
      <c r="H1220" s="724" t="s">
        <v>1157</v>
      </c>
      <c r="I1220" s="728">
        <v>20</v>
      </c>
      <c r="J1220" s="721">
        <v>1348.2000000000005</v>
      </c>
      <c r="K1220" s="374">
        <f t="shared" si="50"/>
        <v>0</v>
      </c>
      <c r="L1220" s="374">
        <f t="shared" si="48"/>
        <v>1348.2000000000005</v>
      </c>
      <c r="M1220" s="329"/>
      <c r="N1220" s="690"/>
      <c r="O1220" s="690"/>
      <c r="P1220" s="288"/>
      <c r="Q1220" s="553"/>
      <c r="R1220" s="525"/>
      <c r="S1220" s="729"/>
    </row>
    <row r="1221" spans="1:19" s="385" customFormat="1" ht="30" customHeight="1">
      <c r="A1221" s="331"/>
      <c r="B1221" s="584" t="s">
        <v>723</v>
      </c>
      <c r="C1221" s="579" t="s">
        <v>432</v>
      </c>
      <c r="D1221" s="502"/>
      <c r="E1221" s="579"/>
      <c r="F1221" s="579"/>
      <c r="G1221" s="502"/>
      <c r="H1221" s="724" t="s">
        <v>2054</v>
      </c>
      <c r="I1221" s="728">
        <v>9</v>
      </c>
      <c r="J1221" s="721">
        <v>577.79999999999995</v>
      </c>
      <c r="K1221" s="374">
        <f t="shared" si="50"/>
        <v>0</v>
      </c>
      <c r="L1221" s="374">
        <f t="shared" si="48"/>
        <v>577.79999999999995</v>
      </c>
      <c r="M1221" s="329"/>
      <c r="N1221" s="690"/>
      <c r="O1221" s="690"/>
      <c r="P1221" s="288"/>
      <c r="Q1221" s="553"/>
      <c r="R1221" s="525"/>
      <c r="S1221" s="729"/>
    </row>
    <row r="1222" spans="1:19" s="385" customFormat="1" ht="30" customHeight="1">
      <c r="A1222" s="331">
        <v>139</v>
      </c>
      <c r="B1222" s="584" t="s">
        <v>1377</v>
      </c>
      <c r="C1222" s="579" t="s">
        <v>1430</v>
      </c>
      <c r="D1222" s="502"/>
      <c r="E1222" s="579"/>
      <c r="F1222" s="579"/>
      <c r="G1222" s="502"/>
      <c r="H1222" s="724" t="s">
        <v>1613</v>
      </c>
      <c r="I1222" s="728">
        <v>12</v>
      </c>
      <c r="J1222" s="721">
        <v>770.4</v>
      </c>
      <c r="K1222" s="374">
        <f t="shared" si="50"/>
        <v>0</v>
      </c>
      <c r="L1222" s="374">
        <f t="shared" si="48"/>
        <v>770.4</v>
      </c>
      <c r="M1222" s="329"/>
      <c r="N1222" s="690"/>
      <c r="O1222" s="690"/>
      <c r="P1222" s="288"/>
      <c r="Q1222" s="553"/>
      <c r="R1222" s="525"/>
      <c r="S1222" s="729"/>
    </row>
    <row r="1223" spans="1:19" s="385" customFormat="1" ht="30" customHeight="1">
      <c r="A1223" s="331"/>
      <c r="B1223" s="584" t="s">
        <v>1377</v>
      </c>
      <c r="C1223" s="579" t="s">
        <v>1430</v>
      </c>
      <c r="D1223" s="502"/>
      <c r="E1223" s="579"/>
      <c r="F1223" s="579"/>
      <c r="G1223" s="502"/>
      <c r="H1223" s="724" t="s">
        <v>2879</v>
      </c>
      <c r="I1223" s="728">
        <v>7</v>
      </c>
      <c r="J1223" s="721">
        <v>449.4</v>
      </c>
      <c r="K1223" s="374">
        <f t="shared" si="50"/>
        <v>0</v>
      </c>
      <c r="L1223" s="374">
        <f t="shared" si="48"/>
        <v>449.4</v>
      </c>
      <c r="M1223" s="329"/>
      <c r="N1223" s="690"/>
      <c r="O1223" s="690"/>
      <c r="P1223" s="288"/>
      <c r="Q1223" s="553"/>
      <c r="R1223" s="525"/>
      <c r="S1223" s="729"/>
    </row>
    <row r="1224" spans="1:19" s="385" customFormat="1" ht="30" customHeight="1">
      <c r="A1224" s="331"/>
      <c r="B1224" s="584" t="s">
        <v>1377</v>
      </c>
      <c r="C1224" s="579" t="s">
        <v>1430</v>
      </c>
      <c r="D1224" s="502"/>
      <c r="E1224" s="579"/>
      <c r="F1224" s="579"/>
      <c r="G1224" s="502"/>
      <c r="H1224" s="724" t="s">
        <v>2053</v>
      </c>
      <c r="I1224" s="728">
        <v>11</v>
      </c>
      <c r="J1224" s="721">
        <v>706.2</v>
      </c>
      <c r="K1224" s="374">
        <f t="shared" si="50"/>
        <v>0</v>
      </c>
      <c r="L1224" s="374">
        <f t="shared" ref="L1224:L1230" si="51">+J1224</f>
        <v>706.2</v>
      </c>
      <c r="M1224" s="329"/>
      <c r="N1224" s="690"/>
      <c r="O1224" s="690"/>
      <c r="P1224" s="288"/>
      <c r="Q1224" s="553"/>
      <c r="R1224" s="525"/>
      <c r="S1224" s="729"/>
    </row>
    <row r="1225" spans="1:19" s="385" customFormat="1" ht="30" customHeight="1">
      <c r="A1225" s="331">
        <v>140</v>
      </c>
      <c r="B1225" s="584" t="s">
        <v>724</v>
      </c>
      <c r="C1225" s="579" t="s">
        <v>1701</v>
      </c>
      <c r="D1225" s="502"/>
      <c r="E1225" s="579"/>
      <c r="F1225" s="579"/>
      <c r="G1225" s="502"/>
      <c r="H1225" s="724" t="s">
        <v>1702</v>
      </c>
      <c r="I1225" s="728">
        <v>12</v>
      </c>
      <c r="J1225" s="721">
        <v>770.4</v>
      </c>
      <c r="K1225" s="374">
        <f t="shared" si="50"/>
        <v>0</v>
      </c>
      <c r="L1225" s="374">
        <f t="shared" si="51"/>
        <v>770.4</v>
      </c>
      <c r="M1225" s="329"/>
      <c r="N1225" s="690"/>
      <c r="O1225" s="690"/>
      <c r="P1225" s="288"/>
      <c r="Q1225" s="553"/>
      <c r="R1225" s="525"/>
      <c r="S1225" s="729"/>
    </row>
    <row r="1226" spans="1:19" s="385" customFormat="1" ht="30" customHeight="1">
      <c r="A1226" s="331">
        <v>141</v>
      </c>
      <c r="B1226" s="584" t="s">
        <v>1379</v>
      </c>
      <c r="C1226" s="579" t="s">
        <v>1431</v>
      </c>
      <c r="D1226" s="502"/>
      <c r="E1226" s="579"/>
      <c r="F1226" s="579"/>
      <c r="G1226" s="502"/>
      <c r="H1226" s="724" t="s">
        <v>2053</v>
      </c>
      <c r="I1226" s="728">
        <v>11</v>
      </c>
      <c r="J1226" s="721">
        <v>706.2</v>
      </c>
      <c r="K1226" s="374">
        <f t="shared" si="50"/>
        <v>0</v>
      </c>
      <c r="L1226" s="374">
        <f t="shared" si="51"/>
        <v>706.2</v>
      </c>
      <c r="M1226" s="329"/>
      <c r="N1226" s="690"/>
      <c r="O1226" s="690"/>
      <c r="P1226" s="288"/>
      <c r="Q1226" s="553"/>
      <c r="R1226" s="525"/>
      <c r="S1226" s="729"/>
    </row>
    <row r="1227" spans="1:19" s="385" customFormat="1" ht="30" customHeight="1">
      <c r="A1227" s="331">
        <v>142</v>
      </c>
      <c r="B1227" s="584" t="s">
        <v>762</v>
      </c>
      <c r="C1227" s="579" t="s">
        <v>1432</v>
      </c>
      <c r="D1227" s="502"/>
      <c r="E1227" s="579"/>
      <c r="F1227" s="579"/>
      <c r="G1227" s="502"/>
      <c r="H1227" s="724" t="s">
        <v>2053</v>
      </c>
      <c r="I1227" s="728">
        <v>11</v>
      </c>
      <c r="J1227" s="721">
        <v>706.2</v>
      </c>
      <c r="K1227" s="374">
        <f t="shared" si="50"/>
        <v>0</v>
      </c>
      <c r="L1227" s="374">
        <f t="shared" si="51"/>
        <v>706.2</v>
      </c>
      <c r="M1227" s="329"/>
      <c r="N1227" s="690"/>
      <c r="O1227" s="690"/>
      <c r="P1227" s="288"/>
      <c r="Q1227" s="553"/>
      <c r="R1227" s="525"/>
      <c r="S1227" s="729"/>
    </row>
    <row r="1228" spans="1:19" s="385" customFormat="1" ht="30" customHeight="1">
      <c r="A1228" s="331">
        <v>143</v>
      </c>
      <c r="B1228" s="584" t="s">
        <v>1381</v>
      </c>
      <c r="C1228" s="579" t="s">
        <v>1433</v>
      </c>
      <c r="D1228" s="502"/>
      <c r="E1228" s="579"/>
      <c r="F1228" s="579"/>
      <c r="G1228" s="502"/>
      <c r="H1228" s="724" t="s">
        <v>1615</v>
      </c>
      <c r="I1228" s="728">
        <v>10</v>
      </c>
      <c r="J1228" s="721">
        <v>642</v>
      </c>
      <c r="K1228" s="374">
        <f t="shared" si="50"/>
        <v>0</v>
      </c>
      <c r="L1228" s="374">
        <f t="shared" si="51"/>
        <v>642</v>
      </c>
      <c r="M1228" s="329"/>
      <c r="N1228" s="690"/>
      <c r="O1228" s="690"/>
      <c r="P1228" s="288"/>
      <c r="Q1228" s="553"/>
      <c r="R1228" s="525"/>
      <c r="S1228" s="729"/>
    </row>
    <row r="1229" spans="1:19" s="385" customFormat="1" ht="30" customHeight="1">
      <c r="A1229" s="331"/>
      <c r="B1229" s="584" t="s">
        <v>1381</v>
      </c>
      <c r="C1229" s="579" t="s">
        <v>1433</v>
      </c>
      <c r="D1229" s="502"/>
      <c r="E1229" s="579"/>
      <c r="F1229" s="579"/>
      <c r="G1229" s="502"/>
      <c r="H1229" s="724" t="s">
        <v>2879</v>
      </c>
      <c r="I1229" s="728">
        <v>7</v>
      </c>
      <c r="J1229" s="721">
        <v>449.4</v>
      </c>
      <c r="K1229" s="374">
        <f t="shared" si="50"/>
        <v>0</v>
      </c>
      <c r="L1229" s="374">
        <f t="shared" si="51"/>
        <v>449.4</v>
      </c>
      <c r="M1229" s="329"/>
      <c r="N1229" s="690"/>
      <c r="O1229" s="690"/>
      <c r="P1229" s="288"/>
      <c r="Q1229" s="553"/>
      <c r="R1229" s="525"/>
      <c r="S1229" s="729"/>
    </row>
    <row r="1230" spans="1:19" s="385" customFormat="1" ht="30" customHeight="1">
      <c r="A1230" s="331"/>
      <c r="B1230" s="584" t="s">
        <v>1381</v>
      </c>
      <c r="C1230" s="579" t="s">
        <v>1433</v>
      </c>
      <c r="D1230" s="502"/>
      <c r="E1230" s="579"/>
      <c r="F1230" s="579"/>
      <c r="G1230" s="502"/>
      <c r="H1230" s="724" t="s">
        <v>2053</v>
      </c>
      <c r="I1230" s="728">
        <v>11</v>
      </c>
      <c r="J1230" s="721">
        <v>706.2</v>
      </c>
      <c r="K1230" s="374">
        <f t="shared" si="50"/>
        <v>0</v>
      </c>
      <c r="L1230" s="374">
        <f t="shared" si="51"/>
        <v>706.2</v>
      </c>
      <c r="M1230" s="329"/>
      <c r="N1230" s="690"/>
      <c r="O1230" s="690"/>
      <c r="P1230" s="288"/>
      <c r="Q1230" s="553"/>
      <c r="R1230" s="525"/>
      <c r="S1230" s="729"/>
    </row>
    <row r="1231" spans="1:19" s="385" customFormat="1" ht="30" customHeight="1">
      <c r="A1231" s="331">
        <v>144</v>
      </c>
      <c r="B1231" s="584" t="s">
        <v>1169</v>
      </c>
      <c r="C1231" s="579" t="s">
        <v>1189</v>
      </c>
      <c r="D1231" s="502"/>
      <c r="E1231" s="579"/>
      <c r="F1231" s="579"/>
      <c r="G1231" s="502"/>
      <c r="H1231" s="724" t="s">
        <v>2083</v>
      </c>
      <c r="I1231" s="728">
        <v>13</v>
      </c>
      <c r="J1231" s="721">
        <v>834.6</v>
      </c>
      <c r="K1231" s="374">
        <f t="shared" si="50"/>
        <v>0</v>
      </c>
      <c r="L1231" s="374">
        <f t="shared" ref="L1231:L1345" si="52">+J1231</f>
        <v>834.6</v>
      </c>
      <c r="M1231" s="329"/>
      <c r="N1231" s="690"/>
      <c r="O1231" s="690"/>
      <c r="P1231" s="288"/>
      <c r="Q1231" s="553"/>
      <c r="R1231" s="525"/>
      <c r="S1231" s="729"/>
    </row>
    <row r="1232" spans="1:19" s="385" customFormat="1" ht="30" customHeight="1">
      <c r="A1232" s="331">
        <v>145</v>
      </c>
      <c r="B1232" s="584" t="s">
        <v>1171</v>
      </c>
      <c r="C1232" s="579" t="s">
        <v>1678</v>
      </c>
      <c r="D1232" s="502"/>
      <c r="E1232" s="579"/>
      <c r="F1232" s="579"/>
      <c r="G1232" s="502"/>
      <c r="H1232" s="724" t="s">
        <v>2054</v>
      </c>
      <c r="I1232" s="728">
        <v>9</v>
      </c>
      <c r="J1232" s="721">
        <v>577.79999999999995</v>
      </c>
      <c r="K1232" s="374">
        <f t="shared" si="50"/>
        <v>0</v>
      </c>
      <c r="L1232" s="374">
        <f t="shared" si="52"/>
        <v>577.79999999999995</v>
      </c>
      <c r="M1232" s="329"/>
      <c r="N1232" s="690"/>
      <c r="O1232" s="690"/>
      <c r="P1232" s="288"/>
      <c r="Q1232" s="553"/>
      <c r="R1232" s="525"/>
      <c r="S1232" s="729"/>
    </row>
    <row r="1233" spans="1:19" s="385" customFormat="1" ht="30" customHeight="1">
      <c r="A1233" s="331">
        <v>146</v>
      </c>
      <c r="B1233" s="584" t="s">
        <v>1383</v>
      </c>
      <c r="C1233" s="579" t="s">
        <v>1434</v>
      </c>
      <c r="D1233" s="502"/>
      <c r="E1233" s="579"/>
      <c r="F1233" s="579"/>
      <c r="G1233" s="502"/>
      <c r="H1233" s="724" t="s">
        <v>991</v>
      </c>
      <c r="I1233" s="728">
        <v>11</v>
      </c>
      <c r="J1233" s="721">
        <v>770.4000000000002</v>
      </c>
      <c r="K1233" s="374">
        <f t="shared" si="50"/>
        <v>0</v>
      </c>
      <c r="L1233" s="374">
        <f t="shared" si="52"/>
        <v>770.4000000000002</v>
      </c>
      <c r="M1233" s="329"/>
      <c r="N1233" s="690"/>
      <c r="O1233" s="690"/>
      <c r="P1233" s="288"/>
      <c r="Q1233" s="553"/>
      <c r="R1233" s="525"/>
      <c r="S1233" s="729"/>
    </row>
    <row r="1234" spans="1:19" s="385" customFormat="1" ht="30" customHeight="1">
      <c r="A1234" s="331"/>
      <c r="B1234" s="584" t="s">
        <v>1383</v>
      </c>
      <c r="C1234" s="579" t="s">
        <v>1434</v>
      </c>
      <c r="D1234" s="502"/>
      <c r="E1234" s="579"/>
      <c r="F1234" s="579"/>
      <c r="G1234" s="502"/>
      <c r="H1234" s="724" t="s">
        <v>2887</v>
      </c>
      <c r="I1234" s="728">
        <v>3</v>
      </c>
      <c r="J1234" s="721">
        <v>192.6</v>
      </c>
      <c r="K1234" s="374">
        <f t="shared" si="50"/>
        <v>0</v>
      </c>
      <c r="L1234" s="374">
        <f t="shared" si="52"/>
        <v>192.6</v>
      </c>
      <c r="M1234" s="329"/>
      <c r="N1234" s="690"/>
      <c r="O1234" s="690"/>
      <c r="P1234" s="288"/>
      <c r="Q1234" s="553"/>
      <c r="R1234" s="525"/>
      <c r="S1234" s="729"/>
    </row>
    <row r="1235" spans="1:19" s="385" customFormat="1" ht="30" customHeight="1">
      <c r="A1235" s="331"/>
      <c r="B1235" s="584" t="s">
        <v>1383</v>
      </c>
      <c r="C1235" s="579" t="s">
        <v>1434</v>
      </c>
      <c r="D1235" s="502"/>
      <c r="E1235" s="579"/>
      <c r="F1235" s="579"/>
      <c r="G1235" s="502"/>
      <c r="H1235" s="724" t="s">
        <v>2053</v>
      </c>
      <c r="I1235" s="728">
        <v>11</v>
      </c>
      <c r="J1235" s="721">
        <v>706.2</v>
      </c>
      <c r="K1235" s="374">
        <f t="shared" si="50"/>
        <v>0</v>
      </c>
      <c r="L1235" s="374">
        <f t="shared" si="52"/>
        <v>706.2</v>
      </c>
      <c r="M1235" s="329"/>
      <c r="N1235" s="690"/>
      <c r="O1235" s="690"/>
      <c r="P1235" s="288"/>
      <c r="Q1235" s="553"/>
      <c r="R1235" s="525"/>
      <c r="S1235" s="729"/>
    </row>
    <row r="1236" spans="1:19" s="385" customFormat="1" ht="30" customHeight="1">
      <c r="A1236" s="331">
        <v>147</v>
      </c>
      <c r="B1236" s="584" t="s">
        <v>1385</v>
      </c>
      <c r="C1236" s="579" t="s">
        <v>1821</v>
      </c>
      <c r="D1236" s="502"/>
      <c r="E1236" s="579"/>
      <c r="F1236" s="579"/>
      <c r="G1236" s="502"/>
      <c r="H1236" s="724" t="s">
        <v>2089</v>
      </c>
      <c r="I1236" s="728">
        <v>3</v>
      </c>
      <c r="J1236" s="721">
        <v>192.6</v>
      </c>
      <c r="K1236" s="374">
        <f t="shared" si="50"/>
        <v>0</v>
      </c>
      <c r="L1236" s="374">
        <f t="shared" si="52"/>
        <v>192.6</v>
      </c>
      <c r="M1236" s="329"/>
      <c r="N1236" s="690"/>
      <c r="O1236" s="690"/>
      <c r="P1236" s="288"/>
      <c r="Q1236" s="553"/>
      <c r="R1236" s="525"/>
      <c r="S1236" s="729"/>
    </row>
    <row r="1237" spans="1:19" s="385" customFormat="1" ht="30" customHeight="1">
      <c r="A1237" s="331">
        <v>148</v>
      </c>
      <c r="B1237" s="584" t="s">
        <v>368</v>
      </c>
      <c r="C1237" s="579" t="s">
        <v>398</v>
      </c>
      <c r="D1237" s="502"/>
      <c r="E1237" s="579"/>
      <c r="F1237" s="579"/>
      <c r="G1237" s="502"/>
      <c r="H1237" s="724" t="s">
        <v>1644</v>
      </c>
      <c r="I1237" s="728">
        <v>13</v>
      </c>
      <c r="J1237" s="721">
        <v>898.80000000000018</v>
      </c>
      <c r="K1237" s="374">
        <f t="shared" si="50"/>
        <v>0</v>
      </c>
      <c r="L1237" s="374">
        <f t="shared" si="52"/>
        <v>898.80000000000018</v>
      </c>
      <c r="M1237" s="329"/>
      <c r="N1237" s="690"/>
      <c r="O1237" s="690"/>
      <c r="P1237" s="288"/>
      <c r="Q1237" s="553"/>
      <c r="R1237" s="525"/>
      <c r="S1237" s="729"/>
    </row>
    <row r="1238" spans="1:19" s="385" customFormat="1" ht="30" customHeight="1">
      <c r="A1238" s="331"/>
      <c r="B1238" s="584" t="s">
        <v>368</v>
      </c>
      <c r="C1238" s="579" t="s">
        <v>398</v>
      </c>
      <c r="D1238" s="502"/>
      <c r="E1238" s="579"/>
      <c r="F1238" s="579"/>
      <c r="G1238" s="502"/>
      <c r="H1238" s="724" t="s">
        <v>2887</v>
      </c>
      <c r="I1238" s="728">
        <v>3</v>
      </c>
      <c r="J1238" s="721">
        <v>192.6</v>
      </c>
      <c r="K1238" s="374">
        <f t="shared" si="50"/>
        <v>0</v>
      </c>
      <c r="L1238" s="374">
        <f t="shared" si="52"/>
        <v>192.6</v>
      </c>
      <c r="M1238" s="329"/>
      <c r="N1238" s="690"/>
      <c r="O1238" s="690"/>
      <c r="P1238" s="288"/>
      <c r="Q1238" s="553"/>
      <c r="R1238" s="525"/>
      <c r="S1238" s="729"/>
    </row>
    <row r="1239" spans="1:19" s="385" customFormat="1" ht="30" customHeight="1">
      <c r="A1239" s="331"/>
      <c r="B1239" s="584" t="s">
        <v>368</v>
      </c>
      <c r="C1239" s="579" t="s">
        <v>398</v>
      </c>
      <c r="D1239" s="502"/>
      <c r="E1239" s="579"/>
      <c r="F1239" s="579"/>
      <c r="G1239" s="502"/>
      <c r="H1239" s="724" t="s">
        <v>2053</v>
      </c>
      <c r="I1239" s="728">
        <v>11</v>
      </c>
      <c r="J1239" s="721">
        <v>706.2</v>
      </c>
      <c r="K1239" s="374">
        <f t="shared" si="50"/>
        <v>0</v>
      </c>
      <c r="L1239" s="374">
        <f t="shared" si="52"/>
        <v>706.2</v>
      </c>
      <c r="M1239" s="329"/>
      <c r="N1239" s="690"/>
      <c r="O1239" s="690"/>
      <c r="P1239" s="288"/>
      <c r="Q1239" s="553"/>
      <c r="R1239" s="525"/>
      <c r="S1239" s="729"/>
    </row>
    <row r="1240" spans="1:19" s="385" customFormat="1" ht="30" customHeight="1">
      <c r="A1240" s="331">
        <v>149</v>
      </c>
      <c r="B1240" s="584" t="s">
        <v>1736</v>
      </c>
      <c r="C1240" s="579" t="s">
        <v>1751</v>
      </c>
      <c r="D1240" s="502"/>
      <c r="E1240" s="579"/>
      <c r="F1240" s="579"/>
      <c r="G1240" s="502"/>
      <c r="H1240" s="724" t="s">
        <v>2060</v>
      </c>
      <c r="I1240" s="728">
        <v>8</v>
      </c>
      <c r="J1240" s="721">
        <v>513.6</v>
      </c>
      <c r="K1240" s="374">
        <f t="shared" si="50"/>
        <v>0</v>
      </c>
      <c r="L1240" s="374">
        <f t="shared" si="52"/>
        <v>513.6</v>
      </c>
      <c r="M1240" s="329"/>
      <c r="N1240" s="690"/>
      <c r="O1240" s="690"/>
      <c r="P1240" s="288"/>
      <c r="Q1240" s="553"/>
      <c r="R1240" s="525"/>
      <c r="S1240" s="729"/>
    </row>
    <row r="1241" spans="1:19" s="385" customFormat="1" ht="30" customHeight="1">
      <c r="A1241" s="331">
        <v>150</v>
      </c>
      <c r="B1241" s="584" t="s">
        <v>1738</v>
      </c>
      <c r="C1241" s="579" t="s">
        <v>1752</v>
      </c>
      <c r="D1241" s="502"/>
      <c r="E1241" s="579"/>
      <c r="F1241" s="579"/>
      <c r="G1241" s="502"/>
      <c r="H1241" s="724" t="s">
        <v>2060</v>
      </c>
      <c r="I1241" s="728">
        <v>8</v>
      </c>
      <c r="J1241" s="721">
        <v>513.6</v>
      </c>
      <c r="K1241" s="374">
        <f t="shared" si="50"/>
        <v>0</v>
      </c>
      <c r="L1241" s="374">
        <f t="shared" si="52"/>
        <v>513.6</v>
      </c>
      <c r="M1241" s="329"/>
      <c r="N1241" s="690"/>
      <c r="O1241" s="690"/>
      <c r="P1241" s="288"/>
      <c r="Q1241" s="553"/>
      <c r="R1241" s="525"/>
      <c r="S1241" s="729"/>
    </row>
    <row r="1242" spans="1:19" s="385" customFormat="1" ht="30" customHeight="1">
      <c r="A1242" s="331">
        <v>151</v>
      </c>
      <c r="B1242" s="584" t="s">
        <v>725</v>
      </c>
      <c r="C1242" s="579" t="s">
        <v>491</v>
      </c>
      <c r="D1242" s="502"/>
      <c r="E1242" s="579"/>
      <c r="F1242" s="579"/>
      <c r="G1242" s="502"/>
      <c r="H1242" s="724" t="s">
        <v>1598</v>
      </c>
      <c r="I1242" s="728">
        <v>17</v>
      </c>
      <c r="J1242" s="721">
        <v>1155.6000000000004</v>
      </c>
      <c r="K1242" s="374">
        <f t="shared" si="50"/>
        <v>0</v>
      </c>
      <c r="L1242" s="374">
        <f t="shared" si="52"/>
        <v>1155.6000000000004</v>
      </c>
      <c r="M1242" s="329"/>
      <c r="N1242" s="690"/>
      <c r="O1242" s="690"/>
      <c r="P1242" s="288"/>
      <c r="Q1242" s="553"/>
      <c r="R1242" s="525"/>
      <c r="S1242" s="729"/>
    </row>
    <row r="1243" spans="1:19" s="385" customFormat="1" ht="30" customHeight="1">
      <c r="A1243" s="331"/>
      <c r="B1243" s="584" t="s">
        <v>725</v>
      </c>
      <c r="C1243" s="579" t="s">
        <v>491</v>
      </c>
      <c r="D1243" s="502"/>
      <c r="E1243" s="579"/>
      <c r="F1243" s="579"/>
      <c r="G1243" s="502"/>
      <c r="H1243" s="724" t="s">
        <v>2887</v>
      </c>
      <c r="I1243" s="728">
        <v>3</v>
      </c>
      <c r="J1243" s="721">
        <v>192.6</v>
      </c>
      <c r="K1243" s="374">
        <f t="shared" si="50"/>
        <v>0</v>
      </c>
      <c r="L1243" s="374">
        <f t="shared" si="52"/>
        <v>192.6</v>
      </c>
      <c r="M1243" s="329"/>
      <c r="N1243" s="690"/>
      <c r="O1243" s="690"/>
      <c r="P1243" s="288"/>
      <c r="Q1243" s="553"/>
      <c r="R1243" s="525"/>
      <c r="S1243" s="729"/>
    </row>
    <row r="1244" spans="1:19" s="385" customFormat="1" ht="30" customHeight="1">
      <c r="A1244" s="331"/>
      <c r="B1244" s="584" t="s">
        <v>725</v>
      </c>
      <c r="C1244" s="579" t="s">
        <v>491</v>
      </c>
      <c r="D1244" s="502"/>
      <c r="E1244" s="579"/>
      <c r="F1244" s="579"/>
      <c r="G1244" s="502"/>
      <c r="H1244" s="724" t="s">
        <v>2054</v>
      </c>
      <c r="I1244" s="728">
        <v>9</v>
      </c>
      <c r="J1244" s="721">
        <v>577.79999999999995</v>
      </c>
      <c r="K1244" s="374">
        <f t="shared" si="50"/>
        <v>0</v>
      </c>
      <c r="L1244" s="374">
        <f t="shared" si="52"/>
        <v>577.79999999999995</v>
      </c>
      <c r="M1244" s="329"/>
      <c r="N1244" s="690"/>
      <c r="O1244" s="690"/>
      <c r="P1244" s="288"/>
      <c r="Q1244" s="553"/>
      <c r="R1244" s="525"/>
      <c r="S1244" s="729"/>
    </row>
    <row r="1245" spans="1:19" s="385" customFormat="1" ht="30" customHeight="1">
      <c r="A1245" s="331">
        <v>152</v>
      </c>
      <c r="B1245" s="584" t="s">
        <v>1173</v>
      </c>
      <c r="C1245" s="579" t="s">
        <v>1190</v>
      </c>
      <c r="D1245" s="502"/>
      <c r="E1245" s="579"/>
      <c r="F1245" s="579"/>
      <c r="G1245" s="502"/>
      <c r="H1245" s="724" t="s">
        <v>2083</v>
      </c>
      <c r="I1245" s="728">
        <v>13</v>
      </c>
      <c r="J1245" s="721">
        <v>834.6</v>
      </c>
      <c r="K1245" s="374">
        <f t="shared" si="50"/>
        <v>0</v>
      </c>
      <c r="L1245" s="374">
        <f t="shared" si="52"/>
        <v>834.6</v>
      </c>
      <c r="M1245" s="329"/>
      <c r="N1245" s="690"/>
      <c r="O1245" s="690"/>
      <c r="P1245" s="288"/>
      <c r="Q1245" s="553"/>
      <c r="R1245" s="525"/>
      <c r="S1245" s="729"/>
    </row>
    <row r="1246" spans="1:19" s="385" customFormat="1" ht="30" customHeight="1">
      <c r="A1246" s="331">
        <v>153</v>
      </c>
      <c r="B1246" s="584" t="s">
        <v>1387</v>
      </c>
      <c r="C1246" s="579" t="s">
        <v>1435</v>
      </c>
      <c r="D1246" s="502"/>
      <c r="E1246" s="579"/>
      <c r="F1246" s="579"/>
      <c r="G1246" s="502"/>
      <c r="H1246" s="724" t="s">
        <v>1138</v>
      </c>
      <c r="I1246" s="728">
        <v>12</v>
      </c>
      <c r="J1246" s="721">
        <v>770.4000000000002</v>
      </c>
      <c r="K1246" s="374">
        <f t="shared" si="50"/>
        <v>0</v>
      </c>
      <c r="L1246" s="374">
        <f t="shared" si="52"/>
        <v>770.4000000000002</v>
      </c>
      <c r="M1246" s="329"/>
      <c r="N1246" s="690"/>
      <c r="O1246" s="690"/>
      <c r="P1246" s="288"/>
      <c r="Q1246" s="553"/>
      <c r="R1246" s="525"/>
      <c r="S1246" s="729"/>
    </row>
    <row r="1247" spans="1:19" s="385" customFormat="1" ht="30" customHeight="1">
      <c r="A1247" s="331"/>
      <c r="B1247" s="584" t="s">
        <v>1387</v>
      </c>
      <c r="C1247" s="579" t="s">
        <v>1435</v>
      </c>
      <c r="D1247" s="502"/>
      <c r="E1247" s="579"/>
      <c r="F1247" s="579"/>
      <c r="G1247" s="502"/>
      <c r="H1247" s="724" t="s">
        <v>1514</v>
      </c>
      <c r="I1247" s="728">
        <v>1</v>
      </c>
      <c r="J1247" s="721">
        <v>64.2</v>
      </c>
      <c r="K1247" s="374">
        <f t="shared" si="50"/>
        <v>0</v>
      </c>
      <c r="L1247" s="374">
        <f t="shared" si="52"/>
        <v>64.2</v>
      </c>
      <c r="M1247" s="329"/>
      <c r="N1247" s="690"/>
      <c r="O1247" s="690"/>
      <c r="P1247" s="288"/>
      <c r="Q1247" s="553"/>
      <c r="R1247" s="525"/>
      <c r="S1247" s="729"/>
    </row>
    <row r="1248" spans="1:19" s="385" customFormat="1" ht="30" customHeight="1">
      <c r="A1248" s="331"/>
      <c r="B1248" s="584" t="s">
        <v>1387</v>
      </c>
      <c r="C1248" s="579" t="s">
        <v>1435</v>
      </c>
      <c r="D1248" s="502"/>
      <c r="E1248" s="579"/>
      <c r="F1248" s="579"/>
      <c r="G1248" s="502"/>
      <c r="H1248" s="724" t="s">
        <v>2053</v>
      </c>
      <c r="I1248" s="728">
        <v>11</v>
      </c>
      <c r="J1248" s="721">
        <v>706.2</v>
      </c>
      <c r="K1248" s="374">
        <f t="shared" si="50"/>
        <v>0</v>
      </c>
      <c r="L1248" s="374">
        <f t="shared" si="52"/>
        <v>706.2</v>
      </c>
      <c r="M1248" s="329"/>
      <c r="N1248" s="690"/>
      <c r="O1248" s="690"/>
      <c r="P1248" s="288"/>
      <c r="Q1248" s="553"/>
      <c r="R1248" s="525"/>
      <c r="S1248" s="729"/>
    </row>
    <row r="1249" spans="1:19" s="385" customFormat="1" ht="30" customHeight="1">
      <c r="A1249" s="331">
        <v>154</v>
      </c>
      <c r="B1249" s="584" t="s">
        <v>1056</v>
      </c>
      <c r="C1249" s="579" t="s">
        <v>1679</v>
      </c>
      <c r="D1249" s="502"/>
      <c r="E1249" s="579"/>
      <c r="F1249" s="579"/>
      <c r="G1249" s="502"/>
      <c r="H1249" s="724" t="s">
        <v>2054</v>
      </c>
      <c r="I1249" s="728">
        <v>9</v>
      </c>
      <c r="J1249" s="721">
        <v>577.79999999999995</v>
      </c>
      <c r="K1249" s="374">
        <f t="shared" si="50"/>
        <v>0</v>
      </c>
      <c r="L1249" s="374">
        <f t="shared" si="52"/>
        <v>577.79999999999995</v>
      </c>
      <c r="M1249" s="329"/>
      <c r="N1249" s="690"/>
      <c r="O1249" s="690"/>
      <c r="P1249" s="288"/>
      <c r="Q1249" s="553"/>
      <c r="R1249" s="525"/>
      <c r="S1249" s="729"/>
    </row>
    <row r="1250" spans="1:19" s="385" customFormat="1" ht="30" customHeight="1">
      <c r="A1250" s="331">
        <v>155</v>
      </c>
      <c r="B1250" s="584" t="s">
        <v>748</v>
      </c>
      <c r="C1250" s="579" t="s">
        <v>1796</v>
      </c>
      <c r="D1250" s="502"/>
      <c r="E1250" s="579"/>
      <c r="F1250" s="579"/>
      <c r="G1250" s="502"/>
      <c r="H1250" s="724" t="s">
        <v>2061</v>
      </c>
      <c r="I1250" s="728">
        <v>5</v>
      </c>
      <c r="J1250" s="721">
        <v>321</v>
      </c>
      <c r="K1250" s="374">
        <f t="shared" si="50"/>
        <v>0</v>
      </c>
      <c r="L1250" s="374">
        <f t="shared" si="52"/>
        <v>321</v>
      </c>
      <c r="M1250" s="329"/>
      <c r="N1250" s="690"/>
      <c r="O1250" s="690"/>
      <c r="P1250" s="288"/>
      <c r="Q1250" s="553"/>
      <c r="R1250" s="525"/>
      <c r="S1250" s="729"/>
    </row>
    <row r="1251" spans="1:19" s="385" customFormat="1" ht="30" customHeight="1">
      <c r="A1251" s="331">
        <v>156</v>
      </c>
      <c r="B1251" s="584" t="s">
        <v>1389</v>
      </c>
      <c r="C1251" s="579" t="s">
        <v>1436</v>
      </c>
      <c r="D1251" s="502"/>
      <c r="E1251" s="579"/>
      <c r="F1251" s="579"/>
      <c r="G1251" s="502"/>
      <c r="H1251" s="724" t="s">
        <v>1646</v>
      </c>
      <c r="I1251" s="728">
        <v>14</v>
      </c>
      <c r="J1251" s="721">
        <v>963.00000000000034</v>
      </c>
      <c r="K1251" s="374">
        <f t="shared" si="50"/>
        <v>0</v>
      </c>
      <c r="L1251" s="374">
        <f t="shared" si="52"/>
        <v>963.00000000000034</v>
      </c>
      <c r="M1251" s="329"/>
      <c r="N1251" s="690"/>
      <c r="O1251" s="690"/>
      <c r="P1251" s="288"/>
      <c r="Q1251" s="553"/>
      <c r="R1251" s="525"/>
      <c r="S1251" s="729"/>
    </row>
    <row r="1252" spans="1:19" s="385" customFormat="1" ht="30" customHeight="1">
      <c r="A1252" s="331"/>
      <c r="B1252" s="584" t="s">
        <v>1389</v>
      </c>
      <c r="C1252" s="579" t="s">
        <v>1436</v>
      </c>
      <c r="D1252" s="502"/>
      <c r="E1252" s="579"/>
      <c r="F1252" s="579"/>
      <c r="G1252" s="502"/>
      <c r="H1252" s="724" t="s">
        <v>2887</v>
      </c>
      <c r="I1252" s="728">
        <v>3</v>
      </c>
      <c r="J1252" s="721">
        <v>192.6</v>
      </c>
      <c r="K1252" s="374">
        <f t="shared" si="50"/>
        <v>0</v>
      </c>
      <c r="L1252" s="374">
        <f t="shared" si="52"/>
        <v>192.6</v>
      </c>
      <c r="M1252" s="329"/>
      <c r="N1252" s="690"/>
      <c r="O1252" s="690"/>
      <c r="P1252" s="288"/>
      <c r="Q1252" s="553"/>
      <c r="R1252" s="525"/>
      <c r="S1252" s="729"/>
    </row>
    <row r="1253" spans="1:19" s="385" customFormat="1" ht="30" customHeight="1">
      <c r="A1253" s="331"/>
      <c r="B1253" s="584" t="s">
        <v>1389</v>
      </c>
      <c r="C1253" s="579" t="s">
        <v>1436</v>
      </c>
      <c r="D1253" s="502"/>
      <c r="E1253" s="579"/>
      <c r="F1253" s="579"/>
      <c r="G1253" s="502"/>
      <c r="H1253" s="724" t="s">
        <v>2053</v>
      </c>
      <c r="I1253" s="728">
        <v>11</v>
      </c>
      <c r="J1253" s="721">
        <v>706.2</v>
      </c>
      <c r="K1253" s="374">
        <f t="shared" si="50"/>
        <v>0</v>
      </c>
      <c r="L1253" s="374">
        <f t="shared" si="52"/>
        <v>706.2</v>
      </c>
      <c r="M1253" s="329"/>
      <c r="N1253" s="690"/>
      <c r="O1253" s="690"/>
      <c r="P1253" s="288"/>
      <c r="Q1253" s="553"/>
      <c r="R1253" s="525"/>
      <c r="S1253" s="729"/>
    </row>
    <row r="1254" spans="1:19" s="385" customFormat="1" ht="30" customHeight="1">
      <c r="A1254" s="331">
        <v>157</v>
      </c>
      <c r="B1254" s="584" t="s">
        <v>726</v>
      </c>
      <c r="C1254" s="579" t="s">
        <v>399</v>
      </c>
      <c r="D1254" s="502"/>
      <c r="E1254" s="579"/>
      <c r="F1254" s="579"/>
      <c r="G1254" s="502"/>
      <c r="H1254" s="724" t="s">
        <v>1597</v>
      </c>
      <c r="I1254" s="728">
        <v>16</v>
      </c>
      <c r="J1254" s="721">
        <v>1091.4000000000003</v>
      </c>
      <c r="K1254" s="374">
        <f t="shared" si="50"/>
        <v>0</v>
      </c>
      <c r="L1254" s="374">
        <f t="shared" si="52"/>
        <v>1091.4000000000003</v>
      </c>
      <c r="M1254" s="329"/>
      <c r="N1254" s="690"/>
      <c r="O1254" s="690"/>
      <c r="P1254" s="288"/>
      <c r="Q1254" s="553"/>
      <c r="R1254" s="525"/>
      <c r="S1254" s="729"/>
    </row>
    <row r="1255" spans="1:19" s="385" customFormat="1" ht="30" customHeight="1">
      <c r="A1255" s="331"/>
      <c r="B1255" s="584" t="s">
        <v>726</v>
      </c>
      <c r="C1255" s="579" t="s">
        <v>399</v>
      </c>
      <c r="D1255" s="502"/>
      <c r="E1255" s="579"/>
      <c r="F1255" s="579"/>
      <c r="G1255" s="502"/>
      <c r="H1255" s="724" t="s">
        <v>2887</v>
      </c>
      <c r="I1255" s="728">
        <v>3</v>
      </c>
      <c r="J1255" s="721">
        <v>192.6</v>
      </c>
      <c r="K1255" s="374">
        <f t="shared" si="50"/>
        <v>0</v>
      </c>
      <c r="L1255" s="374">
        <f t="shared" si="52"/>
        <v>192.6</v>
      </c>
      <c r="M1255" s="329"/>
      <c r="N1255" s="690"/>
      <c r="O1255" s="690"/>
      <c r="P1255" s="288"/>
      <c r="Q1255" s="553"/>
      <c r="R1255" s="525"/>
      <c r="S1255" s="729"/>
    </row>
    <row r="1256" spans="1:19" s="385" customFormat="1" ht="30" customHeight="1">
      <c r="A1256" s="331"/>
      <c r="B1256" s="584" t="s">
        <v>726</v>
      </c>
      <c r="C1256" s="579" t="s">
        <v>399</v>
      </c>
      <c r="D1256" s="502"/>
      <c r="E1256" s="579"/>
      <c r="F1256" s="579"/>
      <c r="G1256" s="502"/>
      <c r="H1256" s="724" t="s">
        <v>2054</v>
      </c>
      <c r="I1256" s="728">
        <v>9</v>
      </c>
      <c r="J1256" s="721">
        <v>577.79999999999995</v>
      </c>
      <c r="K1256" s="374">
        <f t="shared" si="50"/>
        <v>0</v>
      </c>
      <c r="L1256" s="374">
        <f t="shared" si="52"/>
        <v>577.79999999999995</v>
      </c>
      <c r="M1256" s="329"/>
      <c r="N1256" s="690"/>
      <c r="O1256" s="690"/>
      <c r="P1256" s="288"/>
      <c r="Q1256" s="553"/>
      <c r="R1256" s="525"/>
      <c r="S1256" s="729"/>
    </row>
    <row r="1257" spans="1:19" s="385" customFormat="1" ht="30" customHeight="1">
      <c r="A1257" s="331">
        <v>158</v>
      </c>
      <c r="B1257" s="584" t="s">
        <v>661</v>
      </c>
      <c r="C1257" s="579" t="s">
        <v>400</v>
      </c>
      <c r="D1257" s="502"/>
      <c r="E1257" s="579"/>
      <c r="F1257" s="579"/>
      <c r="G1257" s="502"/>
      <c r="H1257" s="724" t="s">
        <v>1647</v>
      </c>
      <c r="I1257" s="728">
        <v>16</v>
      </c>
      <c r="J1257" s="721">
        <v>1027.2</v>
      </c>
      <c r="K1257" s="374">
        <f t="shared" si="50"/>
        <v>0</v>
      </c>
      <c r="L1257" s="374">
        <f t="shared" si="52"/>
        <v>1027.2</v>
      </c>
      <c r="M1257" s="329"/>
      <c r="N1257" s="690"/>
      <c r="O1257" s="690"/>
      <c r="P1257" s="288"/>
      <c r="Q1257" s="553"/>
      <c r="R1257" s="525"/>
      <c r="S1257" s="729"/>
    </row>
    <row r="1258" spans="1:19" s="385" customFormat="1" ht="30" customHeight="1">
      <c r="A1258" s="331"/>
      <c r="B1258" s="584" t="s">
        <v>661</v>
      </c>
      <c r="C1258" s="579" t="s">
        <v>400</v>
      </c>
      <c r="D1258" s="502"/>
      <c r="E1258" s="579"/>
      <c r="F1258" s="579"/>
      <c r="G1258" s="502"/>
      <c r="H1258" s="724" t="s">
        <v>1514</v>
      </c>
      <c r="I1258" s="728">
        <v>1</v>
      </c>
      <c r="J1258" s="721">
        <v>64.2</v>
      </c>
      <c r="K1258" s="374">
        <f t="shared" si="50"/>
        <v>0</v>
      </c>
      <c r="L1258" s="374">
        <f t="shared" si="52"/>
        <v>64.2</v>
      </c>
      <c r="M1258" s="329"/>
      <c r="N1258" s="690"/>
      <c r="O1258" s="690"/>
      <c r="P1258" s="288"/>
      <c r="Q1258" s="553"/>
      <c r="R1258" s="525"/>
      <c r="S1258" s="729"/>
    </row>
    <row r="1259" spans="1:19" s="385" customFormat="1" ht="30" customHeight="1">
      <c r="A1259" s="331"/>
      <c r="B1259" s="584" t="s">
        <v>661</v>
      </c>
      <c r="C1259" s="579" t="s">
        <v>400</v>
      </c>
      <c r="D1259" s="502"/>
      <c r="E1259" s="579"/>
      <c r="F1259" s="579"/>
      <c r="G1259" s="502"/>
      <c r="H1259" s="724" t="s">
        <v>2054</v>
      </c>
      <c r="I1259" s="728">
        <v>9</v>
      </c>
      <c r="J1259" s="721">
        <v>577.79999999999995</v>
      </c>
      <c r="K1259" s="374">
        <f t="shared" si="50"/>
        <v>0</v>
      </c>
      <c r="L1259" s="374">
        <f t="shared" si="52"/>
        <v>577.79999999999995</v>
      </c>
      <c r="M1259" s="329"/>
      <c r="N1259" s="690"/>
      <c r="O1259" s="690"/>
      <c r="P1259" s="288"/>
      <c r="Q1259" s="553"/>
      <c r="R1259" s="525"/>
      <c r="S1259" s="729"/>
    </row>
    <row r="1260" spans="1:19" s="385" customFormat="1" ht="30" customHeight="1">
      <c r="A1260" s="331">
        <v>159</v>
      </c>
      <c r="B1260" s="584" t="s">
        <v>1042</v>
      </c>
      <c r="C1260" s="579" t="s">
        <v>1043</v>
      </c>
      <c r="D1260" s="502"/>
      <c r="E1260" s="579"/>
      <c r="F1260" s="579"/>
      <c r="G1260" s="502"/>
      <c r="H1260" s="724" t="s">
        <v>1616</v>
      </c>
      <c r="I1260" s="728">
        <v>2</v>
      </c>
      <c r="J1260" s="721">
        <v>128.4</v>
      </c>
      <c r="K1260" s="374">
        <f t="shared" si="50"/>
        <v>0</v>
      </c>
      <c r="L1260" s="374">
        <f t="shared" si="52"/>
        <v>128.4</v>
      </c>
      <c r="M1260" s="329"/>
      <c r="N1260" s="690"/>
      <c r="O1260" s="690"/>
      <c r="P1260" s="288"/>
      <c r="Q1260" s="553"/>
      <c r="R1260" s="525"/>
      <c r="S1260" s="729"/>
    </row>
    <row r="1261" spans="1:19" s="385" customFormat="1" ht="30" customHeight="1">
      <c r="A1261" s="331"/>
      <c r="B1261" s="584" t="s">
        <v>1042</v>
      </c>
      <c r="C1261" s="579" t="s">
        <v>1043</v>
      </c>
      <c r="D1261" s="502"/>
      <c r="E1261" s="579"/>
      <c r="F1261" s="579"/>
      <c r="G1261" s="502"/>
      <c r="H1261" s="724" t="s">
        <v>2054</v>
      </c>
      <c r="I1261" s="728">
        <v>9</v>
      </c>
      <c r="J1261" s="721">
        <v>577.79999999999995</v>
      </c>
      <c r="K1261" s="374">
        <f t="shared" si="50"/>
        <v>0</v>
      </c>
      <c r="L1261" s="374">
        <f t="shared" si="52"/>
        <v>577.79999999999995</v>
      </c>
      <c r="M1261" s="329"/>
      <c r="N1261" s="690"/>
      <c r="O1261" s="690"/>
      <c r="P1261" s="288"/>
      <c r="Q1261" s="553"/>
      <c r="R1261" s="525"/>
      <c r="S1261" s="729"/>
    </row>
    <row r="1262" spans="1:19" s="385" customFormat="1" ht="30" customHeight="1">
      <c r="A1262" s="331">
        <v>160</v>
      </c>
      <c r="B1262" s="584" t="s">
        <v>1566</v>
      </c>
      <c r="C1262" s="579" t="s">
        <v>401</v>
      </c>
      <c r="D1262" s="502"/>
      <c r="E1262" s="579"/>
      <c r="F1262" s="579"/>
      <c r="G1262" s="502"/>
      <c r="H1262" s="724" t="s">
        <v>1648</v>
      </c>
      <c r="I1262" s="728">
        <v>14</v>
      </c>
      <c r="J1262" s="721">
        <v>898.8</v>
      </c>
      <c r="K1262" s="374">
        <f t="shared" si="50"/>
        <v>0</v>
      </c>
      <c r="L1262" s="374">
        <f t="shared" si="52"/>
        <v>898.8</v>
      </c>
      <c r="M1262" s="329"/>
      <c r="N1262" s="690"/>
      <c r="O1262" s="690"/>
      <c r="P1262" s="288"/>
      <c r="Q1262" s="553"/>
      <c r="R1262" s="525"/>
      <c r="S1262" s="729"/>
    </row>
    <row r="1263" spans="1:19" s="385" customFormat="1" ht="30" customHeight="1">
      <c r="A1263" s="331"/>
      <c r="B1263" s="584" t="s">
        <v>1566</v>
      </c>
      <c r="C1263" s="579" t="s">
        <v>401</v>
      </c>
      <c r="D1263" s="502"/>
      <c r="E1263" s="579"/>
      <c r="F1263" s="579"/>
      <c r="G1263" s="502"/>
      <c r="H1263" s="724" t="s">
        <v>2887</v>
      </c>
      <c r="I1263" s="728">
        <v>3</v>
      </c>
      <c r="J1263" s="721">
        <v>192.6</v>
      </c>
      <c r="K1263" s="374">
        <f t="shared" si="50"/>
        <v>0</v>
      </c>
      <c r="L1263" s="374">
        <f t="shared" si="52"/>
        <v>192.6</v>
      </c>
      <c r="M1263" s="329"/>
      <c r="N1263" s="690"/>
      <c r="O1263" s="690"/>
      <c r="P1263" s="288"/>
      <c r="Q1263" s="553"/>
      <c r="R1263" s="525"/>
      <c r="S1263" s="729"/>
    </row>
    <row r="1264" spans="1:19" s="385" customFormat="1" ht="30" customHeight="1">
      <c r="A1264" s="331"/>
      <c r="B1264" s="584" t="s">
        <v>1566</v>
      </c>
      <c r="C1264" s="579" t="s">
        <v>401</v>
      </c>
      <c r="D1264" s="502"/>
      <c r="E1264" s="579"/>
      <c r="F1264" s="579"/>
      <c r="G1264" s="502"/>
      <c r="H1264" s="724" t="s">
        <v>2054</v>
      </c>
      <c r="I1264" s="728">
        <v>9</v>
      </c>
      <c r="J1264" s="721">
        <v>577.79999999999995</v>
      </c>
      <c r="K1264" s="374">
        <f t="shared" si="50"/>
        <v>0</v>
      </c>
      <c r="L1264" s="374">
        <f t="shared" si="52"/>
        <v>577.79999999999995</v>
      </c>
      <c r="M1264" s="329"/>
      <c r="N1264" s="690"/>
      <c r="O1264" s="690"/>
      <c r="P1264" s="288"/>
      <c r="Q1264" s="553"/>
      <c r="R1264" s="525"/>
      <c r="S1264" s="729"/>
    </row>
    <row r="1265" spans="1:19" s="385" customFormat="1" ht="30" customHeight="1">
      <c r="A1265" s="331">
        <v>161</v>
      </c>
      <c r="B1265" s="584" t="s">
        <v>728</v>
      </c>
      <c r="C1265" s="579" t="s">
        <v>1703</v>
      </c>
      <c r="D1265" s="502"/>
      <c r="E1265" s="579"/>
      <c r="F1265" s="579"/>
      <c r="G1265" s="502"/>
      <c r="H1265" s="724" t="s">
        <v>1161</v>
      </c>
      <c r="I1265" s="728">
        <v>16</v>
      </c>
      <c r="J1265" s="721">
        <v>1027.2</v>
      </c>
      <c r="K1265" s="374">
        <f t="shared" si="50"/>
        <v>0</v>
      </c>
      <c r="L1265" s="374">
        <f t="shared" si="52"/>
        <v>1027.2</v>
      </c>
      <c r="M1265" s="329"/>
      <c r="N1265" s="690"/>
      <c r="O1265" s="690"/>
      <c r="P1265" s="288"/>
      <c r="Q1265" s="553"/>
      <c r="R1265" s="525"/>
      <c r="S1265" s="729"/>
    </row>
    <row r="1266" spans="1:19" s="385" customFormat="1" ht="30" customHeight="1">
      <c r="A1266" s="331">
        <v>162</v>
      </c>
      <c r="B1266" s="584" t="s">
        <v>1567</v>
      </c>
      <c r="C1266" s="579" t="s">
        <v>1592</v>
      </c>
      <c r="D1266" s="502"/>
      <c r="E1266" s="579"/>
      <c r="F1266" s="579"/>
      <c r="G1266" s="502"/>
      <c r="H1266" s="724" t="s">
        <v>2074</v>
      </c>
      <c r="I1266" s="728">
        <v>10</v>
      </c>
      <c r="J1266" s="721">
        <v>642</v>
      </c>
      <c r="K1266" s="374">
        <f t="shared" si="50"/>
        <v>0</v>
      </c>
      <c r="L1266" s="374">
        <f t="shared" si="52"/>
        <v>642</v>
      </c>
      <c r="M1266" s="329"/>
      <c r="N1266" s="690"/>
      <c r="O1266" s="690"/>
      <c r="P1266" s="288"/>
      <c r="Q1266" s="553"/>
      <c r="R1266" s="525"/>
      <c r="S1266" s="729"/>
    </row>
    <row r="1267" spans="1:19" s="385" customFormat="1" ht="30" customHeight="1">
      <c r="A1267" s="331">
        <v>163</v>
      </c>
      <c r="B1267" s="584" t="s">
        <v>729</v>
      </c>
      <c r="C1267" s="579" t="s">
        <v>1704</v>
      </c>
      <c r="D1267" s="502"/>
      <c r="E1267" s="579"/>
      <c r="F1267" s="579"/>
      <c r="G1267" s="502"/>
      <c r="H1267" s="724" t="s">
        <v>1627</v>
      </c>
      <c r="I1267" s="728">
        <v>20</v>
      </c>
      <c r="J1267" s="721">
        <v>1284</v>
      </c>
      <c r="K1267" s="374">
        <f t="shared" si="50"/>
        <v>0</v>
      </c>
      <c r="L1267" s="374">
        <f t="shared" si="52"/>
        <v>1284</v>
      </c>
      <c r="M1267" s="329"/>
      <c r="N1267" s="690"/>
      <c r="O1267" s="690"/>
      <c r="P1267" s="288"/>
      <c r="Q1267" s="553"/>
      <c r="R1267" s="525"/>
      <c r="S1267" s="729"/>
    </row>
    <row r="1268" spans="1:19" s="385" customFormat="1" ht="30" customHeight="1">
      <c r="A1268" s="331">
        <v>164</v>
      </c>
      <c r="B1268" s="584" t="s">
        <v>730</v>
      </c>
      <c r="C1268" s="579" t="s">
        <v>1705</v>
      </c>
      <c r="D1268" s="502"/>
      <c r="E1268" s="579"/>
      <c r="F1268" s="579"/>
      <c r="G1268" s="502"/>
      <c r="H1268" s="724" t="s">
        <v>1649</v>
      </c>
      <c r="I1268" s="728">
        <v>15</v>
      </c>
      <c r="J1268" s="721">
        <v>963</v>
      </c>
      <c r="K1268" s="374">
        <f t="shared" si="50"/>
        <v>0</v>
      </c>
      <c r="L1268" s="374">
        <f t="shared" si="52"/>
        <v>963</v>
      </c>
      <c r="M1268" s="329"/>
      <c r="N1268" s="690"/>
      <c r="O1268" s="690"/>
      <c r="P1268" s="288"/>
      <c r="Q1268" s="553"/>
      <c r="R1268" s="525"/>
      <c r="S1268" s="729"/>
    </row>
    <row r="1269" spans="1:19" s="385" customFormat="1" ht="30" customHeight="1">
      <c r="A1269" s="331">
        <v>165</v>
      </c>
      <c r="B1269" s="584" t="s">
        <v>1031</v>
      </c>
      <c r="C1269" s="579" t="s">
        <v>628</v>
      </c>
      <c r="D1269" s="502"/>
      <c r="E1269" s="579"/>
      <c r="F1269" s="579"/>
      <c r="G1269" s="502"/>
      <c r="H1269" s="724" t="s">
        <v>1642</v>
      </c>
      <c r="I1269" s="728">
        <v>6</v>
      </c>
      <c r="J1269" s="721">
        <v>385.2</v>
      </c>
      <c r="K1269" s="374">
        <f t="shared" si="50"/>
        <v>0</v>
      </c>
      <c r="L1269" s="374">
        <f t="shared" si="52"/>
        <v>385.2</v>
      </c>
      <c r="M1269" s="329"/>
      <c r="N1269" s="690"/>
      <c r="O1269" s="690"/>
      <c r="P1269" s="288"/>
      <c r="Q1269" s="553"/>
      <c r="R1269" s="525"/>
      <c r="S1269" s="729"/>
    </row>
    <row r="1270" spans="1:19" s="385" customFormat="1" ht="30" customHeight="1">
      <c r="A1270" s="331"/>
      <c r="B1270" s="584" t="s">
        <v>1031</v>
      </c>
      <c r="C1270" s="579" t="s">
        <v>628</v>
      </c>
      <c r="D1270" s="502"/>
      <c r="E1270" s="579"/>
      <c r="F1270" s="579"/>
      <c r="G1270" s="502"/>
      <c r="H1270" s="724" t="s">
        <v>1514</v>
      </c>
      <c r="I1270" s="728">
        <v>1</v>
      </c>
      <c r="J1270" s="721">
        <v>64</v>
      </c>
      <c r="K1270" s="374">
        <f t="shared" ref="K1270:K1289" si="53">G1270*11.54/100</f>
        <v>0</v>
      </c>
      <c r="L1270" s="374">
        <f t="shared" si="52"/>
        <v>64</v>
      </c>
      <c r="M1270" s="329"/>
      <c r="N1270" s="690"/>
      <c r="O1270" s="690"/>
      <c r="P1270" s="288"/>
      <c r="Q1270" s="553"/>
      <c r="R1270" s="525"/>
      <c r="S1270" s="729"/>
    </row>
    <row r="1271" spans="1:19" s="385" customFormat="1" ht="30" customHeight="1">
      <c r="A1271" s="331"/>
      <c r="B1271" s="584" t="s">
        <v>1031</v>
      </c>
      <c r="C1271" s="579" t="s">
        <v>628</v>
      </c>
      <c r="D1271" s="502"/>
      <c r="E1271" s="579"/>
      <c r="F1271" s="579"/>
      <c r="G1271" s="502"/>
      <c r="H1271" s="724" t="s">
        <v>2053</v>
      </c>
      <c r="I1271" s="728">
        <v>11</v>
      </c>
      <c r="J1271" s="721">
        <v>706.2</v>
      </c>
      <c r="K1271" s="374">
        <f t="shared" si="53"/>
        <v>0</v>
      </c>
      <c r="L1271" s="374">
        <f t="shared" si="52"/>
        <v>706.2</v>
      </c>
      <c r="M1271" s="329"/>
      <c r="N1271" s="690"/>
      <c r="O1271" s="690"/>
      <c r="P1271" s="288"/>
      <c r="Q1271" s="553"/>
      <c r="R1271" s="525"/>
      <c r="S1271" s="729"/>
    </row>
    <row r="1272" spans="1:19" s="385" customFormat="1" ht="30" customHeight="1">
      <c r="A1272" s="331">
        <v>166</v>
      </c>
      <c r="B1272" s="584" t="s">
        <v>731</v>
      </c>
      <c r="C1272" s="579" t="s">
        <v>402</v>
      </c>
      <c r="D1272" s="502"/>
      <c r="E1272" s="579"/>
      <c r="F1272" s="579"/>
      <c r="G1272" s="502"/>
      <c r="H1272" s="724" t="s">
        <v>1649</v>
      </c>
      <c r="I1272" s="728">
        <v>15</v>
      </c>
      <c r="J1272" s="721">
        <v>1027.2000000000003</v>
      </c>
      <c r="K1272" s="374">
        <f t="shared" si="53"/>
        <v>0</v>
      </c>
      <c r="L1272" s="374">
        <f t="shared" si="52"/>
        <v>1027.2000000000003</v>
      </c>
      <c r="M1272" s="329"/>
      <c r="N1272" s="690"/>
      <c r="O1272" s="690"/>
      <c r="P1272" s="288"/>
      <c r="Q1272" s="553"/>
      <c r="R1272" s="525"/>
      <c r="S1272" s="729"/>
    </row>
    <row r="1273" spans="1:19" s="385" customFormat="1" ht="30" customHeight="1">
      <c r="A1273" s="331"/>
      <c r="B1273" s="584" t="s">
        <v>731</v>
      </c>
      <c r="C1273" s="579" t="s">
        <v>402</v>
      </c>
      <c r="D1273" s="502"/>
      <c r="E1273" s="579"/>
      <c r="F1273" s="579"/>
      <c r="G1273" s="502"/>
      <c r="H1273" s="724" t="s">
        <v>2887</v>
      </c>
      <c r="I1273" s="728">
        <v>3</v>
      </c>
      <c r="J1273" s="721">
        <v>192.6</v>
      </c>
      <c r="K1273" s="374">
        <f t="shared" si="53"/>
        <v>0</v>
      </c>
      <c r="L1273" s="374">
        <f t="shared" si="52"/>
        <v>192.6</v>
      </c>
      <c r="M1273" s="329"/>
      <c r="N1273" s="690"/>
      <c r="O1273" s="690"/>
      <c r="P1273" s="288"/>
      <c r="Q1273" s="553"/>
      <c r="R1273" s="525"/>
      <c r="S1273" s="729"/>
    </row>
    <row r="1274" spans="1:19" s="385" customFormat="1" ht="30" customHeight="1">
      <c r="A1274" s="331"/>
      <c r="B1274" s="584" t="s">
        <v>731</v>
      </c>
      <c r="C1274" s="579" t="s">
        <v>402</v>
      </c>
      <c r="D1274" s="502"/>
      <c r="E1274" s="579"/>
      <c r="F1274" s="579"/>
      <c r="G1274" s="502"/>
      <c r="H1274" s="724" t="s">
        <v>2053</v>
      </c>
      <c r="I1274" s="728">
        <v>11</v>
      </c>
      <c r="J1274" s="721">
        <v>706.2</v>
      </c>
      <c r="K1274" s="374">
        <f t="shared" si="53"/>
        <v>0</v>
      </c>
      <c r="L1274" s="374">
        <f t="shared" si="52"/>
        <v>706.2</v>
      </c>
      <c r="M1274" s="329"/>
      <c r="N1274" s="690"/>
      <c r="O1274" s="690"/>
      <c r="P1274" s="288"/>
      <c r="Q1274" s="553"/>
      <c r="R1274" s="525"/>
      <c r="S1274" s="729"/>
    </row>
    <row r="1275" spans="1:19" s="385" customFormat="1" ht="30" customHeight="1">
      <c r="A1275" s="331">
        <v>167</v>
      </c>
      <c r="B1275" s="584" t="s">
        <v>732</v>
      </c>
      <c r="C1275" s="579" t="s">
        <v>433</v>
      </c>
      <c r="D1275" s="502"/>
      <c r="E1275" s="579"/>
      <c r="F1275" s="579"/>
      <c r="G1275" s="502"/>
      <c r="H1275" s="724" t="s">
        <v>1649</v>
      </c>
      <c r="I1275" s="728">
        <v>15</v>
      </c>
      <c r="J1275" s="721">
        <v>1027.2000000000003</v>
      </c>
      <c r="K1275" s="374">
        <f t="shared" si="53"/>
        <v>0</v>
      </c>
      <c r="L1275" s="374">
        <f t="shared" si="52"/>
        <v>1027.2000000000003</v>
      </c>
      <c r="M1275" s="329"/>
      <c r="N1275" s="690"/>
      <c r="O1275" s="690"/>
      <c r="P1275" s="288"/>
      <c r="Q1275" s="553"/>
      <c r="R1275" s="525"/>
      <c r="S1275" s="729"/>
    </row>
    <row r="1276" spans="1:19" s="385" customFormat="1" ht="30" customHeight="1">
      <c r="A1276" s="331"/>
      <c r="B1276" s="584" t="s">
        <v>732</v>
      </c>
      <c r="C1276" s="579" t="s">
        <v>433</v>
      </c>
      <c r="D1276" s="502"/>
      <c r="E1276" s="579"/>
      <c r="F1276" s="579"/>
      <c r="G1276" s="502"/>
      <c r="H1276" s="724" t="s">
        <v>2887</v>
      </c>
      <c r="I1276" s="728">
        <v>3</v>
      </c>
      <c r="J1276" s="721">
        <v>192.6</v>
      </c>
      <c r="K1276" s="374">
        <f t="shared" si="53"/>
        <v>0</v>
      </c>
      <c r="L1276" s="374">
        <f t="shared" si="52"/>
        <v>192.6</v>
      </c>
      <c r="M1276" s="329"/>
      <c r="N1276" s="690"/>
      <c r="O1276" s="690"/>
      <c r="P1276" s="288"/>
      <c r="Q1276" s="553"/>
      <c r="R1276" s="525"/>
      <c r="S1276" s="729"/>
    </row>
    <row r="1277" spans="1:19" s="385" customFormat="1" ht="30" customHeight="1">
      <c r="A1277" s="331"/>
      <c r="B1277" s="584" t="s">
        <v>732</v>
      </c>
      <c r="C1277" s="579" t="s">
        <v>433</v>
      </c>
      <c r="D1277" s="502"/>
      <c r="E1277" s="579"/>
      <c r="F1277" s="579"/>
      <c r="G1277" s="502"/>
      <c r="H1277" s="724" t="s">
        <v>2054</v>
      </c>
      <c r="I1277" s="728">
        <v>9</v>
      </c>
      <c r="J1277" s="721">
        <v>577.79999999999995</v>
      </c>
      <c r="K1277" s="374">
        <f t="shared" si="53"/>
        <v>0</v>
      </c>
      <c r="L1277" s="374">
        <f t="shared" si="52"/>
        <v>577.79999999999995</v>
      </c>
      <c r="M1277" s="329"/>
      <c r="N1277" s="690"/>
      <c r="O1277" s="690"/>
      <c r="P1277" s="288"/>
      <c r="Q1277" s="553"/>
      <c r="R1277" s="525"/>
      <c r="S1277" s="729"/>
    </row>
    <row r="1278" spans="1:19" s="385" customFormat="1" ht="30" customHeight="1">
      <c r="A1278" s="331">
        <v>168</v>
      </c>
      <c r="B1278" s="584" t="s">
        <v>1391</v>
      </c>
      <c r="C1278" s="579" t="s">
        <v>1437</v>
      </c>
      <c r="D1278" s="502"/>
      <c r="E1278" s="579"/>
      <c r="F1278" s="579"/>
      <c r="G1278" s="502"/>
      <c r="H1278" s="724" t="s">
        <v>1623</v>
      </c>
      <c r="I1278" s="728">
        <v>11</v>
      </c>
      <c r="J1278" s="721">
        <v>706.20000000000016</v>
      </c>
      <c r="K1278" s="374">
        <f t="shared" si="53"/>
        <v>0</v>
      </c>
      <c r="L1278" s="374">
        <f t="shared" si="52"/>
        <v>706.20000000000016</v>
      </c>
      <c r="M1278" s="329"/>
      <c r="N1278" s="690"/>
      <c r="O1278" s="690"/>
      <c r="P1278" s="288"/>
      <c r="Q1278" s="553"/>
      <c r="R1278" s="525"/>
      <c r="S1278" s="729"/>
    </row>
    <row r="1279" spans="1:19" s="385" customFormat="1" ht="30" customHeight="1">
      <c r="A1279" s="331"/>
      <c r="B1279" s="584" t="s">
        <v>1391</v>
      </c>
      <c r="C1279" s="579" t="s">
        <v>1437</v>
      </c>
      <c r="D1279" s="502"/>
      <c r="E1279" s="579"/>
      <c r="F1279" s="579"/>
      <c r="G1279" s="502"/>
      <c r="H1279" s="724" t="s">
        <v>2871</v>
      </c>
      <c r="I1279" s="728">
        <v>2</v>
      </c>
      <c r="J1279" s="721">
        <v>128.4</v>
      </c>
      <c r="K1279" s="374">
        <f t="shared" si="53"/>
        <v>0</v>
      </c>
      <c r="L1279" s="374">
        <f t="shared" si="52"/>
        <v>128.4</v>
      </c>
      <c r="M1279" s="329"/>
      <c r="N1279" s="690"/>
      <c r="O1279" s="690"/>
      <c r="P1279" s="288"/>
      <c r="Q1279" s="553"/>
      <c r="R1279" s="525"/>
      <c r="S1279" s="729"/>
    </row>
    <row r="1280" spans="1:19" s="385" customFormat="1" ht="30" customHeight="1">
      <c r="A1280" s="331"/>
      <c r="B1280" s="584" t="s">
        <v>1391</v>
      </c>
      <c r="C1280" s="579" t="s">
        <v>1437</v>
      </c>
      <c r="D1280" s="502"/>
      <c r="E1280" s="579"/>
      <c r="F1280" s="579"/>
      <c r="G1280" s="502"/>
      <c r="H1280" s="724" t="s">
        <v>2053</v>
      </c>
      <c r="I1280" s="728">
        <v>11</v>
      </c>
      <c r="J1280" s="721">
        <v>706.2</v>
      </c>
      <c r="K1280" s="374">
        <f t="shared" si="53"/>
        <v>0</v>
      </c>
      <c r="L1280" s="374">
        <f t="shared" si="52"/>
        <v>706.2</v>
      </c>
      <c r="M1280" s="329"/>
      <c r="N1280" s="690"/>
      <c r="O1280" s="690"/>
      <c r="P1280" s="288"/>
      <c r="Q1280" s="553"/>
      <c r="R1280" s="525"/>
      <c r="S1280" s="729"/>
    </row>
    <row r="1281" spans="1:19" s="385" customFormat="1" ht="30" customHeight="1">
      <c r="A1281" s="331">
        <v>169</v>
      </c>
      <c r="B1281" s="584" t="s">
        <v>733</v>
      </c>
      <c r="C1281" s="579" t="s">
        <v>403</v>
      </c>
      <c r="D1281" s="502"/>
      <c r="E1281" s="579"/>
      <c r="F1281" s="579"/>
      <c r="G1281" s="502"/>
      <c r="H1281" s="724" t="s">
        <v>1597</v>
      </c>
      <c r="I1281" s="728">
        <v>16</v>
      </c>
      <c r="J1281" s="721">
        <v>1091.4000000000003</v>
      </c>
      <c r="K1281" s="374">
        <f t="shared" si="53"/>
        <v>0</v>
      </c>
      <c r="L1281" s="374">
        <f t="shared" si="52"/>
        <v>1091.4000000000003</v>
      </c>
      <c r="M1281" s="329"/>
      <c r="N1281" s="690"/>
      <c r="O1281" s="690"/>
      <c r="P1281" s="288"/>
      <c r="Q1281" s="553"/>
      <c r="R1281" s="525"/>
      <c r="S1281" s="729"/>
    </row>
    <row r="1282" spans="1:19" s="385" customFormat="1" ht="30" customHeight="1">
      <c r="A1282" s="331"/>
      <c r="B1282" s="584" t="s">
        <v>733</v>
      </c>
      <c r="C1282" s="579" t="s">
        <v>403</v>
      </c>
      <c r="D1282" s="502"/>
      <c r="E1282" s="579"/>
      <c r="F1282" s="579"/>
      <c r="G1282" s="502"/>
      <c r="H1282" s="724" t="s">
        <v>2888</v>
      </c>
      <c r="I1282" s="728">
        <v>3</v>
      </c>
      <c r="J1282" s="721">
        <v>192.6</v>
      </c>
      <c r="K1282" s="374">
        <f t="shared" si="53"/>
        <v>0</v>
      </c>
      <c r="L1282" s="374">
        <f t="shared" si="52"/>
        <v>192.6</v>
      </c>
      <c r="M1282" s="329"/>
      <c r="N1282" s="690"/>
      <c r="O1282" s="690"/>
      <c r="P1282" s="288"/>
      <c r="Q1282" s="553"/>
      <c r="R1282" s="525"/>
      <c r="S1282" s="729"/>
    </row>
    <row r="1283" spans="1:19" s="385" customFormat="1" ht="30" customHeight="1">
      <c r="A1283" s="331"/>
      <c r="B1283" s="584" t="s">
        <v>733</v>
      </c>
      <c r="C1283" s="579" t="s">
        <v>403</v>
      </c>
      <c r="D1283" s="502"/>
      <c r="E1283" s="579"/>
      <c r="F1283" s="579"/>
      <c r="G1283" s="502"/>
      <c r="H1283" s="724" t="s">
        <v>2054</v>
      </c>
      <c r="I1283" s="728">
        <v>9</v>
      </c>
      <c r="J1283" s="721">
        <v>577.79999999999995</v>
      </c>
      <c r="K1283" s="374">
        <f t="shared" si="53"/>
        <v>0</v>
      </c>
      <c r="L1283" s="374">
        <f t="shared" si="52"/>
        <v>577.79999999999995</v>
      </c>
      <c r="M1283" s="329"/>
      <c r="N1283" s="690"/>
      <c r="O1283" s="690"/>
      <c r="P1283" s="288"/>
      <c r="Q1283" s="553"/>
      <c r="R1283" s="525"/>
      <c r="S1283" s="729"/>
    </row>
    <row r="1284" spans="1:19" s="385" customFormat="1" ht="30" customHeight="1">
      <c r="A1284" s="331">
        <v>170</v>
      </c>
      <c r="B1284" s="584" t="s">
        <v>369</v>
      </c>
      <c r="C1284" s="579" t="s">
        <v>1706</v>
      </c>
      <c r="D1284" s="502"/>
      <c r="E1284" s="579"/>
      <c r="F1284" s="579"/>
      <c r="G1284" s="502"/>
      <c r="H1284" s="724" t="s">
        <v>1650</v>
      </c>
      <c r="I1284" s="728">
        <v>18</v>
      </c>
      <c r="J1284" s="721">
        <v>1155.5999999999999</v>
      </c>
      <c r="K1284" s="374">
        <f t="shared" si="53"/>
        <v>0</v>
      </c>
      <c r="L1284" s="374">
        <f t="shared" si="52"/>
        <v>1155.5999999999999</v>
      </c>
      <c r="M1284" s="329"/>
      <c r="N1284" s="690"/>
      <c r="O1284" s="690"/>
      <c r="P1284" s="288"/>
      <c r="Q1284" s="553"/>
      <c r="R1284" s="525"/>
      <c r="S1284" s="729"/>
    </row>
    <row r="1285" spans="1:19" s="385" customFormat="1" ht="30" customHeight="1">
      <c r="A1285" s="331">
        <v>171</v>
      </c>
      <c r="B1285" s="584" t="s">
        <v>545</v>
      </c>
      <c r="C1285" s="579" t="s">
        <v>1593</v>
      </c>
      <c r="D1285" s="502"/>
      <c r="E1285" s="579"/>
      <c r="F1285" s="579"/>
      <c r="G1285" s="502"/>
      <c r="H1285" s="724" t="s">
        <v>2093</v>
      </c>
      <c r="I1285" s="728">
        <v>15</v>
      </c>
      <c r="J1285" s="721">
        <v>770.4</v>
      </c>
      <c r="K1285" s="374">
        <f t="shared" si="53"/>
        <v>0</v>
      </c>
      <c r="L1285" s="374">
        <f t="shared" si="52"/>
        <v>770.4</v>
      </c>
      <c r="M1285" s="329"/>
      <c r="N1285" s="690"/>
      <c r="O1285" s="690"/>
      <c r="P1285" s="288"/>
      <c r="Q1285" s="553"/>
      <c r="R1285" s="525"/>
      <c r="S1285" s="729"/>
    </row>
    <row r="1286" spans="1:19" s="385" customFormat="1" ht="30" customHeight="1">
      <c r="A1286" s="331">
        <v>172</v>
      </c>
      <c r="B1286" s="584" t="s">
        <v>545</v>
      </c>
      <c r="C1286" s="579" t="s">
        <v>1594</v>
      </c>
      <c r="D1286" s="502"/>
      <c r="E1286" s="579"/>
      <c r="F1286" s="579"/>
      <c r="G1286" s="502"/>
      <c r="H1286" s="724" t="s">
        <v>2093</v>
      </c>
      <c r="I1286" s="728">
        <v>15</v>
      </c>
      <c r="J1286" s="721">
        <v>770.4</v>
      </c>
      <c r="K1286" s="374">
        <f t="shared" si="53"/>
        <v>0</v>
      </c>
      <c r="L1286" s="374">
        <f t="shared" si="52"/>
        <v>770.4</v>
      </c>
      <c r="M1286" s="329"/>
      <c r="N1286" s="690"/>
      <c r="O1286" s="690"/>
      <c r="P1286" s="288"/>
      <c r="Q1286" s="553"/>
      <c r="R1286" s="525"/>
      <c r="S1286" s="729"/>
    </row>
    <row r="1287" spans="1:19" s="385" customFormat="1" ht="30" customHeight="1">
      <c r="A1287" s="331">
        <v>173</v>
      </c>
      <c r="B1287" s="584" t="s">
        <v>508</v>
      </c>
      <c r="C1287" s="579" t="s">
        <v>1769</v>
      </c>
      <c r="D1287" s="502"/>
      <c r="E1287" s="579"/>
      <c r="F1287" s="579"/>
      <c r="G1287" s="502"/>
      <c r="H1287" s="724" t="s">
        <v>2094</v>
      </c>
      <c r="I1287" s="728">
        <v>10</v>
      </c>
      <c r="J1287" s="721">
        <v>449.4</v>
      </c>
      <c r="K1287" s="374">
        <f t="shared" si="53"/>
        <v>0</v>
      </c>
      <c r="L1287" s="374">
        <f t="shared" si="52"/>
        <v>449.4</v>
      </c>
      <c r="M1287" s="329"/>
      <c r="N1287" s="690"/>
      <c r="O1287" s="690"/>
      <c r="P1287" s="288"/>
      <c r="Q1287" s="553"/>
      <c r="R1287" s="525"/>
      <c r="S1287" s="729"/>
    </row>
    <row r="1288" spans="1:19" s="385" customFormat="1" ht="30" customHeight="1">
      <c r="A1288" s="331">
        <v>174</v>
      </c>
      <c r="B1288" s="584" t="s">
        <v>411</v>
      </c>
      <c r="C1288" s="579" t="s">
        <v>1595</v>
      </c>
      <c r="D1288" s="502"/>
      <c r="E1288" s="579"/>
      <c r="F1288" s="579"/>
      <c r="G1288" s="502"/>
      <c r="H1288" s="724" t="s">
        <v>2095</v>
      </c>
      <c r="I1288" s="728">
        <v>17</v>
      </c>
      <c r="J1288" s="721">
        <v>898.8</v>
      </c>
      <c r="K1288" s="374">
        <f t="shared" si="53"/>
        <v>0</v>
      </c>
      <c r="L1288" s="374">
        <f t="shared" si="52"/>
        <v>898.8</v>
      </c>
      <c r="M1288" s="329"/>
      <c r="N1288" s="690"/>
      <c r="O1288" s="690"/>
      <c r="P1288" s="288"/>
      <c r="Q1288" s="553"/>
      <c r="R1288" s="525"/>
      <c r="S1288" s="729"/>
    </row>
    <row r="1289" spans="1:19" s="385" customFormat="1" ht="30" customHeight="1">
      <c r="A1289" s="331">
        <v>175</v>
      </c>
      <c r="B1289" s="584" t="s">
        <v>411</v>
      </c>
      <c r="C1289" s="579" t="s">
        <v>1596</v>
      </c>
      <c r="D1289" s="502"/>
      <c r="E1289" s="579"/>
      <c r="F1289" s="579"/>
      <c r="G1289" s="502"/>
      <c r="H1289" s="724" t="s">
        <v>2095</v>
      </c>
      <c r="I1289" s="728">
        <v>17</v>
      </c>
      <c r="J1289" s="721">
        <v>898.8</v>
      </c>
      <c r="K1289" s="374">
        <f t="shared" si="53"/>
        <v>0</v>
      </c>
      <c r="L1289" s="374">
        <f t="shared" si="52"/>
        <v>898.8</v>
      </c>
      <c r="M1289" s="329"/>
      <c r="N1289" s="690"/>
      <c r="O1289" s="690"/>
      <c r="P1289" s="288"/>
      <c r="Q1289" s="553"/>
      <c r="R1289" s="525"/>
      <c r="S1289" s="729"/>
    </row>
    <row r="1290" spans="1:19" s="385" customFormat="1" ht="29.4" customHeight="1">
      <c r="A1290" s="331"/>
      <c r="B1290" s="584"/>
      <c r="C1290" s="579"/>
      <c r="D1290" s="502"/>
      <c r="E1290" s="579"/>
      <c r="F1290" s="579"/>
      <c r="G1290" s="502"/>
      <c r="H1290" s="724"/>
      <c r="I1290" s="728"/>
      <c r="J1290" s="721"/>
      <c r="K1290" s="374"/>
      <c r="L1290" s="374"/>
      <c r="M1290" s="329"/>
      <c r="N1290" s="690"/>
      <c r="O1290" s="690"/>
      <c r="P1290" s="288"/>
      <c r="Q1290" s="553"/>
      <c r="R1290" s="525"/>
      <c r="S1290" s="729"/>
    </row>
    <row r="1291" spans="1:19" s="385" customFormat="1" ht="30" customHeight="1">
      <c r="A1291" s="331"/>
      <c r="B1291" s="584" t="s">
        <v>2735</v>
      </c>
      <c r="C1291" s="579"/>
      <c r="D1291" s="502"/>
      <c r="E1291" s="579"/>
      <c r="F1291" s="579"/>
      <c r="G1291" s="502"/>
      <c r="H1291" s="724"/>
      <c r="I1291" s="728"/>
      <c r="J1291" s="721"/>
      <c r="K1291" s="374">
        <f t="shared" ref="K1291:K1395" si="54">G1291*11.54/100</f>
        <v>0</v>
      </c>
      <c r="L1291" s="374">
        <f t="shared" si="52"/>
        <v>0</v>
      </c>
      <c r="M1291" s="329"/>
      <c r="N1291" s="690"/>
      <c r="O1291" s="690"/>
      <c r="P1291" s="288"/>
      <c r="Q1291" s="553"/>
      <c r="R1291" s="525"/>
      <c r="S1291" s="729"/>
    </row>
    <row r="1292" spans="1:19" s="385" customFormat="1" ht="30" customHeight="1">
      <c r="A1292" s="331">
        <v>1</v>
      </c>
      <c r="B1292" s="584" t="s">
        <v>643</v>
      </c>
      <c r="C1292" s="579" t="s">
        <v>1744</v>
      </c>
      <c r="D1292" s="502"/>
      <c r="E1292" s="579"/>
      <c r="F1292" s="579"/>
      <c r="G1292" s="502"/>
      <c r="H1292" s="724" t="s">
        <v>2081</v>
      </c>
      <c r="I1292" s="728">
        <v>7</v>
      </c>
      <c r="J1292" s="721">
        <v>449.4</v>
      </c>
      <c r="K1292" s="374">
        <f t="shared" si="54"/>
        <v>0</v>
      </c>
      <c r="L1292" s="374">
        <f t="shared" si="52"/>
        <v>449.4</v>
      </c>
      <c r="M1292" s="329"/>
      <c r="N1292" s="690"/>
      <c r="O1292" s="690"/>
      <c r="P1292" s="288"/>
      <c r="Q1292" s="553"/>
      <c r="R1292" s="525"/>
      <c r="S1292" s="729"/>
    </row>
    <row r="1293" spans="1:19" s="385" customFormat="1" ht="30" customHeight="1">
      <c r="A1293" s="331">
        <v>2</v>
      </c>
      <c r="B1293" s="584" t="s">
        <v>645</v>
      </c>
      <c r="C1293" s="579" t="s">
        <v>377</v>
      </c>
      <c r="D1293" s="502"/>
      <c r="E1293" s="579"/>
      <c r="F1293" s="579"/>
      <c r="G1293" s="502"/>
      <c r="H1293" s="724" t="s">
        <v>1598</v>
      </c>
      <c r="I1293" s="728">
        <v>17</v>
      </c>
      <c r="J1293" s="721">
        <v>1091.4000000000003</v>
      </c>
      <c r="K1293" s="374">
        <f t="shared" si="54"/>
        <v>0</v>
      </c>
      <c r="L1293" s="374">
        <f t="shared" si="52"/>
        <v>1091.4000000000003</v>
      </c>
      <c r="M1293" s="329"/>
      <c r="N1293" s="690"/>
      <c r="O1293" s="690"/>
      <c r="P1293" s="288"/>
      <c r="Q1293" s="553"/>
      <c r="R1293" s="525"/>
      <c r="S1293" s="729"/>
    </row>
    <row r="1294" spans="1:19" s="385" customFormat="1" ht="30" customHeight="1">
      <c r="A1294" s="331"/>
      <c r="B1294" s="584" t="s">
        <v>645</v>
      </c>
      <c r="C1294" s="579" t="s">
        <v>377</v>
      </c>
      <c r="D1294" s="502"/>
      <c r="E1294" s="579"/>
      <c r="F1294" s="579"/>
      <c r="G1294" s="502"/>
      <c r="H1294" s="724" t="s">
        <v>2872</v>
      </c>
      <c r="I1294" s="728">
        <v>3</v>
      </c>
      <c r="J1294" s="721">
        <v>192.6</v>
      </c>
      <c r="K1294" s="374">
        <f t="shared" si="54"/>
        <v>0</v>
      </c>
      <c r="L1294" s="374">
        <f t="shared" si="52"/>
        <v>192.6</v>
      </c>
      <c r="M1294" s="329"/>
      <c r="N1294" s="690"/>
      <c r="O1294" s="690"/>
      <c r="P1294" s="288"/>
      <c r="Q1294" s="553"/>
      <c r="R1294" s="525"/>
      <c r="S1294" s="729"/>
    </row>
    <row r="1295" spans="1:19" s="385" customFormat="1" ht="30" customHeight="1">
      <c r="A1295" s="331"/>
      <c r="B1295" s="584" t="s">
        <v>645</v>
      </c>
      <c r="C1295" s="579" t="s">
        <v>377</v>
      </c>
      <c r="D1295" s="502"/>
      <c r="E1295" s="579"/>
      <c r="F1295" s="579"/>
      <c r="G1295" s="502"/>
      <c r="H1295" s="724" t="s">
        <v>2057</v>
      </c>
      <c r="I1295" s="728">
        <v>10</v>
      </c>
      <c r="J1295" s="721">
        <v>642</v>
      </c>
      <c r="K1295" s="374">
        <f t="shared" si="54"/>
        <v>0</v>
      </c>
      <c r="L1295" s="374">
        <f t="shared" si="52"/>
        <v>642</v>
      </c>
      <c r="M1295" s="329"/>
      <c r="N1295" s="690"/>
      <c r="O1295" s="690"/>
      <c r="P1295" s="288"/>
      <c r="Q1295" s="553"/>
      <c r="R1295" s="525"/>
      <c r="S1295" s="729"/>
    </row>
    <row r="1296" spans="1:19" s="385" customFormat="1" ht="30" customHeight="1">
      <c r="A1296" s="331">
        <v>3</v>
      </c>
      <c r="B1296" s="584" t="s">
        <v>647</v>
      </c>
      <c r="C1296" s="579" t="s">
        <v>521</v>
      </c>
      <c r="D1296" s="502"/>
      <c r="E1296" s="579"/>
      <c r="F1296" s="579"/>
      <c r="G1296" s="502"/>
      <c r="H1296" s="724" t="s">
        <v>1626</v>
      </c>
      <c r="I1296" s="728">
        <v>11</v>
      </c>
      <c r="J1296" s="721">
        <v>706.20000000000016</v>
      </c>
      <c r="K1296" s="374">
        <f t="shared" si="54"/>
        <v>0</v>
      </c>
      <c r="L1296" s="374">
        <f t="shared" si="52"/>
        <v>706.20000000000016</v>
      </c>
      <c r="M1296" s="329"/>
      <c r="N1296" s="690"/>
      <c r="O1296" s="690"/>
      <c r="P1296" s="288"/>
      <c r="Q1296" s="553"/>
      <c r="R1296" s="525"/>
      <c r="S1296" s="729"/>
    </row>
    <row r="1297" spans="1:19" s="385" customFormat="1" ht="30" customHeight="1">
      <c r="A1297" s="331"/>
      <c r="B1297" s="584" t="s">
        <v>647</v>
      </c>
      <c r="C1297" s="579" t="s">
        <v>521</v>
      </c>
      <c r="D1297" s="502"/>
      <c r="E1297" s="579"/>
      <c r="F1297" s="579"/>
      <c r="G1297" s="502"/>
      <c r="H1297" s="724" t="s">
        <v>2880</v>
      </c>
      <c r="I1297" s="728">
        <v>9</v>
      </c>
      <c r="J1297" s="721">
        <v>577.79999999999995</v>
      </c>
      <c r="K1297" s="374">
        <f t="shared" si="54"/>
        <v>0</v>
      </c>
      <c r="L1297" s="374">
        <f t="shared" si="52"/>
        <v>577.79999999999995</v>
      </c>
      <c r="M1297" s="329"/>
      <c r="N1297" s="690"/>
      <c r="O1297" s="690"/>
      <c r="P1297" s="288"/>
      <c r="Q1297" s="553"/>
      <c r="R1297" s="525"/>
      <c r="S1297" s="729"/>
    </row>
    <row r="1298" spans="1:19" s="385" customFormat="1" ht="30" customHeight="1">
      <c r="A1298" s="331">
        <v>4</v>
      </c>
      <c r="B1298" s="584" t="s">
        <v>648</v>
      </c>
      <c r="C1298" s="579" t="s">
        <v>1667</v>
      </c>
      <c r="D1298" s="502"/>
      <c r="E1298" s="579"/>
      <c r="F1298" s="579"/>
      <c r="G1298" s="502"/>
      <c r="H1298" s="724" t="s">
        <v>2082</v>
      </c>
      <c r="I1298" s="728">
        <v>8</v>
      </c>
      <c r="J1298" s="721">
        <v>513.6</v>
      </c>
      <c r="K1298" s="374">
        <f t="shared" si="54"/>
        <v>0</v>
      </c>
      <c r="L1298" s="374">
        <f t="shared" si="52"/>
        <v>513.6</v>
      </c>
      <c r="M1298" s="329"/>
      <c r="N1298" s="690"/>
      <c r="O1298" s="690"/>
      <c r="P1298" s="288"/>
      <c r="Q1298" s="553"/>
      <c r="R1298" s="525"/>
      <c r="S1298" s="729"/>
    </row>
    <row r="1299" spans="1:19" s="385" customFormat="1" ht="30" customHeight="1">
      <c r="A1299" s="331">
        <v>5</v>
      </c>
      <c r="B1299" s="584" t="s">
        <v>653</v>
      </c>
      <c r="C1299" s="579" t="s">
        <v>380</v>
      </c>
      <c r="D1299" s="502"/>
      <c r="E1299" s="579"/>
      <c r="F1299" s="579"/>
      <c r="G1299" s="502"/>
      <c r="H1299" s="724" t="s">
        <v>2085</v>
      </c>
      <c r="I1299" s="728">
        <v>21</v>
      </c>
      <c r="J1299" s="721">
        <v>1284.0000000000005</v>
      </c>
      <c r="K1299" s="374">
        <f t="shared" si="54"/>
        <v>0</v>
      </c>
      <c r="L1299" s="374">
        <f t="shared" si="52"/>
        <v>1284.0000000000005</v>
      </c>
      <c r="M1299" s="329"/>
      <c r="N1299" s="690"/>
      <c r="O1299" s="690"/>
      <c r="P1299" s="288"/>
      <c r="Q1299" s="553"/>
      <c r="R1299" s="525"/>
      <c r="S1299" s="729"/>
    </row>
    <row r="1300" spans="1:19" s="385" customFormat="1" ht="30" customHeight="1">
      <c r="A1300" s="331"/>
      <c r="B1300" s="584" t="s">
        <v>653</v>
      </c>
      <c r="C1300" s="579" t="s">
        <v>380</v>
      </c>
      <c r="D1300" s="502"/>
      <c r="E1300" s="579"/>
      <c r="F1300" s="579"/>
      <c r="G1300" s="502"/>
      <c r="H1300" s="724" t="s">
        <v>1514</v>
      </c>
      <c r="I1300" s="728">
        <v>1</v>
      </c>
      <c r="J1300" s="721">
        <v>64.2</v>
      </c>
      <c r="K1300" s="374">
        <f t="shared" si="54"/>
        <v>0</v>
      </c>
      <c r="L1300" s="374">
        <f t="shared" si="52"/>
        <v>64.2</v>
      </c>
      <c r="M1300" s="329"/>
      <c r="N1300" s="690"/>
      <c r="O1300" s="690"/>
      <c r="P1300" s="288"/>
      <c r="Q1300" s="553"/>
      <c r="R1300" s="525"/>
      <c r="S1300" s="729"/>
    </row>
    <row r="1301" spans="1:19" s="385" customFormat="1" ht="30" customHeight="1">
      <c r="A1301" s="331"/>
      <c r="B1301" s="584" t="s">
        <v>653</v>
      </c>
      <c r="C1301" s="579" t="s">
        <v>380</v>
      </c>
      <c r="D1301" s="502"/>
      <c r="E1301" s="579"/>
      <c r="F1301" s="579"/>
      <c r="G1301" s="502"/>
      <c r="H1301" s="724" t="s">
        <v>2053</v>
      </c>
      <c r="I1301" s="728">
        <v>11</v>
      </c>
      <c r="J1301" s="721">
        <v>706.2</v>
      </c>
      <c r="K1301" s="374">
        <f t="shared" si="54"/>
        <v>0</v>
      </c>
      <c r="L1301" s="374">
        <f t="shared" si="52"/>
        <v>706.2</v>
      </c>
      <c r="M1301" s="329"/>
      <c r="N1301" s="690"/>
      <c r="O1301" s="690"/>
      <c r="P1301" s="288"/>
      <c r="Q1301" s="553"/>
      <c r="R1301" s="525"/>
      <c r="S1301" s="729"/>
    </row>
    <row r="1302" spans="1:19" s="385" customFormat="1" ht="30" customHeight="1">
      <c r="A1302" s="331">
        <v>6</v>
      </c>
      <c r="B1302" s="584" t="s">
        <v>654</v>
      </c>
      <c r="C1302" s="579" t="s">
        <v>381</v>
      </c>
      <c r="D1302" s="502"/>
      <c r="E1302" s="579"/>
      <c r="F1302" s="579"/>
      <c r="G1302" s="502"/>
      <c r="H1302" s="724" t="s">
        <v>2086</v>
      </c>
      <c r="I1302" s="728">
        <v>19</v>
      </c>
      <c r="J1302" s="721">
        <v>1155.6000000000004</v>
      </c>
      <c r="K1302" s="374">
        <f t="shared" si="54"/>
        <v>0</v>
      </c>
      <c r="L1302" s="374">
        <f t="shared" si="52"/>
        <v>1155.6000000000004</v>
      </c>
      <c r="M1302" s="329"/>
      <c r="N1302" s="690"/>
      <c r="O1302" s="690"/>
      <c r="P1302" s="288"/>
      <c r="Q1302" s="553"/>
      <c r="R1302" s="525"/>
      <c r="S1302" s="729"/>
    </row>
    <row r="1303" spans="1:19" s="385" customFormat="1" ht="30" customHeight="1">
      <c r="A1303" s="331"/>
      <c r="B1303" s="584" t="s">
        <v>654</v>
      </c>
      <c r="C1303" s="579" t="s">
        <v>381</v>
      </c>
      <c r="D1303" s="502"/>
      <c r="E1303" s="579"/>
      <c r="F1303" s="579"/>
      <c r="G1303" s="502"/>
      <c r="H1303" s="724" t="s">
        <v>1514</v>
      </c>
      <c r="I1303" s="728">
        <v>1</v>
      </c>
      <c r="J1303" s="721">
        <v>64.2</v>
      </c>
      <c r="K1303" s="374">
        <f t="shared" si="54"/>
        <v>0</v>
      </c>
      <c r="L1303" s="374">
        <f t="shared" si="52"/>
        <v>64.2</v>
      </c>
      <c r="M1303" s="329"/>
      <c r="N1303" s="690"/>
      <c r="O1303" s="690"/>
      <c r="P1303" s="288"/>
      <c r="Q1303" s="553"/>
      <c r="R1303" s="525"/>
      <c r="S1303" s="729"/>
    </row>
    <row r="1304" spans="1:19" s="385" customFormat="1" ht="30" customHeight="1">
      <c r="A1304" s="331"/>
      <c r="B1304" s="584" t="s">
        <v>654</v>
      </c>
      <c r="C1304" s="579" t="s">
        <v>381</v>
      </c>
      <c r="D1304" s="502"/>
      <c r="E1304" s="579"/>
      <c r="F1304" s="579"/>
      <c r="G1304" s="502"/>
      <c r="H1304" s="724" t="s">
        <v>2054</v>
      </c>
      <c r="I1304" s="728">
        <v>9</v>
      </c>
      <c r="J1304" s="721">
        <v>577.79999999999995</v>
      </c>
      <c r="K1304" s="374">
        <f t="shared" si="54"/>
        <v>0</v>
      </c>
      <c r="L1304" s="374">
        <f t="shared" si="52"/>
        <v>577.79999999999995</v>
      </c>
      <c r="M1304" s="329"/>
      <c r="N1304" s="690"/>
      <c r="O1304" s="690"/>
      <c r="P1304" s="288"/>
      <c r="Q1304" s="553"/>
      <c r="R1304" s="525"/>
      <c r="S1304" s="729"/>
    </row>
    <row r="1305" spans="1:19" s="385" customFormat="1" ht="30" customHeight="1">
      <c r="A1305" s="331">
        <v>7</v>
      </c>
      <c r="B1305" s="584" t="s">
        <v>655</v>
      </c>
      <c r="C1305" s="579" t="s">
        <v>476</v>
      </c>
      <c r="D1305" s="502"/>
      <c r="E1305" s="579"/>
      <c r="F1305" s="579"/>
      <c r="G1305" s="502"/>
      <c r="H1305" s="724" t="s">
        <v>2881</v>
      </c>
      <c r="I1305" s="728">
        <v>13</v>
      </c>
      <c r="J1305" s="721">
        <v>834.6</v>
      </c>
      <c r="K1305" s="374">
        <f t="shared" si="54"/>
        <v>0</v>
      </c>
      <c r="L1305" s="374">
        <f t="shared" si="52"/>
        <v>834.6</v>
      </c>
      <c r="M1305" s="329"/>
      <c r="N1305" s="690"/>
      <c r="O1305" s="690"/>
      <c r="P1305" s="288"/>
      <c r="Q1305" s="553"/>
      <c r="R1305" s="525"/>
      <c r="S1305" s="729"/>
    </row>
    <row r="1306" spans="1:19" s="385" customFormat="1" ht="30" customHeight="1">
      <c r="A1306" s="331"/>
      <c r="B1306" s="584" t="s">
        <v>655</v>
      </c>
      <c r="C1306" s="579" t="s">
        <v>476</v>
      </c>
      <c r="D1306" s="502"/>
      <c r="E1306" s="579"/>
      <c r="F1306" s="579"/>
      <c r="G1306" s="502"/>
      <c r="H1306" s="724" t="s">
        <v>2053</v>
      </c>
      <c r="I1306" s="728">
        <v>11</v>
      </c>
      <c r="J1306" s="721">
        <v>706.2</v>
      </c>
      <c r="K1306" s="374">
        <f t="shared" si="54"/>
        <v>0</v>
      </c>
      <c r="L1306" s="374">
        <f t="shared" si="52"/>
        <v>706.2</v>
      </c>
      <c r="M1306" s="329"/>
      <c r="N1306" s="690"/>
      <c r="O1306" s="690"/>
      <c r="P1306" s="288"/>
      <c r="Q1306" s="553"/>
      <c r="R1306" s="525"/>
      <c r="S1306" s="729"/>
    </row>
    <row r="1307" spans="1:19" s="385" customFormat="1" ht="30" customHeight="1">
      <c r="A1307" s="331">
        <v>8</v>
      </c>
      <c r="B1307" s="584" t="s">
        <v>1549</v>
      </c>
      <c r="C1307" s="579" t="s">
        <v>749</v>
      </c>
      <c r="D1307" s="502"/>
      <c r="E1307" s="579"/>
      <c r="F1307" s="579"/>
      <c r="G1307" s="502"/>
      <c r="H1307" s="724" t="s">
        <v>1142</v>
      </c>
      <c r="I1307" s="728">
        <v>11</v>
      </c>
      <c r="J1307" s="721">
        <v>642.00000000000011</v>
      </c>
      <c r="K1307" s="374">
        <f t="shared" si="54"/>
        <v>0</v>
      </c>
      <c r="L1307" s="374">
        <f t="shared" si="52"/>
        <v>642.00000000000011</v>
      </c>
      <c r="M1307" s="329"/>
      <c r="N1307" s="690"/>
      <c r="O1307" s="690"/>
      <c r="P1307" s="288"/>
      <c r="Q1307" s="553"/>
      <c r="R1307" s="525"/>
      <c r="S1307" s="729"/>
    </row>
    <row r="1308" spans="1:19" s="385" customFormat="1" ht="30" customHeight="1">
      <c r="A1308" s="331"/>
      <c r="B1308" s="584" t="s">
        <v>1549</v>
      </c>
      <c r="C1308" s="579" t="s">
        <v>749</v>
      </c>
      <c r="D1308" s="502"/>
      <c r="E1308" s="579"/>
      <c r="F1308" s="579"/>
      <c r="G1308" s="502"/>
      <c r="H1308" s="724" t="s">
        <v>1514</v>
      </c>
      <c r="I1308" s="728">
        <v>1</v>
      </c>
      <c r="J1308" s="721">
        <v>64.2</v>
      </c>
      <c r="K1308" s="374">
        <f t="shared" si="54"/>
        <v>0</v>
      </c>
      <c r="L1308" s="374">
        <f t="shared" si="52"/>
        <v>64.2</v>
      </c>
      <c r="M1308" s="329"/>
      <c r="N1308" s="690"/>
      <c r="O1308" s="690"/>
      <c r="P1308" s="288"/>
      <c r="Q1308" s="553"/>
      <c r="R1308" s="525"/>
      <c r="S1308" s="729"/>
    </row>
    <row r="1309" spans="1:19" s="385" customFormat="1" ht="30" customHeight="1">
      <c r="A1309" s="331"/>
      <c r="B1309" s="584" t="s">
        <v>1549</v>
      </c>
      <c r="C1309" s="579" t="s">
        <v>749</v>
      </c>
      <c r="D1309" s="502"/>
      <c r="E1309" s="579"/>
      <c r="F1309" s="579"/>
      <c r="G1309" s="502"/>
      <c r="H1309" s="724" t="s">
        <v>2054</v>
      </c>
      <c r="I1309" s="728">
        <v>9</v>
      </c>
      <c r="J1309" s="721">
        <v>577.79999999999995</v>
      </c>
      <c r="K1309" s="374">
        <f t="shared" si="54"/>
        <v>0</v>
      </c>
      <c r="L1309" s="374">
        <f t="shared" si="52"/>
        <v>577.79999999999995</v>
      </c>
      <c r="M1309" s="329"/>
      <c r="N1309" s="690"/>
      <c r="O1309" s="690"/>
      <c r="P1309" s="288"/>
      <c r="Q1309" s="553"/>
      <c r="R1309" s="525"/>
      <c r="S1309" s="729"/>
    </row>
    <row r="1310" spans="1:19" s="385" customFormat="1" ht="30" customHeight="1">
      <c r="A1310" s="331">
        <v>9</v>
      </c>
      <c r="B1310" s="584" t="s">
        <v>657</v>
      </c>
      <c r="C1310" s="579" t="s">
        <v>463</v>
      </c>
      <c r="D1310" s="502"/>
      <c r="E1310" s="579"/>
      <c r="F1310" s="579"/>
      <c r="G1310" s="502"/>
      <c r="H1310" s="724" t="s">
        <v>1645</v>
      </c>
      <c r="I1310" s="728">
        <v>3</v>
      </c>
      <c r="J1310" s="721">
        <v>192.6</v>
      </c>
      <c r="K1310" s="374">
        <f t="shared" si="54"/>
        <v>0</v>
      </c>
      <c r="L1310" s="374">
        <f t="shared" si="52"/>
        <v>192.6</v>
      </c>
      <c r="M1310" s="329"/>
      <c r="N1310" s="690"/>
      <c r="O1310" s="690"/>
      <c r="P1310" s="288"/>
      <c r="Q1310" s="553"/>
      <c r="R1310" s="525"/>
      <c r="S1310" s="729"/>
    </row>
    <row r="1311" spans="1:19" s="385" customFormat="1" ht="30" customHeight="1">
      <c r="A1311" s="331"/>
      <c r="B1311" s="584" t="s">
        <v>657</v>
      </c>
      <c r="C1311" s="579" t="s">
        <v>463</v>
      </c>
      <c r="D1311" s="502"/>
      <c r="E1311" s="579"/>
      <c r="F1311" s="579"/>
      <c r="G1311" s="502"/>
      <c r="H1311" s="724" t="s">
        <v>1514</v>
      </c>
      <c r="I1311" s="728">
        <v>1</v>
      </c>
      <c r="J1311" s="721">
        <v>64.2</v>
      </c>
      <c r="K1311" s="374">
        <f t="shared" si="54"/>
        <v>0</v>
      </c>
      <c r="L1311" s="374">
        <f t="shared" si="52"/>
        <v>64.2</v>
      </c>
      <c r="M1311" s="329"/>
      <c r="N1311" s="690"/>
      <c r="O1311" s="690"/>
      <c r="P1311" s="288"/>
      <c r="Q1311" s="553"/>
      <c r="R1311" s="525"/>
      <c r="S1311" s="729"/>
    </row>
    <row r="1312" spans="1:19" s="385" customFormat="1" ht="30" customHeight="1">
      <c r="A1312" s="331"/>
      <c r="B1312" s="584" t="s">
        <v>657</v>
      </c>
      <c r="C1312" s="579" t="s">
        <v>463</v>
      </c>
      <c r="D1312" s="502"/>
      <c r="E1312" s="579"/>
      <c r="F1312" s="579"/>
      <c r="G1312" s="502"/>
      <c r="H1312" s="724" t="s">
        <v>2054</v>
      </c>
      <c r="I1312" s="728">
        <v>9</v>
      </c>
      <c r="J1312" s="721">
        <v>577.79999999999995</v>
      </c>
      <c r="K1312" s="374">
        <f t="shared" si="54"/>
        <v>0</v>
      </c>
      <c r="L1312" s="374">
        <f t="shared" si="52"/>
        <v>577.79999999999995</v>
      </c>
      <c r="M1312" s="329"/>
      <c r="N1312" s="690"/>
      <c r="O1312" s="690"/>
      <c r="P1312" s="288"/>
      <c r="Q1312" s="553"/>
      <c r="R1312" s="525"/>
      <c r="S1312" s="729"/>
    </row>
    <row r="1313" spans="1:19" s="385" customFormat="1" ht="30" customHeight="1">
      <c r="A1313" s="331">
        <v>10</v>
      </c>
      <c r="B1313" s="584" t="s">
        <v>1015</v>
      </c>
      <c r="C1313" s="579" t="s">
        <v>1039</v>
      </c>
      <c r="D1313" s="502"/>
      <c r="E1313" s="579"/>
      <c r="F1313" s="579"/>
      <c r="G1313" s="502"/>
      <c r="H1313" s="724" t="s">
        <v>1600</v>
      </c>
      <c r="I1313" s="728">
        <v>3</v>
      </c>
      <c r="J1313" s="721">
        <v>192.6</v>
      </c>
      <c r="K1313" s="374">
        <f t="shared" si="54"/>
        <v>0</v>
      </c>
      <c r="L1313" s="374">
        <f t="shared" si="52"/>
        <v>192.6</v>
      </c>
      <c r="M1313" s="329"/>
      <c r="N1313" s="690"/>
      <c r="O1313" s="690"/>
      <c r="P1313" s="288"/>
      <c r="Q1313" s="553"/>
      <c r="R1313" s="525"/>
      <c r="S1313" s="729"/>
    </row>
    <row r="1314" spans="1:19" s="385" customFormat="1" ht="30" customHeight="1">
      <c r="A1314" s="331"/>
      <c r="B1314" s="584" t="s">
        <v>1015</v>
      </c>
      <c r="C1314" s="579" t="s">
        <v>1039</v>
      </c>
      <c r="D1314" s="502"/>
      <c r="E1314" s="579"/>
      <c r="F1314" s="579"/>
      <c r="G1314" s="502"/>
      <c r="H1314" s="724" t="s">
        <v>2054</v>
      </c>
      <c r="I1314" s="728">
        <v>9</v>
      </c>
      <c r="J1314" s="721">
        <v>577.79999999999995</v>
      </c>
      <c r="K1314" s="374">
        <f t="shared" si="54"/>
        <v>0</v>
      </c>
      <c r="L1314" s="374">
        <f t="shared" si="52"/>
        <v>577.79999999999995</v>
      </c>
      <c r="M1314" s="329"/>
      <c r="N1314" s="690"/>
      <c r="O1314" s="690"/>
      <c r="P1314" s="288"/>
      <c r="Q1314" s="553"/>
      <c r="R1314" s="525"/>
      <c r="S1314" s="729"/>
    </row>
    <row r="1315" spans="1:19" s="385" customFormat="1" ht="30" customHeight="1">
      <c r="A1315" s="331">
        <v>11</v>
      </c>
      <c r="B1315" s="584" t="s">
        <v>2609</v>
      </c>
      <c r="C1315" s="579" t="s">
        <v>2619</v>
      </c>
      <c r="D1315" s="502"/>
      <c r="E1315" s="579"/>
      <c r="F1315" s="579"/>
      <c r="G1315" s="502"/>
      <c r="H1315" s="724" t="s">
        <v>2718</v>
      </c>
      <c r="I1315" s="728">
        <v>4</v>
      </c>
      <c r="J1315" s="721">
        <v>256.8</v>
      </c>
      <c r="K1315" s="374">
        <f t="shared" si="54"/>
        <v>0</v>
      </c>
      <c r="L1315" s="374">
        <f t="shared" si="52"/>
        <v>256.8</v>
      </c>
      <c r="M1315" s="329"/>
      <c r="N1315" s="690"/>
      <c r="O1315" s="690"/>
      <c r="P1315" s="288"/>
      <c r="Q1315" s="553"/>
      <c r="R1315" s="525"/>
      <c r="S1315" s="729"/>
    </row>
    <row r="1316" spans="1:19" s="385" customFormat="1" ht="30" customHeight="1">
      <c r="A1316" s="331">
        <v>12</v>
      </c>
      <c r="B1316" s="584" t="s">
        <v>1333</v>
      </c>
      <c r="C1316" s="579" t="s">
        <v>1401</v>
      </c>
      <c r="D1316" s="502"/>
      <c r="E1316" s="579"/>
      <c r="F1316" s="579"/>
      <c r="G1316" s="502"/>
      <c r="H1316" s="724" t="s">
        <v>1629</v>
      </c>
      <c r="I1316" s="728">
        <v>16</v>
      </c>
      <c r="J1316" s="721">
        <v>1027.2000000000003</v>
      </c>
      <c r="K1316" s="374">
        <f t="shared" si="54"/>
        <v>0</v>
      </c>
      <c r="L1316" s="374">
        <f t="shared" si="52"/>
        <v>1027.2000000000003</v>
      </c>
      <c r="M1316" s="329"/>
      <c r="N1316" s="690"/>
      <c r="O1316" s="690"/>
      <c r="P1316" s="288"/>
      <c r="Q1316" s="553"/>
      <c r="R1316" s="525"/>
      <c r="S1316" s="729"/>
    </row>
    <row r="1317" spans="1:19" s="385" customFormat="1" ht="30" customHeight="1">
      <c r="A1317" s="331"/>
      <c r="B1317" s="584" t="s">
        <v>1333</v>
      </c>
      <c r="C1317" s="579" t="s">
        <v>1401</v>
      </c>
      <c r="D1317" s="502"/>
      <c r="E1317" s="579"/>
      <c r="F1317" s="579"/>
      <c r="G1317" s="502"/>
      <c r="H1317" s="724" t="s">
        <v>1514</v>
      </c>
      <c r="I1317" s="728">
        <v>1</v>
      </c>
      <c r="J1317" s="721">
        <v>64.2</v>
      </c>
      <c r="K1317" s="374">
        <f t="shared" si="54"/>
        <v>0</v>
      </c>
      <c r="L1317" s="374">
        <f t="shared" si="52"/>
        <v>64.2</v>
      </c>
      <c r="M1317" s="329"/>
      <c r="N1317" s="690"/>
      <c r="O1317" s="690"/>
      <c r="P1317" s="288"/>
      <c r="Q1317" s="553"/>
      <c r="R1317" s="525"/>
      <c r="S1317" s="729"/>
    </row>
    <row r="1318" spans="1:19" s="385" customFormat="1" ht="30" customHeight="1">
      <c r="A1318" s="331"/>
      <c r="B1318" s="584" t="s">
        <v>1333</v>
      </c>
      <c r="C1318" s="579" t="s">
        <v>1401</v>
      </c>
      <c r="D1318" s="502"/>
      <c r="E1318" s="579"/>
      <c r="F1318" s="579"/>
      <c r="G1318" s="502"/>
      <c r="H1318" s="724" t="s">
        <v>2053</v>
      </c>
      <c r="I1318" s="728">
        <v>11</v>
      </c>
      <c r="J1318" s="721">
        <v>706.2</v>
      </c>
      <c r="K1318" s="374">
        <f t="shared" si="54"/>
        <v>0</v>
      </c>
      <c r="L1318" s="374">
        <f t="shared" si="52"/>
        <v>706.2</v>
      </c>
      <c r="M1318" s="329"/>
      <c r="N1318" s="690"/>
      <c r="O1318" s="690"/>
      <c r="P1318" s="288"/>
      <c r="Q1318" s="553"/>
      <c r="R1318" s="525"/>
      <c r="S1318" s="729"/>
    </row>
    <row r="1319" spans="1:19" s="385" customFormat="1" ht="30" customHeight="1">
      <c r="A1319" s="331">
        <v>13</v>
      </c>
      <c r="B1319" s="584" t="s">
        <v>663</v>
      </c>
      <c r="C1319" s="579" t="s">
        <v>383</v>
      </c>
      <c r="D1319" s="502"/>
      <c r="E1319" s="579"/>
      <c r="F1319" s="579"/>
      <c r="G1319" s="502"/>
      <c r="H1319" s="724" t="s">
        <v>1137</v>
      </c>
      <c r="I1319" s="728">
        <v>18</v>
      </c>
      <c r="J1319" s="721">
        <v>1155.6000000000004</v>
      </c>
      <c r="K1319" s="374">
        <f t="shared" si="54"/>
        <v>0</v>
      </c>
      <c r="L1319" s="374">
        <f t="shared" si="52"/>
        <v>1155.6000000000004</v>
      </c>
      <c r="M1319" s="329"/>
      <c r="N1319" s="690"/>
      <c r="O1319" s="690"/>
      <c r="P1319" s="288"/>
      <c r="Q1319" s="553"/>
      <c r="R1319" s="525"/>
      <c r="S1319" s="729"/>
    </row>
    <row r="1320" spans="1:19" s="385" customFormat="1" ht="30" customHeight="1">
      <c r="A1320" s="331"/>
      <c r="B1320" s="584" t="s">
        <v>663</v>
      </c>
      <c r="C1320" s="579" t="s">
        <v>383</v>
      </c>
      <c r="D1320" s="502"/>
      <c r="E1320" s="579"/>
      <c r="F1320" s="579"/>
      <c r="G1320" s="502"/>
      <c r="H1320" s="724" t="s">
        <v>1514</v>
      </c>
      <c r="I1320" s="728">
        <v>1</v>
      </c>
      <c r="J1320" s="721">
        <v>64.2</v>
      </c>
      <c r="K1320" s="374">
        <f t="shared" si="54"/>
        <v>0</v>
      </c>
      <c r="L1320" s="374">
        <f t="shared" si="52"/>
        <v>64.2</v>
      </c>
      <c r="M1320" s="329"/>
      <c r="N1320" s="690"/>
      <c r="O1320" s="690"/>
      <c r="P1320" s="288"/>
      <c r="Q1320" s="553"/>
      <c r="R1320" s="525"/>
      <c r="S1320" s="729"/>
    </row>
    <row r="1321" spans="1:19" s="385" customFormat="1" ht="30" customHeight="1">
      <c r="A1321" s="331"/>
      <c r="B1321" s="584" t="s">
        <v>663</v>
      </c>
      <c r="C1321" s="579" t="s">
        <v>383</v>
      </c>
      <c r="D1321" s="502"/>
      <c r="E1321" s="579"/>
      <c r="F1321" s="579"/>
      <c r="G1321" s="502"/>
      <c r="H1321" s="724" t="s">
        <v>2053</v>
      </c>
      <c r="I1321" s="728">
        <v>11</v>
      </c>
      <c r="J1321" s="721">
        <v>706.2</v>
      </c>
      <c r="K1321" s="374">
        <f t="shared" si="54"/>
        <v>0</v>
      </c>
      <c r="L1321" s="374">
        <f t="shared" si="52"/>
        <v>706.2</v>
      </c>
      <c r="M1321" s="329"/>
      <c r="N1321" s="690"/>
      <c r="O1321" s="690"/>
      <c r="P1321" s="288"/>
      <c r="Q1321" s="553"/>
      <c r="R1321" s="525"/>
      <c r="S1321" s="729"/>
    </row>
    <row r="1322" spans="1:19" s="385" customFormat="1" ht="30" customHeight="1">
      <c r="A1322" s="331">
        <v>14</v>
      </c>
      <c r="B1322" s="584" t="s">
        <v>665</v>
      </c>
      <c r="C1322" s="579" t="s">
        <v>1832</v>
      </c>
      <c r="D1322" s="502"/>
      <c r="E1322" s="579"/>
      <c r="F1322" s="579"/>
      <c r="G1322" s="502"/>
      <c r="H1322" s="724" t="s">
        <v>2087</v>
      </c>
      <c r="I1322" s="728">
        <v>2</v>
      </c>
      <c r="J1322" s="721">
        <v>128.4</v>
      </c>
      <c r="K1322" s="374">
        <f t="shared" si="54"/>
        <v>0</v>
      </c>
      <c r="L1322" s="374">
        <f t="shared" si="52"/>
        <v>128.4</v>
      </c>
      <c r="M1322" s="329"/>
      <c r="N1322" s="690"/>
      <c r="O1322" s="690"/>
      <c r="P1322" s="288"/>
      <c r="Q1322" s="553"/>
      <c r="R1322" s="525"/>
      <c r="S1322" s="729"/>
    </row>
    <row r="1323" spans="1:19" s="385" customFormat="1" ht="30" customHeight="1">
      <c r="A1323" s="331">
        <v>15</v>
      </c>
      <c r="B1323" s="584" t="s">
        <v>2613</v>
      </c>
      <c r="C1323" s="579" t="s">
        <v>2620</v>
      </c>
      <c r="D1323" s="502"/>
      <c r="E1323" s="579"/>
      <c r="F1323" s="579"/>
      <c r="G1323" s="502"/>
      <c r="H1323" s="724" t="s">
        <v>2718</v>
      </c>
      <c r="I1323" s="728">
        <v>4</v>
      </c>
      <c r="J1323" s="721">
        <v>256.8</v>
      </c>
      <c r="K1323" s="374">
        <f t="shared" si="54"/>
        <v>0</v>
      </c>
      <c r="L1323" s="374">
        <f t="shared" si="52"/>
        <v>256.8</v>
      </c>
      <c r="M1323" s="329"/>
      <c r="N1323" s="690"/>
      <c r="O1323" s="690"/>
      <c r="P1323" s="288"/>
      <c r="Q1323" s="553"/>
      <c r="R1323" s="525"/>
      <c r="S1323" s="729"/>
    </row>
    <row r="1324" spans="1:19" s="385" customFormat="1" ht="30" customHeight="1">
      <c r="A1324" s="331">
        <v>16</v>
      </c>
      <c r="B1324" s="584" t="s">
        <v>1775</v>
      </c>
      <c r="C1324" s="579" t="s">
        <v>2007</v>
      </c>
      <c r="D1324" s="502"/>
      <c r="E1324" s="579"/>
      <c r="F1324" s="579"/>
      <c r="G1324" s="502"/>
      <c r="H1324" s="724" t="s">
        <v>2628</v>
      </c>
      <c r="I1324" s="728">
        <v>5</v>
      </c>
      <c r="J1324" s="721">
        <v>321</v>
      </c>
      <c r="K1324" s="374">
        <f t="shared" si="54"/>
        <v>0</v>
      </c>
      <c r="L1324" s="374">
        <f t="shared" si="52"/>
        <v>321</v>
      </c>
      <c r="M1324" s="329"/>
      <c r="N1324" s="690"/>
      <c r="O1324" s="690"/>
      <c r="P1324" s="288"/>
      <c r="Q1324" s="553"/>
      <c r="R1324" s="525"/>
      <c r="S1324" s="729"/>
    </row>
    <row r="1325" spans="1:19" s="385" customFormat="1" ht="30" customHeight="1">
      <c r="A1325" s="331">
        <v>17</v>
      </c>
      <c r="B1325" s="584" t="s">
        <v>1780</v>
      </c>
      <c r="C1325" s="579" t="s">
        <v>2008</v>
      </c>
      <c r="D1325" s="502"/>
      <c r="E1325" s="579"/>
      <c r="F1325" s="579"/>
      <c r="G1325" s="502"/>
      <c r="H1325" s="724" t="s">
        <v>2628</v>
      </c>
      <c r="I1325" s="728">
        <v>5</v>
      </c>
      <c r="J1325" s="721">
        <v>321</v>
      </c>
      <c r="K1325" s="374">
        <f t="shared" si="54"/>
        <v>0</v>
      </c>
      <c r="L1325" s="374">
        <f t="shared" si="52"/>
        <v>321</v>
      </c>
      <c r="M1325" s="329"/>
      <c r="N1325" s="690"/>
      <c r="O1325" s="690"/>
      <c r="P1325" s="288"/>
      <c r="Q1325" s="553"/>
      <c r="R1325" s="525"/>
      <c r="S1325" s="729"/>
    </row>
    <row r="1326" spans="1:19" s="385" customFormat="1" ht="30" customHeight="1">
      <c r="A1326" s="331">
        <v>18</v>
      </c>
      <c r="B1326" s="584" t="s">
        <v>693</v>
      </c>
      <c r="C1326" s="579" t="s">
        <v>391</v>
      </c>
      <c r="D1326" s="502"/>
      <c r="E1326" s="579"/>
      <c r="F1326" s="579"/>
      <c r="G1326" s="502"/>
      <c r="H1326" s="724" t="s">
        <v>938</v>
      </c>
      <c r="I1326" s="728">
        <v>12</v>
      </c>
      <c r="J1326" s="721">
        <v>770.4000000000002</v>
      </c>
      <c r="K1326" s="374">
        <f t="shared" si="54"/>
        <v>0</v>
      </c>
      <c r="L1326" s="374">
        <f t="shared" si="52"/>
        <v>770.4000000000002</v>
      </c>
      <c r="M1326" s="329"/>
      <c r="N1326" s="690"/>
      <c r="O1326" s="690"/>
      <c r="P1326" s="288"/>
      <c r="Q1326" s="553"/>
      <c r="R1326" s="525"/>
      <c r="S1326" s="729"/>
    </row>
    <row r="1327" spans="1:19" s="385" customFormat="1" ht="30" customHeight="1">
      <c r="A1327" s="331"/>
      <c r="B1327" s="584" t="s">
        <v>693</v>
      </c>
      <c r="C1327" s="579" t="s">
        <v>391</v>
      </c>
      <c r="D1327" s="502"/>
      <c r="E1327" s="579"/>
      <c r="F1327" s="579"/>
      <c r="G1327" s="502"/>
      <c r="H1327" s="724" t="s">
        <v>2884</v>
      </c>
      <c r="I1327" s="728">
        <v>5</v>
      </c>
      <c r="J1327" s="721">
        <v>321</v>
      </c>
      <c r="K1327" s="374">
        <f t="shared" si="54"/>
        <v>0</v>
      </c>
      <c r="L1327" s="374">
        <f t="shared" si="52"/>
        <v>321</v>
      </c>
      <c r="M1327" s="329"/>
      <c r="N1327" s="690"/>
      <c r="O1327" s="690"/>
      <c r="P1327" s="288"/>
      <c r="Q1327" s="553"/>
      <c r="R1327" s="525"/>
      <c r="S1327" s="729"/>
    </row>
    <row r="1328" spans="1:19" s="385" customFormat="1" ht="30" customHeight="1">
      <c r="A1328" s="331"/>
      <c r="B1328" s="584" t="s">
        <v>693</v>
      </c>
      <c r="C1328" s="579" t="s">
        <v>391</v>
      </c>
      <c r="D1328" s="502"/>
      <c r="E1328" s="579"/>
      <c r="F1328" s="579"/>
      <c r="G1328" s="502"/>
      <c r="H1328" s="724" t="s">
        <v>2054</v>
      </c>
      <c r="I1328" s="728">
        <v>9</v>
      </c>
      <c r="J1328" s="721">
        <v>577.79999999999995</v>
      </c>
      <c r="K1328" s="374">
        <f t="shared" si="54"/>
        <v>0</v>
      </c>
      <c r="L1328" s="374">
        <f t="shared" si="52"/>
        <v>577.79999999999995</v>
      </c>
      <c r="M1328" s="329"/>
      <c r="N1328" s="690"/>
      <c r="O1328" s="690"/>
      <c r="P1328" s="288"/>
      <c r="Q1328" s="553"/>
      <c r="R1328" s="525"/>
      <c r="S1328" s="729"/>
    </row>
    <row r="1329" spans="1:19" s="385" customFormat="1" ht="30" customHeight="1">
      <c r="A1329" s="331">
        <v>19</v>
      </c>
      <c r="B1329" s="584" t="s">
        <v>425</v>
      </c>
      <c r="C1329" s="579" t="s">
        <v>1416</v>
      </c>
      <c r="D1329" s="502"/>
      <c r="E1329" s="579"/>
      <c r="F1329" s="579"/>
      <c r="G1329" s="502"/>
      <c r="H1329" s="724" t="s">
        <v>2053</v>
      </c>
      <c r="I1329" s="728">
        <v>11</v>
      </c>
      <c r="J1329" s="721">
        <v>706.2</v>
      </c>
      <c r="K1329" s="374">
        <f t="shared" si="54"/>
        <v>0</v>
      </c>
      <c r="L1329" s="374">
        <f t="shared" si="52"/>
        <v>706.2</v>
      </c>
      <c r="M1329" s="329"/>
      <c r="N1329" s="690"/>
      <c r="O1329" s="690"/>
      <c r="P1329" s="288"/>
      <c r="Q1329" s="553"/>
      <c r="R1329" s="525"/>
      <c r="S1329" s="729"/>
    </row>
    <row r="1330" spans="1:19" s="385" customFormat="1" ht="30" customHeight="1">
      <c r="A1330" s="331">
        <v>20</v>
      </c>
      <c r="B1330" s="584" t="s">
        <v>695</v>
      </c>
      <c r="C1330" s="579" t="s">
        <v>426</v>
      </c>
      <c r="D1330" s="502"/>
      <c r="E1330" s="579"/>
      <c r="F1330" s="579"/>
      <c r="G1330" s="502"/>
      <c r="H1330" s="724" t="s">
        <v>2885</v>
      </c>
      <c r="I1330" s="728">
        <v>18</v>
      </c>
      <c r="J1330" s="721">
        <v>1155.5999999999999</v>
      </c>
      <c r="K1330" s="374">
        <f t="shared" si="54"/>
        <v>0</v>
      </c>
      <c r="L1330" s="374">
        <f t="shared" si="52"/>
        <v>1155.5999999999999</v>
      </c>
      <c r="M1330" s="329"/>
      <c r="N1330" s="690"/>
      <c r="O1330" s="690"/>
      <c r="P1330" s="288"/>
      <c r="Q1330" s="553"/>
      <c r="R1330" s="525"/>
      <c r="S1330" s="729"/>
    </row>
    <row r="1331" spans="1:19" s="385" customFormat="1" ht="30" customHeight="1">
      <c r="A1331" s="331"/>
      <c r="B1331" s="584" t="s">
        <v>695</v>
      </c>
      <c r="C1331" s="579" t="s">
        <v>426</v>
      </c>
      <c r="D1331" s="502"/>
      <c r="E1331" s="579"/>
      <c r="F1331" s="579"/>
      <c r="G1331" s="502"/>
      <c r="H1331" s="724" t="s">
        <v>2054</v>
      </c>
      <c r="I1331" s="728">
        <v>9</v>
      </c>
      <c r="J1331" s="721">
        <v>577.79999999999995</v>
      </c>
      <c r="K1331" s="374">
        <f t="shared" si="54"/>
        <v>0</v>
      </c>
      <c r="L1331" s="374">
        <f t="shared" si="52"/>
        <v>577.79999999999995</v>
      </c>
      <c r="M1331" s="329"/>
      <c r="N1331" s="690"/>
      <c r="O1331" s="690"/>
      <c r="P1331" s="288"/>
      <c r="Q1331" s="553"/>
      <c r="R1331" s="525"/>
      <c r="S1331" s="729"/>
    </row>
    <row r="1332" spans="1:19" s="385" customFormat="1" ht="30" customHeight="1">
      <c r="A1332" s="331">
        <v>21</v>
      </c>
      <c r="B1332" s="584" t="s">
        <v>697</v>
      </c>
      <c r="C1332" s="579" t="s">
        <v>427</v>
      </c>
      <c r="D1332" s="502"/>
      <c r="E1332" s="579"/>
      <c r="F1332" s="579"/>
      <c r="G1332" s="502"/>
      <c r="H1332" s="724" t="s">
        <v>1017</v>
      </c>
      <c r="I1332" s="728">
        <v>12</v>
      </c>
      <c r="J1332" s="721">
        <v>770.4000000000002</v>
      </c>
      <c r="K1332" s="374">
        <f t="shared" si="54"/>
        <v>0</v>
      </c>
      <c r="L1332" s="374">
        <f t="shared" si="52"/>
        <v>770.4000000000002</v>
      </c>
      <c r="M1332" s="329"/>
      <c r="N1332" s="690"/>
      <c r="O1332" s="690"/>
      <c r="P1332" s="288"/>
      <c r="Q1332" s="553"/>
      <c r="R1332" s="525"/>
      <c r="S1332" s="729"/>
    </row>
    <row r="1333" spans="1:19" s="385" customFormat="1" ht="30" customHeight="1">
      <c r="A1333" s="331"/>
      <c r="B1333" s="584" t="s">
        <v>697</v>
      </c>
      <c r="C1333" s="579" t="s">
        <v>427</v>
      </c>
      <c r="D1333" s="502"/>
      <c r="E1333" s="579"/>
      <c r="F1333" s="579"/>
      <c r="G1333" s="502"/>
      <c r="H1333" s="724" t="s">
        <v>2871</v>
      </c>
      <c r="I1333" s="728">
        <v>2</v>
      </c>
      <c r="J1333" s="721">
        <v>128.4</v>
      </c>
      <c r="K1333" s="374">
        <f t="shared" si="54"/>
        <v>0</v>
      </c>
      <c r="L1333" s="374">
        <f t="shared" si="52"/>
        <v>128.4</v>
      </c>
      <c r="M1333" s="329"/>
      <c r="N1333" s="690"/>
      <c r="O1333" s="690"/>
      <c r="P1333" s="288"/>
      <c r="Q1333" s="553"/>
      <c r="R1333" s="525"/>
      <c r="S1333" s="729"/>
    </row>
    <row r="1334" spans="1:19" s="385" customFormat="1" ht="30" customHeight="1">
      <c r="A1334" s="331"/>
      <c r="B1334" s="584" t="s">
        <v>697</v>
      </c>
      <c r="C1334" s="579" t="s">
        <v>427</v>
      </c>
      <c r="D1334" s="502"/>
      <c r="E1334" s="579"/>
      <c r="F1334" s="579"/>
      <c r="G1334" s="502"/>
      <c r="H1334" s="724" t="s">
        <v>2054</v>
      </c>
      <c r="I1334" s="728">
        <v>9</v>
      </c>
      <c r="J1334" s="721">
        <v>577.79999999999995</v>
      </c>
      <c r="K1334" s="374">
        <f t="shared" si="54"/>
        <v>0</v>
      </c>
      <c r="L1334" s="374">
        <f t="shared" si="52"/>
        <v>577.79999999999995</v>
      </c>
      <c r="M1334" s="329"/>
      <c r="N1334" s="690"/>
      <c r="O1334" s="690"/>
      <c r="P1334" s="288"/>
      <c r="Q1334" s="553"/>
      <c r="R1334" s="525"/>
      <c r="S1334" s="729"/>
    </row>
    <row r="1335" spans="1:19" s="385" customFormat="1" ht="30" customHeight="1">
      <c r="A1335" s="331">
        <v>22</v>
      </c>
      <c r="B1335" s="584" t="s">
        <v>702</v>
      </c>
      <c r="C1335" s="579" t="s">
        <v>1675</v>
      </c>
      <c r="D1335" s="502"/>
      <c r="E1335" s="579"/>
      <c r="F1335" s="579"/>
      <c r="G1335" s="502"/>
      <c r="H1335" s="724" t="s">
        <v>2054</v>
      </c>
      <c r="I1335" s="728">
        <v>9</v>
      </c>
      <c r="J1335" s="721">
        <v>577.79999999999995</v>
      </c>
      <c r="K1335" s="374">
        <f t="shared" si="54"/>
        <v>0</v>
      </c>
      <c r="L1335" s="374">
        <f t="shared" si="52"/>
        <v>577.79999999999995</v>
      </c>
      <c r="M1335" s="329"/>
      <c r="N1335" s="690"/>
      <c r="O1335" s="690"/>
      <c r="P1335" s="288"/>
      <c r="Q1335" s="553"/>
      <c r="R1335" s="525"/>
      <c r="S1335" s="729"/>
    </row>
    <row r="1336" spans="1:19" s="385" customFormat="1" ht="30" customHeight="1">
      <c r="A1336" s="331">
        <v>23</v>
      </c>
      <c r="B1336" s="584" t="s">
        <v>1561</v>
      </c>
      <c r="C1336" s="579" t="s">
        <v>523</v>
      </c>
      <c r="D1336" s="502"/>
      <c r="E1336" s="579"/>
      <c r="F1336" s="579"/>
      <c r="G1336" s="502"/>
      <c r="H1336" s="724" t="s">
        <v>942</v>
      </c>
      <c r="I1336" s="728">
        <v>12</v>
      </c>
      <c r="J1336" s="721">
        <v>770.4000000000002</v>
      </c>
      <c r="K1336" s="374">
        <f t="shared" si="54"/>
        <v>0</v>
      </c>
      <c r="L1336" s="374">
        <f t="shared" si="52"/>
        <v>770.4000000000002</v>
      </c>
      <c r="M1336" s="329"/>
      <c r="N1336" s="690"/>
      <c r="O1336" s="690"/>
      <c r="P1336" s="288"/>
      <c r="Q1336" s="553"/>
      <c r="R1336" s="525"/>
      <c r="S1336" s="729"/>
    </row>
    <row r="1337" spans="1:19" s="385" customFormat="1" ht="30" customHeight="1">
      <c r="A1337" s="331"/>
      <c r="B1337" s="584" t="s">
        <v>1561</v>
      </c>
      <c r="C1337" s="579" t="s">
        <v>523</v>
      </c>
      <c r="D1337" s="502"/>
      <c r="E1337" s="579"/>
      <c r="F1337" s="579"/>
      <c r="G1337" s="502"/>
      <c r="H1337" s="724" t="s">
        <v>2884</v>
      </c>
      <c r="I1337" s="728">
        <v>5</v>
      </c>
      <c r="J1337" s="721">
        <v>321</v>
      </c>
      <c r="K1337" s="374">
        <f t="shared" si="54"/>
        <v>0</v>
      </c>
      <c r="L1337" s="374">
        <f t="shared" si="52"/>
        <v>321</v>
      </c>
      <c r="M1337" s="329"/>
      <c r="N1337" s="690"/>
      <c r="O1337" s="690"/>
      <c r="P1337" s="288"/>
      <c r="Q1337" s="553"/>
      <c r="R1337" s="525"/>
      <c r="S1337" s="729"/>
    </row>
    <row r="1338" spans="1:19" s="385" customFormat="1" ht="30" customHeight="1">
      <c r="A1338" s="331"/>
      <c r="B1338" s="584" t="s">
        <v>1561</v>
      </c>
      <c r="C1338" s="579" t="s">
        <v>523</v>
      </c>
      <c r="D1338" s="502"/>
      <c r="E1338" s="579"/>
      <c r="F1338" s="579"/>
      <c r="G1338" s="502"/>
      <c r="H1338" s="724" t="s">
        <v>2054</v>
      </c>
      <c r="I1338" s="728">
        <v>9</v>
      </c>
      <c r="J1338" s="721">
        <v>577.79999999999995</v>
      </c>
      <c r="K1338" s="374">
        <f t="shared" si="54"/>
        <v>0</v>
      </c>
      <c r="L1338" s="374">
        <f t="shared" si="52"/>
        <v>577.79999999999995</v>
      </c>
      <c r="M1338" s="329"/>
      <c r="N1338" s="690"/>
      <c r="O1338" s="690"/>
      <c r="P1338" s="288"/>
      <c r="Q1338" s="553"/>
      <c r="R1338" s="525"/>
      <c r="S1338" s="729"/>
    </row>
    <row r="1339" spans="1:19" s="385" customFormat="1" ht="30" customHeight="1">
      <c r="A1339" s="331">
        <v>24</v>
      </c>
      <c r="B1339" s="584" t="s">
        <v>708</v>
      </c>
      <c r="C1339" s="579" t="s">
        <v>1041</v>
      </c>
      <c r="D1339" s="502"/>
      <c r="E1339" s="579"/>
      <c r="F1339" s="579"/>
      <c r="G1339" s="502"/>
      <c r="H1339" s="724" t="s">
        <v>2090</v>
      </c>
      <c r="I1339" s="728">
        <v>15</v>
      </c>
      <c r="J1339" s="721">
        <v>963</v>
      </c>
      <c r="K1339" s="374">
        <f t="shared" si="54"/>
        <v>0</v>
      </c>
      <c r="L1339" s="374">
        <f t="shared" si="52"/>
        <v>963</v>
      </c>
      <c r="M1339" s="329"/>
      <c r="N1339" s="690"/>
      <c r="O1339" s="690"/>
      <c r="P1339" s="288"/>
      <c r="Q1339" s="553"/>
      <c r="R1339" s="525"/>
      <c r="S1339" s="729"/>
    </row>
    <row r="1340" spans="1:19" s="385" customFormat="1" ht="30" customHeight="1">
      <c r="A1340" s="331">
        <v>25</v>
      </c>
      <c r="B1340" s="584" t="s">
        <v>1807</v>
      </c>
      <c r="C1340" s="579" t="s">
        <v>1813</v>
      </c>
      <c r="D1340" s="502"/>
      <c r="E1340" s="579"/>
      <c r="F1340" s="579"/>
      <c r="G1340" s="502"/>
      <c r="H1340" s="724" t="s">
        <v>2737</v>
      </c>
      <c r="I1340" s="728">
        <v>8</v>
      </c>
      <c r="J1340" s="721">
        <v>513.6</v>
      </c>
      <c r="K1340" s="374">
        <f t="shared" si="54"/>
        <v>0</v>
      </c>
      <c r="L1340" s="374">
        <f t="shared" si="52"/>
        <v>513.6</v>
      </c>
      <c r="M1340" s="329"/>
      <c r="N1340" s="690"/>
      <c r="O1340" s="690"/>
      <c r="P1340" s="288"/>
      <c r="Q1340" s="553"/>
      <c r="R1340" s="525"/>
      <c r="S1340" s="729"/>
    </row>
    <row r="1341" spans="1:19" s="385" customFormat="1" ht="30" customHeight="1">
      <c r="A1341" s="331">
        <v>26</v>
      </c>
      <c r="B1341" s="584" t="s">
        <v>2738</v>
      </c>
      <c r="C1341" s="579" t="s">
        <v>2273</v>
      </c>
      <c r="D1341" s="502"/>
      <c r="E1341" s="579"/>
      <c r="F1341" s="579"/>
      <c r="G1341" s="502"/>
      <c r="H1341" s="724" t="s">
        <v>3237</v>
      </c>
      <c r="I1341" s="728">
        <v>4</v>
      </c>
      <c r="J1341" s="721">
        <v>256.8</v>
      </c>
      <c r="K1341" s="374">
        <f t="shared" si="54"/>
        <v>0</v>
      </c>
      <c r="L1341" s="374">
        <f t="shared" si="52"/>
        <v>256.8</v>
      </c>
      <c r="M1341" s="329"/>
      <c r="N1341" s="690"/>
      <c r="O1341" s="690"/>
      <c r="P1341" s="288"/>
      <c r="Q1341" s="553"/>
      <c r="R1341" s="525"/>
      <c r="S1341" s="729"/>
    </row>
    <row r="1342" spans="1:19" s="385" customFormat="1" ht="30" customHeight="1">
      <c r="A1342" s="331">
        <v>27</v>
      </c>
      <c r="B1342" s="584" t="s">
        <v>727</v>
      </c>
      <c r="C1342" s="579" t="s">
        <v>2052</v>
      </c>
      <c r="D1342" s="502"/>
      <c r="E1342" s="579"/>
      <c r="F1342" s="579"/>
      <c r="G1342" s="502"/>
      <c r="H1342" s="724" t="s">
        <v>2739</v>
      </c>
      <c r="I1342" s="728">
        <v>3</v>
      </c>
      <c r="J1342" s="721">
        <v>192.6</v>
      </c>
      <c r="K1342" s="374">
        <f t="shared" si="54"/>
        <v>0</v>
      </c>
      <c r="L1342" s="374">
        <f t="shared" si="52"/>
        <v>192.6</v>
      </c>
      <c r="M1342" s="329"/>
      <c r="N1342" s="690"/>
      <c r="O1342" s="690"/>
      <c r="P1342" s="288"/>
      <c r="Q1342" s="553"/>
      <c r="R1342" s="525"/>
      <c r="S1342" s="729"/>
    </row>
    <row r="1343" spans="1:19" s="385" customFormat="1" ht="30" customHeight="1">
      <c r="A1343" s="331">
        <v>28</v>
      </c>
      <c r="B1343" s="584" t="s">
        <v>2617</v>
      </c>
      <c r="C1343" s="579" t="s">
        <v>2621</v>
      </c>
      <c r="D1343" s="502"/>
      <c r="E1343" s="579"/>
      <c r="F1343" s="579"/>
      <c r="G1343" s="502"/>
      <c r="H1343" s="724" t="s">
        <v>2718</v>
      </c>
      <c r="I1343" s="728">
        <v>4</v>
      </c>
      <c r="J1343" s="721">
        <v>256.8</v>
      </c>
      <c r="K1343" s="374">
        <f t="shared" si="54"/>
        <v>0</v>
      </c>
      <c r="L1343" s="374">
        <f t="shared" si="52"/>
        <v>256.8</v>
      </c>
      <c r="M1343" s="329"/>
      <c r="N1343" s="690"/>
      <c r="O1343" s="690"/>
      <c r="P1343" s="288"/>
      <c r="Q1343" s="553"/>
      <c r="R1343" s="525"/>
      <c r="S1343" s="729"/>
    </row>
    <row r="1344" spans="1:19" s="385" customFormat="1" ht="30" customHeight="1">
      <c r="A1344" s="331">
        <v>29</v>
      </c>
      <c r="B1344" s="584" t="s">
        <v>2736</v>
      </c>
      <c r="C1344" s="579" t="s">
        <v>2274</v>
      </c>
      <c r="D1344" s="502"/>
      <c r="E1344" s="579"/>
      <c r="F1344" s="579"/>
      <c r="G1344" s="502"/>
      <c r="H1344" s="724" t="s">
        <v>2249</v>
      </c>
      <c r="I1344" s="728">
        <v>3</v>
      </c>
      <c r="J1344" s="721">
        <v>192.6</v>
      </c>
      <c r="K1344" s="374">
        <f t="shared" si="54"/>
        <v>0</v>
      </c>
      <c r="L1344" s="374">
        <f t="shared" si="52"/>
        <v>192.6</v>
      </c>
      <c r="M1344" s="329"/>
      <c r="N1344" s="690"/>
      <c r="O1344" s="690"/>
      <c r="P1344" s="288"/>
      <c r="Q1344" s="553"/>
      <c r="R1344" s="525"/>
      <c r="S1344" s="729"/>
    </row>
    <row r="1345" spans="1:19" s="385" customFormat="1" ht="30" customHeight="1" thickBot="1">
      <c r="A1345" s="331"/>
      <c r="B1345" s="584"/>
      <c r="C1345" s="579"/>
      <c r="D1345" s="502"/>
      <c r="E1345" s="579"/>
      <c r="F1345" s="579"/>
      <c r="G1345" s="502"/>
      <c r="H1345" s="724"/>
      <c r="I1345" s="728"/>
      <c r="J1345" s="721"/>
      <c r="K1345" s="374">
        <f t="shared" si="54"/>
        <v>0</v>
      </c>
      <c r="L1345" s="374">
        <f t="shared" si="52"/>
        <v>0</v>
      </c>
      <c r="M1345" s="329"/>
      <c r="N1345" s="690"/>
      <c r="O1345" s="690"/>
      <c r="P1345" s="288"/>
      <c r="Q1345" s="553"/>
      <c r="R1345" s="525"/>
      <c r="S1345" s="729"/>
    </row>
    <row r="1346" spans="1:19" s="455" customFormat="1" ht="27.75" customHeight="1" thickTop="1" thickBot="1">
      <c r="A1346" s="450"/>
      <c r="B1346" s="730"/>
      <c r="C1346" s="444"/>
      <c r="D1346" s="576"/>
      <c r="E1346" s="453"/>
      <c r="F1346" s="458"/>
      <c r="G1346" s="499"/>
      <c r="H1346" s="622"/>
      <c r="I1346" s="450"/>
      <c r="J1346" s="446"/>
      <c r="K1346" s="374">
        <f t="shared" si="54"/>
        <v>0</v>
      </c>
      <c r="L1346" s="446"/>
      <c r="M1346" s="551"/>
      <c r="N1346" s="708">
        <f>SUM(G969:G1346)</f>
        <v>963.00000000000045</v>
      </c>
      <c r="O1346" s="708">
        <f>SUM(J969:J1346)</f>
        <v>211025.19999999995</v>
      </c>
      <c r="P1346" s="452">
        <f>SUM(N1346:O1346)</f>
        <v>211988.19999999995</v>
      </c>
      <c r="Q1346" s="481">
        <f>SUM(D969:D1345)</f>
        <v>64.2</v>
      </c>
      <c r="R1346" s="552" t="s">
        <v>2961</v>
      </c>
      <c r="S1346" s="655"/>
    </row>
    <row r="1347" spans="1:19" s="385" customFormat="1" ht="27.75" customHeight="1" thickTop="1">
      <c r="A1347" s="379"/>
      <c r="B1347" s="695" t="s">
        <v>36</v>
      </c>
      <c r="C1347" s="506"/>
      <c r="D1347" s="502"/>
      <c r="E1347" s="475"/>
      <c r="F1347" s="579"/>
      <c r="G1347" s="386"/>
      <c r="H1347" s="383"/>
      <c r="I1347" s="379"/>
      <c r="J1347" s="374"/>
      <c r="K1347" s="374">
        <f t="shared" si="54"/>
        <v>0</v>
      </c>
      <c r="L1347" s="374">
        <f t="shared" ref="L1347:L1357" si="55">+J1347</f>
        <v>0</v>
      </c>
      <c r="M1347" s="329"/>
      <c r="N1347" s="690"/>
      <c r="O1347" s="690"/>
      <c r="P1347" s="288"/>
      <c r="Q1347" s="288"/>
    </row>
    <row r="1348" spans="1:19" s="385" customFormat="1" ht="27.75" customHeight="1">
      <c r="A1348" s="379"/>
      <c r="B1348" s="364"/>
      <c r="C1348" s="362"/>
      <c r="D1348" s="731"/>
      <c r="E1348" s="722"/>
      <c r="F1348" s="727"/>
      <c r="G1348" s="721"/>
      <c r="H1348" s="383"/>
      <c r="I1348" s="379"/>
      <c r="J1348" s="374"/>
      <c r="K1348" s="374"/>
      <c r="L1348" s="374"/>
      <c r="M1348" s="329"/>
      <c r="N1348" s="690"/>
      <c r="O1348" s="690"/>
      <c r="P1348" s="288"/>
      <c r="Q1348" s="288"/>
    </row>
    <row r="1349" spans="1:19" s="385" customFormat="1" ht="27.75" customHeight="1">
      <c r="A1349" s="379"/>
      <c r="B1349" s="364" t="s">
        <v>1003</v>
      </c>
      <c r="C1349" s="362"/>
      <c r="D1349" s="731"/>
      <c r="E1349" s="722"/>
      <c r="F1349" s="727"/>
      <c r="G1349" s="721"/>
      <c r="H1349" s="383"/>
      <c r="I1349" s="379"/>
      <c r="J1349" s="374"/>
      <c r="K1349" s="374">
        <f t="shared" si="54"/>
        <v>0</v>
      </c>
      <c r="L1349" s="374">
        <f t="shared" si="55"/>
        <v>0</v>
      </c>
      <c r="M1349" s="329"/>
      <c r="N1349" s="690"/>
      <c r="O1349" s="690"/>
      <c r="P1349" s="288"/>
      <c r="Q1349" s="288"/>
    </row>
    <row r="1350" spans="1:19" s="385" customFormat="1" ht="27.75" customHeight="1">
      <c r="A1350" s="379">
        <v>1</v>
      </c>
      <c r="B1350" s="364" t="s">
        <v>734</v>
      </c>
      <c r="C1350" s="362" t="s">
        <v>1191</v>
      </c>
      <c r="D1350" s="731"/>
      <c r="E1350" s="722"/>
      <c r="F1350" s="727"/>
      <c r="G1350" s="721"/>
      <c r="H1350" s="383" t="s">
        <v>2783</v>
      </c>
      <c r="I1350" s="379">
        <v>28</v>
      </c>
      <c r="J1350" s="374">
        <v>40469.620000000003</v>
      </c>
      <c r="K1350" s="374">
        <f t="shared" si="54"/>
        <v>0</v>
      </c>
      <c r="L1350" s="374">
        <f t="shared" si="55"/>
        <v>40469.620000000003</v>
      </c>
      <c r="M1350" s="329"/>
      <c r="N1350" s="690"/>
      <c r="O1350" s="690"/>
      <c r="P1350" s="288"/>
      <c r="Q1350" s="288"/>
    </row>
    <row r="1351" spans="1:19" s="436" customFormat="1" ht="27.75" customHeight="1">
      <c r="A1351" s="425"/>
      <c r="B1351" s="427"/>
      <c r="C1351" s="430"/>
      <c r="D1351" s="732"/>
      <c r="E1351" s="733"/>
      <c r="F1351" s="734"/>
      <c r="G1351" s="735"/>
      <c r="H1351" s="486"/>
      <c r="I1351" s="425"/>
      <c r="J1351" s="428"/>
      <c r="K1351" s="374">
        <f t="shared" si="54"/>
        <v>0</v>
      </c>
      <c r="L1351" s="428">
        <f t="shared" si="55"/>
        <v>0</v>
      </c>
      <c r="M1351" s="736"/>
      <c r="N1351" s="737"/>
      <c r="O1351" s="737"/>
      <c r="P1351" s="433"/>
      <c r="Q1351" s="433"/>
    </row>
    <row r="1352" spans="1:19" s="455" customFormat="1" ht="27.75" customHeight="1">
      <c r="A1352" s="450"/>
      <c r="B1352" s="730"/>
      <c r="C1352" s="444"/>
      <c r="D1352" s="576"/>
      <c r="E1352" s="453"/>
      <c r="F1352" s="458"/>
      <c r="G1352" s="499"/>
      <c r="H1352" s="622"/>
      <c r="I1352" s="450"/>
      <c r="J1352" s="446"/>
      <c r="K1352" s="374">
        <f t="shared" si="54"/>
        <v>0</v>
      </c>
      <c r="L1352" s="446">
        <f t="shared" si="55"/>
        <v>0</v>
      </c>
      <c r="M1352" s="551"/>
      <c r="N1352" s="708">
        <f>SUM(G1348:G1352)</f>
        <v>0</v>
      </c>
      <c r="O1352" s="708">
        <f>SUM(J1348:J1352)</f>
        <v>40469.620000000003</v>
      </c>
      <c r="P1352" s="452">
        <f>SUM(N1352:O1352)</f>
        <v>40469.620000000003</v>
      </c>
      <c r="Q1352" s="452">
        <f>SUM(D1347:D1352)</f>
        <v>0</v>
      </c>
      <c r="R1352" s="455" t="s">
        <v>372</v>
      </c>
    </row>
    <row r="1353" spans="1:19" s="385" customFormat="1" ht="27.75" customHeight="1">
      <c r="A1353" s="379"/>
      <c r="B1353" s="695" t="s">
        <v>88</v>
      </c>
      <c r="C1353" s="506"/>
      <c r="D1353" s="502"/>
      <c r="E1353" s="475"/>
      <c r="F1353" s="579"/>
      <c r="G1353" s="386"/>
      <c r="H1353" s="383"/>
      <c r="I1353" s="379"/>
      <c r="J1353" s="374"/>
      <c r="K1353" s="374">
        <f t="shared" si="54"/>
        <v>0</v>
      </c>
      <c r="L1353" s="374">
        <f t="shared" si="55"/>
        <v>0</v>
      </c>
      <c r="M1353" s="329"/>
      <c r="N1353" s="690"/>
      <c r="O1353" s="690"/>
      <c r="P1353" s="288"/>
      <c r="Q1353" s="288"/>
    </row>
    <row r="1354" spans="1:19" s="385" customFormat="1" ht="27.75" customHeight="1">
      <c r="A1354" s="379"/>
      <c r="B1354" s="695"/>
      <c r="C1354" s="506"/>
      <c r="D1354" s="502"/>
      <c r="E1354" s="475"/>
      <c r="F1354" s="579"/>
      <c r="G1354" s="386"/>
      <c r="H1354" s="383"/>
      <c r="I1354" s="379"/>
      <c r="J1354" s="374"/>
      <c r="K1354" s="374">
        <f t="shared" si="54"/>
        <v>0</v>
      </c>
      <c r="L1354" s="374">
        <f t="shared" si="55"/>
        <v>0</v>
      </c>
      <c r="M1354" s="329"/>
      <c r="N1354" s="690"/>
      <c r="O1354" s="690"/>
      <c r="P1354" s="288"/>
      <c r="Q1354" s="288"/>
    </row>
    <row r="1355" spans="1:19" s="385" customFormat="1" ht="27.75" customHeight="1">
      <c r="A1355" s="379"/>
      <c r="B1355" s="695"/>
      <c r="C1355" s="506"/>
      <c r="D1355" s="502"/>
      <c r="E1355" s="475"/>
      <c r="F1355" s="579"/>
      <c r="G1355" s="386"/>
      <c r="H1355" s="383"/>
      <c r="I1355" s="379"/>
      <c r="J1355" s="374"/>
      <c r="K1355" s="374">
        <f t="shared" si="54"/>
        <v>0</v>
      </c>
      <c r="L1355" s="374">
        <f t="shared" si="55"/>
        <v>0</v>
      </c>
      <c r="M1355" s="329"/>
      <c r="N1355" s="690"/>
      <c r="O1355" s="690"/>
      <c r="P1355" s="288"/>
      <c r="Q1355" s="288"/>
    </row>
    <row r="1356" spans="1:19" s="385" customFormat="1" ht="27.75" customHeight="1">
      <c r="A1356" s="379"/>
      <c r="B1356" s="695"/>
      <c r="C1356" s="506"/>
      <c r="D1356" s="502"/>
      <c r="E1356" s="475"/>
      <c r="F1356" s="579"/>
      <c r="G1356" s="386"/>
      <c r="H1356" s="383"/>
      <c r="I1356" s="379"/>
      <c r="J1356" s="374"/>
      <c r="K1356" s="374">
        <f t="shared" si="54"/>
        <v>0</v>
      </c>
      <c r="L1356" s="374">
        <f t="shared" si="55"/>
        <v>0</v>
      </c>
      <c r="M1356" s="329"/>
      <c r="N1356" s="690"/>
      <c r="O1356" s="690"/>
      <c r="P1356" s="288"/>
      <c r="Q1356" s="288"/>
    </row>
    <row r="1357" spans="1:19" s="455" customFormat="1" ht="27.75" customHeight="1">
      <c r="A1357" s="450"/>
      <c r="B1357" s="730"/>
      <c r="C1357" s="444"/>
      <c r="D1357" s="576"/>
      <c r="E1357" s="453"/>
      <c r="F1357" s="458"/>
      <c r="G1357" s="499"/>
      <c r="H1357" s="622"/>
      <c r="I1357" s="450"/>
      <c r="J1357" s="446"/>
      <c r="K1357" s="374">
        <f t="shared" si="54"/>
        <v>0</v>
      </c>
      <c r="L1357" s="446">
        <f t="shared" si="55"/>
        <v>0</v>
      </c>
      <c r="M1357" s="551"/>
      <c r="N1357" s="708">
        <f>SUM(G1354:G1357)</f>
        <v>0</v>
      </c>
      <c r="O1357" s="708">
        <f>SUM(J1354:J1357)</f>
        <v>0</v>
      </c>
      <c r="P1357" s="452">
        <f>SUM(N1357:O1357)</f>
        <v>0</v>
      </c>
      <c r="Q1357" s="452">
        <f>SUM(D1354:D1357)</f>
        <v>0</v>
      </c>
      <c r="R1357" s="455" t="s">
        <v>477</v>
      </c>
    </row>
    <row r="1358" spans="1:19" s="385" customFormat="1" ht="27.75" customHeight="1">
      <c r="A1358" s="379"/>
      <c r="B1358" s="695" t="s">
        <v>464</v>
      </c>
      <c r="C1358" s="506"/>
      <c r="D1358" s="502"/>
      <c r="E1358" s="475"/>
      <c r="F1358" s="579"/>
      <c r="G1358" s="386"/>
      <c r="H1358" s="383"/>
      <c r="I1358" s="379"/>
      <c r="J1358" s="374"/>
      <c r="K1358" s="374">
        <f t="shared" si="54"/>
        <v>0</v>
      </c>
      <c r="L1358" s="374"/>
      <c r="M1358" s="329"/>
      <c r="N1358" s="690"/>
      <c r="O1358" s="690"/>
      <c r="P1358" s="288"/>
      <c r="Q1358" s="288"/>
    </row>
    <row r="1359" spans="1:19" s="385" customFormat="1" ht="27.75" customHeight="1">
      <c r="A1359" s="379">
        <v>1</v>
      </c>
      <c r="B1359" s="695" t="s">
        <v>1141</v>
      </c>
      <c r="C1359" s="364" t="s">
        <v>1439</v>
      </c>
      <c r="D1359" s="409">
        <v>657</v>
      </c>
      <c r="E1359" s="738"/>
      <c r="F1359" s="727"/>
      <c r="G1359" s="721"/>
      <c r="H1359" s="383"/>
      <c r="I1359" s="379"/>
      <c r="J1359" s="374"/>
      <c r="K1359" s="374">
        <f t="shared" si="54"/>
        <v>0</v>
      </c>
      <c r="L1359" s="374">
        <f>+J1359</f>
        <v>0</v>
      </c>
      <c r="M1359" s="329"/>
      <c r="N1359" s="690"/>
      <c r="O1359" s="739"/>
      <c r="P1359" s="288"/>
      <c r="Q1359" s="288"/>
    </row>
    <row r="1360" spans="1:19" s="385" customFormat="1" ht="27.75" customHeight="1">
      <c r="A1360" s="379">
        <v>2</v>
      </c>
      <c r="B1360" s="695" t="s">
        <v>1393</v>
      </c>
      <c r="C1360" s="364" t="s">
        <v>1440</v>
      </c>
      <c r="D1360" s="409">
        <v>657</v>
      </c>
      <c r="E1360" s="738"/>
      <c r="F1360" s="727"/>
      <c r="G1360" s="721"/>
      <c r="H1360" s="383"/>
      <c r="I1360" s="379"/>
      <c r="J1360" s="374"/>
      <c r="K1360" s="374">
        <f t="shared" si="54"/>
        <v>0</v>
      </c>
      <c r="L1360" s="374">
        <f t="shared" ref="L1360:L1399" si="56">+J1360</f>
        <v>0</v>
      </c>
      <c r="M1360" s="329"/>
      <c r="N1360" s="690"/>
      <c r="O1360" s="740"/>
      <c r="P1360" s="288"/>
      <c r="Q1360" s="288"/>
    </row>
    <row r="1361" spans="1:19" s="385" customFormat="1" ht="27.75" customHeight="1">
      <c r="A1361" s="379"/>
      <c r="B1361" s="695"/>
      <c r="C1361" s="364"/>
      <c r="D1361" s="409"/>
      <c r="E1361" s="738"/>
      <c r="F1361" s="727"/>
      <c r="G1361" s="721"/>
      <c r="H1361" s="383"/>
      <c r="I1361" s="379"/>
      <c r="J1361" s="374"/>
      <c r="K1361" s="374">
        <f t="shared" si="54"/>
        <v>0</v>
      </c>
      <c r="L1361" s="374">
        <f t="shared" si="56"/>
        <v>0</v>
      </c>
      <c r="M1361" s="329"/>
      <c r="N1361" s="690"/>
      <c r="O1361" s="740"/>
      <c r="P1361" s="288"/>
      <c r="Q1361" s="288"/>
    </row>
    <row r="1362" spans="1:19" s="385" customFormat="1" ht="27.75" customHeight="1">
      <c r="A1362" s="379"/>
      <c r="B1362" s="695"/>
      <c r="C1362" s="364"/>
      <c r="D1362" s="409"/>
      <c r="E1362" s="738"/>
      <c r="F1362" s="727"/>
      <c r="G1362" s="721"/>
      <c r="H1362" s="383"/>
      <c r="I1362" s="379"/>
      <c r="J1362" s="374"/>
      <c r="K1362" s="374">
        <f t="shared" si="54"/>
        <v>0</v>
      </c>
      <c r="L1362" s="374">
        <f t="shared" si="56"/>
        <v>0</v>
      </c>
      <c r="M1362" s="329"/>
      <c r="N1362" s="690"/>
      <c r="O1362" s="741"/>
      <c r="P1362" s="288"/>
      <c r="Q1362" s="288"/>
    </row>
    <row r="1363" spans="1:19" s="385" customFormat="1" ht="27.75" customHeight="1">
      <c r="A1363" s="379"/>
      <c r="B1363" s="695" t="s">
        <v>1003</v>
      </c>
      <c r="C1363" s="364"/>
      <c r="D1363" s="409"/>
      <c r="E1363" s="738"/>
      <c r="F1363" s="727"/>
      <c r="G1363" s="721"/>
      <c r="H1363" s="383"/>
      <c r="I1363" s="379"/>
      <c r="J1363" s="374"/>
      <c r="K1363" s="374">
        <f t="shared" si="54"/>
        <v>0</v>
      </c>
      <c r="L1363" s="374">
        <f t="shared" si="56"/>
        <v>0</v>
      </c>
      <c r="M1363" s="329"/>
      <c r="N1363" s="690"/>
      <c r="O1363" s="741"/>
      <c r="P1363" s="288"/>
      <c r="Q1363" s="288"/>
    </row>
    <row r="1364" spans="1:19" s="385" customFormat="1" ht="27.75" customHeight="1">
      <c r="A1364" s="379">
        <v>1</v>
      </c>
      <c r="B1364" s="702" t="s">
        <v>646</v>
      </c>
      <c r="C1364" s="368" t="s">
        <v>840</v>
      </c>
      <c r="D1364" s="365"/>
      <c r="E1364" s="742"/>
      <c r="F1364" s="728"/>
      <c r="G1364" s="721"/>
      <c r="H1364" s="383" t="s">
        <v>1044</v>
      </c>
      <c r="I1364" s="379" t="s">
        <v>629</v>
      </c>
      <c r="J1364" s="374">
        <v>1971</v>
      </c>
      <c r="K1364" s="374">
        <f t="shared" si="54"/>
        <v>0</v>
      </c>
      <c r="L1364" s="374">
        <f t="shared" si="56"/>
        <v>1971</v>
      </c>
      <c r="M1364" s="329"/>
      <c r="N1364" s="690"/>
      <c r="O1364" s="741"/>
      <c r="P1364" s="288"/>
      <c r="Q1364" s="288"/>
    </row>
    <row r="1365" spans="1:19" s="385" customFormat="1" ht="27.75" customHeight="1">
      <c r="A1365" s="379">
        <v>2</v>
      </c>
      <c r="B1365" s="702" t="s">
        <v>757</v>
      </c>
      <c r="C1365" s="368" t="s">
        <v>841</v>
      </c>
      <c r="D1365" s="365"/>
      <c r="E1365" s="742"/>
      <c r="F1365" s="728"/>
      <c r="G1365" s="721"/>
      <c r="H1365" s="383" t="s">
        <v>1046</v>
      </c>
      <c r="I1365" s="379" t="s">
        <v>629</v>
      </c>
      <c r="J1365" s="374">
        <v>1314</v>
      </c>
      <c r="K1365" s="374">
        <f t="shared" si="54"/>
        <v>0</v>
      </c>
      <c r="L1365" s="374">
        <f t="shared" si="56"/>
        <v>1314</v>
      </c>
      <c r="M1365" s="329"/>
      <c r="N1365" s="690"/>
      <c r="O1365" s="741"/>
      <c r="P1365" s="288"/>
      <c r="Q1365" s="288"/>
    </row>
    <row r="1366" spans="1:19" s="385" customFormat="1" ht="27.75" customHeight="1">
      <c r="A1366" s="379">
        <v>3</v>
      </c>
      <c r="B1366" s="702" t="s">
        <v>1013</v>
      </c>
      <c r="C1366" s="368" t="s">
        <v>1047</v>
      </c>
      <c r="D1366" s="365"/>
      <c r="E1366" s="742"/>
      <c r="F1366" s="728"/>
      <c r="G1366" s="721"/>
      <c r="H1366" s="383" t="s">
        <v>1045</v>
      </c>
      <c r="I1366" s="379" t="s">
        <v>629</v>
      </c>
      <c r="J1366" s="374">
        <v>657</v>
      </c>
      <c r="K1366" s="374">
        <f t="shared" si="54"/>
        <v>0</v>
      </c>
      <c r="L1366" s="374">
        <f t="shared" si="56"/>
        <v>657</v>
      </c>
      <c r="M1366" s="329"/>
      <c r="N1366" s="690"/>
      <c r="O1366" s="741"/>
      <c r="P1366" s="288"/>
      <c r="Q1366" s="288"/>
    </row>
    <row r="1367" spans="1:19" s="385" customFormat="1" ht="27.75" customHeight="1">
      <c r="A1367" s="379">
        <v>4</v>
      </c>
      <c r="B1367" s="702" t="s">
        <v>1755</v>
      </c>
      <c r="C1367" s="368" t="s">
        <v>1759</v>
      </c>
      <c r="D1367" s="365"/>
      <c r="E1367" s="742"/>
      <c r="F1367" s="728"/>
      <c r="G1367" s="721"/>
      <c r="H1367" s="383" t="s">
        <v>1046</v>
      </c>
      <c r="I1367" s="379"/>
      <c r="J1367" s="374">
        <v>1314</v>
      </c>
      <c r="K1367" s="374">
        <f t="shared" si="54"/>
        <v>0</v>
      </c>
      <c r="L1367" s="374">
        <f t="shared" si="56"/>
        <v>1314</v>
      </c>
      <c r="M1367" s="329"/>
      <c r="N1367" s="690"/>
      <c r="O1367" s="741"/>
      <c r="P1367" s="288"/>
      <c r="Q1367" s="288"/>
    </row>
    <row r="1368" spans="1:19" s="385" customFormat="1" ht="27.75" customHeight="1">
      <c r="A1368" s="379">
        <v>5</v>
      </c>
      <c r="B1368" s="702" t="s">
        <v>364</v>
      </c>
      <c r="C1368" s="368" t="s">
        <v>842</v>
      </c>
      <c r="D1368" s="365"/>
      <c r="E1368" s="742"/>
      <c r="F1368" s="728"/>
      <c r="G1368" s="721"/>
      <c r="H1368" s="383" t="s">
        <v>1046</v>
      </c>
      <c r="I1368" s="379" t="s">
        <v>629</v>
      </c>
      <c r="J1368" s="374">
        <v>1314</v>
      </c>
      <c r="K1368" s="374">
        <f t="shared" si="54"/>
        <v>0</v>
      </c>
      <c r="L1368" s="374">
        <f t="shared" si="56"/>
        <v>1314</v>
      </c>
      <c r="M1368" s="329"/>
      <c r="N1368" s="690"/>
      <c r="O1368" s="741"/>
      <c r="P1368" s="288"/>
      <c r="Q1368" s="288"/>
    </row>
    <row r="1369" spans="1:19" s="385" customFormat="1" ht="27.75" customHeight="1">
      <c r="A1369" s="379">
        <v>6</v>
      </c>
      <c r="B1369" s="702" t="s">
        <v>735</v>
      </c>
      <c r="C1369" s="368" t="s">
        <v>843</v>
      </c>
      <c r="D1369" s="365"/>
      <c r="E1369" s="742"/>
      <c r="F1369" s="728"/>
      <c r="G1369" s="721"/>
      <c r="H1369" s="383" t="s">
        <v>1044</v>
      </c>
      <c r="I1369" s="379" t="s">
        <v>629</v>
      </c>
      <c r="J1369" s="374">
        <v>1971</v>
      </c>
      <c r="K1369" s="374">
        <f t="shared" si="54"/>
        <v>0</v>
      </c>
      <c r="L1369" s="374">
        <f t="shared" si="56"/>
        <v>1971</v>
      </c>
      <c r="M1369" s="329"/>
      <c r="N1369" s="690"/>
      <c r="O1369" s="741"/>
      <c r="P1369" s="288"/>
      <c r="Q1369" s="288"/>
    </row>
    <row r="1370" spans="1:19" s="385" customFormat="1" ht="27.75" customHeight="1">
      <c r="A1370" s="379">
        <v>7</v>
      </c>
      <c r="B1370" s="702" t="s">
        <v>1022</v>
      </c>
      <c r="C1370" s="368" t="s">
        <v>1049</v>
      </c>
      <c r="D1370" s="365"/>
      <c r="E1370" s="742"/>
      <c r="F1370" s="728"/>
      <c r="G1370" s="721"/>
      <c r="H1370" s="383" t="s">
        <v>1045</v>
      </c>
      <c r="I1370" s="379" t="s">
        <v>629</v>
      </c>
      <c r="J1370" s="374">
        <v>657</v>
      </c>
      <c r="K1370" s="374">
        <f t="shared" si="54"/>
        <v>0</v>
      </c>
      <c r="L1370" s="374">
        <f t="shared" si="56"/>
        <v>657</v>
      </c>
      <c r="M1370" s="329"/>
      <c r="N1370" s="690"/>
      <c r="O1370" s="741"/>
      <c r="P1370" s="288"/>
      <c r="Q1370" s="288"/>
    </row>
    <row r="1371" spans="1:19" s="385" customFormat="1" ht="27.75" customHeight="1">
      <c r="A1371" s="379">
        <v>8</v>
      </c>
      <c r="B1371" s="702" t="s">
        <v>690</v>
      </c>
      <c r="C1371" s="368" t="s">
        <v>1050</v>
      </c>
      <c r="D1371" s="365"/>
      <c r="E1371" s="742"/>
      <c r="F1371" s="728"/>
      <c r="G1371" s="721"/>
      <c r="H1371" s="383" t="s">
        <v>1045</v>
      </c>
      <c r="I1371" s="379" t="s">
        <v>629</v>
      </c>
      <c r="J1371" s="374">
        <v>657</v>
      </c>
      <c r="K1371" s="374">
        <f t="shared" si="54"/>
        <v>0</v>
      </c>
      <c r="L1371" s="374">
        <f t="shared" si="56"/>
        <v>657</v>
      </c>
      <c r="M1371" s="329"/>
      <c r="N1371" s="690"/>
      <c r="O1371" s="741"/>
      <c r="P1371" s="288"/>
      <c r="Q1371" s="288"/>
    </row>
    <row r="1372" spans="1:19" s="385" customFormat="1" ht="27.75" customHeight="1">
      <c r="A1372" s="379">
        <v>9</v>
      </c>
      <c r="B1372" s="702" t="s">
        <v>360</v>
      </c>
      <c r="C1372" s="368" t="s">
        <v>999</v>
      </c>
      <c r="D1372" s="365"/>
      <c r="E1372" s="742"/>
      <c r="F1372" s="728"/>
      <c r="G1372" s="721"/>
      <c r="H1372" s="383" t="s">
        <v>1438</v>
      </c>
      <c r="I1372" s="379" t="s">
        <v>629</v>
      </c>
      <c r="J1372" s="374">
        <v>1971</v>
      </c>
      <c r="K1372" s="374">
        <f t="shared" si="54"/>
        <v>0</v>
      </c>
      <c r="L1372" s="374">
        <f t="shared" si="56"/>
        <v>1971</v>
      </c>
      <c r="M1372" s="329"/>
      <c r="N1372" s="690"/>
      <c r="O1372" s="741"/>
      <c r="P1372" s="288"/>
      <c r="Q1372" s="288"/>
    </row>
    <row r="1373" spans="1:19" s="385" customFormat="1" ht="27.75" customHeight="1">
      <c r="A1373" s="379">
        <v>10</v>
      </c>
      <c r="B1373" s="702" t="s">
        <v>856</v>
      </c>
      <c r="C1373" s="368" t="s">
        <v>1051</v>
      </c>
      <c r="D1373" s="365"/>
      <c r="E1373" s="742"/>
      <c r="F1373" s="728"/>
      <c r="G1373" s="721"/>
      <c r="H1373" s="383" t="s">
        <v>1045</v>
      </c>
      <c r="I1373" s="379" t="s">
        <v>629</v>
      </c>
      <c r="J1373" s="374">
        <v>657</v>
      </c>
      <c r="K1373" s="374">
        <f t="shared" si="54"/>
        <v>0</v>
      </c>
      <c r="L1373" s="374">
        <f t="shared" si="56"/>
        <v>657</v>
      </c>
      <c r="M1373" s="329"/>
      <c r="N1373" s="690"/>
      <c r="O1373" s="690"/>
      <c r="P1373" s="288"/>
      <c r="Q1373" s="288"/>
    </row>
    <row r="1374" spans="1:19" s="385" customFormat="1" ht="30.6" customHeight="1">
      <c r="A1374" s="379">
        <v>11</v>
      </c>
      <c r="B1374" s="702" t="s">
        <v>1147</v>
      </c>
      <c r="C1374" s="368" t="s">
        <v>1052</v>
      </c>
      <c r="D1374" s="365"/>
      <c r="E1374" s="742"/>
      <c r="F1374" s="728"/>
      <c r="G1374" s="721"/>
      <c r="H1374" s="738" t="s">
        <v>1045</v>
      </c>
      <c r="I1374" s="379" t="s">
        <v>629</v>
      </c>
      <c r="J1374" s="721">
        <v>657</v>
      </c>
      <c r="K1374" s="374">
        <f t="shared" si="54"/>
        <v>0</v>
      </c>
      <c r="L1374" s="374">
        <f t="shared" si="56"/>
        <v>657</v>
      </c>
      <c r="M1374" s="329"/>
      <c r="N1374" s="690"/>
      <c r="O1374" s="690"/>
      <c r="P1374" s="288"/>
      <c r="Q1374" s="288"/>
    </row>
    <row r="1375" spans="1:19" s="385" customFormat="1" ht="30.6" customHeight="1">
      <c r="A1375" s="379">
        <v>12</v>
      </c>
      <c r="B1375" s="702" t="s">
        <v>759</v>
      </c>
      <c r="C1375" s="368" t="s">
        <v>844</v>
      </c>
      <c r="D1375" s="365"/>
      <c r="E1375" s="742"/>
      <c r="F1375" s="728"/>
      <c r="G1375" s="721"/>
      <c r="H1375" s="738" t="s">
        <v>1046</v>
      </c>
      <c r="I1375" s="379" t="s">
        <v>629</v>
      </c>
      <c r="J1375" s="721">
        <v>1314</v>
      </c>
      <c r="K1375" s="374">
        <f t="shared" si="54"/>
        <v>0</v>
      </c>
      <c r="L1375" s="374">
        <f t="shared" si="56"/>
        <v>1314</v>
      </c>
      <c r="M1375" s="329"/>
      <c r="N1375" s="690"/>
      <c r="O1375" s="690"/>
      <c r="P1375" s="288"/>
      <c r="Q1375" s="553"/>
      <c r="R1375" s="525"/>
      <c r="S1375" s="729"/>
    </row>
    <row r="1376" spans="1:19" s="385" customFormat="1" ht="30.6" customHeight="1">
      <c r="A1376" s="379">
        <v>13</v>
      </c>
      <c r="B1376" s="702" t="s">
        <v>1753</v>
      </c>
      <c r="C1376" s="368" t="s">
        <v>1754</v>
      </c>
      <c r="D1376" s="365"/>
      <c r="E1376" s="742"/>
      <c r="F1376" s="728"/>
      <c r="G1376" s="721"/>
      <c r="H1376" s="738" t="s">
        <v>1046</v>
      </c>
      <c r="I1376" s="379" t="s">
        <v>629</v>
      </c>
      <c r="J1376" s="721">
        <v>1314</v>
      </c>
      <c r="K1376" s="374">
        <f t="shared" si="54"/>
        <v>0</v>
      </c>
      <c r="L1376" s="374">
        <f t="shared" si="56"/>
        <v>1314</v>
      </c>
      <c r="M1376" s="329"/>
      <c r="N1376" s="690"/>
      <c r="O1376" s="695"/>
      <c r="P1376" s="288"/>
      <c r="Q1376" s="553"/>
      <c r="R1376" s="525"/>
      <c r="S1376" s="729"/>
    </row>
    <row r="1377" spans="1:19" s="385" customFormat="1" ht="30.6" customHeight="1">
      <c r="A1377" s="379">
        <v>14</v>
      </c>
      <c r="B1377" s="702" t="s">
        <v>704</v>
      </c>
      <c r="C1377" s="368" t="s">
        <v>845</v>
      </c>
      <c r="D1377" s="365"/>
      <c r="E1377" s="742"/>
      <c r="F1377" s="728"/>
      <c r="G1377" s="721"/>
      <c r="H1377" s="738" t="s">
        <v>1438</v>
      </c>
      <c r="I1377" s="379" t="s">
        <v>629</v>
      </c>
      <c r="J1377" s="721">
        <v>1971</v>
      </c>
      <c r="K1377" s="374">
        <f t="shared" si="54"/>
        <v>0</v>
      </c>
      <c r="L1377" s="374">
        <f t="shared" si="56"/>
        <v>1971</v>
      </c>
      <c r="M1377" s="329"/>
      <c r="N1377" s="690"/>
      <c r="O1377" s="690"/>
      <c r="P1377" s="288"/>
      <c r="Q1377" s="553"/>
      <c r="R1377" s="525"/>
      <c r="S1377" s="729"/>
    </row>
    <row r="1378" spans="1:19" s="385" customFormat="1" ht="30.6" customHeight="1">
      <c r="A1378" s="379">
        <v>15</v>
      </c>
      <c r="B1378" s="702" t="s">
        <v>747</v>
      </c>
      <c r="C1378" s="368" t="s">
        <v>846</v>
      </c>
      <c r="D1378" s="365"/>
      <c r="E1378" s="742"/>
      <c r="F1378" s="728"/>
      <c r="G1378" s="721"/>
      <c r="H1378" s="738" t="s">
        <v>1046</v>
      </c>
      <c r="I1378" s="379" t="s">
        <v>629</v>
      </c>
      <c r="J1378" s="721">
        <v>1314</v>
      </c>
      <c r="K1378" s="374">
        <f t="shared" si="54"/>
        <v>0</v>
      </c>
      <c r="L1378" s="374">
        <f t="shared" si="56"/>
        <v>1314</v>
      </c>
      <c r="M1378" s="329"/>
      <c r="N1378" s="690"/>
      <c r="O1378" s="690"/>
      <c r="P1378" s="288"/>
      <c r="Q1378" s="553"/>
      <c r="R1378" s="525"/>
      <c r="S1378" s="729"/>
    </row>
    <row r="1379" spans="1:19" s="385" customFormat="1" ht="30.6" customHeight="1">
      <c r="A1379" s="379">
        <v>16</v>
      </c>
      <c r="B1379" s="702" t="s">
        <v>761</v>
      </c>
      <c r="C1379" s="368" t="s">
        <v>847</v>
      </c>
      <c r="D1379" s="365"/>
      <c r="E1379" s="742"/>
      <c r="F1379" s="728"/>
      <c r="G1379" s="721"/>
      <c r="H1379" s="738" t="s">
        <v>1044</v>
      </c>
      <c r="I1379" s="379" t="s">
        <v>629</v>
      </c>
      <c r="J1379" s="721">
        <v>1971</v>
      </c>
      <c r="K1379" s="374">
        <f t="shared" si="54"/>
        <v>0</v>
      </c>
      <c r="L1379" s="374">
        <f t="shared" si="56"/>
        <v>1971</v>
      </c>
      <c r="M1379" s="329"/>
      <c r="N1379" s="690"/>
      <c r="O1379" s="690"/>
      <c r="P1379" s="288"/>
      <c r="Q1379" s="553"/>
      <c r="R1379" s="525"/>
      <c r="S1379" s="729"/>
    </row>
    <row r="1380" spans="1:19" s="385" customFormat="1" ht="30.6" customHeight="1">
      <c r="A1380" s="379">
        <v>17</v>
      </c>
      <c r="B1380" s="702" t="s">
        <v>806</v>
      </c>
      <c r="C1380" s="368" t="s">
        <v>1055</v>
      </c>
      <c r="D1380" s="365"/>
      <c r="E1380" s="742"/>
      <c r="F1380" s="728"/>
      <c r="G1380" s="721"/>
      <c r="H1380" s="738" t="s">
        <v>1045</v>
      </c>
      <c r="I1380" s="379" t="s">
        <v>629</v>
      </c>
      <c r="J1380" s="721">
        <v>657</v>
      </c>
      <c r="K1380" s="374">
        <f t="shared" si="54"/>
        <v>0</v>
      </c>
      <c r="L1380" s="374">
        <f t="shared" si="56"/>
        <v>657</v>
      </c>
      <c r="M1380" s="329"/>
      <c r="N1380" s="690"/>
      <c r="O1380" s="690"/>
      <c r="P1380" s="288"/>
      <c r="Q1380" s="553"/>
      <c r="R1380" s="525"/>
      <c r="S1380" s="729"/>
    </row>
    <row r="1381" spans="1:19" s="385" customFormat="1" ht="30.6" customHeight="1">
      <c r="A1381" s="379">
        <v>18</v>
      </c>
      <c r="B1381" s="702" t="s">
        <v>724</v>
      </c>
      <c r="C1381" s="368" t="s">
        <v>848</v>
      </c>
      <c r="D1381" s="365"/>
      <c r="E1381" s="742"/>
      <c r="F1381" s="728"/>
      <c r="G1381" s="721"/>
      <c r="H1381" s="738" t="s">
        <v>1046</v>
      </c>
      <c r="I1381" s="379" t="s">
        <v>629</v>
      </c>
      <c r="J1381" s="721">
        <v>1314</v>
      </c>
      <c r="K1381" s="374">
        <f t="shared" si="54"/>
        <v>0</v>
      </c>
      <c r="L1381" s="374">
        <f t="shared" si="56"/>
        <v>1314</v>
      </c>
      <c r="M1381" s="329"/>
      <c r="N1381" s="690"/>
      <c r="O1381" s="690"/>
      <c r="P1381" s="288"/>
      <c r="Q1381" s="553"/>
      <c r="R1381" s="525"/>
      <c r="S1381" s="729"/>
    </row>
    <row r="1382" spans="1:19" s="385" customFormat="1" ht="30.6" customHeight="1">
      <c r="A1382" s="379">
        <v>19</v>
      </c>
      <c r="B1382" s="702" t="s">
        <v>728</v>
      </c>
      <c r="C1382" s="368" t="s">
        <v>849</v>
      </c>
      <c r="D1382" s="365"/>
      <c r="E1382" s="742"/>
      <c r="F1382" s="728"/>
      <c r="G1382" s="721"/>
      <c r="H1382" s="738" t="s">
        <v>1044</v>
      </c>
      <c r="I1382" s="379" t="s">
        <v>629</v>
      </c>
      <c r="J1382" s="721">
        <v>1971</v>
      </c>
      <c r="K1382" s="374">
        <f t="shared" si="54"/>
        <v>0</v>
      </c>
      <c r="L1382" s="374">
        <f t="shared" si="56"/>
        <v>1971</v>
      </c>
      <c r="M1382" s="329"/>
      <c r="N1382" s="690"/>
      <c r="O1382" s="690"/>
      <c r="P1382" s="288"/>
      <c r="Q1382" s="553"/>
      <c r="R1382" s="525"/>
      <c r="S1382" s="729"/>
    </row>
    <row r="1383" spans="1:19" s="385" customFormat="1" ht="30.6" customHeight="1">
      <c r="A1383" s="379">
        <v>20</v>
      </c>
      <c r="B1383" s="702" t="s">
        <v>729</v>
      </c>
      <c r="C1383" s="368" t="s">
        <v>850</v>
      </c>
      <c r="D1383" s="365"/>
      <c r="E1383" s="742"/>
      <c r="F1383" s="728"/>
      <c r="G1383" s="721"/>
      <c r="H1383" s="738" t="s">
        <v>1438</v>
      </c>
      <c r="I1383" s="379" t="s">
        <v>629</v>
      </c>
      <c r="J1383" s="721">
        <v>1971</v>
      </c>
      <c r="K1383" s="374">
        <f t="shared" si="54"/>
        <v>0</v>
      </c>
      <c r="L1383" s="374">
        <f t="shared" si="56"/>
        <v>1971</v>
      </c>
      <c r="M1383" s="329"/>
      <c r="N1383" s="690"/>
      <c r="O1383" s="690"/>
      <c r="P1383" s="288"/>
      <c r="Q1383" s="553"/>
      <c r="R1383" s="525"/>
      <c r="S1383" s="729"/>
    </row>
    <row r="1384" spans="1:19" s="385" customFormat="1" ht="30.6" customHeight="1">
      <c r="A1384" s="379">
        <v>21</v>
      </c>
      <c r="B1384" s="702" t="s">
        <v>730</v>
      </c>
      <c r="C1384" s="368" t="s">
        <v>851</v>
      </c>
      <c r="D1384" s="365"/>
      <c r="E1384" s="742"/>
      <c r="F1384" s="728"/>
      <c r="G1384" s="721"/>
      <c r="H1384" s="738" t="s">
        <v>1046</v>
      </c>
      <c r="I1384" s="379" t="s">
        <v>629</v>
      </c>
      <c r="J1384" s="721">
        <v>1314</v>
      </c>
      <c r="K1384" s="374">
        <f t="shared" si="54"/>
        <v>0</v>
      </c>
      <c r="L1384" s="374">
        <f t="shared" si="56"/>
        <v>1314</v>
      </c>
      <c r="M1384" s="329"/>
      <c r="N1384" s="690"/>
      <c r="O1384" s="690"/>
      <c r="P1384" s="288"/>
      <c r="Q1384" s="553"/>
      <c r="R1384" s="525"/>
      <c r="S1384" s="729"/>
    </row>
    <row r="1385" spans="1:19" s="385" customFormat="1" ht="30.6" customHeight="1">
      <c r="A1385" s="379">
        <v>22</v>
      </c>
      <c r="B1385" s="702" t="s">
        <v>369</v>
      </c>
      <c r="C1385" s="368" t="s">
        <v>852</v>
      </c>
      <c r="D1385" s="365"/>
      <c r="E1385" s="742"/>
      <c r="F1385" s="728"/>
      <c r="G1385" s="721"/>
      <c r="H1385" s="738" t="s">
        <v>1438</v>
      </c>
      <c r="I1385" s="379" t="s">
        <v>629</v>
      </c>
      <c r="J1385" s="721">
        <v>1971</v>
      </c>
      <c r="K1385" s="374">
        <f t="shared" si="54"/>
        <v>0</v>
      </c>
      <c r="L1385" s="374">
        <f t="shared" si="56"/>
        <v>1971</v>
      </c>
      <c r="M1385" s="329"/>
      <c r="N1385" s="690"/>
      <c r="O1385" s="690"/>
      <c r="P1385" s="288"/>
      <c r="Q1385" s="553"/>
      <c r="R1385" s="525"/>
      <c r="S1385" s="729"/>
    </row>
    <row r="1386" spans="1:19" s="385" customFormat="1" ht="30.6" customHeight="1">
      <c r="A1386" s="379"/>
      <c r="B1386" s="702"/>
      <c r="C1386" s="368"/>
      <c r="D1386" s="365"/>
      <c r="E1386" s="742"/>
      <c r="F1386" s="728"/>
      <c r="G1386" s="721"/>
      <c r="H1386" s="738"/>
      <c r="I1386" s="379"/>
      <c r="J1386" s="721"/>
      <c r="K1386" s="374"/>
      <c r="L1386" s="374"/>
      <c r="M1386" s="329"/>
      <c r="N1386" s="690"/>
      <c r="O1386" s="690"/>
      <c r="P1386" s="288"/>
      <c r="Q1386" s="553"/>
      <c r="R1386" s="525"/>
      <c r="S1386" s="729"/>
    </row>
    <row r="1387" spans="1:19" s="385" customFormat="1" ht="30.6" customHeight="1">
      <c r="A1387" s="379"/>
      <c r="B1387" s="695"/>
      <c r="C1387" s="364"/>
      <c r="D1387" s="409"/>
      <c r="E1387" s="738"/>
      <c r="F1387" s="727"/>
      <c r="G1387" s="721"/>
      <c r="H1387" s="738"/>
      <c r="I1387" s="379"/>
      <c r="J1387" s="721"/>
      <c r="K1387" s="374">
        <f t="shared" si="54"/>
        <v>0</v>
      </c>
      <c r="L1387" s="374">
        <f t="shared" si="56"/>
        <v>0</v>
      </c>
      <c r="M1387" s="329"/>
      <c r="N1387" s="690"/>
      <c r="O1387" s="690"/>
      <c r="P1387" s="288"/>
      <c r="Q1387" s="553"/>
      <c r="R1387" s="525"/>
      <c r="S1387" s="729"/>
    </row>
    <row r="1388" spans="1:19" s="385" customFormat="1" ht="30.6" customHeight="1">
      <c r="A1388" s="379"/>
      <c r="B1388" s="695" t="s">
        <v>2735</v>
      </c>
      <c r="C1388" s="364"/>
      <c r="D1388" s="409"/>
      <c r="E1388" s="738"/>
      <c r="F1388" s="727"/>
      <c r="G1388" s="721"/>
      <c r="H1388" s="738"/>
      <c r="I1388" s="379"/>
      <c r="J1388" s="721"/>
      <c r="K1388" s="374">
        <f t="shared" si="54"/>
        <v>0</v>
      </c>
      <c r="L1388" s="374">
        <f t="shared" si="56"/>
        <v>0</v>
      </c>
      <c r="M1388" s="329"/>
      <c r="N1388" s="690"/>
      <c r="O1388" s="690"/>
      <c r="P1388" s="288"/>
      <c r="Q1388" s="553"/>
      <c r="R1388" s="525"/>
      <c r="S1388" s="729"/>
    </row>
    <row r="1389" spans="1:19" s="385" customFormat="1" ht="30.6" customHeight="1">
      <c r="A1389" s="379">
        <v>1</v>
      </c>
      <c r="B1389" s="695" t="s">
        <v>2609</v>
      </c>
      <c r="C1389" s="364" t="s">
        <v>2622</v>
      </c>
      <c r="D1389" s="409"/>
      <c r="E1389" s="738"/>
      <c r="F1389" s="727"/>
      <c r="G1389" s="721"/>
      <c r="H1389" s="738" t="s">
        <v>2623</v>
      </c>
      <c r="I1389" s="379" t="s">
        <v>629</v>
      </c>
      <c r="J1389" s="721">
        <v>726</v>
      </c>
      <c r="K1389" s="374">
        <f t="shared" si="54"/>
        <v>0</v>
      </c>
      <c r="L1389" s="374">
        <f t="shared" si="56"/>
        <v>726</v>
      </c>
      <c r="M1389" s="329"/>
      <c r="N1389" s="690"/>
      <c r="O1389" s="690"/>
      <c r="P1389" s="288"/>
      <c r="Q1389" s="553"/>
      <c r="R1389" s="525"/>
      <c r="S1389" s="729"/>
    </row>
    <row r="1390" spans="1:19" s="385" customFormat="1" ht="30.6" customHeight="1">
      <c r="A1390" s="379">
        <v>2</v>
      </c>
      <c r="B1390" s="695" t="s">
        <v>363</v>
      </c>
      <c r="C1390" s="364" t="s">
        <v>1048</v>
      </c>
      <c r="D1390" s="409"/>
      <c r="E1390" s="738"/>
      <c r="F1390" s="727"/>
      <c r="G1390" s="721"/>
      <c r="H1390" s="738" t="s">
        <v>1045</v>
      </c>
      <c r="I1390" s="379"/>
      <c r="J1390" s="721">
        <v>657</v>
      </c>
      <c r="K1390" s="374">
        <f t="shared" si="54"/>
        <v>0</v>
      </c>
      <c r="L1390" s="374">
        <f t="shared" si="56"/>
        <v>657</v>
      </c>
      <c r="M1390" s="329"/>
      <c r="N1390" s="690"/>
      <c r="O1390" s="690"/>
      <c r="P1390" s="288"/>
      <c r="Q1390" s="553"/>
      <c r="R1390" s="525"/>
      <c r="S1390" s="729"/>
    </row>
    <row r="1391" spans="1:19" s="385" customFormat="1" ht="30.6" customHeight="1">
      <c r="A1391" s="379">
        <v>3</v>
      </c>
      <c r="B1391" s="695" t="s">
        <v>2613</v>
      </c>
      <c r="C1391" s="364" t="s">
        <v>2624</v>
      </c>
      <c r="D1391" s="409"/>
      <c r="E1391" s="738"/>
      <c r="F1391" s="727"/>
      <c r="G1391" s="721"/>
      <c r="H1391" s="738" t="s">
        <v>2623</v>
      </c>
      <c r="I1391" s="379" t="s">
        <v>629</v>
      </c>
      <c r="J1391" s="721">
        <v>726</v>
      </c>
      <c r="K1391" s="374">
        <f t="shared" si="54"/>
        <v>0</v>
      </c>
      <c r="L1391" s="374">
        <f t="shared" si="56"/>
        <v>726</v>
      </c>
      <c r="M1391" s="329"/>
      <c r="N1391" s="690"/>
      <c r="O1391" s="690"/>
      <c r="P1391" s="288"/>
      <c r="Q1391" s="553"/>
      <c r="R1391" s="525"/>
      <c r="S1391" s="729"/>
    </row>
    <row r="1392" spans="1:19" s="385" customFormat="1" ht="30.6" customHeight="1">
      <c r="A1392" s="379">
        <v>4</v>
      </c>
      <c r="B1392" s="695" t="s">
        <v>1775</v>
      </c>
      <c r="C1392" s="364" t="s">
        <v>2629</v>
      </c>
      <c r="D1392" s="409"/>
      <c r="E1392" s="738"/>
      <c r="F1392" s="727"/>
      <c r="G1392" s="721"/>
      <c r="H1392" s="738" t="s">
        <v>2623</v>
      </c>
      <c r="I1392" s="379" t="s">
        <v>629</v>
      </c>
      <c r="J1392" s="721">
        <v>726</v>
      </c>
      <c r="K1392" s="374">
        <f t="shared" si="54"/>
        <v>0</v>
      </c>
      <c r="L1392" s="374">
        <f t="shared" si="56"/>
        <v>726</v>
      </c>
      <c r="M1392" s="329"/>
      <c r="N1392" s="690"/>
      <c r="O1392" s="690"/>
      <c r="P1392" s="288"/>
      <c r="Q1392" s="553"/>
      <c r="R1392" s="525"/>
      <c r="S1392" s="729"/>
    </row>
    <row r="1393" spans="1:19" s="385" customFormat="1" ht="30.6" customHeight="1">
      <c r="A1393" s="379">
        <v>5</v>
      </c>
      <c r="B1393" s="695" t="s">
        <v>1780</v>
      </c>
      <c r="C1393" s="364" t="s">
        <v>2630</v>
      </c>
      <c r="D1393" s="409"/>
      <c r="E1393" s="738"/>
      <c r="F1393" s="727"/>
      <c r="G1393" s="721"/>
      <c r="H1393" s="738" t="s">
        <v>2623</v>
      </c>
      <c r="I1393" s="379" t="s">
        <v>629</v>
      </c>
      <c r="J1393" s="721">
        <v>726</v>
      </c>
      <c r="K1393" s="374">
        <f t="shared" si="54"/>
        <v>0</v>
      </c>
      <c r="L1393" s="374">
        <f t="shared" si="56"/>
        <v>726</v>
      </c>
      <c r="M1393" s="329"/>
      <c r="N1393" s="690"/>
      <c r="O1393" s="690"/>
      <c r="P1393" s="288"/>
      <c r="Q1393" s="553"/>
      <c r="R1393" s="525"/>
      <c r="S1393" s="729"/>
    </row>
    <row r="1394" spans="1:19" s="385" customFormat="1" ht="30.6" customHeight="1">
      <c r="A1394" s="379">
        <v>6</v>
      </c>
      <c r="B1394" s="695" t="s">
        <v>1561</v>
      </c>
      <c r="C1394" s="364" t="s">
        <v>1000</v>
      </c>
      <c r="D1394" s="409"/>
      <c r="E1394" s="738"/>
      <c r="F1394" s="727"/>
      <c r="G1394" s="721"/>
      <c r="H1394" s="738" t="s">
        <v>1045</v>
      </c>
      <c r="I1394" s="379" t="s">
        <v>629</v>
      </c>
      <c r="J1394" s="721">
        <v>657</v>
      </c>
      <c r="K1394" s="374">
        <f t="shared" si="54"/>
        <v>0</v>
      </c>
      <c r="L1394" s="374">
        <f t="shared" si="56"/>
        <v>657</v>
      </c>
      <c r="M1394" s="329"/>
      <c r="N1394" s="690"/>
      <c r="O1394" s="690"/>
      <c r="P1394" s="288"/>
      <c r="Q1394" s="553"/>
      <c r="R1394" s="525"/>
      <c r="S1394" s="729"/>
    </row>
    <row r="1395" spans="1:19" s="385" customFormat="1" ht="30.6" customHeight="1">
      <c r="A1395" s="379">
        <v>7</v>
      </c>
      <c r="B1395" s="695" t="s">
        <v>708</v>
      </c>
      <c r="C1395" s="364" t="s">
        <v>1054</v>
      </c>
      <c r="D1395" s="409"/>
      <c r="E1395" s="738"/>
      <c r="F1395" s="727"/>
      <c r="G1395" s="721"/>
      <c r="H1395" s="738" t="s">
        <v>1045</v>
      </c>
      <c r="I1395" s="379" t="s">
        <v>629</v>
      </c>
      <c r="J1395" s="721">
        <v>657</v>
      </c>
      <c r="K1395" s="374">
        <f t="shared" si="54"/>
        <v>0</v>
      </c>
      <c r="L1395" s="374">
        <f t="shared" si="56"/>
        <v>657</v>
      </c>
      <c r="M1395" s="329"/>
      <c r="N1395" s="690"/>
      <c r="O1395" s="690"/>
      <c r="P1395" s="288"/>
      <c r="Q1395" s="553"/>
      <c r="R1395" s="525"/>
      <c r="S1395" s="729"/>
    </row>
    <row r="1396" spans="1:19" s="385" customFormat="1" ht="30.6" customHeight="1">
      <c r="A1396" s="379">
        <v>8</v>
      </c>
      <c r="B1396" s="695" t="s">
        <v>1807</v>
      </c>
      <c r="C1396" s="364" t="s">
        <v>1945</v>
      </c>
      <c r="D1396" s="409"/>
      <c r="E1396" s="738"/>
      <c r="F1396" s="727"/>
      <c r="G1396" s="721"/>
      <c r="H1396" s="738" t="s">
        <v>2740</v>
      </c>
      <c r="I1396" s="379" t="s">
        <v>629</v>
      </c>
      <c r="J1396" s="721">
        <v>726</v>
      </c>
      <c r="K1396" s="374">
        <f>G1396*11.54/100</f>
        <v>0</v>
      </c>
      <c r="L1396" s="374">
        <f t="shared" si="56"/>
        <v>726</v>
      </c>
      <c r="M1396" s="329"/>
      <c r="N1396" s="690"/>
      <c r="O1396" s="690"/>
      <c r="P1396" s="288"/>
      <c r="Q1396" s="553"/>
      <c r="R1396" s="525"/>
      <c r="S1396" s="729"/>
    </row>
    <row r="1397" spans="1:19" s="385" customFormat="1" ht="30.6" customHeight="1">
      <c r="A1397" s="379">
        <v>9</v>
      </c>
      <c r="B1397" s="695" t="s">
        <v>2738</v>
      </c>
      <c r="C1397" s="364" t="s">
        <v>2625</v>
      </c>
      <c r="D1397" s="409"/>
      <c r="E1397" s="738"/>
      <c r="F1397" s="727"/>
      <c r="G1397" s="721"/>
      <c r="H1397" s="738" t="s">
        <v>2741</v>
      </c>
      <c r="I1397" s="379" t="s">
        <v>629</v>
      </c>
      <c r="J1397" s="721">
        <v>726</v>
      </c>
      <c r="K1397" s="374">
        <f>G1397*11.54/100</f>
        <v>0</v>
      </c>
      <c r="L1397" s="374">
        <f t="shared" si="56"/>
        <v>726</v>
      </c>
      <c r="M1397" s="329"/>
      <c r="N1397" s="690"/>
      <c r="O1397" s="690"/>
      <c r="P1397" s="288"/>
      <c r="Q1397" s="553"/>
      <c r="R1397" s="525"/>
      <c r="S1397" s="729"/>
    </row>
    <row r="1398" spans="1:19" s="385" customFormat="1" ht="30.6" customHeight="1">
      <c r="A1398" s="379">
        <v>10</v>
      </c>
      <c r="B1398" s="695" t="s">
        <v>727</v>
      </c>
      <c r="C1398" s="364" t="s">
        <v>2788</v>
      </c>
      <c r="D1398" s="409"/>
      <c r="E1398" s="738"/>
      <c r="F1398" s="727"/>
      <c r="G1398" s="721"/>
      <c r="H1398" s="738" t="s">
        <v>2742</v>
      </c>
      <c r="I1398" s="379" t="s">
        <v>629</v>
      </c>
      <c r="J1398" s="721">
        <v>726</v>
      </c>
      <c r="K1398" s="374">
        <f>G1398*11.54/100</f>
        <v>0</v>
      </c>
      <c r="L1398" s="374">
        <f t="shared" si="56"/>
        <v>726</v>
      </c>
      <c r="M1398" s="329"/>
      <c r="N1398" s="690"/>
      <c r="O1398" s="690"/>
      <c r="P1398" s="288"/>
      <c r="Q1398" s="553"/>
      <c r="R1398" s="525"/>
      <c r="S1398" s="729"/>
    </row>
    <row r="1399" spans="1:19" s="385" customFormat="1" ht="30.6" customHeight="1">
      <c r="A1399" s="379">
        <v>11</v>
      </c>
      <c r="B1399" s="695" t="s">
        <v>2617</v>
      </c>
      <c r="C1399" s="364" t="s">
        <v>2626</v>
      </c>
      <c r="D1399" s="409"/>
      <c r="E1399" s="738"/>
      <c r="F1399" s="727"/>
      <c r="G1399" s="721"/>
      <c r="H1399" s="738" t="s">
        <v>2623</v>
      </c>
      <c r="I1399" s="379" t="s">
        <v>629</v>
      </c>
      <c r="J1399" s="721">
        <v>726</v>
      </c>
      <c r="K1399" s="374">
        <f>G1399*11.54/100</f>
        <v>0</v>
      </c>
      <c r="L1399" s="374">
        <f t="shared" si="56"/>
        <v>726</v>
      </c>
      <c r="M1399" s="329"/>
      <c r="N1399" s="690"/>
      <c r="O1399" s="690"/>
      <c r="P1399" s="288"/>
      <c r="Q1399" s="553"/>
      <c r="R1399" s="525"/>
      <c r="S1399" s="729"/>
    </row>
    <row r="1400" spans="1:19" s="686" customFormat="1" ht="30.6" customHeight="1">
      <c r="A1400" s="673"/>
      <c r="B1400" s="743"/>
      <c r="C1400" s="744"/>
      <c r="D1400" s="745"/>
      <c r="E1400" s="746"/>
      <c r="F1400" s="747"/>
      <c r="G1400" s="748"/>
      <c r="H1400" s="746"/>
      <c r="I1400" s="673"/>
      <c r="J1400" s="748"/>
      <c r="K1400" s="374">
        <f>G1400*11.54/100</f>
        <v>0</v>
      </c>
      <c r="L1400" s="676">
        <v>0</v>
      </c>
      <c r="M1400" s="715"/>
      <c r="N1400" s="716">
        <f>SUM(G1359:G1400)</f>
        <v>0</v>
      </c>
      <c r="O1400" s="716">
        <f>SUM(J1359:J1400)</f>
        <v>38001</v>
      </c>
      <c r="P1400" s="716">
        <f>SUM(N1400:O1400)</f>
        <v>38001</v>
      </c>
      <c r="Q1400" s="683">
        <f>SUM(D1359:D1399)</f>
        <v>1314</v>
      </c>
      <c r="R1400" s="684" t="s">
        <v>464</v>
      </c>
      <c r="S1400" s="685"/>
    </row>
    <row r="1401" spans="1:19" s="385" customFormat="1" ht="30.6" customHeight="1">
      <c r="A1401" s="379"/>
      <c r="B1401" s="749" t="s">
        <v>223</v>
      </c>
      <c r="C1401" s="364"/>
      <c r="D1401" s="409"/>
      <c r="E1401" s="738"/>
      <c r="F1401" s="727"/>
      <c r="G1401" s="721"/>
      <c r="H1401" s="738"/>
      <c r="I1401" s="379"/>
      <c r="J1401" s="721"/>
      <c r="K1401" s="374">
        <f t="shared" ref="K1401:K1451" si="57">G1401*11.54/100</f>
        <v>0</v>
      </c>
      <c r="L1401" s="338">
        <v>0</v>
      </c>
      <c r="M1401" s="329"/>
      <c r="N1401" s="690"/>
      <c r="O1401" s="690"/>
      <c r="P1401" s="288"/>
      <c r="Q1401" s="553"/>
      <c r="R1401" s="525"/>
      <c r="S1401" s="729"/>
    </row>
    <row r="1402" spans="1:19" s="385" customFormat="1" ht="30.6" customHeight="1">
      <c r="A1402" s="379">
        <v>1</v>
      </c>
      <c r="B1402" s="750" t="s">
        <v>739</v>
      </c>
      <c r="C1402" s="1439" t="s">
        <v>1920</v>
      </c>
      <c r="D1402" s="409">
        <v>100</v>
      </c>
      <c r="E1402" s="738"/>
      <c r="F1402" s="727"/>
      <c r="G1402" s="721"/>
      <c r="H1402" s="738"/>
      <c r="I1402" s="379"/>
      <c r="J1402" s="721"/>
      <c r="K1402" s="374">
        <f t="shared" si="57"/>
        <v>0</v>
      </c>
      <c r="L1402" s="374">
        <f t="shared" ref="L1402:L1440" si="58">+J1402</f>
        <v>0</v>
      </c>
      <c r="M1402" s="329"/>
      <c r="N1402" s="690"/>
      <c r="O1402" s="690"/>
      <c r="P1402" s="288"/>
      <c r="Q1402" s="553"/>
      <c r="R1402" s="525"/>
      <c r="S1402" s="729"/>
    </row>
    <row r="1403" spans="1:19" s="385" customFormat="1" ht="30.6" customHeight="1">
      <c r="A1403" s="379"/>
      <c r="B1403" s="751"/>
      <c r="C1403" s="752"/>
      <c r="D1403" s="409"/>
      <c r="E1403" s="738"/>
      <c r="F1403" s="727"/>
      <c r="G1403" s="721"/>
      <c r="H1403" s="738"/>
      <c r="I1403" s="379"/>
      <c r="J1403" s="721"/>
      <c r="K1403" s="374">
        <f t="shared" si="57"/>
        <v>0</v>
      </c>
      <c r="L1403" s="374">
        <f t="shared" si="58"/>
        <v>0</v>
      </c>
      <c r="M1403" s="329"/>
      <c r="N1403" s="690"/>
      <c r="O1403" s="690"/>
      <c r="P1403" s="288"/>
      <c r="Q1403" s="553"/>
      <c r="R1403" s="525"/>
      <c r="S1403" s="729"/>
    </row>
    <row r="1404" spans="1:19" s="385" customFormat="1" ht="30.6" customHeight="1">
      <c r="A1404" s="379"/>
      <c r="B1404" s="750" t="s">
        <v>1003</v>
      </c>
      <c r="C1404" s="753"/>
      <c r="D1404" s="409"/>
      <c r="E1404" s="738"/>
      <c r="F1404" s="727"/>
      <c r="G1404" s="721"/>
      <c r="H1404" s="738"/>
      <c r="I1404" s="379"/>
      <c r="J1404" s="721"/>
      <c r="K1404" s="374">
        <f t="shared" si="57"/>
        <v>0</v>
      </c>
      <c r="L1404" s="374">
        <f t="shared" si="58"/>
        <v>0</v>
      </c>
      <c r="M1404" s="329"/>
      <c r="N1404" s="690"/>
      <c r="O1404" s="690"/>
      <c r="P1404" s="288"/>
      <c r="Q1404" s="553"/>
      <c r="R1404" s="525"/>
      <c r="S1404" s="729"/>
    </row>
    <row r="1405" spans="1:19" s="385" customFormat="1" ht="30.6" customHeight="1">
      <c r="A1405" s="379">
        <v>1</v>
      </c>
      <c r="B1405" s="1440" t="s">
        <v>642</v>
      </c>
      <c r="C1405" s="754" t="s">
        <v>1833</v>
      </c>
      <c r="D1405" s="409"/>
      <c r="E1405" s="738"/>
      <c r="F1405" s="727"/>
      <c r="G1405" s="721"/>
      <c r="H1405" s="738" t="s">
        <v>2734</v>
      </c>
      <c r="I1405" s="379">
        <v>1</v>
      </c>
      <c r="J1405" s="721">
        <v>100</v>
      </c>
      <c r="K1405" s="374">
        <f t="shared" si="57"/>
        <v>0</v>
      </c>
      <c r="L1405" s="374">
        <f t="shared" si="58"/>
        <v>100</v>
      </c>
      <c r="M1405" s="329"/>
      <c r="N1405" s="690"/>
      <c r="O1405" s="690"/>
      <c r="P1405" s="288"/>
      <c r="Q1405" s="553"/>
      <c r="R1405" s="525"/>
      <c r="S1405" s="729"/>
    </row>
    <row r="1406" spans="1:19" s="385" customFormat="1" ht="30.6" customHeight="1">
      <c r="A1406" s="379">
        <v>2</v>
      </c>
      <c r="B1406" s="1440" t="s">
        <v>1657</v>
      </c>
      <c r="C1406" s="754" t="s">
        <v>1834</v>
      </c>
      <c r="D1406" s="409"/>
      <c r="E1406" s="738"/>
      <c r="F1406" s="727"/>
      <c r="G1406" s="721"/>
      <c r="H1406" s="738" t="s">
        <v>2734</v>
      </c>
      <c r="I1406" s="379">
        <v>1</v>
      </c>
      <c r="J1406" s="721">
        <v>100</v>
      </c>
      <c r="K1406" s="374">
        <f t="shared" si="57"/>
        <v>0</v>
      </c>
      <c r="L1406" s="374">
        <f t="shared" si="58"/>
        <v>100</v>
      </c>
      <c r="M1406" s="329"/>
      <c r="N1406" s="690"/>
      <c r="O1406" s="690"/>
      <c r="P1406" s="288"/>
      <c r="Q1406" s="553"/>
      <c r="R1406" s="525"/>
      <c r="S1406" s="729"/>
    </row>
    <row r="1407" spans="1:19" s="385" customFormat="1" ht="30.6" customHeight="1">
      <c r="A1407" s="379">
        <v>3</v>
      </c>
      <c r="B1407" s="1440" t="s">
        <v>644</v>
      </c>
      <c r="C1407" s="754" t="s">
        <v>1836</v>
      </c>
      <c r="D1407" s="409"/>
      <c r="E1407" s="738"/>
      <c r="F1407" s="727"/>
      <c r="G1407" s="721"/>
      <c r="H1407" s="738" t="s">
        <v>2734</v>
      </c>
      <c r="I1407" s="379">
        <v>1</v>
      </c>
      <c r="J1407" s="721">
        <v>100</v>
      </c>
      <c r="K1407" s="374">
        <f t="shared" si="57"/>
        <v>0</v>
      </c>
      <c r="L1407" s="374">
        <f t="shared" si="58"/>
        <v>100</v>
      </c>
      <c r="M1407" s="329"/>
      <c r="N1407" s="690"/>
      <c r="O1407" s="690"/>
      <c r="P1407" s="288"/>
      <c r="Q1407" s="553"/>
      <c r="R1407" s="525"/>
      <c r="S1407" s="729"/>
    </row>
    <row r="1408" spans="1:19" s="385" customFormat="1" ht="30.6" customHeight="1">
      <c r="A1408" s="379">
        <v>4</v>
      </c>
      <c r="B1408" s="750" t="s">
        <v>1325</v>
      </c>
      <c r="C1408" s="1441" t="s">
        <v>1838</v>
      </c>
      <c r="D1408" s="409"/>
      <c r="E1408" s="738"/>
      <c r="F1408" s="727"/>
      <c r="G1408" s="721"/>
      <c r="H1408" s="738" t="s">
        <v>2734</v>
      </c>
      <c r="I1408" s="379">
        <v>1</v>
      </c>
      <c r="J1408" s="721">
        <v>100</v>
      </c>
      <c r="K1408" s="374">
        <f t="shared" si="57"/>
        <v>0</v>
      </c>
      <c r="L1408" s="374">
        <f t="shared" si="58"/>
        <v>100</v>
      </c>
      <c r="M1408" s="329"/>
      <c r="N1408" s="690"/>
      <c r="O1408" s="690"/>
      <c r="P1408" s="288"/>
      <c r="Q1408" s="553"/>
      <c r="R1408" s="525"/>
      <c r="S1408" s="729"/>
    </row>
    <row r="1409" spans="1:19" s="385" customFormat="1" ht="30.6" customHeight="1">
      <c r="A1409" s="379">
        <v>5</v>
      </c>
      <c r="B1409" s="750" t="s">
        <v>1547</v>
      </c>
      <c r="C1409" s="1441" t="s">
        <v>1839</v>
      </c>
      <c r="D1409" s="409"/>
      <c r="E1409" s="738"/>
      <c r="F1409" s="727"/>
      <c r="G1409" s="721"/>
      <c r="H1409" s="738" t="s">
        <v>2734</v>
      </c>
      <c r="I1409" s="379">
        <v>1</v>
      </c>
      <c r="J1409" s="721">
        <v>100</v>
      </c>
      <c r="K1409" s="374">
        <f t="shared" si="57"/>
        <v>0</v>
      </c>
      <c r="L1409" s="374">
        <f t="shared" si="58"/>
        <v>100</v>
      </c>
      <c r="M1409" s="329"/>
      <c r="N1409" s="690"/>
      <c r="O1409" s="690"/>
      <c r="P1409" s="288"/>
      <c r="Q1409" s="553"/>
      <c r="R1409" s="525"/>
      <c r="S1409" s="729"/>
    </row>
    <row r="1410" spans="1:19" s="385" customFormat="1" ht="30.6" customHeight="1">
      <c r="A1410" s="379">
        <v>6</v>
      </c>
      <c r="B1410" s="750" t="s">
        <v>649</v>
      </c>
      <c r="C1410" s="1441" t="s">
        <v>1842</v>
      </c>
      <c r="D1410" s="409"/>
      <c r="E1410" s="738"/>
      <c r="F1410" s="727"/>
      <c r="G1410" s="721"/>
      <c r="H1410" s="738" t="s">
        <v>2734</v>
      </c>
      <c r="I1410" s="379">
        <v>1</v>
      </c>
      <c r="J1410" s="721">
        <v>100</v>
      </c>
      <c r="K1410" s="374">
        <f t="shared" si="57"/>
        <v>0</v>
      </c>
      <c r="L1410" s="374">
        <f t="shared" si="58"/>
        <v>100</v>
      </c>
      <c r="M1410" s="329"/>
      <c r="N1410" s="690"/>
      <c r="O1410" s="690"/>
      <c r="P1410" s="288"/>
      <c r="Q1410" s="553"/>
      <c r="R1410" s="525"/>
      <c r="S1410" s="729"/>
    </row>
    <row r="1411" spans="1:19" s="385" customFormat="1" ht="30.6" customHeight="1">
      <c r="A1411" s="379">
        <v>7</v>
      </c>
      <c r="B1411" s="1440" t="s">
        <v>650</v>
      </c>
      <c r="C1411" s="754" t="s">
        <v>1843</v>
      </c>
      <c r="D1411" s="409"/>
      <c r="E1411" s="738"/>
      <c r="F1411" s="727"/>
      <c r="G1411" s="721"/>
      <c r="H1411" s="738" t="s">
        <v>2734</v>
      </c>
      <c r="I1411" s="379">
        <v>1</v>
      </c>
      <c r="J1411" s="721">
        <v>100</v>
      </c>
      <c r="K1411" s="374">
        <f t="shared" si="57"/>
        <v>0</v>
      </c>
      <c r="L1411" s="374">
        <f t="shared" si="58"/>
        <v>100</v>
      </c>
      <c r="M1411" s="329"/>
      <c r="N1411" s="690"/>
      <c r="O1411" s="690"/>
      <c r="P1411" s="288"/>
      <c r="Q1411" s="553"/>
      <c r="R1411" s="525"/>
      <c r="S1411" s="729"/>
    </row>
    <row r="1412" spans="1:19" s="385" customFormat="1" ht="30.6" customHeight="1">
      <c r="A1412" s="379">
        <v>8</v>
      </c>
      <c r="B1412" s="1440" t="s">
        <v>1825</v>
      </c>
      <c r="C1412" s="754" t="s">
        <v>1844</v>
      </c>
      <c r="D1412" s="409"/>
      <c r="E1412" s="738"/>
      <c r="F1412" s="727"/>
      <c r="G1412" s="721"/>
      <c r="H1412" s="738" t="s">
        <v>2734</v>
      </c>
      <c r="I1412" s="379">
        <v>1</v>
      </c>
      <c r="J1412" s="721">
        <v>100</v>
      </c>
      <c r="K1412" s="374">
        <f t="shared" si="57"/>
        <v>0</v>
      </c>
      <c r="L1412" s="374">
        <f t="shared" si="58"/>
        <v>100</v>
      </c>
      <c r="M1412" s="329"/>
      <c r="N1412" s="690"/>
      <c r="O1412" s="690"/>
      <c r="P1412" s="288"/>
      <c r="Q1412" s="553"/>
      <c r="R1412" s="525"/>
      <c r="S1412" s="729"/>
    </row>
    <row r="1413" spans="1:19" s="385" customFormat="1" ht="30.6" customHeight="1">
      <c r="A1413" s="379">
        <v>9</v>
      </c>
      <c r="B1413" s="750" t="s">
        <v>651</v>
      </c>
      <c r="C1413" s="754" t="s">
        <v>1845</v>
      </c>
      <c r="D1413" s="409"/>
      <c r="E1413" s="738"/>
      <c r="F1413" s="727"/>
      <c r="G1413" s="721"/>
      <c r="H1413" s="738" t="s">
        <v>2734</v>
      </c>
      <c r="I1413" s="379">
        <v>1</v>
      </c>
      <c r="J1413" s="721">
        <v>100</v>
      </c>
      <c r="K1413" s="374">
        <f t="shared" si="57"/>
        <v>0</v>
      </c>
      <c r="L1413" s="374">
        <f t="shared" si="58"/>
        <v>100</v>
      </c>
      <c r="M1413" s="329"/>
      <c r="N1413" s="690"/>
      <c r="O1413" s="690"/>
      <c r="P1413" s="288"/>
      <c r="Q1413" s="553"/>
      <c r="R1413" s="525"/>
      <c r="S1413" s="729"/>
    </row>
    <row r="1414" spans="1:19" s="385" customFormat="1" ht="30.6" customHeight="1">
      <c r="A1414" s="379">
        <v>10</v>
      </c>
      <c r="B1414" s="750" t="s">
        <v>652</v>
      </c>
      <c r="C1414" s="754" t="s">
        <v>1846</v>
      </c>
      <c r="D1414" s="409"/>
      <c r="E1414" s="738"/>
      <c r="F1414" s="727"/>
      <c r="G1414" s="721"/>
      <c r="H1414" s="738" t="s">
        <v>2734</v>
      </c>
      <c r="I1414" s="379">
        <v>1</v>
      </c>
      <c r="J1414" s="721">
        <v>100</v>
      </c>
      <c r="K1414" s="374">
        <f t="shared" si="57"/>
        <v>0</v>
      </c>
      <c r="L1414" s="374">
        <f t="shared" si="58"/>
        <v>100</v>
      </c>
      <c r="M1414" s="329"/>
      <c r="N1414" s="690"/>
      <c r="O1414" s="690"/>
      <c r="P1414" s="288"/>
      <c r="Q1414" s="553"/>
      <c r="R1414" s="525"/>
      <c r="S1414" s="729"/>
    </row>
    <row r="1415" spans="1:19" s="385" customFormat="1" ht="30.6" customHeight="1">
      <c r="A1415" s="379">
        <v>11</v>
      </c>
      <c r="B1415" s="750" t="s">
        <v>1327</v>
      </c>
      <c r="C1415" s="754" t="s">
        <v>1847</v>
      </c>
      <c r="D1415" s="409"/>
      <c r="E1415" s="738"/>
      <c r="F1415" s="727"/>
      <c r="G1415" s="721"/>
      <c r="H1415" s="738" t="s">
        <v>2734</v>
      </c>
      <c r="I1415" s="379">
        <v>1</v>
      </c>
      <c r="J1415" s="721">
        <v>100</v>
      </c>
      <c r="K1415" s="374">
        <f t="shared" si="57"/>
        <v>0</v>
      </c>
      <c r="L1415" s="374">
        <f t="shared" si="58"/>
        <v>100</v>
      </c>
      <c r="M1415" s="329"/>
      <c r="N1415" s="690"/>
      <c r="O1415" s="690"/>
      <c r="P1415" s="288"/>
      <c r="Q1415" s="553"/>
      <c r="R1415" s="525"/>
      <c r="S1415" s="729"/>
    </row>
    <row r="1416" spans="1:19" s="385" customFormat="1" ht="30.6" customHeight="1">
      <c r="A1416" s="379">
        <v>12</v>
      </c>
      <c r="B1416" s="750" t="s">
        <v>1329</v>
      </c>
      <c r="C1416" s="754" t="s">
        <v>1853</v>
      </c>
      <c r="D1416" s="409"/>
      <c r="E1416" s="738"/>
      <c r="F1416" s="727"/>
      <c r="G1416" s="721"/>
      <c r="H1416" s="738" t="s">
        <v>2734</v>
      </c>
      <c r="I1416" s="379">
        <v>1</v>
      </c>
      <c r="J1416" s="721">
        <v>100</v>
      </c>
      <c r="K1416" s="374">
        <f t="shared" si="57"/>
        <v>0</v>
      </c>
      <c r="L1416" s="374">
        <f t="shared" si="58"/>
        <v>100</v>
      </c>
      <c r="M1416" s="329"/>
      <c r="N1416" s="690"/>
      <c r="O1416" s="690"/>
      <c r="P1416" s="288"/>
      <c r="Q1416" s="553"/>
      <c r="R1416" s="525"/>
      <c r="S1416" s="729"/>
    </row>
    <row r="1417" spans="1:19" s="385" customFormat="1" ht="30.6" customHeight="1">
      <c r="A1417" s="379">
        <v>13</v>
      </c>
      <c r="B1417" s="750" t="s">
        <v>1012</v>
      </c>
      <c r="C1417" s="754" t="s">
        <v>1854</v>
      </c>
      <c r="D1417" s="409"/>
      <c r="E1417" s="738"/>
      <c r="F1417" s="727"/>
      <c r="G1417" s="721"/>
      <c r="H1417" s="738" t="s">
        <v>2734</v>
      </c>
      <c r="I1417" s="379">
        <v>1</v>
      </c>
      <c r="J1417" s="721">
        <v>100</v>
      </c>
      <c r="K1417" s="374">
        <f t="shared" si="57"/>
        <v>0</v>
      </c>
      <c r="L1417" s="374">
        <f t="shared" si="58"/>
        <v>100</v>
      </c>
      <c r="M1417" s="329"/>
      <c r="N1417" s="690"/>
      <c r="O1417" s="690"/>
      <c r="P1417" s="288"/>
      <c r="Q1417" s="553"/>
      <c r="R1417" s="525"/>
      <c r="S1417" s="729"/>
    </row>
    <row r="1418" spans="1:19" s="385" customFormat="1" ht="30.6" customHeight="1">
      <c r="A1418" s="379">
        <v>14</v>
      </c>
      <c r="B1418" s="750" t="s">
        <v>658</v>
      </c>
      <c r="C1418" s="754" t="s">
        <v>1855</v>
      </c>
      <c r="D1418" s="409"/>
      <c r="E1418" s="738"/>
      <c r="F1418" s="727"/>
      <c r="G1418" s="721"/>
      <c r="H1418" s="738" t="s">
        <v>2734</v>
      </c>
      <c r="I1418" s="379">
        <v>1</v>
      </c>
      <c r="J1418" s="721">
        <v>100</v>
      </c>
      <c r="K1418" s="374">
        <f t="shared" si="57"/>
        <v>0</v>
      </c>
      <c r="L1418" s="374">
        <f t="shared" si="58"/>
        <v>100</v>
      </c>
      <c r="M1418" s="329"/>
      <c r="N1418" s="690"/>
      <c r="O1418" s="690"/>
      <c r="P1418" s="288"/>
      <c r="Q1418" s="553"/>
      <c r="R1418" s="525"/>
      <c r="S1418" s="729"/>
    </row>
    <row r="1419" spans="1:19" s="385" customFormat="1" ht="30.6" customHeight="1">
      <c r="A1419" s="379">
        <v>15</v>
      </c>
      <c r="B1419" s="750" t="s">
        <v>659</v>
      </c>
      <c r="C1419" s="754" t="s">
        <v>1856</v>
      </c>
      <c r="D1419" s="409"/>
      <c r="E1419" s="738"/>
      <c r="F1419" s="727"/>
      <c r="G1419" s="721"/>
      <c r="H1419" s="738" t="s">
        <v>2734</v>
      </c>
      <c r="I1419" s="379">
        <v>1</v>
      </c>
      <c r="J1419" s="721">
        <v>100</v>
      </c>
      <c r="K1419" s="374">
        <f t="shared" si="57"/>
        <v>0</v>
      </c>
      <c r="L1419" s="374">
        <f t="shared" si="58"/>
        <v>100</v>
      </c>
      <c r="M1419" s="329"/>
      <c r="N1419" s="690"/>
      <c r="O1419" s="690"/>
      <c r="P1419" s="288"/>
      <c r="Q1419" s="553"/>
      <c r="R1419" s="525"/>
      <c r="S1419" s="729"/>
    </row>
    <row r="1420" spans="1:19" s="385" customFormat="1" ht="30.6" customHeight="1">
      <c r="A1420" s="379">
        <v>16</v>
      </c>
      <c r="B1420" s="750" t="s">
        <v>1660</v>
      </c>
      <c r="C1420" s="754" t="s">
        <v>1858</v>
      </c>
      <c r="D1420" s="409"/>
      <c r="E1420" s="738"/>
      <c r="F1420" s="727"/>
      <c r="G1420" s="721"/>
      <c r="H1420" s="738" t="s">
        <v>2734</v>
      </c>
      <c r="I1420" s="379">
        <v>1</v>
      </c>
      <c r="J1420" s="721">
        <v>100</v>
      </c>
      <c r="K1420" s="374">
        <f t="shared" si="57"/>
        <v>0</v>
      </c>
      <c r="L1420" s="374">
        <f t="shared" si="58"/>
        <v>100</v>
      </c>
      <c r="M1420" s="329"/>
      <c r="N1420" s="690"/>
      <c r="O1420" s="690"/>
      <c r="P1420" s="288"/>
      <c r="Q1420" s="553"/>
      <c r="R1420" s="525"/>
      <c r="S1420" s="729"/>
    </row>
    <row r="1421" spans="1:19" s="385" customFormat="1" ht="30.6" customHeight="1">
      <c r="A1421" s="379">
        <v>17</v>
      </c>
      <c r="B1421" s="750" t="s">
        <v>758</v>
      </c>
      <c r="C1421" s="754" t="s">
        <v>1859</v>
      </c>
      <c r="D1421" s="409"/>
      <c r="E1421" s="738"/>
      <c r="F1421" s="727"/>
      <c r="G1421" s="721"/>
      <c r="H1421" s="738" t="s">
        <v>2734</v>
      </c>
      <c r="I1421" s="379">
        <v>1</v>
      </c>
      <c r="J1421" s="721">
        <v>100</v>
      </c>
      <c r="K1421" s="374">
        <f t="shared" si="57"/>
        <v>0</v>
      </c>
      <c r="L1421" s="374">
        <f t="shared" si="58"/>
        <v>100</v>
      </c>
      <c r="M1421" s="329"/>
      <c r="N1421" s="690"/>
      <c r="O1421" s="690"/>
      <c r="P1421" s="288"/>
      <c r="Q1421" s="553"/>
      <c r="R1421" s="525"/>
      <c r="S1421" s="729"/>
    </row>
    <row r="1422" spans="1:19" s="385" customFormat="1" ht="30.6" customHeight="1">
      <c r="A1422" s="379">
        <v>18</v>
      </c>
      <c r="B1422" s="750" t="s">
        <v>660</v>
      </c>
      <c r="C1422" s="754" t="s">
        <v>1860</v>
      </c>
      <c r="D1422" s="409"/>
      <c r="E1422" s="738"/>
      <c r="F1422" s="727"/>
      <c r="G1422" s="721"/>
      <c r="H1422" s="738" t="s">
        <v>2734</v>
      </c>
      <c r="I1422" s="379">
        <v>1</v>
      </c>
      <c r="J1422" s="721">
        <v>100</v>
      </c>
      <c r="K1422" s="374">
        <f t="shared" si="57"/>
        <v>0</v>
      </c>
      <c r="L1422" s="374">
        <f t="shared" si="58"/>
        <v>100</v>
      </c>
      <c r="M1422" s="329"/>
      <c r="N1422" s="690"/>
      <c r="O1422" s="690"/>
      <c r="P1422" s="288"/>
      <c r="Q1422" s="553"/>
      <c r="R1422" s="525"/>
      <c r="S1422" s="729"/>
    </row>
    <row r="1423" spans="1:19" s="385" customFormat="1" ht="30.6" customHeight="1">
      <c r="A1423" s="379">
        <v>19</v>
      </c>
      <c r="B1423" s="750" t="s">
        <v>661</v>
      </c>
      <c r="C1423" s="754" t="s">
        <v>1861</v>
      </c>
      <c r="D1423" s="409"/>
      <c r="E1423" s="738"/>
      <c r="F1423" s="727"/>
      <c r="G1423" s="721"/>
      <c r="H1423" s="738" t="s">
        <v>2734</v>
      </c>
      <c r="I1423" s="379">
        <v>1</v>
      </c>
      <c r="J1423" s="721">
        <v>100</v>
      </c>
      <c r="K1423" s="374">
        <f t="shared" si="57"/>
        <v>0</v>
      </c>
      <c r="L1423" s="374">
        <f t="shared" si="58"/>
        <v>100</v>
      </c>
      <c r="M1423" s="329"/>
      <c r="N1423" s="690"/>
      <c r="O1423" s="690"/>
      <c r="P1423" s="288"/>
      <c r="Q1423" s="553"/>
      <c r="R1423" s="525"/>
      <c r="S1423" s="729"/>
    </row>
    <row r="1424" spans="1:19" s="385" customFormat="1" ht="30.6" customHeight="1">
      <c r="A1424" s="379">
        <v>20</v>
      </c>
      <c r="B1424" s="750" t="s">
        <v>662</v>
      </c>
      <c r="C1424" s="754" t="s">
        <v>1862</v>
      </c>
      <c r="D1424" s="409"/>
      <c r="E1424" s="738"/>
      <c r="F1424" s="727"/>
      <c r="G1424" s="721"/>
      <c r="H1424" s="738" t="s">
        <v>2734</v>
      </c>
      <c r="I1424" s="379">
        <v>1</v>
      </c>
      <c r="J1424" s="721">
        <v>100</v>
      </c>
      <c r="K1424" s="374">
        <f t="shared" si="57"/>
        <v>0</v>
      </c>
      <c r="L1424" s="374">
        <f t="shared" si="58"/>
        <v>100</v>
      </c>
      <c r="M1424" s="329"/>
      <c r="N1424" s="690"/>
      <c r="O1424" s="690"/>
      <c r="P1424" s="288"/>
      <c r="Q1424" s="553"/>
      <c r="R1424" s="525"/>
      <c r="S1424" s="729"/>
    </row>
    <row r="1425" spans="1:19" s="385" customFormat="1" ht="30.6" customHeight="1">
      <c r="A1425" s="379">
        <v>21</v>
      </c>
      <c r="B1425" s="750" t="s">
        <v>1019</v>
      </c>
      <c r="C1425" s="754" t="s">
        <v>1865</v>
      </c>
      <c r="D1425" s="409"/>
      <c r="E1425" s="738"/>
      <c r="F1425" s="727"/>
      <c r="G1425" s="721"/>
      <c r="H1425" s="738" t="s">
        <v>2734</v>
      </c>
      <c r="I1425" s="379">
        <v>1</v>
      </c>
      <c r="J1425" s="721">
        <v>100</v>
      </c>
      <c r="K1425" s="374">
        <f t="shared" si="57"/>
        <v>0</v>
      </c>
      <c r="L1425" s="374">
        <f t="shared" si="58"/>
        <v>100</v>
      </c>
      <c r="M1425" s="329"/>
      <c r="N1425" s="690"/>
      <c r="O1425" s="690"/>
      <c r="P1425" s="288"/>
      <c r="Q1425" s="553"/>
      <c r="R1425" s="525"/>
      <c r="S1425" s="729"/>
    </row>
    <row r="1426" spans="1:19" s="385" customFormat="1" ht="30.6" customHeight="1">
      <c r="A1426" s="379">
        <v>22</v>
      </c>
      <c r="B1426" s="750" t="s">
        <v>1162</v>
      </c>
      <c r="C1426" s="754" t="s">
        <v>1866</v>
      </c>
      <c r="D1426" s="409"/>
      <c r="E1426" s="738"/>
      <c r="F1426" s="727"/>
      <c r="G1426" s="721"/>
      <c r="H1426" s="738" t="s">
        <v>2734</v>
      </c>
      <c r="I1426" s="379">
        <v>1</v>
      </c>
      <c r="J1426" s="721">
        <v>100</v>
      </c>
      <c r="K1426" s="374">
        <f t="shared" si="57"/>
        <v>0</v>
      </c>
      <c r="L1426" s="374">
        <f t="shared" si="58"/>
        <v>100</v>
      </c>
      <c r="M1426" s="329"/>
      <c r="N1426" s="690"/>
      <c r="O1426" s="690"/>
      <c r="P1426" s="288"/>
      <c r="Q1426" s="553"/>
      <c r="R1426" s="525"/>
      <c r="S1426" s="729"/>
    </row>
    <row r="1427" spans="1:19" s="385" customFormat="1" ht="30.6" customHeight="1">
      <c r="A1427" s="379">
        <v>23</v>
      </c>
      <c r="B1427" s="750" t="s">
        <v>664</v>
      </c>
      <c r="C1427" s="754" t="s">
        <v>1867</v>
      </c>
      <c r="D1427" s="409"/>
      <c r="E1427" s="738"/>
      <c r="F1427" s="727"/>
      <c r="G1427" s="721"/>
      <c r="H1427" s="738" t="s">
        <v>2734</v>
      </c>
      <c r="I1427" s="379">
        <v>1</v>
      </c>
      <c r="J1427" s="721">
        <v>100</v>
      </c>
      <c r="K1427" s="374">
        <f t="shared" si="57"/>
        <v>0</v>
      </c>
      <c r="L1427" s="374">
        <f t="shared" si="58"/>
        <v>100</v>
      </c>
      <c r="M1427" s="329"/>
      <c r="N1427" s="690"/>
      <c r="O1427" s="690"/>
      <c r="P1427" s="288"/>
      <c r="Q1427" s="553"/>
      <c r="R1427" s="525"/>
      <c r="S1427" s="729"/>
    </row>
    <row r="1428" spans="1:19" s="385" customFormat="1" ht="30.6" customHeight="1">
      <c r="A1428" s="379">
        <v>24</v>
      </c>
      <c r="B1428" s="750" t="s">
        <v>1164</v>
      </c>
      <c r="C1428" s="754" t="s">
        <v>1868</v>
      </c>
      <c r="D1428" s="409"/>
      <c r="E1428" s="738"/>
      <c r="F1428" s="727"/>
      <c r="G1428" s="721"/>
      <c r="H1428" s="738" t="s">
        <v>2734</v>
      </c>
      <c r="I1428" s="379">
        <v>1</v>
      </c>
      <c r="J1428" s="721">
        <v>100</v>
      </c>
      <c r="K1428" s="374">
        <f t="shared" si="57"/>
        <v>0</v>
      </c>
      <c r="L1428" s="374">
        <f t="shared" si="58"/>
        <v>100</v>
      </c>
      <c r="M1428" s="329"/>
      <c r="N1428" s="690"/>
      <c r="O1428" s="690"/>
      <c r="P1428" s="288"/>
      <c r="Q1428" s="553"/>
      <c r="R1428" s="525"/>
      <c r="S1428" s="729"/>
    </row>
    <row r="1429" spans="1:19" s="385" customFormat="1" ht="30.6" customHeight="1">
      <c r="A1429" s="379">
        <v>25</v>
      </c>
      <c r="B1429" s="750" t="s">
        <v>359</v>
      </c>
      <c r="C1429" s="754" t="s">
        <v>1869</v>
      </c>
      <c r="D1429" s="409"/>
      <c r="E1429" s="738"/>
      <c r="F1429" s="727"/>
      <c r="G1429" s="721"/>
      <c r="H1429" s="738" t="s">
        <v>2734</v>
      </c>
      <c r="I1429" s="379">
        <v>1</v>
      </c>
      <c r="J1429" s="721">
        <v>100</v>
      </c>
      <c r="K1429" s="374">
        <f t="shared" si="57"/>
        <v>0</v>
      </c>
      <c r="L1429" s="374">
        <f t="shared" si="58"/>
        <v>100</v>
      </c>
      <c r="M1429" s="329"/>
      <c r="N1429" s="690"/>
      <c r="O1429" s="690"/>
      <c r="P1429" s="288"/>
      <c r="Q1429" s="553"/>
      <c r="R1429" s="525"/>
      <c r="S1429" s="729"/>
    </row>
    <row r="1430" spans="1:19" s="385" customFormat="1" ht="30.6" customHeight="1">
      <c r="A1430" s="379">
        <v>26</v>
      </c>
      <c r="B1430" s="750" t="s">
        <v>1551</v>
      </c>
      <c r="C1430" s="754" t="s">
        <v>1870</v>
      </c>
      <c r="D1430" s="409"/>
      <c r="E1430" s="738"/>
      <c r="F1430" s="727"/>
      <c r="G1430" s="721"/>
      <c r="H1430" s="738" t="s">
        <v>2734</v>
      </c>
      <c r="I1430" s="379">
        <v>1</v>
      </c>
      <c r="J1430" s="721">
        <v>100</v>
      </c>
      <c r="K1430" s="374">
        <f t="shared" si="57"/>
        <v>0</v>
      </c>
      <c r="L1430" s="374">
        <f t="shared" si="58"/>
        <v>100</v>
      </c>
      <c r="M1430" s="329"/>
      <c r="N1430" s="690"/>
      <c r="O1430" s="690"/>
      <c r="P1430" s="288"/>
      <c r="Q1430" s="553"/>
      <c r="R1430" s="525"/>
      <c r="S1430" s="729"/>
    </row>
    <row r="1431" spans="1:19" s="385" customFormat="1" ht="30.6" customHeight="1">
      <c r="A1431" s="379">
        <v>27</v>
      </c>
      <c r="B1431" s="750" t="s">
        <v>668</v>
      </c>
      <c r="C1431" s="754" t="s">
        <v>1871</v>
      </c>
      <c r="D1431" s="409"/>
      <c r="E1431" s="738"/>
      <c r="F1431" s="727"/>
      <c r="G1431" s="721"/>
      <c r="H1431" s="738" t="s">
        <v>2734</v>
      </c>
      <c r="I1431" s="379">
        <v>1</v>
      </c>
      <c r="J1431" s="721">
        <v>100</v>
      </c>
      <c r="K1431" s="374">
        <f t="shared" si="57"/>
        <v>0</v>
      </c>
      <c r="L1431" s="374">
        <f t="shared" si="58"/>
        <v>100</v>
      </c>
      <c r="M1431" s="329"/>
      <c r="N1431" s="690"/>
      <c r="O1431" s="690"/>
      <c r="P1431" s="288"/>
      <c r="Q1431" s="553"/>
      <c r="R1431" s="525"/>
      <c r="S1431" s="729"/>
    </row>
    <row r="1432" spans="1:19" s="385" customFormat="1" ht="30.6" customHeight="1">
      <c r="A1432" s="379">
        <v>28</v>
      </c>
      <c r="B1432" s="750" t="s">
        <v>1662</v>
      </c>
      <c r="C1432" s="754" t="s">
        <v>1872</v>
      </c>
      <c r="D1432" s="409"/>
      <c r="E1432" s="738"/>
      <c r="F1432" s="727"/>
      <c r="G1432" s="721"/>
      <c r="H1432" s="738" t="s">
        <v>2734</v>
      </c>
      <c r="I1432" s="379">
        <v>1</v>
      </c>
      <c r="J1432" s="721">
        <v>100</v>
      </c>
      <c r="K1432" s="374">
        <f t="shared" si="57"/>
        <v>0</v>
      </c>
      <c r="L1432" s="374">
        <f t="shared" si="58"/>
        <v>100</v>
      </c>
      <c r="M1432" s="329"/>
      <c r="N1432" s="690"/>
      <c r="O1432" s="690"/>
      <c r="P1432" s="288"/>
      <c r="Q1432" s="553"/>
      <c r="R1432" s="525"/>
      <c r="S1432" s="729"/>
    </row>
    <row r="1433" spans="1:19" s="385" customFormat="1" ht="30.6" customHeight="1">
      <c r="A1433" s="379">
        <v>29</v>
      </c>
      <c r="B1433" s="750" t="s">
        <v>671</v>
      </c>
      <c r="C1433" s="754" t="s">
        <v>1873</v>
      </c>
      <c r="D1433" s="409"/>
      <c r="E1433" s="738"/>
      <c r="F1433" s="727"/>
      <c r="G1433" s="721"/>
      <c r="H1433" s="738" t="s">
        <v>2734</v>
      </c>
      <c r="I1433" s="379">
        <v>1</v>
      </c>
      <c r="J1433" s="721">
        <v>100</v>
      </c>
      <c r="K1433" s="374">
        <f t="shared" si="57"/>
        <v>0</v>
      </c>
      <c r="L1433" s="374">
        <f t="shared" si="58"/>
        <v>100</v>
      </c>
      <c r="M1433" s="329"/>
      <c r="N1433" s="690"/>
      <c r="O1433" s="690"/>
      <c r="P1433" s="288"/>
      <c r="Q1433" s="553"/>
      <c r="R1433" s="525"/>
      <c r="S1433" s="729"/>
    </row>
    <row r="1434" spans="1:19" s="385" customFormat="1" ht="30.6" customHeight="1">
      <c r="A1434" s="379">
        <v>30</v>
      </c>
      <c r="B1434" s="750" t="s">
        <v>1335</v>
      </c>
      <c r="C1434" s="754" t="s">
        <v>1874</v>
      </c>
      <c r="D1434" s="409"/>
      <c r="E1434" s="738"/>
      <c r="F1434" s="727"/>
      <c r="G1434" s="721"/>
      <c r="H1434" s="738" t="s">
        <v>2734</v>
      </c>
      <c r="I1434" s="379">
        <v>1</v>
      </c>
      <c r="J1434" s="721">
        <v>100</v>
      </c>
      <c r="K1434" s="374">
        <f t="shared" si="57"/>
        <v>0</v>
      </c>
      <c r="L1434" s="374">
        <f t="shared" si="58"/>
        <v>100</v>
      </c>
      <c r="M1434" s="329"/>
      <c r="N1434" s="690"/>
      <c r="O1434" s="690"/>
      <c r="P1434" s="288"/>
      <c r="Q1434" s="553"/>
      <c r="R1434" s="525"/>
      <c r="S1434" s="729"/>
    </row>
    <row r="1435" spans="1:19" s="385" customFormat="1" ht="30.6" customHeight="1">
      <c r="A1435" s="379">
        <v>31</v>
      </c>
      <c r="B1435" s="750" t="s">
        <v>672</v>
      </c>
      <c r="C1435" s="754" t="s">
        <v>1875</v>
      </c>
      <c r="D1435" s="409"/>
      <c r="E1435" s="738"/>
      <c r="F1435" s="727"/>
      <c r="G1435" s="721"/>
      <c r="H1435" s="738" t="s">
        <v>2734</v>
      </c>
      <c r="I1435" s="379">
        <v>1</v>
      </c>
      <c r="J1435" s="721">
        <v>100</v>
      </c>
      <c r="K1435" s="374">
        <f t="shared" si="57"/>
        <v>0</v>
      </c>
      <c r="L1435" s="374">
        <f t="shared" si="58"/>
        <v>100</v>
      </c>
      <c r="M1435" s="329"/>
      <c r="N1435" s="690"/>
      <c r="O1435" s="690"/>
      <c r="P1435" s="288"/>
      <c r="Q1435" s="553"/>
      <c r="R1435" s="525"/>
      <c r="S1435" s="729"/>
    </row>
    <row r="1436" spans="1:19" s="385" customFormat="1" ht="30.6" customHeight="1">
      <c r="A1436" s="379">
        <v>32</v>
      </c>
      <c r="B1436" s="750" t="s">
        <v>517</v>
      </c>
      <c r="C1436" s="754" t="s">
        <v>1876</v>
      </c>
      <c r="D1436" s="409"/>
      <c r="E1436" s="738"/>
      <c r="F1436" s="727"/>
      <c r="G1436" s="721"/>
      <c r="H1436" s="738" t="s">
        <v>2734</v>
      </c>
      <c r="I1436" s="379">
        <v>1</v>
      </c>
      <c r="J1436" s="721">
        <v>100</v>
      </c>
      <c r="K1436" s="374">
        <f t="shared" si="57"/>
        <v>0</v>
      </c>
      <c r="L1436" s="374">
        <f t="shared" si="58"/>
        <v>100</v>
      </c>
      <c r="M1436" s="329"/>
      <c r="N1436" s="690"/>
      <c r="O1436" s="690"/>
      <c r="P1436" s="288"/>
      <c r="Q1436" s="553"/>
      <c r="R1436" s="525"/>
      <c r="S1436" s="729"/>
    </row>
    <row r="1437" spans="1:19" s="385" customFormat="1" ht="30.6" customHeight="1">
      <c r="A1437" s="379">
        <v>33</v>
      </c>
      <c r="B1437" s="750" t="s">
        <v>673</v>
      </c>
      <c r="C1437" s="754" t="s">
        <v>1877</v>
      </c>
      <c r="D1437" s="409"/>
      <c r="E1437" s="738"/>
      <c r="F1437" s="727"/>
      <c r="G1437" s="721"/>
      <c r="H1437" s="738" t="s">
        <v>2734</v>
      </c>
      <c r="I1437" s="379">
        <v>1</v>
      </c>
      <c r="J1437" s="721">
        <v>100</v>
      </c>
      <c r="K1437" s="374">
        <f t="shared" si="57"/>
        <v>0</v>
      </c>
      <c r="L1437" s="374">
        <f t="shared" si="58"/>
        <v>100</v>
      </c>
      <c r="M1437" s="329"/>
      <c r="N1437" s="690"/>
      <c r="O1437" s="690"/>
      <c r="P1437" s="288"/>
      <c r="Q1437" s="553"/>
      <c r="R1437" s="525"/>
      <c r="S1437" s="729"/>
    </row>
    <row r="1438" spans="1:19" s="385" customFormat="1" ht="30.6" customHeight="1">
      <c r="A1438" s="379">
        <v>34</v>
      </c>
      <c r="B1438" s="750" t="s">
        <v>674</v>
      </c>
      <c r="C1438" s="754" t="s">
        <v>1878</v>
      </c>
      <c r="D1438" s="409"/>
      <c r="E1438" s="738"/>
      <c r="F1438" s="727"/>
      <c r="G1438" s="721"/>
      <c r="H1438" s="738" t="s">
        <v>2734</v>
      </c>
      <c r="I1438" s="379">
        <v>1</v>
      </c>
      <c r="J1438" s="721">
        <v>100</v>
      </c>
      <c r="K1438" s="374">
        <f t="shared" si="57"/>
        <v>0</v>
      </c>
      <c r="L1438" s="374">
        <f t="shared" si="58"/>
        <v>100</v>
      </c>
      <c r="M1438" s="329"/>
      <c r="N1438" s="690"/>
      <c r="O1438" s="690"/>
      <c r="P1438" s="288"/>
      <c r="Q1438" s="553"/>
      <c r="R1438" s="525"/>
      <c r="S1438" s="729"/>
    </row>
    <row r="1439" spans="1:19" s="385" customFormat="1" ht="30.6" customHeight="1">
      <c r="A1439" s="379">
        <v>35</v>
      </c>
      <c r="B1439" s="750" t="s">
        <v>675</v>
      </c>
      <c r="C1439" s="754" t="s">
        <v>1879</v>
      </c>
      <c r="D1439" s="409"/>
      <c r="E1439" s="738"/>
      <c r="F1439" s="727"/>
      <c r="G1439" s="721"/>
      <c r="H1439" s="738" t="s">
        <v>2734</v>
      </c>
      <c r="I1439" s="379">
        <v>1</v>
      </c>
      <c r="J1439" s="721">
        <v>100</v>
      </c>
      <c r="K1439" s="374">
        <f t="shared" si="57"/>
        <v>0</v>
      </c>
      <c r="L1439" s="374">
        <f t="shared" si="58"/>
        <v>100</v>
      </c>
      <c r="M1439" s="329"/>
      <c r="N1439" s="690"/>
      <c r="O1439" s="690"/>
      <c r="P1439" s="288"/>
      <c r="Q1439" s="553"/>
      <c r="R1439" s="525"/>
      <c r="S1439" s="729"/>
    </row>
    <row r="1440" spans="1:19" s="385" customFormat="1" ht="30.6" customHeight="1">
      <c r="A1440" s="379">
        <v>36</v>
      </c>
      <c r="B1440" s="750" t="s">
        <v>676</v>
      </c>
      <c r="C1440" s="754" t="s">
        <v>1880</v>
      </c>
      <c r="D1440" s="409"/>
      <c r="E1440" s="738"/>
      <c r="F1440" s="727"/>
      <c r="G1440" s="721"/>
      <c r="H1440" s="738" t="s">
        <v>2734</v>
      </c>
      <c r="I1440" s="379">
        <v>1</v>
      </c>
      <c r="J1440" s="721">
        <v>100</v>
      </c>
      <c r="K1440" s="374">
        <f t="shared" si="57"/>
        <v>0</v>
      </c>
      <c r="L1440" s="374">
        <f t="shared" si="58"/>
        <v>100</v>
      </c>
      <c r="M1440" s="329"/>
      <c r="N1440" s="690"/>
      <c r="O1440" s="690"/>
      <c r="P1440" s="288"/>
      <c r="Q1440" s="553"/>
      <c r="R1440" s="525"/>
      <c r="S1440" s="729"/>
    </row>
    <row r="1441" spans="1:19" s="385" customFormat="1" ht="30.6" customHeight="1">
      <c r="A1441" s="379">
        <v>37</v>
      </c>
      <c r="B1441" s="750" t="s">
        <v>677</v>
      </c>
      <c r="C1441" s="754" t="s">
        <v>1881</v>
      </c>
      <c r="D1441" s="409"/>
      <c r="E1441" s="738"/>
      <c r="F1441" s="727"/>
      <c r="G1441" s="721"/>
      <c r="H1441" s="738" t="s">
        <v>2734</v>
      </c>
      <c r="I1441" s="379">
        <v>1</v>
      </c>
      <c r="J1441" s="721">
        <v>100</v>
      </c>
      <c r="K1441" s="374">
        <f t="shared" si="57"/>
        <v>0</v>
      </c>
      <c r="L1441" s="374">
        <f t="shared" ref="L1441:L1504" si="59">+J1441</f>
        <v>100</v>
      </c>
      <c r="M1441" s="329"/>
      <c r="N1441" s="690"/>
      <c r="O1441" s="690"/>
      <c r="P1441" s="288"/>
      <c r="Q1441" s="553"/>
      <c r="R1441" s="525"/>
      <c r="S1441" s="729"/>
    </row>
    <row r="1442" spans="1:19" s="385" customFormat="1" ht="30.6" customHeight="1">
      <c r="A1442" s="379">
        <v>38</v>
      </c>
      <c r="B1442" s="750" t="s">
        <v>1404</v>
      </c>
      <c r="C1442" s="754" t="s">
        <v>1882</v>
      </c>
      <c r="D1442" s="409"/>
      <c r="E1442" s="738"/>
      <c r="F1442" s="727"/>
      <c r="G1442" s="721"/>
      <c r="H1442" s="738" t="s">
        <v>2734</v>
      </c>
      <c r="I1442" s="379">
        <v>1</v>
      </c>
      <c r="J1442" s="721">
        <v>100</v>
      </c>
      <c r="K1442" s="374">
        <f t="shared" si="57"/>
        <v>0</v>
      </c>
      <c r="L1442" s="374">
        <f t="shared" si="59"/>
        <v>100</v>
      </c>
      <c r="M1442" s="329"/>
      <c r="N1442" s="690"/>
      <c r="O1442" s="690"/>
      <c r="P1442" s="288"/>
      <c r="Q1442" s="553"/>
      <c r="R1442" s="525"/>
      <c r="S1442" s="729"/>
    </row>
    <row r="1443" spans="1:19" s="385" customFormat="1" ht="30.6" customHeight="1">
      <c r="A1443" s="379">
        <v>39</v>
      </c>
      <c r="B1443" s="750" t="s">
        <v>1339</v>
      </c>
      <c r="C1443" s="754" t="s">
        <v>1883</v>
      </c>
      <c r="D1443" s="409"/>
      <c r="E1443" s="738"/>
      <c r="F1443" s="727"/>
      <c r="G1443" s="721"/>
      <c r="H1443" s="738" t="s">
        <v>2734</v>
      </c>
      <c r="I1443" s="379">
        <v>1</v>
      </c>
      <c r="J1443" s="721">
        <v>100</v>
      </c>
      <c r="K1443" s="374">
        <f t="shared" si="57"/>
        <v>0</v>
      </c>
      <c r="L1443" s="374">
        <f t="shared" si="59"/>
        <v>100</v>
      </c>
      <c r="M1443" s="329"/>
      <c r="N1443" s="690"/>
      <c r="O1443" s="690"/>
      <c r="P1443" s="288"/>
      <c r="Q1443" s="553"/>
      <c r="R1443" s="525"/>
      <c r="S1443" s="729"/>
    </row>
    <row r="1444" spans="1:19" s="385" customFormat="1" ht="30.6" customHeight="1">
      <c r="A1444" s="379">
        <v>40</v>
      </c>
      <c r="B1444" s="750" t="s">
        <v>678</v>
      </c>
      <c r="C1444" s="754" t="s">
        <v>1884</v>
      </c>
      <c r="D1444" s="409"/>
      <c r="E1444" s="738"/>
      <c r="F1444" s="727"/>
      <c r="G1444" s="721"/>
      <c r="H1444" s="738" t="s">
        <v>2734</v>
      </c>
      <c r="I1444" s="379">
        <v>1</v>
      </c>
      <c r="J1444" s="721">
        <v>100</v>
      </c>
      <c r="K1444" s="374">
        <f t="shared" si="57"/>
        <v>0</v>
      </c>
      <c r="L1444" s="374">
        <f t="shared" si="59"/>
        <v>100</v>
      </c>
      <c r="M1444" s="329"/>
      <c r="N1444" s="690"/>
      <c r="O1444" s="690"/>
      <c r="P1444" s="288"/>
      <c r="Q1444" s="553"/>
      <c r="R1444" s="525"/>
      <c r="S1444" s="729"/>
    </row>
    <row r="1445" spans="1:19" s="385" customFormat="1" ht="30.6" customHeight="1">
      <c r="A1445" s="379">
        <v>41</v>
      </c>
      <c r="B1445" s="750" t="s">
        <v>1021</v>
      </c>
      <c r="C1445" s="754" t="s">
        <v>1885</v>
      </c>
      <c r="D1445" s="409"/>
      <c r="E1445" s="738"/>
      <c r="F1445" s="727"/>
      <c r="G1445" s="721"/>
      <c r="H1445" s="738" t="s">
        <v>2734</v>
      </c>
      <c r="I1445" s="379">
        <v>1</v>
      </c>
      <c r="J1445" s="721">
        <v>100</v>
      </c>
      <c r="K1445" s="374">
        <f t="shared" si="57"/>
        <v>0</v>
      </c>
      <c r="L1445" s="374">
        <f t="shared" si="59"/>
        <v>100</v>
      </c>
      <c r="M1445" s="329"/>
      <c r="N1445" s="690"/>
      <c r="O1445" s="690"/>
      <c r="P1445" s="288"/>
      <c r="Q1445" s="553"/>
      <c r="R1445" s="525"/>
      <c r="S1445" s="729"/>
    </row>
    <row r="1446" spans="1:19" s="385" customFormat="1" ht="30.6" customHeight="1">
      <c r="A1446" s="379">
        <v>42</v>
      </c>
      <c r="B1446" s="750" t="s">
        <v>1079</v>
      </c>
      <c r="C1446" s="754" t="s">
        <v>1886</v>
      </c>
      <c r="D1446" s="409"/>
      <c r="E1446" s="738"/>
      <c r="F1446" s="727"/>
      <c r="G1446" s="721"/>
      <c r="H1446" s="738" t="s">
        <v>2734</v>
      </c>
      <c r="I1446" s="379">
        <v>1</v>
      </c>
      <c r="J1446" s="721">
        <v>100</v>
      </c>
      <c r="K1446" s="374">
        <f t="shared" si="57"/>
        <v>0</v>
      </c>
      <c r="L1446" s="374">
        <f t="shared" si="59"/>
        <v>100</v>
      </c>
      <c r="M1446" s="329"/>
      <c r="N1446" s="690"/>
      <c r="O1446" s="690"/>
      <c r="P1446" s="288"/>
      <c r="Q1446" s="553"/>
      <c r="R1446" s="525"/>
      <c r="S1446" s="729"/>
    </row>
    <row r="1447" spans="1:19" s="385" customFormat="1" ht="30.6" customHeight="1">
      <c r="A1447" s="379">
        <v>43</v>
      </c>
      <c r="B1447" s="750" t="s">
        <v>680</v>
      </c>
      <c r="C1447" s="754" t="s">
        <v>1887</v>
      </c>
      <c r="D1447" s="409"/>
      <c r="E1447" s="738"/>
      <c r="F1447" s="727"/>
      <c r="G1447" s="721"/>
      <c r="H1447" s="738" t="s">
        <v>2734</v>
      </c>
      <c r="I1447" s="379">
        <v>1</v>
      </c>
      <c r="J1447" s="721">
        <v>100</v>
      </c>
      <c r="K1447" s="374">
        <f t="shared" si="57"/>
        <v>0</v>
      </c>
      <c r="L1447" s="374">
        <f t="shared" si="59"/>
        <v>100</v>
      </c>
      <c r="M1447" s="329"/>
      <c r="N1447" s="690"/>
      <c r="O1447" s="690"/>
      <c r="P1447" s="288"/>
      <c r="Q1447" s="553"/>
      <c r="R1447" s="525"/>
      <c r="S1447" s="729"/>
    </row>
    <row r="1448" spans="1:19" s="385" customFormat="1" ht="30.6" customHeight="1">
      <c r="A1448" s="379">
        <v>44</v>
      </c>
      <c r="B1448" s="750" t="s">
        <v>1341</v>
      </c>
      <c r="C1448" s="754" t="s">
        <v>1888</v>
      </c>
      <c r="D1448" s="409"/>
      <c r="E1448" s="738"/>
      <c r="F1448" s="727"/>
      <c r="G1448" s="721"/>
      <c r="H1448" s="738" t="s">
        <v>2734</v>
      </c>
      <c r="I1448" s="379">
        <v>1</v>
      </c>
      <c r="J1448" s="721">
        <v>100</v>
      </c>
      <c r="K1448" s="374">
        <f t="shared" si="57"/>
        <v>0</v>
      </c>
      <c r="L1448" s="374">
        <f t="shared" si="59"/>
        <v>100</v>
      </c>
      <c r="M1448" s="329"/>
      <c r="N1448" s="690"/>
      <c r="O1448" s="690"/>
      <c r="P1448" s="288"/>
      <c r="Q1448" s="553"/>
      <c r="R1448" s="525"/>
      <c r="S1448" s="729"/>
    </row>
    <row r="1449" spans="1:19" s="385" customFormat="1" ht="30.6" customHeight="1">
      <c r="A1449" s="379">
        <v>45</v>
      </c>
      <c r="B1449" s="750" t="s">
        <v>1777</v>
      </c>
      <c r="C1449" s="754" t="s">
        <v>1889</v>
      </c>
      <c r="D1449" s="409"/>
      <c r="E1449" s="738"/>
      <c r="F1449" s="727"/>
      <c r="G1449" s="721"/>
      <c r="H1449" s="738" t="s">
        <v>2734</v>
      </c>
      <c r="I1449" s="379">
        <v>1</v>
      </c>
      <c r="J1449" s="721">
        <v>100</v>
      </c>
      <c r="K1449" s="374">
        <f t="shared" si="57"/>
        <v>0</v>
      </c>
      <c r="L1449" s="374">
        <f t="shared" si="59"/>
        <v>100</v>
      </c>
      <c r="M1449" s="329"/>
      <c r="N1449" s="690"/>
      <c r="O1449" s="690"/>
      <c r="P1449" s="288"/>
      <c r="Q1449" s="553"/>
      <c r="R1449" s="525"/>
      <c r="S1449" s="729"/>
    </row>
    <row r="1450" spans="1:19" s="385" customFormat="1" ht="30.6" customHeight="1">
      <c r="A1450" s="379">
        <v>46</v>
      </c>
      <c r="B1450" s="750" t="s">
        <v>1778</v>
      </c>
      <c r="C1450" s="754" t="s">
        <v>1890</v>
      </c>
      <c r="D1450" s="409"/>
      <c r="E1450" s="738"/>
      <c r="F1450" s="727"/>
      <c r="G1450" s="721"/>
      <c r="H1450" s="738" t="s">
        <v>2734</v>
      </c>
      <c r="I1450" s="379">
        <v>1</v>
      </c>
      <c r="J1450" s="721">
        <v>100</v>
      </c>
      <c r="K1450" s="374">
        <f t="shared" si="57"/>
        <v>0</v>
      </c>
      <c r="L1450" s="374">
        <f t="shared" si="59"/>
        <v>100</v>
      </c>
      <c r="M1450" s="329"/>
      <c r="N1450" s="690"/>
      <c r="O1450" s="690"/>
      <c r="P1450" s="288"/>
      <c r="Q1450" s="553"/>
      <c r="R1450" s="525"/>
      <c r="S1450" s="729"/>
    </row>
    <row r="1451" spans="1:19" s="385" customFormat="1" ht="30.6" customHeight="1">
      <c r="A1451" s="379">
        <v>47</v>
      </c>
      <c r="B1451" s="750" t="s">
        <v>681</v>
      </c>
      <c r="C1451" s="754" t="s">
        <v>1891</v>
      </c>
      <c r="D1451" s="409"/>
      <c r="E1451" s="738"/>
      <c r="F1451" s="727"/>
      <c r="G1451" s="721"/>
      <c r="H1451" s="738" t="s">
        <v>2734</v>
      </c>
      <c r="I1451" s="379">
        <v>1</v>
      </c>
      <c r="J1451" s="721">
        <v>100</v>
      </c>
      <c r="K1451" s="374">
        <f t="shared" si="57"/>
        <v>0</v>
      </c>
      <c r="L1451" s="374">
        <f t="shared" si="59"/>
        <v>100</v>
      </c>
      <c r="M1451" s="329"/>
      <c r="N1451" s="690"/>
      <c r="O1451" s="690"/>
      <c r="P1451" s="288"/>
      <c r="Q1451" s="553"/>
      <c r="R1451" s="525"/>
      <c r="S1451" s="729"/>
    </row>
    <row r="1452" spans="1:19" s="385" customFormat="1" ht="30.6" customHeight="1">
      <c r="A1452" s="379">
        <v>48</v>
      </c>
      <c r="B1452" s="750" t="s">
        <v>1082</v>
      </c>
      <c r="C1452" s="754" t="s">
        <v>1892</v>
      </c>
      <c r="D1452" s="409"/>
      <c r="E1452" s="738"/>
      <c r="F1452" s="727"/>
      <c r="G1452" s="721"/>
      <c r="H1452" s="738" t="s">
        <v>2734</v>
      </c>
      <c r="I1452" s="379">
        <v>1</v>
      </c>
      <c r="J1452" s="721">
        <v>100</v>
      </c>
      <c r="K1452" s="374">
        <f t="shared" ref="K1452:K1515" si="60">G1452*11.54/100</f>
        <v>0</v>
      </c>
      <c r="L1452" s="374">
        <f t="shared" si="59"/>
        <v>100</v>
      </c>
      <c r="M1452" s="329"/>
      <c r="N1452" s="690"/>
      <c r="O1452" s="690"/>
      <c r="P1452" s="288"/>
      <c r="Q1452" s="553"/>
      <c r="R1452" s="525"/>
      <c r="S1452" s="729"/>
    </row>
    <row r="1453" spans="1:19" s="385" customFormat="1" ht="30.6" customHeight="1">
      <c r="A1453" s="379">
        <v>49</v>
      </c>
      <c r="B1453" s="750" t="s">
        <v>1058</v>
      </c>
      <c r="C1453" s="754" t="s">
        <v>1893</v>
      </c>
      <c r="D1453" s="409"/>
      <c r="E1453" s="738"/>
      <c r="F1453" s="727"/>
      <c r="G1453" s="721"/>
      <c r="H1453" s="738" t="s">
        <v>2734</v>
      </c>
      <c r="I1453" s="379">
        <v>1</v>
      </c>
      <c r="J1453" s="721">
        <v>100</v>
      </c>
      <c r="K1453" s="374">
        <f t="shared" si="60"/>
        <v>0</v>
      </c>
      <c r="L1453" s="374">
        <f t="shared" si="59"/>
        <v>100</v>
      </c>
      <c r="M1453" s="329"/>
      <c r="N1453" s="690"/>
      <c r="O1453" s="690"/>
      <c r="P1453" s="288"/>
      <c r="Q1453" s="553"/>
      <c r="R1453" s="525"/>
      <c r="S1453" s="729"/>
    </row>
    <row r="1454" spans="1:19" s="385" customFormat="1" ht="30.6" customHeight="1">
      <c r="A1454" s="379">
        <v>50</v>
      </c>
      <c r="B1454" s="750" t="s">
        <v>1022</v>
      </c>
      <c r="C1454" s="754" t="s">
        <v>1049</v>
      </c>
      <c r="D1454" s="409"/>
      <c r="E1454" s="738"/>
      <c r="F1454" s="727"/>
      <c r="G1454" s="721"/>
      <c r="H1454" s="738" t="s">
        <v>2734</v>
      </c>
      <c r="I1454" s="379">
        <v>1</v>
      </c>
      <c r="J1454" s="721">
        <v>100</v>
      </c>
      <c r="K1454" s="374">
        <f t="shared" si="60"/>
        <v>0</v>
      </c>
      <c r="L1454" s="374">
        <f t="shared" si="59"/>
        <v>100</v>
      </c>
      <c r="M1454" s="329"/>
      <c r="N1454" s="690"/>
      <c r="O1454" s="690"/>
      <c r="P1454" s="288"/>
      <c r="Q1454" s="553"/>
      <c r="R1454" s="525"/>
      <c r="S1454" s="729"/>
    </row>
    <row r="1455" spans="1:19" s="385" customFormat="1" ht="30.6" customHeight="1">
      <c r="A1455" s="379">
        <v>51</v>
      </c>
      <c r="B1455" s="750" t="s">
        <v>683</v>
      </c>
      <c r="C1455" s="754" t="s">
        <v>1894</v>
      </c>
      <c r="D1455" s="409"/>
      <c r="E1455" s="738"/>
      <c r="F1455" s="727"/>
      <c r="G1455" s="721"/>
      <c r="H1455" s="738" t="s">
        <v>2734</v>
      </c>
      <c r="I1455" s="379">
        <v>1</v>
      </c>
      <c r="J1455" s="721">
        <v>100</v>
      </c>
      <c r="K1455" s="374">
        <f t="shared" si="60"/>
        <v>0</v>
      </c>
      <c r="L1455" s="374">
        <f t="shared" si="59"/>
        <v>100</v>
      </c>
      <c r="M1455" s="329"/>
      <c r="N1455" s="690"/>
      <c r="O1455" s="690"/>
      <c r="P1455" s="288"/>
      <c r="Q1455" s="553"/>
      <c r="R1455" s="525"/>
      <c r="S1455" s="729"/>
    </row>
    <row r="1456" spans="1:19" s="385" customFormat="1" ht="30.6" customHeight="1">
      <c r="A1456" s="379">
        <v>52</v>
      </c>
      <c r="B1456" s="750" t="s">
        <v>685</v>
      </c>
      <c r="C1456" s="754" t="s">
        <v>1895</v>
      </c>
      <c r="D1456" s="409"/>
      <c r="E1456" s="738"/>
      <c r="F1456" s="727"/>
      <c r="G1456" s="721"/>
      <c r="H1456" s="738" t="s">
        <v>2734</v>
      </c>
      <c r="I1456" s="379">
        <v>1</v>
      </c>
      <c r="J1456" s="721">
        <v>100</v>
      </c>
      <c r="K1456" s="374">
        <f t="shared" si="60"/>
        <v>0</v>
      </c>
      <c r="L1456" s="374">
        <f t="shared" si="59"/>
        <v>100</v>
      </c>
      <c r="M1456" s="329"/>
      <c r="N1456" s="690"/>
      <c r="O1456" s="690"/>
      <c r="P1456" s="288"/>
      <c r="Q1456" s="553"/>
      <c r="R1456" s="525"/>
      <c r="S1456" s="729"/>
    </row>
    <row r="1457" spans="1:19" s="385" customFormat="1" ht="30.6" customHeight="1">
      <c r="A1457" s="379">
        <v>53</v>
      </c>
      <c r="B1457" s="750" t="s">
        <v>1343</v>
      </c>
      <c r="C1457" s="754" t="s">
        <v>1896</v>
      </c>
      <c r="D1457" s="409"/>
      <c r="E1457" s="738"/>
      <c r="F1457" s="727"/>
      <c r="G1457" s="721"/>
      <c r="H1457" s="738" t="s">
        <v>2734</v>
      </c>
      <c r="I1457" s="379">
        <v>1</v>
      </c>
      <c r="J1457" s="721">
        <v>100</v>
      </c>
      <c r="K1457" s="374">
        <f t="shared" si="60"/>
        <v>0</v>
      </c>
      <c r="L1457" s="374">
        <f t="shared" si="59"/>
        <v>100</v>
      </c>
      <c r="M1457" s="329"/>
      <c r="N1457" s="690"/>
      <c r="O1457" s="690"/>
      <c r="P1457" s="288"/>
      <c r="Q1457" s="553"/>
      <c r="R1457" s="525"/>
      <c r="S1457" s="729"/>
    </row>
    <row r="1458" spans="1:19" s="385" customFormat="1" ht="30.6" customHeight="1">
      <c r="A1458" s="379">
        <v>54</v>
      </c>
      <c r="B1458" s="750" t="s">
        <v>1827</v>
      </c>
      <c r="C1458" s="754" t="s">
        <v>1897</v>
      </c>
      <c r="D1458" s="409"/>
      <c r="E1458" s="738"/>
      <c r="F1458" s="727"/>
      <c r="G1458" s="721"/>
      <c r="H1458" s="738" t="s">
        <v>2734</v>
      </c>
      <c r="I1458" s="379">
        <v>1</v>
      </c>
      <c r="J1458" s="721">
        <v>100</v>
      </c>
      <c r="K1458" s="374">
        <f t="shared" si="60"/>
        <v>0</v>
      </c>
      <c r="L1458" s="374">
        <f t="shared" si="59"/>
        <v>100</v>
      </c>
      <c r="M1458" s="329"/>
      <c r="N1458" s="690"/>
      <c r="O1458" s="690"/>
      <c r="P1458" s="288"/>
      <c r="Q1458" s="553"/>
      <c r="R1458" s="525"/>
      <c r="S1458" s="729"/>
    </row>
    <row r="1459" spans="1:19" s="385" customFormat="1" ht="30.6" customHeight="1">
      <c r="A1459" s="379">
        <v>55</v>
      </c>
      <c r="B1459" s="750" t="s">
        <v>1024</v>
      </c>
      <c r="C1459" s="754" t="s">
        <v>1898</v>
      </c>
      <c r="D1459" s="409"/>
      <c r="E1459" s="738"/>
      <c r="F1459" s="727"/>
      <c r="G1459" s="721"/>
      <c r="H1459" s="738" t="s">
        <v>2734</v>
      </c>
      <c r="I1459" s="379">
        <v>1</v>
      </c>
      <c r="J1459" s="721">
        <v>100</v>
      </c>
      <c r="K1459" s="374">
        <f t="shared" si="60"/>
        <v>0</v>
      </c>
      <c r="L1459" s="374">
        <f t="shared" si="59"/>
        <v>100</v>
      </c>
      <c r="M1459" s="329"/>
      <c r="N1459" s="690"/>
      <c r="O1459" s="690"/>
      <c r="P1459" s="288"/>
      <c r="Q1459" s="553"/>
      <c r="R1459" s="525"/>
      <c r="S1459" s="729"/>
    </row>
    <row r="1460" spans="1:19" s="385" customFormat="1" ht="30.6" customHeight="1">
      <c r="A1460" s="379">
        <v>56</v>
      </c>
      <c r="B1460" s="750" t="s">
        <v>1025</v>
      </c>
      <c r="C1460" s="754" t="s">
        <v>1899</v>
      </c>
      <c r="D1460" s="409"/>
      <c r="E1460" s="738"/>
      <c r="F1460" s="727"/>
      <c r="G1460" s="721"/>
      <c r="H1460" s="738" t="s">
        <v>2734</v>
      </c>
      <c r="I1460" s="379">
        <v>1</v>
      </c>
      <c r="J1460" s="721">
        <v>100</v>
      </c>
      <c r="K1460" s="374">
        <f t="shared" si="60"/>
        <v>0</v>
      </c>
      <c r="L1460" s="374">
        <f t="shared" si="59"/>
        <v>100</v>
      </c>
      <c r="M1460" s="329"/>
      <c r="N1460" s="690"/>
      <c r="O1460" s="690"/>
      <c r="P1460" s="288"/>
      <c r="Q1460" s="553"/>
      <c r="R1460" s="525"/>
      <c r="S1460" s="729"/>
    </row>
    <row r="1461" spans="1:19" s="385" customFormat="1" ht="30.6" customHeight="1">
      <c r="A1461" s="379">
        <v>57</v>
      </c>
      <c r="B1461" s="750" t="s">
        <v>1176</v>
      </c>
      <c r="C1461" s="754" t="s">
        <v>1900</v>
      </c>
      <c r="D1461" s="409"/>
      <c r="E1461" s="738"/>
      <c r="F1461" s="727"/>
      <c r="G1461" s="721"/>
      <c r="H1461" s="738" t="s">
        <v>2734</v>
      </c>
      <c r="I1461" s="379">
        <v>1</v>
      </c>
      <c r="J1461" s="721">
        <v>100</v>
      </c>
      <c r="K1461" s="374">
        <f t="shared" si="60"/>
        <v>0</v>
      </c>
      <c r="L1461" s="374">
        <f t="shared" si="59"/>
        <v>100</v>
      </c>
      <c r="M1461" s="329"/>
      <c r="N1461" s="690"/>
      <c r="O1461" s="690"/>
      <c r="P1461" s="288"/>
      <c r="Q1461" s="553"/>
      <c r="R1461" s="525"/>
      <c r="S1461" s="729"/>
    </row>
    <row r="1462" spans="1:19" s="385" customFormat="1" ht="30.6" customHeight="1">
      <c r="A1462" s="379">
        <v>58</v>
      </c>
      <c r="B1462" s="750" t="s">
        <v>1177</v>
      </c>
      <c r="C1462" s="754" t="s">
        <v>1901</v>
      </c>
      <c r="D1462" s="409"/>
      <c r="E1462" s="738"/>
      <c r="F1462" s="727"/>
      <c r="G1462" s="721"/>
      <c r="H1462" s="738" t="s">
        <v>2734</v>
      </c>
      <c r="I1462" s="379">
        <v>1</v>
      </c>
      <c r="J1462" s="721">
        <v>100</v>
      </c>
      <c r="K1462" s="374">
        <f t="shared" si="60"/>
        <v>0</v>
      </c>
      <c r="L1462" s="374">
        <f t="shared" si="59"/>
        <v>100</v>
      </c>
      <c r="M1462" s="329"/>
      <c r="N1462" s="690"/>
      <c r="O1462" s="690"/>
      <c r="P1462" s="288"/>
      <c r="Q1462" s="553"/>
      <c r="R1462" s="525"/>
      <c r="S1462" s="729"/>
    </row>
    <row r="1463" spans="1:19" s="385" customFormat="1" ht="30.6" customHeight="1">
      <c r="A1463" s="379">
        <v>59</v>
      </c>
      <c r="B1463" s="750" t="s">
        <v>1346</v>
      </c>
      <c r="C1463" s="754" t="s">
        <v>1902</v>
      </c>
      <c r="D1463" s="409"/>
      <c r="E1463" s="738"/>
      <c r="F1463" s="727"/>
      <c r="G1463" s="721"/>
      <c r="H1463" s="738" t="s">
        <v>2734</v>
      </c>
      <c r="I1463" s="379">
        <v>1</v>
      </c>
      <c r="J1463" s="721">
        <v>100</v>
      </c>
      <c r="K1463" s="374">
        <f t="shared" si="60"/>
        <v>0</v>
      </c>
      <c r="L1463" s="374">
        <f t="shared" si="59"/>
        <v>100</v>
      </c>
      <c r="M1463" s="329"/>
      <c r="N1463" s="690"/>
      <c r="O1463" s="690"/>
      <c r="P1463" s="288"/>
      <c r="Q1463" s="553"/>
      <c r="R1463" s="525"/>
      <c r="S1463" s="729"/>
    </row>
    <row r="1464" spans="1:19" s="385" customFormat="1" ht="30.6" customHeight="1">
      <c r="A1464" s="379">
        <v>60</v>
      </c>
      <c r="B1464" s="750" t="s">
        <v>1553</v>
      </c>
      <c r="C1464" s="754" t="s">
        <v>1903</v>
      </c>
      <c r="D1464" s="409"/>
      <c r="E1464" s="738"/>
      <c r="F1464" s="727"/>
      <c r="G1464" s="721"/>
      <c r="H1464" s="738" t="s">
        <v>2734</v>
      </c>
      <c r="I1464" s="379">
        <v>1</v>
      </c>
      <c r="J1464" s="721">
        <v>100</v>
      </c>
      <c r="K1464" s="374">
        <f t="shared" si="60"/>
        <v>0</v>
      </c>
      <c r="L1464" s="374">
        <f t="shared" si="59"/>
        <v>100</v>
      </c>
      <c r="M1464" s="329"/>
      <c r="N1464" s="690"/>
      <c r="O1464" s="690"/>
      <c r="P1464" s="288"/>
      <c r="Q1464" s="553"/>
      <c r="R1464" s="525"/>
      <c r="S1464" s="729"/>
    </row>
    <row r="1465" spans="1:19" s="385" customFormat="1" ht="30.6" customHeight="1">
      <c r="A1465" s="379">
        <v>61</v>
      </c>
      <c r="B1465" s="750" t="s">
        <v>412</v>
      </c>
      <c r="C1465" s="754" t="s">
        <v>1904</v>
      </c>
      <c r="D1465" s="409"/>
      <c r="E1465" s="738"/>
      <c r="F1465" s="727"/>
      <c r="G1465" s="721"/>
      <c r="H1465" s="738" t="s">
        <v>2734</v>
      </c>
      <c r="I1465" s="379">
        <v>1</v>
      </c>
      <c r="J1465" s="721">
        <v>100</v>
      </c>
      <c r="K1465" s="374">
        <f t="shared" si="60"/>
        <v>0</v>
      </c>
      <c r="L1465" s="374">
        <f t="shared" si="59"/>
        <v>100</v>
      </c>
      <c r="M1465" s="329"/>
      <c r="N1465" s="690"/>
      <c r="O1465" s="690"/>
      <c r="P1465" s="288"/>
      <c r="Q1465" s="553"/>
      <c r="R1465" s="525"/>
      <c r="S1465" s="729"/>
    </row>
    <row r="1466" spans="1:19" s="385" customFormat="1" ht="30.6" customHeight="1">
      <c r="A1466" s="379">
        <v>62</v>
      </c>
      <c r="B1466" s="750" t="s">
        <v>1027</v>
      </c>
      <c r="C1466" s="754" t="s">
        <v>1905</v>
      </c>
      <c r="D1466" s="409"/>
      <c r="E1466" s="738"/>
      <c r="F1466" s="727"/>
      <c r="G1466" s="721"/>
      <c r="H1466" s="738" t="s">
        <v>2734</v>
      </c>
      <c r="I1466" s="379">
        <v>1</v>
      </c>
      <c r="J1466" s="721">
        <v>100</v>
      </c>
      <c r="K1466" s="374">
        <f t="shared" si="60"/>
        <v>0</v>
      </c>
      <c r="L1466" s="374">
        <f t="shared" si="59"/>
        <v>100</v>
      </c>
      <c r="M1466" s="329"/>
      <c r="N1466" s="690"/>
      <c r="O1466" s="690"/>
      <c r="P1466" s="288"/>
      <c r="Q1466" s="553"/>
      <c r="R1466" s="525"/>
      <c r="S1466" s="729"/>
    </row>
    <row r="1467" spans="1:19" s="385" customFormat="1" ht="30.6" customHeight="1">
      <c r="A1467" s="379">
        <v>63</v>
      </c>
      <c r="B1467" s="750" t="s">
        <v>688</v>
      </c>
      <c r="C1467" s="754" t="s">
        <v>1906</v>
      </c>
      <c r="D1467" s="409"/>
      <c r="E1467" s="738"/>
      <c r="F1467" s="727"/>
      <c r="G1467" s="721"/>
      <c r="H1467" s="738" t="s">
        <v>2734</v>
      </c>
      <c r="I1467" s="379">
        <v>1</v>
      </c>
      <c r="J1467" s="721">
        <v>100</v>
      </c>
      <c r="K1467" s="374">
        <f t="shared" si="60"/>
        <v>0</v>
      </c>
      <c r="L1467" s="374">
        <f t="shared" si="59"/>
        <v>100</v>
      </c>
      <c r="M1467" s="329"/>
      <c r="N1467" s="690"/>
      <c r="O1467" s="690"/>
      <c r="P1467" s="288"/>
      <c r="Q1467" s="553"/>
      <c r="R1467" s="525"/>
      <c r="S1467" s="729"/>
    </row>
    <row r="1468" spans="1:19" s="385" customFormat="1" ht="30.6" customHeight="1">
      <c r="A1468" s="379">
        <v>64</v>
      </c>
      <c r="B1468" s="750" t="s">
        <v>689</v>
      </c>
      <c r="C1468" s="754" t="s">
        <v>1907</v>
      </c>
      <c r="D1468" s="409"/>
      <c r="E1468" s="738"/>
      <c r="F1468" s="727"/>
      <c r="G1468" s="721"/>
      <c r="H1468" s="738" t="s">
        <v>2734</v>
      </c>
      <c r="I1468" s="379">
        <v>1</v>
      </c>
      <c r="J1468" s="721">
        <v>100</v>
      </c>
      <c r="K1468" s="374">
        <f t="shared" si="60"/>
        <v>0</v>
      </c>
      <c r="L1468" s="374">
        <f t="shared" si="59"/>
        <v>100</v>
      </c>
      <c r="M1468" s="329"/>
      <c r="N1468" s="690"/>
      <c r="O1468" s="690"/>
      <c r="P1468" s="288"/>
      <c r="Q1468" s="553"/>
      <c r="R1468" s="525"/>
      <c r="S1468" s="729"/>
    </row>
    <row r="1469" spans="1:19" s="385" customFormat="1" ht="30.6" customHeight="1">
      <c r="A1469" s="379">
        <v>65</v>
      </c>
      <c r="B1469" s="750" t="s">
        <v>690</v>
      </c>
      <c r="C1469" s="754" t="s">
        <v>1050</v>
      </c>
      <c r="D1469" s="409"/>
      <c r="E1469" s="738"/>
      <c r="F1469" s="727"/>
      <c r="G1469" s="721"/>
      <c r="H1469" s="738" t="s">
        <v>2734</v>
      </c>
      <c r="I1469" s="379">
        <v>1</v>
      </c>
      <c r="J1469" s="721">
        <v>100</v>
      </c>
      <c r="K1469" s="374">
        <f t="shared" si="60"/>
        <v>0</v>
      </c>
      <c r="L1469" s="374">
        <f t="shared" si="59"/>
        <v>100</v>
      </c>
      <c r="M1469" s="329"/>
      <c r="N1469" s="690"/>
      <c r="O1469" s="690"/>
      <c r="P1469" s="288"/>
      <c r="Q1469" s="553"/>
      <c r="R1469" s="525"/>
      <c r="S1469" s="729"/>
    </row>
    <row r="1470" spans="1:19" s="385" customFormat="1" ht="30.6" customHeight="1">
      <c r="A1470" s="379">
        <v>66</v>
      </c>
      <c r="B1470" s="750" t="s">
        <v>1029</v>
      </c>
      <c r="C1470" s="754" t="s">
        <v>1908</v>
      </c>
      <c r="D1470" s="409"/>
      <c r="E1470" s="738"/>
      <c r="F1470" s="727"/>
      <c r="G1470" s="721"/>
      <c r="H1470" s="738" t="s">
        <v>2734</v>
      </c>
      <c r="I1470" s="379">
        <v>1</v>
      </c>
      <c r="J1470" s="721">
        <v>100</v>
      </c>
      <c r="K1470" s="374">
        <f t="shared" si="60"/>
        <v>0</v>
      </c>
      <c r="L1470" s="374">
        <f t="shared" si="59"/>
        <v>100</v>
      </c>
      <c r="M1470" s="329"/>
      <c r="N1470" s="690"/>
      <c r="O1470" s="690"/>
      <c r="P1470" s="288"/>
      <c r="Q1470" s="553"/>
      <c r="R1470" s="525"/>
      <c r="S1470" s="729"/>
    </row>
    <row r="1471" spans="1:19" s="385" customFormat="1" ht="30.6" customHeight="1">
      <c r="A1471" s="379">
        <v>67</v>
      </c>
      <c r="B1471" s="750" t="s">
        <v>1268</v>
      </c>
      <c r="C1471" s="754" t="s">
        <v>1909</v>
      </c>
      <c r="D1471" s="409"/>
      <c r="E1471" s="738"/>
      <c r="F1471" s="727"/>
      <c r="G1471" s="721"/>
      <c r="H1471" s="738" t="s">
        <v>2734</v>
      </c>
      <c r="I1471" s="379">
        <v>1</v>
      </c>
      <c r="J1471" s="721">
        <v>100</v>
      </c>
      <c r="K1471" s="374">
        <f t="shared" si="60"/>
        <v>0</v>
      </c>
      <c r="L1471" s="374">
        <f t="shared" si="59"/>
        <v>100</v>
      </c>
      <c r="M1471" s="329"/>
      <c r="N1471" s="690"/>
      <c r="O1471" s="690"/>
      <c r="P1471" s="288"/>
      <c r="Q1471" s="553"/>
      <c r="R1471" s="525"/>
      <c r="S1471" s="729"/>
    </row>
    <row r="1472" spans="1:19" s="385" customFormat="1" ht="30.6" customHeight="1">
      <c r="A1472" s="379">
        <v>68</v>
      </c>
      <c r="B1472" s="750" t="s">
        <v>1273</v>
      </c>
      <c r="C1472" s="754" t="s">
        <v>1910</v>
      </c>
      <c r="D1472" s="409"/>
      <c r="E1472" s="738"/>
      <c r="F1472" s="727"/>
      <c r="G1472" s="721"/>
      <c r="H1472" s="738" t="s">
        <v>2734</v>
      </c>
      <c r="I1472" s="379">
        <v>1</v>
      </c>
      <c r="J1472" s="721">
        <v>100</v>
      </c>
      <c r="K1472" s="374">
        <f t="shared" si="60"/>
        <v>0</v>
      </c>
      <c r="L1472" s="374">
        <f t="shared" si="59"/>
        <v>100</v>
      </c>
      <c r="M1472" s="329"/>
      <c r="N1472" s="690"/>
      <c r="O1472" s="690"/>
      <c r="P1472" s="288"/>
      <c r="Q1472" s="553"/>
      <c r="R1472" s="525"/>
      <c r="S1472" s="729"/>
    </row>
    <row r="1473" spans="1:19" s="385" customFormat="1" ht="30.6" customHeight="1">
      <c r="A1473" s="379">
        <v>69</v>
      </c>
      <c r="B1473" s="750" t="s">
        <v>1349</v>
      </c>
      <c r="C1473" s="754" t="s">
        <v>1911</v>
      </c>
      <c r="D1473" s="409"/>
      <c r="E1473" s="738"/>
      <c r="F1473" s="727"/>
      <c r="G1473" s="721"/>
      <c r="H1473" s="738" t="s">
        <v>2734</v>
      </c>
      <c r="I1473" s="379">
        <v>1</v>
      </c>
      <c r="J1473" s="721">
        <v>100</v>
      </c>
      <c r="K1473" s="374">
        <f t="shared" si="60"/>
        <v>0</v>
      </c>
      <c r="L1473" s="374">
        <f t="shared" si="59"/>
        <v>100</v>
      </c>
      <c r="M1473" s="329"/>
      <c r="N1473" s="690"/>
      <c r="O1473" s="690"/>
      <c r="P1473" s="288"/>
      <c r="Q1473" s="553"/>
      <c r="R1473" s="525"/>
      <c r="S1473" s="729"/>
    </row>
    <row r="1474" spans="1:19" s="385" customFormat="1" ht="30.6" customHeight="1">
      <c r="A1474" s="379">
        <v>70</v>
      </c>
      <c r="B1474" s="750" t="s">
        <v>692</v>
      </c>
      <c r="C1474" s="754" t="s">
        <v>1912</v>
      </c>
      <c r="D1474" s="409"/>
      <c r="E1474" s="738"/>
      <c r="F1474" s="727"/>
      <c r="G1474" s="721"/>
      <c r="H1474" s="738" t="s">
        <v>2734</v>
      </c>
      <c r="I1474" s="379">
        <v>1</v>
      </c>
      <c r="J1474" s="721">
        <v>100</v>
      </c>
      <c r="K1474" s="374">
        <f t="shared" si="60"/>
        <v>0</v>
      </c>
      <c r="L1474" s="374">
        <f t="shared" si="59"/>
        <v>100</v>
      </c>
      <c r="M1474" s="329"/>
      <c r="N1474" s="690"/>
      <c r="O1474" s="690"/>
      <c r="P1474" s="288"/>
      <c r="Q1474" s="553"/>
      <c r="R1474" s="525"/>
      <c r="S1474" s="729"/>
    </row>
    <row r="1475" spans="1:19" s="385" customFormat="1" ht="30.6" customHeight="1">
      <c r="A1475" s="379">
        <v>71</v>
      </c>
      <c r="B1475" s="750" t="s">
        <v>694</v>
      </c>
      <c r="C1475" s="754" t="s">
        <v>1914</v>
      </c>
      <c r="D1475" s="409"/>
      <c r="E1475" s="738"/>
      <c r="F1475" s="727"/>
      <c r="G1475" s="721"/>
      <c r="H1475" s="738" t="s">
        <v>2734</v>
      </c>
      <c r="I1475" s="379">
        <v>1</v>
      </c>
      <c r="J1475" s="721">
        <v>100</v>
      </c>
      <c r="K1475" s="374">
        <f t="shared" si="60"/>
        <v>0</v>
      </c>
      <c r="L1475" s="374">
        <f t="shared" si="59"/>
        <v>100</v>
      </c>
      <c r="M1475" s="329"/>
      <c r="N1475" s="690"/>
      <c r="O1475" s="690"/>
      <c r="P1475" s="288"/>
      <c r="Q1475" s="553"/>
      <c r="R1475" s="525"/>
      <c r="S1475" s="729"/>
    </row>
    <row r="1476" spans="1:19" s="385" customFormat="1" ht="30.6" customHeight="1">
      <c r="A1476" s="379">
        <v>72</v>
      </c>
      <c r="B1476" s="750" t="s">
        <v>696</v>
      </c>
      <c r="C1476" s="754" t="s">
        <v>1917</v>
      </c>
      <c r="D1476" s="409"/>
      <c r="E1476" s="738"/>
      <c r="F1476" s="727"/>
      <c r="G1476" s="721"/>
      <c r="H1476" s="738" t="s">
        <v>2734</v>
      </c>
      <c r="I1476" s="379">
        <v>1</v>
      </c>
      <c r="J1476" s="721">
        <v>100</v>
      </c>
      <c r="K1476" s="374">
        <f t="shared" si="60"/>
        <v>0</v>
      </c>
      <c r="L1476" s="374">
        <f t="shared" si="59"/>
        <v>100</v>
      </c>
      <c r="M1476" s="329"/>
      <c r="N1476" s="690"/>
      <c r="O1476" s="690"/>
      <c r="P1476" s="288"/>
      <c r="Q1476" s="553"/>
      <c r="R1476" s="525"/>
      <c r="S1476" s="729"/>
    </row>
    <row r="1477" spans="1:19" s="385" customFormat="1" ht="30.6" customHeight="1">
      <c r="A1477" s="379">
        <v>73</v>
      </c>
      <c r="B1477" s="750" t="s">
        <v>1053</v>
      </c>
      <c r="C1477" s="754" t="s">
        <v>1918</v>
      </c>
      <c r="D1477" s="409"/>
      <c r="E1477" s="738"/>
      <c r="F1477" s="727"/>
      <c r="G1477" s="721"/>
      <c r="H1477" s="738" t="s">
        <v>2734</v>
      </c>
      <c r="I1477" s="379">
        <v>1</v>
      </c>
      <c r="J1477" s="721">
        <v>100</v>
      </c>
      <c r="K1477" s="374">
        <f t="shared" si="60"/>
        <v>0</v>
      </c>
      <c r="L1477" s="374">
        <f t="shared" si="59"/>
        <v>100</v>
      </c>
      <c r="M1477" s="329"/>
      <c r="N1477" s="690"/>
      <c r="O1477" s="690"/>
      <c r="P1477" s="288"/>
      <c r="Q1477" s="553"/>
      <c r="R1477" s="525"/>
      <c r="S1477" s="729"/>
    </row>
    <row r="1478" spans="1:19" s="385" customFormat="1" ht="30.6" customHeight="1">
      <c r="A1478" s="379">
        <v>74</v>
      </c>
      <c r="B1478" s="750" t="s">
        <v>1555</v>
      </c>
      <c r="C1478" s="754" t="s">
        <v>1921</v>
      </c>
      <c r="D1478" s="409"/>
      <c r="E1478" s="738"/>
      <c r="F1478" s="727"/>
      <c r="G1478" s="721"/>
      <c r="H1478" s="738" t="s">
        <v>2734</v>
      </c>
      <c r="I1478" s="379">
        <v>1</v>
      </c>
      <c r="J1478" s="721">
        <v>100</v>
      </c>
      <c r="K1478" s="374">
        <f t="shared" si="60"/>
        <v>0</v>
      </c>
      <c r="L1478" s="374">
        <f t="shared" si="59"/>
        <v>100</v>
      </c>
      <c r="M1478" s="329"/>
      <c r="N1478" s="690"/>
      <c r="O1478" s="690"/>
      <c r="P1478" s="288"/>
      <c r="Q1478" s="553"/>
      <c r="R1478" s="525"/>
      <c r="S1478" s="729"/>
    </row>
    <row r="1479" spans="1:19" s="385" customFormat="1" ht="30.6" customHeight="1">
      <c r="A1479" s="379">
        <v>75</v>
      </c>
      <c r="B1479" s="750" t="s">
        <v>1557</v>
      </c>
      <c r="C1479" s="754" t="s">
        <v>1923</v>
      </c>
      <c r="D1479" s="409"/>
      <c r="E1479" s="738"/>
      <c r="F1479" s="727"/>
      <c r="G1479" s="721"/>
      <c r="H1479" s="738" t="s">
        <v>2734</v>
      </c>
      <c r="I1479" s="379">
        <v>1</v>
      </c>
      <c r="J1479" s="721">
        <v>100</v>
      </c>
      <c r="K1479" s="374">
        <f t="shared" si="60"/>
        <v>0</v>
      </c>
      <c r="L1479" s="374">
        <f t="shared" si="59"/>
        <v>100</v>
      </c>
      <c r="M1479" s="329"/>
      <c r="N1479" s="690"/>
      <c r="O1479" s="690"/>
      <c r="P1479" s="288"/>
      <c r="Q1479" s="553"/>
      <c r="R1479" s="525"/>
      <c r="S1479" s="729"/>
    </row>
    <row r="1480" spans="1:19" s="385" customFormat="1" ht="30.6" customHeight="1">
      <c r="A1480" s="379">
        <v>76</v>
      </c>
      <c r="B1480" s="750" t="s">
        <v>1782</v>
      </c>
      <c r="C1480" s="754" t="s">
        <v>1924</v>
      </c>
      <c r="D1480" s="409"/>
      <c r="E1480" s="738"/>
      <c r="F1480" s="727"/>
      <c r="G1480" s="721"/>
      <c r="H1480" s="738" t="s">
        <v>2734</v>
      </c>
      <c r="I1480" s="379">
        <v>1</v>
      </c>
      <c r="J1480" s="721">
        <v>100</v>
      </c>
      <c r="K1480" s="374">
        <f t="shared" si="60"/>
        <v>0</v>
      </c>
      <c r="L1480" s="374">
        <f t="shared" si="59"/>
        <v>100</v>
      </c>
      <c r="M1480" s="329"/>
      <c r="N1480" s="690"/>
      <c r="O1480" s="690"/>
      <c r="P1480" s="288"/>
      <c r="Q1480" s="553"/>
      <c r="R1480" s="525"/>
      <c r="S1480" s="729"/>
    </row>
    <row r="1481" spans="1:19" s="385" customFormat="1" ht="30.6" customHeight="1">
      <c r="A1481" s="379">
        <v>77</v>
      </c>
      <c r="B1481" s="750" t="s">
        <v>1559</v>
      </c>
      <c r="C1481" s="754" t="s">
        <v>1925</v>
      </c>
      <c r="D1481" s="409"/>
      <c r="E1481" s="738"/>
      <c r="F1481" s="727"/>
      <c r="G1481" s="721"/>
      <c r="H1481" s="738" t="s">
        <v>2734</v>
      </c>
      <c r="I1481" s="379">
        <v>1</v>
      </c>
      <c r="J1481" s="721">
        <v>100</v>
      </c>
      <c r="K1481" s="374">
        <f t="shared" si="60"/>
        <v>0</v>
      </c>
      <c r="L1481" s="374">
        <f t="shared" si="59"/>
        <v>100</v>
      </c>
      <c r="M1481" s="329"/>
      <c r="N1481" s="690"/>
      <c r="O1481" s="690"/>
      <c r="P1481" s="288"/>
      <c r="Q1481" s="553"/>
      <c r="R1481" s="525"/>
      <c r="S1481" s="729"/>
    </row>
    <row r="1482" spans="1:19" s="385" customFormat="1" ht="30.6" customHeight="1">
      <c r="A1482" s="379">
        <v>78</v>
      </c>
      <c r="B1482" s="750" t="s">
        <v>1729</v>
      </c>
      <c r="C1482" s="754" t="s">
        <v>1926</v>
      </c>
      <c r="D1482" s="409"/>
      <c r="E1482" s="738"/>
      <c r="F1482" s="727"/>
      <c r="G1482" s="721"/>
      <c r="H1482" s="738" t="s">
        <v>2734</v>
      </c>
      <c r="I1482" s="379">
        <v>1</v>
      </c>
      <c r="J1482" s="721">
        <v>100</v>
      </c>
      <c r="K1482" s="374">
        <f t="shared" si="60"/>
        <v>0</v>
      </c>
      <c r="L1482" s="374">
        <f t="shared" si="59"/>
        <v>100</v>
      </c>
      <c r="M1482" s="329"/>
      <c r="N1482" s="690"/>
      <c r="O1482" s="690"/>
      <c r="P1482" s="288"/>
      <c r="Q1482" s="553"/>
      <c r="R1482" s="525"/>
      <c r="S1482" s="729"/>
    </row>
    <row r="1483" spans="1:19" s="385" customFormat="1" ht="30.6" customHeight="1">
      <c r="A1483" s="379">
        <v>79</v>
      </c>
      <c r="B1483" s="750" t="s">
        <v>1351</v>
      </c>
      <c r="C1483" s="754" t="s">
        <v>1927</v>
      </c>
      <c r="D1483" s="409"/>
      <c r="E1483" s="738"/>
      <c r="F1483" s="727"/>
      <c r="G1483" s="721"/>
      <c r="H1483" s="738" t="s">
        <v>2734</v>
      </c>
      <c r="I1483" s="379">
        <v>1</v>
      </c>
      <c r="J1483" s="721">
        <v>100</v>
      </c>
      <c r="K1483" s="374">
        <f t="shared" si="60"/>
        <v>0</v>
      </c>
      <c r="L1483" s="374">
        <f t="shared" si="59"/>
        <v>100</v>
      </c>
      <c r="M1483" s="329"/>
      <c r="N1483" s="690"/>
      <c r="O1483" s="690"/>
      <c r="P1483" s="288"/>
      <c r="Q1483" s="553"/>
      <c r="R1483" s="525"/>
      <c r="S1483" s="729"/>
    </row>
    <row r="1484" spans="1:19" s="385" customFormat="1" ht="30.6" customHeight="1">
      <c r="A1484" s="379">
        <v>80</v>
      </c>
      <c r="B1484" s="750" t="s">
        <v>428</v>
      </c>
      <c r="C1484" s="754" t="s">
        <v>1928</v>
      </c>
      <c r="D1484" s="409"/>
      <c r="E1484" s="738"/>
      <c r="F1484" s="727"/>
      <c r="G1484" s="721"/>
      <c r="H1484" s="738" t="s">
        <v>2734</v>
      </c>
      <c r="I1484" s="379">
        <v>1</v>
      </c>
      <c r="J1484" s="721">
        <v>100</v>
      </c>
      <c r="K1484" s="374">
        <f t="shared" si="60"/>
        <v>0</v>
      </c>
      <c r="L1484" s="374">
        <f t="shared" si="59"/>
        <v>100</v>
      </c>
      <c r="M1484" s="329"/>
      <c r="N1484" s="690"/>
      <c r="O1484" s="690"/>
      <c r="P1484" s="288"/>
      <c r="Q1484" s="553"/>
      <c r="R1484" s="525"/>
      <c r="S1484" s="729"/>
    </row>
    <row r="1485" spans="1:19" s="385" customFormat="1" ht="30.6" customHeight="1">
      <c r="A1485" s="379">
        <v>81</v>
      </c>
      <c r="B1485" s="750" t="s">
        <v>705</v>
      </c>
      <c r="C1485" s="754" t="s">
        <v>1929</v>
      </c>
      <c r="D1485" s="409"/>
      <c r="E1485" s="738"/>
      <c r="F1485" s="727"/>
      <c r="G1485" s="721"/>
      <c r="H1485" s="738" t="s">
        <v>2734</v>
      </c>
      <c r="I1485" s="379">
        <v>1</v>
      </c>
      <c r="J1485" s="721">
        <v>100</v>
      </c>
      <c r="K1485" s="374">
        <f t="shared" si="60"/>
        <v>0</v>
      </c>
      <c r="L1485" s="374">
        <f t="shared" si="59"/>
        <v>100</v>
      </c>
      <c r="M1485" s="329"/>
      <c r="N1485" s="690"/>
      <c r="O1485" s="690"/>
      <c r="P1485" s="288"/>
      <c r="Q1485" s="553"/>
      <c r="R1485" s="525"/>
      <c r="S1485" s="729"/>
    </row>
    <row r="1486" spans="1:19" s="385" customFormat="1" ht="30.6" customHeight="1">
      <c r="A1486" s="379">
        <v>82</v>
      </c>
      <c r="B1486" s="750" t="s">
        <v>1038</v>
      </c>
      <c r="C1486" s="754" t="s">
        <v>1930</v>
      </c>
      <c r="D1486" s="409"/>
      <c r="E1486" s="738"/>
      <c r="F1486" s="727"/>
      <c r="G1486" s="721"/>
      <c r="H1486" s="738" t="s">
        <v>2734</v>
      </c>
      <c r="I1486" s="379">
        <v>1</v>
      </c>
      <c r="J1486" s="721">
        <v>100</v>
      </c>
      <c r="K1486" s="374">
        <f t="shared" si="60"/>
        <v>0</v>
      </c>
      <c r="L1486" s="374">
        <f t="shared" si="59"/>
        <v>100</v>
      </c>
      <c r="M1486" s="329"/>
      <c r="N1486" s="690"/>
      <c r="O1486" s="690"/>
      <c r="P1486" s="288"/>
      <c r="Q1486" s="553"/>
      <c r="R1486" s="525"/>
      <c r="S1486" s="729"/>
    </row>
    <row r="1487" spans="1:19" s="385" customFormat="1" ht="30.6" customHeight="1">
      <c r="A1487" s="379">
        <v>83</v>
      </c>
      <c r="B1487" s="750" t="s">
        <v>706</v>
      </c>
      <c r="C1487" s="754" t="s">
        <v>1931</v>
      </c>
      <c r="D1487" s="409"/>
      <c r="E1487" s="738"/>
      <c r="F1487" s="727"/>
      <c r="G1487" s="721"/>
      <c r="H1487" s="738" t="s">
        <v>2734</v>
      </c>
      <c r="I1487" s="379">
        <v>1</v>
      </c>
      <c r="J1487" s="721">
        <v>100</v>
      </c>
      <c r="K1487" s="374">
        <f t="shared" si="60"/>
        <v>0</v>
      </c>
      <c r="L1487" s="374">
        <f t="shared" si="59"/>
        <v>100</v>
      </c>
      <c r="M1487" s="329"/>
      <c r="N1487" s="690"/>
      <c r="O1487" s="690"/>
      <c r="P1487" s="288"/>
      <c r="Q1487" s="553"/>
      <c r="R1487" s="525"/>
      <c r="S1487" s="729"/>
    </row>
    <row r="1488" spans="1:19" s="385" customFormat="1" ht="30.6" customHeight="1">
      <c r="A1488" s="379">
        <v>84</v>
      </c>
      <c r="B1488" s="750" t="s">
        <v>361</v>
      </c>
      <c r="C1488" s="754" t="s">
        <v>1932</v>
      </c>
      <c r="D1488" s="409"/>
      <c r="E1488" s="738"/>
      <c r="F1488" s="727"/>
      <c r="G1488" s="721"/>
      <c r="H1488" s="738" t="s">
        <v>2734</v>
      </c>
      <c r="I1488" s="379">
        <v>1</v>
      </c>
      <c r="J1488" s="721">
        <v>100</v>
      </c>
      <c r="K1488" s="374">
        <f t="shared" si="60"/>
        <v>0</v>
      </c>
      <c r="L1488" s="374">
        <f t="shared" si="59"/>
        <v>100</v>
      </c>
      <c r="M1488" s="329"/>
      <c r="N1488" s="690"/>
      <c r="O1488" s="690"/>
      <c r="P1488" s="288"/>
      <c r="Q1488" s="553"/>
      <c r="R1488" s="525"/>
      <c r="S1488" s="729"/>
    </row>
    <row r="1489" spans="1:19" s="385" customFormat="1" ht="30.6" customHeight="1">
      <c r="A1489" s="379">
        <v>85</v>
      </c>
      <c r="B1489" s="750" t="s">
        <v>366</v>
      </c>
      <c r="C1489" s="754" t="s">
        <v>1933</v>
      </c>
      <c r="D1489" s="409"/>
      <c r="E1489" s="738"/>
      <c r="F1489" s="727"/>
      <c r="G1489" s="721"/>
      <c r="H1489" s="738" t="s">
        <v>2734</v>
      </c>
      <c r="I1489" s="379">
        <v>1</v>
      </c>
      <c r="J1489" s="721">
        <v>100</v>
      </c>
      <c r="K1489" s="374">
        <f t="shared" si="60"/>
        <v>0</v>
      </c>
      <c r="L1489" s="374">
        <f t="shared" si="59"/>
        <v>100</v>
      </c>
      <c r="M1489" s="329"/>
      <c r="N1489" s="690"/>
      <c r="O1489" s="690"/>
      <c r="P1489" s="288"/>
      <c r="Q1489" s="553"/>
      <c r="R1489" s="525"/>
      <c r="S1489" s="729"/>
    </row>
    <row r="1490" spans="1:19" s="385" customFormat="1" ht="30.6" customHeight="1">
      <c r="A1490" s="379">
        <v>86</v>
      </c>
      <c r="B1490" s="750" t="s">
        <v>1732</v>
      </c>
      <c r="C1490" s="754" t="s">
        <v>1934</v>
      </c>
      <c r="D1490" s="409"/>
      <c r="E1490" s="738"/>
      <c r="F1490" s="727"/>
      <c r="G1490" s="721"/>
      <c r="H1490" s="738" t="s">
        <v>2734</v>
      </c>
      <c r="I1490" s="379">
        <v>1</v>
      </c>
      <c r="J1490" s="721">
        <v>100</v>
      </c>
      <c r="K1490" s="374">
        <f t="shared" si="60"/>
        <v>0</v>
      </c>
      <c r="L1490" s="374">
        <f t="shared" si="59"/>
        <v>100</v>
      </c>
      <c r="M1490" s="329"/>
      <c r="N1490" s="690"/>
      <c r="O1490" s="690"/>
      <c r="P1490" s="288"/>
      <c r="Q1490" s="553"/>
      <c r="R1490" s="525"/>
      <c r="S1490" s="729"/>
    </row>
    <row r="1491" spans="1:19" s="385" customFormat="1" ht="30.6" customHeight="1">
      <c r="A1491" s="379">
        <v>87</v>
      </c>
      <c r="B1491" s="750" t="s">
        <v>1353</v>
      </c>
      <c r="C1491" s="754" t="s">
        <v>1935</v>
      </c>
      <c r="D1491" s="409"/>
      <c r="E1491" s="738"/>
      <c r="F1491" s="727"/>
      <c r="G1491" s="721"/>
      <c r="H1491" s="738" t="s">
        <v>2734</v>
      </c>
      <c r="I1491" s="379">
        <v>1</v>
      </c>
      <c r="J1491" s="721">
        <v>100</v>
      </c>
      <c r="K1491" s="374">
        <f t="shared" si="60"/>
        <v>0</v>
      </c>
      <c r="L1491" s="374">
        <f t="shared" si="59"/>
        <v>100</v>
      </c>
      <c r="M1491" s="329"/>
      <c r="N1491" s="690"/>
      <c r="O1491" s="690"/>
      <c r="P1491" s="288"/>
      <c r="Q1491" s="553"/>
      <c r="R1491" s="525"/>
      <c r="S1491" s="729"/>
    </row>
    <row r="1492" spans="1:19" s="385" customFormat="1" ht="30.6" customHeight="1">
      <c r="A1492" s="379">
        <v>88</v>
      </c>
      <c r="B1492" s="750" t="s">
        <v>857</v>
      </c>
      <c r="C1492" s="754" t="s">
        <v>1936</v>
      </c>
      <c r="D1492" s="409"/>
      <c r="E1492" s="738"/>
      <c r="F1492" s="727"/>
      <c r="G1492" s="721"/>
      <c r="H1492" s="738" t="s">
        <v>2734</v>
      </c>
      <c r="I1492" s="379">
        <v>1</v>
      </c>
      <c r="J1492" s="721">
        <v>100</v>
      </c>
      <c r="K1492" s="374">
        <f t="shared" si="60"/>
        <v>0</v>
      </c>
      <c r="L1492" s="374">
        <f t="shared" si="59"/>
        <v>100</v>
      </c>
      <c r="M1492" s="329"/>
      <c r="N1492" s="690"/>
      <c r="O1492" s="690"/>
      <c r="P1492" s="288"/>
      <c r="Q1492" s="553"/>
      <c r="R1492" s="525"/>
      <c r="S1492" s="729"/>
    </row>
    <row r="1493" spans="1:19" s="385" customFormat="1" ht="30.6" customHeight="1">
      <c r="A1493" s="379">
        <v>89</v>
      </c>
      <c r="B1493" s="750" t="s">
        <v>710</v>
      </c>
      <c r="C1493" s="754" t="s">
        <v>1937</v>
      </c>
      <c r="D1493" s="409"/>
      <c r="E1493" s="738"/>
      <c r="F1493" s="727"/>
      <c r="G1493" s="721"/>
      <c r="H1493" s="738" t="s">
        <v>2734</v>
      </c>
      <c r="I1493" s="379">
        <v>1</v>
      </c>
      <c r="J1493" s="721">
        <v>100</v>
      </c>
      <c r="K1493" s="374">
        <f t="shared" si="60"/>
        <v>0</v>
      </c>
      <c r="L1493" s="374">
        <f t="shared" si="59"/>
        <v>100</v>
      </c>
      <c r="M1493" s="329"/>
      <c r="N1493" s="690"/>
      <c r="O1493" s="690"/>
      <c r="P1493" s="288"/>
      <c r="Q1493" s="553"/>
      <c r="R1493" s="525"/>
      <c r="S1493" s="729"/>
    </row>
    <row r="1494" spans="1:19" s="385" customFormat="1" ht="30.6" customHeight="1">
      <c r="A1494" s="379">
        <v>90</v>
      </c>
      <c r="B1494" s="750" t="s">
        <v>760</v>
      </c>
      <c r="C1494" s="754" t="s">
        <v>1938</v>
      </c>
      <c r="D1494" s="409"/>
      <c r="E1494" s="738"/>
      <c r="F1494" s="727"/>
      <c r="G1494" s="721"/>
      <c r="H1494" s="738" t="s">
        <v>2734</v>
      </c>
      <c r="I1494" s="379">
        <v>1</v>
      </c>
      <c r="J1494" s="721">
        <v>100</v>
      </c>
      <c r="K1494" s="374">
        <f t="shared" si="60"/>
        <v>0</v>
      </c>
      <c r="L1494" s="374">
        <f t="shared" si="59"/>
        <v>100</v>
      </c>
      <c r="M1494" s="329"/>
      <c r="N1494" s="690"/>
      <c r="O1494" s="690"/>
      <c r="P1494" s="288"/>
      <c r="Q1494" s="553"/>
      <c r="R1494" s="525"/>
      <c r="S1494" s="729"/>
    </row>
    <row r="1495" spans="1:19" s="385" customFormat="1" ht="30.6" customHeight="1">
      <c r="A1495" s="379">
        <v>91</v>
      </c>
      <c r="B1495" s="750" t="s">
        <v>1278</v>
      </c>
      <c r="C1495" s="754" t="s">
        <v>1939</v>
      </c>
      <c r="D1495" s="409"/>
      <c r="E1495" s="738"/>
      <c r="F1495" s="727"/>
      <c r="G1495" s="721"/>
      <c r="H1495" s="738" t="s">
        <v>2734</v>
      </c>
      <c r="I1495" s="379">
        <v>1</v>
      </c>
      <c r="J1495" s="721">
        <v>100</v>
      </c>
      <c r="K1495" s="374">
        <f t="shared" si="60"/>
        <v>0</v>
      </c>
      <c r="L1495" s="374">
        <f t="shared" si="59"/>
        <v>100</v>
      </c>
      <c r="M1495" s="329"/>
      <c r="N1495" s="690"/>
      <c r="O1495" s="690"/>
      <c r="P1495" s="288"/>
      <c r="Q1495" s="553"/>
      <c r="R1495" s="525"/>
      <c r="S1495" s="729"/>
    </row>
    <row r="1496" spans="1:19" s="385" customFormat="1" ht="30.6" customHeight="1">
      <c r="A1496" s="379">
        <v>92</v>
      </c>
      <c r="B1496" s="750" t="s">
        <v>1356</v>
      </c>
      <c r="C1496" s="754" t="s">
        <v>1940</v>
      </c>
      <c r="D1496" s="409"/>
      <c r="E1496" s="738"/>
      <c r="F1496" s="727"/>
      <c r="G1496" s="721"/>
      <c r="H1496" s="738" t="s">
        <v>2734</v>
      </c>
      <c r="I1496" s="379">
        <v>1</v>
      </c>
      <c r="J1496" s="721">
        <v>100</v>
      </c>
      <c r="K1496" s="374">
        <f t="shared" si="60"/>
        <v>0</v>
      </c>
      <c r="L1496" s="374">
        <f t="shared" si="59"/>
        <v>100</v>
      </c>
      <c r="M1496" s="329"/>
      <c r="N1496" s="690"/>
      <c r="O1496" s="690"/>
      <c r="P1496" s="288"/>
      <c r="Q1496" s="553"/>
      <c r="R1496" s="525"/>
      <c r="S1496" s="729"/>
    </row>
    <row r="1497" spans="1:19" s="385" customFormat="1" ht="30.6" customHeight="1">
      <c r="A1497" s="379">
        <v>93</v>
      </c>
      <c r="B1497" s="750" t="s">
        <v>1358</v>
      </c>
      <c r="C1497" s="754" t="s">
        <v>1941</v>
      </c>
      <c r="D1497" s="409"/>
      <c r="E1497" s="738"/>
      <c r="F1497" s="727"/>
      <c r="G1497" s="721"/>
      <c r="H1497" s="738" t="s">
        <v>2734</v>
      </c>
      <c r="I1497" s="379">
        <v>1</v>
      </c>
      <c r="J1497" s="721">
        <v>100</v>
      </c>
      <c r="K1497" s="374">
        <f t="shared" si="60"/>
        <v>0</v>
      </c>
      <c r="L1497" s="374">
        <f t="shared" si="59"/>
        <v>100</v>
      </c>
      <c r="M1497" s="329"/>
      <c r="N1497" s="690"/>
      <c r="O1497" s="690"/>
      <c r="P1497" s="288"/>
      <c r="Q1497" s="553"/>
      <c r="R1497" s="525"/>
      <c r="S1497" s="729"/>
    </row>
    <row r="1498" spans="1:19" s="385" customFormat="1" ht="30.6" customHeight="1">
      <c r="A1498" s="379">
        <v>94</v>
      </c>
      <c r="B1498" s="750" t="s">
        <v>808</v>
      </c>
      <c r="C1498" s="754" t="s">
        <v>1942</v>
      </c>
      <c r="D1498" s="409"/>
      <c r="E1498" s="738"/>
      <c r="F1498" s="727"/>
      <c r="G1498" s="721"/>
      <c r="H1498" s="738" t="s">
        <v>2734</v>
      </c>
      <c r="I1498" s="379">
        <v>1</v>
      </c>
      <c r="J1498" s="721">
        <v>100</v>
      </c>
      <c r="K1498" s="374">
        <f t="shared" si="60"/>
        <v>0</v>
      </c>
      <c r="L1498" s="374">
        <f t="shared" si="59"/>
        <v>100</v>
      </c>
      <c r="M1498" s="329"/>
      <c r="N1498" s="690"/>
      <c r="O1498" s="690"/>
      <c r="P1498" s="288"/>
      <c r="Q1498" s="553"/>
      <c r="R1498" s="525"/>
      <c r="S1498" s="729"/>
    </row>
    <row r="1499" spans="1:19" s="385" customFormat="1" ht="30.6" customHeight="1">
      <c r="A1499" s="379">
        <v>95</v>
      </c>
      <c r="B1499" s="750" t="s">
        <v>711</v>
      </c>
      <c r="C1499" s="754" t="s">
        <v>1943</v>
      </c>
      <c r="D1499" s="409"/>
      <c r="E1499" s="738"/>
      <c r="F1499" s="727"/>
      <c r="G1499" s="721"/>
      <c r="H1499" s="738" t="s">
        <v>2734</v>
      </c>
      <c r="I1499" s="379">
        <v>1</v>
      </c>
      <c r="J1499" s="721">
        <v>100</v>
      </c>
      <c r="K1499" s="374">
        <f t="shared" si="60"/>
        <v>0</v>
      </c>
      <c r="L1499" s="374">
        <f t="shared" si="59"/>
        <v>100</v>
      </c>
      <c r="M1499" s="329"/>
      <c r="N1499" s="690"/>
      <c r="O1499" s="690"/>
      <c r="P1499" s="288"/>
      <c r="Q1499" s="553"/>
      <c r="R1499" s="525"/>
      <c r="S1499" s="729"/>
    </row>
    <row r="1500" spans="1:19" s="385" customFormat="1" ht="30.6" customHeight="1">
      <c r="A1500" s="379">
        <v>96</v>
      </c>
      <c r="B1500" s="750" t="s">
        <v>712</v>
      </c>
      <c r="C1500" s="754" t="s">
        <v>1944</v>
      </c>
      <c r="D1500" s="409"/>
      <c r="E1500" s="738"/>
      <c r="F1500" s="727"/>
      <c r="G1500" s="721"/>
      <c r="H1500" s="738" t="s">
        <v>2734</v>
      </c>
      <c r="I1500" s="379">
        <v>1</v>
      </c>
      <c r="J1500" s="721">
        <v>100</v>
      </c>
      <c r="K1500" s="374">
        <f t="shared" si="60"/>
        <v>0</v>
      </c>
      <c r="L1500" s="374">
        <f t="shared" si="59"/>
        <v>100</v>
      </c>
      <c r="M1500" s="329"/>
      <c r="N1500" s="690"/>
      <c r="O1500" s="690"/>
      <c r="P1500" s="288"/>
      <c r="Q1500" s="553"/>
      <c r="R1500" s="525"/>
      <c r="S1500" s="729"/>
    </row>
    <row r="1501" spans="1:19" s="385" customFormat="1" ht="30.6" customHeight="1">
      <c r="A1501" s="379">
        <v>97</v>
      </c>
      <c r="B1501" s="750" t="s">
        <v>761</v>
      </c>
      <c r="C1501" s="754" t="s">
        <v>847</v>
      </c>
      <c r="D1501" s="409"/>
      <c r="E1501" s="738"/>
      <c r="F1501" s="727"/>
      <c r="G1501" s="721"/>
      <c r="H1501" s="738" t="s">
        <v>2734</v>
      </c>
      <c r="I1501" s="379">
        <v>1</v>
      </c>
      <c r="J1501" s="721">
        <v>100</v>
      </c>
      <c r="K1501" s="374">
        <f t="shared" si="60"/>
        <v>0</v>
      </c>
      <c r="L1501" s="374">
        <f t="shared" si="59"/>
        <v>100</v>
      </c>
      <c r="M1501" s="329"/>
      <c r="N1501" s="690"/>
      <c r="O1501" s="690"/>
      <c r="P1501" s="288"/>
      <c r="Q1501" s="553"/>
      <c r="R1501" s="525"/>
      <c r="S1501" s="729"/>
    </row>
    <row r="1502" spans="1:19" s="385" customFormat="1" ht="30.6" customHeight="1">
      <c r="A1502" s="379">
        <v>98</v>
      </c>
      <c r="B1502" s="750" t="s">
        <v>1030</v>
      </c>
      <c r="C1502" s="754" t="s">
        <v>1946</v>
      </c>
      <c r="D1502" s="409"/>
      <c r="E1502" s="738"/>
      <c r="F1502" s="727"/>
      <c r="G1502" s="721"/>
      <c r="H1502" s="738" t="s">
        <v>2734</v>
      </c>
      <c r="I1502" s="379">
        <v>1</v>
      </c>
      <c r="J1502" s="721">
        <v>100</v>
      </c>
      <c r="K1502" s="374">
        <f t="shared" si="60"/>
        <v>0</v>
      </c>
      <c r="L1502" s="374">
        <f t="shared" si="59"/>
        <v>100</v>
      </c>
      <c r="M1502" s="329"/>
      <c r="N1502" s="690"/>
      <c r="O1502" s="690"/>
      <c r="P1502" s="288"/>
      <c r="Q1502" s="553"/>
      <c r="R1502" s="525"/>
      <c r="S1502" s="729"/>
    </row>
    <row r="1503" spans="1:19" s="385" customFormat="1" ht="30.6" customHeight="1">
      <c r="A1503" s="379">
        <v>99</v>
      </c>
      <c r="B1503" s="750" t="s">
        <v>362</v>
      </c>
      <c r="C1503" s="754" t="s">
        <v>1947</v>
      </c>
      <c r="D1503" s="409"/>
      <c r="E1503" s="738"/>
      <c r="F1503" s="727"/>
      <c r="G1503" s="721"/>
      <c r="H1503" s="738" t="s">
        <v>2734</v>
      </c>
      <c r="I1503" s="379">
        <v>1</v>
      </c>
      <c r="J1503" s="721">
        <v>100</v>
      </c>
      <c r="K1503" s="374">
        <f t="shared" si="60"/>
        <v>0</v>
      </c>
      <c r="L1503" s="374">
        <f t="shared" si="59"/>
        <v>100</v>
      </c>
      <c r="M1503" s="329"/>
      <c r="N1503" s="690"/>
      <c r="O1503" s="690"/>
      <c r="P1503" s="288"/>
      <c r="Q1503" s="553"/>
      <c r="R1503" s="525"/>
      <c r="S1503" s="729"/>
    </row>
    <row r="1504" spans="1:19" s="385" customFormat="1" ht="30.6" customHeight="1">
      <c r="A1504" s="379">
        <v>100</v>
      </c>
      <c r="B1504" s="750" t="s">
        <v>1360</v>
      </c>
      <c r="C1504" s="754" t="s">
        <v>1948</v>
      </c>
      <c r="D1504" s="409"/>
      <c r="E1504" s="738"/>
      <c r="F1504" s="727"/>
      <c r="G1504" s="721"/>
      <c r="H1504" s="738" t="s">
        <v>2734</v>
      </c>
      <c r="I1504" s="379">
        <v>1</v>
      </c>
      <c r="J1504" s="721">
        <v>100</v>
      </c>
      <c r="K1504" s="374">
        <f t="shared" si="60"/>
        <v>0</v>
      </c>
      <c r="L1504" s="374">
        <f t="shared" si="59"/>
        <v>100</v>
      </c>
      <c r="M1504" s="329"/>
      <c r="N1504" s="690"/>
      <c r="O1504" s="690"/>
      <c r="P1504" s="288"/>
      <c r="Q1504" s="553"/>
      <c r="R1504" s="525"/>
      <c r="S1504" s="729"/>
    </row>
    <row r="1505" spans="1:19" s="385" customFormat="1" ht="30.6" customHeight="1">
      <c r="A1505" s="379">
        <v>101</v>
      </c>
      <c r="B1505" s="750" t="s">
        <v>1734</v>
      </c>
      <c r="C1505" s="754" t="s">
        <v>1949</v>
      </c>
      <c r="D1505" s="409"/>
      <c r="E1505" s="738"/>
      <c r="F1505" s="727"/>
      <c r="G1505" s="721"/>
      <c r="H1505" s="738" t="s">
        <v>2734</v>
      </c>
      <c r="I1505" s="379">
        <v>1</v>
      </c>
      <c r="J1505" s="721">
        <v>100</v>
      </c>
      <c r="K1505" s="374">
        <f t="shared" si="60"/>
        <v>0</v>
      </c>
      <c r="L1505" s="374">
        <f t="shared" ref="L1505:L1558" si="61">+J1505</f>
        <v>100</v>
      </c>
      <c r="M1505" s="329"/>
      <c r="N1505" s="690"/>
      <c r="O1505" s="690"/>
      <c r="P1505" s="288"/>
      <c r="Q1505" s="553"/>
      <c r="R1505" s="525"/>
      <c r="S1505" s="729"/>
    </row>
    <row r="1506" spans="1:19" s="385" customFormat="1" ht="30.6" customHeight="1">
      <c r="A1506" s="379">
        <v>102</v>
      </c>
      <c r="B1506" s="750" t="s">
        <v>715</v>
      </c>
      <c r="C1506" s="754" t="s">
        <v>1950</v>
      </c>
      <c r="D1506" s="409"/>
      <c r="E1506" s="738"/>
      <c r="F1506" s="727"/>
      <c r="G1506" s="721"/>
      <c r="H1506" s="738" t="s">
        <v>2734</v>
      </c>
      <c r="I1506" s="379">
        <v>1</v>
      </c>
      <c r="J1506" s="721">
        <v>100</v>
      </c>
      <c r="K1506" s="374">
        <f t="shared" si="60"/>
        <v>0</v>
      </c>
      <c r="L1506" s="374">
        <f t="shared" si="61"/>
        <v>100</v>
      </c>
      <c r="M1506" s="329"/>
      <c r="N1506" s="690"/>
      <c r="O1506" s="690"/>
      <c r="P1506" s="288"/>
      <c r="Q1506" s="553"/>
      <c r="R1506" s="525"/>
      <c r="S1506" s="729"/>
    </row>
    <row r="1507" spans="1:19" s="385" customFormat="1" ht="30.6" customHeight="1">
      <c r="A1507" s="379">
        <v>103</v>
      </c>
      <c r="B1507" s="750" t="s">
        <v>716</v>
      </c>
      <c r="C1507" s="754" t="s">
        <v>1951</v>
      </c>
      <c r="D1507" s="409"/>
      <c r="E1507" s="738"/>
      <c r="F1507" s="727"/>
      <c r="G1507" s="721"/>
      <c r="H1507" s="738" t="s">
        <v>2734</v>
      </c>
      <c r="I1507" s="379">
        <v>1</v>
      </c>
      <c r="J1507" s="721">
        <v>100</v>
      </c>
      <c r="K1507" s="374">
        <f t="shared" si="60"/>
        <v>0</v>
      </c>
      <c r="L1507" s="374">
        <f t="shared" si="61"/>
        <v>100</v>
      </c>
      <c r="M1507" s="329"/>
      <c r="N1507" s="690"/>
      <c r="O1507" s="690"/>
      <c r="P1507" s="288"/>
      <c r="Q1507" s="553"/>
      <c r="R1507" s="525"/>
      <c r="S1507" s="729"/>
    </row>
    <row r="1508" spans="1:19" s="385" customFormat="1" ht="30.6" customHeight="1">
      <c r="A1508" s="379">
        <v>104</v>
      </c>
      <c r="B1508" s="750" t="s">
        <v>717</v>
      </c>
      <c r="C1508" s="754" t="s">
        <v>1952</v>
      </c>
      <c r="D1508" s="409"/>
      <c r="E1508" s="738"/>
      <c r="F1508" s="727"/>
      <c r="G1508" s="721"/>
      <c r="H1508" s="738" t="s">
        <v>2734</v>
      </c>
      <c r="I1508" s="379">
        <v>1</v>
      </c>
      <c r="J1508" s="721">
        <v>100</v>
      </c>
      <c r="K1508" s="374">
        <f t="shared" si="60"/>
        <v>0</v>
      </c>
      <c r="L1508" s="374">
        <f t="shared" si="61"/>
        <v>100</v>
      </c>
      <c r="M1508" s="329"/>
      <c r="N1508" s="690"/>
      <c r="O1508" s="690"/>
      <c r="P1508" s="288"/>
      <c r="Q1508" s="553"/>
      <c r="R1508" s="525"/>
      <c r="S1508" s="729"/>
    </row>
    <row r="1509" spans="1:19" s="385" customFormat="1" ht="30.6" customHeight="1">
      <c r="A1509" s="379">
        <v>105</v>
      </c>
      <c r="B1509" s="750" t="s">
        <v>719</v>
      </c>
      <c r="C1509" s="754" t="s">
        <v>1953</v>
      </c>
      <c r="D1509" s="409"/>
      <c r="E1509" s="738"/>
      <c r="F1509" s="727"/>
      <c r="G1509" s="721"/>
      <c r="H1509" s="738" t="s">
        <v>2734</v>
      </c>
      <c r="I1509" s="379">
        <v>1</v>
      </c>
      <c r="J1509" s="721">
        <v>100</v>
      </c>
      <c r="K1509" s="374">
        <f t="shared" si="60"/>
        <v>0</v>
      </c>
      <c r="L1509" s="374">
        <f t="shared" si="61"/>
        <v>100</v>
      </c>
      <c r="M1509" s="329"/>
      <c r="N1509" s="690"/>
      <c r="O1509" s="690"/>
      <c r="P1509" s="288"/>
      <c r="Q1509" s="553"/>
      <c r="R1509" s="525"/>
      <c r="S1509" s="729"/>
    </row>
    <row r="1510" spans="1:19" s="385" customFormat="1" ht="30.6" customHeight="1">
      <c r="A1510" s="379">
        <v>106</v>
      </c>
      <c r="B1510" s="750" t="s">
        <v>720</v>
      </c>
      <c r="C1510" s="754" t="s">
        <v>1954</v>
      </c>
      <c r="D1510" s="409"/>
      <c r="E1510" s="738"/>
      <c r="F1510" s="727"/>
      <c r="G1510" s="721"/>
      <c r="H1510" s="738" t="s">
        <v>2734</v>
      </c>
      <c r="I1510" s="379">
        <v>1</v>
      </c>
      <c r="J1510" s="721">
        <v>100</v>
      </c>
      <c r="K1510" s="374">
        <f t="shared" si="60"/>
        <v>0</v>
      </c>
      <c r="L1510" s="374">
        <f t="shared" si="61"/>
        <v>100</v>
      </c>
      <c r="M1510" s="329"/>
      <c r="N1510" s="690"/>
      <c r="O1510" s="690"/>
      <c r="P1510" s="288"/>
      <c r="Q1510" s="553"/>
      <c r="R1510" s="525"/>
      <c r="S1510" s="729"/>
    </row>
    <row r="1511" spans="1:19" s="385" customFormat="1" ht="30.6" customHeight="1">
      <c r="A1511" s="379">
        <v>107</v>
      </c>
      <c r="B1511" s="750" t="s">
        <v>1362</v>
      </c>
      <c r="C1511" s="754" t="s">
        <v>1955</v>
      </c>
      <c r="D1511" s="409"/>
      <c r="E1511" s="738"/>
      <c r="F1511" s="727"/>
      <c r="G1511" s="721"/>
      <c r="H1511" s="738" t="s">
        <v>2734</v>
      </c>
      <c r="I1511" s="379">
        <v>1</v>
      </c>
      <c r="J1511" s="721">
        <v>100</v>
      </c>
      <c r="K1511" s="374">
        <f t="shared" si="60"/>
        <v>0</v>
      </c>
      <c r="L1511" s="374">
        <f t="shared" si="61"/>
        <v>100</v>
      </c>
      <c r="M1511" s="329"/>
      <c r="N1511" s="690"/>
      <c r="O1511" s="690"/>
      <c r="P1511" s="288"/>
      <c r="Q1511" s="553"/>
      <c r="R1511" s="525"/>
      <c r="S1511" s="729"/>
    </row>
    <row r="1512" spans="1:19" s="385" customFormat="1" ht="30.6" customHeight="1">
      <c r="A1512" s="379">
        <v>108</v>
      </c>
      <c r="B1512" s="750" t="s">
        <v>430</v>
      </c>
      <c r="C1512" s="754" t="s">
        <v>1956</v>
      </c>
      <c r="D1512" s="409"/>
      <c r="E1512" s="738"/>
      <c r="F1512" s="727"/>
      <c r="G1512" s="721"/>
      <c r="H1512" s="738" t="s">
        <v>2734</v>
      </c>
      <c r="I1512" s="379">
        <v>1</v>
      </c>
      <c r="J1512" s="721">
        <v>100</v>
      </c>
      <c r="K1512" s="374">
        <f t="shared" si="60"/>
        <v>0</v>
      </c>
      <c r="L1512" s="374">
        <f t="shared" si="61"/>
        <v>100</v>
      </c>
      <c r="M1512" s="329"/>
      <c r="N1512" s="690"/>
      <c r="O1512" s="690"/>
      <c r="P1512" s="288"/>
      <c r="Q1512" s="553"/>
      <c r="R1512" s="525"/>
      <c r="S1512" s="729"/>
    </row>
    <row r="1513" spans="1:19" s="385" customFormat="1" ht="30.6" customHeight="1">
      <c r="A1513" s="379">
        <v>109</v>
      </c>
      <c r="B1513" s="750" t="s">
        <v>721</v>
      </c>
      <c r="C1513" s="754" t="s">
        <v>1957</v>
      </c>
      <c r="D1513" s="409"/>
      <c r="E1513" s="738"/>
      <c r="F1513" s="727"/>
      <c r="G1513" s="721"/>
      <c r="H1513" s="738" t="s">
        <v>2734</v>
      </c>
      <c r="I1513" s="379">
        <v>1</v>
      </c>
      <c r="J1513" s="721">
        <v>100</v>
      </c>
      <c r="K1513" s="374">
        <f t="shared" si="60"/>
        <v>0</v>
      </c>
      <c r="L1513" s="374">
        <f t="shared" si="61"/>
        <v>100</v>
      </c>
      <c r="M1513" s="329"/>
      <c r="N1513" s="690"/>
      <c r="O1513" s="690"/>
      <c r="P1513" s="288"/>
      <c r="Q1513" s="553"/>
      <c r="R1513" s="525"/>
      <c r="S1513" s="729"/>
    </row>
    <row r="1514" spans="1:19" s="385" customFormat="1" ht="30.6" customHeight="1">
      <c r="A1514" s="379">
        <v>110</v>
      </c>
      <c r="B1514" s="750" t="s">
        <v>1563</v>
      </c>
      <c r="C1514" s="754" t="s">
        <v>1958</v>
      </c>
      <c r="D1514" s="409"/>
      <c r="E1514" s="738"/>
      <c r="F1514" s="727"/>
      <c r="G1514" s="721"/>
      <c r="H1514" s="738" t="s">
        <v>2734</v>
      </c>
      <c r="I1514" s="379">
        <v>1</v>
      </c>
      <c r="J1514" s="721">
        <v>100</v>
      </c>
      <c r="K1514" s="374">
        <f t="shared" si="60"/>
        <v>0</v>
      </c>
      <c r="L1514" s="374">
        <f t="shared" si="61"/>
        <v>100</v>
      </c>
      <c r="M1514" s="329"/>
      <c r="N1514" s="690"/>
      <c r="O1514" s="690"/>
      <c r="P1514" s="288"/>
      <c r="Q1514" s="553"/>
      <c r="R1514" s="525"/>
      <c r="S1514" s="729"/>
    </row>
    <row r="1515" spans="1:19" s="385" customFormat="1" ht="30.6" customHeight="1">
      <c r="A1515" s="379">
        <v>111</v>
      </c>
      <c r="B1515" s="750" t="s">
        <v>1365</v>
      </c>
      <c r="C1515" s="754" t="s">
        <v>1959</v>
      </c>
      <c r="D1515" s="409"/>
      <c r="E1515" s="738"/>
      <c r="F1515" s="727"/>
      <c r="G1515" s="721"/>
      <c r="H1515" s="738" t="s">
        <v>2734</v>
      </c>
      <c r="I1515" s="379">
        <v>1</v>
      </c>
      <c r="J1515" s="721">
        <v>100</v>
      </c>
      <c r="K1515" s="374">
        <f t="shared" si="60"/>
        <v>0</v>
      </c>
      <c r="L1515" s="374">
        <f t="shared" si="61"/>
        <v>100</v>
      </c>
      <c r="M1515" s="329"/>
      <c r="N1515" s="690"/>
      <c r="O1515" s="690"/>
      <c r="P1515" s="288"/>
      <c r="Q1515" s="553"/>
      <c r="R1515" s="525"/>
      <c r="S1515" s="729"/>
    </row>
    <row r="1516" spans="1:19" s="385" customFormat="1" ht="30.6" customHeight="1">
      <c r="A1516" s="379">
        <v>112</v>
      </c>
      <c r="B1516" s="750" t="s">
        <v>1564</v>
      </c>
      <c r="C1516" s="754" t="s">
        <v>1960</v>
      </c>
      <c r="D1516" s="409"/>
      <c r="E1516" s="738"/>
      <c r="F1516" s="727"/>
      <c r="G1516" s="721"/>
      <c r="H1516" s="738" t="s">
        <v>2734</v>
      </c>
      <c r="I1516" s="379">
        <v>1</v>
      </c>
      <c r="J1516" s="721">
        <v>100</v>
      </c>
      <c r="K1516" s="374">
        <f t="shared" ref="K1516:K1557" si="62">G1516*11.54/100</f>
        <v>0</v>
      </c>
      <c r="L1516" s="374">
        <f t="shared" si="61"/>
        <v>100</v>
      </c>
      <c r="M1516" s="329"/>
      <c r="N1516" s="690"/>
      <c r="O1516" s="690"/>
      <c r="P1516" s="288"/>
      <c r="Q1516" s="553"/>
      <c r="R1516" s="525"/>
      <c r="S1516" s="729"/>
    </row>
    <row r="1517" spans="1:19" s="385" customFormat="1" ht="30.6" customHeight="1">
      <c r="A1517" s="379">
        <v>113</v>
      </c>
      <c r="B1517" s="750" t="s">
        <v>1367</v>
      </c>
      <c r="C1517" s="754" t="s">
        <v>1961</v>
      </c>
      <c r="D1517" s="409"/>
      <c r="E1517" s="738"/>
      <c r="F1517" s="727"/>
      <c r="G1517" s="721"/>
      <c r="H1517" s="738" t="s">
        <v>2734</v>
      </c>
      <c r="I1517" s="379">
        <v>1</v>
      </c>
      <c r="J1517" s="721">
        <v>100</v>
      </c>
      <c r="K1517" s="374">
        <f t="shared" si="62"/>
        <v>0</v>
      </c>
      <c r="L1517" s="374">
        <f t="shared" si="61"/>
        <v>100</v>
      </c>
      <c r="M1517" s="329"/>
      <c r="N1517" s="690"/>
      <c r="O1517" s="690"/>
      <c r="P1517" s="288"/>
      <c r="Q1517" s="553"/>
      <c r="R1517" s="525"/>
      <c r="S1517" s="729"/>
    </row>
    <row r="1518" spans="1:19" s="385" customFormat="1" ht="30.6" customHeight="1">
      <c r="A1518" s="379">
        <v>114</v>
      </c>
      <c r="B1518" s="750" t="s">
        <v>1369</v>
      </c>
      <c r="C1518" s="754" t="s">
        <v>1962</v>
      </c>
      <c r="D1518" s="409"/>
      <c r="E1518" s="738"/>
      <c r="F1518" s="727"/>
      <c r="G1518" s="721"/>
      <c r="H1518" s="738" t="s">
        <v>2734</v>
      </c>
      <c r="I1518" s="379">
        <v>1</v>
      </c>
      <c r="J1518" s="721">
        <v>100</v>
      </c>
      <c r="K1518" s="374">
        <f t="shared" si="62"/>
        <v>0</v>
      </c>
      <c r="L1518" s="374">
        <f t="shared" si="61"/>
        <v>100</v>
      </c>
      <c r="M1518" s="329"/>
      <c r="N1518" s="690"/>
      <c r="O1518" s="690"/>
      <c r="P1518" s="288"/>
      <c r="Q1518" s="553"/>
      <c r="R1518" s="525"/>
      <c r="S1518" s="729"/>
    </row>
    <row r="1519" spans="1:19" s="385" customFormat="1" ht="30.6" customHeight="1">
      <c r="A1519" s="379">
        <v>115</v>
      </c>
      <c r="B1519" s="750" t="s">
        <v>367</v>
      </c>
      <c r="C1519" s="754" t="s">
        <v>1963</v>
      </c>
      <c r="D1519" s="409"/>
      <c r="E1519" s="738"/>
      <c r="F1519" s="727"/>
      <c r="G1519" s="721"/>
      <c r="H1519" s="738" t="s">
        <v>2734</v>
      </c>
      <c r="I1519" s="379">
        <v>1</v>
      </c>
      <c r="J1519" s="721">
        <v>100</v>
      </c>
      <c r="K1519" s="374">
        <f t="shared" si="62"/>
        <v>0</v>
      </c>
      <c r="L1519" s="374">
        <f t="shared" si="61"/>
        <v>100</v>
      </c>
      <c r="M1519" s="329"/>
      <c r="N1519" s="690"/>
      <c r="O1519" s="690"/>
      <c r="P1519" s="288"/>
      <c r="Q1519" s="553"/>
      <c r="R1519" s="525"/>
      <c r="S1519" s="729"/>
    </row>
    <row r="1520" spans="1:19" s="385" customFormat="1" ht="30.6" customHeight="1">
      <c r="A1520" s="379">
        <v>116</v>
      </c>
      <c r="B1520" s="750" t="s">
        <v>722</v>
      </c>
      <c r="C1520" s="754" t="s">
        <v>1964</v>
      </c>
      <c r="D1520" s="409"/>
      <c r="E1520" s="738"/>
      <c r="F1520" s="727"/>
      <c r="G1520" s="721"/>
      <c r="H1520" s="738" t="s">
        <v>2734</v>
      </c>
      <c r="I1520" s="379">
        <v>1</v>
      </c>
      <c r="J1520" s="721">
        <v>100</v>
      </c>
      <c r="K1520" s="374">
        <f t="shared" si="62"/>
        <v>0</v>
      </c>
      <c r="L1520" s="374">
        <f t="shared" si="61"/>
        <v>100</v>
      </c>
      <c r="M1520" s="329"/>
      <c r="N1520" s="690"/>
      <c r="O1520" s="690"/>
      <c r="P1520" s="288"/>
      <c r="Q1520" s="553"/>
      <c r="R1520" s="525"/>
      <c r="S1520" s="729"/>
    </row>
    <row r="1521" spans="1:19" s="385" customFormat="1" ht="30.6" customHeight="1">
      <c r="A1521" s="379">
        <v>117</v>
      </c>
      <c r="B1521" s="750" t="s">
        <v>1371</v>
      </c>
      <c r="C1521" s="754" t="s">
        <v>1965</v>
      </c>
      <c r="D1521" s="409"/>
      <c r="E1521" s="738"/>
      <c r="F1521" s="727"/>
      <c r="G1521" s="721"/>
      <c r="H1521" s="738" t="s">
        <v>2734</v>
      </c>
      <c r="I1521" s="379">
        <v>1</v>
      </c>
      <c r="J1521" s="721">
        <v>100</v>
      </c>
      <c r="K1521" s="374">
        <f t="shared" si="62"/>
        <v>0</v>
      </c>
      <c r="L1521" s="374">
        <f t="shared" si="61"/>
        <v>100</v>
      </c>
      <c r="M1521" s="329"/>
      <c r="N1521" s="690"/>
      <c r="O1521" s="690"/>
      <c r="P1521" s="288"/>
      <c r="Q1521" s="553"/>
      <c r="R1521" s="525"/>
      <c r="S1521" s="729"/>
    </row>
    <row r="1522" spans="1:19" s="385" customFormat="1" ht="30.6" customHeight="1">
      <c r="A1522" s="379">
        <v>118</v>
      </c>
      <c r="B1522" s="750" t="s">
        <v>1373</v>
      </c>
      <c r="C1522" s="754" t="s">
        <v>1966</v>
      </c>
      <c r="D1522" s="409"/>
      <c r="E1522" s="738"/>
      <c r="F1522" s="727"/>
      <c r="G1522" s="721"/>
      <c r="H1522" s="738" t="s">
        <v>2734</v>
      </c>
      <c r="I1522" s="379">
        <v>1</v>
      </c>
      <c r="J1522" s="721">
        <v>100</v>
      </c>
      <c r="K1522" s="374">
        <f t="shared" si="62"/>
        <v>0</v>
      </c>
      <c r="L1522" s="374">
        <f t="shared" si="61"/>
        <v>100</v>
      </c>
      <c r="M1522" s="329"/>
      <c r="N1522" s="690"/>
      <c r="O1522" s="690"/>
      <c r="P1522" s="288"/>
      <c r="Q1522" s="553"/>
      <c r="R1522" s="525"/>
      <c r="S1522" s="729"/>
    </row>
    <row r="1523" spans="1:19" s="385" customFormat="1" ht="30.6" customHeight="1">
      <c r="A1523" s="379">
        <v>119</v>
      </c>
      <c r="B1523" s="750" t="s">
        <v>1375</v>
      </c>
      <c r="C1523" s="754" t="s">
        <v>1967</v>
      </c>
      <c r="D1523" s="409"/>
      <c r="E1523" s="738"/>
      <c r="F1523" s="727"/>
      <c r="G1523" s="721"/>
      <c r="H1523" s="738" t="s">
        <v>2734</v>
      </c>
      <c r="I1523" s="379">
        <v>1</v>
      </c>
      <c r="J1523" s="721">
        <v>100</v>
      </c>
      <c r="K1523" s="374">
        <f t="shared" si="62"/>
        <v>0</v>
      </c>
      <c r="L1523" s="374">
        <f t="shared" si="61"/>
        <v>100</v>
      </c>
      <c r="M1523" s="329"/>
      <c r="N1523" s="690"/>
      <c r="O1523" s="690"/>
      <c r="P1523" s="288"/>
      <c r="Q1523" s="553"/>
      <c r="R1523" s="525"/>
      <c r="S1523" s="729"/>
    </row>
    <row r="1524" spans="1:19" s="385" customFormat="1" ht="30.6" customHeight="1">
      <c r="A1524" s="379">
        <v>120</v>
      </c>
      <c r="B1524" s="750" t="s">
        <v>723</v>
      </c>
      <c r="C1524" s="754" t="s">
        <v>1968</v>
      </c>
      <c r="D1524" s="409"/>
      <c r="E1524" s="738"/>
      <c r="F1524" s="727"/>
      <c r="G1524" s="721"/>
      <c r="H1524" s="738" t="s">
        <v>2734</v>
      </c>
      <c r="I1524" s="379">
        <v>1</v>
      </c>
      <c r="J1524" s="721">
        <v>100</v>
      </c>
      <c r="K1524" s="374">
        <f t="shared" si="62"/>
        <v>0</v>
      </c>
      <c r="L1524" s="374">
        <f t="shared" si="61"/>
        <v>100</v>
      </c>
      <c r="M1524" s="329"/>
      <c r="N1524" s="690"/>
      <c r="O1524" s="690"/>
      <c r="P1524" s="288"/>
      <c r="Q1524" s="553"/>
      <c r="R1524" s="525"/>
      <c r="S1524" s="729"/>
    </row>
    <row r="1525" spans="1:19" s="385" customFormat="1" ht="30.6" customHeight="1">
      <c r="A1525" s="379">
        <v>121</v>
      </c>
      <c r="B1525" s="750" t="s">
        <v>1377</v>
      </c>
      <c r="C1525" s="754" t="s">
        <v>1969</v>
      </c>
      <c r="D1525" s="409"/>
      <c r="E1525" s="738"/>
      <c r="F1525" s="727"/>
      <c r="G1525" s="721"/>
      <c r="H1525" s="738" t="s">
        <v>2734</v>
      </c>
      <c r="I1525" s="379">
        <v>1</v>
      </c>
      <c r="J1525" s="721">
        <v>100</v>
      </c>
      <c r="K1525" s="374">
        <f t="shared" si="62"/>
        <v>0</v>
      </c>
      <c r="L1525" s="374">
        <f t="shared" si="61"/>
        <v>100</v>
      </c>
      <c r="M1525" s="329"/>
      <c r="N1525" s="690"/>
      <c r="O1525" s="690"/>
      <c r="P1525" s="288"/>
      <c r="Q1525" s="553"/>
      <c r="R1525" s="525"/>
      <c r="S1525" s="729"/>
    </row>
    <row r="1526" spans="1:19" s="385" customFormat="1" ht="30.6" customHeight="1">
      <c r="A1526" s="379">
        <v>122</v>
      </c>
      <c r="B1526" s="750" t="s">
        <v>1379</v>
      </c>
      <c r="C1526" s="754" t="s">
        <v>1970</v>
      </c>
      <c r="D1526" s="409"/>
      <c r="E1526" s="738"/>
      <c r="F1526" s="727"/>
      <c r="G1526" s="721"/>
      <c r="H1526" s="738" t="s">
        <v>2734</v>
      </c>
      <c r="I1526" s="379">
        <v>1</v>
      </c>
      <c r="J1526" s="721">
        <v>100</v>
      </c>
      <c r="K1526" s="374">
        <f t="shared" si="62"/>
        <v>0</v>
      </c>
      <c r="L1526" s="374">
        <f t="shared" si="61"/>
        <v>100</v>
      </c>
      <c r="M1526" s="329"/>
      <c r="N1526" s="690"/>
      <c r="O1526" s="690"/>
      <c r="P1526" s="288"/>
      <c r="Q1526" s="553"/>
      <c r="R1526" s="525"/>
      <c r="S1526" s="729"/>
    </row>
    <row r="1527" spans="1:19" s="385" customFormat="1" ht="30.6" customHeight="1">
      <c r="A1527" s="379">
        <v>123</v>
      </c>
      <c r="B1527" s="750" t="s">
        <v>762</v>
      </c>
      <c r="C1527" s="754" t="s">
        <v>1971</v>
      </c>
      <c r="D1527" s="409"/>
      <c r="E1527" s="738"/>
      <c r="F1527" s="727"/>
      <c r="G1527" s="721"/>
      <c r="H1527" s="738" t="s">
        <v>2734</v>
      </c>
      <c r="I1527" s="379">
        <v>1</v>
      </c>
      <c r="J1527" s="721">
        <v>100</v>
      </c>
      <c r="K1527" s="374">
        <f t="shared" si="62"/>
        <v>0</v>
      </c>
      <c r="L1527" s="374">
        <f t="shared" si="61"/>
        <v>100</v>
      </c>
      <c r="M1527" s="329"/>
      <c r="N1527" s="690"/>
      <c r="O1527" s="690"/>
      <c r="P1527" s="288"/>
      <c r="Q1527" s="553"/>
      <c r="R1527" s="525"/>
      <c r="S1527" s="729"/>
    </row>
    <row r="1528" spans="1:19" s="385" customFormat="1" ht="30.6" customHeight="1">
      <c r="A1528" s="379">
        <v>124</v>
      </c>
      <c r="B1528" s="750" t="s">
        <v>1381</v>
      </c>
      <c r="C1528" s="754" t="s">
        <v>1972</v>
      </c>
      <c r="D1528" s="409"/>
      <c r="E1528" s="738"/>
      <c r="F1528" s="727"/>
      <c r="G1528" s="721"/>
      <c r="H1528" s="738" t="s">
        <v>2734</v>
      </c>
      <c r="I1528" s="379">
        <v>1</v>
      </c>
      <c r="J1528" s="721">
        <v>100</v>
      </c>
      <c r="K1528" s="374">
        <f t="shared" si="62"/>
        <v>0</v>
      </c>
      <c r="L1528" s="374">
        <f t="shared" si="61"/>
        <v>100</v>
      </c>
      <c r="M1528" s="329"/>
      <c r="N1528" s="690"/>
      <c r="O1528" s="690"/>
      <c r="P1528" s="288"/>
      <c r="Q1528" s="553"/>
      <c r="R1528" s="525"/>
      <c r="S1528" s="729"/>
    </row>
    <row r="1529" spans="1:19" s="385" customFormat="1" ht="30.6" customHeight="1">
      <c r="A1529" s="379">
        <v>125</v>
      </c>
      <c r="B1529" s="750" t="s">
        <v>1169</v>
      </c>
      <c r="C1529" s="754" t="s">
        <v>1973</v>
      </c>
      <c r="D1529" s="409"/>
      <c r="E1529" s="738"/>
      <c r="F1529" s="727"/>
      <c r="G1529" s="721"/>
      <c r="H1529" s="738" t="s">
        <v>2734</v>
      </c>
      <c r="I1529" s="379">
        <v>1</v>
      </c>
      <c r="J1529" s="721">
        <v>100</v>
      </c>
      <c r="K1529" s="374">
        <f t="shared" si="62"/>
        <v>0</v>
      </c>
      <c r="L1529" s="374">
        <f t="shared" si="61"/>
        <v>100</v>
      </c>
      <c r="M1529" s="329"/>
      <c r="N1529" s="690"/>
      <c r="O1529" s="690"/>
      <c r="P1529" s="288"/>
      <c r="Q1529" s="553"/>
      <c r="R1529" s="525"/>
      <c r="S1529" s="729"/>
    </row>
    <row r="1530" spans="1:19" s="385" customFormat="1" ht="30.6" customHeight="1">
      <c r="A1530" s="379">
        <v>126</v>
      </c>
      <c r="B1530" s="750" t="s">
        <v>1171</v>
      </c>
      <c r="C1530" s="754" t="s">
        <v>1974</v>
      </c>
      <c r="D1530" s="409"/>
      <c r="E1530" s="738"/>
      <c r="F1530" s="727"/>
      <c r="G1530" s="721"/>
      <c r="H1530" s="738" t="s">
        <v>2734</v>
      </c>
      <c r="I1530" s="379">
        <v>1</v>
      </c>
      <c r="J1530" s="721">
        <v>100</v>
      </c>
      <c r="K1530" s="374">
        <f t="shared" si="62"/>
        <v>0</v>
      </c>
      <c r="L1530" s="374">
        <f t="shared" si="61"/>
        <v>100</v>
      </c>
      <c r="M1530" s="329"/>
      <c r="N1530" s="690"/>
      <c r="O1530" s="690"/>
      <c r="P1530" s="288"/>
      <c r="Q1530" s="553"/>
      <c r="R1530" s="525"/>
      <c r="S1530" s="729"/>
    </row>
    <row r="1531" spans="1:19" s="385" customFormat="1" ht="30.6" customHeight="1">
      <c r="A1531" s="379">
        <v>127</v>
      </c>
      <c r="B1531" s="750" t="s">
        <v>1383</v>
      </c>
      <c r="C1531" s="754" t="s">
        <v>1975</v>
      </c>
      <c r="D1531" s="409"/>
      <c r="E1531" s="738"/>
      <c r="F1531" s="727"/>
      <c r="G1531" s="721"/>
      <c r="H1531" s="738" t="s">
        <v>2734</v>
      </c>
      <c r="I1531" s="379">
        <v>1</v>
      </c>
      <c r="J1531" s="721">
        <v>100</v>
      </c>
      <c r="K1531" s="374">
        <f t="shared" si="62"/>
        <v>0</v>
      </c>
      <c r="L1531" s="374">
        <f t="shared" si="61"/>
        <v>100</v>
      </c>
      <c r="M1531" s="329"/>
      <c r="N1531" s="690"/>
      <c r="O1531" s="690"/>
      <c r="P1531" s="288"/>
      <c r="Q1531" s="553"/>
      <c r="R1531" s="525"/>
      <c r="S1531" s="729"/>
    </row>
    <row r="1532" spans="1:19" s="385" customFormat="1" ht="30.6" customHeight="1">
      <c r="A1532" s="379">
        <v>128</v>
      </c>
      <c r="B1532" s="750" t="s">
        <v>1385</v>
      </c>
      <c r="C1532" s="754" t="s">
        <v>1976</v>
      </c>
      <c r="D1532" s="409"/>
      <c r="E1532" s="738"/>
      <c r="F1532" s="727"/>
      <c r="G1532" s="721"/>
      <c r="H1532" s="738" t="s">
        <v>2734</v>
      </c>
      <c r="I1532" s="379">
        <v>1</v>
      </c>
      <c r="J1532" s="721">
        <v>100</v>
      </c>
      <c r="K1532" s="374">
        <f t="shared" si="62"/>
        <v>0</v>
      </c>
      <c r="L1532" s="374">
        <f t="shared" si="61"/>
        <v>100</v>
      </c>
      <c r="M1532" s="329"/>
      <c r="N1532" s="690"/>
      <c r="O1532" s="690"/>
      <c r="P1532" s="288"/>
      <c r="Q1532" s="553"/>
      <c r="R1532" s="525"/>
      <c r="S1532" s="729"/>
    </row>
    <row r="1533" spans="1:19" s="385" customFormat="1" ht="30.6" customHeight="1">
      <c r="A1533" s="379">
        <v>129</v>
      </c>
      <c r="B1533" s="750" t="s">
        <v>368</v>
      </c>
      <c r="C1533" s="754" t="s">
        <v>1977</v>
      </c>
      <c r="D1533" s="409"/>
      <c r="E1533" s="738"/>
      <c r="F1533" s="727"/>
      <c r="G1533" s="721"/>
      <c r="H1533" s="738" t="s">
        <v>2734</v>
      </c>
      <c r="I1533" s="379">
        <v>1</v>
      </c>
      <c r="J1533" s="721">
        <v>100</v>
      </c>
      <c r="K1533" s="374">
        <f t="shared" si="62"/>
        <v>0</v>
      </c>
      <c r="L1533" s="374">
        <f t="shared" si="61"/>
        <v>100</v>
      </c>
      <c r="M1533" s="329"/>
      <c r="N1533" s="690"/>
      <c r="O1533" s="690"/>
      <c r="P1533" s="288"/>
      <c r="Q1533" s="553"/>
      <c r="R1533" s="525"/>
      <c r="S1533" s="729"/>
    </row>
    <row r="1534" spans="1:19" s="385" customFormat="1" ht="30.6" customHeight="1">
      <c r="A1534" s="379">
        <v>130</v>
      </c>
      <c r="B1534" s="750" t="s">
        <v>1736</v>
      </c>
      <c r="C1534" s="754" t="s">
        <v>1978</v>
      </c>
      <c r="D1534" s="409"/>
      <c r="E1534" s="738"/>
      <c r="F1534" s="727"/>
      <c r="G1534" s="721"/>
      <c r="H1534" s="738" t="s">
        <v>2734</v>
      </c>
      <c r="I1534" s="379">
        <v>1</v>
      </c>
      <c r="J1534" s="721">
        <v>100</v>
      </c>
      <c r="K1534" s="374">
        <f t="shared" si="62"/>
        <v>0</v>
      </c>
      <c r="L1534" s="374">
        <f t="shared" si="61"/>
        <v>100</v>
      </c>
      <c r="M1534" s="329"/>
      <c r="N1534" s="690"/>
      <c r="O1534" s="690"/>
      <c r="P1534" s="288"/>
      <c r="Q1534" s="553"/>
      <c r="R1534" s="525"/>
      <c r="S1534" s="729"/>
    </row>
    <row r="1535" spans="1:19" s="385" customFormat="1" ht="30.6" customHeight="1">
      <c r="A1535" s="379">
        <v>131</v>
      </c>
      <c r="B1535" s="750" t="s">
        <v>1738</v>
      </c>
      <c r="C1535" s="754" t="s">
        <v>1979</v>
      </c>
      <c r="D1535" s="409"/>
      <c r="E1535" s="738"/>
      <c r="F1535" s="727"/>
      <c r="G1535" s="721"/>
      <c r="H1535" s="738" t="s">
        <v>2734</v>
      </c>
      <c r="I1535" s="379">
        <v>1</v>
      </c>
      <c r="J1535" s="721">
        <v>100</v>
      </c>
      <c r="K1535" s="374">
        <f t="shared" si="62"/>
        <v>0</v>
      </c>
      <c r="L1535" s="374">
        <f t="shared" si="61"/>
        <v>100</v>
      </c>
      <c r="M1535" s="329"/>
      <c r="N1535" s="690"/>
      <c r="O1535" s="690"/>
      <c r="P1535" s="288"/>
      <c r="Q1535" s="553"/>
      <c r="R1535" s="525"/>
      <c r="S1535" s="729"/>
    </row>
    <row r="1536" spans="1:19" s="385" customFormat="1" ht="30.6" customHeight="1">
      <c r="A1536" s="379">
        <v>132</v>
      </c>
      <c r="B1536" s="750" t="s">
        <v>725</v>
      </c>
      <c r="C1536" s="754" t="s">
        <v>1980</v>
      </c>
      <c r="D1536" s="409"/>
      <c r="E1536" s="738"/>
      <c r="F1536" s="727"/>
      <c r="G1536" s="721"/>
      <c r="H1536" s="738" t="s">
        <v>2734</v>
      </c>
      <c r="I1536" s="379">
        <v>1</v>
      </c>
      <c r="J1536" s="721">
        <v>100</v>
      </c>
      <c r="K1536" s="374">
        <f t="shared" si="62"/>
        <v>0</v>
      </c>
      <c r="L1536" s="374">
        <f t="shared" si="61"/>
        <v>100</v>
      </c>
      <c r="M1536" s="329"/>
      <c r="N1536" s="690"/>
      <c r="O1536" s="690"/>
      <c r="P1536" s="288"/>
      <c r="Q1536" s="553"/>
      <c r="R1536" s="525"/>
      <c r="S1536" s="729"/>
    </row>
    <row r="1537" spans="1:19" s="385" customFormat="1" ht="30.6" customHeight="1">
      <c r="A1537" s="379">
        <v>133</v>
      </c>
      <c r="B1537" s="750" t="s">
        <v>1173</v>
      </c>
      <c r="C1537" s="754" t="s">
        <v>1981</v>
      </c>
      <c r="D1537" s="409"/>
      <c r="E1537" s="738"/>
      <c r="F1537" s="727"/>
      <c r="G1537" s="721"/>
      <c r="H1537" s="738" t="s">
        <v>2734</v>
      </c>
      <c r="I1537" s="379">
        <v>1</v>
      </c>
      <c r="J1537" s="721">
        <v>100</v>
      </c>
      <c r="K1537" s="374">
        <f t="shared" si="62"/>
        <v>0</v>
      </c>
      <c r="L1537" s="374">
        <f t="shared" si="61"/>
        <v>100</v>
      </c>
      <c r="M1537" s="329"/>
      <c r="N1537" s="690"/>
      <c r="O1537" s="690"/>
      <c r="P1537" s="288"/>
      <c r="Q1537" s="553"/>
      <c r="R1537" s="525"/>
      <c r="S1537" s="729"/>
    </row>
    <row r="1538" spans="1:19" s="385" customFormat="1" ht="30.6" customHeight="1">
      <c r="A1538" s="379">
        <v>134</v>
      </c>
      <c r="B1538" s="750" t="s">
        <v>1387</v>
      </c>
      <c r="C1538" s="754" t="s">
        <v>1982</v>
      </c>
      <c r="D1538" s="409"/>
      <c r="E1538" s="738"/>
      <c r="F1538" s="727"/>
      <c r="G1538" s="721"/>
      <c r="H1538" s="738" t="s">
        <v>2734</v>
      </c>
      <c r="I1538" s="379">
        <v>1</v>
      </c>
      <c r="J1538" s="721">
        <v>100</v>
      </c>
      <c r="K1538" s="374">
        <f t="shared" si="62"/>
        <v>0</v>
      </c>
      <c r="L1538" s="374">
        <f t="shared" si="61"/>
        <v>100</v>
      </c>
      <c r="M1538" s="329"/>
      <c r="N1538" s="690"/>
      <c r="O1538" s="690"/>
      <c r="P1538" s="288"/>
      <c r="Q1538" s="553"/>
      <c r="R1538" s="525"/>
      <c r="S1538" s="729"/>
    </row>
    <row r="1539" spans="1:19" s="385" customFormat="1" ht="30.6" customHeight="1">
      <c r="A1539" s="379">
        <v>135</v>
      </c>
      <c r="B1539" s="750" t="s">
        <v>1056</v>
      </c>
      <c r="C1539" s="754" t="s">
        <v>1983</v>
      </c>
      <c r="D1539" s="409"/>
      <c r="E1539" s="738"/>
      <c r="F1539" s="727"/>
      <c r="G1539" s="721"/>
      <c r="H1539" s="738" t="s">
        <v>2734</v>
      </c>
      <c r="I1539" s="379">
        <v>1</v>
      </c>
      <c r="J1539" s="721">
        <v>100</v>
      </c>
      <c r="K1539" s="374">
        <f t="shared" si="62"/>
        <v>0</v>
      </c>
      <c r="L1539" s="374">
        <f t="shared" si="61"/>
        <v>100</v>
      </c>
      <c r="M1539" s="329"/>
      <c r="N1539" s="690"/>
      <c r="O1539" s="690"/>
      <c r="P1539" s="288"/>
      <c r="Q1539" s="553"/>
      <c r="R1539" s="525"/>
      <c r="S1539" s="729"/>
    </row>
    <row r="1540" spans="1:19" s="385" customFormat="1" ht="30.6" customHeight="1">
      <c r="A1540" s="379">
        <v>136</v>
      </c>
      <c r="B1540" s="750" t="s">
        <v>748</v>
      </c>
      <c r="C1540" s="754" t="s">
        <v>1984</v>
      </c>
      <c r="D1540" s="409"/>
      <c r="E1540" s="738"/>
      <c r="F1540" s="727"/>
      <c r="G1540" s="721"/>
      <c r="H1540" s="738" t="s">
        <v>2734</v>
      </c>
      <c r="I1540" s="379">
        <v>1</v>
      </c>
      <c r="J1540" s="721">
        <v>100</v>
      </c>
      <c r="K1540" s="374">
        <f t="shared" si="62"/>
        <v>0</v>
      </c>
      <c r="L1540" s="374">
        <f t="shared" si="61"/>
        <v>100</v>
      </c>
      <c r="M1540" s="329"/>
      <c r="N1540" s="690"/>
      <c r="O1540" s="690"/>
      <c r="P1540" s="288"/>
      <c r="Q1540" s="553"/>
      <c r="R1540" s="525"/>
      <c r="S1540" s="729"/>
    </row>
    <row r="1541" spans="1:19" s="385" customFormat="1" ht="30.6" customHeight="1">
      <c r="A1541" s="379">
        <v>137</v>
      </c>
      <c r="B1541" s="750" t="s">
        <v>1389</v>
      </c>
      <c r="C1541" s="754" t="s">
        <v>1985</v>
      </c>
      <c r="D1541" s="409"/>
      <c r="E1541" s="738"/>
      <c r="F1541" s="727"/>
      <c r="G1541" s="721"/>
      <c r="H1541" s="738" t="s">
        <v>2734</v>
      </c>
      <c r="I1541" s="379">
        <v>1</v>
      </c>
      <c r="J1541" s="721">
        <v>100</v>
      </c>
      <c r="K1541" s="374">
        <f t="shared" si="62"/>
        <v>0</v>
      </c>
      <c r="L1541" s="374">
        <f t="shared" si="61"/>
        <v>100</v>
      </c>
      <c r="M1541" s="329"/>
      <c r="N1541" s="690"/>
      <c r="O1541" s="690"/>
      <c r="P1541" s="288"/>
      <c r="Q1541" s="553"/>
      <c r="R1541" s="525"/>
      <c r="S1541" s="729"/>
    </row>
    <row r="1542" spans="1:19" s="385" customFormat="1" ht="30.6" customHeight="1">
      <c r="A1542" s="379">
        <v>138</v>
      </c>
      <c r="B1542" s="750" t="s">
        <v>726</v>
      </c>
      <c r="C1542" s="754" t="s">
        <v>1986</v>
      </c>
      <c r="D1542" s="409"/>
      <c r="E1542" s="738"/>
      <c r="F1542" s="727"/>
      <c r="G1542" s="721"/>
      <c r="H1542" s="738" t="s">
        <v>2734</v>
      </c>
      <c r="I1542" s="379">
        <v>1</v>
      </c>
      <c r="J1542" s="721">
        <v>100</v>
      </c>
      <c r="K1542" s="374">
        <f t="shared" si="62"/>
        <v>0</v>
      </c>
      <c r="L1542" s="374">
        <f t="shared" si="61"/>
        <v>100</v>
      </c>
      <c r="M1542" s="329"/>
      <c r="N1542" s="690"/>
      <c r="O1542" s="690"/>
      <c r="P1542" s="288"/>
      <c r="Q1542" s="553"/>
      <c r="R1542" s="525"/>
      <c r="S1542" s="729"/>
    </row>
    <row r="1543" spans="1:19" s="385" customFormat="1" ht="30.6" customHeight="1">
      <c r="A1543" s="379">
        <v>139</v>
      </c>
      <c r="B1543" s="750" t="s">
        <v>661</v>
      </c>
      <c r="C1543" s="754" t="s">
        <v>1987</v>
      </c>
      <c r="D1543" s="409"/>
      <c r="E1543" s="738"/>
      <c r="F1543" s="727"/>
      <c r="G1543" s="721"/>
      <c r="H1543" s="738" t="s">
        <v>2734</v>
      </c>
      <c r="I1543" s="379">
        <v>1</v>
      </c>
      <c r="J1543" s="721">
        <v>100</v>
      </c>
      <c r="K1543" s="374">
        <f t="shared" si="62"/>
        <v>0</v>
      </c>
      <c r="L1543" s="374">
        <f t="shared" si="61"/>
        <v>100</v>
      </c>
      <c r="M1543" s="329"/>
      <c r="N1543" s="690"/>
      <c r="O1543" s="690"/>
      <c r="P1543" s="288"/>
      <c r="Q1543" s="553"/>
      <c r="R1543" s="525"/>
      <c r="S1543" s="729"/>
    </row>
    <row r="1544" spans="1:19" s="385" customFormat="1" ht="30.6" customHeight="1">
      <c r="A1544" s="379">
        <v>140</v>
      </c>
      <c r="B1544" s="750" t="s">
        <v>1042</v>
      </c>
      <c r="C1544" s="754" t="s">
        <v>1988</v>
      </c>
      <c r="D1544" s="409"/>
      <c r="E1544" s="738"/>
      <c r="F1544" s="727"/>
      <c r="G1544" s="721"/>
      <c r="H1544" s="738" t="s">
        <v>2734</v>
      </c>
      <c r="I1544" s="379">
        <v>1</v>
      </c>
      <c r="J1544" s="721">
        <v>100</v>
      </c>
      <c r="K1544" s="374">
        <f t="shared" si="62"/>
        <v>0</v>
      </c>
      <c r="L1544" s="374">
        <f t="shared" si="61"/>
        <v>100</v>
      </c>
      <c r="M1544" s="329"/>
      <c r="N1544" s="690"/>
      <c r="O1544" s="690"/>
      <c r="P1544" s="288"/>
      <c r="Q1544" s="553"/>
      <c r="R1544" s="525"/>
      <c r="S1544" s="729"/>
    </row>
    <row r="1545" spans="1:19" s="385" customFormat="1" ht="30.6" customHeight="1">
      <c r="A1545" s="379">
        <v>141</v>
      </c>
      <c r="B1545" s="750" t="s">
        <v>1566</v>
      </c>
      <c r="C1545" s="754" t="s">
        <v>1989</v>
      </c>
      <c r="D1545" s="409"/>
      <c r="E1545" s="738"/>
      <c r="F1545" s="727"/>
      <c r="G1545" s="721"/>
      <c r="H1545" s="738" t="s">
        <v>2734</v>
      </c>
      <c r="I1545" s="379">
        <v>1</v>
      </c>
      <c r="J1545" s="721">
        <v>100</v>
      </c>
      <c r="K1545" s="374">
        <f t="shared" si="62"/>
        <v>0</v>
      </c>
      <c r="L1545" s="374">
        <f t="shared" si="61"/>
        <v>100</v>
      </c>
      <c r="M1545" s="329"/>
      <c r="N1545" s="690"/>
      <c r="O1545" s="690"/>
      <c r="P1545" s="288"/>
      <c r="Q1545" s="553"/>
      <c r="R1545" s="525"/>
      <c r="S1545" s="729"/>
    </row>
    <row r="1546" spans="1:19" s="385" customFormat="1" ht="30.6" customHeight="1">
      <c r="A1546" s="379">
        <v>142</v>
      </c>
      <c r="B1546" s="750" t="s">
        <v>1567</v>
      </c>
      <c r="C1546" s="754" t="s">
        <v>1990</v>
      </c>
      <c r="D1546" s="409"/>
      <c r="E1546" s="738"/>
      <c r="F1546" s="727"/>
      <c r="G1546" s="721"/>
      <c r="H1546" s="738" t="s">
        <v>2734</v>
      </c>
      <c r="I1546" s="379">
        <v>1</v>
      </c>
      <c r="J1546" s="721">
        <v>100</v>
      </c>
      <c r="K1546" s="374">
        <f t="shared" si="62"/>
        <v>0</v>
      </c>
      <c r="L1546" s="374">
        <f t="shared" si="61"/>
        <v>100</v>
      </c>
      <c r="M1546" s="329"/>
      <c r="N1546" s="690"/>
      <c r="O1546" s="690"/>
      <c r="P1546" s="288"/>
      <c r="Q1546" s="553"/>
      <c r="R1546" s="525"/>
      <c r="S1546" s="729"/>
    </row>
    <row r="1547" spans="1:19" s="385" customFormat="1" ht="30.6" customHeight="1">
      <c r="A1547" s="379">
        <v>143</v>
      </c>
      <c r="B1547" s="750" t="s">
        <v>1031</v>
      </c>
      <c r="C1547" s="754" t="s">
        <v>1991</v>
      </c>
      <c r="D1547" s="409"/>
      <c r="E1547" s="738"/>
      <c r="F1547" s="727"/>
      <c r="G1547" s="721"/>
      <c r="H1547" s="738" t="s">
        <v>2734</v>
      </c>
      <c r="I1547" s="379">
        <v>1</v>
      </c>
      <c r="J1547" s="721">
        <v>100</v>
      </c>
      <c r="K1547" s="374">
        <f t="shared" si="62"/>
        <v>0</v>
      </c>
      <c r="L1547" s="374">
        <f t="shared" si="61"/>
        <v>100</v>
      </c>
      <c r="M1547" s="329"/>
      <c r="N1547" s="690"/>
      <c r="O1547" s="690"/>
      <c r="P1547" s="288"/>
      <c r="Q1547" s="553"/>
      <c r="R1547" s="525"/>
      <c r="S1547" s="729"/>
    </row>
    <row r="1548" spans="1:19" s="385" customFormat="1" ht="30.6" customHeight="1">
      <c r="A1548" s="379">
        <v>144</v>
      </c>
      <c r="B1548" s="750" t="s">
        <v>731</v>
      </c>
      <c r="C1548" s="754" t="s">
        <v>1992</v>
      </c>
      <c r="D1548" s="409"/>
      <c r="E1548" s="738"/>
      <c r="F1548" s="727"/>
      <c r="G1548" s="721"/>
      <c r="H1548" s="738" t="s">
        <v>2734</v>
      </c>
      <c r="I1548" s="379">
        <v>1</v>
      </c>
      <c r="J1548" s="721">
        <v>100</v>
      </c>
      <c r="K1548" s="374">
        <f t="shared" si="62"/>
        <v>0</v>
      </c>
      <c r="L1548" s="374">
        <f t="shared" si="61"/>
        <v>100</v>
      </c>
      <c r="M1548" s="329"/>
      <c r="N1548" s="690"/>
      <c r="O1548" s="690"/>
      <c r="P1548" s="288"/>
      <c r="Q1548" s="553"/>
      <c r="R1548" s="525"/>
      <c r="S1548" s="729"/>
    </row>
    <row r="1549" spans="1:19" s="385" customFormat="1" ht="30.6" customHeight="1">
      <c r="A1549" s="379">
        <v>145</v>
      </c>
      <c r="B1549" s="750" t="s">
        <v>732</v>
      </c>
      <c r="C1549" s="754" t="s">
        <v>1993</v>
      </c>
      <c r="D1549" s="409"/>
      <c r="E1549" s="738"/>
      <c r="F1549" s="727"/>
      <c r="G1549" s="721"/>
      <c r="H1549" s="738" t="s">
        <v>2734</v>
      </c>
      <c r="I1549" s="379">
        <v>1</v>
      </c>
      <c r="J1549" s="721">
        <v>100</v>
      </c>
      <c r="K1549" s="374">
        <f t="shared" si="62"/>
        <v>0</v>
      </c>
      <c r="L1549" s="374">
        <f t="shared" si="61"/>
        <v>100</v>
      </c>
      <c r="M1549" s="329"/>
      <c r="N1549" s="690"/>
      <c r="O1549" s="690"/>
      <c r="P1549" s="288"/>
      <c r="Q1549" s="553"/>
      <c r="R1549" s="525"/>
      <c r="S1549" s="729"/>
    </row>
    <row r="1550" spans="1:19" s="385" customFormat="1" ht="30.6" customHeight="1">
      <c r="A1550" s="379">
        <v>146</v>
      </c>
      <c r="B1550" s="750" t="s">
        <v>1391</v>
      </c>
      <c r="C1550" s="754" t="s">
        <v>1994</v>
      </c>
      <c r="D1550" s="409"/>
      <c r="E1550" s="738"/>
      <c r="F1550" s="727"/>
      <c r="G1550" s="721"/>
      <c r="H1550" s="738" t="s">
        <v>2734</v>
      </c>
      <c r="I1550" s="379">
        <v>1</v>
      </c>
      <c r="J1550" s="721">
        <v>100</v>
      </c>
      <c r="K1550" s="374">
        <f t="shared" si="62"/>
        <v>0</v>
      </c>
      <c r="L1550" s="374">
        <f t="shared" si="61"/>
        <v>100</v>
      </c>
      <c r="M1550" s="329"/>
      <c r="N1550" s="690"/>
      <c r="O1550" s="690"/>
      <c r="P1550" s="288"/>
      <c r="Q1550" s="553"/>
      <c r="R1550" s="525"/>
      <c r="S1550" s="729"/>
    </row>
    <row r="1551" spans="1:19" s="385" customFormat="1" ht="30.6" customHeight="1">
      <c r="A1551" s="379">
        <v>147</v>
      </c>
      <c r="B1551" s="750" t="s">
        <v>733</v>
      </c>
      <c r="C1551" s="754" t="s">
        <v>1995</v>
      </c>
      <c r="D1551" s="409"/>
      <c r="E1551" s="738"/>
      <c r="F1551" s="727"/>
      <c r="G1551" s="721"/>
      <c r="H1551" s="738" t="s">
        <v>2734</v>
      </c>
      <c r="I1551" s="379">
        <v>1</v>
      </c>
      <c r="J1551" s="721">
        <v>100</v>
      </c>
      <c r="K1551" s="374">
        <f t="shared" si="62"/>
        <v>0</v>
      </c>
      <c r="L1551" s="374">
        <f t="shared" si="61"/>
        <v>100</v>
      </c>
      <c r="M1551" s="329"/>
      <c r="N1551" s="690"/>
      <c r="O1551" s="690"/>
      <c r="P1551" s="288"/>
      <c r="Q1551" s="553"/>
      <c r="R1551" s="525"/>
      <c r="S1551" s="729"/>
    </row>
    <row r="1552" spans="1:19" s="385" customFormat="1" ht="30.6" customHeight="1">
      <c r="A1552" s="379">
        <v>148</v>
      </c>
      <c r="B1552" s="750" t="s">
        <v>545</v>
      </c>
      <c r="C1552" s="754" t="s">
        <v>1032</v>
      </c>
      <c r="D1552" s="409"/>
      <c r="E1552" s="738"/>
      <c r="F1552" s="727"/>
      <c r="G1552" s="721"/>
      <c r="H1552" s="738" t="s">
        <v>2734</v>
      </c>
      <c r="I1552" s="379">
        <v>1</v>
      </c>
      <c r="J1552" s="721">
        <v>100</v>
      </c>
      <c r="K1552" s="374">
        <f t="shared" si="62"/>
        <v>0</v>
      </c>
      <c r="L1552" s="374">
        <f t="shared" si="61"/>
        <v>100</v>
      </c>
      <c r="M1552" s="329"/>
      <c r="N1552" s="690"/>
      <c r="O1552" s="690"/>
      <c r="P1552" s="288"/>
      <c r="Q1552" s="553"/>
      <c r="R1552" s="525"/>
      <c r="S1552" s="729"/>
    </row>
    <row r="1553" spans="1:19" s="385" customFormat="1" ht="30.6" customHeight="1">
      <c r="A1553" s="379">
        <v>149</v>
      </c>
      <c r="B1553" s="750" t="s">
        <v>545</v>
      </c>
      <c r="C1553" s="754" t="s">
        <v>1033</v>
      </c>
      <c r="D1553" s="409"/>
      <c r="E1553" s="738"/>
      <c r="F1553" s="727"/>
      <c r="G1553" s="721"/>
      <c r="H1553" s="738" t="s">
        <v>2734</v>
      </c>
      <c r="I1553" s="379">
        <v>1</v>
      </c>
      <c r="J1553" s="721">
        <v>100</v>
      </c>
      <c r="K1553" s="374">
        <f t="shared" si="62"/>
        <v>0</v>
      </c>
      <c r="L1553" s="374">
        <f t="shared" si="61"/>
        <v>100</v>
      </c>
      <c r="M1553" s="329"/>
      <c r="N1553" s="690"/>
      <c r="O1553" s="690"/>
      <c r="P1553" s="288"/>
      <c r="Q1553" s="553"/>
      <c r="R1553" s="525"/>
      <c r="S1553" s="729"/>
    </row>
    <row r="1554" spans="1:19" s="385" customFormat="1" ht="30.6" customHeight="1">
      <c r="A1554" s="379">
        <v>150</v>
      </c>
      <c r="B1554" s="750" t="s">
        <v>508</v>
      </c>
      <c r="C1554" s="754" t="s">
        <v>1034</v>
      </c>
      <c r="D1554" s="409"/>
      <c r="E1554" s="738"/>
      <c r="F1554" s="727"/>
      <c r="G1554" s="721"/>
      <c r="H1554" s="738" t="s">
        <v>2734</v>
      </c>
      <c r="I1554" s="379">
        <v>1</v>
      </c>
      <c r="J1554" s="721">
        <v>100</v>
      </c>
      <c r="K1554" s="374">
        <f t="shared" si="62"/>
        <v>0</v>
      </c>
      <c r="L1554" s="374">
        <f t="shared" si="61"/>
        <v>100</v>
      </c>
      <c r="M1554" s="329"/>
      <c r="N1554" s="690"/>
      <c r="O1554" s="690"/>
      <c r="P1554" s="288"/>
      <c r="Q1554" s="553"/>
      <c r="R1554" s="525"/>
      <c r="S1554" s="729"/>
    </row>
    <row r="1555" spans="1:19" s="385" customFormat="1" ht="30.6" customHeight="1">
      <c r="A1555" s="379">
        <v>151</v>
      </c>
      <c r="B1555" s="750" t="s">
        <v>411</v>
      </c>
      <c r="C1555" s="754" t="s">
        <v>1035</v>
      </c>
      <c r="D1555" s="409"/>
      <c r="E1555" s="738"/>
      <c r="F1555" s="727"/>
      <c r="G1555" s="721"/>
      <c r="H1555" s="738" t="s">
        <v>2734</v>
      </c>
      <c r="I1555" s="379">
        <v>1</v>
      </c>
      <c r="J1555" s="721">
        <v>100</v>
      </c>
      <c r="K1555" s="374">
        <f t="shared" si="62"/>
        <v>0</v>
      </c>
      <c r="L1555" s="374">
        <f t="shared" si="61"/>
        <v>100</v>
      </c>
      <c r="M1555" s="329"/>
      <c r="N1555" s="690"/>
      <c r="O1555" s="690"/>
      <c r="P1555" s="288"/>
      <c r="Q1555" s="553"/>
      <c r="R1555" s="525"/>
      <c r="S1555" s="729"/>
    </row>
    <row r="1556" spans="1:19" s="385" customFormat="1" ht="30.6" customHeight="1">
      <c r="A1556" s="379">
        <v>152</v>
      </c>
      <c r="B1556" s="750" t="s">
        <v>411</v>
      </c>
      <c r="C1556" s="754" t="s">
        <v>1036</v>
      </c>
      <c r="D1556" s="409"/>
      <c r="E1556" s="738"/>
      <c r="F1556" s="727"/>
      <c r="G1556" s="721"/>
      <c r="H1556" s="738" t="s">
        <v>2734</v>
      </c>
      <c r="I1556" s="379">
        <v>1</v>
      </c>
      <c r="J1556" s="721">
        <v>100</v>
      </c>
      <c r="K1556" s="374">
        <f t="shared" si="62"/>
        <v>0</v>
      </c>
      <c r="L1556" s="374">
        <f t="shared" si="61"/>
        <v>100</v>
      </c>
      <c r="M1556" s="329"/>
      <c r="N1556" s="690"/>
      <c r="O1556" s="690"/>
      <c r="P1556" s="288"/>
      <c r="Q1556" s="553"/>
      <c r="R1556" s="525"/>
      <c r="S1556" s="729"/>
    </row>
    <row r="1557" spans="1:19" s="385" customFormat="1" ht="30.6" customHeight="1">
      <c r="A1557" s="379"/>
      <c r="B1557" s="750"/>
      <c r="C1557" s="754"/>
      <c r="D1557" s="409"/>
      <c r="E1557" s="738"/>
      <c r="F1557" s="727"/>
      <c r="G1557" s="721"/>
      <c r="H1557" s="738"/>
      <c r="I1557" s="379"/>
      <c r="J1557" s="721"/>
      <c r="K1557" s="374">
        <f t="shared" si="62"/>
        <v>0</v>
      </c>
      <c r="L1557" s="374">
        <f t="shared" si="61"/>
        <v>0</v>
      </c>
      <c r="M1557" s="329"/>
      <c r="N1557" s="690"/>
      <c r="O1557" s="690"/>
      <c r="P1557" s="288"/>
      <c r="Q1557" s="553"/>
      <c r="R1557" s="525"/>
      <c r="S1557" s="729"/>
    </row>
    <row r="1558" spans="1:19" s="385" customFormat="1" ht="30.6" customHeight="1">
      <c r="A1558" s="379"/>
      <c r="B1558" s="750" t="s">
        <v>2735</v>
      </c>
      <c r="C1558" s="755"/>
      <c r="D1558" s="409"/>
      <c r="E1558" s="738"/>
      <c r="F1558" s="727"/>
      <c r="G1558" s="721"/>
      <c r="H1558" s="738"/>
      <c r="I1558" s="379"/>
      <c r="J1558" s="721"/>
      <c r="K1558" s="374">
        <f t="shared" ref="K1558:K1639" si="63">G1558*11.54/100</f>
        <v>0</v>
      </c>
      <c r="L1558" s="374">
        <f t="shared" si="61"/>
        <v>0</v>
      </c>
      <c r="M1558" s="329"/>
      <c r="N1558" s="690"/>
      <c r="O1558" s="690"/>
      <c r="P1558" s="288"/>
      <c r="Q1558" s="553"/>
      <c r="R1558" s="525"/>
      <c r="S1558" s="729"/>
    </row>
    <row r="1559" spans="1:19" s="385" customFormat="1" ht="30.6" customHeight="1">
      <c r="A1559" s="379">
        <v>1</v>
      </c>
      <c r="B1559" s="750" t="s">
        <v>643</v>
      </c>
      <c r="C1559" s="754" t="s">
        <v>1835</v>
      </c>
      <c r="D1559" s="409"/>
      <c r="E1559" s="738"/>
      <c r="F1559" s="727"/>
      <c r="G1559" s="721"/>
      <c r="H1559" s="738" t="s">
        <v>2734</v>
      </c>
      <c r="I1559" s="379"/>
      <c r="J1559" s="721">
        <v>100</v>
      </c>
      <c r="K1559" s="374">
        <f t="shared" si="63"/>
        <v>0</v>
      </c>
      <c r="L1559" s="374">
        <f t="shared" ref="L1559:L1586" si="64">+J1559</f>
        <v>100</v>
      </c>
      <c r="M1559" s="329"/>
      <c r="N1559" s="690"/>
      <c r="O1559" s="690"/>
      <c r="P1559" s="288"/>
      <c r="Q1559" s="553"/>
      <c r="R1559" s="525"/>
      <c r="S1559" s="729"/>
    </row>
    <row r="1560" spans="1:19" s="385" customFormat="1" ht="30.6" customHeight="1">
      <c r="A1560" s="379">
        <v>2</v>
      </c>
      <c r="B1560" s="750" t="s">
        <v>645</v>
      </c>
      <c r="C1560" s="754" t="s">
        <v>1837</v>
      </c>
      <c r="D1560" s="409"/>
      <c r="E1560" s="738"/>
      <c r="F1560" s="727"/>
      <c r="G1560" s="721"/>
      <c r="H1560" s="738" t="s">
        <v>2734</v>
      </c>
      <c r="I1560" s="379"/>
      <c r="J1560" s="721">
        <v>100</v>
      </c>
      <c r="K1560" s="374">
        <f t="shared" si="63"/>
        <v>0</v>
      </c>
      <c r="L1560" s="374">
        <f t="shared" si="64"/>
        <v>100</v>
      </c>
      <c r="M1560" s="329"/>
      <c r="N1560" s="690"/>
      <c r="O1560" s="690"/>
      <c r="P1560" s="288"/>
      <c r="Q1560" s="553"/>
      <c r="R1560" s="525"/>
      <c r="S1560" s="729"/>
    </row>
    <row r="1561" spans="1:19" s="385" customFormat="1" ht="30.6" customHeight="1">
      <c r="A1561" s="379">
        <v>3</v>
      </c>
      <c r="B1561" s="750" t="s">
        <v>647</v>
      </c>
      <c r="C1561" s="754" t="s">
        <v>1840</v>
      </c>
      <c r="D1561" s="409"/>
      <c r="E1561" s="738"/>
      <c r="F1561" s="727"/>
      <c r="G1561" s="721"/>
      <c r="H1561" s="738" t="s">
        <v>2734</v>
      </c>
      <c r="I1561" s="379"/>
      <c r="J1561" s="721">
        <v>100</v>
      </c>
      <c r="K1561" s="374">
        <f t="shared" si="63"/>
        <v>0</v>
      </c>
      <c r="L1561" s="374">
        <f t="shared" si="64"/>
        <v>100</v>
      </c>
      <c r="M1561" s="329"/>
      <c r="N1561" s="690"/>
      <c r="O1561" s="690"/>
      <c r="P1561" s="288"/>
      <c r="Q1561" s="553"/>
      <c r="R1561" s="525"/>
      <c r="S1561" s="729"/>
    </row>
    <row r="1562" spans="1:19" s="385" customFormat="1" ht="30.6" customHeight="1">
      <c r="A1562" s="379">
        <v>4</v>
      </c>
      <c r="B1562" s="750" t="s">
        <v>648</v>
      </c>
      <c r="C1562" s="754" t="s">
        <v>1841</v>
      </c>
      <c r="D1562" s="409"/>
      <c r="E1562" s="738"/>
      <c r="F1562" s="727"/>
      <c r="G1562" s="721"/>
      <c r="H1562" s="738" t="s">
        <v>2734</v>
      </c>
      <c r="I1562" s="379"/>
      <c r="J1562" s="721">
        <v>100</v>
      </c>
      <c r="K1562" s="374">
        <f t="shared" si="63"/>
        <v>0</v>
      </c>
      <c r="L1562" s="374">
        <f t="shared" si="64"/>
        <v>100</v>
      </c>
      <c r="M1562" s="329"/>
      <c r="N1562" s="690"/>
      <c r="O1562" s="690"/>
      <c r="P1562" s="288"/>
      <c r="Q1562" s="553"/>
      <c r="R1562" s="525"/>
      <c r="S1562" s="729"/>
    </row>
    <row r="1563" spans="1:19" s="385" customFormat="1" ht="30.6" customHeight="1">
      <c r="A1563" s="379">
        <v>5</v>
      </c>
      <c r="B1563" s="750" t="s">
        <v>653</v>
      </c>
      <c r="C1563" s="754" t="s">
        <v>1848</v>
      </c>
      <c r="D1563" s="409"/>
      <c r="E1563" s="738"/>
      <c r="F1563" s="727"/>
      <c r="G1563" s="721"/>
      <c r="H1563" s="738" t="s">
        <v>2734</v>
      </c>
      <c r="I1563" s="379"/>
      <c r="J1563" s="721">
        <v>100</v>
      </c>
      <c r="K1563" s="374">
        <f t="shared" si="63"/>
        <v>0</v>
      </c>
      <c r="L1563" s="374">
        <f t="shared" si="64"/>
        <v>100</v>
      </c>
      <c r="M1563" s="329"/>
      <c r="N1563" s="690"/>
      <c r="O1563" s="690"/>
      <c r="P1563" s="288"/>
      <c r="Q1563" s="553"/>
      <c r="R1563" s="525"/>
      <c r="S1563" s="729"/>
    </row>
    <row r="1564" spans="1:19" s="385" customFormat="1" ht="30.6" customHeight="1">
      <c r="A1564" s="379">
        <v>6</v>
      </c>
      <c r="B1564" s="750" t="s">
        <v>654</v>
      </c>
      <c r="C1564" s="754" t="s">
        <v>1849</v>
      </c>
      <c r="D1564" s="409"/>
      <c r="E1564" s="738"/>
      <c r="F1564" s="727"/>
      <c r="G1564" s="721"/>
      <c r="H1564" s="738" t="s">
        <v>2734</v>
      </c>
      <c r="I1564" s="379"/>
      <c r="J1564" s="721">
        <v>100</v>
      </c>
      <c r="K1564" s="374">
        <f t="shared" si="63"/>
        <v>0</v>
      </c>
      <c r="L1564" s="374">
        <f t="shared" si="64"/>
        <v>100</v>
      </c>
      <c r="M1564" s="329"/>
      <c r="N1564" s="690"/>
      <c r="O1564" s="690"/>
      <c r="P1564" s="288"/>
      <c r="Q1564" s="553"/>
      <c r="R1564" s="525"/>
      <c r="S1564" s="729"/>
    </row>
    <row r="1565" spans="1:19" s="385" customFormat="1" ht="30.6" customHeight="1">
      <c r="A1565" s="379">
        <v>7</v>
      </c>
      <c r="B1565" s="750" t="s">
        <v>655</v>
      </c>
      <c r="C1565" s="754" t="s">
        <v>1850</v>
      </c>
      <c r="D1565" s="409"/>
      <c r="E1565" s="738"/>
      <c r="F1565" s="727"/>
      <c r="G1565" s="721"/>
      <c r="H1565" s="738" t="s">
        <v>2734</v>
      </c>
      <c r="I1565" s="379"/>
      <c r="J1565" s="721">
        <v>100</v>
      </c>
      <c r="K1565" s="374">
        <f t="shared" si="63"/>
        <v>0</v>
      </c>
      <c r="L1565" s="374">
        <f t="shared" si="64"/>
        <v>100</v>
      </c>
      <c r="M1565" s="329"/>
      <c r="N1565" s="690"/>
      <c r="O1565" s="690"/>
      <c r="P1565" s="288"/>
      <c r="Q1565" s="553"/>
      <c r="R1565" s="525"/>
      <c r="S1565" s="729"/>
    </row>
    <row r="1566" spans="1:19" s="385" customFormat="1" ht="30.6" customHeight="1">
      <c r="A1566" s="379">
        <v>8</v>
      </c>
      <c r="B1566" s="750" t="s">
        <v>1549</v>
      </c>
      <c r="C1566" s="754" t="s">
        <v>1851</v>
      </c>
      <c r="D1566" s="409"/>
      <c r="E1566" s="738"/>
      <c r="F1566" s="727"/>
      <c r="G1566" s="721"/>
      <c r="H1566" s="738" t="s">
        <v>2734</v>
      </c>
      <c r="I1566" s="379"/>
      <c r="J1566" s="721">
        <v>100</v>
      </c>
      <c r="K1566" s="374">
        <f t="shared" si="63"/>
        <v>0</v>
      </c>
      <c r="L1566" s="374">
        <f t="shared" si="64"/>
        <v>100</v>
      </c>
      <c r="M1566" s="329"/>
      <c r="N1566" s="690"/>
      <c r="O1566" s="690"/>
      <c r="P1566" s="288"/>
      <c r="Q1566" s="553"/>
      <c r="R1566" s="525"/>
      <c r="S1566" s="729"/>
    </row>
    <row r="1567" spans="1:19" s="385" customFormat="1" ht="30.6" customHeight="1">
      <c r="A1567" s="379">
        <v>9</v>
      </c>
      <c r="B1567" s="750" t="s">
        <v>657</v>
      </c>
      <c r="C1567" s="754" t="s">
        <v>1852</v>
      </c>
      <c r="D1567" s="409"/>
      <c r="E1567" s="738"/>
      <c r="F1567" s="727"/>
      <c r="G1567" s="721"/>
      <c r="H1567" s="738" t="s">
        <v>2734</v>
      </c>
      <c r="I1567" s="379"/>
      <c r="J1567" s="721">
        <v>100</v>
      </c>
      <c r="K1567" s="374">
        <f t="shared" si="63"/>
        <v>0</v>
      </c>
      <c r="L1567" s="374">
        <f t="shared" si="64"/>
        <v>100</v>
      </c>
      <c r="M1567" s="329"/>
      <c r="N1567" s="690"/>
      <c r="O1567" s="690"/>
      <c r="P1567" s="288"/>
      <c r="Q1567" s="553"/>
      <c r="R1567" s="525"/>
      <c r="S1567" s="729"/>
    </row>
    <row r="1568" spans="1:19" s="385" customFormat="1" ht="30.6" customHeight="1">
      <c r="A1568" s="379">
        <v>10</v>
      </c>
      <c r="B1568" s="750" t="s">
        <v>1015</v>
      </c>
      <c r="C1568" s="754" t="s">
        <v>1857</v>
      </c>
      <c r="D1568" s="409"/>
      <c r="E1568" s="738"/>
      <c r="F1568" s="727"/>
      <c r="G1568" s="721"/>
      <c r="H1568" s="738" t="s">
        <v>2734</v>
      </c>
      <c r="I1568" s="379"/>
      <c r="J1568" s="721">
        <v>100</v>
      </c>
      <c r="K1568" s="374">
        <f t="shared" si="63"/>
        <v>0</v>
      </c>
      <c r="L1568" s="374">
        <f t="shared" si="64"/>
        <v>100</v>
      </c>
      <c r="M1568" s="329"/>
      <c r="N1568" s="690"/>
      <c r="O1568" s="690"/>
      <c r="P1568" s="288"/>
      <c r="Q1568" s="553"/>
      <c r="R1568" s="525"/>
      <c r="S1568" s="729"/>
    </row>
    <row r="1569" spans="1:19" s="385" customFormat="1" ht="30.6" customHeight="1">
      <c r="A1569" s="379">
        <v>11</v>
      </c>
      <c r="B1569" s="750" t="s">
        <v>2609</v>
      </c>
      <c r="C1569" s="754" t="s">
        <v>2622</v>
      </c>
      <c r="D1569" s="409"/>
      <c r="E1569" s="738"/>
      <c r="F1569" s="727"/>
      <c r="G1569" s="721"/>
      <c r="H1569" s="738" t="s">
        <v>2627</v>
      </c>
      <c r="I1569" s="379"/>
      <c r="J1569" s="721">
        <v>100</v>
      </c>
      <c r="K1569" s="374">
        <f t="shared" si="63"/>
        <v>0</v>
      </c>
      <c r="L1569" s="374">
        <f t="shared" si="64"/>
        <v>100</v>
      </c>
      <c r="M1569" s="329"/>
      <c r="N1569" s="690"/>
      <c r="O1569" s="690"/>
      <c r="P1569" s="288"/>
      <c r="Q1569" s="553"/>
      <c r="R1569" s="525"/>
      <c r="S1569" s="729"/>
    </row>
    <row r="1570" spans="1:19" s="385" customFormat="1" ht="30.6" customHeight="1">
      <c r="A1570" s="379">
        <v>12</v>
      </c>
      <c r="B1570" s="750" t="s">
        <v>1333</v>
      </c>
      <c r="C1570" s="754" t="s">
        <v>1863</v>
      </c>
      <c r="D1570" s="409"/>
      <c r="E1570" s="738"/>
      <c r="F1570" s="727"/>
      <c r="G1570" s="721"/>
      <c r="H1570" s="738" t="s">
        <v>2734</v>
      </c>
      <c r="I1570" s="379"/>
      <c r="J1570" s="721">
        <v>100</v>
      </c>
      <c r="K1570" s="374">
        <f t="shared" si="63"/>
        <v>0</v>
      </c>
      <c r="L1570" s="374">
        <f t="shared" si="64"/>
        <v>100</v>
      </c>
      <c r="M1570" s="329"/>
      <c r="N1570" s="690"/>
      <c r="O1570" s="690"/>
      <c r="P1570" s="288"/>
      <c r="Q1570" s="553"/>
      <c r="R1570" s="525"/>
      <c r="S1570" s="729"/>
    </row>
    <row r="1571" spans="1:19" s="385" customFormat="1" ht="30.6" customHeight="1">
      <c r="A1571" s="379">
        <v>13</v>
      </c>
      <c r="B1571" s="750" t="s">
        <v>663</v>
      </c>
      <c r="C1571" s="754" t="s">
        <v>1864</v>
      </c>
      <c r="D1571" s="409"/>
      <c r="E1571" s="738"/>
      <c r="F1571" s="727"/>
      <c r="G1571" s="721"/>
      <c r="H1571" s="738" t="s">
        <v>2627</v>
      </c>
      <c r="I1571" s="379"/>
      <c r="J1571" s="721">
        <v>100</v>
      </c>
      <c r="K1571" s="374">
        <f t="shared" si="63"/>
        <v>0</v>
      </c>
      <c r="L1571" s="374">
        <f t="shared" si="64"/>
        <v>100</v>
      </c>
      <c r="M1571" s="329"/>
      <c r="N1571" s="690"/>
      <c r="O1571" s="690"/>
      <c r="P1571" s="288"/>
      <c r="Q1571" s="553"/>
      <c r="R1571" s="525"/>
      <c r="S1571" s="729"/>
    </row>
    <row r="1572" spans="1:19" s="385" customFormat="1" ht="30.6" customHeight="1">
      <c r="A1572" s="379">
        <v>14</v>
      </c>
      <c r="B1572" s="750" t="s">
        <v>2613</v>
      </c>
      <c r="C1572" s="754" t="s">
        <v>2624</v>
      </c>
      <c r="D1572" s="409"/>
      <c r="E1572" s="738"/>
      <c r="F1572" s="727"/>
      <c r="G1572" s="721"/>
      <c r="H1572" s="738" t="s">
        <v>2627</v>
      </c>
      <c r="I1572" s="379"/>
      <c r="J1572" s="721">
        <v>100</v>
      </c>
      <c r="K1572" s="374">
        <f t="shared" si="63"/>
        <v>0</v>
      </c>
      <c r="L1572" s="374">
        <f t="shared" si="64"/>
        <v>100</v>
      </c>
      <c r="M1572" s="329"/>
      <c r="N1572" s="690"/>
      <c r="O1572" s="690"/>
      <c r="P1572" s="288"/>
      <c r="Q1572" s="553"/>
      <c r="R1572" s="525"/>
      <c r="S1572" s="729"/>
    </row>
    <row r="1573" spans="1:19" s="385" customFormat="1" ht="30.6" customHeight="1">
      <c r="A1573" s="379">
        <v>15</v>
      </c>
      <c r="B1573" s="750" t="s">
        <v>1775</v>
      </c>
      <c r="C1573" s="754" t="s">
        <v>2629</v>
      </c>
      <c r="D1573" s="409"/>
      <c r="E1573" s="738"/>
      <c r="F1573" s="727"/>
      <c r="G1573" s="721"/>
      <c r="H1573" s="738" t="s">
        <v>2627</v>
      </c>
      <c r="I1573" s="379"/>
      <c r="J1573" s="721">
        <v>100</v>
      </c>
      <c r="K1573" s="374">
        <f t="shared" si="63"/>
        <v>0</v>
      </c>
      <c r="L1573" s="374">
        <f t="shared" si="64"/>
        <v>100</v>
      </c>
      <c r="M1573" s="329"/>
      <c r="N1573" s="690"/>
      <c r="O1573" s="690"/>
      <c r="P1573" s="288"/>
      <c r="Q1573" s="553"/>
      <c r="R1573" s="525"/>
      <c r="S1573" s="729"/>
    </row>
    <row r="1574" spans="1:19" s="385" customFormat="1" ht="30.6" customHeight="1">
      <c r="A1574" s="379">
        <v>16</v>
      </c>
      <c r="B1574" s="750" t="s">
        <v>1780</v>
      </c>
      <c r="C1574" s="754" t="s">
        <v>2630</v>
      </c>
      <c r="D1574" s="409"/>
      <c r="E1574" s="738"/>
      <c r="F1574" s="727"/>
      <c r="G1574" s="721"/>
      <c r="H1574" s="738" t="s">
        <v>2734</v>
      </c>
      <c r="I1574" s="379"/>
      <c r="J1574" s="721">
        <v>100</v>
      </c>
      <c r="K1574" s="374">
        <f t="shared" si="63"/>
        <v>0</v>
      </c>
      <c r="L1574" s="374">
        <f t="shared" si="64"/>
        <v>100</v>
      </c>
      <c r="M1574" s="329"/>
      <c r="N1574" s="690"/>
      <c r="O1574" s="690"/>
      <c r="P1574" s="288"/>
      <c r="Q1574" s="553"/>
      <c r="R1574" s="525"/>
      <c r="S1574" s="729"/>
    </row>
    <row r="1575" spans="1:19" s="385" customFormat="1" ht="30.6" customHeight="1">
      <c r="A1575" s="379">
        <v>17</v>
      </c>
      <c r="B1575" s="750" t="s">
        <v>693</v>
      </c>
      <c r="C1575" s="754" t="s">
        <v>1913</v>
      </c>
      <c r="D1575" s="409"/>
      <c r="E1575" s="738"/>
      <c r="F1575" s="727"/>
      <c r="G1575" s="721"/>
      <c r="H1575" s="738" t="s">
        <v>2734</v>
      </c>
      <c r="I1575" s="379"/>
      <c r="J1575" s="721">
        <v>100</v>
      </c>
      <c r="K1575" s="374">
        <f t="shared" si="63"/>
        <v>0</v>
      </c>
      <c r="L1575" s="374">
        <f t="shared" si="64"/>
        <v>100</v>
      </c>
      <c r="M1575" s="329"/>
      <c r="N1575" s="690"/>
      <c r="O1575" s="690"/>
      <c r="P1575" s="288"/>
      <c r="Q1575" s="553"/>
      <c r="R1575" s="525"/>
      <c r="S1575" s="729"/>
    </row>
    <row r="1576" spans="1:19" s="385" customFormat="1" ht="30.6" customHeight="1">
      <c r="A1576" s="379">
        <v>18</v>
      </c>
      <c r="B1576" s="750" t="s">
        <v>425</v>
      </c>
      <c r="C1576" s="754" t="s">
        <v>1915</v>
      </c>
      <c r="D1576" s="409"/>
      <c r="E1576" s="738"/>
      <c r="F1576" s="727"/>
      <c r="G1576" s="721"/>
      <c r="H1576" s="738" t="s">
        <v>2734</v>
      </c>
      <c r="I1576" s="379"/>
      <c r="J1576" s="721">
        <v>100</v>
      </c>
      <c r="K1576" s="374">
        <f t="shared" si="63"/>
        <v>0</v>
      </c>
      <c r="L1576" s="374">
        <f t="shared" si="64"/>
        <v>100</v>
      </c>
      <c r="M1576" s="329"/>
      <c r="N1576" s="690"/>
      <c r="O1576" s="690"/>
      <c r="P1576" s="288"/>
      <c r="Q1576" s="553"/>
      <c r="R1576" s="525"/>
      <c r="S1576" s="729"/>
    </row>
    <row r="1577" spans="1:19" s="385" customFormat="1" ht="30.6" customHeight="1">
      <c r="A1577" s="379">
        <v>19</v>
      </c>
      <c r="B1577" s="750" t="s">
        <v>695</v>
      </c>
      <c r="C1577" s="754" t="s">
        <v>1916</v>
      </c>
      <c r="D1577" s="409"/>
      <c r="E1577" s="738"/>
      <c r="F1577" s="727"/>
      <c r="G1577" s="721"/>
      <c r="H1577" s="738" t="s">
        <v>2734</v>
      </c>
      <c r="I1577" s="379"/>
      <c r="J1577" s="721">
        <v>100</v>
      </c>
      <c r="K1577" s="374">
        <f t="shared" si="63"/>
        <v>0</v>
      </c>
      <c r="L1577" s="374">
        <f t="shared" si="64"/>
        <v>100</v>
      </c>
      <c r="M1577" s="329"/>
      <c r="N1577" s="690"/>
      <c r="O1577" s="690"/>
      <c r="P1577" s="288"/>
      <c r="Q1577" s="553"/>
      <c r="R1577" s="525"/>
      <c r="S1577" s="729"/>
    </row>
    <row r="1578" spans="1:19" s="385" customFormat="1" ht="30.6" customHeight="1">
      <c r="A1578" s="379">
        <v>20</v>
      </c>
      <c r="B1578" s="750" t="s">
        <v>697</v>
      </c>
      <c r="C1578" s="754" t="s">
        <v>1919</v>
      </c>
      <c r="D1578" s="409"/>
      <c r="E1578" s="738"/>
      <c r="F1578" s="727"/>
      <c r="G1578" s="721"/>
      <c r="H1578" s="738" t="s">
        <v>2734</v>
      </c>
      <c r="I1578" s="379"/>
      <c r="J1578" s="721">
        <v>100</v>
      </c>
      <c r="K1578" s="374">
        <f t="shared" si="63"/>
        <v>0</v>
      </c>
      <c r="L1578" s="374">
        <f t="shared" si="64"/>
        <v>100</v>
      </c>
      <c r="M1578" s="329"/>
      <c r="N1578" s="690"/>
      <c r="O1578" s="690"/>
      <c r="P1578" s="288"/>
      <c r="Q1578" s="553"/>
      <c r="R1578" s="525"/>
      <c r="S1578" s="729"/>
    </row>
    <row r="1579" spans="1:19" s="385" customFormat="1" ht="30.6" customHeight="1">
      <c r="A1579" s="379">
        <v>21</v>
      </c>
      <c r="B1579" s="750" t="s">
        <v>702</v>
      </c>
      <c r="C1579" s="754" t="s">
        <v>1922</v>
      </c>
      <c r="D1579" s="409"/>
      <c r="E1579" s="738"/>
      <c r="F1579" s="727"/>
      <c r="G1579" s="721"/>
      <c r="H1579" s="738" t="s">
        <v>2734</v>
      </c>
      <c r="I1579" s="379"/>
      <c r="J1579" s="721">
        <v>100</v>
      </c>
      <c r="K1579" s="374">
        <f t="shared" si="63"/>
        <v>0</v>
      </c>
      <c r="L1579" s="374">
        <f t="shared" si="64"/>
        <v>100</v>
      </c>
      <c r="M1579" s="329"/>
      <c r="N1579" s="690"/>
      <c r="O1579" s="690"/>
      <c r="P1579" s="288"/>
      <c r="Q1579" s="553"/>
      <c r="R1579" s="525"/>
      <c r="S1579" s="729"/>
    </row>
    <row r="1580" spans="1:19" s="385" customFormat="1" ht="30.6" customHeight="1">
      <c r="A1580" s="379">
        <v>22</v>
      </c>
      <c r="B1580" s="750" t="s">
        <v>1561</v>
      </c>
      <c r="C1580" s="754" t="s">
        <v>1000</v>
      </c>
      <c r="D1580" s="409"/>
      <c r="E1580" s="738"/>
      <c r="F1580" s="727"/>
      <c r="G1580" s="721"/>
      <c r="H1580" s="738" t="s">
        <v>2734</v>
      </c>
      <c r="I1580" s="379"/>
      <c r="J1580" s="721">
        <v>100</v>
      </c>
      <c r="K1580" s="374">
        <f t="shared" si="63"/>
        <v>0</v>
      </c>
      <c r="L1580" s="374">
        <f t="shared" si="64"/>
        <v>100</v>
      </c>
      <c r="M1580" s="329"/>
      <c r="N1580" s="690"/>
      <c r="O1580" s="690"/>
      <c r="P1580" s="288"/>
      <c r="Q1580" s="553"/>
      <c r="R1580" s="525"/>
      <c r="S1580" s="729"/>
    </row>
    <row r="1581" spans="1:19" s="385" customFormat="1" ht="30.6" customHeight="1">
      <c r="A1581" s="379">
        <v>23</v>
      </c>
      <c r="B1581" s="750" t="s">
        <v>708</v>
      </c>
      <c r="C1581" s="754" t="s">
        <v>1054</v>
      </c>
      <c r="D1581" s="409"/>
      <c r="E1581" s="738"/>
      <c r="F1581" s="727"/>
      <c r="G1581" s="721"/>
      <c r="H1581" s="738" t="s">
        <v>2743</v>
      </c>
      <c r="I1581" s="379"/>
      <c r="J1581" s="721">
        <v>200</v>
      </c>
      <c r="K1581" s="374">
        <f t="shared" si="63"/>
        <v>0</v>
      </c>
      <c r="L1581" s="374">
        <f t="shared" si="64"/>
        <v>200</v>
      </c>
      <c r="M1581" s="329"/>
      <c r="N1581" s="690"/>
      <c r="O1581" s="690"/>
      <c r="P1581" s="288"/>
      <c r="Q1581" s="553"/>
      <c r="R1581" s="525"/>
      <c r="S1581" s="729"/>
    </row>
    <row r="1582" spans="1:19" s="385" customFormat="1" ht="30.6" customHeight="1">
      <c r="A1582" s="379">
        <v>24</v>
      </c>
      <c r="B1582" s="750" t="s">
        <v>1807</v>
      </c>
      <c r="C1582" s="754" t="s">
        <v>1945</v>
      </c>
      <c r="D1582" s="409"/>
      <c r="E1582" s="738"/>
      <c r="F1582" s="727"/>
      <c r="G1582" s="721"/>
      <c r="H1582" s="738" t="s">
        <v>2627</v>
      </c>
      <c r="I1582" s="379"/>
      <c r="J1582" s="721">
        <v>100</v>
      </c>
      <c r="K1582" s="374">
        <f t="shared" si="63"/>
        <v>0</v>
      </c>
      <c r="L1582" s="374">
        <f t="shared" si="64"/>
        <v>100</v>
      </c>
      <c r="M1582" s="329"/>
      <c r="N1582" s="690"/>
      <c r="O1582" s="690"/>
      <c r="P1582" s="288"/>
      <c r="Q1582" s="553"/>
      <c r="R1582" s="525"/>
      <c r="S1582" s="729"/>
    </row>
    <row r="1583" spans="1:19" s="385" customFormat="1" ht="30.6" customHeight="1">
      <c r="A1583" s="379">
        <v>25</v>
      </c>
      <c r="B1583" s="750" t="s">
        <v>2738</v>
      </c>
      <c r="C1583" s="754" t="s">
        <v>2625</v>
      </c>
      <c r="D1583" s="409"/>
      <c r="E1583" s="738"/>
      <c r="F1583" s="727"/>
      <c r="G1583" s="721"/>
      <c r="H1583" s="738" t="s">
        <v>2627</v>
      </c>
      <c r="I1583" s="379"/>
      <c r="J1583" s="721">
        <v>100</v>
      </c>
      <c r="K1583" s="374">
        <f t="shared" si="63"/>
        <v>0</v>
      </c>
      <c r="L1583" s="374">
        <f t="shared" si="64"/>
        <v>100</v>
      </c>
      <c r="M1583" s="329"/>
      <c r="N1583" s="690"/>
      <c r="O1583" s="690"/>
      <c r="P1583" s="288"/>
      <c r="Q1583" s="553"/>
      <c r="R1583" s="525"/>
      <c r="S1583" s="729"/>
    </row>
    <row r="1584" spans="1:19" s="385" customFormat="1" ht="30.6" customHeight="1">
      <c r="A1584" s="379">
        <v>26</v>
      </c>
      <c r="B1584" s="750" t="s">
        <v>727</v>
      </c>
      <c r="C1584" s="754" t="s">
        <v>2788</v>
      </c>
      <c r="D1584" s="409"/>
      <c r="E1584" s="738"/>
      <c r="F1584" s="727"/>
      <c r="G1584" s="721"/>
      <c r="H1584" s="738" t="s">
        <v>2627</v>
      </c>
      <c r="I1584" s="379"/>
      <c r="J1584" s="721">
        <v>100</v>
      </c>
      <c r="K1584" s="374">
        <f t="shared" si="63"/>
        <v>0</v>
      </c>
      <c r="L1584" s="374">
        <f t="shared" si="64"/>
        <v>100</v>
      </c>
      <c r="M1584" s="329"/>
      <c r="N1584" s="690"/>
      <c r="O1584" s="690"/>
      <c r="P1584" s="288"/>
      <c r="Q1584" s="553"/>
      <c r="R1584" s="525"/>
      <c r="S1584" s="729"/>
    </row>
    <row r="1585" spans="1:22" s="385" customFormat="1" ht="30.6" customHeight="1">
      <c r="A1585" s="379">
        <v>27</v>
      </c>
      <c r="B1585" s="750" t="s">
        <v>2617</v>
      </c>
      <c r="C1585" s="754" t="s">
        <v>2626</v>
      </c>
      <c r="D1585" s="409"/>
      <c r="E1585" s="738"/>
      <c r="F1585" s="727"/>
      <c r="G1585" s="721"/>
      <c r="H1585" s="738" t="s">
        <v>2627</v>
      </c>
      <c r="I1585" s="379" t="s">
        <v>604</v>
      </c>
      <c r="J1585" s="721">
        <v>100</v>
      </c>
      <c r="K1585" s="374">
        <f t="shared" si="63"/>
        <v>0</v>
      </c>
      <c r="L1585" s="374">
        <f t="shared" si="64"/>
        <v>100</v>
      </c>
      <c r="M1585" s="329"/>
      <c r="N1585" s="690"/>
      <c r="O1585" s="690"/>
      <c r="P1585" s="288"/>
      <c r="Q1585" s="553"/>
      <c r="R1585" s="525"/>
      <c r="S1585" s="729"/>
    </row>
    <row r="1586" spans="1:22" s="385" customFormat="1" ht="30.6" customHeight="1" thickBot="1">
      <c r="A1586" s="379">
        <v>28</v>
      </c>
      <c r="B1586" s="1440" t="s">
        <v>734</v>
      </c>
      <c r="C1586" s="755" t="s">
        <v>2631</v>
      </c>
      <c r="D1586" s="409"/>
      <c r="E1586" s="738"/>
      <c r="F1586" s="727"/>
      <c r="G1586" s="721"/>
      <c r="H1586" s="738" t="s">
        <v>2627</v>
      </c>
      <c r="I1586" s="379"/>
      <c r="J1586" s="721">
        <v>1927.61</v>
      </c>
      <c r="K1586" s="374">
        <f t="shared" si="63"/>
        <v>0</v>
      </c>
      <c r="L1586" s="374">
        <f t="shared" si="64"/>
        <v>1927.61</v>
      </c>
      <c r="M1586" s="329"/>
      <c r="N1586" s="690"/>
      <c r="O1586" s="690"/>
      <c r="P1586" s="288"/>
      <c r="Q1586" s="553"/>
      <c r="R1586" s="525"/>
      <c r="S1586" s="729"/>
    </row>
    <row r="1587" spans="1:22" s="455" customFormat="1" ht="27.75" customHeight="1" thickTop="1" thickBot="1">
      <c r="A1587" s="450"/>
      <c r="B1587" s="730"/>
      <c r="C1587" s="444"/>
      <c r="D1587" s="576"/>
      <c r="E1587" s="453"/>
      <c r="F1587" s="458"/>
      <c r="G1587" s="499"/>
      <c r="H1587" s="622"/>
      <c r="I1587" s="450"/>
      <c r="J1587" s="446"/>
      <c r="K1587" s="374">
        <f t="shared" si="63"/>
        <v>0</v>
      </c>
      <c r="L1587" s="446">
        <f>+J1587</f>
        <v>0</v>
      </c>
      <c r="M1587" s="551"/>
      <c r="N1587" s="708">
        <f>SUM(G1402:G1587)</f>
        <v>0</v>
      </c>
      <c r="O1587" s="708">
        <f>SUM(J1402:J1587)</f>
        <v>19927.61</v>
      </c>
      <c r="P1587" s="756">
        <f>+N1587+O1587</f>
        <v>19927.61</v>
      </c>
      <c r="Q1587" s="481">
        <f>SUM(D1402:D1586)</f>
        <v>100</v>
      </c>
      <c r="R1587" s="552" t="s">
        <v>2962</v>
      </c>
      <c r="S1587" s="655"/>
    </row>
    <row r="1588" spans="1:22" ht="27.75" customHeight="1" thickTop="1" thickBot="1">
      <c r="A1588" s="321"/>
      <c r="B1588" s="537"/>
      <c r="C1588" s="757" t="s">
        <v>26</v>
      </c>
      <c r="D1588" s="533"/>
      <c r="E1588" s="533"/>
      <c r="F1588" s="758"/>
      <c r="G1588" s="533">
        <f>SUM(G421:G1587)</f>
        <v>166447.00200000009</v>
      </c>
      <c r="H1588" s="533"/>
      <c r="I1588" s="758"/>
      <c r="J1588" s="533">
        <f>SUM(J421:J1587)</f>
        <v>15195114.739999996</v>
      </c>
      <c r="K1588" s="374">
        <f t="shared" si="63"/>
        <v>19207.984030800009</v>
      </c>
      <c r="L1588" s="533">
        <f>SUM(L421:L1587)</f>
        <v>15195114.739999996</v>
      </c>
      <c r="N1588" s="599">
        <f>SUM(N420:N1587)</f>
        <v>166447.00200000001</v>
      </c>
      <c r="O1588" s="599">
        <f>SUM(O420:O1587)</f>
        <v>15195114.739999998</v>
      </c>
      <c r="P1588" s="599">
        <f>SUM(P421:P1587)</f>
        <v>15361561.741999997</v>
      </c>
      <c r="Q1588" s="538">
        <f>SUM(Q421:Q1587)</f>
        <v>4602.6000000000004</v>
      </c>
    </row>
    <row r="1589" spans="1:22" ht="27.75" customHeight="1" thickTop="1" thickBot="1">
      <c r="A1589" s="321"/>
      <c r="B1589" s="515"/>
      <c r="C1589" s="759"/>
      <c r="D1589" s="330"/>
      <c r="E1589" s="289"/>
      <c r="F1589" s="541"/>
      <c r="G1589" s="544"/>
      <c r="H1589" s="541"/>
      <c r="I1589" s="541"/>
      <c r="J1589" s="330">
        <f>+G1588+J1588</f>
        <v>15361561.741999997</v>
      </c>
      <c r="K1589" s="374">
        <f t="shared" si="63"/>
        <v>0</v>
      </c>
      <c r="L1589" s="760">
        <f>SUM(K1588+L1588)</f>
        <v>15214322.724030796</v>
      </c>
      <c r="M1589" s="488"/>
      <c r="N1589" s="602">
        <f>+G1588+J1588</f>
        <v>15361561.741999997</v>
      </c>
      <c r="O1589" s="761">
        <f>+N1589-P1589</f>
        <v>0</v>
      </c>
      <c r="P1589" s="762">
        <v>15361561.742000001</v>
      </c>
    </row>
    <row r="1590" spans="1:22" s="436" customFormat="1" ht="27.6" customHeight="1" thickBot="1">
      <c r="A1590" s="692"/>
      <c r="B1590" s="763" t="s">
        <v>121</v>
      </c>
      <c r="C1590" s="764"/>
      <c r="D1590" s="357"/>
      <c r="E1590" s="765"/>
      <c r="F1590" s="354"/>
      <c r="G1590" s="766"/>
      <c r="H1590" s="360"/>
      <c r="I1590" s="354"/>
      <c r="J1590" s="767"/>
      <c r="K1590" s="374">
        <f t="shared" si="63"/>
        <v>0</v>
      </c>
      <c r="L1590" s="768"/>
      <c r="M1590" s="768"/>
      <c r="N1590" s="765"/>
      <c r="O1590" s="765"/>
      <c r="P1590" s="765"/>
      <c r="Q1590" s="767"/>
    </row>
    <row r="1591" spans="1:22" s="455" customFormat="1" ht="27.75" customHeight="1" thickTop="1" thickBot="1">
      <c r="A1591" s="450"/>
      <c r="B1591" s="444"/>
      <c r="C1591" s="555" t="s">
        <v>48</v>
      </c>
      <c r="D1591" s="453"/>
      <c r="E1591" s="769"/>
      <c r="F1591" s="450"/>
      <c r="G1591" s="500"/>
      <c r="H1591" s="444"/>
      <c r="I1591" s="458"/>
      <c r="J1591" s="769"/>
      <c r="K1591" s="374">
        <f t="shared" si="63"/>
        <v>0</v>
      </c>
      <c r="L1591" s="770">
        <f>+J1591</f>
        <v>0</v>
      </c>
      <c r="M1591" s="771"/>
      <c r="N1591" s="772">
        <f>SUM(G1591:G1591)</f>
        <v>0</v>
      </c>
      <c r="O1591" s="772">
        <f>SUM(J1591:J1591)</f>
        <v>0</v>
      </c>
      <c r="P1591" s="773">
        <f>+N1591+O1591</f>
        <v>0</v>
      </c>
      <c r="R1591" s="774" t="s">
        <v>310</v>
      </c>
    </row>
    <row r="1592" spans="1:22" s="455" customFormat="1" ht="27.75" customHeight="1" thickTop="1" thickBot="1">
      <c r="A1592" s="450"/>
      <c r="B1592" s="444"/>
      <c r="C1592" s="473"/>
      <c r="D1592" s="576"/>
      <c r="E1592" s="769"/>
      <c r="F1592" s="450"/>
      <c r="G1592" s="775"/>
      <c r="H1592" s="444"/>
      <c r="I1592" s="450"/>
      <c r="J1592" s="770"/>
      <c r="K1592" s="374">
        <f t="shared" si="63"/>
        <v>0</v>
      </c>
      <c r="L1592" s="770">
        <f>+J1592</f>
        <v>0</v>
      </c>
      <c r="M1592" s="771"/>
      <c r="N1592" s="772">
        <f>G1592</f>
        <v>0</v>
      </c>
      <c r="O1592" s="772">
        <f>SUM(J1592:J1592)</f>
        <v>0</v>
      </c>
      <c r="P1592" s="773">
        <f>+N1592+O1592</f>
        <v>0</v>
      </c>
      <c r="R1592" s="774" t="s">
        <v>172</v>
      </c>
    </row>
    <row r="1593" spans="1:22" s="786" customFormat="1" ht="27.75" customHeight="1" thickTop="1" thickBot="1">
      <c r="A1593" s="647"/>
      <c r="B1593" s="776"/>
      <c r="C1593" s="776"/>
      <c r="D1593" s="777"/>
      <c r="E1593" s="778"/>
      <c r="F1593" s="779"/>
      <c r="G1593" s="780"/>
      <c r="H1593" s="387"/>
      <c r="I1593" s="579"/>
      <c r="J1593" s="781"/>
      <c r="K1593" s="374">
        <f t="shared" si="63"/>
        <v>0</v>
      </c>
      <c r="L1593" s="781"/>
      <c r="M1593" s="782"/>
      <c r="N1593" s="783"/>
      <c r="O1593" s="783"/>
      <c r="P1593" s="784"/>
      <c r="Q1593" s="783"/>
      <c r="R1593" s="785"/>
    </row>
    <row r="1594" spans="1:22" s="455" customFormat="1" ht="27.75" customHeight="1" thickTop="1" thickBot="1">
      <c r="A1594" s="450"/>
      <c r="B1594" s="444"/>
      <c r="C1594" s="473" t="s">
        <v>33</v>
      </c>
      <c r="D1594" s="576"/>
      <c r="E1594" s="769"/>
      <c r="F1594" s="450"/>
      <c r="G1594" s="775"/>
      <c r="H1594" s="622"/>
      <c r="I1594" s="458"/>
      <c r="J1594" s="769"/>
      <c r="K1594" s="374">
        <f t="shared" si="63"/>
        <v>0</v>
      </c>
      <c r="L1594" s="769"/>
      <c r="M1594" s="772"/>
      <c r="N1594" s="772">
        <f>G1594</f>
        <v>0</v>
      </c>
      <c r="O1594" s="772">
        <f>SUM(J1594:J1594)</f>
        <v>0</v>
      </c>
      <c r="P1594" s="773">
        <f>+N1594+O1594</f>
        <v>0</v>
      </c>
      <c r="R1594" s="774" t="s">
        <v>33</v>
      </c>
      <c r="S1594" s="772"/>
      <c r="T1594" s="772"/>
      <c r="U1594" s="772"/>
      <c r="V1594" s="772"/>
    </row>
    <row r="1595" spans="1:22" s="455" customFormat="1" ht="27.75" customHeight="1" thickTop="1" thickBot="1">
      <c r="A1595" s="450"/>
      <c r="B1595" s="444"/>
      <c r="C1595" s="473"/>
      <c r="D1595" s="576"/>
      <c r="E1595" s="769"/>
      <c r="F1595" s="450"/>
      <c r="G1595" s="775"/>
      <c r="H1595" s="622"/>
      <c r="I1595" s="458"/>
      <c r="J1595" s="769"/>
      <c r="K1595" s="374">
        <f t="shared" si="63"/>
        <v>0</v>
      </c>
      <c r="L1595" s="769"/>
      <c r="M1595" s="772"/>
      <c r="N1595" s="772">
        <f>G1595</f>
        <v>0</v>
      </c>
      <c r="O1595" s="772">
        <f>SUM(J1595:J1595)</f>
        <v>0</v>
      </c>
      <c r="P1595" s="773">
        <f>+N1595+O1595</f>
        <v>0</v>
      </c>
      <c r="R1595" s="774" t="s">
        <v>166</v>
      </c>
      <c r="S1595" s="772"/>
      <c r="T1595" s="772"/>
      <c r="U1595" s="772"/>
      <c r="V1595" s="772"/>
    </row>
    <row r="1596" spans="1:22" s="455" customFormat="1" ht="27.75" customHeight="1" thickTop="1" thickBot="1">
      <c r="A1596" s="450"/>
      <c r="B1596" s="444"/>
      <c r="C1596" s="473" t="s">
        <v>44</v>
      </c>
      <c r="D1596" s="576"/>
      <c r="E1596" s="769"/>
      <c r="F1596" s="450"/>
      <c r="G1596" s="775"/>
      <c r="H1596" s="622"/>
      <c r="I1596" s="458"/>
      <c r="J1596" s="769"/>
      <c r="K1596" s="374">
        <f t="shared" si="63"/>
        <v>0</v>
      </c>
      <c r="L1596" s="769"/>
      <c r="M1596" s="772"/>
      <c r="N1596" s="772">
        <f>G1596</f>
        <v>0</v>
      </c>
      <c r="O1596" s="772">
        <f>SUM(J1596:J1596)</f>
        <v>0</v>
      </c>
      <c r="P1596" s="773">
        <f>+N1596+O1596</f>
        <v>0</v>
      </c>
      <c r="R1596" s="774" t="s">
        <v>44</v>
      </c>
      <c r="S1596" s="772"/>
      <c r="T1596" s="772"/>
      <c r="U1596" s="772"/>
      <c r="V1596" s="772"/>
    </row>
    <row r="1597" spans="1:22" s="455" customFormat="1" ht="27.75" customHeight="1" thickTop="1" thickBot="1">
      <c r="A1597" s="588"/>
      <c r="B1597" s="592"/>
      <c r="C1597" s="787" t="s">
        <v>112</v>
      </c>
      <c r="D1597" s="788"/>
      <c r="E1597" s="789"/>
      <c r="F1597" s="588"/>
      <c r="G1597" s="790"/>
      <c r="H1597" s="624"/>
      <c r="I1597" s="593"/>
      <c r="J1597" s="789"/>
      <c r="K1597" s="374">
        <f t="shared" si="63"/>
        <v>0</v>
      </c>
      <c r="L1597" s="789"/>
      <c r="M1597" s="772"/>
      <c r="N1597" s="772">
        <f>G1597</f>
        <v>0</v>
      </c>
      <c r="O1597" s="772"/>
      <c r="P1597" s="773">
        <f>+N1597+O1597</f>
        <v>0</v>
      </c>
      <c r="R1597" s="774" t="s">
        <v>35</v>
      </c>
      <c r="S1597" s="772"/>
      <c r="T1597" s="772"/>
      <c r="U1597" s="772"/>
      <c r="V1597" s="772"/>
    </row>
    <row r="1598" spans="1:22" s="786" customFormat="1" ht="27.75" customHeight="1" thickTop="1" thickBot="1">
      <c r="A1598" s="791"/>
      <c r="B1598" s="792"/>
      <c r="C1598" s="793" t="s">
        <v>26</v>
      </c>
      <c r="D1598" s="533">
        <f>SUM(D1591:D1597)</f>
        <v>0</v>
      </c>
      <c r="E1598" s="794"/>
      <c r="F1598" s="795"/>
      <c r="G1598" s="796">
        <f>SUM(G1591:G1597)</f>
        <v>0</v>
      </c>
      <c r="H1598" s="795"/>
      <c r="I1598" s="795"/>
      <c r="J1598" s="797">
        <f>SUM(J1591:J1597)</f>
        <v>0</v>
      </c>
      <c r="K1598" s="374">
        <f t="shared" si="63"/>
        <v>0</v>
      </c>
      <c r="L1598" s="798">
        <f>SUM(L1591:L1597)</f>
        <v>0</v>
      </c>
      <c r="M1598" s="782"/>
      <c r="N1598" s="799">
        <f>SUM(N1591:N1597)</f>
        <v>0</v>
      </c>
      <c r="O1598" s="799">
        <f>SUM(O1591:O1597)</f>
        <v>0</v>
      </c>
      <c r="P1598" s="799">
        <f>SUM(P1591:P1597)</f>
        <v>0</v>
      </c>
      <c r="Q1598" s="800">
        <f>SUM(D1591:D1597)</f>
        <v>0</v>
      </c>
      <c r="S1598" s="801"/>
      <c r="T1598" s="801"/>
      <c r="U1598" s="801"/>
      <c r="V1598" s="801"/>
    </row>
    <row r="1599" spans="1:22" s="786" customFormat="1" ht="27.75" customHeight="1" thickTop="1" thickBot="1">
      <c r="A1599" s="791"/>
      <c r="B1599" s="802"/>
      <c r="C1599" s="803"/>
      <c r="D1599" s="330"/>
      <c r="E1599" s="783"/>
      <c r="F1599" s="804"/>
      <c r="G1599" s="805"/>
      <c r="H1599" s="804"/>
      <c r="I1599" s="804"/>
      <c r="J1599" s="782">
        <f>+G1598+J1598</f>
        <v>0</v>
      </c>
      <c r="K1599" s="374">
        <f t="shared" si="63"/>
        <v>0</v>
      </c>
      <c r="L1599" s="806">
        <f>SUM(K1598+L1598)</f>
        <v>0</v>
      </c>
      <c r="M1599" s="807"/>
      <c r="N1599" s="808">
        <f>+G1598+J1598</f>
        <v>0</v>
      </c>
      <c r="O1599" s="809">
        <f>+N1599-P1599</f>
        <v>0</v>
      </c>
      <c r="P1599" s="810"/>
      <c r="Q1599" s="783"/>
      <c r="S1599" s="801"/>
      <c r="T1599" s="801"/>
      <c r="U1599" s="801"/>
      <c r="V1599" s="801"/>
    </row>
    <row r="1600" spans="1:22" s="436" customFormat="1" ht="27.75" customHeight="1" thickTop="1">
      <c r="A1600" s="425"/>
      <c r="B1600" s="605" t="s">
        <v>440</v>
      </c>
      <c r="C1600" s="606"/>
      <c r="D1600" s="607"/>
      <c r="E1600" s="607"/>
      <c r="F1600" s="811"/>
      <c r="G1600" s="812"/>
      <c r="H1600" s="811"/>
      <c r="I1600" s="811"/>
      <c r="J1600" s="813"/>
      <c r="K1600" s="374">
        <f t="shared" si="63"/>
        <v>0</v>
      </c>
      <c r="L1600" s="361"/>
      <c r="M1600" s="361"/>
      <c r="N1600" s="358"/>
      <c r="O1600" s="814"/>
      <c r="P1600" s="358"/>
      <c r="Q1600" s="358"/>
      <c r="S1600" s="358"/>
      <c r="T1600" s="358"/>
      <c r="U1600" s="358"/>
      <c r="V1600" s="358"/>
    </row>
    <row r="1601" spans="1:22" s="436" customFormat="1" ht="27.75" customHeight="1">
      <c r="A1601" s="425">
        <v>1</v>
      </c>
      <c r="B1601" s="426"/>
      <c r="C1601" s="815" t="s">
        <v>138</v>
      </c>
      <c r="D1601" s="816"/>
      <c r="E1601" s="817"/>
      <c r="F1601" s="692"/>
      <c r="G1601" s="818"/>
      <c r="H1601" s="819"/>
      <c r="I1601" s="820"/>
      <c r="J1601" s="821"/>
      <c r="K1601" s="374">
        <f t="shared" si="63"/>
        <v>0</v>
      </c>
      <c r="L1601" s="358"/>
      <c r="M1601" s="358"/>
      <c r="N1601" s="817">
        <f>SUM(G1601:G1601)</f>
        <v>0</v>
      </c>
      <c r="O1601" s="358">
        <f>SUM(J1601:J1601)</f>
        <v>0</v>
      </c>
      <c r="P1601" s="358">
        <f>+N1601+O1601</f>
        <v>0</v>
      </c>
      <c r="Q1601" s="358"/>
      <c r="S1601" s="358"/>
      <c r="T1601" s="358"/>
      <c r="U1601" s="358"/>
      <c r="V1601" s="358"/>
    </row>
    <row r="1602" spans="1:22" s="436" customFormat="1" ht="27.75" customHeight="1" thickBot="1">
      <c r="A1602" s="425"/>
      <c r="B1602" s="822"/>
      <c r="C1602" s="823" t="s">
        <v>26</v>
      </c>
      <c r="D1602" s="824">
        <f>SUM(D1601:D1601)</f>
        <v>0</v>
      </c>
      <c r="E1602" s="825"/>
      <c r="F1602" s="826"/>
      <c r="G1602" s="827">
        <f>SUM(G1601:G1601)</f>
        <v>0</v>
      </c>
      <c r="H1602" s="826"/>
      <c r="I1602" s="826"/>
      <c r="J1602" s="824">
        <f>SUM(J1601:J1601)</f>
        <v>0</v>
      </c>
      <c r="K1602" s="374">
        <f t="shared" si="63"/>
        <v>0</v>
      </c>
      <c r="L1602" s="824"/>
      <c r="M1602" s="828"/>
      <c r="N1602" s="828">
        <f>SUM(N1601:N1601)</f>
        <v>0</v>
      </c>
      <c r="O1602" s="824">
        <f>SUM(O1601:O1601)</f>
        <v>0</v>
      </c>
      <c r="P1602" s="824">
        <f>SUM(P1601:P1601)</f>
        <v>0</v>
      </c>
      <c r="Q1602" s="358">
        <f>+N1600+N1603</f>
        <v>0</v>
      </c>
      <c r="S1602" s="358"/>
      <c r="T1602" s="358"/>
      <c r="U1602" s="358"/>
      <c r="V1602" s="358"/>
    </row>
    <row r="1603" spans="1:22" s="436" customFormat="1" ht="27.75" customHeight="1" thickTop="1">
      <c r="A1603" s="692"/>
      <c r="B1603" s="763" t="s">
        <v>122</v>
      </c>
      <c r="C1603" s="764"/>
      <c r="D1603" s="357"/>
      <c r="E1603" s="357"/>
      <c r="F1603" s="354"/>
      <c r="G1603" s="829"/>
      <c r="H1603" s="360"/>
      <c r="I1603" s="354"/>
      <c r="J1603" s="357"/>
      <c r="K1603" s="374">
        <f t="shared" si="63"/>
        <v>0</v>
      </c>
      <c r="L1603" s="361"/>
      <c r="M1603" s="361"/>
      <c r="N1603" s="358">
        <f>+G1602+J1602</f>
        <v>0</v>
      </c>
      <c r="O1603" s="358">
        <f>+P1602-N1603</f>
        <v>0</v>
      </c>
      <c r="P1603" s="358">
        <v>0</v>
      </c>
      <c r="Q1603" s="357"/>
      <c r="S1603" s="358"/>
      <c r="T1603" s="358"/>
      <c r="U1603" s="358"/>
      <c r="V1603" s="358"/>
    </row>
    <row r="1604" spans="1:22" ht="27.75" customHeight="1">
      <c r="B1604" s="373" t="s">
        <v>66</v>
      </c>
      <c r="C1604" s="393"/>
      <c r="D1604" s="365"/>
      <c r="E1604" s="365"/>
      <c r="F1604" s="366"/>
      <c r="G1604" s="367"/>
      <c r="H1604" s="368"/>
      <c r="I1604" s="366"/>
      <c r="J1604" s="365"/>
      <c r="K1604" s="374">
        <f t="shared" si="63"/>
        <v>0</v>
      </c>
      <c r="L1604" s="374">
        <f t="shared" ref="L1604:L1647" si="65">+J1604</f>
        <v>0</v>
      </c>
      <c r="Q1604" s="370"/>
      <c r="S1604" s="289"/>
      <c r="T1604" s="289"/>
      <c r="U1604" s="289"/>
      <c r="V1604" s="289"/>
    </row>
    <row r="1605" spans="1:22" ht="27.75" customHeight="1" thickBot="1">
      <c r="B1605" s="506"/>
      <c r="C1605" s="584"/>
      <c r="D1605" s="475"/>
      <c r="E1605" s="409"/>
      <c r="F1605" s="362"/>
      <c r="G1605" s="830"/>
      <c r="K1605" s="374">
        <f t="shared" si="63"/>
        <v>0</v>
      </c>
      <c r="L1605" s="374"/>
      <c r="N1605" s="288"/>
      <c r="O1605" s="288"/>
      <c r="P1605" s="288"/>
    </row>
    <row r="1606" spans="1:22" s="455" customFormat="1" ht="27.75" customHeight="1" thickTop="1" thickBot="1">
      <c r="A1606" s="450"/>
      <c r="B1606" s="444"/>
      <c r="C1606" s="457"/>
      <c r="D1606" s="446"/>
      <c r="E1606" s="453"/>
      <c r="F1606" s="450"/>
      <c r="G1606" s="386"/>
      <c r="H1606" s="622"/>
      <c r="I1606" s="458"/>
      <c r="J1606" s="453"/>
      <c r="K1606" s="374">
        <f t="shared" si="63"/>
        <v>0</v>
      </c>
      <c r="L1606" s="374">
        <f t="shared" si="65"/>
        <v>0</v>
      </c>
      <c r="M1606" s="551"/>
      <c r="N1606" s="452">
        <f>SUM(G1605:G1606)</f>
        <v>0</v>
      </c>
      <c r="O1606" s="452">
        <f>SUM(J1605:J1605)</f>
        <v>0</v>
      </c>
      <c r="P1606" s="452">
        <f>+N1606+O1606</f>
        <v>0</v>
      </c>
      <c r="Q1606" s="481">
        <f>SUM(D1605:D1606)</f>
        <v>0</v>
      </c>
      <c r="R1606" s="552" t="s">
        <v>171</v>
      </c>
      <c r="S1606" s="483"/>
      <c r="T1606" s="452"/>
      <c r="U1606" s="452"/>
      <c r="V1606" s="452"/>
    </row>
    <row r="1607" spans="1:22" s="385" customFormat="1" ht="27.75" customHeight="1" thickTop="1" thickBot="1">
      <c r="A1607" s="379"/>
      <c r="B1607" s="387"/>
      <c r="C1607" s="395"/>
      <c r="D1607" s="374"/>
      <c r="E1607" s="382"/>
      <c r="F1607" s="379"/>
      <c r="G1607" s="386"/>
      <c r="H1607" s="383"/>
      <c r="I1607" s="388"/>
      <c r="J1607" s="382"/>
      <c r="K1607" s="374">
        <f t="shared" si="63"/>
        <v>0</v>
      </c>
      <c r="L1607" s="374">
        <f t="shared" si="65"/>
        <v>0</v>
      </c>
      <c r="M1607" s="329"/>
      <c r="N1607" s="288"/>
      <c r="O1607" s="288"/>
      <c r="P1607" s="288"/>
      <c r="Q1607" s="288"/>
      <c r="S1607" s="288"/>
      <c r="T1607" s="288"/>
      <c r="U1607" s="288"/>
      <c r="V1607" s="288"/>
    </row>
    <row r="1608" spans="1:22" s="455" customFormat="1" ht="27.75" customHeight="1" thickTop="1" thickBot="1">
      <c r="A1608" s="450"/>
      <c r="B1608" s="444"/>
      <c r="C1608" s="457"/>
      <c r="D1608" s="446"/>
      <c r="E1608" s="453"/>
      <c r="F1608" s="450"/>
      <c r="G1608" s="586"/>
      <c r="H1608" s="622"/>
      <c r="I1608" s="458"/>
      <c r="J1608" s="453"/>
      <c r="K1608" s="374">
        <f t="shared" si="63"/>
        <v>0</v>
      </c>
      <c r="L1608" s="374">
        <f t="shared" si="65"/>
        <v>0</v>
      </c>
      <c r="M1608" s="551"/>
      <c r="N1608" s="452">
        <f>SUM(G1608:G1608)</f>
        <v>0</v>
      </c>
      <c r="O1608" s="452">
        <f>SUM(J1608:J1608)</f>
        <v>0</v>
      </c>
      <c r="P1608" s="452">
        <f>+N1608+O1608</f>
        <v>0</v>
      </c>
      <c r="Q1608" s="481">
        <f>SUM(D1608)</f>
        <v>0</v>
      </c>
      <c r="R1608" s="552" t="s">
        <v>192</v>
      </c>
      <c r="S1608" s="483"/>
      <c r="T1608" s="452"/>
      <c r="U1608" s="452"/>
      <c r="V1608" s="452"/>
    </row>
    <row r="1609" spans="1:22" ht="27.75" customHeight="1" thickTop="1">
      <c r="B1609" s="332" t="s">
        <v>1208</v>
      </c>
      <c r="C1609" s="393"/>
      <c r="D1609" s="338"/>
      <c r="G1609" s="586"/>
      <c r="H1609" s="373"/>
      <c r="I1609" s="397"/>
      <c r="J1609" s="335"/>
      <c r="K1609" s="374">
        <f t="shared" si="63"/>
        <v>0</v>
      </c>
      <c r="L1609" s="374">
        <f t="shared" si="65"/>
        <v>0</v>
      </c>
      <c r="Q1609" s="478"/>
      <c r="R1609" s="479"/>
      <c r="S1609" s="287"/>
      <c r="T1609" s="289"/>
      <c r="U1609" s="289"/>
      <c r="V1609" s="289"/>
    </row>
    <row r="1610" spans="1:22" ht="27.75" customHeight="1">
      <c r="B1610" s="332"/>
      <c r="C1610" s="393"/>
      <c r="D1610" s="338"/>
      <c r="G1610" s="586"/>
      <c r="H1610" s="373"/>
      <c r="I1610" s="397"/>
      <c r="J1610" s="335"/>
      <c r="K1610" s="374">
        <f t="shared" si="63"/>
        <v>0</v>
      </c>
      <c r="L1610" s="374">
        <f t="shared" si="65"/>
        <v>0</v>
      </c>
      <c r="Q1610" s="478"/>
      <c r="R1610" s="479"/>
      <c r="S1610" s="287"/>
      <c r="T1610" s="289"/>
      <c r="U1610" s="289"/>
      <c r="V1610" s="289"/>
    </row>
    <row r="1611" spans="1:22" ht="27.75" customHeight="1" thickBot="1">
      <c r="B1611" s="831"/>
      <c r="C1611" s="832"/>
      <c r="D1611" s="833"/>
      <c r="E1611" s="834"/>
      <c r="F1611" s="835"/>
      <c r="G1611" s="367"/>
      <c r="H1611" s="373"/>
      <c r="I1611" s="397"/>
      <c r="J1611" s="335"/>
      <c r="K1611" s="374">
        <f t="shared" si="63"/>
        <v>0</v>
      </c>
      <c r="L1611" s="374">
        <f t="shared" si="65"/>
        <v>0</v>
      </c>
    </row>
    <row r="1612" spans="1:22" s="455" customFormat="1" ht="27.75" customHeight="1" thickTop="1" thickBot="1">
      <c r="A1612" s="450"/>
      <c r="B1612" s="836"/>
      <c r="C1612" s="837"/>
      <c r="D1612" s="838"/>
      <c r="E1612" s="839"/>
      <c r="F1612" s="840"/>
      <c r="G1612" s="367"/>
      <c r="H1612" s="622"/>
      <c r="I1612" s="458"/>
      <c r="J1612" s="453"/>
      <c r="K1612" s="374">
        <f t="shared" si="63"/>
        <v>0</v>
      </c>
      <c r="L1612" s="374">
        <f t="shared" si="65"/>
        <v>0</v>
      </c>
      <c r="M1612" s="551"/>
      <c r="N1612" s="452">
        <f>SUM(G1609:G1611)</f>
        <v>0</v>
      </c>
      <c r="O1612" s="452">
        <f>SUM(J1611:J1612)</f>
        <v>0</v>
      </c>
      <c r="P1612" s="452">
        <f>+N1612+O1612</f>
        <v>0</v>
      </c>
      <c r="Q1612" s="481">
        <f>SUM(D1609:D1612)</f>
        <v>0</v>
      </c>
      <c r="R1612" s="552" t="s">
        <v>218</v>
      </c>
      <c r="S1612" s="483"/>
      <c r="T1612" s="452"/>
      <c r="U1612" s="452"/>
      <c r="V1612" s="452"/>
    </row>
    <row r="1613" spans="1:22" ht="27.6" customHeight="1" thickTop="1">
      <c r="B1613" s="841" t="s">
        <v>99</v>
      </c>
      <c r="C1613" s="842"/>
      <c r="D1613" s="338"/>
      <c r="F1613" s="843"/>
      <c r="G1613" s="367"/>
      <c r="H1613" s="373"/>
      <c r="I1613" s="397"/>
      <c r="J1613" s="335"/>
      <c r="K1613" s="374">
        <f t="shared" si="63"/>
        <v>0</v>
      </c>
      <c r="L1613" s="374">
        <f t="shared" si="65"/>
        <v>0</v>
      </c>
      <c r="Q1613" s="478"/>
      <c r="R1613" s="479"/>
      <c r="S1613" s="287"/>
      <c r="T1613" s="289"/>
      <c r="U1613" s="289"/>
      <c r="V1613" s="289"/>
    </row>
    <row r="1614" spans="1:22" ht="27.75" customHeight="1">
      <c r="A1614" s="331">
        <v>1</v>
      </c>
      <c r="B1614" s="1442" t="s">
        <v>1319</v>
      </c>
      <c r="C1614" s="1443" t="s">
        <v>44</v>
      </c>
      <c r="D1614" s="1444"/>
      <c r="E1614" s="1445" t="s">
        <v>3434</v>
      </c>
      <c r="F1614" s="1446">
        <v>1</v>
      </c>
      <c r="G1614" s="1447">
        <v>4526.1000000000004</v>
      </c>
      <c r="H1614" s="383"/>
      <c r="I1614" s="388"/>
      <c r="J1614" s="382"/>
      <c r="K1614" s="374">
        <f t="shared" si="63"/>
        <v>522.31194000000005</v>
      </c>
      <c r="L1614" s="374">
        <f t="shared" si="65"/>
        <v>0</v>
      </c>
      <c r="Q1614" s="478"/>
      <c r="R1614" s="479"/>
      <c r="S1614" s="297"/>
    </row>
    <row r="1615" spans="1:22" ht="27.75" customHeight="1" thickBot="1">
      <c r="B1615" s="364"/>
      <c r="C1615" s="364"/>
      <c r="D1615" s="409"/>
      <c r="E1615" s="409"/>
      <c r="F1615" s="844"/>
      <c r="G1615" s="367"/>
      <c r="H1615" s="383"/>
      <c r="I1615" s="388"/>
      <c r="J1615" s="382"/>
      <c r="K1615" s="374">
        <f t="shared" si="63"/>
        <v>0</v>
      </c>
      <c r="L1615" s="374">
        <f t="shared" si="65"/>
        <v>0</v>
      </c>
      <c r="Q1615" s="478"/>
      <c r="R1615" s="479"/>
      <c r="S1615" s="297"/>
    </row>
    <row r="1616" spans="1:22" s="455" customFormat="1" ht="27.75" customHeight="1" thickTop="1" thickBot="1">
      <c r="A1616" s="450"/>
      <c r="B1616" s="550"/>
      <c r="C1616" s="845"/>
      <c r="D1616" s="846"/>
      <c r="E1616" s="447"/>
      <c r="F1616" s="448"/>
      <c r="G1616" s="367"/>
      <c r="H1616" s="622"/>
      <c r="I1616" s="458"/>
      <c r="J1616" s="453"/>
      <c r="K1616" s="374">
        <f t="shared" si="63"/>
        <v>0</v>
      </c>
      <c r="L1616" s="374">
        <f t="shared" si="65"/>
        <v>0</v>
      </c>
      <c r="M1616" s="551"/>
      <c r="N1616" s="452">
        <f>SUM(G1613:G1616)</f>
        <v>4526.1000000000004</v>
      </c>
      <c r="O1616" s="452">
        <f>SUM(J1613:J1616)</f>
        <v>0</v>
      </c>
      <c r="P1616" s="452">
        <f>+N1616+O1616</f>
        <v>4526.1000000000004</v>
      </c>
      <c r="Q1616" s="481">
        <f>SUM(D1614:D1616)</f>
        <v>0</v>
      </c>
      <c r="R1616" s="552" t="s">
        <v>44</v>
      </c>
      <c r="S1616" s="483"/>
      <c r="T1616" s="452"/>
      <c r="U1616" s="452"/>
      <c r="V1616" s="452"/>
    </row>
    <row r="1617" spans="1:22" s="385" customFormat="1" ht="27.75" customHeight="1" thickTop="1">
      <c r="A1617" s="331"/>
      <c r="B1617" s="847" t="s">
        <v>52</v>
      </c>
      <c r="C1617" s="395"/>
      <c r="D1617" s="374"/>
      <c r="E1617" s="382"/>
      <c r="F1617" s="379"/>
      <c r="G1617" s="386"/>
      <c r="H1617" s="383"/>
      <c r="I1617" s="388"/>
      <c r="J1617" s="382"/>
      <c r="K1617" s="374">
        <f t="shared" si="63"/>
        <v>0</v>
      </c>
      <c r="L1617" s="374">
        <f t="shared" si="65"/>
        <v>0</v>
      </c>
      <c r="M1617" s="330"/>
      <c r="N1617" s="410"/>
      <c r="O1617" s="289"/>
      <c r="P1617" s="289"/>
      <c r="Q1617" s="288"/>
      <c r="S1617" s="291"/>
      <c r="T1617" s="291"/>
      <c r="U1617" s="291"/>
      <c r="V1617" s="291"/>
    </row>
    <row r="1618" spans="1:22" s="385" customFormat="1" ht="27.75" customHeight="1">
      <c r="A1618" s="331">
        <v>1</v>
      </c>
      <c r="B1618" s="847" t="s">
        <v>1319</v>
      </c>
      <c r="C1618" s="395" t="s">
        <v>2986</v>
      </c>
      <c r="D1618" s="374"/>
      <c r="E1618" s="382" t="s">
        <v>3434</v>
      </c>
      <c r="F1618" s="379">
        <v>1</v>
      </c>
      <c r="G1618" s="386">
        <v>10366.760000000004</v>
      </c>
      <c r="H1618" s="383"/>
      <c r="I1618" s="388"/>
      <c r="J1618" s="382"/>
      <c r="K1618" s="374">
        <f t="shared" si="63"/>
        <v>1196.3241040000003</v>
      </c>
      <c r="L1618" s="374">
        <f t="shared" si="65"/>
        <v>0</v>
      </c>
      <c r="M1618" s="330"/>
      <c r="N1618" s="410"/>
      <c r="O1618" s="289"/>
      <c r="P1618" s="289"/>
      <c r="Q1618" s="288"/>
      <c r="S1618" s="291"/>
      <c r="T1618" s="291"/>
      <c r="U1618" s="291"/>
      <c r="V1618" s="291"/>
    </row>
    <row r="1619" spans="1:22" ht="27.75" customHeight="1" thickBot="1">
      <c r="B1619" s="506"/>
      <c r="C1619" s="584"/>
      <c r="D1619" s="338"/>
      <c r="E1619" s="374"/>
      <c r="F1619" s="379"/>
      <c r="G1619" s="386"/>
      <c r="H1619" s="373"/>
      <c r="I1619" s="397"/>
      <c r="J1619" s="335"/>
      <c r="K1619" s="374">
        <f t="shared" si="63"/>
        <v>0</v>
      </c>
      <c r="L1619" s="374">
        <f t="shared" si="65"/>
        <v>0</v>
      </c>
    </row>
    <row r="1620" spans="1:22" s="455" customFormat="1" ht="27.75" customHeight="1" thickTop="1" thickBot="1">
      <c r="A1620" s="450"/>
      <c r="B1620" s="555"/>
      <c r="C1620" s="550"/>
      <c r="D1620" s="453"/>
      <c r="E1620" s="453"/>
      <c r="F1620" s="848"/>
      <c r="G1620" s="386"/>
      <c r="H1620" s="622"/>
      <c r="I1620" s="458"/>
      <c r="J1620" s="453"/>
      <c r="K1620" s="374">
        <f t="shared" si="63"/>
        <v>0</v>
      </c>
      <c r="L1620" s="374">
        <f t="shared" si="65"/>
        <v>0</v>
      </c>
      <c r="M1620" s="551"/>
      <c r="N1620" s="452">
        <f>SUM(G1618:G1620)</f>
        <v>10366.760000000004</v>
      </c>
      <c r="O1620" s="452">
        <f>SUM(J1618:J1620)</f>
        <v>0</v>
      </c>
      <c r="P1620" s="452">
        <f>+N1620+O1620</f>
        <v>10366.760000000004</v>
      </c>
      <c r="Q1620" s="481">
        <f>SUM(D1618:D1620)</f>
        <v>0</v>
      </c>
      <c r="R1620" s="552" t="s">
        <v>76</v>
      </c>
      <c r="S1620" s="483"/>
      <c r="T1620" s="452"/>
      <c r="U1620" s="452"/>
      <c r="V1620" s="452"/>
    </row>
    <row r="1621" spans="1:22" s="455" customFormat="1" ht="27.75" customHeight="1" thickTop="1" thickBot="1">
      <c r="A1621" s="450"/>
      <c r="B1621" s="849"/>
      <c r="C1621" s="850"/>
      <c r="D1621" s="446"/>
      <c r="E1621" s="453"/>
      <c r="F1621" s="848"/>
      <c r="G1621" s="386"/>
      <c r="H1621" s="622"/>
      <c r="I1621" s="458"/>
      <c r="J1621" s="453"/>
      <c r="K1621" s="374">
        <f t="shared" si="63"/>
        <v>0</v>
      </c>
      <c r="L1621" s="374">
        <f t="shared" si="65"/>
        <v>0</v>
      </c>
      <c r="M1621" s="551"/>
      <c r="N1621" s="452">
        <f>SUM(G1621:G1621)</f>
        <v>0</v>
      </c>
      <c r="O1621" s="452">
        <f>SUM(J1621:J1621)</f>
        <v>0</v>
      </c>
      <c r="P1621" s="452">
        <f>+N1621+O1621</f>
        <v>0</v>
      </c>
      <c r="Q1621" s="481">
        <f>SUM(D1621:D1621)</f>
        <v>0</v>
      </c>
      <c r="R1621" s="552" t="s">
        <v>303</v>
      </c>
      <c r="S1621" s="483"/>
      <c r="T1621" s="452"/>
      <c r="U1621" s="452"/>
      <c r="V1621" s="452"/>
    </row>
    <row r="1622" spans="1:22" s="385" customFormat="1" ht="27.75" customHeight="1" thickTop="1">
      <c r="A1622" s="331"/>
      <c r="B1622" s="387" t="s">
        <v>35</v>
      </c>
      <c r="C1622" s="851"/>
      <c r="D1622" s="852"/>
      <c r="E1622" s="382"/>
      <c r="F1622" s="844"/>
      <c r="G1622" s="386"/>
      <c r="H1622" s="383"/>
      <c r="I1622" s="388"/>
      <c r="J1622" s="382"/>
      <c r="K1622" s="374">
        <f t="shared" si="63"/>
        <v>0</v>
      </c>
      <c r="L1622" s="374">
        <f t="shared" si="65"/>
        <v>0</v>
      </c>
      <c r="M1622" s="330"/>
      <c r="N1622" s="288"/>
      <c r="O1622" s="288"/>
      <c r="P1622" s="288"/>
      <c r="Q1622" s="288"/>
      <c r="S1622" s="291"/>
      <c r="T1622" s="291"/>
      <c r="U1622" s="291"/>
      <c r="V1622" s="291"/>
    </row>
    <row r="1623" spans="1:22" s="385" customFormat="1" ht="27.75" customHeight="1">
      <c r="A1623" s="331">
        <v>1</v>
      </c>
      <c r="B1623" s="1448" t="s">
        <v>1319</v>
      </c>
      <c r="C1623" s="1449" t="s">
        <v>1321</v>
      </c>
      <c r="D1623" s="1450"/>
      <c r="E1623" s="1451" t="s">
        <v>3420</v>
      </c>
      <c r="F1623" s="1452">
        <v>1</v>
      </c>
      <c r="G1623" s="1453">
        <v>4601</v>
      </c>
      <c r="H1623" s="383"/>
      <c r="I1623" s="388"/>
      <c r="J1623" s="382"/>
      <c r="K1623" s="374">
        <f t="shared" si="63"/>
        <v>530.95539999999994</v>
      </c>
      <c r="L1623" s="374">
        <f t="shared" si="65"/>
        <v>0</v>
      </c>
      <c r="M1623" s="330"/>
      <c r="N1623" s="288"/>
      <c r="O1623" s="288"/>
      <c r="P1623" s="288"/>
      <c r="Q1623" s="288"/>
      <c r="S1623" s="291"/>
      <c r="T1623" s="291"/>
      <c r="U1623" s="291"/>
      <c r="V1623" s="291"/>
    </row>
    <row r="1624" spans="1:22" s="385" customFormat="1" ht="27.75" customHeight="1">
      <c r="A1624" s="331"/>
      <c r="B1624" s="853"/>
      <c r="C1624" s="854"/>
      <c r="D1624" s="855"/>
      <c r="E1624" s="856"/>
      <c r="F1624" s="857"/>
      <c r="G1624" s="858"/>
      <c r="H1624" s="383"/>
      <c r="I1624" s="388"/>
      <c r="J1624" s="382"/>
      <c r="K1624" s="374">
        <f t="shared" si="63"/>
        <v>0</v>
      </c>
      <c r="L1624" s="374">
        <f t="shared" si="65"/>
        <v>0</v>
      </c>
      <c r="M1624" s="330"/>
      <c r="N1624" s="288"/>
      <c r="O1624" s="288"/>
      <c r="P1624" s="288"/>
      <c r="Q1624" s="553"/>
      <c r="R1624" s="525"/>
      <c r="S1624" s="297"/>
      <c r="T1624" s="291"/>
      <c r="U1624" s="291"/>
      <c r="V1624" s="291"/>
    </row>
    <row r="1625" spans="1:22" s="385" customFormat="1" ht="27.75" customHeight="1" thickBot="1">
      <c r="A1625" s="331"/>
      <c r="B1625" s="387"/>
      <c r="C1625" s="859"/>
      <c r="D1625" s="374"/>
      <c r="E1625" s="382"/>
      <c r="F1625" s="844"/>
      <c r="G1625" s="386"/>
      <c r="H1625" s="383"/>
      <c r="I1625" s="388"/>
      <c r="J1625" s="382"/>
      <c r="K1625" s="374">
        <f t="shared" si="63"/>
        <v>0</v>
      </c>
      <c r="L1625" s="374">
        <f t="shared" si="65"/>
        <v>0</v>
      </c>
      <c r="M1625" s="330"/>
      <c r="N1625" s="288"/>
      <c r="O1625" s="288"/>
      <c r="P1625" s="288"/>
      <c r="Q1625" s="553"/>
      <c r="R1625" s="525"/>
      <c r="S1625" s="297"/>
      <c r="T1625" s="291"/>
      <c r="U1625" s="291"/>
      <c r="V1625" s="291"/>
    </row>
    <row r="1626" spans="1:22" s="455" customFormat="1" ht="27.75" customHeight="1" thickTop="1" thickBot="1">
      <c r="A1626" s="450"/>
      <c r="B1626" s="849"/>
      <c r="C1626" s="860"/>
      <c r="D1626" s="576"/>
      <c r="E1626" s="453"/>
      <c r="F1626" s="861"/>
      <c r="G1626" s="386"/>
      <c r="H1626" s="622"/>
      <c r="I1626" s="458"/>
      <c r="J1626" s="453"/>
      <c r="K1626" s="374">
        <f t="shared" si="63"/>
        <v>0</v>
      </c>
      <c r="L1626" s="374">
        <f t="shared" si="65"/>
        <v>0</v>
      </c>
      <c r="M1626" s="551"/>
      <c r="N1626" s="452">
        <f>SUM(G1623:G1625)</f>
        <v>4601</v>
      </c>
      <c r="O1626" s="452">
        <f>SUM(J1623:J1626)</f>
        <v>0</v>
      </c>
      <c r="P1626" s="452">
        <f>+N1626+O1626</f>
        <v>4601</v>
      </c>
      <c r="Q1626" s="481">
        <f>SUM(D1622:D1625)</f>
        <v>0</v>
      </c>
      <c r="R1626" s="552" t="s">
        <v>112</v>
      </c>
      <c r="S1626" s="483"/>
      <c r="T1626" s="452"/>
      <c r="U1626" s="452"/>
      <c r="V1626" s="452"/>
    </row>
    <row r="1627" spans="1:22" ht="27.75" customHeight="1" thickTop="1">
      <c r="B1627" s="862" t="s">
        <v>36</v>
      </c>
      <c r="C1627" s="863"/>
      <c r="D1627" s="864"/>
      <c r="E1627" s="865"/>
      <c r="F1627" s="866"/>
      <c r="G1627" s="386"/>
      <c r="H1627" s="373"/>
      <c r="I1627" s="397"/>
      <c r="J1627" s="335"/>
      <c r="K1627" s="374">
        <f t="shared" si="63"/>
        <v>0</v>
      </c>
      <c r="L1627" s="374">
        <f t="shared" si="65"/>
        <v>0</v>
      </c>
    </row>
    <row r="1628" spans="1:22" ht="27.75" customHeight="1">
      <c r="A1628" s="331">
        <v>1</v>
      </c>
      <c r="B1628" s="1454" t="s">
        <v>1319</v>
      </c>
      <c r="C1628" s="1455" t="s">
        <v>2987</v>
      </c>
      <c r="D1628" s="1450"/>
      <c r="E1628" s="1456" t="s">
        <v>3420</v>
      </c>
      <c r="F1628" s="1457">
        <v>1</v>
      </c>
      <c r="G1628" s="1453">
        <v>1926.0000000000009</v>
      </c>
      <c r="H1628" s="373"/>
      <c r="I1628" s="397"/>
      <c r="J1628" s="335"/>
      <c r="K1628" s="374">
        <f t="shared" si="63"/>
        <v>222.26040000000009</v>
      </c>
      <c r="L1628" s="374">
        <f t="shared" si="65"/>
        <v>0</v>
      </c>
      <c r="Q1628" s="478"/>
      <c r="R1628" s="479"/>
      <c r="S1628" s="297"/>
    </row>
    <row r="1629" spans="1:22" ht="27.75" customHeight="1">
      <c r="B1629" s="867"/>
      <c r="C1629" s="854"/>
      <c r="D1629" s="868"/>
      <c r="E1629" s="869"/>
      <c r="F1629" s="857"/>
      <c r="G1629" s="858"/>
      <c r="H1629" s="373"/>
      <c r="I1629" s="397"/>
      <c r="J1629" s="335"/>
      <c r="K1629" s="374"/>
      <c r="L1629" s="374"/>
      <c r="Q1629" s="478"/>
      <c r="R1629" s="479"/>
      <c r="S1629" s="297"/>
    </row>
    <row r="1630" spans="1:22" ht="27.75" customHeight="1" thickBot="1">
      <c r="B1630" s="847"/>
      <c r="C1630" s="870"/>
      <c r="D1630" s="864"/>
      <c r="E1630" s="505"/>
      <c r="F1630" s="866"/>
      <c r="G1630" s="386"/>
      <c r="H1630" s="373"/>
      <c r="I1630" s="397"/>
      <c r="J1630" s="335"/>
      <c r="K1630" s="374">
        <f t="shared" si="63"/>
        <v>0</v>
      </c>
      <c r="L1630" s="374">
        <f t="shared" si="65"/>
        <v>0</v>
      </c>
      <c r="Q1630" s="478"/>
      <c r="R1630" s="479"/>
      <c r="S1630" s="297"/>
    </row>
    <row r="1631" spans="1:22" s="455" customFormat="1" ht="27.75" customHeight="1" thickTop="1" thickBot="1">
      <c r="A1631" s="450"/>
      <c r="B1631" s="550"/>
      <c r="C1631" s="550"/>
      <c r="D1631" s="871"/>
      <c r="E1631" s="453"/>
      <c r="F1631" s="458"/>
      <c r="G1631" s="386"/>
      <c r="H1631" s="622"/>
      <c r="I1631" s="458"/>
      <c r="J1631" s="453"/>
      <c r="K1631" s="374">
        <f t="shared" si="63"/>
        <v>0</v>
      </c>
      <c r="L1631" s="374">
        <f t="shared" si="65"/>
        <v>0</v>
      </c>
      <c r="M1631" s="551"/>
      <c r="N1631" s="452">
        <f>SUM(G1626:G1631)</f>
        <v>1926.0000000000009</v>
      </c>
      <c r="O1631" s="452">
        <f>SUM(J1626:J1631)</f>
        <v>0</v>
      </c>
      <c r="P1631" s="452">
        <f>+N1631+O1631</f>
        <v>1926.0000000000009</v>
      </c>
      <c r="Q1631" s="481">
        <f>SUM(D1627:D1631)</f>
        <v>0</v>
      </c>
      <c r="R1631" s="552" t="s">
        <v>36</v>
      </c>
      <c r="S1631" s="483"/>
      <c r="T1631" s="452"/>
      <c r="U1631" s="452"/>
      <c r="V1631" s="452"/>
    </row>
    <row r="1632" spans="1:22" s="385" customFormat="1" ht="27.75" customHeight="1" thickTop="1">
      <c r="A1632" s="331"/>
      <c r="B1632" s="387" t="s">
        <v>55</v>
      </c>
      <c r="C1632" s="872"/>
      <c r="D1632" s="374"/>
      <c r="E1632" s="382"/>
      <c r="F1632" s="379"/>
      <c r="G1632" s="386"/>
      <c r="H1632" s="383"/>
      <c r="I1632" s="388"/>
      <c r="J1632" s="382"/>
      <c r="K1632" s="374">
        <f t="shared" si="63"/>
        <v>0</v>
      </c>
      <c r="L1632" s="374">
        <f t="shared" si="65"/>
        <v>0</v>
      </c>
      <c r="M1632" s="330"/>
      <c r="N1632" s="289"/>
      <c r="O1632" s="289"/>
      <c r="P1632" s="289"/>
      <c r="Q1632" s="288"/>
      <c r="S1632" s="291"/>
      <c r="T1632" s="291"/>
      <c r="U1632" s="291"/>
      <c r="V1632" s="291"/>
    </row>
    <row r="1633" spans="1:22" s="385" customFormat="1" ht="27.75" customHeight="1" thickBot="1">
      <c r="A1633" s="331">
        <v>1</v>
      </c>
      <c r="B1633" s="332" t="s">
        <v>1319</v>
      </c>
      <c r="C1633" s="393" t="s">
        <v>55</v>
      </c>
      <c r="D1633" s="338"/>
      <c r="E1633" s="335" t="s">
        <v>3434</v>
      </c>
      <c r="F1633" s="331">
        <v>1</v>
      </c>
      <c r="G1633" s="386">
        <v>1391</v>
      </c>
      <c r="H1633" s="383"/>
      <c r="I1633" s="388"/>
      <c r="J1633" s="382"/>
      <c r="K1633" s="374">
        <f t="shared" si="63"/>
        <v>160.5214</v>
      </c>
      <c r="L1633" s="374">
        <f t="shared" si="65"/>
        <v>0</v>
      </c>
      <c r="M1633" s="330"/>
      <c r="N1633" s="289"/>
      <c r="O1633" s="289"/>
      <c r="P1633" s="289"/>
      <c r="Q1633" s="553"/>
      <c r="R1633" s="525"/>
      <c r="S1633" s="297"/>
      <c r="T1633" s="291"/>
      <c r="U1633" s="291"/>
      <c r="V1633" s="291"/>
    </row>
    <row r="1634" spans="1:22" s="455" customFormat="1" ht="27.75" customHeight="1" thickTop="1" thickBot="1">
      <c r="A1634" s="450"/>
      <c r="B1634" s="444"/>
      <c r="C1634" s="457"/>
      <c r="D1634" s="446"/>
      <c r="E1634" s="453"/>
      <c r="F1634" s="450"/>
      <c r="G1634" s="386"/>
      <c r="H1634" s="622"/>
      <c r="I1634" s="458"/>
      <c r="J1634" s="453"/>
      <c r="K1634" s="374">
        <f t="shared" si="63"/>
        <v>0</v>
      </c>
      <c r="L1634" s="374">
        <f t="shared" si="65"/>
        <v>0</v>
      </c>
      <c r="M1634" s="551"/>
      <c r="N1634" s="452">
        <f>SUM(G1632:G1634)</f>
        <v>1391</v>
      </c>
      <c r="O1634" s="452">
        <f>SUM(J1632:J1634)</f>
        <v>0</v>
      </c>
      <c r="P1634" s="452">
        <f>+N1634+O1634</f>
        <v>1391</v>
      </c>
      <c r="Q1634" s="481"/>
      <c r="R1634" s="552" t="s">
        <v>600</v>
      </c>
      <c r="S1634" s="483"/>
      <c r="T1634" s="452"/>
      <c r="U1634" s="452"/>
      <c r="V1634" s="452"/>
    </row>
    <row r="1635" spans="1:22" ht="27.75" customHeight="1" thickTop="1">
      <c r="B1635" s="332" t="s">
        <v>53</v>
      </c>
      <c r="C1635" s="630"/>
      <c r="D1635" s="338"/>
      <c r="G1635" s="386"/>
      <c r="H1635" s="373"/>
      <c r="I1635" s="397"/>
      <c r="J1635" s="335"/>
      <c r="K1635" s="374">
        <f t="shared" si="63"/>
        <v>0</v>
      </c>
      <c r="L1635" s="374">
        <f t="shared" si="65"/>
        <v>0</v>
      </c>
    </row>
    <row r="1636" spans="1:22" ht="27.75" customHeight="1">
      <c r="A1636" s="331">
        <v>1</v>
      </c>
      <c r="B1636" s="1458" t="s">
        <v>1319</v>
      </c>
      <c r="C1636" s="1459" t="s">
        <v>53</v>
      </c>
      <c r="D1636" s="1460"/>
      <c r="E1636" s="1461" t="s">
        <v>3434</v>
      </c>
      <c r="F1636" s="1462">
        <v>1</v>
      </c>
      <c r="G1636" s="1463">
        <v>556.39999999999986</v>
      </c>
      <c r="H1636" s="373"/>
      <c r="I1636" s="397"/>
      <c r="J1636" s="335"/>
      <c r="K1636" s="374">
        <f t="shared" si="63"/>
        <v>64.208559999999977</v>
      </c>
      <c r="L1636" s="374">
        <f t="shared" si="65"/>
        <v>0</v>
      </c>
    </row>
    <row r="1637" spans="1:22" ht="27.75" customHeight="1" thickBot="1">
      <c r="B1637" s="873"/>
      <c r="C1637" s="832"/>
      <c r="D1637" s="874"/>
      <c r="E1637" s="834"/>
      <c r="F1637" s="875"/>
      <c r="G1637" s="367"/>
      <c r="H1637" s="373"/>
      <c r="I1637" s="397"/>
      <c r="J1637" s="335"/>
      <c r="K1637" s="374">
        <f t="shared" si="63"/>
        <v>0</v>
      </c>
      <c r="L1637" s="374">
        <f t="shared" si="65"/>
        <v>0</v>
      </c>
    </row>
    <row r="1638" spans="1:22" s="455" customFormat="1" ht="27.75" customHeight="1" thickTop="1" thickBot="1">
      <c r="A1638" s="450"/>
      <c r="B1638" s="876"/>
      <c r="C1638" s="877"/>
      <c r="D1638" s="447"/>
      <c r="E1638" s="453"/>
      <c r="F1638" s="878"/>
      <c r="G1638" s="367"/>
      <c r="H1638" s="622"/>
      <c r="I1638" s="458"/>
      <c r="J1638" s="453"/>
      <c r="K1638" s="374">
        <f t="shared" si="63"/>
        <v>0</v>
      </c>
      <c r="L1638" s="374">
        <f t="shared" si="65"/>
        <v>0</v>
      </c>
      <c r="M1638" s="551"/>
      <c r="N1638" s="452">
        <f>SUM(G1635:G1638)</f>
        <v>556.39999999999986</v>
      </c>
      <c r="O1638" s="452">
        <f>SUM(J1635:J1638)</f>
        <v>0</v>
      </c>
      <c r="P1638" s="452">
        <f>+N1638+O1638</f>
        <v>556.39999999999986</v>
      </c>
      <c r="Q1638" s="481">
        <f>SUM(D1635:D1638)</f>
        <v>0</v>
      </c>
      <c r="R1638" s="552" t="s">
        <v>32</v>
      </c>
      <c r="S1638" s="483"/>
      <c r="T1638" s="452"/>
      <c r="U1638" s="452"/>
      <c r="V1638" s="452"/>
    </row>
    <row r="1639" spans="1:22" ht="27.75" customHeight="1" thickTop="1" thickBot="1">
      <c r="B1639" s="477" t="s">
        <v>311</v>
      </c>
      <c r="C1639" s="630"/>
      <c r="D1639" s="879"/>
      <c r="F1639" s="397"/>
      <c r="G1639" s="386"/>
      <c r="H1639" s="373"/>
      <c r="I1639" s="397"/>
      <c r="J1639" s="335"/>
      <c r="K1639" s="374">
        <f t="shared" si="63"/>
        <v>0</v>
      </c>
      <c r="L1639" s="374">
        <f t="shared" si="65"/>
        <v>0</v>
      </c>
    </row>
    <row r="1640" spans="1:22" s="455" customFormat="1" ht="27.75" customHeight="1" thickTop="1" thickBot="1">
      <c r="A1640" s="450"/>
      <c r="B1640" s="555"/>
      <c r="C1640" s="880"/>
      <c r="D1640" s="881"/>
      <c r="E1640" s="453"/>
      <c r="F1640" s="458"/>
      <c r="G1640" s="386"/>
      <c r="H1640" s="622"/>
      <c r="I1640" s="458"/>
      <c r="J1640" s="453"/>
      <c r="K1640" s="374">
        <f t="shared" ref="K1640:K1695" si="66">G1640*11.54/100</f>
        <v>0</v>
      </c>
      <c r="L1640" s="374">
        <f t="shared" si="65"/>
        <v>0</v>
      </c>
      <c r="M1640" s="551"/>
      <c r="N1640" s="452">
        <f>SUM(G1640)</f>
        <v>0</v>
      </c>
      <c r="O1640" s="452">
        <f>SUM(J1640)</f>
        <v>0</v>
      </c>
      <c r="P1640" s="452">
        <f>SUM(N1640:O1640)</f>
        <v>0</v>
      </c>
      <c r="Q1640" s="481">
        <f>SUM(D1640)</f>
        <v>0</v>
      </c>
      <c r="R1640" s="552" t="s">
        <v>311</v>
      </c>
      <c r="S1640" s="483"/>
      <c r="T1640" s="452"/>
      <c r="U1640" s="452"/>
      <c r="V1640" s="452"/>
    </row>
    <row r="1641" spans="1:22" ht="27.75" customHeight="1" thickTop="1">
      <c r="B1641" s="477" t="s">
        <v>88</v>
      </c>
      <c r="C1641" s="870"/>
      <c r="D1641" s="879"/>
      <c r="E1641" s="865"/>
      <c r="F1641" s="397"/>
      <c r="G1641" s="386"/>
      <c r="H1641" s="373"/>
      <c r="I1641" s="397"/>
      <c r="J1641" s="335"/>
      <c r="K1641" s="374">
        <f t="shared" si="66"/>
        <v>0</v>
      </c>
      <c r="L1641" s="374">
        <f t="shared" si="65"/>
        <v>0</v>
      </c>
      <c r="Q1641" s="478"/>
      <c r="R1641" s="479"/>
      <c r="S1641" s="287"/>
      <c r="T1641" s="289"/>
      <c r="U1641" s="289"/>
      <c r="V1641" s="289"/>
    </row>
    <row r="1642" spans="1:22" ht="27.75" customHeight="1">
      <c r="A1642" s="331">
        <v>1</v>
      </c>
      <c r="B1642" s="1353" t="s">
        <v>1320</v>
      </c>
      <c r="C1642" s="1354" t="s">
        <v>54</v>
      </c>
      <c r="D1642" s="1355"/>
      <c r="E1642" s="1356"/>
      <c r="F1642" s="1357"/>
      <c r="G1642" s="367"/>
      <c r="H1642" s="373" t="s">
        <v>2038</v>
      </c>
      <c r="I1642" s="397">
        <v>3</v>
      </c>
      <c r="J1642" s="335">
        <v>69389.5</v>
      </c>
      <c r="K1642" s="374">
        <f t="shared" si="66"/>
        <v>0</v>
      </c>
      <c r="L1642" s="374">
        <f t="shared" si="65"/>
        <v>69389.5</v>
      </c>
      <c r="N1642" s="288"/>
      <c r="O1642" s="288"/>
      <c r="P1642" s="288"/>
      <c r="Q1642" s="288"/>
    </row>
    <row r="1643" spans="1:22" ht="27.75" customHeight="1">
      <c r="A1643" s="331">
        <v>2</v>
      </c>
      <c r="B1643" s="1353" t="s">
        <v>149</v>
      </c>
      <c r="C1643" s="1354" t="s">
        <v>54</v>
      </c>
      <c r="D1643" s="1355"/>
      <c r="E1643" s="1356"/>
      <c r="F1643" s="1357"/>
      <c r="G1643" s="367"/>
      <c r="H1643" s="373" t="s">
        <v>2302</v>
      </c>
      <c r="I1643" s="397">
        <v>8</v>
      </c>
      <c r="J1643" s="335">
        <v>352458</v>
      </c>
      <c r="K1643" s="374">
        <f t="shared" si="66"/>
        <v>0</v>
      </c>
      <c r="L1643" s="374">
        <f t="shared" si="65"/>
        <v>352458</v>
      </c>
      <c r="N1643" s="288"/>
      <c r="O1643" s="288"/>
      <c r="P1643" s="288"/>
      <c r="Q1643" s="553"/>
      <c r="R1643" s="479"/>
      <c r="S1643" s="297"/>
    </row>
    <row r="1644" spans="1:22" ht="27.75" customHeight="1">
      <c r="A1644" s="331">
        <v>3</v>
      </c>
      <c r="B1644" s="882" t="s">
        <v>149</v>
      </c>
      <c r="C1644" s="1358" t="s">
        <v>1823</v>
      </c>
      <c r="D1644" s="1359"/>
      <c r="E1644" s="553" t="s">
        <v>937</v>
      </c>
      <c r="F1644" s="883">
        <v>4</v>
      </c>
      <c r="G1644" s="1360">
        <v>96512.01999999999</v>
      </c>
      <c r="H1644" s="373"/>
      <c r="I1644" s="397"/>
      <c r="J1644" s="335"/>
      <c r="K1644" s="374">
        <f t="shared" si="66"/>
        <v>11137.487107999998</v>
      </c>
      <c r="L1644" s="374">
        <f t="shared" si="65"/>
        <v>0</v>
      </c>
      <c r="N1644" s="288"/>
      <c r="O1644" s="288"/>
      <c r="P1644" s="288"/>
      <c r="Q1644" s="553"/>
      <c r="R1644" s="479"/>
      <c r="S1644" s="297"/>
    </row>
    <row r="1645" spans="1:22" ht="27.75" customHeight="1" thickBot="1">
      <c r="B1645" s="882"/>
      <c r="C1645" s="884" t="s">
        <v>2586</v>
      </c>
      <c r="D1645" s="885"/>
      <c r="E1645" s="553"/>
      <c r="F1645" s="883"/>
      <c r="G1645" s="886"/>
      <c r="H1645" s="373"/>
      <c r="I1645" s="397"/>
      <c r="J1645" s="335"/>
      <c r="K1645" s="374">
        <f t="shared" si="66"/>
        <v>0</v>
      </c>
      <c r="L1645" s="374">
        <f t="shared" si="65"/>
        <v>0</v>
      </c>
      <c r="N1645" s="288"/>
      <c r="O1645" s="288"/>
      <c r="P1645" s="288"/>
      <c r="Q1645" s="553"/>
      <c r="R1645" s="479"/>
      <c r="S1645" s="297"/>
    </row>
    <row r="1646" spans="1:22" s="455" customFormat="1" ht="27.75" customHeight="1" thickTop="1" thickBot="1">
      <c r="A1646" s="450"/>
      <c r="B1646" s="887"/>
      <c r="C1646" s="888"/>
      <c r="D1646" s="889"/>
      <c r="E1646" s="890"/>
      <c r="F1646" s="840"/>
      <c r="G1646" s="367"/>
      <c r="H1646" s="622"/>
      <c r="I1646" s="458"/>
      <c r="J1646" s="453"/>
      <c r="K1646" s="374">
        <f t="shared" si="66"/>
        <v>0</v>
      </c>
      <c r="L1646" s="374">
        <f t="shared" si="65"/>
        <v>0</v>
      </c>
      <c r="M1646" s="551"/>
      <c r="N1646" s="581">
        <f>SUM(G1642:G1646)</f>
        <v>96512.01999999999</v>
      </c>
      <c r="O1646" s="581">
        <f>SUM(J1642:J1646)</f>
        <v>421847.5</v>
      </c>
      <c r="P1646" s="581">
        <f>+N1646+O1646</f>
        <v>518359.52</v>
      </c>
      <c r="Q1646" s="481">
        <f>SUM(D1642:D1646)</f>
        <v>0</v>
      </c>
      <c r="R1646" s="552" t="s">
        <v>88</v>
      </c>
      <c r="S1646" s="483"/>
      <c r="T1646" s="452"/>
      <c r="U1646" s="452"/>
      <c r="V1646" s="452"/>
    </row>
    <row r="1647" spans="1:22" ht="27.75" customHeight="1" thickTop="1">
      <c r="A1647" s="891"/>
      <c r="B1647" s="892"/>
      <c r="C1647" s="893"/>
      <c r="D1647" s="894"/>
      <c r="E1647" s="894"/>
      <c r="F1647" s="895"/>
      <c r="G1647" s="896"/>
      <c r="H1647" s="897"/>
      <c r="I1647" s="898"/>
      <c r="J1647" s="894"/>
      <c r="K1647" s="374">
        <f t="shared" si="66"/>
        <v>0</v>
      </c>
      <c r="L1647" s="374">
        <f t="shared" si="65"/>
        <v>0</v>
      </c>
    </row>
    <row r="1648" spans="1:22" ht="27.75" customHeight="1" thickBot="1">
      <c r="A1648" s="321"/>
      <c r="B1648" s="899"/>
      <c r="C1648" s="596" t="s">
        <v>26</v>
      </c>
      <c r="D1648" s="533"/>
      <c r="E1648" s="534"/>
      <c r="F1648" s="535"/>
      <c r="G1648" s="536">
        <f>SUM(G1605:G1647)</f>
        <v>119879.28</v>
      </c>
      <c r="H1648" s="535"/>
      <c r="I1648" s="535"/>
      <c r="J1648" s="533">
        <f>SUM(J1605:J1647)</f>
        <v>421847.5</v>
      </c>
      <c r="K1648" s="374">
        <f t="shared" si="66"/>
        <v>13834.068911999999</v>
      </c>
      <c r="L1648" s="329">
        <f>SUM(L1605:L1647)</f>
        <v>421847.5</v>
      </c>
      <c r="N1648" s="599">
        <f>SUM(N1605:N1646)</f>
        <v>119879.28</v>
      </c>
      <c r="O1648" s="599">
        <f>SUM(O1606:O1646)</f>
        <v>421847.5</v>
      </c>
      <c r="P1648" s="599">
        <f>SUM(P1605:P1646)</f>
        <v>541726.78</v>
      </c>
      <c r="Q1648" s="900">
        <f>SUM(Q1604:Q1646)</f>
        <v>0</v>
      </c>
    </row>
    <row r="1649" spans="1:22" ht="27.75" customHeight="1" thickTop="1" thickBot="1">
      <c r="B1649" s="901"/>
      <c r="C1649" s="600"/>
      <c r="D1649" s="330"/>
      <c r="E1649" s="289"/>
      <c r="F1649" s="541"/>
      <c r="G1649" s="544"/>
      <c r="H1649" s="541"/>
      <c r="I1649" s="541"/>
      <c r="J1649" s="330">
        <f>+J1648+G1648</f>
        <v>541726.78</v>
      </c>
      <c r="K1649" s="374">
        <f t="shared" si="66"/>
        <v>0</v>
      </c>
      <c r="L1649" s="760">
        <f>SUM(L1648+K1648)</f>
        <v>435681.56891199999</v>
      </c>
      <c r="M1649" s="488"/>
      <c r="N1649" s="602">
        <f>+G1648+J1648</f>
        <v>541726.78</v>
      </c>
      <c r="O1649" s="761">
        <f>+N1649-P1649</f>
        <v>0</v>
      </c>
      <c r="P1649" s="902">
        <v>541726.78</v>
      </c>
      <c r="Q1649" s="903"/>
    </row>
    <row r="1650" spans="1:22" s="436" customFormat="1" ht="27.75" customHeight="1">
      <c r="A1650" s="692"/>
      <c r="B1650" s="763" t="s">
        <v>358</v>
      </c>
      <c r="C1650" s="764"/>
      <c r="D1650" s="357"/>
      <c r="E1650" s="357"/>
      <c r="F1650" s="354"/>
      <c r="G1650" s="359"/>
      <c r="H1650" s="360"/>
      <c r="I1650" s="354"/>
      <c r="J1650" s="357"/>
      <c r="K1650" s="374">
        <f t="shared" si="66"/>
        <v>0</v>
      </c>
      <c r="L1650" s="361"/>
      <c r="M1650" s="361"/>
      <c r="N1650" s="358"/>
      <c r="O1650" s="358"/>
      <c r="P1650" s="358"/>
      <c r="Q1650" s="357"/>
      <c r="S1650" s="358"/>
      <c r="T1650" s="358"/>
      <c r="U1650" s="358"/>
      <c r="V1650" s="358"/>
    </row>
    <row r="1651" spans="1:22" ht="27.75" customHeight="1" thickBot="1">
      <c r="B1651" s="506" t="s">
        <v>1824</v>
      </c>
      <c r="C1651" s="584"/>
      <c r="D1651" s="335"/>
      <c r="E1651" s="475"/>
      <c r="F1651" s="579"/>
      <c r="G1651" s="386"/>
      <c r="K1651" s="374">
        <f t="shared" si="66"/>
        <v>0</v>
      </c>
      <c r="L1651" s="374">
        <f>+J1651</f>
        <v>0</v>
      </c>
    </row>
    <row r="1652" spans="1:22" ht="27.6" customHeight="1" thickTop="1" thickBot="1">
      <c r="B1652" s="332"/>
      <c r="C1652" s="477"/>
      <c r="D1652" s="335"/>
      <c r="G1652" s="386"/>
      <c r="H1652" s="332"/>
      <c r="I1652" s="397"/>
      <c r="J1652" s="335"/>
      <c r="K1652" s="374"/>
      <c r="L1652" s="374"/>
      <c r="N1652" s="904"/>
      <c r="Q1652" s="478"/>
      <c r="R1652" s="649"/>
      <c r="S1652" s="287"/>
      <c r="T1652" s="289"/>
      <c r="U1652" s="289"/>
      <c r="V1652" s="289"/>
    </row>
    <row r="1653" spans="1:22" ht="27.75" customHeight="1" thickTop="1" thickBot="1">
      <c r="B1653" s="332"/>
      <c r="C1653" s="477"/>
      <c r="D1653" s="335"/>
      <c r="G1653" s="386"/>
      <c r="H1653" s="332"/>
      <c r="I1653" s="397"/>
      <c r="J1653" s="335"/>
      <c r="K1653" s="374">
        <f t="shared" si="66"/>
        <v>0</v>
      </c>
      <c r="L1653" s="374">
        <f>+J1653</f>
        <v>0</v>
      </c>
      <c r="Q1653" s="478"/>
      <c r="R1653" s="649"/>
      <c r="S1653" s="287"/>
      <c r="T1653" s="289"/>
      <c r="U1653" s="289"/>
      <c r="V1653" s="289"/>
    </row>
    <row r="1654" spans="1:22" s="686" customFormat="1" ht="27.75" customHeight="1" thickTop="1" thickBot="1">
      <c r="A1654" s="673"/>
      <c r="B1654" s="674"/>
      <c r="C1654" s="905"/>
      <c r="D1654" s="677"/>
      <c r="E1654" s="677"/>
      <c r="F1654" s="673"/>
      <c r="G1654" s="906"/>
      <c r="H1654" s="674"/>
      <c r="I1654" s="680"/>
      <c r="J1654" s="677"/>
      <c r="K1654" s="676">
        <f t="shared" si="66"/>
        <v>0</v>
      </c>
      <c r="L1654" s="676">
        <f>+J1654</f>
        <v>0</v>
      </c>
      <c r="M1654" s="907"/>
      <c r="N1654" s="682">
        <f>SUM(G1652:G1654)</f>
        <v>0</v>
      </c>
      <c r="O1654" s="908">
        <f>SUM(J1654)</f>
        <v>0</v>
      </c>
      <c r="P1654" s="682">
        <f>+O1654+N1654</f>
        <v>0</v>
      </c>
      <c r="Q1654" s="683">
        <f>SUM(D1654)</f>
        <v>0</v>
      </c>
      <c r="R1654" s="909" t="s">
        <v>512</v>
      </c>
      <c r="S1654" s="908"/>
      <c r="T1654" s="682"/>
      <c r="U1654" s="682"/>
      <c r="V1654" s="682"/>
    </row>
    <row r="1655" spans="1:22" ht="27.75" customHeight="1" thickTop="1" thickBot="1">
      <c r="A1655" s="343"/>
      <c r="B1655" s="910" t="s">
        <v>143</v>
      </c>
      <c r="C1655" s="911"/>
      <c r="D1655" s="342"/>
      <c r="E1655" s="342"/>
      <c r="F1655" s="343"/>
      <c r="G1655" s="912"/>
      <c r="H1655" s="910"/>
      <c r="I1655" s="913"/>
      <c r="J1655" s="342"/>
      <c r="K1655" s="374">
        <f t="shared" si="66"/>
        <v>0</v>
      </c>
      <c r="L1655" s="338">
        <f>+J1655</f>
        <v>0</v>
      </c>
      <c r="M1655" s="914"/>
      <c r="O1655" s="287"/>
      <c r="Q1655" s="478"/>
      <c r="R1655" s="649"/>
      <c r="S1655" s="287"/>
      <c r="T1655" s="289"/>
      <c r="U1655" s="289"/>
      <c r="V1655" s="289"/>
    </row>
    <row r="1656" spans="1:22" ht="27.75" customHeight="1" thickTop="1" thickBot="1">
      <c r="A1656" s="891"/>
      <c r="B1656" s="915"/>
      <c r="C1656" s="916"/>
      <c r="D1656" s="917"/>
      <c r="E1656" s="894"/>
      <c r="F1656" s="891"/>
      <c r="G1656" s="531"/>
      <c r="H1656" s="897"/>
      <c r="I1656" s="898"/>
      <c r="J1656" s="894"/>
      <c r="K1656" s="374">
        <f t="shared" si="66"/>
        <v>0</v>
      </c>
      <c r="L1656" s="338">
        <f>+J1656</f>
        <v>0</v>
      </c>
      <c r="M1656" s="914"/>
      <c r="O1656" s="287"/>
      <c r="Q1656" s="478"/>
      <c r="R1656" s="649"/>
      <c r="S1656" s="287"/>
      <c r="T1656" s="289"/>
      <c r="U1656" s="289"/>
      <c r="V1656" s="289"/>
    </row>
    <row r="1657" spans="1:22" s="686" customFormat="1" ht="27.75" customHeight="1" thickTop="1">
      <c r="A1657" s="918"/>
      <c r="B1657" s="919"/>
      <c r="C1657" s="920"/>
      <c r="D1657" s="921"/>
      <c r="E1657" s="682"/>
      <c r="F1657" s="922"/>
      <c r="G1657" s="923"/>
      <c r="H1657" s="924"/>
      <c r="I1657" s="925"/>
      <c r="J1657" s="682"/>
      <c r="K1657" s="676"/>
      <c r="L1657" s="715"/>
      <c r="M1657" s="715"/>
      <c r="N1657" s="682">
        <f>SUM(G1655:G1657)</f>
        <v>0</v>
      </c>
      <c r="O1657" s="682"/>
      <c r="P1657" s="682"/>
      <c r="Q1657" s="683"/>
      <c r="R1657" s="684"/>
      <c r="S1657" s="908"/>
      <c r="T1657" s="682"/>
      <c r="U1657" s="682"/>
      <c r="V1657" s="682"/>
    </row>
    <row r="1658" spans="1:22" ht="27.75" customHeight="1" thickBot="1">
      <c r="A1658" s="321"/>
      <c r="B1658" s="926"/>
      <c r="C1658" s="757" t="s">
        <v>26</v>
      </c>
      <c r="D1658" s="927">
        <f>SUM(D1602)</f>
        <v>0</v>
      </c>
      <c r="E1658" s="350"/>
      <c r="F1658" s="351"/>
      <c r="G1658" s="352">
        <f>SUM(G1651:G1656)</f>
        <v>0</v>
      </c>
      <c r="H1658" s="349"/>
      <c r="I1658" s="928"/>
      <c r="J1658" s="349">
        <f>SUM(J1651:J1656)</f>
        <v>0</v>
      </c>
      <c r="K1658" s="374">
        <f t="shared" si="66"/>
        <v>0</v>
      </c>
      <c r="L1658" s="929">
        <f>SUM(L1652:L1656)</f>
        <v>0</v>
      </c>
      <c r="N1658" s="598">
        <f>SUM(G1651:G1656)</f>
        <v>0</v>
      </c>
      <c r="O1658" s="599">
        <f>SUM(O1651:O1656)</f>
        <v>0</v>
      </c>
      <c r="P1658" s="599">
        <f>SUM(P1651:P1656)</f>
        <v>0</v>
      </c>
      <c r="Q1658" s="625">
        <f>SUM(Q1652:Q1656)</f>
        <v>0</v>
      </c>
    </row>
    <row r="1659" spans="1:22" ht="27.75" customHeight="1" thickTop="1" thickBot="1">
      <c r="B1659" s="700"/>
      <c r="C1659" s="759"/>
      <c r="D1659" s="329"/>
      <c r="E1659" s="289"/>
      <c r="F1659" s="541"/>
      <c r="G1659" s="544"/>
      <c r="H1659" s="330"/>
      <c r="I1659" s="930"/>
      <c r="J1659" s="330">
        <f>+J1658+G1658</f>
        <v>0</v>
      </c>
      <c r="K1659" s="374">
        <f t="shared" si="66"/>
        <v>0</v>
      </c>
      <c r="L1659" s="760">
        <f>+L1658+K1658</f>
        <v>0</v>
      </c>
      <c r="M1659" s="488"/>
      <c r="N1659" s="602">
        <f>+G1658+J1658</f>
        <v>0</v>
      </c>
      <c r="O1659" s="761">
        <f>+N1659-P1659</f>
        <v>0</v>
      </c>
      <c r="P1659" s="931"/>
      <c r="Q1659" s="330"/>
    </row>
    <row r="1660" spans="1:22" s="436" customFormat="1" ht="27.75" customHeight="1">
      <c r="A1660" s="425"/>
      <c r="B1660" s="605" t="s">
        <v>65</v>
      </c>
      <c r="C1660" s="606"/>
      <c r="D1660" s="357"/>
      <c r="E1660" s="357"/>
      <c r="F1660" s="354"/>
      <c r="G1660" s="359"/>
      <c r="H1660" s="360"/>
      <c r="I1660" s="354"/>
      <c r="J1660" s="357"/>
      <c r="K1660" s="374">
        <f t="shared" si="66"/>
        <v>0</v>
      </c>
      <c r="L1660" s="361"/>
      <c r="M1660" s="361"/>
      <c r="N1660" s="358"/>
      <c r="O1660" s="358"/>
      <c r="P1660" s="358"/>
      <c r="Q1660" s="357"/>
      <c r="R1660" s="360"/>
      <c r="S1660" s="358"/>
      <c r="T1660" s="358"/>
      <c r="U1660" s="358"/>
      <c r="V1660" s="358"/>
    </row>
    <row r="1661" spans="1:22" s="385" customFormat="1" ht="25.2" thickBot="1">
      <c r="A1661" s="379">
        <v>1</v>
      </c>
      <c r="B1661" s="333" t="s">
        <v>159</v>
      </c>
      <c r="C1661" s="395"/>
      <c r="D1661" s="374"/>
      <c r="E1661" s="382"/>
      <c r="F1661" s="379"/>
      <c r="G1661" s="386"/>
      <c r="H1661" s="387" t="s">
        <v>298</v>
      </c>
      <c r="I1661" s="579"/>
      <c r="J1661" s="475">
        <v>5530855.9100000001</v>
      </c>
      <c r="K1661" s="374">
        <f t="shared" si="66"/>
        <v>0</v>
      </c>
      <c r="L1661" s="374">
        <f t="shared" ref="L1661:L1674" si="67">+J1661</f>
        <v>5530855.9100000001</v>
      </c>
      <c r="M1661" s="330"/>
      <c r="N1661" s="382"/>
      <c r="O1661" s="288"/>
      <c r="P1661" s="288"/>
      <c r="Q1661" s="382"/>
      <c r="R1661" s="288"/>
      <c r="S1661" s="291"/>
      <c r="T1661" s="291"/>
      <c r="U1661" s="291"/>
      <c r="V1661" s="291"/>
    </row>
    <row r="1662" spans="1:22" s="455" customFormat="1" ht="27.75" customHeight="1" thickTop="1" thickBot="1">
      <c r="A1662" s="450"/>
      <c r="B1662" s="555" t="s">
        <v>297</v>
      </c>
      <c r="C1662" s="457"/>
      <c r="D1662" s="446"/>
      <c r="E1662" s="453"/>
      <c r="F1662" s="450"/>
      <c r="G1662" s="386"/>
      <c r="H1662" s="453"/>
      <c r="I1662" s="450"/>
      <c r="J1662" s="453"/>
      <c r="K1662" s="374">
        <f t="shared" si="66"/>
        <v>0</v>
      </c>
      <c r="L1662" s="446">
        <f t="shared" si="67"/>
        <v>0</v>
      </c>
      <c r="M1662" s="551"/>
      <c r="N1662" s="452">
        <f>SUM(G1661:G1662)</f>
        <v>0</v>
      </c>
      <c r="O1662" s="452">
        <f>SUM(J1661:J1662)</f>
        <v>5530855.9100000001</v>
      </c>
      <c r="P1662" s="452">
        <f>+N1662+O1662</f>
        <v>5530855.9100000001</v>
      </c>
      <c r="Q1662" s="481">
        <f>SUM(D1661:D1662)</f>
        <v>0</v>
      </c>
      <c r="R1662" s="552" t="s">
        <v>215</v>
      </c>
      <c r="S1662" s="1464">
        <v>460000</v>
      </c>
      <c r="T1662" s="452" t="e">
        <f>+#REF!+J1662</f>
        <v>#REF!</v>
      </c>
      <c r="U1662" s="452"/>
      <c r="V1662" s="452"/>
    </row>
    <row r="1663" spans="1:22" ht="27.75" customHeight="1" thickTop="1">
      <c r="B1663" s="524"/>
      <c r="C1663" s="333" t="s">
        <v>35</v>
      </c>
      <c r="D1663" s="328"/>
      <c r="E1663" s="325"/>
      <c r="F1663" s="541"/>
      <c r="G1663" s="586"/>
      <c r="H1663" s="373"/>
      <c r="I1663" s="397"/>
      <c r="J1663" s="335"/>
      <c r="K1663" s="374">
        <f t="shared" si="66"/>
        <v>0</v>
      </c>
      <c r="L1663" s="374">
        <f t="shared" si="67"/>
        <v>0</v>
      </c>
    </row>
    <row r="1664" spans="1:22" s="455" customFormat="1" ht="27.75" customHeight="1">
      <c r="A1664" s="450"/>
      <c r="B1664" s="550"/>
      <c r="C1664" s="555" t="s">
        <v>35</v>
      </c>
      <c r="D1664" s="446"/>
      <c r="E1664" s="453"/>
      <c r="F1664" s="450"/>
      <c r="G1664" s="586"/>
      <c r="H1664" s="622"/>
      <c r="I1664" s="458"/>
      <c r="J1664" s="453"/>
      <c r="K1664" s="374">
        <f t="shared" si="66"/>
        <v>0</v>
      </c>
      <c r="L1664" s="446">
        <f t="shared" si="67"/>
        <v>0</v>
      </c>
      <c r="M1664" s="551"/>
      <c r="N1664" s="452">
        <f>SUM(G1663:G1664)</f>
        <v>0</v>
      </c>
      <c r="O1664" s="452">
        <f>SUM(J1664:J1664)</f>
        <v>0</v>
      </c>
      <c r="P1664" s="452">
        <f>+N1664+O1664</f>
        <v>0</v>
      </c>
      <c r="Q1664" s="452">
        <f>SUM(D1664:D1664)</f>
        <v>0</v>
      </c>
      <c r="R1664" s="455" t="s">
        <v>35</v>
      </c>
      <c r="S1664" s="452"/>
      <c r="T1664" s="452"/>
      <c r="U1664" s="452"/>
      <c r="V1664" s="452"/>
    </row>
    <row r="1665" spans="1:22" ht="27.75" customHeight="1" thickBot="1">
      <c r="B1665" s="932"/>
      <c r="C1665" s="340"/>
      <c r="D1665" s="346"/>
      <c r="G1665" s="933"/>
      <c r="H1665" s="373"/>
      <c r="I1665" s="397"/>
      <c r="J1665" s="335"/>
      <c r="K1665" s="374">
        <f t="shared" si="66"/>
        <v>0</v>
      </c>
      <c r="L1665" s="374">
        <f t="shared" si="67"/>
        <v>0</v>
      </c>
    </row>
    <row r="1666" spans="1:22" s="455" customFormat="1" ht="27.75" customHeight="1" thickTop="1" thickBot="1">
      <c r="A1666" s="450"/>
      <c r="B1666" s="934"/>
      <c r="C1666" s="935"/>
      <c r="D1666" s="936"/>
      <c r="E1666" s="453"/>
      <c r="F1666" s="450"/>
      <c r="G1666" s="933"/>
      <c r="H1666" s="622"/>
      <c r="I1666" s="458"/>
      <c r="J1666" s="453"/>
      <c r="K1666" s="374">
        <f t="shared" si="66"/>
        <v>0</v>
      </c>
      <c r="L1666" s="446">
        <f t="shared" si="67"/>
        <v>0</v>
      </c>
      <c r="M1666" s="551"/>
      <c r="N1666" s="452">
        <f>SUM(G1665:G1666)</f>
        <v>0</v>
      </c>
      <c r="O1666" s="452">
        <f>SUM(J1666:J1666)</f>
        <v>0</v>
      </c>
      <c r="P1666" s="452">
        <f>+N1666+O1666</f>
        <v>0</v>
      </c>
      <c r="Q1666" s="481">
        <f>SUM(D1666:D1666)</f>
        <v>0</v>
      </c>
      <c r="R1666" s="552" t="s">
        <v>302</v>
      </c>
      <c r="S1666" s="483"/>
      <c r="T1666" s="452"/>
      <c r="U1666" s="452"/>
      <c r="V1666" s="452"/>
    </row>
    <row r="1667" spans="1:22" ht="27.75" customHeight="1" thickTop="1" thickBot="1">
      <c r="B1667" s="932"/>
      <c r="C1667" s="340"/>
      <c r="D1667" s="346"/>
      <c r="G1667" s="933"/>
      <c r="H1667" s="373"/>
      <c r="I1667" s="397"/>
      <c r="J1667" s="335"/>
      <c r="K1667" s="374">
        <f t="shared" si="66"/>
        <v>0</v>
      </c>
      <c r="L1667" s="374">
        <f t="shared" si="67"/>
        <v>0</v>
      </c>
    </row>
    <row r="1668" spans="1:22" s="455" customFormat="1" ht="27.75" customHeight="1" thickTop="1" thickBot="1">
      <c r="A1668" s="450"/>
      <c r="B1668" s="508"/>
      <c r="C1668" s="935"/>
      <c r="D1668" s="936"/>
      <c r="E1668" s="453"/>
      <c r="F1668" s="937"/>
      <c r="G1668" s="586"/>
      <c r="H1668" s="622"/>
      <c r="I1668" s="458"/>
      <c r="J1668" s="453"/>
      <c r="K1668" s="374">
        <f t="shared" si="66"/>
        <v>0</v>
      </c>
      <c r="L1668" s="446">
        <f t="shared" si="67"/>
        <v>0</v>
      </c>
      <c r="M1668" s="551"/>
      <c r="N1668" s="452">
        <f>SUM(G1667:G1668)</f>
        <v>0</v>
      </c>
      <c r="O1668" s="452">
        <f>SUM(J1667:J1668)</f>
        <v>0</v>
      </c>
      <c r="P1668" s="452">
        <f>+N1668+O1668</f>
        <v>0</v>
      </c>
      <c r="Q1668" s="481">
        <f>SUM(D1667:D1668)</f>
        <v>0</v>
      </c>
      <c r="R1668" s="938" t="s">
        <v>257</v>
      </c>
      <c r="S1668" s="483"/>
      <c r="T1668" s="452"/>
      <c r="U1668" s="452"/>
      <c r="V1668" s="452"/>
    </row>
    <row r="1669" spans="1:22" ht="27.75" customHeight="1" thickTop="1" thickBot="1">
      <c r="B1669" s="939"/>
      <c r="C1669" s="340"/>
      <c r="D1669" s="346"/>
      <c r="F1669" s="343"/>
      <c r="G1669" s="940"/>
      <c r="H1669" s="373"/>
      <c r="I1669" s="397"/>
      <c r="J1669" s="335"/>
      <c r="K1669" s="374">
        <f t="shared" si="66"/>
        <v>0</v>
      </c>
      <c r="L1669" s="374">
        <f t="shared" si="67"/>
        <v>0</v>
      </c>
      <c r="R1669" s="941"/>
    </row>
    <row r="1670" spans="1:22" s="455" customFormat="1" ht="27.75" customHeight="1" thickTop="1" thickBot="1">
      <c r="A1670" s="450"/>
      <c r="B1670" s="934"/>
      <c r="C1670" s="935"/>
      <c r="D1670" s="936"/>
      <c r="E1670" s="453"/>
      <c r="F1670" s="937"/>
      <c r="G1670" s="940"/>
      <c r="H1670" s="622"/>
      <c r="I1670" s="458"/>
      <c r="J1670" s="453"/>
      <c r="K1670" s="374">
        <f t="shared" si="66"/>
        <v>0</v>
      </c>
      <c r="L1670" s="446">
        <f t="shared" si="67"/>
        <v>0</v>
      </c>
      <c r="M1670" s="551"/>
      <c r="N1670" s="452">
        <f>SUM(G1669:G1670)</f>
        <v>0</v>
      </c>
      <c r="O1670" s="452"/>
      <c r="P1670" s="452"/>
      <c r="Q1670" s="481">
        <f>SUM(D1669:D1670)</f>
        <v>0</v>
      </c>
      <c r="R1670" s="938" t="s">
        <v>494</v>
      </c>
      <c r="S1670" s="483"/>
      <c r="T1670" s="452"/>
      <c r="U1670" s="452"/>
      <c r="V1670" s="452"/>
    </row>
    <row r="1671" spans="1:22" ht="27.75" customHeight="1" thickTop="1" thickBot="1">
      <c r="B1671" s="942"/>
      <c r="C1671" s="943"/>
      <c r="D1671" s="944"/>
      <c r="E1671" s="879"/>
      <c r="F1671" s="945"/>
      <c r="G1671" s="946"/>
      <c r="H1671" s="373"/>
      <c r="I1671" s="397"/>
      <c r="J1671" s="335"/>
      <c r="K1671" s="374">
        <f t="shared" si="66"/>
        <v>0</v>
      </c>
      <c r="L1671" s="374">
        <f t="shared" si="67"/>
        <v>0</v>
      </c>
      <c r="R1671" s="941"/>
    </row>
    <row r="1672" spans="1:22" s="455" customFormat="1" ht="27.75" customHeight="1" thickTop="1" thickBot="1">
      <c r="A1672" s="450">
        <v>5</v>
      </c>
      <c r="B1672" s="947"/>
      <c r="C1672" s="948"/>
      <c r="D1672" s="949"/>
      <c r="E1672" s="950"/>
      <c r="F1672" s="951"/>
      <c r="G1672" s="586"/>
      <c r="H1672" s="952"/>
      <c r="I1672" s="458"/>
      <c r="J1672" s="453"/>
      <c r="K1672" s="374">
        <f t="shared" si="66"/>
        <v>0</v>
      </c>
      <c r="L1672" s="446">
        <f t="shared" si="67"/>
        <v>0</v>
      </c>
      <c r="M1672" s="551"/>
      <c r="N1672" s="452">
        <f>SUM(G1671:G1672)</f>
        <v>0</v>
      </c>
      <c r="O1672" s="452">
        <f>SUM(J1671:J1672)</f>
        <v>0</v>
      </c>
      <c r="P1672" s="452">
        <f>+N1672+O1672</f>
        <v>0</v>
      </c>
      <c r="Q1672" s="481"/>
      <c r="R1672" s="552" t="s">
        <v>301</v>
      </c>
      <c r="S1672" s="483"/>
      <c r="T1672" s="452"/>
      <c r="U1672" s="452"/>
      <c r="V1672" s="452"/>
    </row>
    <row r="1673" spans="1:22" s="385" customFormat="1" ht="27.75" customHeight="1" thickTop="1" thickBot="1">
      <c r="A1673" s="331"/>
      <c r="B1673" s="524"/>
      <c r="C1673" s="333" t="s">
        <v>192</v>
      </c>
      <c r="D1673" s="374"/>
      <c r="E1673" s="382"/>
      <c r="F1673" s="379"/>
      <c r="G1673" s="386"/>
      <c r="H1673" s="953"/>
      <c r="I1673" s="614"/>
      <c r="J1673" s="612"/>
      <c r="K1673" s="374">
        <f t="shared" si="66"/>
        <v>0</v>
      </c>
      <c r="L1673" s="374">
        <f t="shared" si="67"/>
        <v>0</v>
      </c>
      <c r="M1673" s="330"/>
      <c r="N1673" s="289">
        <f>SUM(G1673:G1673)</f>
        <v>0</v>
      </c>
      <c r="O1673" s="289">
        <f>SUM(J1673:J1673)</f>
        <v>0</v>
      </c>
      <c r="P1673" s="289">
        <f>+N1673+O1673</f>
        <v>0</v>
      </c>
      <c r="Q1673" s="288"/>
      <c r="S1673" s="291"/>
      <c r="T1673" s="291"/>
      <c r="U1673" s="291"/>
      <c r="V1673" s="291"/>
    </row>
    <row r="1674" spans="1:22" s="455" customFormat="1" ht="27.75" customHeight="1" thickTop="1" thickBot="1">
      <c r="A1674" s="450"/>
      <c r="B1674" s="550"/>
      <c r="C1674" s="555"/>
      <c r="D1674" s="446"/>
      <c r="E1674" s="453"/>
      <c r="F1674" s="450"/>
      <c r="G1674" s="499"/>
      <c r="H1674" s="954"/>
      <c r="I1674" s="619"/>
      <c r="J1674" s="616"/>
      <c r="K1674" s="374">
        <f t="shared" si="66"/>
        <v>0</v>
      </c>
      <c r="L1674" s="551">
        <f t="shared" si="67"/>
        <v>0</v>
      </c>
      <c r="M1674" s="551"/>
      <c r="N1674" s="581">
        <f>SUM(G1674:G1674)</f>
        <v>0</v>
      </c>
      <c r="O1674" s="581">
        <f>SUM(J1674:J1674)</f>
        <v>0</v>
      </c>
      <c r="P1674" s="581">
        <f>+N1674+O1674</f>
        <v>0</v>
      </c>
      <c r="Q1674" s="481"/>
      <c r="R1674" s="552" t="s">
        <v>43</v>
      </c>
      <c r="S1674" s="483"/>
      <c r="T1674" s="452"/>
      <c r="U1674" s="452"/>
      <c r="V1674" s="452"/>
    </row>
    <row r="1675" spans="1:22" ht="27.75" customHeight="1" thickTop="1" thickBot="1">
      <c r="B1675" s="955"/>
      <c r="C1675" s="348" t="s">
        <v>26</v>
      </c>
      <c r="D1675" s="349">
        <f>SUM(D1662:D1674)</f>
        <v>0</v>
      </c>
      <c r="E1675" s="350"/>
      <c r="F1675" s="351"/>
      <c r="G1675" s="352">
        <f>SUM(G1661:G1674)</f>
        <v>0</v>
      </c>
      <c r="H1675" s="351"/>
      <c r="I1675" s="351"/>
      <c r="J1675" s="349">
        <f>SUM(J1661:J1674)</f>
        <v>5530855.9100000001</v>
      </c>
      <c r="K1675" s="374">
        <f t="shared" si="66"/>
        <v>0</v>
      </c>
      <c r="L1675" s="929">
        <f>SUM(L1661:L1674)</f>
        <v>5530855.9100000001</v>
      </c>
      <c r="M1675" s="539"/>
      <c r="N1675" s="599">
        <f>SUM(N1662:N1674)</f>
        <v>0</v>
      </c>
      <c r="O1675" s="599">
        <f>SUM(O1662:O1674)</f>
        <v>5530855.9100000001</v>
      </c>
      <c r="P1675" s="599">
        <f>SUM(P1662:P1674)</f>
        <v>5530855.9100000001</v>
      </c>
      <c r="Q1675" s="625">
        <f>SUM(Q1662:Q1674)</f>
        <v>0</v>
      </c>
    </row>
    <row r="1676" spans="1:22" ht="27.75" customHeight="1" thickTop="1" thickBot="1">
      <c r="B1676" s="901"/>
      <c r="C1676" s="600"/>
      <c r="D1676" s="330"/>
      <c r="E1676" s="289"/>
      <c r="F1676" s="541"/>
      <c r="G1676" s="544"/>
      <c r="H1676" s="541"/>
      <c r="I1676" s="541"/>
      <c r="J1676" s="330">
        <f>+J1675+G1675</f>
        <v>5530855.9100000001</v>
      </c>
      <c r="K1676" s="374">
        <f t="shared" si="66"/>
        <v>0</v>
      </c>
      <c r="L1676" s="760">
        <f>+L1675+K1675</f>
        <v>5530855.9100000001</v>
      </c>
      <c r="M1676" s="488"/>
      <c r="N1676" s="602">
        <f>+G1675+J1675</f>
        <v>5530855.9100000001</v>
      </c>
      <c r="O1676" s="761">
        <f>+P1676-N1676</f>
        <v>0</v>
      </c>
      <c r="P1676" s="361">
        <v>5530855.9100000001</v>
      </c>
      <c r="Q1676" s="330"/>
    </row>
    <row r="1677" spans="1:22" s="436" customFormat="1" ht="27.75" customHeight="1">
      <c r="A1677" s="692"/>
      <c r="B1677" s="763" t="s">
        <v>69</v>
      </c>
      <c r="C1677" s="764"/>
      <c r="D1677" s="357"/>
      <c r="E1677" s="357"/>
      <c r="F1677" s="354"/>
      <c r="G1677" s="829"/>
      <c r="H1677" s="360"/>
      <c r="I1677" s="354"/>
      <c r="J1677" s="357"/>
      <c r="K1677" s="374">
        <f t="shared" si="66"/>
        <v>0</v>
      </c>
      <c r="L1677" s="361"/>
      <c r="M1677" s="361"/>
      <c r="N1677" s="358"/>
      <c r="O1677" s="358"/>
      <c r="P1677" s="358"/>
      <c r="Q1677" s="357"/>
      <c r="S1677" s="358"/>
      <c r="T1677" s="358"/>
      <c r="U1677" s="358"/>
      <c r="V1677" s="358"/>
    </row>
    <row r="1678" spans="1:22" ht="27.75" customHeight="1">
      <c r="B1678" s="373" t="s">
        <v>48</v>
      </c>
      <c r="C1678" s="393"/>
      <c r="D1678" s="365"/>
      <c r="E1678" s="365"/>
      <c r="F1678" s="366"/>
      <c r="G1678" s="367"/>
      <c r="H1678" s="368"/>
      <c r="I1678" s="366"/>
      <c r="J1678" s="365"/>
      <c r="K1678" s="374">
        <f t="shared" si="66"/>
        <v>0</v>
      </c>
      <c r="L1678" s="338"/>
      <c r="N1678" s="489"/>
      <c r="O1678" s="489"/>
      <c r="Q1678" s="370"/>
      <c r="S1678" s="289"/>
      <c r="T1678" s="289"/>
      <c r="U1678" s="289"/>
      <c r="V1678" s="289"/>
    </row>
    <row r="1679" spans="1:22" ht="27.6" customHeight="1">
      <c r="A1679" s="331">
        <v>1</v>
      </c>
      <c r="B1679" s="956" t="s">
        <v>243</v>
      </c>
      <c r="C1679" s="957"/>
      <c r="D1679" s="958"/>
      <c r="E1679" s="959"/>
      <c r="F1679" s="698"/>
      <c r="G1679" s="386"/>
      <c r="H1679" s="373" t="s">
        <v>599</v>
      </c>
      <c r="I1679" s="397">
        <v>2</v>
      </c>
      <c r="J1679" s="335">
        <v>10408.5</v>
      </c>
      <c r="K1679" s="374">
        <f t="shared" si="66"/>
        <v>0</v>
      </c>
      <c r="L1679" s="374">
        <f t="shared" ref="L1679:L1706" si="68">+J1679</f>
        <v>10408.5</v>
      </c>
      <c r="N1679" s="960"/>
      <c r="O1679" s="961"/>
      <c r="S1679" s="290"/>
      <c r="T1679" s="290"/>
      <c r="U1679" s="290"/>
      <c r="V1679" s="290"/>
    </row>
    <row r="1680" spans="1:22" ht="27.75" customHeight="1">
      <c r="A1680" s="331">
        <v>2</v>
      </c>
      <c r="B1680" s="1465" t="s">
        <v>3070</v>
      </c>
      <c r="C1680" s="1466" t="s">
        <v>160</v>
      </c>
      <c r="D1680" s="1467"/>
      <c r="E1680" s="1468" t="s">
        <v>3488</v>
      </c>
      <c r="F1680" s="1469">
        <v>6</v>
      </c>
      <c r="G1680" s="1470">
        <v>1009.9800000000001</v>
      </c>
      <c r="H1680" s="962"/>
      <c r="I1680" s="963"/>
      <c r="J1680" s="335"/>
      <c r="K1680" s="374">
        <f t="shared" si="66"/>
        <v>116.551692</v>
      </c>
      <c r="L1680" s="374">
        <f t="shared" si="68"/>
        <v>0</v>
      </c>
      <c r="N1680" s="960"/>
      <c r="O1680" s="961"/>
      <c r="S1680" s="290"/>
      <c r="T1680" s="290"/>
      <c r="U1680" s="290"/>
      <c r="V1680" s="290"/>
    </row>
    <row r="1681" spans="1:22" ht="27.75" customHeight="1">
      <c r="A1681" s="331">
        <v>3</v>
      </c>
      <c r="B1681" s="1465" t="s">
        <v>1530</v>
      </c>
      <c r="C1681" s="1466" t="s">
        <v>160</v>
      </c>
      <c r="D1681" s="1467">
        <v>841.69</v>
      </c>
      <c r="E1681" s="1468"/>
      <c r="F1681" s="1469"/>
      <c r="G1681" s="1470"/>
      <c r="H1681" s="962"/>
      <c r="I1681" s="963"/>
      <c r="J1681" s="335"/>
      <c r="K1681" s="374">
        <f t="shared" si="66"/>
        <v>0</v>
      </c>
      <c r="L1681" s="374">
        <f t="shared" si="68"/>
        <v>0</v>
      </c>
      <c r="N1681" s="960"/>
      <c r="O1681" s="961"/>
      <c r="S1681" s="290"/>
      <c r="T1681" s="290"/>
      <c r="U1681" s="290"/>
      <c r="V1681" s="290"/>
    </row>
    <row r="1682" spans="1:22" ht="27.75" customHeight="1">
      <c r="A1682" s="331">
        <v>4</v>
      </c>
      <c r="B1682" s="1465" t="s">
        <v>481</v>
      </c>
      <c r="C1682" s="1466" t="s">
        <v>160</v>
      </c>
      <c r="D1682" s="1471"/>
      <c r="E1682" s="1472" t="s">
        <v>3489</v>
      </c>
      <c r="F1682" s="1469">
        <v>5</v>
      </c>
      <c r="G1682" s="1470">
        <v>841.65000000000009</v>
      </c>
      <c r="H1682" s="962"/>
      <c r="I1682" s="963"/>
      <c r="J1682" s="335"/>
      <c r="K1682" s="374">
        <f t="shared" si="66"/>
        <v>97.126409999999993</v>
      </c>
      <c r="L1682" s="374">
        <f t="shared" si="68"/>
        <v>0</v>
      </c>
      <c r="N1682" s="1294"/>
      <c r="O1682" s="1295"/>
      <c r="S1682" s="290"/>
      <c r="T1682" s="290"/>
      <c r="U1682" s="290"/>
      <c r="V1682" s="290"/>
    </row>
    <row r="1683" spans="1:22" ht="27.75" customHeight="1">
      <c r="A1683" s="331">
        <v>5</v>
      </c>
      <c r="B1683" s="964" t="s">
        <v>482</v>
      </c>
      <c r="C1683" s="965" t="s">
        <v>160</v>
      </c>
      <c r="D1683" s="478"/>
      <c r="E1683" s="966" t="s">
        <v>3489</v>
      </c>
      <c r="F1683" s="967">
        <v>5</v>
      </c>
      <c r="G1683" s="968">
        <v>841.65000000000009</v>
      </c>
      <c r="H1683" s="962"/>
      <c r="I1683" s="963"/>
      <c r="J1683" s="335"/>
      <c r="K1683" s="374">
        <f t="shared" si="66"/>
        <v>97.126409999999993</v>
      </c>
      <c r="L1683" s="374">
        <f t="shared" si="68"/>
        <v>0</v>
      </c>
      <c r="N1683" s="969"/>
      <c r="O1683" s="1296"/>
      <c r="Q1683" s="478"/>
      <c r="R1683" s="479"/>
      <c r="S1683" s="658"/>
      <c r="T1683" s="290"/>
      <c r="U1683" s="290"/>
      <c r="V1683" s="290"/>
    </row>
    <row r="1684" spans="1:22" ht="27.75" customHeight="1">
      <c r="A1684" s="331">
        <v>6</v>
      </c>
      <c r="B1684" s="964" t="s">
        <v>641</v>
      </c>
      <c r="C1684" s="965" t="s">
        <v>160</v>
      </c>
      <c r="D1684" s="478"/>
      <c r="E1684" s="966" t="s">
        <v>3490</v>
      </c>
      <c r="F1684" s="967">
        <v>3</v>
      </c>
      <c r="G1684" s="968">
        <v>793.73999999999978</v>
      </c>
      <c r="H1684" s="962"/>
      <c r="I1684" s="963"/>
      <c r="J1684" s="335"/>
      <c r="K1684" s="374">
        <f t="shared" si="66"/>
        <v>91.597595999999982</v>
      </c>
      <c r="L1684" s="374">
        <f t="shared" si="68"/>
        <v>0</v>
      </c>
      <c r="N1684" s="969"/>
      <c r="O1684" s="1296"/>
      <c r="Q1684" s="478"/>
      <c r="R1684" s="479"/>
      <c r="S1684" s="658"/>
      <c r="T1684" s="290"/>
      <c r="U1684" s="290"/>
      <c r="V1684" s="290"/>
    </row>
    <row r="1685" spans="1:22" ht="27.75" customHeight="1">
      <c r="B1685" s="964"/>
      <c r="C1685" s="965"/>
      <c r="D1685" s="478"/>
      <c r="E1685" s="966"/>
      <c r="F1685" s="967"/>
      <c r="G1685" s="968"/>
      <c r="H1685" s="962"/>
      <c r="I1685" s="963"/>
      <c r="J1685" s="335"/>
      <c r="K1685" s="374">
        <f t="shared" si="66"/>
        <v>0</v>
      </c>
      <c r="L1685" s="374">
        <f t="shared" si="68"/>
        <v>0</v>
      </c>
      <c r="N1685" s="969"/>
      <c r="O1685" s="1296"/>
      <c r="Q1685" s="478"/>
      <c r="R1685" s="479"/>
      <c r="S1685" s="658"/>
      <c r="T1685" s="290"/>
      <c r="U1685" s="290"/>
      <c r="V1685" s="290"/>
    </row>
    <row r="1686" spans="1:22" ht="27.75" customHeight="1" thickBot="1">
      <c r="B1686" s="964"/>
      <c r="C1686" s="970"/>
      <c r="D1686" s="971"/>
      <c r="E1686" s="972"/>
      <c r="F1686" s="973"/>
      <c r="G1686" s="974"/>
      <c r="H1686" s="962"/>
      <c r="I1686" s="963"/>
      <c r="J1686" s="335"/>
      <c r="K1686" s="374">
        <f t="shared" si="66"/>
        <v>0</v>
      </c>
      <c r="L1686" s="374">
        <f t="shared" si="68"/>
        <v>0</v>
      </c>
      <c r="N1686" s="969"/>
      <c r="O1686" s="1296"/>
      <c r="Q1686" s="478"/>
      <c r="R1686" s="479"/>
      <c r="S1686" s="658"/>
      <c r="T1686" s="290"/>
      <c r="U1686" s="290"/>
      <c r="V1686" s="290"/>
    </row>
    <row r="1687" spans="1:22" s="455" customFormat="1" ht="27.75" customHeight="1" thickTop="1" thickBot="1">
      <c r="A1687" s="450"/>
      <c r="B1687" s="555" t="s">
        <v>2673</v>
      </c>
      <c r="C1687" s="457"/>
      <c r="D1687" s="446"/>
      <c r="E1687" s="453"/>
      <c r="F1687" s="458"/>
      <c r="G1687" s="386"/>
      <c r="H1687" s="555"/>
      <c r="I1687" s="450"/>
      <c r="J1687" s="446"/>
      <c r="K1687" s="374">
        <f t="shared" si="66"/>
        <v>0</v>
      </c>
      <c r="L1687" s="446">
        <f t="shared" si="68"/>
        <v>0</v>
      </c>
      <c r="M1687" s="551"/>
      <c r="N1687" s="452">
        <f>SUM(G1679:G1687)</f>
        <v>3487.02</v>
      </c>
      <c r="O1687" s="452">
        <f>SUM(J1679:J1682)</f>
        <v>10408.5</v>
      </c>
      <c r="P1687" s="452">
        <f>+N1687+O1687</f>
        <v>13895.52</v>
      </c>
      <c r="Q1687" s="481">
        <f>SUM(D1679:D1687)</f>
        <v>841.69</v>
      </c>
      <c r="R1687" s="482" t="s">
        <v>66</v>
      </c>
      <c r="S1687" s="655"/>
    </row>
    <row r="1688" spans="1:22" ht="27.75" customHeight="1" thickTop="1">
      <c r="B1688" s="477" t="s">
        <v>35</v>
      </c>
      <c r="C1688" s="393"/>
      <c r="D1688" s="338"/>
      <c r="F1688" s="397"/>
      <c r="G1688" s="386"/>
      <c r="H1688" s="477"/>
      <c r="K1688" s="374">
        <f t="shared" si="66"/>
        <v>0</v>
      </c>
      <c r="L1688" s="338"/>
      <c r="Q1688" s="478"/>
      <c r="R1688" s="585"/>
      <c r="S1688" s="658"/>
      <c r="T1688" s="290"/>
      <c r="U1688" s="290"/>
      <c r="V1688" s="290"/>
    </row>
    <row r="1689" spans="1:22" ht="27.75" customHeight="1">
      <c r="B1689" s="975"/>
      <c r="C1689" s="976"/>
      <c r="D1689" s="338"/>
      <c r="F1689" s="963"/>
      <c r="G1689" s="386"/>
      <c r="H1689" s="962"/>
      <c r="I1689" s="977"/>
      <c r="J1689" s="335"/>
      <c r="K1689" s="374">
        <f t="shared" si="66"/>
        <v>0</v>
      </c>
      <c r="L1689" s="374">
        <f t="shared" si="68"/>
        <v>0</v>
      </c>
      <c r="R1689" s="484"/>
      <c r="S1689" s="290"/>
      <c r="T1689" s="290"/>
      <c r="U1689" s="290"/>
      <c r="V1689" s="290"/>
    </row>
    <row r="1690" spans="1:22" ht="27.75" customHeight="1" thickBot="1">
      <c r="B1690" s="978"/>
      <c r="C1690" s="957"/>
      <c r="D1690" s="958"/>
      <c r="E1690" s="959"/>
      <c r="F1690" s="698"/>
      <c r="G1690" s="386"/>
      <c r="H1690" s="962"/>
      <c r="I1690" s="977"/>
      <c r="J1690" s="335"/>
      <c r="K1690" s="374">
        <f t="shared" si="66"/>
        <v>0</v>
      </c>
      <c r="L1690" s="374">
        <f t="shared" si="68"/>
        <v>0</v>
      </c>
      <c r="R1690" s="484"/>
      <c r="S1690" s="290"/>
      <c r="T1690" s="290"/>
      <c r="U1690" s="290"/>
      <c r="V1690" s="290"/>
    </row>
    <row r="1691" spans="1:22" s="455" customFormat="1" ht="27.75" customHeight="1" thickTop="1" thickBot="1">
      <c r="A1691" s="450"/>
      <c r="B1691" s="979"/>
      <c r="C1691" s="980"/>
      <c r="D1691" s="981"/>
      <c r="E1691" s="982"/>
      <c r="F1691" s="983"/>
      <c r="G1691" s="386"/>
      <c r="H1691" s="575"/>
      <c r="I1691" s="450"/>
      <c r="J1691" s="446"/>
      <c r="K1691" s="374">
        <f t="shared" si="66"/>
        <v>0</v>
      </c>
      <c r="L1691" s="446">
        <f t="shared" si="68"/>
        <v>0</v>
      </c>
      <c r="M1691" s="551"/>
      <c r="N1691" s="452">
        <f>SUM(G1688:G1691)</f>
        <v>0</v>
      </c>
      <c r="O1691" s="452">
        <f>SUM(J1689:J1690)</f>
        <v>0</v>
      </c>
      <c r="P1691" s="452">
        <f>+N1691+O1691</f>
        <v>0</v>
      </c>
      <c r="Q1691" s="481"/>
      <c r="R1691" s="482" t="s">
        <v>35</v>
      </c>
      <c r="S1691" s="655"/>
    </row>
    <row r="1692" spans="1:22" ht="27.75" customHeight="1" thickTop="1">
      <c r="B1692" s="333"/>
      <c r="C1692" s="872"/>
      <c r="D1692" s="374"/>
      <c r="E1692" s="382"/>
      <c r="F1692" s="379"/>
      <c r="H1692" s="984"/>
      <c r="I1692" s="379"/>
      <c r="K1692" s="374">
        <f t="shared" si="66"/>
        <v>0</v>
      </c>
      <c r="L1692" s="374">
        <f t="shared" si="68"/>
        <v>0</v>
      </c>
      <c r="R1692" s="484"/>
      <c r="S1692" s="290"/>
      <c r="T1692" s="290"/>
      <c r="U1692" s="290"/>
      <c r="V1692" s="290"/>
    </row>
    <row r="1693" spans="1:22" ht="27.75" customHeight="1" thickBot="1">
      <c r="B1693" s="333"/>
      <c r="C1693" s="872"/>
      <c r="D1693" s="374"/>
      <c r="E1693" s="382"/>
      <c r="F1693" s="379"/>
      <c r="H1693" s="984"/>
      <c r="I1693" s="379"/>
      <c r="K1693" s="374">
        <f t="shared" si="66"/>
        <v>0</v>
      </c>
      <c r="L1693" s="374">
        <f t="shared" si="68"/>
        <v>0</v>
      </c>
      <c r="R1693" s="484"/>
      <c r="S1693" s="290"/>
      <c r="T1693" s="290"/>
      <c r="U1693" s="290"/>
      <c r="V1693" s="290"/>
    </row>
    <row r="1694" spans="1:22" s="455" customFormat="1" ht="27.75" customHeight="1" thickTop="1" thickBot="1">
      <c r="A1694" s="450"/>
      <c r="B1694" s="555"/>
      <c r="C1694" s="457"/>
      <c r="D1694" s="446"/>
      <c r="E1694" s="453"/>
      <c r="F1694" s="450"/>
      <c r="G1694" s="336"/>
      <c r="H1694" s="575"/>
      <c r="I1694" s="450"/>
      <c r="J1694" s="446"/>
      <c r="K1694" s="374">
        <f t="shared" si="66"/>
        <v>0</v>
      </c>
      <c r="L1694" s="446">
        <f t="shared" si="68"/>
        <v>0</v>
      </c>
      <c r="M1694" s="551"/>
      <c r="N1694" s="452">
        <f>SUM(G1693:G1694)</f>
        <v>0</v>
      </c>
      <c r="O1694" s="452">
        <f>SUM(J1693:J1694)</f>
        <v>0</v>
      </c>
      <c r="P1694" s="452">
        <f>SUM(N1694:O1694)</f>
        <v>0</v>
      </c>
      <c r="Q1694" s="481">
        <f>SUM(D1694)</f>
        <v>0</v>
      </c>
      <c r="R1694" s="552" t="s">
        <v>70</v>
      </c>
      <c r="S1694" s="655"/>
    </row>
    <row r="1695" spans="1:22" ht="27.75" customHeight="1" thickTop="1">
      <c r="B1695" s="333" t="s">
        <v>36</v>
      </c>
      <c r="C1695" s="395"/>
      <c r="D1695" s="374"/>
      <c r="E1695" s="382"/>
      <c r="F1695" s="379"/>
      <c r="H1695" s="984"/>
      <c r="I1695" s="379"/>
      <c r="K1695" s="374">
        <f t="shared" si="66"/>
        <v>0</v>
      </c>
      <c r="L1695" s="374">
        <f t="shared" si="68"/>
        <v>0</v>
      </c>
      <c r="S1695" s="290"/>
      <c r="T1695" s="290"/>
      <c r="U1695" s="290"/>
      <c r="V1695" s="290"/>
    </row>
    <row r="1696" spans="1:22" ht="27.75" customHeight="1">
      <c r="B1696" s="333"/>
      <c r="C1696" s="395"/>
      <c r="D1696" s="374"/>
      <c r="E1696" s="382"/>
      <c r="F1696" s="379"/>
      <c r="H1696" s="984"/>
      <c r="I1696" s="379"/>
      <c r="K1696" s="374">
        <f t="shared" ref="K1696:K1765" si="69">G1696*11.54/100</f>
        <v>0</v>
      </c>
      <c r="L1696" s="374">
        <f t="shared" si="68"/>
        <v>0</v>
      </c>
      <c r="S1696" s="290"/>
      <c r="T1696" s="290"/>
      <c r="U1696" s="290"/>
      <c r="V1696" s="290"/>
    </row>
    <row r="1697" spans="1:22" ht="27.75" customHeight="1" thickBot="1">
      <c r="B1697" s="333"/>
      <c r="C1697" s="395"/>
      <c r="D1697" s="374"/>
      <c r="E1697" s="382"/>
      <c r="F1697" s="379"/>
      <c r="H1697" s="984"/>
      <c r="I1697" s="379"/>
      <c r="K1697" s="374">
        <f t="shared" si="69"/>
        <v>0</v>
      </c>
      <c r="L1697" s="374">
        <f t="shared" si="68"/>
        <v>0</v>
      </c>
      <c r="S1697" s="290"/>
      <c r="T1697" s="290"/>
      <c r="U1697" s="290"/>
      <c r="V1697" s="290"/>
    </row>
    <row r="1698" spans="1:22" s="455" customFormat="1" ht="27.75" customHeight="1" thickTop="1" thickBot="1">
      <c r="A1698" s="450"/>
      <c r="B1698" s="555"/>
      <c r="C1698" s="457"/>
      <c r="D1698" s="446"/>
      <c r="E1698" s="453"/>
      <c r="F1698" s="450"/>
      <c r="G1698" s="386"/>
      <c r="H1698" s="622"/>
      <c r="I1698" s="458"/>
      <c r="J1698" s="453"/>
      <c r="K1698" s="374">
        <f t="shared" si="69"/>
        <v>0</v>
      </c>
      <c r="L1698" s="446">
        <f t="shared" si="68"/>
        <v>0</v>
      </c>
      <c r="M1698" s="551"/>
      <c r="N1698" s="452">
        <f>SUM(G1695:G1698)</f>
        <v>0</v>
      </c>
      <c r="O1698" s="452">
        <f>SUM(J1695:J1698)</f>
        <v>0</v>
      </c>
      <c r="P1698" s="452">
        <f>+N1698+O1698</f>
        <v>0</v>
      </c>
      <c r="Q1698" s="481">
        <f>SUM(D1695:D1698)</f>
        <v>0</v>
      </c>
      <c r="R1698" s="482" t="s">
        <v>36</v>
      </c>
      <c r="S1698" s="655"/>
    </row>
    <row r="1699" spans="1:22" s="455" customFormat="1" ht="27.75" customHeight="1" thickTop="1" thickBot="1">
      <c r="A1699" s="450"/>
      <c r="B1699" s="555"/>
      <c r="C1699" s="555"/>
      <c r="D1699" s="871"/>
      <c r="E1699" s="453"/>
      <c r="F1699" s="450"/>
      <c r="G1699" s="386"/>
      <c r="H1699" s="575"/>
      <c r="I1699" s="450"/>
      <c r="J1699" s="446"/>
      <c r="K1699" s="374">
        <f t="shared" si="69"/>
        <v>0</v>
      </c>
      <c r="L1699" s="446">
        <f t="shared" si="68"/>
        <v>0</v>
      </c>
      <c r="M1699" s="551"/>
      <c r="N1699" s="452">
        <f>+G1699</f>
        <v>0</v>
      </c>
      <c r="O1699" s="452">
        <f>+J1699</f>
        <v>0</v>
      </c>
      <c r="P1699" s="452">
        <f>+N1699+O1699</f>
        <v>0</v>
      </c>
      <c r="Q1699" s="481">
        <f>SUM(D1699)</f>
        <v>0</v>
      </c>
      <c r="R1699" s="552" t="s">
        <v>146</v>
      </c>
      <c r="S1699" s="655"/>
    </row>
    <row r="1700" spans="1:22" ht="27.75" customHeight="1" thickTop="1">
      <c r="B1700" s="333"/>
      <c r="C1700" s="395"/>
      <c r="D1700" s="338"/>
      <c r="G1700" s="586"/>
      <c r="H1700" s="985"/>
      <c r="K1700" s="374">
        <f t="shared" si="69"/>
        <v>0</v>
      </c>
      <c r="L1700" s="374">
        <f t="shared" si="68"/>
        <v>0</v>
      </c>
      <c r="S1700" s="290"/>
      <c r="T1700" s="290"/>
      <c r="U1700" s="290"/>
      <c r="V1700" s="290"/>
    </row>
    <row r="1701" spans="1:22" ht="27.75" customHeight="1">
      <c r="B1701" s="333"/>
      <c r="C1701" s="395"/>
      <c r="D1701" s="338"/>
      <c r="G1701" s="586"/>
      <c r="H1701" s="985"/>
      <c r="K1701" s="374">
        <f t="shared" si="69"/>
        <v>0</v>
      </c>
      <c r="L1701" s="374">
        <f t="shared" si="68"/>
        <v>0</v>
      </c>
      <c r="S1701" s="290"/>
      <c r="T1701" s="290"/>
      <c r="U1701" s="290"/>
      <c r="V1701" s="290"/>
    </row>
    <row r="1702" spans="1:22" s="455" customFormat="1" ht="27.75" customHeight="1">
      <c r="A1702" s="450"/>
      <c r="B1702" s="550"/>
      <c r="C1702" s="457"/>
      <c r="D1702" s="446"/>
      <c r="E1702" s="453"/>
      <c r="F1702" s="450"/>
      <c r="G1702" s="586"/>
      <c r="H1702" s="986"/>
      <c r="I1702" s="450"/>
      <c r="J1702" s="446"/>
      <c r="K1702" s="374">
        <f t="shared" si="69"/>
        <v>0</v>
      </c>
      <c r="L1702" s="446">
        <f t="shared" si="68"/>
        <v>0</v>
      </c>
      <c r="M1702" s="551"/>
      <c r="N1702" s="452">
        <f>SUM(G1700:G1702)</f>
        <v>0</v>
      </c>
      <c r="O1702" s="452">
        <f>SUM(J1700:J1702)</f>
        <v>0</v>
      </c>
      <c r="P1702" s="452">
        <f>+N1702+O1702</f>
        <v>0</v>
      </c>
      <c r="Q1702" s="452">
        <f>SUM(C1700:C1702)</f>
        <v>0</v>
      </c>
      <c r="R1702" s="987">
        <f>SUM(D1699:D1702)</f>
        <v>0</v>
      </c>
    </row>
    <row r="1703" spans="1:22" ht="27.75" customHeight="1">
      <c r="B1703" s="363" t="s">
        <v>73</v>
      </c>
      <c r="C1703" s="393"/>
      <c r="D1703" s="338"/>
      <c r="G1703" s="586"/>
      <c r="H1703" s="985"/>
      <c r="K1703" s="374">
        <f t="shared" si="69"/>
        <v>0</v>
      </c>
      <c r="L1703" s="338">
        <f t="shared" si="68"/>
        <v>0</v>
      </c>
      <c r="R1703" s="484"/>
      <c r="S1703" s="290"/>
      <c r="T1703" s="290"/>
      <c r="U1703" s="290"/>
      <c r="V1703" s="290"/>
    </row>
    <row r="1704" spans="1:22" ht="27.75" customHeight="1">
      <c r="B1704" s="363"/>
      <c r="C1704" s="393"/>
      <c r="D1704" s="338"/>
      <c r="G1704" s="586"/>
      <c r="H1704" s="985"/>
      <c r="K1704" s="374">
        <f t="shared" si="69"/>
        <v>0</v>
      </c>
      <c r="L1704" s="338">
        <f t="shared" si="68"/>
        <v>0</v>
      </c>
      <c r="R1704" s="484"/>
      <c r="S1704" s="290"/>
      <c r="T1704" s="290"/>
      <c r="U1704" s="290"/>
      <c r="V1704" s="290"/>
    </row>
    <row r="1705" spans="1:22" ht="27.75" customHeight="1" thickBot="1">
      <c r="B1705" s="477"/>
      <c r="C1705" s="393"/>
      <c r="D1705" s="338"/>
      <c r="G1705" s="386"/>
      <c r="H1705" s="444"/>
      <c r="K1705" s="374">
        <f t="shared" si="69"/>
        <v>0</v>
      </c>
      <c r="L1705" s="338">
        <f t="shared" si="68"/>
        <v>0</v>
      </c>
      <c r="R1705" s="484"/>
      <c r="S1705" s="289"/>
      <c r="T1705" s="289"/>
      <c r="U1705" s="289"/>
      <c r="V1705" s="289"/>
    </row>
    <row r="1706" spans="1:22" s="455" customFormat="1" ht="27.75" customHeight="1" thickTop="1" thickBot="1">
      <c r="A1706" s="588"/>
      <c r="B1706" s="988"/>
      <c r="C1706" s="989"/>
      <c r="D1706" s="990"/>
      <c r="E1706" s="991"/>
      <c r="F1706" s="992"/>
      <c r="G1706" s="896"/>
      <c r="H1706" s="592"/>
      <c r="I1706" s="593"/>
      <c r="J1706" s="590"/>
      <c r="K1706" s="374">
        <f t="shared" si="69"/>
        <v>0</v>
      </c>
      <c r="L1706" s="529">
        <f t="shared" si="68"/>
        <v>0</v>
      </c>
      <c r="M1706" s="551"/>
      <c r="N1706" s="581">
        <f>SUM(G1704:G1705)</f>
        <v>0</v>
      </c>
      <c r="O1706" s="581">
        <f>SUM(J1705:J1706)</f>
        <v>0</v>
      </c>
      <c r="P1706" s="581">
        <f>+N1706+O1706</f>
        <v>0</v>
      </c>
      <c r="Q1706" s="481">
        <f>SUM(D1706)</f>
        <v>0</v>
      </c>
      <c r="R1706" s="552" t="s">
        <v>73</v>
      </c>
      <c r="S1706" s="483"/>
      <c r="T1706" s="452"/>
      <c r="U1706" s="452"/>
      <c r="V1706" s="452"/>
    </row>
    <row r="1707" spans="1:22" ht="27.75" customHeight="1" thickTop="1" thickBot="1">
      <c r="A1707" s="321"/>
      <c r="B1707" s="993"/>
      <c r="C1707" s="596" t="s">
        <v>26</v>
      </c>
      <c r="D1707" s="533"/>
      <c r="E1707" s="534"/>
      <c r="F1707" s="535"/>
      <c r="G1707" s="536">
        <f>SUM(G1679:G1706)</f>
        <v>3487.02</v>
      </c>
      <c r="H1707" s="597"/>
      <c r="I1707" s="535"/>
      <c r="J1707" s="533">
        <f>SUM(J1679:J1706)</f>
        <v>10408.5</v>
      </c>
      <c r="K1707" s="374">
        <f t="shared" si="69"/>
        <v>402.40210799999994</v>
      </c>
      <c r="L1707" s="329">
        <f>SUM(L1679:L1706)</f>
        <v>10408.5</v>
      </c>
      <c r="N1707" s="598">
        <f>SUM(N1679:N1706)</f>
        <v>3487.02</v>
      </c>
      <c r="O1707" s="598">
        <f>SUM(O1679:O1706)</f>
        <v>10408.5</v>
      </c>
      <c r="P1707" s="598">
        <f>SUM(P1679:P1706)</f>
        <v>13895.52</v>
      </c>
      <c r="Q1707" s="625">
        <f>SUM(Q1679:Q1706)</f>
        <v>841.69</v>
      </c>
    </row>
    <row r="1708" spans="1:22" ht="27" customHeight="1" thickTop="1" thickBot="1">
      <c r="B1708" s="290"/>
      <c r="C1708" s="689"/>
      <c r="D1708" s="325"/>
      <c r="E1708" s="325"/>
      <c r="F1708" s="321"/>
      <c r="G1708" s="326"/>
      <c r="H1708" s="994"/>
      <c r="I1708" s="321"/>
      <c r="J1708" s="328">
        <f>+J1707+G1707</f>
        <v>13895.52</v>
      </c>
      <c r="K1708" s="374">
        <f t="shared" si="69"/>
        <v>0</v>
      </c>
      <c r="L1708" s="760">
        <f>+L1707+K1707</f>
        <v>10810.902108</v>
      </c>
      <c r="M1708" s="488"/>
      <c r="N1708" s="995">
        <f>+G1707+J1707</f>
        <v>13895.52</v>
      </c>
      <c r="O1708" s="761">
        <f>+P1708-N1708</f>
        <v>0</v>
      </c>
      <c r="P1708" s="996">
        <v>13895.52</v>
      </c>
    </row>
    <row r="1709" spans="1:22" s="436" customFormat="1" ht="27.75" customHeight="1">
      <c r="A1709" s="425"/>
      <c r="B1709" s="605" t="s">
        <v>4</v>
      </c>
      <c r="C1709" s="606"/>
      <c r="D1709" s="357"/>
      <c r="E1709" s="607"/>
      <c r="F1709" s="354"/>
      <c r="G1709" s="829"/>
      <c r="H1709" s="360"/>
      <c r="I1709" s="354"/>
      <c r="J1709" s="357"/>
      <c r="K1709" s="374">
        <f t="shared" si="69"/>
        <v>0</v>
      </c>
      <c r="L1709" s="360"/>
      <c r="M1709" s="360"/>
      <c r="N1709" s="357"/>
      <c r="O1709" s="361"/>
      <c r="P1709" s="997"/>
      <c r="Q1709" s="357"/>
      <c r="S1709" s="358"/>
      <c r="T1709" s="358"/>
      <c r="U1709" s="358"/>
      <c r="V1709" s="358"/>
    </row>
    <row r="1710" spans="1:22" ht="27.75" customHeight="1">
      <c r="A1710" s="331">
        <v>1</v>
      </c>
      <c r="C1710" s="395"/>
      <c r="D1710" s="335"/>
      <c r="G1710" s="386"/>
      <c r="H1710" s="332"/>
      <c r="I1710" s="397"/>
      <c r="J1710" s="335"/>
      <c r="K1710" s="374">
        <f t="shared" si="69"/>
        <v>0</v>
      </c>
      <c r="L1710" s="329">
        <f>+J1710</f>
        <v>0</v>
      </c>
      <c r="N1710" s="420">
        <f>SUM(G1710:G1710)</f>
        <v>0</v>
      </c>
      <c r="O1710" s="289">
        <f>SUM(J1710:J1710)</f>
        <v>0</v>
      </c>
      <c r="P1710" s="289">
        <f>+N1710+O1710</f>
        <v>0</v>
      </c>
      <c r="S1710" s="291">
        <f>210*3</f>
        <v>630</v>
      </c>
    </row>
    <row r="1711" spans="1:22" ht="27.75" customHeight="1">
      <c r="A1711" s="331">
        <f>+A1710+1</f>
        <v>2</v>
      </c>
      <c r="C1711" s="333"/>
      <c r="D1711" s="998"/>
      <c r="G1711" s="386"/>
      <c r="H1711" s="343"/>
      <c r="I1711" s="343"/>
      <c r="J1711" s="346"/>
      <c r="K1711" s="374">
        <f t="shared" si="69"/>
        <v>0</v>
      </c>
      <c r="L1711" s="329">
        <f>+J1711</f>
        <v>0</v>
      </c>
      <c r="N1711" s="999">
        <f>+G1711</f>
        <v>0</v>
      </c>
      <c r="O1711" s="289">
        <f>+J1711</f>
        <v>0</v>
      </c>
      <c r="P1711" s="289">
        <f>+N1711+O1711</f>
        <v>0</v>
      </c>
      <c r="S1711" s="291">
        <f>210*11</f>
        <v>2310</v>
      </c>
    </row>
    <row r="1712" spans="1:22" ht="27.75" customHeight="1" thickBot="1">
      <c r="B1712" s="955"/>
      <c r="C1712" s="348" t="s">
        <v>26</v>
      </c>
      <c r="D1712" s="349">
        <v>0</v>
      </c>
      <c r="E1712" s="350"/>
      <c r="F1712" s="351"/>
      <c r="G1712" s="352">
        <f>SUM(G1710:G1711)</f>
        <v>0</v>
      </c>
      <c r="H1712" s="353"/>
      <c r="I1712" s="351"/>
      <c r="J1712" s="349">
        <f>SUM(J1710:J1711)</f>
        <v>0</v>
      </c>
      <c r="K1712" s="374">
        <f t="shared" si="69"/>
        <v>0</v>
      </c>
      <c r="L1712" s="929"/>
      <c r="M1712" s="539"/>
      <c r="N1712" s="349">
        <f>SUM(N1710:N1711)</f>
        <v>0</v>
      </c>
      <c r="O1712" s="349">
        <f>SUM(O1710:O1711)</f>
        <v>0</v>
      </c>
      <c r="P1712" s="688">
        <f>+N1712+O1712</f>
        <v>0</v>
      </c>
      <c r="Q1712" s="349">
        <f>SUM(D1710:D1711)</f>
        <v>0</v>
      </c>
    </row>
    <row r="1713" spans="1:22" ht="27.75" customHeight="1" thickTop="1">
      <c r="A1713" s="343"/>
      <c r="B1713" s="901"/>
      <c r="C1713" s="600"/>
      <c r="D1713" s="330"/>
      <c r="E1713" s="289"/>
      <c r="F1713" s="541"/>
      <c r="G1713" s="544"/>
      <c r="H1713" s="601"/>
      <c r="I1713" s="541"/>
      <c r="J1713" s="330"/>
      <c r="K1713" s="374">
        <f t="shared" si="69"/>
        <v>0</v>
      </c>
      <c r="L1713" s="1000">
        <f>+K1712+L1712</f>
        <v>0</v>
      </c>
      <c r="M1713" s="488"/>
      <c r="N1713" s="369"/>
      <c r="O1713" s="330"/>
      <c r="P1713" s="1001"/>
      <c r="Q1713" s="330"/>
    </row>
    <row r="1714" spans="1:22" s="436" customFormat="1" ht="27.75" customHeight="1">
      <c r="A1714" s="425"/>
      <c r="B1714" s="547" t="s">
        <v>147</v>
      </c>
      <c r="C1714" s="1002"/>
      <c r="D1714" s="428"/>
      <c r="E1714" s="434"/>
      <c r="F1714" s="425"/>
      <c r="G1714" s="485"/>
      <c r="H1714" s="427"/>
      <c r="I1714" s="430"/>
      <c r="J1714" s="428"/>
      <c r="K1714" s="374">
        <f t="shared" si="69"/>
        <v>0</v>
      </c>
      <c r="L1714" s="428"/>
      <c r="M1714" s="361"/>
      <c r="N1714" s="358">
        <f>+G1712+J1712</f>
        <v>0</v>
      </c>
      <c r="O1714" s="358">
        <f>+N1714-P1714</f>
        <v>0</v>
      </c>
      <c r="P1714" s="358">
        <v>0</v>
      </c>
      <c r="Q1714" s="357"/>
      <c r="S1714" s="358"/>
      <c r="T1714" s="358"/>
      <c r="U1714" s="358"/>
      <c r="V1714" s="358"/>
    </row>
    <row r="1715" spans="1:22" ht="27.75" customHeight="1">
      <c r="B1715" s="506" t="s">
        <v>66</v>
      </c>
      <c r="C1715" s="578"/>
      <c r="D1715" s="502"/>
      <c r="K1715" s="374">
        <f t="shared" si="69"/>
        <v>0</v>
      </c>
      <c r="L1715" s="374">
        <f t="shared" ref="L1715:L1738" si="70">+J1715</f>
        <v>0</v>
      </c>
    </row>
    <row r="1716" spans="1:22" ht="27.75" customHeight="1">
      <c r="A1716" s="331">
        <v>1</v>
      </c>
      <c r="B1716" s="506" t="s">
        <v>973</v>
      </c>
      <c r="C1716" s="578" t="s">
        <v>974</v>
      </c>
      <c r="D1716" s="502"/>
      <c r="E1716" s="382"/>
      <c r="F1716" s="379"/>
      <c r="G1716" s="386"/>
      <c r="H1716" s="580" t="s">
        <v>975</v>
      </c>
      <c r="I1716" s="331" t="s">
        <v>17</v>
      </c>
      <c r="J1716" s="338">
        <v>234301.93</v>
      </c>
      <c r="K1716" s="374">
        <f t="shared" si="69"/>
        <v>0</v>
      </c>
      <c r="L1716" s="374">
        <f t="shared" si="70"/>
        <v>234301.93</v>
      </c>
    </row>
    <row r="1717" spans="1:22" ht="27.75" customHeight="1">
      <c r="B1717" s="506" t="s">
        <v>3056</v>
      </c>
      <c r="C1717" s="578"/>
      <c r="D1717" s="502"/>
      <c r="E1717" s="382"/>
      <c r="F1717" s="379"/>
      <c r="G1717" s="386"/>
      <c r="K1717" s="374"/>
      <c r="L1717" s="374"/>
    </row>
    <row r="1718" spans="1:22" ht="27.75" customHeight="1">
      <c r="B1718" s="506" t="s">
        <v>3057</v>
      </c>
      <c r="C1718" s="578"/>
      <c r="D1718" s="502"/>
      <c r="E1718" s="382"/>
      <c r="F1718" s="379"/>
      <c r="G1718" s="386"/>
      <c r="K1718" s="374"/>
      <c r="L1718" s="374"/>
    </row>
    <row r="1719" spans="1:22" ht="27.75" customHeight="1">
      <c r="A1719" s="331">
        <v>2</v>
      </c>
      <c r="B1719" s="506" t="s">
        <v>976</v>
      </c>
      <c r="C1719" s="578" t="s">
        <v>977</v>
      </c>
      <c r="D1719" s="502"/>
      <c r="E1719" s="382"/>
      <c r="F1719" s="379"/>
      <c r="G1719" s="386"/>
      <c r="H1719" s="580" t="s">
        <v>810</v>
      </c>
      <c r="I1719" s="331">
        <v>8</v>
      </c>
      <c r="J1719" s="338">
        <v>20667.22</v>
      </c>
      <c r="K1719" s="374">
        <f t="shared" si="69"/>
        <v>0</v>
      </c>
      <c r="L1719" s="374">
        <f t="shared" si="70"/>
        <v>20667.22</v>
      </c>
    </row>
    <row r="1720" spans="1:22" ht="27.75" customHeight="1">
      <c r="B1720" s="506" t="s">
        <v>3058</v>
      </c>
      <c r="C1720" s="578"/>
      <c r="D1720" s="502"/>
      <c r="E1720" s="382"/>
      <c r="F1720" s="379"/>
      <c r="G1720" s="386"/>
      <c r="K1720" s="374"/>
      <c r="L1720" s="374"/>
    </row>
    <row r="1721" spans="1:22" ht="27.75" customHeight="1">
      <c r="B1721" s="506" t="s">
        <v>3059</v>
      </c>
      <c r="C1721" s="578"/>
      <c r="D1721" s="502"/>
      <c r="E1721" s="382"/>
      <c r="F1721" s="379"/>
      <c r="G1721" s="386"/>
      <c r="K1721" s="374"/>
      <c r="L1721" s="374"/>
    </row>
    <row r="1722" spans="1:22" ht="27.75" customHeight="1">
      <c r="A1722" s="331">
        <v>3</v>
      </c>
      <c r="B1722" s="1003" t="s">
        <v>173</v>
      </c>
      <c r="C1722" s="578" t="s">
        <v>1546</v>
      </c>
      <c r="D1722" s="502"/>
      <c r="E1722" s="382"/>
      <c r="F1722" s="379"/>
      <c r="G1722" s="386"/>
      <c r="H1722" s="580" t="s">
        <v>195</v>
      </c>
      <c r="I1722" s="331">
        <v>4</v>
      </c>
      <c r="J1722" s="338">
        <v>14582</v>
      </c>
      <c r="K1722" s="374">
        <f t="shared" si="69"/>
        <v>0</v>
      </c>
      <c r="L1722" s="374">
        <f t="shared" si="70"/>
        <v>14582</v>
      </c>
    </row>
    <row r="1723" spans="1:22" ht="27.75" customHeight="1">
      <c r="A1723" s="331">
        <v>4</v>
      </c>
      <c r="B1723" s="506" t="s">
        <v>3669</v>
      </c>
      <c r="C1723" s="578" t="s">
        <v>3670</v>
      </c>
      <c r="D1723" s="502"/>
      <c r="E1723" s="382" t="s">
        <v>3416</v>
      </c>
      <c r="F1723" s="379">
        <v>1</v>
      </c>
      <c r="G1723" s="386">
        <v>4563</v>
      </c>
      <c r="K1723" s="374">
        <f t="shared" si="69"/>
        <v>526.5702</v>
      </c>
      <c r="L1723" s="374">
        <f t="shared" si="70"/>
        <v>0</v>
      </c>
    </row>
    <row r="1724" spans="1:22" ht="27.75" customHeight="1">
      <c r="A1724" s="331">
        <v>5</v>
      </c>
      <c r="B1724" s="506" t="s">
        <v>278</v>
      </c>
      <c r="C1724" s="578" t="s">
        <v>972</v>
      </c>
      <c r="D1724" s="502">
        <v>4563</v>
      </c>
      <c r="E1724" s="382"/>
      <c r="F1724" s="379"/>
      <c r="G1724" s="386"/>
      <c r="K1724" s="374">
        <f t="shared" si="69"/>
        <v>0</v>
      </c>
      <c r="L1724" s="374">
        <f t="shared" si="70"/>
        <v>0</v>
      </c>
    </row>
    <row r="1725" spans="1:22" ht="27.75" customHeight="1">
      <c r="A1725" s="331">
        <v>6</v>
      </c>
      <c r="B1725" s="506" t="s">
        <v>278</v>
      </c>
      <c r="C1725" s="578" t="s">
        <v>279</v>
      </c>
      <c r="D1725" s="502">
        <v>4563</v>
      </c>
      <c r="E1725" s="382"/>
      <c r="F1725" s="379"/>
      <c r="G1725" s="386"/>
      <c r="K1725" s="374">
        <f t="shared" si="69"/>
        <v>0</v>
      </c>
      <c r="L1725" s="374">
        <f t="shared" si="70"/>
        <v>0</v>
      </c>
      <c r="S1725" s="290"/>
      <c r="T1725" s="290"/>
      <c r="U1725" s="290"/>
      <c r="V1725" s="290"/>
    </row>
    <row r="1726" spans="1:22" ht="27.75" customHeight="1">
      <c r="A1726" s="331">
        <v>7</v>
      </c>
      <c r="B1726" s="506" t="s">
        <v>280</v>
      </c>
      <c r="C1726" s="578" t="s">
        <v>281</v>
      </c>
      <c r="D1726" s="502">
        <v>4563</v>
      </c>
      <c r="E1726" s="382"/>
      <c r="F1726" s="379"/>
      <c r="G1726" s="386"/>
      <c r="K1726" s="374">
        <f t="shared" si="69"/>
        <v>0</v>
      </c>
      <c r="L1726" s="374">
        <f t="shared" si="70"/>
        <v>0</v>
      </c>
      <c r="S1726" s="290"/>
      <c r="T1726" s="290"/>
      <c r="U1726" s="290"/>
      <c r="V1726" s="290"/>
    </row>
    <row r="1727" spans="1:22" ht="27.75" customHeight="1">
      <c r="A1727" s="331">
        <v>8</v>
      </c>
      <c r="B1727" s="506" t="s">
        <v>3671</v>
      </c>
      <c r="C1727" s="578" t="s">
        <v>3672</v>
      </c>
      <c r="D1727" s="502"/>
      <c r="E1727" s="382" t="s">
        <v>3416</v>
      </c>
      <c r="F1727" s="379">
        <v>1</v>
      </c>
      <c r="G1727" s="386">
        <v>9126</v>
      </c>
      <c r="K1727" s="374">
        <f t="shared" si="69"/>
        <v>1053.1404</v>
      </c>
      <c r="L1727" s="374">
        <f t="shared" si="70"/>
        <v>0</v>
      </c>
      <c r="S1727" s="290"/>
      <c r="T1727" s="290"/>
      <c r="U1727" s="290"/>
      <c r="V1727" s="290"/>
    </row>
    <row r="1728" spans="1:22" ht="27.75" customHeight="1">
      <c r="A1728" s="331">
        <v>9</v>
      </c>
      <c r="B1728" s="506" t="s">
        <v>963</v>
      </c>
      <c r="C1728" s="578" t="s">
        <v>282</v>
      </c>
      <c r="D1728" s="502">
        <v>4563</v>
      </c>
      <c r="E1728" s="382"/>
      <c r="F1728" s="379"/>
      <c r="G1728" s="386"/>
      <c r="K1728" s="374">
        <f t="shared" si="69"/>
        <v>0</v>
      </c>
      <c r="L1728" s="374">
        <f t="shared" si="70"/>
        <v>0</v>
      </c>
      <c r="S1728" s="290"/>
      <c r="T1728" s="290"/>
      <c r="U1728" s="290"/>
      <c r="V1728" s="290"/>
    </row>
    <row r="1729" spans="1:22" ht="27.75" customHeight="1">
      <c r="A1729" s="331">
        <v>10</v>
      </c>
      <c r="B1729" s="506" t="s">
        <v>283</v>
      </c>
      <c r="C1729" s="578" t="s">
        <v>284</v>
      </c>
      <c r="D1729" s="502">
        <v>4563</v>
      </c>
      <c r="E1729" s="382"/>
      <c r="F1729" s="379"/>
      <c r="G1729" s="386"/>
      <c r="H1729" s="332"/>
      <c r="I1729" s="397"/>
      <c r="J1729" s="335"/>
      <c r="K1729" s="374">
        <f t="shared" si="69"/>
        <v>0</v>
      </c>
      <c r="L1729" s="374">
        <f t="shared" si="70"/>
        <v>0</v>
      </c>
      <c r="S1729" s="290"/>
      <c r="T1729" s="290"/>
      <c r="U1729" s="290"/>
      <c r="V1729" s="290"/>
    </row>
    <row r="1730" spans="1:22" ht="27.75" customHeight="1">
      <c r="A1730" s="331">
        <v>11</v>
      </c>
      <c r="B1730" s="506" t="s">
        <v>285</v>
      </c>
      <c r="C1730" s="578" t="s">
        <v>286</v>
      </c>
      <c r="D1730" s="502">
        <v>4563</v>
      </c>
      <c r="E1730" s="382"/>
      <c r="F1730" s="379"/>
      <c r="G1730" s="386"/>
      <c r="H1730" s="332"/>
      <c r="I1730" s="397"/>
      <c r="J1730" s="335"/>
      <c r="K1730" s="374">
        <f t="shared" si="69"/>
        <v>0</v>
      </c>
      <c r="L1730" s="374">
        <f t="shared" si="70"/>
        <v>0</v>
      </c>
      <c r="S1730" s="290"/>
      <c r="T1730" s="290"/>
      <c r="U1730" s="290"/>
      <c r="V1730" s="290"/>
    </row>
    <row r="1731" spans="1:22" ht="27.75" customHeight="1">
      <c r="A1731" s="331">
        <v>12</v>
      </c>
      <c r="B1731" s="506" t="s">
        <v>287</v>
      </c>
      <c r="C1731" s="578" t="s">
        <v>288</v>
      </c>
      <c r="D1731" s="502">
        <v>4563</v>
      </c>
      <c r="E1731" s="382"/>
      <c r="F1731" s="379"/>
      <c r="G1731" s="386"/>
      <c r="H1731" s="332"/>
      <c r="I1731" s="397"/>
      <c r="J1731" s="335"/>
      <c r="K1731" s="374">
        <f t="shared" si="69"/>
        <v>0</v>
      </c>
      <c r="L1731" s="374">
        <f t="shared" si="70"/>
        <v>0</v>
      </c>
      <c r="S1731" s="290"/>
      <c r="T1731" s="290"/>
      <c r="U1731" s="290"/>
      <c r="V1731" s="290"/>
    </row>
    <row r="1732" spans="1:22" ht="27.75" customHeight="1">
      <c r="A1732" s="331">
        <v>13</v>
      </c>
      <c r="B1732" s="506" t="s">
        <v>289</v>
      </c>
      <c r="C1732" s="578" t="s">
        <v>290</v>
      </c>
      <c r="D1732" s="502">
        <v>4563</v>
      </c>
      <c r="E1732" s="382"/>
      <c r="F1732" s="379"/>
      <c r="G1732" s="386"/>
      <c r="H1732" s="332"/>
      <c r="I1732" s="397"/>
      <c r="J1732" s="335"/>
      <c r="K1732" s="374">
        <f t="shared" si="69"/>
        <v>0</v>
      </c>
      <c r="L1732" s="374">
        <f t="shared" si="70"/>
        <v>0</v>
      </c>
      <c r="S1732" s="290"/>
      <c r="T1732" s="290"/>
      <c r="U1732" s="290"/>
      <c r="V1732" s="290"/>
    </row>
    <row r="1733" spans="1:22" ht="27.75" customHeight="1">
      <c r="A1733" s="331">
        <v>14</v>
      </c>
      <c r="B1733" s="506" t="s">
        <v>291</v>
      </c>
      <c r="C1733" s="578" t="s">
        <v>292</v>
      </c>
      <c r="D1733" s="502">
        <v>4563</v>
      </c>
      <c r="E1733" s="382"/>
      <c r="F1733" s="379"/>
      <c r="G1733" s="386"/>
      <c r="H1733" s="332"/>
      <c r="I1733" s="397"/>
      <c r="J1733" s="335"/>
      <c r="K1733" s="374">
        <f t="shared" si="69"/>
        <v>0</v>
      </c>
      <c r="L1733" s="374">
        <f t="shared" si="70"/>
        <v>0</v>
      </c>
      <c r="S1733" s="290"/>
      <c r="T1733" s="290"/>
      <c r="U1733" s="290"/>
      <c r="V1733" s="290"/>
    </row>
    <row r="1734" spans="1:22" ht="27.75" customHeight="1">
      <c r="A1734" s="331">
        <v>15</v>
      </c>
      <c r="B1734" s="506" t="s">
        <v>293</v>
      </c>
      <c r="C1734" s="578" t="s">
        <v>294</v>
      </c>
      <c r="D1734" s="502">
        <v>4563</v>
      </c>
      <c r="E1734" s="382"/>
      <c r="F1734" s="379"/>
      <c r="G1734" s="386"/>
      <c r="H1734" s="332"/>
      <c r="I1734" s="397"/>
      <c r="J1734" s="335"/>
      <c r="K1734" s="374">
        <f t="shared" si="69"/>
        <v>0</v>
      </c>
      <c r="L1734" s="374">
        <f t="shared" si="70"/>
        <v>0</v>
      </c>
      <c r="S1734" s="290"/>
      <c r="T1734" s="290"/>
      <c r="U1734" s="290"/>
      <c r="V1734" s="290"/>
    </row>
    <row r="1735" spans="1:22" ht="27.75" customHeight="1">
      <c r="A1735" s="331">
        <v>16</v>
      </c>
      <c r="B1735" s="506" t="s">
        <v>1214</v>
      </c>
      <c r="C1735" s="578" t="s">
        <v>1215</v>
      </c>
      <c r="D1735" s="502"/>
      <c r="E1735" s="382" t="s">
        <v>3416</v>
      </c>
      <c r="F1735" s="379">
        <v>1</v>
      </c>
      <c r="G1735" s="386">
        <v>4563</v>
      </c>
      <c r="H1735" s="332"/>
      <c r="I1735" s="397"/>
      <c r="J1735" s="335"/>
      <c r="K1735" s="374">
        <f t="shared" si="69"/>
        <v>526.5702</v>
      </c>
      <c r="L1735" s="374">
        <f t="shared" si="70"/>
        <v>0</v>
      </c>
      <c r="S1735" s="290"/>
      <c r="T1735" s="290"/>
      <c r="U1735" s="290"/>
      <c r="V1735" s="290"/>
    </row>
    <row r="1736" spans="1:22" ht="27.75" customHeight="1">
      <c r="A1736" s="331">
        <v>17</v>
      </c>
      <c r="B1736" s="506" t="s">
        <v>1216</v>
      </c>
      <c r="C1736" s="578" t="s">
        <v>1217</v>
      </c>
      <c r="D1736" s="502"/>
      <c r="E1736" s="382" t="s">
        <v>3416</v>
      </c>
      <c r="F1736" s="379">
        <v>1</v>
      </c>
      <c r="G1736" s="386">
        <v>4563</v>
      </c>
      <c r="H1736" s="332"/>
      <c r="I1736" s="397"/>
      <c r="J1736" s="335"/>
      <c r="K1736" s="374">
        <f t="shared" si="69"/>
        <v>526.5702</v>
      </c>
      <c r="L1736" s="374">
        <f t="shared" si="70"/>
        <v>0</v>
      </c>
      <c r="Q1736" s="478"/>
      <c r="R1736" s="479"/>
      <c r="S1736" s="658"/>
      <c r="T1736" s="290"/>
      <c r="U1736" s="290"/>
      <c r="V1736" s="290"/>
    </row>
    <row r="1737" spans="1:22" ht="27.75" customHeight="1">
      <c r="B1737" s="506"/>
      <c r="C1737" s="578"/>
      <c r="D1737" s="502"/>
      <c r="E1737" s="382"/>
      <c r="F1737" s="379"/>
      <c r="G1737" s="386"/>
      <c r="H1737" s="332"/>
      <c r="I1737" s="397"/>
      <c r="J1737" s="335"/>
      <c r="K1737" s="374">
        <f t="shared" si="69"/>
        <v>0</v>
      </c>
      <c r="L1737" s="374">
        <f t="shared" si="70"/>
        <v>0</v>
      </c>
      <c r="Q1737" s="478"/>
      <c r="R1737" s="479"/>
      <c r="S1737" s="658"/>
      <c r="T1737" s="290"/>
      <c r="U1737" s="290"/>
      <c r="V1737" s="290"/>
    </row>
    <row r="1738" spans="1:22" ht="27.75" customHeight="1" thickBot="1">
      <c r="B1738" s="506"/>
      <c r="C1738" s="578"/>
      <c r="D1738" s="1004"/>
      <c r="E1738" s="475"/>
      <c r="F1738" s="647"/>
      <c r="G1738" s="386"/>
      <c r="H1738" s="332"/>
      <c r="I1738" s="397"/>
      <c r="J1738" s="335"/>
      <c r="K1738" s="374">
        <f t="shared" si="69"/>
        <v>0</v>
      </c>
      <c r="L1738" s="374">
        <f t="shared" si="70"/>
        <v>0</v>
      </c>
      <c r="Q1738" s="478"/>
      <c r="R1738" s="479"/>
      <c r="S1738" s="658"/>
      <c r="T1738" s="290"/>
      <c r="U1738" s="290"/>
      <c r="V1738" s="290"/>
    </row>
    <row r="1739" spans="1:22" s="562" customFormat="1" ht="27.75" customHeight="1" thickTop="1" thickBot="1">
      <c r="A1739" s="558"/>
      <c r="C1739" s="559"/>
      <c r="D1739" s="561"/>
      <c r="E1739" s="561"/>
      <c r="F1739" s="558"/>
      <c r="G1739" s="1005"/>
      <c r="I1739" s="558"/>
      <c r="J1739" s="564"/>
      <c r="K1739" s="374">
        <f t="shared" si="69"/>
        <v>0</v>
      </c>
      <c r="L1739" s="374">
        <f>+J1739</f>
        <v>0</v>
      </c>
      <c r="M1739" s="565"/>
      <c r="N1739" s="561">
        <f>ROUND(SUM(G1715:G1739),2)</f>
        <v>22815</v>
      </c>
      <c r="O1739" s="561">
        <f>ROUND(SUM(J1715:J1739),2)</f>
        <v>269551.15000000002</v>
      </c>
      <c r="P1739" s="561">
        <f>+N1739+O1739</f>
        <v>292366.15000000002</v>
      </c>
      <c r="Q1739" s="1006">
        <f>SUM(D1715:D1739)</f>
        <v>45630</v>
      </c>
      <c r="R1739" s="568" t="s">
        <v>66</v>
      </c>
      <c r="S1739" s="1007"/>
      <c r="T1739" s="561"/>
      <c r="U1739" s="566">
        <f>+J1739</f>
        <v>0</v>
      </c>
      <c r="V1739" s="561"/>
    </row>
    <row r="1740" spans="1:22" ht="27.75" customHeight="1" thickTop="1">
      <c r="B1740" s="584" t="s">
        <v>1996</v>
      </c>
      <c r="C1740" s="578"/>
      <c r="D1740" s="1008"/>
      <c r="E1740" s="475"/>
      <c r="F1740" s="647"/>
      <c r="H1740" s="506"/>
      <c r="K1740" s="374">
        <f t="shared" si="69"/>
        <v>0</v>
      </c>
      <c r="L1740" s="374">
        <f>+J1740</f>
        <v>0</v>
      </c>
      <c r="N1740" s="382"/>
      <c r="O1740" s="382"/>
      <c r="P1740" s="382"/>
    </row>
    <row r="1741" spans="1:22" ht="27.75" customHeight="1">
      <c r="B1741" s="584"/>
      <c r="C1741" s="578"/>
      <c r="D1741" s="1008"/>
      <c r="E1741" s="475"/>
      <c r="F1741" s="647"/>
      <c r="H1741" s="506"/>
      <c r="K1741" s="374">
        <f t="shared" si="69"/>
        <v>0</v>
      </c>
      <c r="L1741" s="374">
        <f>+J1741</f>
        <v>0</v>
      </c>
      <c r="N1741" s="382"/>
      <c r="O1741" s="382"/>
      <c r="P1741" s="382"/>
    </row>
    <row r="1742" spans="1:22" ht="27.75" customHeight="1" thickBot="1">
      <c r="B1742" s="584"/>
      <c r="C1742" s="578"/>
      <c r="D1742" s="1008"/>
      <c r="E1742" s="475"/>
      <c r="F1742" s="647"/>
      <c r="H1742" s="506"/>
      <c r="K1742" s="374">
        <f t="shared" si="69"/>
        <v>0</v>
      </c>
      <c r="L1742" s="374">
        <f>+J1742</f>
        <v>0</v>
      </c>
      <c r="N1742" s="382"/>
      <c r="O1742" s="382"/>
      <c r="P1742" s="382"/>
    </row>
    <row r="1743" spans="1:22" ht="27.75" customHeight="1" thickTop="1">
      <c r="B1743" s="584"/>
      <c r="C1743" s="578"/>
      <c r="D1743" s="1008"/>
      <c r="E1743" s="475"/>
      <c r="F1743" s="647"/>
      <c r="H1743" s="506"/>
      <c r="K1743" s="374">
        <f t="shared" si="69"/>
        <v>0</v>
      </c>
      <c r="L1743" s="374">
        <f>+J1743</f>
        <v>0</v>
      </c>
      <c r="N1743" s="382"/>
      <c r="O1743" s="382"/>
      <c r="P1743" s="382"/>
      <c r="Q1743" s="478"/>
      <c r="R1743" s="1009"/>
      <c r="S1743" s="297"/>
    </row>
    <row r="1744" spans="1:22" s="570" customFormat="1" ht="27.75" customHeight="1" thickBot="1">
      <c r="A1744" s="558"/>
      <c r="B1744" s="1010"/>
      <c r="C1744" s="1010"/>
      <c r="D1744" s="561"/>
      <c r="E1744" s="561"/>
      <c r="F1744" s="558"/>
      <c r="G1744" s="1005"/>
      <c r="H1744" s="1011"/>
      <c r="I1744" s="558"/>
      <c r="J1744" s="564"/>
      <c r="K1744" s="374">
        <f t="shared" si="69"/>
        <v>0</v>
      </c>
      <c r="L1744" s="564">
        <f t="shared" ref="L1744:L1753" si="71">+J1744</f>
        <v>0</v>
      </c>
      <c r="M1744" s="565"/>
      <c r="N1744" s="561">
        <f>SUM(G1741:G1744)</f>
        <v>0</v>
      </c>
      <c r="O1744" s="561">
        <f>SUM(J1741:J1744)</f>
        <v>0</v>
      </c>
      <c r="P1744" s="561">
        <f>+N1744+O1744</f>
        <v>0</v>
      </c>
      <c r="Q1744" s="567">
        <f>SUM(D1741:D1744)</f>
        <v>0</v>
      </c>
      <c r="R1744" s="1012" t="s">
        <v>194</v>
      </c>
      <c r="S1744" s="569"/>
      <c r="T1744" s="566"/>
      <c r="U1744" s="566"/>
      <c r="V1744" s="566"/>
    </row>
    <row r="1745" spans="1:22" s="385" customFormat="1" ht="27.75" customHeight="1" thickTop="1">
      <c r="A1745" s="331"/>
      <c r="B1745" s="506" t="s">
        <v>971</v>
      </c>
      <c r="C1745" s="584"/>
      <c r="D1745" s="502"/>
      <c r="E1745" s="382"/>
      <c r="F1745" s="379"/>
      <c r="G1745" s="386"/>
      <c r="H1745" s="1013"/>
      <c r="I1745" s="379"/>
      <c r="J1745" s="374"/>
      <c r="K1745" s="374">
        <f t="shared" si="69"/>
        <v>0</v>
      </c>
      <c r="L1745" s="374">
        <f t="shared" si="71"/>
        <v>0</v>
      </c>
      <c r="M1745" s="330"/>
      <c r="N1745" s="289"/>
      <c r="O1745" s="289"/>
      <c r="P1745" s="289"/>
      <c r="Q1745" s="288"/>
      <c r="R1745" s="901"/>
      <c r="S1745" s="291"/>
      <c r="T1745" s="291"/>
      <c r="U1745" s="291"/>
      <c r="V1745" s="291"/>
    </row>
    <row r="1746" spans="1:22" s="385" customFormat="1" ht="27.75" customHeight="1">
      <c r="A1746" s="331">
        <v>1</v>
      </c>
      <c r="B1746" s="1361" t="s">
        <v>2021</v>
      </c>
      <c r="C1746" s="501" t="s">
        <v>295</v>
      </c>
      <c r="D1746" s="1014">
        <v>2645</v>
      </c>
      <c r="E1746" s="382"/>
      <c r="F1746" s="379"/>
      <c r="G1746" s="386"/>
      <c r="H1746" s="506"/>
      <c r="I1746" s="379"/>
      <c r="J1746" s="374"/>
      <c r="K1746" s="374">
        <f t="shared" si="69"/>
        <v>0</v>
      </c>
      <c r="L1746" s="374">
        <f t="shared" si="71"/>
        <v>0</v>
      </c>
      <c r="M1746" s="330"/>
      <c r="N1746" s="289"/>
      <c r="O1746" s="289"/>
      <c r="P1746" s="289"/>
      <c r="Q1746" s="288"/>
      <c r="S1746" s="291"/>
      <c r="T1746" s="291"/>
      <c r="U1746" s="291"/>
      <c r="V1746" s="291"/>
    </row>
    <row r="1747" spans="1:22" s="385" customFormat="1" ht="27.75" customHeight="1">
      <c r="A1747" s="331"/>
      <c r="B1747" s="577"/>
      <c r="C1747" s="578"/>
      <c r="D1747" s="502"/>
      <c r="E1747" s="382"/>
      <c r="F1747" s="379"/>
      <c r="G1747" s="386"/>
      <c r="H1747" s="506"/>
      <c r="I1747" s="379"/>
      <c r="J1747" s="374"/>
      <c r="K1747" s="374">
        <f t="shared" si="69"/>
        <v>0</v>
      </c>
      <c r="L1747" s="374">
        <f t="shared" si="71"/>
        <v>0</v>
      </c>
      <c r="M1747" s="330"/>
      <c r="N1747" s="289"/>
      <c r="O1747" s="289"/>
      <c r="P1747" s="289"/>
      <c r="Q1747" s="288"/>
      <c r="S1747" s="291"/>
      <c r="T1747" s="291"/>
      <c r="U1747" s="291"/>
      <c r="V1747" s="291"/>
    </row>
    <row r="1748" spans="1:22" s="385" customFormat="1" ht="27.75" customHeight="1" thickBot="1">
      <c r="A1748" s="331"/>
      <c r="B1748" s="577"/>
      <c r="C1748" s="578"/>
      <c r="D1748" s="502"/>
      <c r="E1748" s="382"/>
      <c r="F1748" s="379"/>
      <c r="G1748" s="386"/>
      <c r="H1748" s="506"/>
      <c r="I1748" s="379"/>
      <c r="J1748" s="374"/>
      <c r="K1748" s="374">
        <f t="shared" si="69"/>
        <v>0</v>
      </c>
      <c r="L1748" s="374">
        <f t="shared" si="71"/>
        <v>0</v>
      </c>
      <c r="M1748" s="330"/>
      <c r="N1748" s="289"/>
      <c r="O1748" s="289"/>
      <c r="P1748" s="289"/>
      <c r="Q1748" s="288"/>
      <c r="S1748" s="291"/>
      <c r="T1748" s="291"/>
      <c r="U1748" s="291"/>
      <c r="V1748" s="291"/>
    </row>
    <row r="1749" spans="1:22" s="570" customFormat="1" ht="27.75" customHeight="1" thickTop="1" thickBot="1">
      <c r="A1749" s="558"/>
      <c r="B1749" s="1015"/>
      <c r="C1749" s="1016"/>
      <c r="D1749" s="564"/>
      <c r="E1749" s="561"/>
      <c r="F1749" s="558"/>
      <c r="G1749" s="1005"/>
      <c r="H1749" s="1011"/>
      <c r="I1749" s="558"/>
      <c r="J1749" s="564"/>
      <c r="K1749" s="374">
        <f t="shared" si="69"/>
        <v>0</v>
      </c>
      <c r="L1749" s="564">
        <f t="shared" si="71"/>
        <v>0</v>
      </c>
      <c r="M1749" s="565"/>
      <c r="N1749" s="561">
        <f>SUM(G1745:G1749)</f>
        <v>0</v>
      </c>
      <c r="O1749" s="561">
        <f>SUM(J1745:J1749)</f>
        <v>0</v>
      </c>
      <c r="P1749" s="561">
        <f>+N1749+O1749</f>
        <v>0</v>
      </c>
      <c r="Q1749" s="1006">
        <f>SUM(D1745:D1749)</f>
        <v>2645</v>
      </c>
      <c r="R1749" s="1017" t="s">
        <v>163</v>
      </c>
      <c r="S1749" s="569"/>
      <c r="T1749" s="566"/>
      <c r="U1749" s="566"/>
      <c r="V1749" s="566"/>
    </row>
    <row r="1750" spans="1:22" ht="27.75" customHeight="1" thickTop="1">
      <c r="B1750" s="1018" t="s">
        <v>52</v>
      </c>
      <c r="C1750" s="377"/>
      <c r="D1750" s="338"/>
      <c r="G1750" s="386"/>
      <c r="K1750" s="374">
        <f t="shared" si="69"/>
        <v>0</v>
      </c>
      <c r="L1750" s="374">
        <f t="shared" si="71"/>
        <v>0</v>
      </c>
      <c r="Q1750" s="478"/>
      <c r="R1750" s="1019"/>
      <c r="S1750" s="287"/>
      <c r="T1750" s="289"/>
      <c r="U1750" s="289"/>
      <c r="V1750" s="289"/>
    </row>
    <row r="1751" spans="1:22" ht="27.75" customHeight="1">
      <c r="A1751" s="331">
        <v>1</v>
      </c>
      <c r="B1751" s="1362" t="s">
        <v>92</v>
      </c>
      <c r="C1751" s="1020" t="s">
        <v>76</v>
      </c>
      <c r="D1751" s="1008"/>
      <c r="E1751" s="1363" t="s">
        <v>3667</v>
      </c>
      <c r="F1751" s="1364">
        <v>1</v>
      </c>
      <c r="G1751" s="1021">
        <v>16486.560000000012</v>
      </c>
      <c r="K1751" s="374">
        <f>G1751*11.54/100</f>
        <v>1902.5490240000013</v>
      </c>
      <c r="L1751" s="374">
        <f t="shared" si="71"/>
        <v>0</v>
      </c>
      <c r="Q1751" s="478"/>
      <c r="R1751" s="1019"/>
      <c r="S1751" s="287"/>
      <c r="T1751" s="289"/>
      <c r="U1751" s="289"/>
      <c r="V1751" s="289"/>
    </row>
    <row r="1752" spans="1:22" ht="27.75" customHeight="1" thickBot="1">
      <c r="B1752" s="1022"/>
      <c r="C1752" s="1020"/>
      <c r="D1752" s="1008"/>
      <c r="E1752" s="1023"/>
      <c r="F1752" s="1024"/>
      <c r="G1752" s="1021"/>
      <c r="J1752" s="374"/>
      <c r="K1752" s="374">
        <f t="shared" si="69"/>
        <v>0</v>
      </c>
      <c r="L1752" s="374">
        <f t="shared" si="71"/>
        <v>0</v>
      </c>
    </row>
    <row r="1753" spans="1:22" s="570" customFormat="1" ht="27.75" customHeight="1" thickTop="1" thickBot="1">
      <c r="A1753" s="558"/>
      <c r="B1753" s="1025"/>
      <c r="C1753" s="560"/>
      <c r="D1753" s="1026"/>
      <c r="E1753" s="1027"/>
      <c r="F1753" s="558"/>
      <c r="G1753" s="1028"/>
      <c r="H1753" s="1011"/>
      <c r="I1753" s="558"/>
      <c r="J1753" s="564"/>
      <c r="K1753" s="374">
        <f t="shared" si="69"/>
        <v>0</v>
      </c>
      <c r="L1753" s="564">
        <f t="shared" si="71"/>
        <v>0</v>
      </c>
      <c r="M1753" s="565"/>
      <c r="N1753" s="566">
        <f>ROUND(SUM(G1751:G1753),2)</f>
        <v>16486.560000000001</v>
      </c>
      <c r="O1753" s="566">
        <f>ROUND(SUM(J1751:J1753),2)</f>
        <v>0</v>
      </c>
      <c r="P1753" s="566">
        <f>+N1753+O1753</f>
        <v>16486.560000000001</v>
      </c>
      <c r="Q1753" s="567">
        <f>SUM(D1751:D1753)</f>
        <v>0</v>
      </c>
      <c r="R1753" s="568" t="s">
        <v>52</v>
      </c>
      <c r="S1753" s="569"/>
      <c r="T1753" s="566"/>
      <c r="U1753" s="566"/>
      <c r="V1753" s="566"/>
    </row>
    <row r="1754" spans="1:22" s="1031" customFormat="1" ht="27.75" customHeight="1" thickTop="1">
      <c r="A1754" s="379"/>
      <c r="B1754" s="507" t="s">
        <v>53</v>
      </c>
      <c r="C1754" s="1029"/>
      <c r="D1754" s="1014"/>
      <c r="E1754" s="382"/>
      <c r="F1754" s="379"/>
      <c r="G1754" s="336"/>
      <c r="H1754" s="1013"/>
      <c r="I1754" s="379"/>
      <c r="J1754" s="374"/>
      <c r="K1754" s="374">
        <f t="shared" si="69"/>
        <v>0</v>
      </c>
      <c r="L1754" s="374">
        <f t="shared" ref="L1754:L1759" si="72">+J1754</f>
        <v>0</v>
      </c>
      <c r="M1754" s="329"/>
      <c r="N1754" s="288"/>
      <c r="O1754" s="288"/>
      <c r="P1754" s="288"/>
      <c r="Q1754" s="288"/>
      <c r="R1754" s="385"/>
      <c r="S1754" s="288"/>
      <c r="T1754" s="1030"/>
      <c r="U1754" s="1030"/>
      <c r="V1754" s="1030"/>
    </row>
    <row r="1755" spans="1:22" s="1031" customFormat="1" ht="27.75" customHeight="1">
      <c r="A1755" s="379">
        <v>1</v>
      </c>
      <c r="B1755" s="507" t="s">
        <v>1537</v>
      </c>
      <c r="C1755" s="1029" t="s">
        <v>1538</v>
      </c>
      <c r="D1755" s="1032"/>
      <c r="E1755" s="475" t="s">
        <v>3416</v>
      </c>
      <c r="F1755" s="647">
        <v>1</v>
      </c>
      <c r="G1755" s="336">
        <v>321</v>
      </c>
      <c r="H1755" s="1013"/>
      <c r="I1755" s="379"/>
      <c r="J1755" s="374"/>
      <c r="K1755" s="374">
        <f t="shared" si="69"/>
        <v>37.043399999999998</v>
      </c>
      <c r="L1755" s="374">
        <f t="shared" si="72"/>
        <v>0</v>
      </c>
      <c r="M1755" s="329"/>
      <c r="N1755" s="288"/>
      <c r="O1755" s="288"/>
      <c r="P1755" s="288"/>
      <c r="Q1755" s="553"/>
      <c r="R1755" s="525"/>
      <c r="S1755" s="554"/>
      <c r="T1755" s="1030"/>
      <c r="U1755" s="1030"/>
      <c r="V1755" s="1030"/>
    </row>
    <row r="1756" spans="1:22" s="1031" customFormat="1" ht="27.75" customHeight="1">
      <c r="A1756" s="379">
        <v>2</v>
      </c>
      <c r="B1756" s="507" t="s">
        <v>1539</v>
      </c>
      <c r="C1756" s="1029" t="s">
        <v>1540</v>
      </c>
      <c r="D1756" s="1032">
        <v>642</v>
      </c>
      <c r="E1756" s="475"/>
      <c r="F1756" s="647"/>
      <c r="G1756" s="336"/>
      <c r="H1756" s="1013"/>
      <c r="I1756" s="379"/>
      <c r="J1756" s="374"/>
      <c r="K1756" s="374">
        <f t="shared" si="69"/>
        <v>0</v>
      </c>
      <c r="L1756" s="374">
        <f t="shared" si="72"/>
        <v>0</v>
      </c>
      <c r="M1756" s="329"/>
      <c r="N1756" s="288"/>
      <c r="O1756" s="288"/>
      <c r="P1756" s="288"/>
      <c r="Q1756" s="553"/>
      <c r="R1756" s="525"/>
      <c r="S1756" s="554"/>
      <c r="T1756" s="1030"/>
      <c r="U1756" s="1030"/>
      <c r="V1756" s="1030"/>
    </row>
    <row r="1757" spans="1:22" s="1031" customFormat="1" ht="27.75" customHeight="1">
      <c r="A1757" s="379">
        <v>3</v>
      </c>
      <c r="B1757" s="507" t="s">
        <v>1213</v>
      </c>
      <c r="C1757" s="1029" t="s">
        <v>1541</v>
      </c>
      <c r="D1757" s="1032">
        <v>642</v>
      </c>
      <c r="E1757" s="475"/>
      <c r="F1757" s="647"/>
      <c r="G1757" s="336"/>
      <c r="H1757" s="1013"/>
      <c r="I1757" s="379"/>
      <c r="J1757" s="374"/>
      <c r="K1757" s="374">
        <f t="shared" si="69"/>
        <v>0</v>
      </c>
      <c r="L1757" s="374">
        <f t="shared" si="72"/>
        <v>0</v>
      </c>
      <c r="M1757" s="329"/>
      <c r="N1757" s="288"/>
      <c r="O1757" s="288"/>
      <c r="P1757" s="288"/>
      <c r="Q1757" s="553"/>
      <c r="R1757" s="525"/>
      <c r="S1757" s="554"/>
      <c r="T1757" s="1030"/>
      <c r="U1757" s="1030"/>
      <c r="V1757" s="1030"/>
    </row>
    <row r="1758" spans="1:22" s="1031" customFormat="1" ht="27.75" customHeight="1">
      <c r="A1758" s="379"/>
      <c r="B1758" s="507" t="s">
        <v>597</v>
      </c>
      <c r="C1758" s="1029" t="s">
        <v>2587</v>
      </c>
      <c r="D1758" s="1032"/>
      <c r="E1758" s="475" t="s">
        <v>3668</v>
      </c>
      <c r="F1758" s="647">
        <v>1</v>
      </c>
      <c r="G1758" s="336">
        <v>3145.8</v>
      </c>
      <c r="H1758" s="1013"/>
      <c r="I1758" s="379"/>
      <c r="J1758" s="374"/>
      <c r="K1758" s="374">
        <f t="shared" si="69"/>
        <v>363.02531999999997</v>
      </c>
      <c r="L1758" s="374">
        <f t="shared" si="72"/>
        <v>0</v>
      </c>
      <c r="M1758" s="329"/>
      <c r="N1758" s="288"/>
      <c r="O1758" s="288"/>
      <c r="P1758" s="288"/>
      <c r="Q1758" s="553"/>
      <c r="R1758" s="525"/>
      <c r="S1758" s="554"/>
      <c r="T1758" s="1030"/>
      <c r="U1758" s="1030"/>
      <c r="V1758" s="1030"/>
    </row>
    <row r="1759" spans="1:22" s="1031" customFormat="1" ht="27.75" customHeight="1" thickBot="1">
      <c r="A1759" s="379"/>
      <c r="B1759" s="507"/>
      <c r="C1759" s="1029"/>
      <c r="D1759" s="1032"/>
      <c r="E1759" s="475"/>
      <c r="F1759" s="647"/>
      <c r="G1759" s="336"/>
      <c r="H1759" s="1013"/>
      <c r="I1759" s="379"/>
      <c r="J1759" s="374"/>
      <c r="K1759" s="374">
        <f t="shared" si="69"/>
        <v>0</v>
      </c>
      <c r="L1759" s="374">
        <f t="shared" si="72"/>
        <v>0</v>
      </c>
      <c r="M1759" s="329"/>
      <c r="N1759" s="288"/>
      <c r="O1759" s="288"/>
      <c r="P1759" s="288"/>
      <c r="Q1759" s="553"/>
      <c r="R1759" s="525"/>
      <c r="S1759" s="554"/>
      <c r="T1759" s="1030"/>
      <c r="U1759" s="1030"/>
      <c r="V1759" s="1030"/>
    </row>
    <row r="1760" spans="1:22" s="570" customFormat="1" ht="27.75" customHeight="1" thickTop="1" thickBot="1">
      <c r="A1760" s="558"/>
      <c r="B1760" s="1033"/>
      <c r="C1760" s="1033"/>
      <c r="D1760" s="1034"/>
      <c r="E1760" s="561"/>
      <c r="F1760" s="558"/>
      <c r="G1760" s="1028"/>
      <c r="H1760" s="1011"/>
      <c r="I1760" s="558"/>
      <c r="J1760" s="564"/>
      <c r="K1760" s="374">
        <f t="shared" si="69"/>
        <v>0</v>
      </c>
      <c r="L1760" s="564">
        <f t="shared" ref="L1760:L1804" si="73">+J1760</f>
        <v>0</v>
      </c>
      <c r="M1760" s="565"/>
      <c r="N1760" s="566">
        <f>SUM(G1754:G1760)</f>
        <v>3466.8</v>
      </c>
      <c r="O1760" s="566">
        <f>SUM(J1754:J1760)</f>
        <v>0</v>
      </c>
      <c r="P1760" s="566">
        <f>+N1760+O1760</f>
        <v>3466.8</v>
      </c>
      <c r="Q1760" s="1006">
        <f>SUM(D1754:D1759)</f>
        <v>1284</v>
      </c>
      <c r="R1760" s="568" t="s">
        <v>53</v>
      </c>
      <c r="S1760" s="1035"/>
    </row>
    <row r="1761" spans="1:22" ht="27.75" customHeight="1" thickTop="1">
      <c r="B1761" s="506" t="s">
        <v>54</v>
      </c>
      <c r="C1761" s="578"/>
      <c r="D1761" s="1008"/>
      <c r="E1761" s="1036"/>
      <c r="F1761" s="647"/>
      <c r="H1761" s="1013"/>
      <c r="I1761" s="379"/>
      <c r="J1761" s="374"/>
      <c r="K1761" s="374">
        <f t="shared" si="69"/>
        <v>0</v>
      </c>
      <c r="L1761" s="374">
        <f t="shared" si="73"/>
        <v>0</v>
      </c>
      <c r="S1761" s="290"/>
      <c r="T1761" s="290"/>
      <c r="U1761" s="290"/>
      <c r="V1761" s="290"/>
    </row>
    <row r="1762" spans="1:22" ht="27.75" customHeight="1">
      <c r="A1762" s="331">
        <v>1</v>
      </c>
      <c r="B1762" s="506" t="s">
        <v>186</v>
      </c>
      <c r="C1762" s="578" t="s">
        <v>143</v>
      </c>
      <c r="D1762" s="1008"/>
      <c r="E1762" s="1036" t="s">
        <v>3667</v>
      </c>
      <c r="F1762" s="647">
        <v>1</v>
      </c>
      <c r="G1762" s="336">
        <v>14825.39</v>
      </c>
      <c r="H1762" s="1013"/>
      <c r="I1762" s="379"/>
      <c r="J1762" s="374"/>
      <c r="K1762" s="374">
        <f t="shared" si="69"/>
        <v>1710.8500059999997</v>
      </c>
      <c r="L1762" s="374">
        <f t="shared" si="73"/>
        <v>0</v>
      </c>
      <c r="S1762" s="290"/>
      <c r="T1762" s="290"/>
      <c r="U1762" s="290"/>
      <c r="V1762" s="290"/>
    </row>
    <row r="1763" spans="1:22" ht="27.75" customHeight="1">
      <c r="A1763" s="331">
        <v>2</v>
      </c>
      <c r="B1763" s="506" t="s">
        <v>184</v>
      </c>
      <c r="C1763" s="578" t="s">
        <v>143</v>
      </c>
      <c r="D1763" s="1008"/>
      <c r="E1763" s="1036" t="s">
        <v>3667</v>
      </c>
      <c r="F1763" s="647">
        <v>1</v>
      </c>
      <c r="G1763" s="336">
        <v>7932.7099999999991</v>
      </c>
      <c r="H1763" s="1013"/>
      <c r="I1763" s="379"/>
      <c r="J1763" s="374"/>
      <c r="K1763" s="374">
        <f t="shared" si="69"/>
        <v>915.43473399999993</v>
      </c>
      <c r="L1763" s="374">
        <f t="shared" si="73"/>
        <v>0</v>
      </c>
      <c r="S1763" s="290"/>
      <c r="T1763" s="290"/>
      <c r="U1763" s="290"/>
      <c r="V1763" s="290"/>
    </row>
    <row r="1764" spans="1:22" ht="27.75" customHeight="1">
      <c r="A1764" s="331">
        <v>3</v>
      </c>
      <c r="B1764" s="506" t="s">
        <v>2701</v>
      </c>
      <c r="C1764" s="578" t="s">
        <v>143</v>
      </c>
      <c r="D1764" s="1008"/>
      <c r="E1764" s="1036" t="s">
        <v>3667</v>
      </c>
      <c r="F1764" s="647">
        <v>1</v>
      </c>
      <c r="G1764" s="336">
        <v>1251.9000000000001</v>
      </c>
      <c r="H1764" s="1013"/>
      <c r="I1764" s="379"/>
      <c r="J1764" s="374"/>
      <c r="K1764" s="374">
        <f t="shared" si="69"/>
        <v>144.46925999999999</v>
      </c>
      <c r="L1764" s="374">
        <f t="shared" si="73"/>
        <v>0</v>
      </c>
      <c r="S1764" s="290"/>
      <c r="T1764" s="290"/>
      <c r="U1764" s="290"/>
      <c r="V1764" s="290"/>
    </row>
    <row r="1765" spans="1:22" ht="27.75" customHeight="1">
      <c r="A1765" s="331">
        <v>4</v>
      </c>
      <c r="B1765" s="506" t="s">
        <v>2780</v>
      </c>
      <c r="C1765" s="578" t="s">
        <v>143</v>
      </c>
      <c r="D1765" s="1008"/>
      <c r="E1765" s="1036" t="s">
        <v>3668</v>
      </c>
      <c r="F1765" s="647">
        <v>1</v>
      </c>
      <c r="G1765" s="336">
        <v>544.1</v>
      </c>
      <c r="H1765" s="1013"/>
      <c r="I1765" s="379"/>
      <c r="J1765" s="374"/>
      <c r="K1765" s="374">
        <f t="shared" si="69"/>
        <v>62.789139999999996</v>
      </c>
      <c r="L1765" s="374">
        <f t="shared" si="73"/>
        <v>0</v>
      </c>
      <c r="S1765" s="290"/>
      <c r="T1765" s="290"/>
      <c r="U1765" s="290"/>
      <c r="V1765" s="290"/>
    </row>
    <row r="1766" spans="1:22" ht="27.75" customHeight="1">
      <c r="A1766" s="331">
        <v>5</v>
      </c>
      <c r="B1766" s="506" t="s">
        <v>236</v>
      </c>
      <c r="C1766" s="578" t="s">
        <v>143</v>
      </c>
      <c r="D1766" s="1008"/>
      <c r="E1766" s="1036" t="s">
        <v>3668</v>
      </c>
      <c r="F1766" s="647">
        <v>1</v>
      </c>
      <c r="G1766" s="336">
        <v>2585.6599999999994</v>
      </c>
      <c r="H1766" s="1013"/>
      <c r="I1766" s="379"/>
      <c r="J1766" s="374"/>
      <c r="K1766" s="374">
        <f t="shared" ref="K1766:K1846" si="74">G1766*11.54/100</f>
        <v>298.38516399999992</v>
      </c>
      <c r="L1766" s="374">
        <f t="shared" si="73"/>
        <v>0</v>
      </c>
      <c r="S1766" s="290"/>
      <c r="T1766" s="290"/>
      <c r="U1766" s="290"/>
      <c r="V1766" s="290"/>
    </row>
    <row r="1767" spans="1:22" ht="27.75" customHeight="1">
      <c r="A1767" s="331">
        <v>6</v>
      </c>
      <c r="B1767" s="506" t="s">
        <v>877</v>
      </c>
      <c r="C1767" s="578" t="s">
        <v>143</v>
      </c>
      <c r="D1767" s="1008"/>
      <c r="E1767" s="1036" t="s">
        <v>3668</v>
      </c>
      <c r="F1767" s="647">
        <v>1</v>
      </c>
      <c r="G1767" s="336">
        <v>392.42</v>
      </c>
      <c r="H1767" s="1013"/>
      <c r="I1767" s="379"/>
      <c r="J1767" s="374"/>
      <c r="K1767" s="374">
        <f t="shared" si="74"/>
        <v>45.285267999999995</v>
      </c>
      <c r="L1767" s="374">
        <f t="shared" si="73"/>
        <v>0</v>
      </c>
      <c r="S1767" s="290"/>
      <c r="T1767" s="290"/>
      <c r="U1767" s="290"/>
      <c r="V1767" s="290"/>
    </row>
    <row r="1768" spans="1:22" ht="27.75" customHeight="1">
      <c r="A1768" s="331">
        <v>7</v>
      </c>
      <c r="B1768" s="506" t="s">
        <v>1219</v>
      </c>
      <c r="C1768" s="578" t="s">
        <v>143</v>
      </c>
      <c r="D1768" s="1008"/>
      <c r="E1768" s="1036" t="s">
        <v>3668</v>
      </c>
      <c r="F1768" s="647">
        <v>1</v>
      </c>
      <c r="G1768" s="336">
        <v>279.2700000000001</v>
      </c>
      <c r="H1768" s="1013"/>
      <c r="I1768" s="379"/>
      <c r="J1768" s="374"/>
      <c r="K1768" s="374">
        <f t="shared" si="74"/>
        <v>32.227758000000009</v>
      </c>
      <c r="L1768" s="374">
        <f t="shared" si="73"/>
        <v>0</v>
      </c>
      <c r="S1768" s="290"/>
      <c r="T1768" s="290"/>
      <c r="U1768" s="290"/>
      <c r="V1768" s="290"/>
    </row>
    <row r="1769" spans="1:22" ht="27.75" customHeight="1">
      <c r="A1769" s="331">
        <v>8</v>
      </c>
      <c r="B1769" s="506" t="s">
        <v>2779</v>
      </c>
      <c r="C1769" s="578" t="s">
        <v>143</v>
      </c>
      <c r="D1769" s="1008"/>
      <c r="E1769" s="1036" t="s">
        <v>3668</v>
      </c>
      <c r="F1769" s="647">
        <v>1</v>
      </c>
      <c r="G1769" s="336">
        <v>24710.58</v>
      </c>
      <c r="H1769" s="1013"/>
      <c r="I1769" s="379"/>
      <c r="J1769" s="374"/>
      <c r="K1769" s="374">
        <f t="shared" si="74"/>
        <v>2851.6009319999998</v>
      </c>
      <c r="L1769" s="374">
        <f t="shared" si="73"/>
        <v>0</v>
      </c>
      <c r="S1769" s="290"/>
      <c r="T1769" s="290"/>
      <c r="U1769" s="290"/>
      <c r="V1769" s="290"/>
    </row>
    <row r="1770" spans="1:22" ht="27.75" customHeight="1" thickBot="1">
      <c r="B1770" s="506"/>
      <c r="C1770" s="578"/>
      <c r="D1770" s="1008"/>
      <c r="E1770" s="1036"/>
      <c r="F1770" s="647"/>
      <c r="H1770" s="1013"/>
      <c r="I1770" s="379"/>
      <c r="J1770" s="374"/>
      <c r="K1770" s="374">
        <f t="shared" si="74"/>
        <v>0</v>
      </c>
      <c r="L1770" s="374">
        <f t="shared" si="73"/>
        <v>0</v>
      </c>
      <c r="Q1770" s="478"/>
      <c r="R1770" s="479"/>
      <c r="S1770" s="658"/>
      <c r="T1770" s="290"/>
      <c r="U1770" s="290"/>
      <c r="V1770" s="290"/>
    </row>
    <row r="1771" spans="1:22" s="570" customFormat="1" ht="27.75" customHeight="1" thickTop="1" thickBot="1">
      <c r="A1771" s="558"/>
      <c r="B1771" s="562"/>
      <c r="C1771" s="560"/>
      <c r="D1771" s="1026"/>
      <c r="E1771" s="1027"/>
      <c r="F1771" s="558"/>
      <c r="G1771" s="1028"/>
      <c r="H1771" s="562"/>
      <c r="I1771" s="563"/>
      <c r="J1771" s="561"/>
      <c r="K1771" s="374">
        <f t="shared" si="74"/>
        <v>0</v>
      </c>
      <c r="L1771" s="564">
        <f t="shared" si="73"/>
        <v>0</v>
      </c>
      <c r="M1771" s="565"/>
      <c r="N1771" s="566">
        <f>SUM(G1761:G1771)</f>
        <v>52522.03</v>
      </c>
      <c r="O1771" s="566">
        <f>SUM(J1761:J1771)</f>
        <v>0</v>
      </c>
      <c r="P1771" s="566">
        <f>+N1771+O1771</f>
        <v>52522.03</v>
      </c>
      <c r="Q1771" s="567">
        <f>SUM(D1761:D1769)</f>
        <v>0</v>
      </c>
      <c r="R1771" s="568" t="s">
        <v>54</v>
      </c>
      <c r="S1771" s="569"/>
      <c r="T1771" s="566"/>
      <c r="U1771" s="566"/>
      <c r="V1771" s="566"/>
    </row>
    <row r="1772" spans="1:22" ht="27.75" customHeight="1" thickTop="1">
      <c r="B1772" s="332" t="s">
        <v>970</v>
      </c>
      <c r="C1772" s="477"/>
      <c r="D1772" s="334"/>
      <c r="E1772" s="620"/>
      <c r="H1772" s="332"/>
      <c r="I1772" s="397"/>
      <c r="J1772" s="335"/>
      <c r="K1772" s="374">
        <f t="shared" si="74"/>
        <v>0</v>
      </c>
      <c r="L1772" s="374">
        <f t="shared" si="73"/>
        <v>0</v>
      </c>
      <c r="Q1772" s="478"/>
      <c r="R1772" s="479"/>
      <c r="S1772" s="287"/>
      <c r="T1772" s="289"/>
      <c r="U1772" s="289"/>
      <c r="V1772" s="289"/>
    </row>
    <row r="1773" spans="1:22" ht="27.75" customHeight="1">
      <c r="A1773" s="331">
        <v>1</v>
      </c>
      <c r="B1773" s="332" t="s">
        <v>92</v>
      </c>
      <c r="C1773" s="477" t="s">
        <v>303</v>
      </c>
      <c r="D1773" s="334"/>
      <c r="E1773" s="620" t="s">
        <v>3667</v>
      </c>
      <c r="F1773" s="331">
        <v>1</v>
      </c>
      <c r="G1773" s="336">
        <v>3297.3099999999995</v>
      </c>
      <c r="H1773" s="332"/>
      <c r="I1773" s="397"/>
      <c r="J1773" s="335"/>
      <c r="K1773" s="374">
        <f t="shared" si="74"/>
        <v>380.50957399999993</v>
      </c>
      <c r="L1773" s="374">
        <f t="shared" si="73"/>
        <v>0</v>
      </c>
      <c r="Q1773" s="478"/>
      <c r="R1773" s="479"/>
      <c r="S1773" s="287"/>
      <c r="T1773" s="289"/>
      <c r="U1773" s="289"/>
      <c r="V1773" s="289"/>
    </row>
    <row r="1774" spans="1:22" ht="27.75" customHeight="1">
      <c r="B1774" s="332"/>
      <c r="C1774" s="477"/>
      <c r="D1774" s="334"/>
      <c r="E1774" s="620"/>
      <c r="H1774" s="332"/>
      <c r="I1774" s="397"/>
      <c r="J1774" s="335"/>
      <c r="K1774" s="374"/>
      <c r="L1774" s="374"/>
      <c r="Q1774" s="478"/>
      <c r="R1774" s="479"/>
      <c r="S1774" s="287"/>
      <c r="T1774" s="289"/>
      <c r="U1774" s="289"/>
      <c r="V1774" s="289"/>
    </row>
    <row r="1775" spans="1:22" ht="27.75" customHeight="1" thickBot="1">
      <c r="B1775" s="506"/>
      <c r="C1775" s="584"/>
      <c r="D1775" s="1008"/>
      <c r="E1775" s="1036"/>
      <c r="F1775" s="647"/>
      <c r="H1775" s="387"/>
      <c r="I1775" s="388"/>
      <c r="J1775" s="382"/>
      <c r="K1775" s="374">
        <f t="shared" si="74"/>
        <v>0</v>
      </c>
      <c r="L1775" s="374">
        <f t="shared" si="73"/>
        <v>0</v>
      </c>
    </row>
    <row r="1776" spans="1:22" s="570" customFormat="1" ht="27.75" customHeight="1" thickTop="1" thickBot="1">
      <c r="A1776" s="558"/>
      <c r="B1776" s="562"/>
      <c r="C1776" s="1010"/>
      <c r="D1776" s="1026"/>
      <c r="E1776" s="1027"/>
      <c r="F1776" s="558"/>
      <c r="G1776" s="1028"/>
      <c r="H1776" s="562"/>
      <c r="I1776" s="563"/>
      <c r="J1776" s="561"/>
      <c r="K1776" s="374">
        <f t="shared" si="74"/>
        <v>0</v>
      </c>
      <c r="L1776" s="564">
        <f t="shared" si="73"/>
        <v>0</v>
      </c>
      <c r="M1776" s="565"/>
      <c r="N1776" s="566">
        <f>SUM(G1773:G1776)</f>
        <v>3297.3099999999995</v>
      </c>
      <c r="O1776" s="566">
        <f>SUM(J1773:J1776)</f>
        <v>0</v>
      </c>
      <c r="P1776" s="566">
        <f>SUM(N1776:O1776)</f>
        <v>3297.3099999999995</v>
      </c>
      <c r="Q1776" s="567">
        <f>SUM(D1773:D1776)</f>
        <v>0</v>
      </c>
      <c r="R1776" s="568" t="s">
        <v>374</v>
      </c>
      <c r="S1776" s="569"/>
      <c r="T1776" s="566"/>
      <c r="U1776" s="566"/>
      <c r="V1776" s="566"/>
    </row>
    <row r="1777" spans="1:22" s="385" customFormat="1" ht="27.75" customHeight="1" thickTop="1">
      <c r="A1777" s="331"/>
      <c r="B1777" s="507" t="s">
        <v>35</v>
      </c>
      <c r="C1777" s="501"/>
      <c r="D1777" s="1037"/>
      <c r="E1777" s="475"/>
      <c r="F1777" s="647"/>
      <c r="G1777" s="386"/>
      <c r="H1777" s="332"/>
      <c r="I1777" s="397"/>
      <c r="J1777" s="335"/>
      <c r="K1777" s="374">
        <f t="shared" si="74"/>
        <v>0</v>
      </c>
      <c r="L1777" s="374">
        <f t="shared" si="73"/>
        <v>0</v>
      </c>
      <c r="M1777" s="330"/>
      <c r="N1777" s="288"/>
      <c r="O1777" s="288"/>
      <c r="P1777" s="288"/>
      <c r="Q1777" s="288"/>
      <c r="S1777" s="291"/>
      <c r="T1777" s="291"/>
      <c r="U1777" s="291"/>
      <c r="V1777" s="291"/>
    </row>
    <row r="1778" spans="1:22" s="385" customFormat="1" ht="27.75" customHeight="1">
      <c r="A1778" s="331">
        <v>1</v>
      </c>
      <c r="B1778" s="1038" t="s">
        <v>973</v>
      </c>
      <c r="C1778" s="1039" t="s">
        <v>225</v>
      </c>
      <c r="D1778" s="1036"/>
      <c r="E1778" s="475"/>
      <c r="F1778" s="647"/>
      <c r="G1778" s="386"/>
      <c r="H1778" s="332" t="s">
        <v>980</v>
      </c>
      <c r="I1778" s="397" t="s">
        <v>17</v>
      </c>
      <c r="J1778" s="335">
        <v>90261.49</v>
      </c>
      <c r="K1778" s="374">
        <f t="shared" si="74"/>
        <v>0</v>
      </c>
      <c r="L1778" s="374">
        <f t="shared" si="73"/>
        <v>90261.49</v>
      </c>
      <c r="M1778" s="330"/>
      <c r="N1778" s="288"/>
      <c r="O1778" s="288"/>
      <c r="P1778" s="288"/>
      <c r="Q1778" s="553"/>
      <c r="R1778" s="525"/>
      <c r="S1778" s="297"/>
      <c r="T1778" s="291"/>
      <c r="U1778" s="291"/>
      <c r="V1778" s="291"/>
    </row>
    <row r="1779" spans="1:22" s="385" customFormat="1" ht="27.75" customHeight="1">
      <c r="A1779" s="331">
        <v>2</v>
      </c>
      <c r="B1779" s="1038" t="s">
        <v>976</v>
      </c>
      <c r="C1779" s="1039" t="s">
        <v>978</v>
      </c>
      <c r="D1779" s="1036"/>
      <c r="E1779" s="475"/>
      <c r="F1779" s="647"/>
      <c r="G1779" s="386"/>
      <c r="H1779" s="332" t="s">
        <v>199</v>
      </c>
      <c r="I1779" s="397">
        <v>7</v>
      </c>
      <c r="J1779" s="335">
        <v>1469.03</v>
      </c>
      <c r="K1779" s="374">
        <f t="shared" si="74"/>
        <v>0</v>
      </c>
      <c r="L1779" s="374">
        <f t="shared" si="73"/>
        <v>1469.03</v>
      </c>
      <c r="M1779" s="330"/>
      <c r="N1779" s="288"/>
      <c r="O1779" s="288"/>
      <c r="P1779" s="288"/>
      <c r="Q1779" s="553"/>
      <c r="R1779" s="525"/>
      <c r="S1779" s="297"/>
      <c r="T1779" s="291"/>
      <c r="U1779" s="291"/>
      <c r="V1779" s="291"/>
    </row>
    <row r="1780" spans="1:22" s="385" customFormat="1" ht="27.75" customHeight="1">
      <c r="A1780" s="331">
        <v>3</v>
      </c>
      <c r="B1780" s="1038" t="s">
        <v>173</v>
      </c>
      <c r="C1780" s="1039" t="s">
        <v>1130</v>
      </c>
      <c r="D1780" s="1036"/>
      <c r="E1780" s="475"/>
      <c r="F1780" s="647"/>
      <c r="G1780" s="386"/>
      <c r="H1780" s="332" t="s">
        <v>193</v>
      </c>
      <c r="I1780" s="397">
        <v>5</v>
      </c>
      <c r="J1780" s="335">
        <v>19211.849999999999</v>
      </c>
      <c r="K1780" s="374">
        <f t="shared" si="74"/>
        <v>0</v>
      </c>
      <c r="L1780" s="374">
        <f t="shared" si="73"/>
        <v>19211.849999999999</v>
      </c>
      <c r="M1780" s="330"/>
      <c r="N1780" s="288"/>
      <c r="O1780" s="288"/>
      <c r="P1780" s="288"/>
      <c r="Q1780" s="553"/>
      <c r="R1780" s="525"/>
      <c r="S1780" s="297"/>
      <c r="T1780" s="291"/>
      <c r="U1780" s="291"/>
      <c r="V1780" s="291"/>
    </row>
    <row r="1781" spans="1:22" s="385" customFormat="1" ht="27.75" customHeight="1">
      <c r="A1781" s="331">
        <v>4</v>
      </c>
      <c r="B1781" s="1038" t="s">
        <v>3669</v>
      </c>
      <c r="C1781" s="1039" t="s">
        <v>3676</v>
      </c>
      <c r="D1781" s="1036"/>
      <c r="E1781" s="475" t="s">
        <v>3416</v>
      </c>
      <c r="F1781" s="647">
        <v>1</v>
      </c>
      <c r="G1781" s="386">
        <v>112.35</v>
      </c>
      <c r="H1781" s="332"/>
      <c r="I1781" s="397"/>
      <c r="J1781" s="335"/>
      <c r="K1781" s="374">
        <f t="shared" si="74"/>
        <v>12.965189999999998</v>
      </c>
      <c r="L1781" s="374">
        <f t="shared" si="73"/>
        <v>0</v>
      </c>
      <c r="M1781" s="330"/>
      <c r="N1781" s="288"/>
      <c r="O1781" s="288"/>
      <c r="P1781" s="288"/>
      <c r="Q1781" s="553"/>
      <c r="R1781" s="525"/>
      <c r="S1781" s="297"/>
      <c r="T1781" s="291"/>
      <c r="U1781" s="291"/>
      <c r="V1781" s="291"/>
    </row>
    <row r="1782" spans="1:22" s="385" customFormat="1" ht="27.75" customHeight="1">
      <c r="A1782" s="331">
        <v>5</v>
      </c>
      <c r="B1782" s="1038" t="s">
        <v>3674</v>
      </c>
      <c r="C1782" s="1039" t="s">
        <v>3677</v>
      </c>
      <c r="D1782" s="1036"/>
      <c r="E1782" s="475" t="s">
        <v>3416</v>
      </c>
      <c r="F1782" s="647">
        <v>1</v>
      </c>
      <c r="G1782" s="386">
        <v>936.25</v>
      </c>
      <c r="H1782" s="332"/>
      <c r="I1782" s="397"/>
      <c r="J1782" s="335"/>
      <c r="K1782" s="374">
        <f t="shared" si="74"/>
        <v>108.04324999999999</v>
      </c>
      <c r="L1782" s="374">
        <f t="shared" si="73"/>
        <v>0</v>
      </c>
      <c r="M1782" s="330"/>
      <c r="N1782" s="288"/>
      <c r="O1782" s="288"/>
      <c r="P1782" s="288"/>
      <c r="Q1782" s="553"/>
      <c r="R1782" s="525"/>
      <c r="S1782" s="297"/>
      <c r="T1782" s="291"/>
      <c r="U1782" s="291"/>
      <c r="V1782" s="291"/>
    </row>
    <row r="1783" spans="1:22" s="385" customFormat="1" ht="27.75" customHeight="1">
      <c r="A1783" s="331">
        <v>6</v>
      </c>
      <c r="B1783" s="1038" t="s">
        <v>1221</v>
      </c>
      <c r="C1783" s="1039" t="s">
        <v>1225</v>
      </c>
      <c r="D1783" s="1036"/>
      <c r="E1783" s="475" t="s">
        <v>3416</v>
      </c>
      <c r="F1783" s="647">
        <v>1</v>
      </c>
      <c r="G1783" s="386">
        <v>224.7</v>
      </c>
      <c r="H1783" s="332"/>
      <c r="I1783" s="397"/>
      <c r="J1783" s="335"/>
      <c r="K1783" s="374">
        <f t="shared" si="74"/>
        <v>25.930379999999996</v>
      </c>
      <c r="L1783" s="374">
        <f t="shared" si="73"/>
        <v>0</v>
      </c>
      <c r="M1783" s="330"/>
      <c r="N1783" s="288"/>
      <c r="O1783" s="288"/>
      <c r="P1783" s="288"/>
      <c r="Q1783" s="553"/>
      <c r="R1783" s="525"/>
      <c r="S1783" s="297"/>
      <c r="T1783" s="291"/>
      <c r="U1783" s="291"/>
      <c r="V1783" s="291"/>
    </row>
    <row r="1784" spans="1:22" s="385" customFormat="1" ht="27.75" customHeight="1">
      <c r="A1784" s="331">
        <v>7</v>
      </c>
      <c r="B1784" s="1038" t="s">
        <v>1216</v>
      </c>
      <c r="C1784" s="1039" t="s">
        <v>1226</v>
      </c>
      <c r="D1784" s="1036"/>
      <c r="E1784" s="475" t="s">
        <v>3416</v>
      </c>
      <c r="F1784" s="647">
        <v>1</v>
      </c>
      <c r="G1784" s="386">
        <v>187.25</v>
      </c>
      <c r="H1784" s="332"/>
      <c r="I1784" s="397"/>
      <c r="J1784" s="335"/>
      <c r="K1784" s="374">
        <f t="shared" si="74"/>
        <v>21.608649999999997</v>
      </c>
      <c r="L1784" s="374">
        <f t="shared" si="73"/>
        <v>0</v>
      </c>
      <c r="M1784" s="330"/>
      <c r="N1784" s="288"/>
      <c r="O1784" s="288"/>
      <c r="P1784" s="288"/>
      <c r="Q1784" s="553"/>
      <c r="R1784" s="525"/>
      <c r="S1784" s="297"/>
      <c r="T1784" s="291"/>
      <c r="U1784" s="291"/>
      <c r="V1784" s="291"/>
    </row>
    <row r="1785" spans="1:22" s="385" customFormat="1" ht="27.75" customHeight="1">
      <c r="A1785" s="331">
        <v>8</v>
      </c>
      <c r="B1785" s="1038" t="s">
        <v>3342</v>
      </c>
      <c r="C1785" s="1039" t="s">
        <v>3343</v>
      </c>
      <c r="D1785" s="1036"/>
      <c r="E1785" s="475" t="s">
        <v>3416</v>
      </c>
      <c r="F1785" s="647">
        <v>1</v>
      </c>
      <c r="G1785" s="386">
        <v>224.70000000000005</v>
      </c>
      <c r="H1785" s="332"/>
      <c r="I1785" s="397"/>
      <c r="J1785" s="335"/>
      <c r="K1785" s="374">
        <f t="shared" si="74"/>
        <v>25.930380000000003</v>
      </c>
      <c r="L1785" s="374">
        <f t="shared" si="73"/>
        <v>0</v>
      </c>
      <c r="M1785" s="330"/>
      <c r="N1785" s="288"/>
      <c r="O1785" s="288"/>
      <c r="P1785" s="288"/>
      <c r="Q1785" s="553"/>
      <c r="R1785" s="525"/>
      <c r="S1785" s="297"/>
      <c r="T1785" s="291"/>
      <c r="U1785" s="291"/>
      <c r="V1785" s="291"/>
    </row>
    <row r="1786" spans="1:22" s="385" customFormat="1" ht="27.75" customHeight="1">
      <c r="A1786" s="331">
        <v>9</v>
      </c>
      <c r="B1786" s="1038" t="s">
        <v>1542</v>
      </c>
      <c r="C1786" s="1039" t="s">
        <v>1323</v>
      </c>
      <c r="D1786" s="1036"/>
      <c r="E1786" s="475" t="s">
        <v>3416</v>
      </c>
      <c r="F1786" s="647">
        <v>1</v>
      </c>
      <c r="G1786" s="386">
        <v>149.80000000000001</v>
      </c>
      <c r="H1786" s="332"/>
      <c r="I1786" s="397"/>
      <c r="J1786" s="335"/>
      <c r="K1786" s="374">
        <f t="shared" si="74"/>
        <v>17.286919999999999</v>
      </c>
      <c r="L1786" s="374">
        <f t="shared" si="73"/>
        <v>0</v>
      </c>
      <c r="M1786" s="330"/>
      <c r="N1786" s="288"/>
      <c r="O1786" s="288"/>
      <c r="P1786" s="288"/>
      <c r="Q1786" s="553"/>
      <c r="R1786" s="525"/>
      <c r="S1786" s="297"/>
      <c r="T1786" s="291"/>
      <c r="U1786" s="291"/>
      <c r="V1786" s="291"/>
    </row>
    <row r="1787" spans="1:22" s="385" customFormat="1" ht="27.75" customHeight="1">
      <c r="A1787" s="331">
        <v>10</v>
      </c>
      <c r="B1787" s="1038" t="s">
        <v>3678</v>
      </c>
      <c r="C1787" s="1039" t="s">
        <v>3679</v>
      </c>
      <c r="D1787" s="1036"/>
      <c r="E1787" s="475" t="s">
        <v>3416</v>
      </c>
      <c r="F1787" s="647">
        <v>1</v>
      </c>
      <c r="G1787" s="386">
        <v>112.35</v>
      </c>
      <c r="H1787" s="332"/>
      <c r="I1787" s="397"/>
      <c r="J1787" s="335"/>
      <c r="K1787" s="374">
        <f t="shared" si="74"/>
        <v>12.965189999999998</v>
      </c>
      <c r="L1787" s="374">
        <f t="shared" si="73"/>
        <v>0</v>
      </c>
      <c r="M1787" s="330"/>
      <c r="N1787" s="288"/>
      <c r="O1787" s="288"/>
      <c r="P1787" s="288"/>
      <c r="Q1787" s="553"/>
      <c r="R1787" s="525"/>
      <c r="S1787" s="297"/>
      <c r="T1787" s="291"/>
      <c r="U1787" s="291"/>
      <c r="V1787" s="291"/>
    </row>
    <row r="1788" spans="1:22" s="385" customFormat="1" ht="27.75" customHeight="1">
      <c r="A1788" s="331">
        <v>11</v>
      </c>
      <c r="B1788" s="1038" t="s">
        <v>1227</v>
      </c>
      <c r="C1788" s="1039" t="s">
        <v>1228</v>
      </c>
      <c r="D1788" s="1036"/>
      <c r="E1788" s="475" t="s">
        <v>3416</v>
      </c>
      <c r="F1788" s="647">
        <v>1</v>
      </c>
      <c r="G1788" s="386">
        <v>374.5</v>
      </c>
      <c r="H1788" s="332"/>
      <c r="I1788" s="397"/>
      <c r="J1788" s="335"/>
      <c r="K1788" s="374">
        <f t="shared" si="74"/>
        <v>43.217299999999994</v>
      </c>
      <c r="L1788" s="374">
        <f t="shared" si="73"/>
        <v>0</v>
      </c>
      <c r="M1788" s="330"/>
      <c r="N1788" s="288"/>
      <c r="O1788" s="288"/>
      <c r="P1788" s="288"/>
      <c r="Q1788" s="553"/>
      <c r="R1788" s="525"/>
      <c r="S1788" s="297"/>
      <c r="T1788" s="291"/>
      <c r="U1788" s="291"/>
      <c r="V1788" s="291"/>
    </row>
    <row r="1789" spans="1:22" s="385" customFormat="1" ht="27.75" customHeight="1">
      <c r="A1789" s="331">
        <v>12</v>
      </c>
      <c r="B1789" s="1038" t="s">
        <v>1218</v>
      </c>
      <c r="C1789" s="1039" t="s">
        <v>1543</v>
      </c>
      <c r="D1789" s="1036"/>
      <c r="E1789" s="475" t="s">
        <v>3416</v>
      </c>
      <c r="F1789" s="647">
        <v>1</v>
      </c>
      <c r="G1789" s="386">
        <v>112.35</v>
      </c>
      <c r="H1789" s="332"/>
      <c r="I1789" s="397"/>
      <c r="J1789" s="335"/>
      <c r="K1789" s="374">
        <f t="shared" si="74"/>
        <v>12.965189999999998</v>
      </c>
      <c r="L1789" s="374">
        <f t="shared" si="73"/>
        <v>0</v>
      </c>
      <c r="M1789" s="330"/>
      <c r="N1789" s="288"/>
      <c r="O1789" s="288"/>
      <c r="P1789" s="288"/>
      <c r="Q1789" s="553"/>
      <c r="R1789" s="525"/>
      <c r="S1789" s="297"/>
      <c r="T1789" s="291"/>
      <c r="U1789" s="291"/>
      <c r="V1789" s="291"/>
    </row>
    <row r="1790" spans="1:22" s="385" customFormat="1" ht="27.75" customHeight="1">
      <c r="A1790" s="331">
        <v>13</v>
      </c>
      <c r="B1790" s="1038" t="s">
        <v>1229</v>
      </c>
      <c r="C1790" s="1039" t="s">
        <v>1230</v>
      </c>
      <c r="D1790" s="1036"/>
      <c r="E1790" s="502" t="s">
        <v>3416</v>
      </c>
      <c r="F1790" s="647">
        <v>1</v>
      </c>
      <c r="G1790" s="386">
        <v>262.14999999999998</v>
      </c>
      <c r="H1790" s="332"/>
      <c r="I1790" s="397"/>
      <c r="J1790" s="335"/>
      <c r="K1790" s="374">
        <f t="shared" si="74"/>
        <v>30.252109999999995</v>
      </c>
      <c r="L1790" s="374">
        <f t="shared" si="73"/>
        <v>0</v>
      </c>
      <c r="M1790" s="330"/>
      <c r="N1790" s="288"/>
      <c r="O1790" s="288"/>
      <c r="P1790" s="288"/>
      <c r="Q1790" s="553"/>
      <c r="R1790" s="525"/>
      <c r="S1790" s="297"/>
      <c r="T1790" s="291"/>
      <c r="U1790" s="291"/>
      <c r="V1790" s="291"/>
    </row>
    <row r="1791" spans="1:22" s="385" customFormat="1" ht="27.75" customHeight="1">
      <c r="A1791" s="331">
        <v>14</v>
      </c>
      <c r="B1791" s="1038" t="s">
        <v>3680</v>
      </c>
      <c r="C1791" s="1039" t="s">
        <v>3681</v>
      </c>
      <c r="D1791" s="1036"/>
      <c r="E1791" s="502" t="s">
        <v>3416</v>
      </c>
      <c r="F1791" s="647">
        <v>1</v>
      </c>
      <c r="G1791" s="386">
        <v>224.7</v>
      </c>
      <c r="H1791" s="332"/>
      <c r="I1791" s="397"/>
      <c r="J1791" s="335"/>
      <c r="K1791" s="374">
        <f t="shared" si="74"/>
        <v>25.930379999999996</v>
      </c>
      <c r="L1791" s="374">
        <f t="shared" si="73"/>
        <v>0</v>
      </c>
      <c r="M1791" s="330"/>
      <c r="N1791" s="288"/>
      <c r="O1791" s="288"/>
      <c r="P1791" s="288"/>
      <c r="Q1791" s="553"/>
      <c r="R1791" s="525"/>
      <c r="S1791" s="297"/>
      <c r="T1791" s="291"/>
      <c r="U1791" s="291"/>
      <c r="V1791" s="291"/>
    </row>
    <row r="1792" spans="1:22" s="385" customFormat="1" ht="27.75" customHeight="1">
      <c r="A1792" s="331">
        <v>15</v>
      </c>
      <c r="B1792" s="1038" t="s">
        <v>3682</v>
      </c>
      <c r="C1792" s="1039" t="s">
        <v>3683</v>
      </c>
      <c r="D1792" s="1036"/>
      <c r="E1792" s="502" t="s">
        <v>3416</v>
      </c>
      <c r="F1792" s="647">
        <v>1</v>
      </c>
      <c r="G1792" s="386">
        <v>486.85</v>
      </c>
      <c r="H1792" s="332"/>
      <c r="I1792" s="397"/>
      <c r="J1792" s="335"/>
      <c r="K1792" s="374">
        <f t="shared" si="74"/>
        <v>56.182490000000001</v>
      </c>
      <c r="L1792" s="374">
        <f t="shared" si="73"/>
        <v>0</v>
      </c>
      <c r="M1792" s="330"/>
      <c r="N1792" s="288"/>
      <c r="O1792" s="288"/>
      <c r="P1792" s="288"/>
      <c r="Q1792" s="553"/>
      <c r="R1792" s="525"/>
      <c r="S1792" s="297"/>
      <c r="T1792" s="291"/>
      <c r="U1792" s="291"/>
      <c r="V1792" s="291"/>
    </row>
    <row r="1793" spans="1:22" s="385" customFormat="1" ht="27.75" customHeight="1">
      <c r="A1793" s="331">
        <v>16</v>
      </c>
      <c r="B1793" s="1038" t="s">
        <v>1220</v>
      </c>
      <c r="C1793" s="1039" t="s">
        <v>1231</v>
      </c>
      <c r="D1793" s="1036"/>
      <c r="E1793" s="502" t="s">
        <v>3416</v>
      </c>
      <c r="F1793" s="647">
        <v>1</v>
      </c>
      <c r="G1793" s="386">
        <v>561.75</v>
      </c>
      <c r="H1793" s="332"/>
      <c r="I1793" s="397"/>
      <c r="J1793" s="335"/>
      <c r="K1793" s="374">
        <f t="shared" si="74"/>
        <v>64.825949999999992</v>
      </c>
      <c r="L1793" s="374">
        <f t="shared" si="73"/>
        <v>0</v>
      </c>
      <c r="M1793" s="330"/>
      <c r="N1793" s="288"/>
      <c r="O1793" s="288"/>
      <c r="P1793" s="288"/>
      <c r="Q1793" s="553"/>
      <c r="R1793" s="525"/>
      <c r="S1793" s="297"/>
      <c r="T1793" s="291"/>
      <c r="U1793" s="291"/>
      <c r="V1793" s="291"/>
    </row>
    <row r="1794" spans="1:22" s="385" customFormat="1" ht="27.75" customHeight="1">
      <c r="A1794" s="331">
        <v>17</v>
      </c>
      <c r="B1794" s="1038" t="s">
        <v>3684</v>
      </c>
      <c r="C1794" s="1039" t="s">
        <v>1232</v>
      </c>
      <c r="D1794" s="1036"/>
      <c r="E1794" s="502" t="s">
        <v>3416</v>
      </c>
      <c r="F1794" s="647">
        <v>1</v>
      </c>
      <c r="G1794" s="386">
        <v>112.35</v>
      </c>
      <c r="H1794" s="332"/>
      <c r="I1794" s="397"/>
      <c r="J1794" s="335"/>
      <c r="K1794" s="374">
        <f t="shared" si="74"/>
        <v>12.965189999999998</v>
      </c>
      <c r="L1794" s="374">
        <f t="shared" si="73"/>
        <v>0</v>
      </c>
      <c r="M1794" s="330"/>
      <c r="N1794" s="288"/>
      <c r="O1794" s="288"/>
      <c r="P1794" s="288"/>
      <c r="Q1794" s="553"/>
      <c r="R1794" s="525"/>
      <c r="S1794" s="297"/>
      <c r="T1794" s="291"/>
      <c r="U1794" s="291"/>
      <c r="V1794" s="291"/>
    </row>
    <row r="1795" spans="1:22" s="385" customFormat="1" ht="27.75" customHeight="1">
      <c r="A1795" s="331">
        <v>18</v>
      </c>
      <c r="B1795" s="1038" t="s">
        <v>2894</v>
      </c>
      <c r="C1795" s="1039" t="s">
        <v>3148</v>
      </c>
      <c r="D1795" s="1036"/>
      <c r="E1795" s="502" t="s">
        <v>3416</v>
      </c>
      <c r="F1795" s="647">
        <v>1</v>
      </c>
      <c r="G1795" s="386">
        <v>2771.3</v>
      </c>
      <c r="H1795" s="332"/>
      <c r="I1795" s="397"/>
      <c r="J1795" s="335"/>
      <c r="K1795" s="374">
        <f t="shared" si="74"/>
        <v>319.80802</v>
      </c>
      <c r="L1795" s="374">
        <f t="shared" si="73"/>
        <v>0</v>
      </c>
      <c r="M1795" s="330"/>
      <c r="N1795" s="288"/>
      <c r="O1795" s="288"/>
      <c r="P1795" s="288"/>
      <c r="Q1795" s="553"/>
      <c r="R1795" s="525"/>
      <c r="S1795" s="297"/>
      <c r="T1795" s="291"/>
      <c r="U1795" s="291"/>
      <c r="V1795" s="291"/>
    </row>
    <row r="1796" spans="1:22" s="385" customFormat="1" ht="27.75" customHeight="1">
      <c r="A1796" s="331">
        <v>19</v>
      </c>
      <c r="B1796" s="1038" t="s">
        <v>1233</v>
      </c>
      <c r="C1796" s="1039" t="s">
        <v>1234</v>
      </c>
      <c r="D1796" s="1036"/>
      <c r="E1796" s="502" t="s">
        <v>3416</v>
      </c>
      <c r="F1796" s="647">
        <v>1</v>
      </c>
      <c r="G1796" s="386">
        <v>149.80000000000001</v>
      </c>
      <c r="H1796" s="332"/>
      <c r="I1796" s="397"/>
      <c r="J1796" s="335"/>
      <c r="K1796" s="374">
        <f t="shared" si="74"/>
        <v>17.286919999999999</v>
      </c>
      <c r="L1796" s="374">
        <f t="shared" si="73"/>
        <v>0</v>
      </c>
      <c r="M1796" s="330"/>
      <c r="N1796" s="288"/>
      <c r="O1796" s="288"/>
      <c r="P1796" s="288"/>
      <c r="Q1796" s="553"/>
      <c r="R1796" s="525"/>
      <c r="S1796" s="297"/>
      <c r="T1796" s="291"/>
      <c r="U1796" s="291"/>
      <c r="V1796" s="291"/>
    </row>
    <row r="1797" spans="1:22" s="385" customFormat="1" ht="27.75" customHeight="1">
      <c r="A1797" s="331">
        <v>20</v>
      </c>
      <c r="B1797" s="1038" t="s">
        <v>1281</v>
      </c>
      <c r="C1797" s="1039" t="s">
        <v>1282</v>
      </c>
      <c r="D1797" s="1036"/>
      <c r="E1797" s="502" t="s">
        <v>3416</v>
      </c>
      <c r="F1797" s="647">
        <v>1</v>
      </c>
      <c r="G1797" s="386">
        <v>1086.0499999999997</v>
      </c>
      <c r="H1797" s="332"/>
      <c r="I1797" s="397"/>
      <c r="J1797" s="335"/>
      <c r="K1797" s="374">
        <f t="shared" si="74"/>
        <v>125.33016999999997</v>
      </c>
      <c r="L1797" s="374">
        <f t="shared" si="73"/>
        <v>0</v>
      </c>
      <c r="M1797" s="330"/>
      <c r="N1797" s="288"/>
      <c r="O1797" s="288"/>
      <c r="P1797" s="288"/>
      <c r="Q1797" s="553"/>
      <c r="R1797" s="525"/>
      <c r="S1797" s="297"/>
      <c r="T1797" s="291"/>
      <c r="U1797" s="291"/>
      <c r="V1797" s="291"/>
    </row>
    <row r="1798" spans="1:22" s="385" customFormat="1" ht="27.75" customHeight="1">
      <c r="A1798" s="331">
        <v>21</v>
      </c>
      <c r="B1798" s="1038" t="s">
        <v>3685</v>
      </c>
      <c r="C1798" s="1039" t="s">
        <v>3686</v>
      </c>
      <c r="D1798" s="1036"/>
      <c r="E1798" s="502" t="s">
        <v>3416</v>
      </c>
      <c r="F1798" s="647">
        <v>1</v>
      </c>
      <c r="G1798" s="386">
        <v>1160.95</v>
      </c>
      <c r="H1798" s="332"/>
      <c r="I1798" s="397"/>
      <c r="J1798" s="335"/>
      <c r="K1798" s="374">
        <f t="shared" si="74"/>
        <v>133.97362999999999</v>
      </c>
      <c r="L1798" s="374">
        <f t="shared" si="73"/>
        <v>0</v>
      </c>
      <c r="M1798" s="330"/>
      <c r="N1798" s="288"/>
      <c r="O1798" s="288"/>
      <c r="P1798" s="288"/>
      <c r="Q1798" s="553"/>
      <c r="R1798" s="525"/>
      <c r="S1798" s="297"/>
      <c r="T1798" s="291"/>
      <c r="U1798" s="291"/>
      <c r="V1798" s="291"/>
    </row>
    <row r="1799" spans="1:22" s="385" customFormat="1" ht="27.75" customHeight="1" thickBot="1">
      <c r="A1799" s="331"/>
      <c r="B1799" s="1038"/>
      <c r="C1799" s="1039"/>
      <c r="D1799" s="1036"/>
      <c r="E1799" s="475"/>
      <c r="F1799" s="647"/>
      <c r="G1799" s="386"/>
      <c r="H1799" s="332"/>
      <c r="I1799" s="397"/>
      <c r="J1799" s="335"/>
      <c r="K1799" s="374">
        <f t="shared" si="74"/>
        <v>0</v>
      </c>
      <c r="L1799" s="374">
        <f t="shared" si="73"/>
        <v>0</v>
      </c>
      <c r="M1799" s="330"/>
      <c r="N1799" s="288"/>
      <c r="O1799" s="288"/>
      <c r="P1799" s="288"/>
      <c r="Q1799" s="553"/>
      <c r="R1799" s="525"/>
      <c r="S1799" s="297"/>
      <c r="T1799" s="291"/>
      <c r="U1799" s="291"/>
      <c r="V1799" s="291"/>
    </row>
    <row r="1800" spans="1:22" s="570" customFormat="1" ht="27.75" customHeight="1" thickTop="1" thickBot="1">
      <c r="A1800" s="558"/>
      <c r="B1800" s="1010"/>
      <c r="C1800" s="560"/>
      <c r="D1800" s="1026"/>
      <c r="E1800" s="561"/>
      <c r="F1800" s="558"/>
      <c r="G1800" s="1028"/>
      <c r="H1800" s="1010"/>
      <c r="I1800" s="558"/>
      <c r="J1800" s="564"/>
      <c r="K1800" s="374">
        <f t="shared" si="74"/>
        <v>0</v>
      </c>
      <c r="L1800" s="564">
        <f t="shared" si="73"/>
        <v>0</v>
      </c>
      <c r="M1800" s="565"/>
      <c r="N1800" s="566">
        <f>SUM(G1777:G1800)</f>
        <v>9250.15</v>
      </c>
      <c r="O1800" s="566">
        <f>SUM(J1777:J1800)</f>
        <v>110942.37</v>
      </c>
      <c r="P1800" s="566">
        <f>+N1800+O1800</f>
        <v>120192.51999999999</v>
      </c>
      <c r="Q1800" s="567">
        <f>SUM(D1777:D1799)</f>
        <v>0</v>
      </c>
      <c r="R1800" s="568" t="s">
        <v>112</v>
      </c>
      <c r="S1800" s="569"/>
      <c r="T1800" s="566"/>
      <c r="U1800" s="566">
        <f>+L1800</f>
        <v>0</v>
      </c>
      <c r="V1800" s="566"/>
    </row>
    <row r="1801" spans="1:22" s="385" customFormat="1" ht="27.75" customHeight="1" thickTop="1">
      <c r="A1801" s="331"/>
      <c r="B1801" s="507" t="s">
        <v>36</v>
      </c>
      <c r="C1801" s="1039"/>
      <c r="D1801" s="1036"/>
      <c r="E1801" s="475"/>
      <c r="F1801" s="647"/>
      <c r="G1801" s="386"/>
      <c r="H1801" s="332"/>
      <c r="I1801" s="397"/>
      <c r="J1801" s="335"/>
      <c r="K1801" s="374">
        <f t="shared" si="74"/>
        <v>0</v>
      </c>
      <c r="L1801" s="374">
        <f t="shared" si="73"/>
        <v>0</v>
      </c>
      <c r="M1801" s="330"/>
      <c r="N1801" s="289"/>
      <c r="O1801" s="289"/>
      <c r="P1801" s="289"/>
      <c r="Q1801" s="289"/>
      <c r="S1801" s="291"/>
      <c r="T1801" s="291"/>
      <c r="U1801" s="291"/>
      <c r="V1801" s="291"/>
    </row>
    <row r="1802" spans="1:22" s="385" customFormat="1" ht="27.75" customHeight="1">
      <c r="A1802" s="331">
        <v>1</v>
      </c>
      <c r="B1802" s="1038" t="s">
        <v>973</v>
      </c>
      <c r="C1802" s="1039" t="s">
        <v>224</v>
      </c>
      <c r="D1802" s="1036"/>
      <c r="E1802" s="475"/>
      <c r="F1802" s="647"/>
      <c r="G1802" s="386"/>
      <c r="H1802" s="332" t="s">
        <v>980</v>
      </c>
      <c r="I1802" s="397" t="s">
        <v>17</v>
      </c>
      <c r="J1802" s="335">
        <v>49535.47</v>
      </c>
      <c r="K1802" s="374">
        <f t="shared" si="74"/>
        <v>0</v>
      </c>
      <c r="L1802" s="374">
        <f t="shared" si="73"/>
        <v>49535.47</v>
      </c>
      <c r="M1802" s="330"/>
      <c r="N1802" s="289"/>
      <c r="O1802" s="289"/>
      <c r="P1802" s="289"/>
      <c r="Q1802" s="478"/>
      <c r="R1802" s="525"/>
      <c r="S1802" s="297"/>
      <c r="T1802" s="291"/>
      <c r="U1802" s="291"/>
      <c r="V1802" s="291"/>
    </row>
    <row r="1803" spans="1:22" s="385" customFormat="1" ht="27.75" customHeight="1">
      <c r="A1803" s="331">
        <v>2</v>
      </c>
      <c r="B1803" s="1038" t="s">
        <v>976</v>
      </c>
      <c r="C1803" s="1039" t="s">
        <v>979</v>
      </c>
      <c r="D1803" s="1036"/>
      <c r="E1803" s="475"/>
      <c r="F1803" s="647"/>
      <c r="G1803" s="386"/>
      <c r="H1803" s="332" t="s">
        <v>199</v>
      </c>
      <c r="I1803" s="397">
        <v>7</v>
      </c>
      <c r="J1803" s="335">
        <v>368.87</v>
      </c>
      <c r="K1803" s="374">
        <f t="shared" si="74"/>
        <v>0</v>
      </c>
      <c r="L1803" s="374">
        <f t="shared" si="73"/>
        <v>368.87</v>
      </c>
      <c r="M1803" s="330"/>
      <c r="N1803" s="289"/>
      <c r="O1803" s="289"/>
      <c r="P1803" s="289"/>
      <c r="Q1803" s="478"/>
      <c r="R1803" s="525"/>
      <c r="S1803" s="297"/>
      <c r="T1803" s="291"/>
      <c r="U1803" s="291"/>
      <c r="V1803" s="291"/>
    </row>
    <row r="1804" spans="1:22" s="385" customFormat="1" ht="27.75" customHeight="1">
      <c r="A1804" s="331">
        <v>3</v>
      </c>
      <c r="B1804" s="1038" t="s">
        <v>173</v>
      </c>
      <c r="C1804" s="1039" t="s">
        <v>1131</v>
      </c>
      <c r="D1804" s="1036"/>
      <c r="E1804" s="475"/>
      <c r="F1804" s="647"/>
      <c r="G1804" s="386"/>
      <c r="H1804" s="332" t="s">
        <v>197</v>
      </c>
      <c r="I1804" s="397">
        <v>6</v>
      </c>
      <c r="J1804" s="335">
        <v>2070.4499999999998</v>
      </c>
      <c r="K1804" s="374">
        <f t="shared" si="74"/>
        <v>0</v>
      </c>
      <c r="L1804" s="374">
        <f t="shared" si="73"/>
        <v>2070.4499999999998</v>
      </c>
      <c r="M1804" s="330"/>
      <c r="N1804" s="289"/>
      <c r="O1804" s="289"/>
      <c r="P1804" s="289"/>
      <c r="Q1804" s="478"/>
      <c r="R1804" s="525"/>
      <c r="S1804" s="297"/>
      <c r="T1804" s="291"/>
      <c r="U1804" s="291"/>
      <c r="V1804" s="291"/>
    </row>
    <row r="1805" spans="1:22" s="385" customFormat="1" ht="27.75" customHeight="1">
      <c r="A1805" s="331">
        <v>4</v>
      </c>
      <c r="B1805" s="1038" t="s">
        <v>173</v>
      </c>
      <c r="C1805" s="1039" t="s">
        <v>231</v>
      </c>
      <c r="D1805" s="1036"/>
      <c r="E1805" s="475"/>
      <c r="F1805" s="647"/>
      <c r="G1805" s="386"/>
      <c r="H1805" s="332" t="s">
        <v>197</v>
      </c>
      <c r="I1805" s="397">
        <v>6</v>
      </c>
      <c r="J1805" s="335">
        <v>47508</v>
      </c>
      <c r="K1805" s="374">
        <f t="shared" si="74"/>
        <v>0</v>
      </c>
      <c r="L1805" s="374">
        <f t="shared" ref="L1805:L1838" si="75">+J1805</f>
        <v>47508</v>
      </c>
      <c r="M1805" s="330"/>
      <c r="N1805" s="289"/>
      <c r="O1805" s="289"/>
      <c r="P1805" s="289"/>
      <c r="Q1805" s="478"/>
      <c r="R1805" s="525"/>
      <c r="S1805" s="297"/>
      <c r="T1805" s="291"/>
      <c r="U1805" s="291"/>
      <c r="V1805" s="291"/>
    </row>
    <row r="1806" spans="1:22" s="385" customFormat="1" ht="27.75" customHeight="1">
      <c r="A1806" s="331">
        <v>5</v>
      </c>
      <c r="B1806" s="1038" t="s">
        <v>3669</v>
      </c>
      <c r="C1806" s="1039" t="s">
        <v>3687</v>
      </c>
      <c r="D1806" s="1036"/>
      <c r="E1806" s="475" t="s">
        <v>3416</v>
      </c>
      <c r="F1806" s="647">
        <v>1</v>
      </c>
      <c r="G1806" s="386">
        <v>5002.25</v>
      </c>
      <c r="H1806" s="332"/>
      <c r="I1806" s="397"/>
      <c r="J1806" s="335"/>
      <c r="K1806" s="374">
        <f t="shared" si="74"/>
        <v>577.25964999999997</v>
      </c>
      <c r="L1806" s="374">
        <f t="shared" si="75"/>
        <v>0</v>
      </c>
      <c r="M1806" s="330"/>
      <c r="N1806" s="289"/>
      <c r="O1806" s="289"/>
      <c r="P1806" s="289"/>
      <c r="Q1806" s="478"/>
      <c r="R1806" s="525"/>
      <c r="S1806" s="297"/>
      <c r="T1806" s="291"/>
      <c r="U1806" s="291"/>
      <c r="V1806" s="291"/>
    </row>
    <row r="1807" spans="1:22" s="385" customFormat="1" ht="27.75" customHeight="1">
      <c r="A1807" s="331">
        <v>6</v>
      </c>
      <c r="B1807" s="1038" t="s">
        <v>3674</v>
      </c>
      <c r="C1807" s="1039" t="s">
        <v>3688</v>
      </c>
      <c r="D1807" s="1036"/>
      <c r="E1807" s="475" t="s">
        <v>3416</v>
      </c>
      <c r="F1807" s="647">
        <v>1</v>
      </c>
      <c r="G1807" s="386">
        <v>2675</v>
      </c>
      <c r="H1807" s="332"/>
      <c r="I1807" s="397"/>
      <c r="J1807" s="335"/>
      <c r="K1807" s="374">
        <f t="shared" si="74"/>
        <v>308.69499999999994</v>
      </c>
      <c r="L1807" s="374">
        <f t="shared" si="75"/>
        <v>0</v>
      </c>
      <c r="M1807" s="330"/>
      <c r="N1807" s="289"/>
      <c r="O1807" s="289"/>
      <c r="P1807" s="289"/>
      <c r="Q1807" s="478"/>
      <c r="R1807" s="525"/>
      <c r="S1807" s="297"/>
      <c r="T1807" s="291"/>
      <c r="U1807" s="291"/>
      <c r="V1807" s="291"/>
    </row>
    <row r="1808" spans="1:22" s="385" customFormat="1" ht="27.75" customHeight="1">
      <c r="A1808" s="331">
        <v>7</v>
      </c>
      <c r="B1808" s="1038" t="s">
        <v>3689</v>
      </c>
      <c r="C1808" s="1039" t="s">
        <v>1235</v>
      </c>
      <c r="D1808" s="1036"/>
      <c r="E1808" s="475" t="s">
        <v>3416</v>
      </c>
      <c r="F1808" s="647">
        <v>1</v>
      </c>
      <c r="G1808" s="386">
        <v>59.92</v>
      </c>
      <c r="H1808" s="332"/>
      <c r="I1808" s="397"/>
      <c r="J1808" s="335"/>
      <c r="K1808" s="374">
        <f t="shared" si="74"/>
        <v>6.9147679999999987</v>
      </c>
      <c r="L1808" s="374">
        <f t="shared" si="75"/>
        <v>0</v>
      </c>
      <c r="M1808" s="330"/>
      <c r="N1808" s="289"/>
      <c r="O1808" s="289"/>
      <c r="P1808" s="289"/>
      <c r="Q1808" s="478"/>
      <c r="R1808" s="525"/>
      <c r="S1808" s="297"/>
      <c r="T1808" s="291"/>
      <c r="U1808" s="291"/>
      <c r="V1808" s="291"/>
    </row>
    <row r="1809" spans="1:22" s="385" customFormat="1" ht="27.75" customHeight="1">
      <c r="A1809" s="331">
        <v>8</v>
      </c>
      <c r="B1809" s="1038" t="s">
        <v>1216</v>
      </c>
      <c r="C1809" s="1039" t="s">
        <v>1236</v>
      </c>
      <c r="D1809" s="1036"/>
      <c r="E1809" s="475" t="s">
        <v>3416</v>
      </c>
      <c r="F1809" s="647">
        <v>1</v>
      </c>
      <c r="G1809" s="386">
        <v>831.3900000000001</v>
      </c>
      <c r="H1809" s="332"/>
      <c r="I1809" s="397"/>
      <c r="J1809" s="335"/>
      <c r="K1809" s="374">
        <f t="shared" si="74"/>
        <v>95.942406000000005</v>
      </c>
      <c r="L1809" s="374">
        <f t="shared" si="75"/>
        <v>0</v>
      </c>
      <c r="M1809" s="330"/>
      <c r="N1809" s="289"/>
      <c r="O1809" s="289"/>
      <c r="P1809" s="289"/>
      <c r="Q1809" s="478"/>
      <c r="R1809" s="525"/>
      <c r="S1809" s="297"/>
      <c r="T1809" s="291"/>
      <c r="U1809" s="291"/>
      <c r="V1809" s="291"/>
    </row>
    <row r="1810" spans="1:22" s="385" customFormat="1" ht="27.75" customHeight="1">
      <c r="A1810" s="331">
        <v>9</v>
      </c>
      <c r="B1810" s="1038" t="s">
        <v>3342</v>
      </c>
      <c r="C1810" s="1039" t="s">
        <v>3344</v>
      </c>
      <c r="D1810" s="1036"/>
      <c r="E1810" s="475" t="s">
        <v>3416</v>
      </c>
      <c r="F1810" s="647">
        <v>1</v>
      </c>
      <c r="G1810" s="386">
        <v>37.450000000000003</v>
      </c>
      <c r="H1810" s="332"/>
      <c r="I1810" s="397"/>
      <c r="J1810" s="335"/>
      <c r="K1810" s="374">
        <f t="shared" si="74"/>
        <v>4.3217299999999996</v>
      </c>
      <c r="L1810" s="374">
        <f t="shared" si="75"/>
        <v>0</v>
      </c>
      <c r="M1810" s="330"/>
      <c r="N1810" s="289"/>
      <c r="O1810" s="289"/>
      <c r="P1810" s="289"/>
      <c r="Q1810" s="478"/>
      <c r="R1810" s="525"/>
      <c r="S1810" s="297"/>
      <c r="T1810" s="291"/>
      <c r="U1810" s="291"/>
      <c r="V1810" s="291"/>
    </row>
    <row r="1811" spans="1:22" s="385" customFormat="1" ht="27.75" customHeight="1">
      <c r="A1811" s="331">
        <v>10</v>
      </c>
      <c r="B1811" s="1038" t="s">
        <v>1542</v>
      </c>
      <c r="C1811" s="1039" t="s">
        <v>1324</v>
      </c>
      <c r="D1811" s="1036"/>
      <c r="E1811" s="475" t="s">
        <v>3416</v>
      </c>
      <c r="F1811" s="647">
        <v>1</v>
      </c>
      <c r="G1811" s="386">
        <v>164.78</v>
      </c>
      <c r="H1811" s="332"/>
      <c r="I1811" s="397"/>
      <c r="J1811" s="335"/>
      <c r="K1811" s="374">
        <f t="shared" si="74"/>
        <v>19.015611999999997</v>
      </c>
      <c r="L1811" s="374">
        <f t="shared" si="75"/>
        <v>0</v>
      </c>
      <c r="M1811" s="330"/>
      <c r="N1811" s="289"/>
      <c r="O1811" s="289"/>
      <c r="P1811" s="289"/>
      <c r="Q1811" s="478"/>
      <c r="R1811" s="525"/>
      <c r="S1811" s="297"/>
      <c r="T1811" s="291"/>
      <c r="U1811" s="291"/>
      <c r="V1811" s="291"/>
    </row>
    <row r="1812" spans="1:22" s="385" customFormat="1" ht="27.75" customHeight="1">
      <c r="A1812" s="331">
        <v>11</v>
      </c>
      <c r="B1812" s="1038" t="s">
        <v>3678</v>
      </c>
      <c r="C1812" s="1039" t="s">
        <v>3690</v>
      </c>
      <c r="D1812" s="1036"/>
      <c r="E1812" s="475" t="s">
        <v>3416</v>
      </c>
      <c r="F1812" s="647">
        <v>1</v>
      </c>
      <c r="G1812" s="386">
        <v>37.450000000000003</v>
      </c>
      <c r="H1812" s="332"/>
      <c r="I1812" s="397"/>
      <c r="J1812" s="335"/>
      <c r="K1812" s="374">
        <f t="shared" si="74"/>
        <v>4.3217299999999996</v>
      </c>
      <c r="L1812" s="374">
        <f t="shared" si="75"/>
        <v>0</v>
      </c>
      <c r="M1812" s="330"/>
      <c r="N1812" s="289"/>
      <c r="O1812" s="289"/>
      <c r="P1812" s="289"/>
      <c r="Q1812" s="478"/>
      <c r="R1812" s="525"/>
      <c r="S1812" s="297"/>
      <c r="T1812" s="291"/>
      <c r="U1812" s="291"/>
      <c r="V1812" s="291"/>
    </row>
    <row r="1813" spans="1:22" s="385" customFormat="1" ht="27.75" customHeight="1">
      <c r="A1813" s="331">
        <v>12</v>
      </c>
      <c r="B1813" s="1038" t="s">
        <v>1227</v>
      </c>
      <c r="C1813" s="1039" t="s">
        <v>1237</v>
      </c>
      <c r="D1813" s="1036"/>
      <c r="E1813" s="475" t="s">
        <v>3416</v>
      </c>
      <c r="F1813" s="647">
        <v>1</v>
      </c>
      <c r="G1813" s="386">
        <v>37.450000000000003</v>
      </c>
      <c r="H1813" s="332"/>
      <c r="I1813" s="397"/>
      <c r="J1813" s="335"/>
      <c r="K1813" s="374">
        <f t="shared" si="74"/>
        <v>4.3217299999999996</v>
      </c>
      <c r="L1813" s="374">
        <f t="shared" si="75"/>
        <v>0</v>
      </c>
      <c r="M1813" s="330"/>
      <c r="N1813" s="289"/>
      <c r="O1813" s="289"/>
      <c r="P1813" s="289"/>
      <c r="Q1813" s="478"/>
      <c r="R1813" s="525"/>
      <c r="S1813" s="297"/>
      <c r="T1813" s="291"/>
      <c r="U1813" s="291"/>
      <c r="V1813" s="291"/>
    </row>
    <row r="1814" spans="1:22" s="385" customFormat="1" ht="27.75" customHeight="1">
      <c r="A1814" s="331">
        <v>13</v>
      </c>
      <c r="B1814" s="1038" t="s">
        <v>1218</v>
      </c>
      <c r="C1814" s="1039" t="s">
        <v>1544</v>
      </c>
      <c r="D1814" s="1036"/>
      <c r="E1814" s="475" t="s">
        <v>3416</v>
      </c>
      <c r="F1814" s="647">
        <v>1</v>
      </c>
      <c r="G1814" s="386">
        <v>37.450000000000003</v>
      </c>
      <c r="H1814" s="332"/>
      <c r="I1814" s="397"/>
      <c r="J1814" s="335"/>
      <c r="K1814" s="374">
        <f t="shared" si="74"/>
        <v>4.3217299999999996</v>
      </c>
      <c r="L1814" s="374">
        <f t="shared" si="75"/>
        <v>0</v>
      </c>
      <c r="M1814" s="330"/>
      <c r="N1814" s="289"/>
      <c r="O1814" s="289"/>
      <c r="P1814" s="289"/>
      <c r="Q1814" s="478"/>
      <c r="R1814" s="525"/>
      <c r="S1814" s="297"/>
      <c r="T1814" s="291"/>
      <c r="U1814" s="291"/>
      <c r="V1814" s="291"/>
    </row>
    <row r="1815" spans="1:22" s="385" customFormat="1" ht="27.75" customHeight="1">
      <c r="A1815" s="331">
        <v>14</v>
      </c>
      <c r="B1815" s="1038" t="s">
        <v>1229</v>
      </c>
      <c r="C1815" s="1039" t="s">
        <v>1238</v>
      </c>
      <c r="D1815" s="1036"/>
      <c r="E1815" s="475" t="s">
        <v>3416</v>
      </c>
      <c r="F1815" s="647">
        <v>1</v>
      </c>
      <c r="G1815" s="386">
        <v>52.43</v>
      </c>
      <c r="H1815" s="332"/>
      <c r="I1815" s="397"/>
      <c r="J1815" s="335"/>
      <c r="K1815" s="374">
        <f t="shared" si="74"/>
        <v>6.0504220000000002</v>
      </c>
      <c r="L1815" s="374">
        <f t="shared" si="75"/>
        <v>0</v>
      </c>
      <c r="M1815" s="330"/>
      <c r="N1815" s="289"/>
      <c r="O1815" s="289"/>
      <c r="P1815" s="289"/>
      <c r="Q1815" s="478"/>
      <c r="R1815" s="525"/>
      <c r="S1815" s="297"/>
      <c r="T1815" s="291"/>
      <c r="U1815" s="291"/>
      <c r="V1815" s="291"/>
    </row>
    <row r="1816" spans="1:22" s="385" customFormat="1" ht="27.75" customHeight="1">
      <c r="A1816" s="331">
        <v>15</v>
      </c>
      <c r="B1816" s="1038" t="s">
        <v>3691</v>
      </c>
      <c r="C1816" s="1039" t="s">
        <v>3692</v>
      </c>
      <c r="D1816" s="1036"/>
      <c r="E1816" s="475" t="s">
        <v>3416</v>
      </c>
      <c r="F1816" s="647">
        <v>1</v>
      </c>
      <c r="G1816" s="386">
        <v>651.63</v>
      </c>
      <c r="H1816" s="332"/>
      <c r="I1816" s="397"/>
      <c r="J1816" s="335"/>
      <c r="K1816" s="374">
        <f t="shared" si="74"/>
        <v>75.198101999999992</v>
      </c>
      <c r="L1816" s="374">
        <f t="shared" si="75"/>
        <v>0</v>
      </c>
      <c r="M1816" s="330"/>
      <c r="N1816" s="289"/>
      <c r="O1816" s="289"/>
      <c r="P1816" s="289"/>
      <c r="Q1816" s="478"/>
      <c r="R1816" s="525"/>
      <c r="S1816" s="297"/>
      <c r="T1816" s="291"/>
      <c r="U1816" s="291"/>
      <c r="V1816" s="291"/>
    </row>
    <row r="1817" spans="1:22" s="385" customFormat="1" ht="27.75" customHeight="1">
      <c r="A1817" s="331">
        <v>16</v>
      </c>
      <c r="B1817" s="1038" t="s">
        <v>3682</v>
      </c>
      <c r="C1817" s="1039" t="s">
        <v>3693</v>
      </c>
      <c r="D1817" s="1036"/>
      <c r="E1817" s="475" t="s">
        <v>3416</v>
      </c>
      <c r="F1817" s="647">
        <v>1</v>
      </c>
      <c r="G1817" s="386">
        <v>486.85</v>
      </c>
      <c r="H1817" s="332"/>
      <c r="I1817" s="397"/>
      <c r="J1817" s="335"/>
      <c r="K1817" s="374">
        <f t="shared" si="74"/>
        <v>56.182490000000001</v>
      </c>
      <c r="L1817" s="374">
        <f t="shared" si="75"/>
        <v>0</v>
      </c>
      <c r="M1817" s="330"/>
      <c r="N1817" s="289"/>
      <c r="O1817" s="289"/>
      <c r="P1817" s="289"/>
      <c r="Q1817" s="478"/>
      <c r="R1817" s="525"/>
      <c r="S1817" s="297"/>
      <c r="T1817" s="291"/>
      <c r="U1817" s="291"/>
      <c r="V1817" s="291"/>
    </row>
    <row r="1818" spans="1:22" s="385" customFormat="1" ht="27.75" customHeight="1">
      <c r="A1818" s="331">
        <v>17</v>
      </c>
      <c r="B1818" s="1038" t="s">
        <v>1224</v>
      </c>
      <c r="C1818" s="1039" t="s">
        <v>1239</v>
      </c>
      <c r="D1818" s="1036"/>
      <c r="E1818" s="475" t="s">
        <v>3416</v>
      </c>
      <c r="F1818" s="647">
        <v>1</v>
      </c>
      <c r="G1818" s="386">
        <v>1190.9100000000001</v>
      </c>
      <c r="H1818" s="332"/>
      <c r="I1818" s="397"/>
      <c r="J1818" s="335"/>
      <c r="K1818" s="374">
        <f t="shared" si="74"/>
        <v>137.431014</v>
      </c>
      <c r="L1818" s="374">
        <f t="shared" si="75"/>
        <v>0</v>
      </c>
      <c r="M1818" s="330"/>
      <c r="N1818" s="289"/>
      <c r="O1818" s="289"/>
      <c r="P1818" s="289"/>
      <c r="Q1818" s="478"/>
      <c r="R1818" s="525"/>
      <c r="S1818" s="297"/>
      <c r="T1818" s="291"/>
      <c r="U1818" s="291"/>
      <c r="V1818" s="291"/>
    </row>
    <row r="1819" spans="1:22" s="385" customFormat="1" ht="27.75" customHeight="1">
      <c r="A1819" s="331">
        <v>18</v>
      </c>
      <c r="B1819" s="1038" t="s">
        <v>3694</v>
      </c>
      <c r="C1819" s="1039" t="s">
        <v>598</v>
      </c>
      <c r="D1819" s="1036"/>
      <c r="E1819" s="475" t="s">
        <v>3416</v>
      </c>
      <c r="F1819" s="647">
        <v>1</v>
      </c>
      <c r="G1819" s="386">
        <v>53.5</v>
      </c>
      <c r="H1819" s="332"/>
      <c r="I1819" s="397"/>
      <c r="J1819" s="335"/>
      <c r="K1819" s="374">
        <f t="shared" si="74"/>
        <v>6.1738999999999997</v>
      </c>
      <c r="L1819" s="374">
        <f t="shared" si="75"/>
        <v>0</v>
      </c>
      <c r="M1819" s="330"/>
      <c r="N1819" s="289"/>
      <c r="O1819" s="289"/>
      <c r="P1819" s="289"/>
      <c r="Q1819" s="478"/>
      <c r="R1819" s="525"/>
      <c r="S1819" s="297"/>
      <c r="T1819" s="291"/>
      <c r="U1819" s="291"/>
      <c r="V1819" s="291"/>
    </row>
    <row r="1820" spans="1:22" s="385" customFormat="1" ht="27.75" customHeight="1">
      <c r="A1820" s="331">
        <v>19</v>
      </c>
      <c r="B1820" s="1038" t="s">
        <v>1281</v>
      </c>
      <c r="C1820" s="1039" t="s">
        <v>1240</v>
      </c>
      <c r="D1820" s="1036"/>
      <c r="E1820" s="475" t="s">
        <v>3416</v>
      </c>
      <c r="F1820" s="647">
        <v>1</v>
      </c>
      <c r="G1820" s="386">
        <v>906.29</v>
      </c>
      <c r="H1820" s="332"/>
      <c r="I1820" s="397"/>
      <c r="J1820" s="335"/>
      <c r="K1820" s="374">
        <f t="shared" si="74"/>
        <v>104.58586599999998</v>
      </c>
      <c r="L1820" s="374">
        <f t="shared" si="75"/>
        <v>0</v>
      </c>
      <c r="M1820" s="330"/>
      <c r="N1820" s="289"/>
      <c r="O1820" s="289"/>
      <c r="P1820" s="289"/>
      <c r="Q1820" s="478"/>
      <c r="R1820" s="525"/>
      <c r="S1820" s="297"/>
      <c r="T1820" s="291"/>
      <c r="U1820" s="291"/>
      <c r="V1820" s="291"/>
    </row>
    <row r="1821" spans="1:22" s="385" customFormat="1" ht="27.75" customHeight="1">
      <c r="A1821" s="331">
        <v>20</v>
      </c>
      <c r="B1821" s="1038" t="s">
        <v>1233</v>
      </c>
      <c r="C1821" s="1039" t="s">
        <v>1241</v>
      </c>
      <c r="D1821" s="1036"/>
      <c r="E1821" s="475" t="s">
        <v>3416</v>
      </c>
      <c r="F1821" s="647">
        <v>1</v>
      </c>
      <c r="G1821" s="386">
        <v>89.88</v>
      </c>
      <c r="H1821" s="332"/>
      <c r="I1821" s="397"/>
      <c r="J1821" s="335"/>
      <c r="K1821" s="374">
        <f t="shared" si="74"/>
        <v>10.372151999999998</v>
      </c>
      <c r="L1821" s="374">
        <f t="shared" si="75"/>
        <v>0</v>
      </c>
      <c r="M1821" s="330"/>
      <c r="N1821" s="289"/>
      <c r="O1821" s="289"/>
      <c r="P1821" s="289"/>
      <c r="Q1821" s="478"/>
      <c r="R1821" s="525"/>
      <c r="S1821" s="297"/>
      <c r="T1821" s="291"/>
      <c r="U1821" s="291"/>
      <c r="V1821" s="291"/>
    </row>
    <row r="1822" spans="1:22" s="385" customFormat="1" ht="27.75" customHeight="1">
      <c r="A1822" s="331">
        <v>21</v>
      </c>
      <c r="B1822" s="1038" t="s">
        <v>1537</v>
      </c>
      <c r="C1822" s="1039" t="s">
        <v>3345</v>
      </c>
      <c r="D1822" s="1036"/>
      <c r="E1822" s="475" t="s">
        <v>3416</v>
      </c>
      <c r="F1822" s="647">
        <v>1</v>
      </c>
      <c r="G1822" s="386">
        <v>6634</v>
      </c>
      <c r="H1822" s="332"/>
      <c r="I1822" s="397"/>
      <c r="J1822" s="335"/>
      <c r="K1822" s="374">
        <f t="shared" si="74"/>
        <v>765.56359999999995</v>
      </c>
      <c r="L1822" s="374">
        <f t="shared" si="75"/>
        <v>0</v>
      </c>
      <c r="M1822" s="330"/>
      <c r="N1822" s="289"/>
      <c r="O1822" s="289"/>
      <c r="P1822" s="289"/>
      <c r="Q1822" s="478"/>
      <c r="R1822" s="525"/>
      <c r="S1822" s="297"/>
      <c r="T1822" s="291"/>
      <c r="U1822" s="291"/>
      <c r="V1822" s="291"/>
    </row>
    <row r="1823" spans="1:22" s="385" customFormat="1" ht="27.75" customHeight="1">
      <c r="A1823" s="331">
        <v>22</v>
      </c>
      <c r="B1823" s="1038" t="s">
        <v>3695</v>
      </c>
      <c r="C1823" s="1039" t="s">
        <v>3696</v>
      </c>
      <c r="D1823" s="1036"/>
      <c r="E1823" s="475" t="s">
        <v>3416</v>
      </c>
      <c r="F1823" s="647">
        <v>1</v>
      </c>
      <c r="G1823" s="386">
        <v>599.20000000000005</v>
      </c>
      <c r="H1823" s="332"/>
      <c r="I1823" s="397"/>
      <c r="J1823" s="335"/>
      <c r="K1823" s="374">
        <f t="shared" si="74"/>
        <v>69.147679999999994</v>
      </c>
      <c r="L1823" s="374">
        <f t="shared" si="75"/>
        <v>0</v>
      </c>
      <c r="M1823" s="330"/>
      <c r="N1823" s="289"/>
      <c r="O1823" s="289"/>
      <c r="P1823" s="289"/>
      <c r="Q1823" s="478"/>
      <c r="R1823" s="525"/>
      <c r="S1823" s="297"/>
      <c r="T1823" s="291"/>
      <c r="U1823" s="291"/>
      <c r="V1823" s="291"/>
    </row>
    <row r="1824" spans="1:22" s="385" customFormat="1" ht="27.75" customHeight="1">
      <c r="A1824" s="331">
        <v>23</v>
      </c>
      <c r="B1824" s="1038" t="s">
        <v>3697</v>
      </c>
      <c r="C1824" s="1039" t="s">
        <v>3698</v>
      </c>
      <c r="D1824" s="1036"/>
      <c r="E1824" s="475" t="s">
        <v>3416</v>
      </c>
      <c r="F1824" s="647">
        <v>1</v>
      </c>
      <c r="G1824" s="386">
        <v>171.2</v>
      </c>
      <c r="H1824" s="332"/>
      <c r="I1824" s="397"/>
      <c r="J1824" s="335"/>
      <c r="K1824" s="374">
        <f t="shared" si="74"/>
        <v>19.756479999999996</v>
      </c>
      <c r="L1824" s="374">
        <f t="shared" si="75"/>
        <v>0</v>
      </c>
      <c r="M1824" s="330"/>
      <c r="N1824" s="289"/>
      <c r="O1824" s="289"/>
      <c r="P1824" s="289"/>
      <c r="Q1824" s="478"/>
      <c r="R1824" s="525"/>
      <c r="S1824" s="297"/>
      <c r="T1824" s="291"/>
      <c r="U1824" s="291"/>
      <c r="V1824" s="291"/>
    </row>
    <row r="1825" spans="1:22" s="385" customFormat="1" ht="27.75" customHeight="1">
      <c r="A1825" s="331">
        <v>24</v>
      </c>
      <c r="B1825" s="1038" t="s">
        <v>3699</v>
      </c>
      <c r="C1825" s="1039" t="s">
        <v>3700</v>
      </c>
      <c r="D1825" s="1036"/>
      <c r="E1825" s="475" t="s">
        <v>3416</v>
      </c>
      <c r="F1825" s="647">
        <v>1</v>
      </c>
      <c r="G1825" s="386">
        <v>4675.8999999999996</v>
      </c>
      <c r="H1825" s="332"/>
      <c r="I1825" s="397"/>
      <c r="J1825" s="335"/>
      <c r="K1825" s="374">
        <f t="shared" si="74"/>
        <v>539.59885999999995</v>
      </c>
      <c r="L1825" s="374">
        <f t="shared" si="75"/>
        <v>0</v>
      </c>
      <c r="M1825" s="330"/>
      <c r="N1825" s="289"/>
      <c r="O1825" s="289"/>
      <c r="P1825" s="289"/>
      <c r="Q1825" s="478"/>
      <c r="R1825" s="525"/>
      <c r="S1825" s="297"/>
      <c r="T1825" s="291"/>
      <c r="U1825" s="291"/>
      <c r="V1825" s="291"/>
    </row>
    <row r="1826" spans="1:22" s="385" customFormat="1" ht="27.75" customHeight="1">
      <c r="A1826" s="331">
        <v>25</v>
      </c>
      <c r="B1826" s="1038" t="s">
        <v>3701</v>
      </c>
      <c r="C1826" s="1039" t="s">
        <v>3702</v>
      </c>
      <c r="D1826" s="1036"/>
      <c r="E1826" s="475" t="s">
        <v>3416</v>
      </c>
      <c r="F1826" s="647">
        <v>1</v>
      </c>
      <c r="G1826" s="386">
        <v>1904.6</v>
      </c>
      <c r="H1826" s="332"/>
      <c r="I1826" s="397"/>
      <c r="J1826" s="335"/>
      <c r="K1826" s="374">
        <f t="shared" si="74"/>
        <v>219.79084</v>
      </c>
      <c r="L1826" s="374">
        <f t="shared" si="75"/>
        <v>0</v>
      </c>
      <c r="M1826" s="330"/>
      <c r="N1826" s="289"/>
      <c r="O1826" s="289"/>
      <c r="P1826" s="289"/>
      <c r="Q1826" s="478"/>
      <c r="R1826" s="525"/>
      <c r="S1826" s="297"/>
      <c r="T1826" s="291"/>
      <c r="U1826" s="291"/>
      <c r="V1826" s="291"/>
    </row>
    <row r="1827" spans="1:22" s="385" customFormat="1" ht="27.75" customHeight="1">
      <c r="A1827" s="331">
        <v>26</v>
      </c>
      <c r="B1827" s="1038" t="s">
        <v>1545</v>
      </c>
      <c r="C1827" s="1039" t="s">
        <v>3700</v>
      </c>
      <c r="D1827" s="1036"/>
      <c r="E1827" s="475" t="s">
        <v>3416</v>
      </c>
      <c r="F1827" s="647">
        <v>1</v>
      </c>
      <c r="G1827" s="386">
        <v>1284</v>
      </c>
      <c r="H1827" s="332"/>
      <c r="I1827" s="397"/>
      <c r="J1827" s="335"/>
      <c r="K1827" s="374">
        <f t="shared" si="74"/>
        <v>148.17359999999999</v>
      </c>
      <c r="L1827" s="374">
        <f t="shared" si="75"/>
        <v>0</v>
      </c>
      <c r="M1827" s="330"/>
      <c r="N1827" s="289"/>
      <c r="O1827" s="289"/>
      <c r="P1827" s="289"/>
      <c r="Q1827" s="478"/>
      <c r="R1827" s="525"/>
      <c r="S1827" s="297"/>
      <c r="T1827" s="291"/>
      <c r="U1827" s="291"/>
      <c r="V1827" s="291"/>
    </row>
    <row r="1828" spans="1:22" s="385" customFormat="1" ht="27.75" customHeight="1">
      <c r="A1828" s="331">
        <v>27</v>
      </c>
      <c r="B1828" s="1038" t="s">
        <v>3703</v>
      </c>
      <c r="C1828" s="1039" t="s">
        <v>3700</v>
      </c>
      <c r="D1828" s="1036"/>
      <c r="E1828" s="475" t="s">
        <v>3416</v>
      </c>
      <c r="F1828" s="647">
        <v>1</v>
      </c>
      <c r="G1828" s="386">
        <v>577.79999999999995</v>
      </c>
      <c r="H1828" s="332"/>
      <c r="I1828" s="397"/>
      <c r="J1828" s="335"/>
      <c r="K1828" s="374">
        <f t="shared" si="74"/>
        <v>66.678119999999993</v>
      </c>
      <c r="L1828" s="374">
        <f t="shared" si="75"/>
        <v>0</v>
      </c>
      <c r="M1828" s="330"/>
      <c r="N1828" s="289"/>
      <c r="O1828" s="289"/>
      <c r="P1828" s="289"/>
      <c r="Q1828" s="478"/>
      <c r="R1828" s="525"/>
      <c r="S1828" s="297"/>
      <c r="T1828" s="291"/>
      <c r="U1828" s="291"/>
      <c r="V1828" s="291"/>
    </row>
    <row r="1829" spans="1:22" s="385" customFormat="1" ht="27.75" customHeight="1">
      <c r="A1829" s="331">
        <v>28</v>
      </c>
      <c r="B1829" s="1038" t="s">
        <v>3704</v>
      </c>
      <c r="C1829" s="1039" t="s">
        <v>1451</v>
      </c>
      <c r="D1829" s="1036"/>
      <c r="E1829" s="475" t="s">
        <v>3416</v>
      </c>
      <c r="F1829" s="647">
        <v>1</v>
      </c>
      <c r="G1829" s="386">
        <v>53.5</v>
      </c>
      <c r="H1829" s="332"/>
      <c r="I1829" s="397"/>
      <c r="J1829" s="335"/>
      <c r="K1829" s="374">
        <f t="shared" si="74"/>
        <v>6.1738999999999997</v>
      </c>
      <c r="L1829" s="374">
        <f t="shared" si="75"/>
        <v>0</v>
      </c>
      <c r="M1829" s="330"/>
      <c r="N1829" s="289"/>
      <c r="O1829" s="289"/>
      <c r="P1829" s="289"/>
      <c r="Q1829" s="478"/>
      <c r="R1829" s="525"/>
      <c r="S1829" s="297"/>
      <c r="T1829" s="291"/>
      <c r="U1829" s="291"/>
      <c r="V1829" s="291"/>
    </row>
    <row r="1830" spans="1:22" s="385" customFormat="1" ht="27.75" customHeight="1" thickBot="1">
      <c r="A1830" s="331"/>
      <c r="B1830" s="1038"/>
      <c r="C1830" s="1039"/>
      <c r="D1830" s="1036"/>
      <c r="E1830" s="475"/>
      <c r="F1830" s="647"/>
      <c r="G1830" s="386"/>
      <c r="H1830" s="332"/>
      <c r="I1830" s="397"/>
      <c r="J1830" s="335"/>
      <c r="K1830" s="374">
        <f t="shared" si="74"/>
        <v>0</v>
      </c>
      <c r="L1830" s="374">
        <f t="shared" si="75"/>
        <v>0</v>
      </c>
      <c r="M1830" s="330"/>
      <c r="N1830" s="289"/>
      <c r="O1830" s="289"/>
      <c r="P1830" s="289"/>
      <c r="Q1830" s="478"/>
      <c r="R1830" s="525"/>
      <c r="S1830" s="297"/>
      <c r="T1830" s="291"/>
      <c r="U1830" s="291"/>
      <c r="V1830" s="291"/>
    </row>
    <row r="1831" spans="1:22" s="570" customFormat="1" ht="27.75" customHeight="1" thickTop="1" thickBot="1">
      <c r="A1831" s="558"/>
      <c r="B1831" s="562"/>
      <c r="C1831" s="559"/>
      <c r="D1831" s="1040"/>
      <c r="E1831" s="561"/>
      <c r="F1831" s="558"/>
      <c r="G1831" s="1005"/>
      <c r="H1831" s="562"/>
      <c r="I1831" s="563"/>
      <c r="J1831" s="561"/>
      <c r="K1831" s="374">
        <f t="shared" si="74"/>
        <v>0</v>
      </c>
      <c r="L1831" s="564">
        <f t="shared" si="75"/>
        <v>0</v>
      </c>
      <c r="M1831" s="565"/>
      <c r="N1831" s="566">
        <f>SUM(G1801:G1831)</f>
        <v>28214.830000000005</v>
      </c>
      <c r="O1831" s="566">
        <f>SUM(J1801:J1831)</f>
        <v>99482.790000000008</v>
      </c>
      <c r="P1831" s="566">
        <f>+N1831+O1831</f>
        <v>127697.62000000001</v>
      </c>
      <c r="Q1831" s="1006">
        <f>SUM(D1801:D1830)</f>
        <v>0</v>
      </c>
      <c r="R1831" s="568" t="s">
        <v>33</v>
      </c>
      <c r="S1831" s="569"/>
      <c r="T1831" s="566"/>
      <c r="U1831" s="566">
        <f>+J1831</f>
        <v>0</v>
      </c>
      <c r="V1831" s="566"/>
    </row>
    <row r="1832" spans="1:22" s="455" customFormat="1" ht="27.75" customHeight="1" thickTop="1">
      <c r="A1832" s="331"/>
      <c r="B1832" s="332" t="s">
        <v>73</v>
      </c>
      <c r="C1832" s="393"/>
      <c r="D1832" s="1041"/>
      <c r="E1832" s="335"/>
      <c r="F1832" s="331"/>
      <c r="G1832" s="386"/>
      <c r="H1832" s="332"/>
      <c r="I1832" s="397"/>
      <c r="J1832" s="335"/>
      <c r="K1832" s="374">
        <f t="shared" si="74"/>
        <v>0</v>
      </c>
      <c r="L1832" s="374">
        <f t="shared" si="75"/>
        <v>0</v>
      </c>
      <c r="M1832" s="330"/>
      <c r="N1832" s="289"/>
      <c r="O1832" s="289"/>
      <c r="P1832" s="289"/>
      <c r="Q1832" s="478"/>
      <c r="R1832" s="479"/>
      <c r="S1832" s="483"/>
      <c r="T1832" s="452"/>
      <c r="U1832" s="452"/>
      <c r="V1832" s="452"/>
    </row>
    <row r="1833" spans="1:22" s="455" customFormat="1" ht="27.75" customHeight="1">
      <c r="A1833" s="331">
        <v>1</v>
      </c>
      <c r="B1833" s="332" t="s">
        <v>173</v>
      </c>
      <c r="C1833" s="393" t="s">
        <v>1546</v>
      </c>
      <c r="D1833" s="1041"/>
      <c r="E1833" s="335"/>
      <c r="F1833" s="331"/>
      <c r="G1833" s="386"/>
      <c r="H1833" s="332" t="s">
        <v>195</v>
      </c>
      <c r="I1833" s="397">
        <v>4</v>
      </c>
      <c r="J1833" s="335">
        <v>400</v>
      </c>
      <c r="K1833" s="374"/>
      <c r="L1833" s="374">
        <f t="shared" si="75"/>
        <v>400</v>
      </c>
      <c r="M1833" s="330"/>
      <c r="N1833" s="289"/>
      <c r="O1833" s="289"/>
      <c r="P1833" s="289"/>
      <c r="Q1833" s="478"/>
      <c r="R1833" s="479"/>
      <c r="S1833" s="483"/>
      <c r="T1833" s="452"/>
      <c r="U1833" s="452"/>
      <c r="V1833" s="452"/>
    </row>
    <row r="1834" spans="1:22" s="455" customFormat="1" ht="27.75" customHeight="1">
      <c r="A1834" s="331">
        <v>2</v>
      </c>
      <c r="B1834" s="332" t="s">
        <v>3669</v>
      </c>
      <c r="C1834" s="393" t="s">
        <v>3673</v>
      </c>
      <c r="D1834" s="1041"/>
      <c r="E1834" s="335" t="s">
        <v>3416</v>
      </c>
      <c r="F1834" s="331">
        <v>1</v>
      </c>
      <c r="G1834" s="386">
        <v>100</v>
      </c>
      <c r="H1834" s="332"/>
      <c r="I1834" s="397"/>
      <c r="J1834" s="335"/>
      <c r="K1834" s="374">
        <f t="shared" si="74"/>
        <v>11.54</v>
      </c>
      <c r="L1834" s="374">
        <f t="shared" si="75"/>
        <v>0</v>
      </c>
      <c r="M1834" s="330"/>
      <c r="N1834" s="289"/>
      <c r="O1834" s="289"/>
      <c r="P1834" s="289"/>
      <c r="Q1834" s="478"/>
      <c r="R1834" s="479"/>
      <c r="S1834" s="483"/>
      <c r="T1834" s="452"/>
      <c r="U1834" s="452"/>
      <c r="V1834" s="452"/>
    </row>
    <row r="1835" spans="1:22" s="455" customFormat="1" ht="27.75" customHeight="1">
      <c r="A1835" s="331">
        <v>3</v>
      </c>
      <c r="B1835" s="332" t="s">
        <v>3674</v>
      </c>
      <c r="C1835" s="393" t="s">
        <v>3675</v>
      </c>
      <c r="D1835" s="1041"/>
      <c r="E1835" s="335" t="s">
        <v>3416</v>
      </c>
      <c r="F1835" s="331">
        <v>1</v>
      </c>
      <c r="G1835" s="386">
        <v>100</v>
      </c>
      <c r="H1835" s="332"/>
      <c r="I1835" s="397"/>
      <c r="J1835" s="335"/>
      <c r="K1835" s="374">
        <f t="shared" si="74"/>
        <v>11.54</v>
      </c>
      <c r="L1835" s="374">
        <f t="shared" si="75"/>
        <v>0</v>
      </c>
      <c r="M1835" s="330"/>
      <c r="N1835" s="289"/>
      <c r="O1835" s="289"/>
      <c r="P1835" s="289"/>
      <c r="Q1835" s="478"/>
      <c r="R1835" s="479"/>
      <c r="S1835" s="483"/>
      <c r="T1835" s="452"/>
      <c r="U1835" s="452"/>
      <c r="V1835" s="452"/>
    </row>
    <row r="1836" spans="1:22" s="455" customFormat="1" ht="27.75" customHeight="1">
      <c r="A1836" s="331">
        <v>4</v>
      </c>
      <c r="B1836" s="332" t="s">
        <v>1221</v>
      </c>
      <c r="C1836" s="393" t="s">
        <v>1222</v>
      </c>
      <c r="D1836" s="1041"/>
      <c r="E1836" s="335" t="s">
        <v>3416</v>
      </c>
      <c r="F1836" s="331">
        <v>1</v>
      </c>
      <c r="G1836" s="386">
        <v>100</v>
      </c>
      <c r="H1836" s="332"/>
      <c r="I1836" s="397"/>
      <c r="J1836" s="335"/>
      <c r="K1836" s="374">
        <f t="shared" si="74"/>
        <v>11.54</v>
      </c>
      <c r="L1836" s="374">
        <f t="shared" si="75"/>
        <v>0</v>
      </c>
      <c r="M1836" s="330"/>
      <c r="N1836" s="289"/>
      <c r="O1836" s="289"/>
      <c r="P1836" s="289"/>
      <c r="Q1836" s="478"/>
      <c r="R1836" s="479"/>
      <c r="S1836" s="483"/>
      <c r="T1836" s="452"/>
      <c r="U1836" s="452"/>
      <c r="V1836" s="452"/>
    </row>
    <row r="1837" spans="1:22" s="455" customFormat="1" ht="27.75" customHeight="1" thickBot="1">
      <c r="A1837" s="331">
        <v>5</v>
      </c>
      <c r="B1837" s="332" t="s">
        <v>1216</v>
      </c>
      <c r="C1837" s="393" t="s">
        <v>1223</v>
      </c>
      <c r="D1837" s="1041"/>
      <c r="E1837" s="335" t="s">
        <v>3416</v>
      </c>
      <c r="F1837" s="331">
        <v>1</v>
      </c>
      <c r="G1837" s="386">
        <v>100</v>
      </c>
      <c r="H1837" s="332"/>
      <c r="I1837" s="397"/>
      <c r="J1837" s="335"/>
      <c r="K1837" s="374">
        <f t="shared" si="74"/>
        <v>11.54</v>
      </c>
      <c r="L1837" s="374">
        <f t="shared" si="75"/>
        <v>0</v>
      </c>
      <c r="M1837" s="330"/>
      <c r="N1837" s="289"/>
      <c r="O1837" s="289"/>
      <c r="P1837" s="289"/>
      <c r="Q1837" s="478"/>
      <c r="R1837" s="479"/>
      <c r="S1837" s="483"/>
      <c r="T1837" s="452"/>
      <c r="U1837" s="452"/>
      <c r="V1837" s="452"/>
    </row>
    <row r="1838" spans="1:22" s="570" customFormat="1" ht="27.75" customHeight="1" thickTop="1" thickBot="1">
      <c r="A1838" s="558"/>
      <c r="B1838" s="562"/>
      <c r="C1838" s="560"/>
      <c r="D1838" s="1026"/>
      <c r="E1838" s="561"/>
      <c r="F1838" s="558"/>
      <c r="G1838" s="1028"/>
      <c r="H1838" s="1042"/>
      <c r="I1838" s="558"/>
      <c r="J1838" s="564"/>
      <c r="K1838" s="374">
        <f t="shared" si="74"/>
        <v>0</v>
      </c>
      <c r="L1838" s="374">
        <f t="shared" si="75"/>
        <v>0</v>
      </c>
      <c r="M1838" s="565"/>
      <c r="N1838" s="566">
        <f>SUM(G1832:G1837)</f>
        <v>400</v>
      </c>
      <c r="O1838" s="566">
        <f>SUM(J1832:J1838)</f>
        <v>400</v>
      </c>
      <c r="P1838" s="566">
        <f>+N1838+O1838</f>
        <v>800</v>
      </c>
      <c r="Q1838" s="1006">
        <f>SUM(D1832:D1837)</f>
        <v>0</v>
      </c>
      <c r="R1838" s="568" t="s">
        <v>178</v>
      </c>
      <c r="S1838" s="569"/>
      <c r="T1838" s="566">
        <f>+J1838</f>
        <v>0</v>
      </c>
      <c r="U1838" s="566"/>
      <c r="V1838" s="566"/>
    </row>
    <row r="1839" spans="1:22" s="385" customFormat="1" ht="27.75" customHeight="1" thickTop="1">
      <c r="A1839" s="331"/>
      <c r="B1839" s="584" t="s">
        <v>70</v>
      </c>
      <c r="C1839" s="584"/>
      <c r="D1839" s="1004"/>
      <c r="E1839" s="608"/>
      <c r="F1839" s="647"/>
      <c r="G1839" s="336"/>
      <c r="H1839" s="334"/>
      <c r="I1839" s="1043"/>
      <c r="J1839" s="335"/>
      <c r="K1839" s="374">
        <f t="shared" si="74"/>
        <v>0</v>
      </c>
      <c r="L1839" s="374">
        <f t="shared" ref="L1839:L1860" si="76">+J1839</f>
        <v>0</v>
      </c>
      <c r="M1839" s="330"/>
      <c r="N1839" s="289"/>
      <c r="O1839" s="289"/>
      <c r="P1839" s="289"/>
      <c r="Q1839" s="289"/>
      <c r="S1839" s="291"/>
      <c r="T1839" s="291"/>
      <c r="U1839" s="291"/>
      <c r="V1839" s="291"/>
    </row>
    <row r="1840" spans="1:22" s="385" customFormat="1" ht="27.75" customHeight="1">
      <c r="A1840" s="331">
        <v>1</v>
      </c>
      <c r="B1840" s="584" t="s">
        <v>3271</v>
      </c>
      <c r="C1840" s="584" t="s">
        <v>640</v>
      </c>
      <c r="D1840" s="1004">
        <v>2140</v>
      </c>
      <c r="E1840" s="608"/>
      <c r="F1840" s="647"/>
      <c r="G1840" s="336"/>
      <c r="H1840" s="334"/>
      <c r="I1840" s="1043"/>
      <c r="J1840" s="335"/>
      <c r="K1840" s="374">
        <f t="shared" si="74"/>
        <v>0</v>
      </c>
      <c r="L1840" s="374">
        <f t="shared" si="76"/>
        <v>0</v>
      </c>
      <c r="M1840" s="330"/>
      <c r="N1840" s="289"/>
      <c r="O1840" s="289"/>
      <c r="P1840" s="289"/>
      <c r="Q1840" s="289"/>
      <c r="S1840" s="291"/>
      <c r="T1840" s="291"/>
      <c r="U1840" s="291"/>
      <c r="V1840" s="291"/>
    </row>
    <row r="1841" spans="1:22" s="385" customFormat="1" ht="27.75" customHeight="1">
      <c r="A1841" s="331">
        <v>2</v>
      </c>
      <c r="B1841" s="584" t="s">
        <v>3271</v>
      </c>
      <c r="C1841" s="584" t="s">
        <v>791</v>
      </c>
      <c r="D1841" s="1004">
        <v>3210</v>
      </c>
      <c r="E1841" s="608"/>
      <c r="F1841" s="647"/>
      <c r="G1841" s="336"/>
      <c r="H1841" s="334"/>
      <c r="I1841" s="1043"/>
      <c r="J1841" s="335"/>
      <c r="K1841" s="374">
        <f t="shared" si="74"/>
        <v>0</v>
      </c>
      <c r="L1841" s="374">
        <f t="shared" si="76"/>
        <v>0</v>
      </c>
      <c r="M1841" s="330"/>
      <c r="N1841" s="289"/>
      <c r="O1841" s="289"/>
      <c r="P1841" s="289"/>
      <c r="Q1841" s="289"/>
      <c r="S1841" s="291"/>
      <c r="T1841" s="291"/>
      <c r="U1841" s="291"/>
      <c r="V1841" s="291"/>
    </row>
    <row r="1842" spans="1:22" s="385" customFormat="1" ht="27.75" customHeight="1">
      <c r="A1842" s="331">
        <v>3</v>
      </c>
      <c r="B1842" s="584" t="s">
        <v>2780</v>
      </c>
      <c r="C1842" s="584" t="s">
        <v>2050</v>
      </c>
      <c r="D1842" s="1004"/>
      <c r="E1842" s="608" t="s">
        <v>3668</v>
      </c>
      <c r="F1842" s="647">
        <v>1</v>
      </c>
      <c r="G1842" s="336">
        <v>3156.5</v>
      </c>
      <c r="H1842" s="334"/>
      <c r="I1842" s="1043"/>
      <c r="J1842" s="335"/>
      <c r="K1842" s="374">
        <f t="shared" si="74"/>
        <v>364.26009999999997</v>
      </c>
      <c r="L1842" s="374">
        <f t="shared" si="76"/>
        <v>0</v>
      </c>
      <c r="M1842" s="330"/>
      <c r="N1842" s="289"/>
      <c r="O1842" s="289"/>
      <c r="P1842" s="289"/>
      <c r="Q1842" s="289"/>
      <c r="S1842" s="291"/>
      <c r="T1842" s="291"/>
      <c r="U1842" s="291"/>
      <c r="V1842" s="291"/>
    </row>
    <row r="1843" spans="1:22" s="385" customFormat="1" ht="27.75" customHeight="1" thickBot="1">
      <c r="A1843" s="331"/>
      <c r="B1843" s="584"/>
      <c r="C1843" s="584"/>
      <c r="D1843" s="502"/>
      <c r="E1843" s="382"/>
      <c r="F1843" s="379"/>
      <c r="G1843" s="386"/>
      <c r="H1843" s="334"/>
      <c r="I1843" s="1043"/>
      <c r="J1843" s="335"/>
      <c r="K1843" s="374">
        <f t="shared" si="74"/>
        <v>0</v>
      </c>
      <c r="L1843" s="374">
        <f t="shared" si="76"/>
        <v>0</v>
      </c>
      <c r="M1843" s="330"/>
      <c r="N1843" s="289"/>
      <c r="O1843" s="289"/>
      <c r="P1843" s="289"/>
      <c r="Q1843" s="289"/>
      <c r="S1843" s="291"/>
      <c r="T1843" s="291"/>
      <c r="U1843" s="291"/>
      <c r="V1843" s="291"/>
    </row>
    <row r="1844" spans="1:22" s="570" customFormat="1" ht="27.75" customHeight="1" thickTop="1" thickBot="1">
      <c r="A1844" s="558"/>
      <c r="B1844" s="1010"/>
      <c r="C1844" s="1044"/>
      <c r="D1844" s="1045"/>
      <c r="E1844" s="561"/>
      <c r="F1844" s="558"/>
      <c r="G1844" s="1005"/>
      <c r="H1844" s="562"/>
      <c r="I1844" s="563"/>
      <c r="J1844" s="561"/>
      <c r="K1844" s="374">
        <f t="shared" si="74"/>
        <v>0</v>
      </c>
      <c r="L1844" s="564">
        <f t="shared" si="76"/>
        <v>0</v>
      </c>
      <c r="M1844" s="565"/>
      <c r="N1844" s="566">
        <f>SUM(G1840:G1844)</f>
        <v>3156.5</v>
      </c>
      <c r="O1844" s="566">
        <f>SUM(J1839:J1844)</f>
        <v>0</v>
      </c>
      <c r="P1844" s="566">
        <f>SUM(N1844:O1844)</f>
        <v>3156.5</v>
      </c>
      <c r="Q1844" s="567">
        <f>SUM(D1839:D1843)</f>
        <v>5350</v>
      </c>
      <c r="R1844" s="568" t="s">
        <v>357</v>
      </c>
      <c r="S1844" s="569"/>
      <c r="T1844" s="566"/>
      <c r="U1844" s="566"/>
      <c r="V1844" s="566"/>
    </row>
    <row r="1845" spans="1:22" ht="27.75" customHeight="1" thickTop="1">
      <c r="B1845" s="1046" t="s">
        <v>2003</v>
      </c>
      <c r="C1845" s="702"/>
      <c r="D1845" s="505"/>
      <c r="G1845" s="386"/>
      <c r="H1845" s="332"/>
      <c r="I1845" s="397"/>
      <c r="J1845" s="335"/>
      <c r="K1845" s="374">
        <f t="shared" si="74"/>
        <v>0</v>
      </c>
      <c r="L1845" s="338">
        <f t="shared" si="76"/>
        <v>0</v>
      </c>
      <c r="Q1845" s="478"/>
      <c r="R1845" s="479"/>
      <c r="S1845" s="287"/>
      <c r="T1845" s="289"/>
      <c r="U1845" s="289"/>
      <c r="V1845" s="289"/>
    </row>
    <row r="1846" spans="1:22" ht="27.75" customHeight="1">
      <c r="A1846" s="331">
        <v>1</v>
      </c>
      <c r="B1846" s="363" t="s">
        <v>976</v>
      </c>
      <c r="C1846" s="702" t="s">
        <v>977</v>
      </c>
      <c r="D1846" s="505"/>
      <c r="G1846" s="386"/>
      <c r="H1846" s="332"/>
      <c r="I1846" s="397"/>
      <c r="J1846" s="335">
        <v>6000</v>
      </c>
      <c r="K1846" s="374">
        <f t="shared" si="74"/>
        <v>0</v>
      </c>
      <c r="L1846" s="338">
        <f t="shared" si="76"/>
        <v>6000</v>
      </c>
      <c r="Q1846" s="478"/>
      <c r="R1846" s="479"/>
      <c r="S1846" s="287"/>
      <c r="T1846" s="289"/>
      <c r="U1846" s="289"/>
      <c r="V1846" s="289"/>
    </row>
    <row r="1847" spans="1:22" ht="27.75" customHeight="1">
      <c r="B1847" s="363"/>
      <c r="C1847" s="702"/>
      <c r="D1847" s="505"/>
      <c r="G1847" s="386"/>
      <c r="H1847" s="332"/>
      <c r="I1847" s="397"/>
      <c r="J1847" s="335"/>
      <c r="K1847" s="374">
        <f t="shared" ref="K1847:K1861" si="77">G1847*11.54/100</f>
        <v>0</v>
      </c>
      <c r="L1847" s="338">
        <f t="shared" si="76"/>
        <v>0</v>
      </c>
      <c r="Q1847" s="478"/>
      <c r="R1847" s="479"/>
      <c r="S1847" s="287"/>
      <c r="T1847" s="289"/>
      <c r="U1847" s="289"/>
      <c r="V1847" s="289"/>
    </row>
    <row r="1848" spans="1:22" ht="27.75" customHeight="1">
      <c r="B1848" s="363"/>
      <c r="C1848" s="702"/>
      <c r="D1848" s="505"/>
      <c r="G1848" s="386"/>
      <c r="H1848" s="332"/>
      <c r="I1848" s="397"/>
      <c r="J1848" s="335"/>
      <c r="K1848" s="374">
        <f t="shared" si="77"/>
        <v>0</v>
      </c>
      <c r="L1848" s="338">
        <f t="shared" si="76"/>
        <v>0</v>
      </c>
      <c r="Q1848" s="478"/>
      <c r="R1848" s="479"/>
      <c r="S1848" s="287"/>
      <c r="T1848" s="289"/>
      <c r="U1848" s="289"/>
      <c r="V1848" s="289"/>
    </row>
    <row r="1849" spans="1:22" s="1056" customFormat="1" ht="27.75" customHeight="1">
      <c r="A1849" s="1047"/>
      <c r="B1849" s="1048"/>
      <c r="C1849" s="1048"/>
      <c r="D1849" s="1049"/>
      <c r="E1849" s="1050"/>
      <c r="F1849" s="1047"/>
      <c r="G1849" s="1051"/>
      <c r="H1849" s="1052"/>
      <c r="I1849" s="1053"/>
      <c r="J1849" s="1050"/>
      <c r="K1849" s="374">
        <f t="shared" si="77"/>
        <v>0</v>
      </c>
      <c r="L1849" s="1049">
        <f t="shared" si="76"/>
        <v>0</v>
      </c>
      <c r="M1849" s="1054"/>
      <c r="N1849" s="1055">
        <f>SUM(G1846:G1849)</f>
        <v>0</v>
      </c>
      <c r="O1849" s="1055">
        <f>SUM(J1846:J1849)</f>
        <v>6000</v>
      </c>
      <c r="P1849" s="1055">
        <f>+N1849+O1849</f>
        <v>6000</v>
      </c>
      <c r="Q1849" s="1055">
        <f>SUM(D1846:D1848)</f>
        <v>0</v>
      </c>
      <c r="R1849" s="1056" t="s">
        <v>2003</v>
      </c>
      <c r="S1849" s="1055"/>
      <c r="T1849" s="1055"/>
      <c r="U1849" s="1055"/>
      <c r="V1849" s="1055"/>
    </row>
    <row r="1850" spans="1:22" ht="27.75" customHeight="1">
      <c r="B1850" s="1057" t="s">
        <v>219</v>
      </c>
      <c r="C1850" s="333"/>
      <c r="D1850" s="374"/>
      <c r="E1850" s="475"/>
      <c r="F1850" s="647"/>
      <c r="G1850" s="386"/>
      <c r="H1850" s="387"/>
      <c r="I1850" s="583"/>
      <c r="J1850" s="382"/>
      <c r="K1850" s="374">
        <f t="shared" si="77"/>
        <v>0</v>
      </c>
      <c r="L1850" s="374">
        <f t="shared" si="76"/>
        <v>0</v>
      </c>
    </row>
    <row r="1851" spans="1:22" ht="27.75" customHeight="1">
      <c r="A1851" s="331">
        <v>1</v>
      </c>
      <c r="B1851" s="524" t="s">
        <v>976</v>
      </c>
      <c r="C1851" s="333" t="s">
        <v>1004</v>
      </c>
      <c r="D1851" s="374"/>
      <c r="E1851" s="475"/>
      <c r="F1851" s="647"/>
      <c r="G1851" s="386"/>
      <c r="H1851" s="387" t="s">
        <v>1005</v>
      </c>
      <c r="I1851" s="583"/>
      <c r="J1851" s="382">
        <v>15813.94</v>
      </c>
      <c r="K1851" s="374">
        <f t="shared" si="77"/>
        <v>0</v>
      </c>
      <c r="L1851" s="374">
        <f t="shared" si="76"/>
        <v>15813.94</v>
      </c>
    </row>
    <row r="1852" spans="1:22" ht="27.6" customHeight="1">
      <c r="A1852" s="331">
        <v>2</v>
      </c>
      <c r="B1852" s="524" t="s">
        <v>1128</v>
      </c>
      <c r="C1852" s="333" t="s">
        <v>1129</v>
      </c>
      <c r="D1852" s="374"/>
      <c r="E1852" s="475"/>
      <c r="F1852" s="647"/>
      <c r="G1852" s="386"/>
      <c r="H1852" s="387" t="s">
        <v>217</v>
      </c>
      <c r="I1852" s="583"/>
      <c r="J1852" s="382">
        <v>14471.5</v>
      </c>
      <c r="K1852" s="374">
        <f t="shared" si="77"/>
        <v>0</v>
      </c>
      <c r="L1852" s="374">
        <f t="shared" si="76"/>
        <v>14471.5</v>
      </c>
    </row>
    <row r="1853" spans="1:22" ht="27.75" customHeight="1">
      <c r="B1853" s="524"/>
      <c r="C1853" s="333"/>
      <c r="D1853" s="374"/>
      <c r="E1853" s="475"/>
      <c r="F1853" s="647"/>
      <c r="G1853" s="386"/>
      <c r="H1853" s="387"/>
      <c r="I1853" s="583"/>
      <c r="J1853" s="382"/>
      <c r="K1853" s="374">
        <f t="shared" si="77"/>
        <v>0</v>
      </c>
      <c r="L1853" s="374">
        <f t="shared" si="76"/>
        <v>0</v>
      </c>
    </row>
    <row r="1854" spans="1:22" s="385" customFormat="1" ht="27.75" customHeight="1">
      <c r="A1854" s="331"/>
      <c r="B1854" s="577"/>
      <c r="C1854" s="584"/>
      <c r="D1854" s="1008"/>
      <c r="E1854" s="335"/>
      <c r="F1854" s="505"/>
      <c r="G1854" s="336"/>
      <c r="H1854" s="506"/>
      <c r="I1854" s="647"/>
      <c r="J1854" s="1058"/>
      <c r="K1854" s="374">
        <f t="shared" si="77"/>
        <v>0</v>
      </c>
      <c r="L1854" s="374"/>
      <c r="M1854" s="330"/>
      <c r="N1854" s="288"/>
      <c r="O1854" s="288"/>
      <c r="P1854" s="288"/>
      <c r="Q1854" s="288"/>
      <c r="S1854" s="291"/>
      <c r="T1854" s="291"/>
      <c r="U1854" s="291"/>
      <c r="V1854" s="291"/>
    </row>
    <row r="1855" spans="1:22" s="570" customFormat="1" ht="27.75" customHeight="1">
      <c r="A1855" s="558"/>
      <c r="B1855" s="559"/>
      <c r="C1855" s="560"/>
      <c r="D1855" s="564"/>
      <c r="E1855" s="561"/>
      <c r="F1855" s="558"/>
      <c r="G1855" s="1005"/>
      <c r="H1855" s="562"/>
      <c r="I1855" s="558"/>
      <c r="J1855" s="561"/>
      <c r="K1855" s="374">
        <f t="shared" si="77"/>
        <v>0</v>
      </c>
      <c r="L1855" s="564">
        <f t="shared" si="76"/>
        <v>0</v>
      </c>
      <c r="M1855" s="565"/>
      <c r="N1855" s="1059">
        <f>SUM(G1849:G1855)</f>
        <v>0</v>
      </c>
      <c r="O1855" s="1059">
        <f>SUM(J1849:J1855)</f>
        <v>30285.440000000002</v>
      </c>
      <c r="P1855" s="1059">
        <f>+N1855+O1855</f>
        <v>30285.440000000002</v>
      </c>
      <c r="Q1855" s="566">
        <f>SUM(D1851:D1854)</f>
        <v>0</v>
      </c>
      <c r="R1855" s="570" t="s">
        <v>2963</v>
      </c>
      <c r="S1855" s="566"/>
      <c r="T1855" s="566">
        <f>+J1854</f>
        <v>0</v>
      </c>
      <c r="U1855" s="566"/>
      <c r="V1855" s="566"/>
    </row>
    <row r="1856" spans="1:22" s="385" customFormat="1" ht="27.75" customHeight="1">
      <c r="A1856" s="331"/>
      <c r="B1856" s="1057" t="s">
        <v>220</v>
      </c>
      <c r="C1856" s="333"/>
      <c r="D1856" s="374"/>
      <c r="E1856" s="475"/>
      <c r="F1856" s="647"/>
      <c r="G1856" s="386"/>
      <c r="H1856" s="387"/>
      <c r="I1856" s="583"/>
      <c r="J1856" s="382"/>
      <c r="K1856" s="374">
        <f t="shared" si="77"/>
        <v>0</v>
      </c>
      <c r="L1856" s="374">
        <f t="shared" si="76"/>
        <v>0</v>
      </c>
      <c r="M1856" s="330"/>
      <c r="N1856" s="288"/>
      <c r="O1856" s="288"/>
      <c r="P1856" s="288"/>
      <c r="Q1856" s="288"/>
      <c r="S1856" s="291"/>
      <c r="T1856" s="291"/>
      <c r="U1856" s="291"/>
      <c r="V1856" s="291"/>
    </row>
    <row r="1857" spans="1:22" s="385" customFormat="1" ht="27.75" customHeight="1">
      <c r="A1857" s="343">
        <v>1</v>
      </c>
      <c r="B1857" s="1060" t="s">
        <v>9</v>
      </c>
      <c r="C1857" s="340" t="s">
        <v>232</v>
      </c>
      <c r="D1857" s="1061"/>
      <c r="E1857" s="1062"/>
      <c r="F1857" s="1063"/>
      <c r="G1857" s="912"/>
      <c r="H1857" s="542" t="s">
        <v>826</v>
      </c>
      <c r="I1857" s="1064"/>
      <c r="J1857" s="612">
        <v>2832.41</v>
      </c>
      <c r="K1857" s="374">
        <f t="shared" si="77"/>
        <v>0</v>
      </c>
      <c r="L1857" s="374">
        <f t="shared" si="76"/>
        <v>2832.41</v>
      </c>
      <c r="M1857" s="330"/>
      <c r="N1857" s="288"/>
      <c r="O1857" s="288"/>
      <c r="P1857" s="553"/>
      <c r="Q1857" s="463"/>
      <c r="R1857" s="729"/>
      <c r="S1857" s="291"/>
      <c r="T1857" s="291"/>
      <c r="U1857" s="291"/>
      <c r="V1857" s="291"/>
    </row>
    <row r="1858" spans="1:22" s="385" customFormat="1" ht="27.75" customHeight="1">
      <c r="A1858" s="343"/>
      <c r="B1858" s="1060"/>
      <c r="C1858" s="340"/>
      <c r="D1858" s="1061"/>
      <c r="E1858" s="1062"/>
      <c r="F1858" s="1063"/>
      <c r="G1858" s="912"/>
      <c r="H1858" s="542"/>
      <c r="I1858" s="1064"/>
      <c r="J1858" s="612"/>
      <c r="K1858" s="374"/>
      <c r="L1858" s="374"/>
      <c r="M1858" s="330"/>
      <c r="N1858" s="288"/>
      <c r="O1858" s="288"/>
      <c r="P1858" s="553"/>
      <c r="Q1858" s="463"/>
      <c r="R1858" s="729"/>
      <c r="S1858" s="291"/>
      <c r="T1858" s="291"/>
      <c r="U1858" s="291"/>
      <c r="V1858" s="291"/>
    </row>
    <row r="1859" spans="1:22" s="385" customFormat="1" ht="27.75" customHeight="1" thickBot="1">
      <c r="A1859" s="1065"/>
      <c r="B1859" s="1066"/>
      <c r="C1859" s="1067"/>
      <c r="D1859" s="1068"/>
      <c r="E1859" s="1069"/>
      <c r="F1859" s="1065"/>
      <c r="G1859" s="1070"/>
      <c r="H1859" s="339"/>
      <c r="I1859" s="1071"/>
      <c r="J1859" s="1069"/>
      <c r="K1859" s="374">
        <f t="shared" si="77"/>
        <v>0</v>
      </c>
      <c r="L1859" s="374">
        <f t="shared" si="76"/>
        <v>0</v>
      </c>
      <c r="M1859" s="329"/>
      <c r="N1859" s="288"/>
      <c r="O1859" s="288"/>
      <c r="P1859" s="553"/>
      <c r="Q1859" s="463"/>
      <c r="R1859" s="729"/>
      <c r="S1859" s="288"/>
      <c r="T1859" s="288"/>
      <c r="U1859" s="288"/>
      <c r="V1859" s="288"/>
    </row>
    <row r="1860" spans="1:22" s="570" customFormat="1" ht="27.75" customHeight="1" thickTop="1" thickBot="1">
      <c r="A1860" s="1072"/>
      <c r="B1860" s="1073"/>
      <c r="C1860" s="1074"/>
      <c r="D1860" s="1075"/>
      <c r="E1860" s="1059"/>
      <c r="F1860" s="1076"/>
      <c r="G1860" s="1077"/>
      <c r="H1860" s="1078"/>
      <c r="I1860" s="1076"/>
      <c r="J1860" s="1079"/>
      <c r="K1860" s="374">
        <f t="shared" si="77"/>
        <v>0</v>
      </c>
      <c r="L1860" s="565">
        <f t="shared" si="76"/>
        <v>0</v>
      </c>
      <c r="M1860" s="565"/>
      <c r="N1860" s="1059">
        <f>SUM(G1856:G1860)</f>
        <v>0</v>
      </c>
      <c r="O1860" s="1059">
        <f>SUM(J1856:J1860)</f>
        <v>2832.41</v>
      </c>
      <c r="P1860" s="1080">
        <f>+N1860+O1860</f>
        <v>2832.41</v>
      </c>
      <c r="Q1860" s="1081">
        <f>SUM(D1856:D1859)</f>
        <v>0</v>
      </c>
      <c r="R1860" s="1035" t="s">
        <v>216</v>
      </c>
      <c r="S1860" s="566"/>
      <c r="T1860" s="566">
        <f>+J1860</f>
        <v>0</v>
      </c>
      <c r="U1860" s="566"/>
      <c r="V1860" s="566"/>
    </row>
    <row r="1861" spans="1:22" ht="27.75" customHeight="1" thickTop="1" thickBot="1">
      <c r="A1861" s="321"/>
      <c r="B1861" s="1082"/>
      <c r="C1861" s="348" t="s">
        <v>26</v>
      </c>
      <c r="D1861" s="349"/>
      <c r="E1861" s="350"/>
      <c r="F1861" s="1083"/>
      <c r="G1861" s="352">
        <f>SUM(G1715:G1860)</f>
        <v>139609.18000000002</v>
      </c>
      <c r="H1861" s="349"/>
      <c r="I1861" s="928"/>
      <c r="J1861" s="349">
        <f>SUM(J1715:J1860)</f>
        <v>519494.16</v>
      </c>
      <c r="K1861" s="374">
        <f t="shared" si="77"/>
        <v>16110.899372</v>
      </c>
      <c r="L1861" s="927">
        <f>SUM(L1715:L1860)</f>
        <v>519494.16</v>
      </c>
      <c r="M1861" s="1084">
        <f>SUM(M1716:M1860)</f>
        <v>0</v>
      </c>
      <c r="N1861" s="598">
        <f>SUM(N1715:N1860)</f>
        <v>139609.18</v>
      </c>
      <c r="O1861" s="598">
        <f>SUM(O1715:O1860)</f>
        <v>519494.16000000003</v>
      </c>
      <c r="P1861" s="598">
        <f>O1861+N1861</f>
        <v>659103.34000000008</v>
      </c>
      <c r="Q1861" s="533">
        <f>SUM(Q1715:Q1860)</f>
        <v>54909</v>
      </c>
      <c r="S1861" s="349">
        <f>SUM(S1716:S1860)</f>
        <v>0</v>
      </c>
      <c r="T1861" s="349">
        <f>SUM(T1716:T1860)</f>
        <v>0</v>
      </c>
      <c r="U1861" s="349">
        <f>SUM(U1716:U1860)</f>
        <v>0</v>
      </c>
      <c r="V1861" s="349">
        <f>SUM(V1716:V1860)</f>
        <v>0</v>
      </c>
    </row>
    <row r="1862" spans="1:22" ht="27.75" customHeight="1" thickTop="1" thickBot="1">
      <c r="A1862" s="321"/>
      <c r="B1862" s="516"/>
      <c r="C1862" s="600"/>
      <c r="D1862" s="330"/>
      <c r="E1862" s="289"/>
      <c r="F1862" s="1085"/>
      <c r="G1862" s="544"/>
      <c r="H1862" s="330"/>
      <c r="I1862" s="930"/>
      <c r="J1862" s="330">
        <f>+J1861+G1861</f>
        <v>659103.34</v>
      </c>
      <c r="K1862" s="374">
        <f t="shared" ref="K1862:K1910" si="78">G1862*11.54/100</f>
        <v>0</v>
      </c>
      <c r="L1862" s="1086">
        <f>+K1861+L1861</f>
        <v>535605.05937199993</v>
      </c>
      <c r="M1862" s="488"/>
      <c r="N1862" s="602">
        <f>+G1861+J1861</f>
        <v>659103.34</v>
      </c>
      <c r="O1862" s="761">
        <f>+P1862-N1862</f>
        <v>0</v>
      </c>
      <c r="P1862" s="1087">
        <v>659103.34</v>
      </c>
      <c r="Q1862" s="330"/>
    </row>
    <row r="1863" spans="1:22" s="436" customFormat="1" ht="27.75" customHeight="1" thickTop="1">
      <c r="A1863" s="692"/>
      <c r="B1863" s="1088" t="s">
        <v>47</v>
      </c>
      <c r="C1863" s="1089"/>
      <c r="D1863" s="357"/>
      <c r="E1863" s="357"/>
      <c r="F1863" s="354"/>
      <c r="G1863" s="829"/>
      <c r="H1863" s="360"/>
      <c r="I1863" s="354"/>
      <c r="J1863" s="357"/>
      <c r="K1863" s="374">
        <f t="shared" si="78"/>
        <v>0</v>
      </c>
      <c r="L1863" s="1090">
        <f t="shared" ref="L1863:L1879" si="79">+J1863</f>
        <v>0</v>
      </c>
      <c r="M1863" s="361"/>
      <c r="N1863" s="358"/>
      <c r="O1863" s="358"/>
      <c r="P1863" s="358"/>
      <c r="Q1863" s="357"/>
      <c r="S1863" s="358"/>
      <c r="T1863" s="358"/>
      <c r="U1863" s="358"/>
      <c r="V1863" s="358"/>
    </row>
    <row r="1864" spans="1:22" ht="27.75" customHeight="1">
      <c r="B1864" s="373" t="s">
        <v>66</v>
      </c>
      <c r="C1864" s="1091"/>
      <c r="D1864" s="365"/>
      <c r="E1864" s="365"/>
      <c r="F1864" s="366"/>
      <c r="G1864" s="367"/>
      <c r="H1864" s="368"/>
      <c r="I1864" s="366"/>
      <c r="J1864" s="365"/>
      <c r="K1864" s="374">
        <f t="shared" si="78"/>
        <v>0</v>
      </c>
      <c r="L1864" s="338"/>
      <c r="Q1864" s="370"/>
      <c r="S1864" s="289"/>
      <c r="T1864" s="289"/>
      <c r="U1864" s="289"/>
      <c r="V1864" s="289"/>
    </row>
    <row r="1865" spans="1:22" ht="27.75" customHeight="1">
      <c r="A1865" s="331">
        <v>1</v>
      </c>
      <c r="B1865" s="578" t="s">
        <v>196</v>
      </c>
      <c r="C1865" s="577"/>
      <c r="D1865" s="557"/>
      <c r="E1865" s="475"/>
      <c r="F1865" s="647"/>
      <c r="G1865" s="386"/>
      <c r="H1865" s="506" t="s">
        <v>268</v>
      </c>
      <c r="I1865" s="647" t="s">
        <v>17</v>
      </c>
      <c r="J1865" s="335">
        <v>8214529.25</v>
      </c>
      <c r="K1865" s="374">
        <f t="shared" si="78"/>
        <v>0</v>
      </c>
      <c r="L1865" s="374">
        <f t="shared" si="79"/>
        <v>8214529.25</v>
      </c>
      <c r="U1865" s="335">
        <v>8214529.25</v>
      </c>
    </row>
    <row r="1866" spans="1:22" ht="27.75" customHeight="1">
      <c r="B1866" s="578" t="s">
        <v>443</v>
      </c>
      <c r="C1866" s="577"/>
      <c r="D1866" s="557"/>
      <c r="E1866" s="475"/>
      <c r="F1866" s="647"/>
      <c r="G1866" s="386"/>
      <c r="H1866" s="506"/>
      <c r="I1866" s="647"/>
      <c r="J1866" s="335"/>
      <c r="K1866" s="374">
        <f t="shared" si="78"/>
        <v>0</v>
      </c>
      <c r="L1866" s="374">
        <f t="shared" si="79"/>
        <v>0</v>
      </c>
    </row>
    <row r="1867" spans="1:22" ht="27.6" customHeight="1">
      <c r="A1867" s="331">
        <v>2</v>
      </c>
      <c r="B1867" s="578" t="s">
        <v>109</v>
      </c>
      <c r="C1867" s="577" t="s">
        <v>2766</v>
      </c>
      <c r="D1867" s="557"/>
      <c r="E1867" s="475"/>
      <c r="F1867" s="647"/>
      <c r="G1867" s="386"/>
      <c r="H1867" s="506" t="s">
        <v>251</v>
      </c>
      <c r="I1867" s="647">
        <v>21</v>
      </c>
      <c r="J1867" s="335">
        <v>361288.35</v>
      </c>
      <c r="K1867" s="374">
        <f t="shared" si="78"/>
        <v>0</v>
      </c>
      <c r="L1867" s="374">
        <f t="shared" si="79"/>
        <v>361288.35</v>
      </c>
      <c r="V1867" s="335">
        <v>315000</v>
      </c>
    </row>
    <row r="1868" spans="1:22" ht="27.75" customHeight="1">
      <c r="B1868" s="578" t="s">
        <v>2767</v>
      </c>
      <c r="C1868" s="577"/>
      <c r="D1868" s="557"/>
      <c r="E1868" s="475"/>
      <c r="F1868" s="647"/>
      <c r="G1868" s="386"/>
      <c r="H1868" s="506"/>
      <c r="I1868" s="647"/>
      <c r="J1868" s="335">
        <v>0</v>
      </c>
      <c r="K1868" s="374">
        <f t="shared" si="78"/>
        <v>0</v>
      </c>
      <c r="L1868" s="374">
        <f t="shared" si="79"/>
        <v>0</v>
      </c>
    </row>
    <row r="1869" spans="1:22" ht="27.75" customHeight="1">
      <c r="B1869" s="578" t="s">
        <v>556</v>
      </c>
      <c r="C1869" s="577"/>
      <c r="D1869" s="557"/>
      <c r="E1869" s="475"/>
      <c r="F1869" s="647"/>
      <c r="G1869" s="386"/>
      <c r="H1869" s="506"/>
      <c r="I1869" s="647"/>
      <c r="J1869" s="335">
        <v>0</v>
      </c>
      <c r="K1869" s="374">
        <f t="shared" si="78"/>
        <v>0</v>
      </c>
      <c r="L1869" s="374">
        <f t="shared" si="79"/>
        <v>0</v>
      </c>
      <c r="Q1869" s="478"/>
      <c r="R1869" s="479"/>
      <c r="S1869" s="297"/>
    </row>
    <row r="1870" spans="1:22" ht="27.75" customHeight="1">
      <c r="B1870" s="578" t="s">
        <v>109</v>
      </c>
      <c r="C1870" s="577" t="s">
        <v>2768</v>
      </c>
      <c r="D1870" s="557"/>
      <c r="E1870" s="475"/>
      <c r="F1870" s="647"/>
      <c r="G1870" s="386"/>
      <c r="H1870" s="506" t="s">
        <v>2769</v>
      </c>
      <c r="I1870" s="647">
        <v>6</v>
      </c>
      <c r="J1870" s="335">
        <v>96700.72</v>
      </c>
      <c r="K1870" s="374">
        <f t="shared" si="78"/>
        <v>0</v>
      </c>
      <c r="L1870" s="374">
        <f t="shared" si="79"/>
        <v>96700.72</v>
      </c>
      <c r="Q1870" s="478"/>
      <c r="R1870" s="479"/>
      <c r="S1870" s="297"/>
    </row>
    <row r="1871" spans="1:22" ht="27.75" customHeight="1">
      <c r="B1871" s="578" t="s">
        <v>109</v>
      </c>
      <c r="C1871" s="577" t="s">
        <v>2770</v>
      </c>
      <c r="D1871" s="557"/>
      <c r="E1871" s="475"/>
      <c r="F1871" s="647"/>
      <c r="G1871" s="386"/>
      <c r="H1871" s="506" t="s">
        <v>2771</v>
      </c>
      <c r="I1871" s="647">
        <v>16</v>
      </c>
      <c r="J1871" s="335">
        <v>285799.45</v>
      </c>
      <c r="K1871" s="374">
        <f t="shared" si="78"/>
        <v>0</v>
      </c>
      <c r="L1871" s="374">
        <f t="shared" si="79"/>
        <v>285799.45</v>
      </c>
      <c r="Q1871" s="478"/>
      <c r="R1871" s="479"/>
      <c r="S1871" s="297"/>
    </row>
    <row r="1872" spans="1:22" ht="27.75" customHeight="1">
      <c r="B1872" s="578" t="s">
        <v>2776</v>
      </c>
      <c r="C1872" s="577"/>
      <c r="D1872" s="557"/>
      <c r="E1872" s="475"/>
      <c r="F1872" s="647"/>
      <c r="G1872" s="386"/>
      <c r="H1872" s="506"/>
      <c r="I1872" s="647"/>
      <c r="J1872" s="335"/>
      <c r="K1872" s="374">
        <f t="shared" si="78"/>
        <v>0</v>
      </c>
      <c r="L1872" s="374">
        <f t="shared" si="79"/>
        <v>0</v>
      </c>
      <c r="Q1872" s="478"/>
      <c r="R1872" s="479"/>
      <c r="S1872" s="297"/>
    </row>
    <row r="1873" spans="1:22" ht="27.75" customHeight="1">
      <c r="A1873" s="331">
        <v>3</v>
      </c>
      <c r="B1873" s="578" t="s">
        <v>3430</v>
      </c>
      <c r="C1873" s="577" t="s">
        <v>3431</v>
      </c>
      <c r="D1873" s="557">
        <v>1410</v>
      </c>
      <c r="E1873" s="475"/>
      <c r="F1873" s="647"/>
      <c r="G1873" s="386"/>
      <c r="H1873" s="506"/>
      <c r="I1873" s="647"/>
      <c r="J1873" s="335"/>
      <c r="K1873" s="374">
        <f t="shared" si="78"/>
        <v>0</v>
      </c>
      <c r="L1873" s="374">
        <f t="shared" si="79"/>
        <v>0</v>
      </c>
      <c r="Q1873" s="478"/>
      <c r="R1873" s="479"/>
      <c r="S1873" s="297"/>
    </row>
    <row r="1874" spans="1:22" ht="27.75" customHeight="1">
      <c r="A1874" s="331">
        <v>4</v>
      </c>
      <c r="B1874" s="578" t="s">
        <v>3430</v>
      </c>
      <c r="C1874" s="577" t="s">
        <v>3432</v>
      </c>
      <c r="D1874" s="557">
        <v>1410</v>
      </c>
      <c r="E1874" s="475"/>
      <c r="F1874" s="647"/>
      <c r="G1874" s="386"/>
      <c r="H1874" s="506"/>
      <c r="I1874" s="647"/>
      <c r="J1874" s="335"/>
      <c r="K1874" s="374">
        <f t="shared" si="78"/>
        <v>0</v>
      </c>
      <c r="L1874" s="374">
        <f t="shared" si="79"/>
        <v>0</v>
      </c>
      <c r="Q1874" s="478"/>
      <c r="R1874" s="479"/>
      <c r="S1874" s="297"/>
    </row>
    <row r="1875" spans="1:22" ht="27.75" customHeight="1">
      <c r="A1875" s="331">
        <v>5</v>
      </c>
      <c r="B1875" s="578" t="s">
        <v>3430</v>
      </c>
      <c r="C1875" s="577" t="s">
        <v>3433</v>
      </c>
      <c r="D1875" s="557">
        <v>1410</v>
      </c>
      <c r="E1875" s="475"/>
      <c r="F1875" s="647"/>
      <c r="G1875" s="386"/>
      <c r="H1875" s="506"/>
      <c r="I1875" s="647"/>
      <c r="J1875" s="335"/>
      <c r="K1875" s="374">
        <f t="shared" si="78"/>
        <v>0</v>
      </c>
      <c r="L1875" s="374">
        <f t="shared" si="79"/>
        <v>0</v>
      </c>
      <c r="Q1875" s="478"/>
      <c r="R1875" s="479"/>
      <c r="S1875" s="297"/>
    </row>
    <row r="1876" spans="1:22" ht="27.75" customHeight="1">
      <c r="A1876" s="331">
        <v>6</v>
      </c>
      <c r="B1876" s="578" t="s">
        <v>2642</v>
      </c>
      <c r="C1876" s="1092" t="s">
        <v>1117</v>
      </c>
      <c r="D1876" s="557">
        <v>34054.370000000003</v>
      </c>
      <c r="H1876" s="506"/>
      <c r="I1876" s="647"/>
      <c r="J1876" s="335"/>
      <c r="K1876" s="374">
        <f t="shared" si="78"/>
        <v>0</v>
      </c>
      <c r="L1876" s="374">
        <f t="shared" si="79"/>
        <v>0</v>
      </c>
      <c r="Q1876" s="478"/>
      <c r="R1876" s="479"/>
      <c r="S1876" s="297"/>
    </row>
    <row r="1877" spans="1:22" ht="27.75" customHeight="1">
      <c r="A1877" s="331">
        <v>7</v>
      </c>
      <c r="B1877" s="578" t="s">
        <v>594</v>
      </c>
      <c r="C1877" s="1092" t="s">
        <v>595</v>
      </c>
      <c r="D1877" s="557">
        <v>197896</v>
      </c>
      <c r="H1877" s="506"/>
      <c r="I1877" s="647"/>
      <c r="J1877" s="335"/>
      <c r="K1877" s="374">
        <f t="shared" si="78"/>
        <v>0</v>
      </c>
      <c r="L1877" s="374">
        <f t="shared" si="79"/>
        <v>0</v>
      </c>
      <c r="Q1877" s="478"/>
      <c r="R1877" s="479"/>
      <c r="S1877" s="297"/>
    </row>
    <row r="1878" spans="1:22" ht="27.75" customHeight="1">
      <c r="A1878" s="331">
        <v>8</v>
      </c>
      <c r="B1878" s="578" t="s">
        <v>1481</v>
      </c>
      <c r="C1878" s="1092" t="s">
        <v>1482</v>
      </c>
      <c r="D1878" s="557">
        <v>182382</v>
      </c>
      <c r="H1878" s="506"/>
      <c r="I1878" s="647"/>
      <c r="J1878" s="335"/>
      <c r="K1878" s="374">
        <f t="shared" si="78"/>
        <v>0</v>
      </c>
      <c r="L1878" s="374">
        <f t="shared" si="79"/>
        <v>0</v>
      </c>
      <c r="Q1878" s="478"/>
      <c r="R1878" s="479"/>
      <c r="S1878" s="297"/>
    </row>
    <row r="1879" spans="1:22" ht="27.75" customHeight="1" thickBot="1">
      <c r="B1879" s="578"/>
      <c r="C1879" s="1092"/>
      <c r="D1879" s="557"/>
      <c r="H1879" s="506"/>
      <c r="I1879" s="647"/>
      <c r="J1879" s="335"/>
      <c r="K1879" s="374">
        <f t="shared" si="78"/>
        <v>0</v>
      </c>
      <c r="L1879" s="374">
        <f t="shared" si="79"/>
        <v>0</v>
      </c>
      <c r="Q1879" s="478"/>
      <c r="R1879" s="479"/>
      <c r="S1879" s="297"/>
    </row>
    <row r="1880" spans="1:22" s="570" customFormat="1" ht="27.75" customHeight="1" thickTop="1">
      <c r="A1880" s="558"/>
      <c r="B1880" s="560"/>
      <c r="C1880" s="559"/>
      <c r="D1880" s="1045"/>
      <c r="E1880" s="561"/>
      <c r="F1880" s="558"/>
      <c r="G1880" s="1005"/>
      <c r="H1880" s="562"/>
      <c r="I1880" s="558"/>
      <c r="J1880" s="561"/>
      <c r="K1880" s="374">
        <f t="shared" si="78"/>
        <v>0</v>
      </c>
      <c r="L1880" s="564">
        <f>+J1880</f>
        <v>0</v>
      </c>
      <c r="M1880" s="565"/>
      <c r="N1880" s="566">
        <f>SUM(G1865:G1880)</f>
        <v>0</v>
      </c>
      <c r="O1880" s="566">
        <f>SUM(J1865:J1880)</f>
        <v>8958317.7699999996</v>
      </c>
      <c r="P1880" s="566">
        <f>SUM(N1880:O1880)</f>
        <v>8958317.7699999996</v>
      </c>
      <c r="Q1880" s="567">
        <f>SUM(D1864:D1879)</f>
        <v>418562.37</v>
      </c>
      <c r="R1880" s="1093" t="s">
        <v>513</v>
      </c>
      <c r="S1880" s="569"/>
      <c r="T1880" s="566"/>
      <c r="U1880" s="566"/>
      <c r="V1880" s="566"/>
    </row>
    <row r="1881" spans="1:22" ht="27.75" customHeight="1">
      <c r="B1881" s="477" t="s">
        <v>971</v>
      </c>
      <c r="C1881" s="393"/>
      <c r="D1881" s="505"/>
      <c r="G1881" s="386"/>
      <c r="H1881" s="332"/>
      <c r="J1881" s="335"/>
      <c r="K1881" s="374">
        <f t="shared" si="78"/>
        <v>0</v>
      </c>
      <c r="L1881" s="338"/>
      <c r="Q1881" s="478"/>
      <c r="R1881" s="479"/>
      <c r="S1881" s="287"/>
      <c r="T1881" s="289"/>
      <c r="U1881" s="289"/>
      <c r="V1881" s="289"/>
    </row>
    <row r="1882" spans="1:22" ht="27.75" customHeight="1">
      <c r="B1882" s="477"/>
      <c r="C1882" s="393"/>
      <c r="D1882" s="505"/>
      <c r="G1882" s="386"/>
      <c r="H1882" s="332"/>
      <c r="J1882" s="335"/>
      <c r="K1882" s="374">
        <f t="shared" si="78"/>
        <v>0</v>
      </c>
      <c r="L1882" s="374">
        <f t="shared" ref="L1882:L1904" si="80">+J1882</f>
        <v>0</v>
      </c>
      <c r="Q1882" s="478"/>
      <c r="R1882" s="1094"/>
      <c r="S1882" s="287"/>
      <c r="T1882" s="289"/>
      <c r="U1882" s="289"/>
      <c r="V1882" s="289"/>
    </row>
    <row r="1883" spans="1:22" ht="27.75" customHeight="1">
      <c r="B1883" s="477"/>
      <c r="C1883" s="393"/>
      <c r="D1883" s="505"/>
      <c r="G1883" s="386"/>
      <c r="H1883" s="332"/>
      <c r="J1883" s="335"/>
      <c r="K1883" s="374">
        <f t="shared" si="78"/>
        <v>0</v>
      </c>
      <c r="L1883" s="374">
        <f t="shared" si="80"/>
        <v>0</v>
      </c>
      <c r="Q1883" s="478"/>
      <c r="R1883" s="1094"/>
      <c r="S1883" s="287"/>
      <c r="T1883" s="289"/>
      <c r="U1883" s="289"/>
      <c r="V1883" s="289"/>
    </row>
    <row r="1884" spans="1:22" ht="27.75" customHeight="1">
      <c r="B1884" s="477"/>
      <c r="C1884" s="393"/>
      <c r="D1884" s="505"/>
      <c r="G1884" s="386"/>
      <c r="H1884" s="332"/>
      <c r="J1884" s="335"/>
      <c r="K1884" s="374">
        <f t="shared" si="78"/>
        <v>0</v>
      </c>
      <c r="L1884" s="374">
        <f t="shared" si="80"/>
        <v>0</v>
      </c>
      <c r="Q1884" s="478"/>
      <c r="R1884" s="1094"/>
      <c r="S1884" s="287"/>
      <c r="T1884" s="289"/>
      <c r="U1884" s="289"/>
      <c r="V1884" s="289"/>
    </row>
    <row r="1885" spans="1:22" s="570" customFormat="1" ht="27.75" customHeight="1" thickBot="1">
      <c r="A1885" s="558"/>
      <c r="B1885" s="562"/>
      <c r="C1885" s="562"/>
      <c r="D1885" s="1045"/>
      <c r="E1885" s="561"/>
      <c r="F1885" s="563"/>
      <c r="G1885" s="1028"/>
      <c r="H1885" s="1095"/>
      <c r="I1885" s="558"/>
      <c r="J1885" s="564"/>
      <c r="K1885" s="374">
        <f t="shared" si="78"/>
        <v>0</v>
      </c>
      <c r="L1885" s="564">
        <f t="shared" si="80"/>
        <v>0</v>
      </c>
      <c r="M1885" s="565"/>
      <c r="N1885" s="566"/>
      <c r="O1885" s="566">
        <f>SUM(J1882:J1885)</f>
        <v>0</v>
      </c>
      <c r="P1885" s="566">
        <f>+O1885+N1885</f>
        <v>0</v>
      </c>
      <c r="Q1885" s="567">
        <f>SUM(D1882:D1884)</f>
        <v>0</v>
      </c>
      <c r="R1885" s="1012" t="s">
        <v>934</v>
      </c>
      <c r="S1885" s="569"/>
      <c r="T1885" s="566"/>
      <c r="U1885" s="566"/>
      <c r="V1885" s="566"/>
    </row>
    <row r="1886" spans="1:22" s="385" customFormat="1" ht="27.75" customHeight="1" thickTop="1">
      <c r="A1886" s="379"/>
      <c r="B1886" s="387" t="s">
        <v>52</v>
      </c>
      <c r="C1886" s="387"/>
      <c r="D1886" s="374"/>
      <c r="E1886" s="382"/>
      <c r="F1886" s="388"/>
      <c r="G1886" s="336"/>
      <c r="H1886" s="1096"/>
      <c r="I1886" s="379"/>
      <c r="J1886" s="374"/>
      <c r="K1886" s="374">
        <f t="shared" si="78"/>
        <v>0</v>
      </c>
      <c r="L1886" s="374">
        <f t="shared" si="80"/>
        <v>0</v>
      </c>
      <c r="M1886" s="329"/>
      <c r="N1886" s="288"/>
      <c r="O1886" s="288"/>
      <c r="P1886" s="288"/>
      <c r="Q1886" s="288"/>
      <c r="S1886" s="288"/>
      <c r="T1886" s="288"/>
      <c r="U1886" s="288"/>
      <c r="V1886" s="288"/>
    </row>
    <row r="1887" spans="1:22" ht="27.75" customHeight="1">
      <c r="A1887" s="331">
        <v>1</v>
      </c>
      <c r="B1887" s="1097" t="s">
        <v>3418</v>
      </c>
      <c r="C1887" s="1098" t="s">
        <v>3419</v>
      </c>
      <c r="D1887" s="557">
        <v>4012.5</v>
      </c>
      <c r="E1887" s="502"/>
      <c r="F1887" s="1099"/>
      <c r="H1887" s="1100"/>
      <c r="K1887" s="374">
        <f t="shared" si="78"/>
        <v>0</v>
      </c>
      <c r="L1887" s="374">
        <f t="shared" si="80"/>
        <v>0</v>
      </c>
      <c r="R1887" s="700"/>
      <c r="S1887" s="290"/>
      <c r="T1887" s="290"/>
      <c r="U1887" s="290"/>
      <c r="V1887" s="290"/>
    </row>
    <row r="1888" spans="1:22" ht="27.75" customHeight="1">
      <c r="A1888" s="331">
        <v>2</v>
      </c>
      <c r="B1888" s="1097" t="s">
        <v>132</v>
      </c>
      <c r="C1888" s="1098" t="s">
        <v>136</v>
      </c>
      <c r="D1888" s="557">
        <v>6687.5</v>
      </c>
      <c r="E1888" s="502"/>
      <c r="F1888" s="1099"/>
      <c r="H1888" s="1100"/>
      <c r="K1888" s="374">
        <f t="shared" si="78"/>
        <v>0</v>
      </c>
      <c r="L1888" s="374">
        <f t="shared" si="80"/>
        <v>0</v>
      </c>
      <c r="R1888" s="700"/>
      <c r="S1888" s="290"/>
      <c r="T1888" s="290"/>
      <c r="U1888" s="290"/>
      <c r="V1888" s="290"/>
    </row>
    <row r="1889" spans="1:22" ht="27.75" customHeight="1">
      <c r="A1889" s="331">
        <v>3</v>
      </c>
      <c r="B1889" s="1097" t="s">
        <v>792</v>
      </c>
      <c r="C1889" s="1098" t="s">
        <v>136</v>
      </c>
      <c r="D1889" s="557"/>
      <c r="E1889" s="502" t="s">
        <v>3420</v>
      </c>
      <c r="F1889" s="1099">
        <v>1</v>
      </c>
      <c r="G1889" s="336">
        <v>8868.159252336447</v>
      </c>
      <c r="H1889" s="1100"/>
      <c r="K1889" s="374">
        <f t="shared" si="78"/>
        <v>1023.3855777196259</v>
      </c>
      <c r="L1889" s="374">
        <f t="shared" si="80"/>
        <v>0</v>
      </c>
      <c r="R1889" s="700"/>
      <c r="S1889" s="290"/>
      <c r="T1889" s="290"/>
      <c r="U1889" s="290"/>
      <c r="V1889" s="290"/>
    </row>
    <row r="1890" spans="1:22" ht="27.75" customHeight="1">
      <c r="A1890" s="331">
        <v>4</v>
      </c>
      <c r="B1890" s="1097" t="s">
        <v>793</v>
      </c>
      <c r="C1890" s="1098" t="s">
        <v>136</v>
      </c>
      <c r="D1890" s="557"/>
      <c r="E1890" s="502" t="s">
        <v>3420</v>
      </c>
      <c r="F1890" s="1099">
        <v>1</v>
      </c>
      <c r="G1890" s="336">
        <v>701.91813084112187</v>
      </c>
      <c r="H1890" s="1100"/>
      <c r="K1890" s="374">
        <f t="shared" si="78"/>
        <v>81.001352299065459</v>
      </c>
      <c r="L1890" s="374">
        <f t="shared" si="80"/>
        <v>0</v>
      </c>
      <c r="Q1890" s="478"/>
      <c r="R1890" s="1019"/>
      <c r="S1890" s="658"/>
      <c r="T1890" s="290"/>
      <c r="U1890" s="290"/>
      <c r="V1890" s="290"/>
    </row>
    <row r="1891" spans="1:22" ht="27.75" customHeight="1">
      <c r="B1891" s="1097"/>
      <c r="C1891" s="1098"/>
      <c r="D1891" s="557"/>
      <c r="E1891" s="502"/>
      <c r="F1891" s="1099"/>
      <c r="H1891" s="1100"/>
      <c r="K1891" s="374"/>
      <c r="L1891" s="374"/>
      <c r="Q1891" s="478"/>
      <c r="R1891" s="1019"/>
      <c r="S1891" s="658"/>
      <c r="T1891" s="290"/>
      <c r="U1891" s="290"/>
      <c r="V1891" s="290"/>
    </row>
    <row r="1892" spans="1:22" ht="27.75" customHeight="1">
      <c r="B1892" s="1097"/>
      <c r="C1892" s="1098"/>
      <c r="D1892" s="557"/>
      <c r="E1892" s="502"/>
      <c r="F1892" s="1099"/>
      <c r="H1892" s="1100"/>
      <c r="K1892" s="374"/>
      <c r="L1892" s="374"/>
      <c r="Q1892" s="478"/>
      <c r="R1892" s="1019"/>
      <c r="S1892" s="658"/>
      <c r="T1892" s="290"/>
      <c r="U1892" s="290"/>
      <c r="V1892" s="290"/>
    </row>
    <row r="1893" spans="1:22" ht="27.75" customHeight="1" thickBot="1">
      <c r="B1893" s="1097"/>
      <c r="C1893" s="1098"/>
      <c r="D1893" s="557"/>
      <c r="E1893" s="502"/>
      <c r="F1893" s="1099"/>
      <c r="H1893" s="1100"/>
      <c r="K1893" s="374">
        <f t="shared" si="78"/>
        <v>0</v>
      </c>
      <c r="L1893" s="374">
        <f t="shared" si="80"/>
        <v>0</v>
      </c>
      <c r="Q1893" s="478"/>
      <c r="R1893" s="1019"/>
      <c r="S1893" s="658"/>
      <c r="T1893" s="290"/>
      <c r="U1893" s="290"/>
      <c r="V1893" s="290"/>
    </row>
    <row r="1894" spans="1:22" s="570" customFormat="1" ht="27.75" customHeight="1" thickTop="1" thickBot="1">
      <c r="A1894" s="558"/>
      <c r="B1894" s="1101"/>
      <c r="C1894" s="1102"/>
      <c r="D1894" s="1103"/>
      <c r="E1894" s="1104"/>
      <c r="F1894" s="1105"/>
      <c r="G1894" s="1106"/>
      <c r="H1894" s="1095"/>
      <c r="I1894" s="558"/>
      <c r="J1894" s="561"/>
      <c r="K1894" s="374">
        <f t="shared" si="78"/>
        <v>0</v>
      </c>
      <c r="L1894" s="564">
        <f t="shared" si="80"/>
        <v>0</v>
      </c>
      <c r="M1894" s="565"/>
      <c r="N1894" s="566">
        <f>SUM(G1887:G1894)</f>
        <v>9570.0773831775696</v>
      </c>
      <c r="O1894" s="566">
        <f>SUM(J1887:J1894)</f>
        <v>0</v>
      </c>
      <c r="P1894" s="566">
        <f>+N1894+O1894</f>
        <v>9570.0773831775696</v>
      </c>
      <c r="Q1894" s="567">
        <f>SUM(D1887:D1893)</f>
        <v>10700</v>
      </c>
      <c r="R1894" s="1017" t="s">
        <v>52</v>
      </c>
      <c r="S1894" s="1035"/>
    </row>
    <row r="1895" spans="1:22" ht="27.75" customHeight="1" thickTop="1">
      <c r="B1895" s="477" t="s">
        <v>88</v>
      </c>
      <c r="C1895" s="393"/>
      <c r="D1895" s="335"/>
      <c r="H1895" s="1100"/>
      <c r="J1895" s="335"/>
      <c r="K1895" s="374">
        <f t="shared" si="78"/>
        <v>0</v>
      </c>
      <c r="L1895" s="374">
        <f t="shared" si="80"/>
        <v>0</v>
      </c>
      <c r="Q1895" s="478"/>
      <c r="R1895" s="1019"/>
      <c r="S1895" s="658"/>
      <c r="T1895" s="290"/>
      <c r="U1895" s="290"/>
      <c r="V1895" s="290"/>
    </row>
    <row r="1896" spans="1:22" ht="27.75" customHeight="1">
      <c r="A1896" s="331">
        <v>1</v>
      </c>
      <c r="B1896" s="477" t="s">
        <v>794</v>
      </c>
      <c r="C1896" s="393" t="s">
        <v>144</v>
      </c>
      <c r="D1896" s="335"/>
      <c r="E1896" s="335" t="s">
        <v>3420</v>
      </c>
      <c r="F1896" s="331">
        <v>1</v>
      </c>
      <c r="G1896" s="336">
        <v>1364.2453271028037</v>
      </c>
      <c r="H1896" s="1100"/>
      <c r="J1896" s="335"/>
      <c r="K1896" s="374">
        <f t="shared" si="78"/>
        <v>157.43391074766353</v>
      </c>
      <c r="L1896" s="374">
        <f t="shared" si="80"/>
        <v>0</v>
      </c>
      <c r="Q1896" s="478"/>
      <c r="R1896" s="1019"/>
      <c r="S1896" s="658"/>
      <c r="T1896" s="290"/>
      <c r="U1896" s="290"/>
      <c r="V1896" s="290"/>
    </row>
    <row r="1897" spans="1:22" ht="27.75" customHeight="1" thickBot="1">
      <c r="A1897" s="331">
        <v>2</v>
      </c>
      <c r="B1897" s="477" t="s">
        <v>132</v>
      </c>
      <c r="C1897" s="393" t="s">
        <v>144</v>
      </c>
      <c r="D1897" s="338">
        <v>1337.5</v>
      </c>
      <c r="H1897" s="1100"/>
      <c r="J1897" s="335"/>
      <c r="K1897" s="374">
        <f t="shared" si="78"/>
        <v>0</v>
      </c>
      <c r="L1897" s="374">
        <f t="shared" si="80"/>
        <v>0</v>
      </c>
      <c r="Q1897" s="478"/>
      <c r="R1897" s="1019"/>
      <c r="S1897" s="658"/>
      <c r="T1897" s="290"/>
      <c r="U1897" s="290"/>
      <c r="V1897" s="290"/>
    </row>
    <row r="1898" spans="1:22" s="570" customFormat="1" ht="27.75" customHeight="1" thickTop="1" thickBot="1">
      <c r="A1898" s="558"/>
      <c r="B1898" s="560"/>
      <c r="C1898" s="559"/>
      <c r="D1898" s="564"/>
      <c r="E1898" s="561"/>
      <c r="F1898" s="558"/>
      <c r="G1898" s="1005"/>
      <c r="H1898" s="1095"/>
      <c r="I1898" s="558"/>
      <c r="J1898" s="561"/>
      <c r="K1898" s="374">
        <f t="shared" si="78"/>
        <v>0</v>
      </c>
      <c r="L1898" s="564">
        <f t="shared" si="80"/>
        <v>0</v>
      </c>
      <c r="M1898" s="565"/>
      <c r="N1898" s="566">
        <f>SUM(G1896:G1898)</f>
        <v>1364.2453271028037</v>
      </c>
      <c r="O1898" s="566">
        <f>SUM(J1898:J1898)</f>
        <v>0</v>
      </c>
      <c r="P1898" s="566">
        <f>+N1898+O1898</f>
        <v>1364.2453271028037</v>
      </c>
      <c r="Q1898" s="1107">
        <f>SUM(D1895:D1897)</f>
        <v>1337.5</v>
      </c>
      <c r="R1898" s="568" t="s">
        <v>54</v>
      </c>
      <c r="S1898" s="1035"/>
    </row>
    <row r="1899" spans="1:22" ht="27.75" customHeight="1" thickTop="1">
      <c r="B1899" s="477" t="s">
        <v>221</v>
      </c>
      <c r="C1899" s="393"/>
      <c r="D1899" s="338"/>
      <c r="G1899" s="386"/>
      <c r="H1899" s="1100"/>
      <c r="J1899" s="335"/>
      <c r="K1899" s="374">
        <f t="shared" si="78"/>
        <v>0</v>
      </c>
      <c r="L1899" s="338">
        <f t="shared" si="80"/>
        <v>0</v>
      </c>
      <c r="Q1899" s="914"/>
      <c r="R1899" s="479"/>
      <c r="S1899" s="658"/>
      <c r="T1899" s="290"/>
      <c r="U1899" s="290"/>
      <c r="V1899" s="290"/>
    </row>
    <row r="1900" spans="1:22" ht="27.75" customHeight="1">
      <c r="B1900" s="477"/>
      <c r="C1900" s="393"/>
      <c r="D1900" s="338"/>
      <c r="G1900" s="386"/>
      <c r="H1900" s="1100"/>
      <c r="J1900" s="335"/>
      <c r="K1900" s="374">
        <f t="shared" si="78"/>
        <v>0</v>
      </c>
      <c r="L1900" s="338">
        <f t="shared" si="80"/>
        <v>0</v>
      </c>
      <c r="Q1900" s="914"/>
      <c r="R1900" s="479"/>
      <c r="S1900" s="658"/>
      <c r="T1900" s="290"/>
      <c r="U1900" s="290"/>
      <c r="V1900" s="290"/>
    </row>
    <row r="1901" spans="1:22" ht="27.75" customHeight="1" thickBot="1">
      <c r="B1901" s="477"/>
      <c r="C1901" s="393"/>
      <c r="D1901" s="335"/>
      <c r="G1901" s="386"/>
      <c r="H1901" s="1108"/>
      <c r="I1901" s="647"/>
      <c r="J1901" s="335"/>
      <c r="K1901" s="374">
        <f t="shared" si="78"/>
        <v>0</v>
      </c>
      <c r="L1901" s="374">
        <f t="shared" si="80"/>
        <v>0</v>
      </c>
      <c r="S1901" s="290"/>
      <c r="T1901" s="290"/>
      <c r="U1901" s="290"/>
      <c r="V1901" s="290"/>
    </row>
    <row r="1902" spans="1:22" s="570" customFormat="1" ht="27.75" customHeight="1" thickTop="1" thickBot="1">
      <c r="A1902" s="558"/>
      <c r="B1902" s="560"/>
      <c r="C1902" s="559"/>
      <c r="D1902" s="561"/>
      <c r="E1902" s="561"/>
      <c r="F1902" s="558"/>
      <c r="G1902" s="1005"/>
      <c r="H1902" s="562"/>
      <c r="I1902" s="563"/>
      <c r="J1902" s="561"/>
      <c r="K1902" s="374">
        <f t="shared" si="78"/>
        <v>0</v>
      </c>
      <c r="L1902" s="564">
        <f t="shared" si="80"/>
        <v>0</v>
      </c>
      <c r="M1902" s="565"/>
      <c r="N1902" s="566">
        <f>SUM(G1900:G1902)</f>
        <v>0</v>
      </c>
      <c r="O1902" s="566">
        <f>SUM(J1901:J1902)</f>
        <v>0</v>
      </c>
      <c r="P1902" s="566">
        <f>+N1902+O1902</f>
        <v>0</v>
      </c>
      <c r="Q1902" s="567">
        <f>SUM(D1901)</f>
        <v>0</v>
      </c>
      <c r="R1902" s="568" t="s">
        <v>2674</v>
      </c>
      <c r="S1902" s="1035"/>
    </row>
    <row r="1903" spans="1:22" ht="27.75" customHeight="1" thickTop="1">
      <c r="B1903" s="477" t="s">
        <v>946</v>
      </c>
      <c r="C1903" s="393"/>
      <c r="D1903" s="335"/>
      <c r="G1903" s="386"/>
      <c r="H1903" s="332"/>
      <c r="I1903" s="397"/>
      <c r="J1903" s="335"/>
      <c r="K1903" s="374">
        <f t="shared" si="78"/>
        <v>0</v>
      </c>
      <c r="L1903" s="338">
        <f t="shared" si="80"/>
        <v>0</v>
      </c>
      <c r="Q1903" s="478"/>
      <c r="R1903" s="479"/>
      <c r="S1903" s="658"/>
      <c r="T1903" s="290"/>
      <c r="U1903" s="290"/>
      <c r="V1903" s="290"/>
    </row>
    <row r="1904" spans="1:22" ht="27.75" customHeight="1">
      <c r="A1904" s="331">
        <v>1</v>
      </c>
      <c r="B1904" s="477" t="s">
        <v>3174</v>
      </c>
      <c r="C1904" s="393" t="s">
        <v>3175</v>
      </c>
      <c r="D1904" s="335"/>
      <c r="E1904" s="335" t="s">
        <v>3420</v>
      </c>
      <c r="F1904" s="331">
        <v>1</v>
      </c>
      <c r="G1904" s="386">
        <v>181.90000000000006</v>
      </c>
      <c r="H1904" s="332"/>
      <c r="I1904" s="397"/>
      <c r="J1904" s="335"/>
      <c r="K1904" s="374">
        <f t="shared" si="78"/>
        <v>20.991260000000008</v>
      </c>
      <c r="L1904" s="338">
        <f t="shared" si="80"/>
        <v>0</v>
      </c>
      <c r="Q1904" s="478"/>
      <c r="R1904" s="479"/>
      <c r="S1904" s="658"/>
      <c r="T1904" s="290"/>
      <c r="U1904" s="290"/>
      <c r="V1904" s="290"/>
    </row>
    <row r="1905" spans="1:22" ht="27.75" customHeight="1">
      <c r="A1905" s="331">
        <v>2</v>
      </c>
      <c r="B1905" s="477" t="s">
        <v>1479</v>
      </c>
      <c r="C1905" s="393" t="s">
        <v>1480</v>
      </c>
      <c r="D1905" s="335"/>
      <c r="E1905" s="335" t="s">
        <v>3425</v>
      </c>
      <c r="F1905" s="331">
        <v>2</v>
      </c>
      <c r="G1905" s="386">
        <v>96.300000000000026</v>
      </c>
      <c r="H1905" s="332"/>
      <c r="I1905" s="397"/>
      <c r="J1905" s="335"/>
      <c r="K1905" s="374">
        <f t="shared" si="78"/>
        <v>11.113020000000001</v>
      </c>
      <c r="L1905" s="374">
        <f t="shared" ref="L1905:L1913" si="81">+J1905</f>
        <v>0</v>
      </c>
      <c r="Q1905" s="478"/>
      <c r="R1905" s="479"/>
      <c r="S1905" s="658"/>
      <c r="T1905" s="290"/>
      <c r="U1905" s="290"/>
      <c r="V1905" s="290"/>
    </row>
    <row r="1906" spans="1:22" ht="27.75" customHeight="1">
      <c r="A1906" s="331">
        <v>3</v>
      </c>
      <c r="B1906" s="477" t="s">
        <v>3426</v>
      </c>
      <c r="C1906" s="393" t="s">
        <v>3427</v>
      </c>
      <c r="D1906" s="335"/>
      <c r="E1906" s="335" t="s">
        <v>3420</v>
      </c>
      <c r="F1906" s="331">
        <v>1</v>
      </c>
      <c r="G1906" s="386">
        <v>10.7</v>
      </c>
      <c r="H1906" s="332"/>
      <c r="I1906" s="397"/>
      <c r="J1906" s="335"/>
      <c r="K1906" s="374">
        <f t="shared" si="78"/>
        <v>1.2347799999999998</v>
      </c>
      <c r="L1906" s="374">
        <f t="shared" si="81"/>
        <v>0</v>
      </c>
      <c r="Q1906" s="478"/>
      <c r="R1906" s="479"/>
      <c r="S1906" s="658"/>
      <c r="T1906" s="290"/>
      <c r="U1906" s="290"/>
      <c r="V1906" s="290"/>
    </row>
    <row r="1907" spans="1:22" ht="27.75" customHeight="1">
      <c r="A1907" s="331">
        <v>4</v>
      </c>
      <c r="B1907" s="477" t="s">
        <v>3428</v>
      </c>
      <c r="C1907" s="393" t="s">
        <v>3429</v>
      </c>
      <c r="D1907" s="335"/>
      <c r="E1907" s="335" t="s">
        <v>3420</v>
      </c>
      <c r="F1907" s="331">
        <v>1</v>
      </c>
      <c r="G1907" s="386">
        <v>10.7</v>
      </c>
      <c r="H1907" s="332"/>
      <c r="I1907" s="397"/>
      <c r="J1907" s="335"/>
      <c r="K1907" s="374">
        <f t="shared" si="78"/>
        <v>1.2347799999999998</v>
      </c>
      <c r="L1907" s="374">
        <f t="shared" si="81"/>
        <v>0</v>
      </c>
      <c r="Q1907" s="478"/>
      <c r="R1907" s="479"/>
      <c r="S1907" s="658"/>
      <c r="T1907" s="290"/>
      <c r="U1907" s="290"/>
      <c r="V1907" s="290"/>
    </row>
    <row r="1908" spans="1:22" ht="27.75" customHeight="1">
      <c r="A1908" s="331">
        <v>5</v>
      </c>
      <c r="B1908" s="477" t="s">
        <v>3334</v>
      </c>
      <c r="C1908" s="393" t="s">
        <v>3335</v>
      </c>
      <c r="D1908" s="335"/>
      <c r="E1908" s="335" t="s">
        <v>3420</v>
      </c>
      <c r="F1908" s="331">
        <v>1</v>
      </c>
      <c r="G1908" s="386">
        <v>32.1</v>
      </c>
      <c r="H1908" s="332"/>
      <c r="I1908" s="397"/>
      <c r="J1908" s="335"/>
      <c r="K1908" s="374">
        <f t="shared" si="78"/>
        <v>3.7043399999999997</v>
      </c>
      <c r="L1908" s="374">
        <f t="shared" si="81"/>
        <v>0</v>
      </c>
      <c r="Q1908" s="478"/>
      <c r="R1908" s="479"/>
      <c r="S1908" s="658"/>
      <c r="T1908" s="290"/>
      <c r="U1908" s="290"/>
      <c r="V1908" s="290"/>
    </row>
    <row r="1909" spans="1:22" ht="27.75" customHeight="1">
      <c r="A1909" s="331">
        <v>6</v>
      </c>
      <c r="B1909" s="477" t="s">
        <v>3336</v>
      </c>
      <c r="C1909" s="393" t="s">
        <v>3337</v>
      </c>
      <c r="D1909" s="335"/>
      <c r="E1909" s="335" t="s">
        <v>3420</v>
      </c>
      <c r="F1909" s="331">
        <v>1</v>
      </c>
      <c r="G1909" s="386">
        <v>117.7</v>
      </c>
      <c r="H1909" s="332"/>
      <c r="I1909" s="397"/>
      <c r="J1909" s="335"/>
      <c r="K1909" s="374">
        <f t="shared" si="78"/>
        <v>13.58258</v>
      </c>
      <c r="L1909" s="374">
        <f t="shared" si="81"/>
        <v>0</v>
      </c>
      <c r="Q1909" s="478"/>
      <c r="R1909" s="479"/>
      <c r="S1909" s="658"/>
      <c r="T1909" s="290"/>
      <c r="U1909" s="290"/>
      <c r="V1909" s="290"/>
    </row>
    <row r="1910" spans="1:22" ht="27.75" customHeight="1">
      <c r="A1910" s="331">
        <v>7</v>
      </c>
      <c r="B1910" s="477" t="s">
        <v>3338</v>
      </c>
      <c r="C1910" s="393" t="s">
        <v>2985</v>
      </c>
      <c r="D1910" s="335"/>
      <c r="E1910" s="335" t="s">
        <v>3420</v>
      </c>
      <c r="F1910" s="331">
        <v>1</v>
      </c>
      <c r="G1910" s="386">
        <v>53.5</v>
      </c>
      <c r="H1910" s="332"/>
      <c r="I1910" s="397"/>
      <c r="J1910" s="335"/>
      <c r="K1910" s="374">
        <f t="shared" si="78"/>
        <v>6.1738999999999997</v>
      </c>
      <c r="L1910" s="374">
        <f t="shared" si="81"/>
        <v>0</v>
      </c>
      <c r="Q1910" s="478"/>
      <c r="R1910" s="479"/>
      <c r="S1910" s="658"/>
      <c r="T1910" s="290"/>
      <c r="U1910" s="290"/>
      <c r="V1910" s="290"/>
    </row>
    <row r="1911" spans="1:22" ht="30" customHeight="1" thickBot="1">
      <c r="B1911" s="477"/>
      <c r="C1911" s="393"/>
      <c r="D1911" s="335"/>
      <c r="G1911" s="386"/>
      <c r="H1911" s="332"/>
      <c r="I1911" s="397"/>
      <c r="J1911" s="335"/>
      <c r="K1911" s="374">
        <f t="shared" ref="K1911:K1978" si="82">G1911*11.54/100</f>
        <v>0</v>
      </c>
      <c r="L1911" s="374">
        <f t="shared" si="81"/>
        <v>0</v>
      </c>
      <c r="Q1911" s="478"/>
      <c r="R1911" s="479"/>
      <c r="S1911" s="658"/>
      <c r="T1911" s="290"/>
      <c r="U1911" s="290"/>
      <c r="V1911" s="290"/>
    </row>
    <row r="1912" spans="1:22" s="1110" customFormat="1" ht="27.75" customHeight="1" thickTop="1" thickBot="1">
      <c r="A1912" s="558"/>
      <c r="B1912" s="562"/>
      <c r="C1912" s="562"/>
      <c r="D1912" s="561"/>
      <c r="E1912" s="561"/>
      <c r="F1912" s="558"/>
      <c r="G1912" s="1028"/>
      <c r="H1912" s="562"/>
      <c r="I1912" s="563"/>
      <c r="J1912" s="561"/>
      <c r="K1912" s="374">
        <f t="shared" si="82"/>
        <v>0</v>
      </c>
      <c r="L1912" s="564">
        <f t="shared" si="81"/>
        <v>0</v>
      </c>
      <c r="M1912" s="1079"/>
      <c r="N1912" s="566">
        <f>SUM(G1904:G1912)</f>
        <v>502.90000000000009</v>
      </c>
      <c r="O1912" s="566">
        <f>SUM(J1912:J1912)</f>
        <v>0</v>
      </c>
      <c r="P1912" s="566">
        <f>+N1912+O1912</f>
        <v>502.90000000000009</v>
      </c>
      <c r="Q1912" s="1080"/>
      <c r="R1912" s="568" t="s">
        <v>946</v>
      </c>
      <c r="S1912" s="1109"/>
    </row>
    <row r="1913" spans="1:22" ht="27.75" customHeight="1" thickTop="1">
      <c r="B1913" s="506"/>
      <c r="C1913" s="506"/>
      <c r="D1913" s="475"/>
      <c r="E1913" s="475"/>
      <c r="F1913" s="647"/>
      <c r="H1913" s="332"/>
      <c r="I1913" s="397"/>
      <c r="J1913" s="335"/>
      <c r="K1913" s="374">
        <f t="shared" si="82"/>
        <v>0</v>
      </c>
      <c r="L1913" s="374">
        <f t="shared" si="81"/>
        <v>0</v>
      </c>
      <c r="S1913" s="290"/>
      <c r="T1913" s="290"/>
      <c r="U1913" s="290"/>
      <c r="V1913" s="290"/>
    </row>
    <row r="1914" spans="1:22" ht="27.75" customHeight="1" thickBot="1">
      <c r="B1914" s="506"/>
      <c r="C1914" s="506"/>
      <c r="D1914" s="475"/>
      <c r="E1914" s="475"/>
      <c r="F1914" s="647"/>
      <c r="H1914" s="332"/>
      <c r="I1914" s="397"/>
      <c r="J1914" s="335"/>
      <c r="K1914" s="374">
        <f t="shared" si="82"/>
        <v>0</v>
      </c>
      <c r="L1914" s="374">
        <f t="shared" ref="L1914:L1921" si="83">+J1914</f>
        <v>0</v>
      </c>
      <c r="Q1914" s="478"/>
      <c r="R1914" s="479"/>
      <c r="S1914" s="658"/>
      <c r="T1914" s="290"/>
      <c r="U1914" s="290"/>
      <c r="V1914" s="290"/>
    </row>
    <row r="1915" spans="1:22" s="570" customFormat="1" ht="27.75" customHeight="1" thickTop="1" thickBot="1">
      <c r="A1915" s="558"/>
      <c r="B1915" s="562"/>
      <c r="C1915" s="562"/>
      <c r="D1915" s="561"/>
      <c r="E1915" s="561"/>
      <c r="F1915" s="558"/>
      <c r="G1915" s="1028"/>
      <c r="H1915" s="562"/>
      <c r="I1915" s="563"/>
      <c r="J1915" s="561"/>
      <c r="K1915" s="374">
        <f t="shared" si="82"/>
        <v>0</v>
      </c>
      <c r="L1915" s="564">
        <f>+J1915</f>
        <v>0</v>
      </c>
      <c r="M1915" s="565"/>
      <c r="N1915" s="566">
        <f>SUM(G1913:G1915)</f>
        <v>0</v>
      </c>
      <c r="O1915" s="566">
        <f>SUM(J1913:J1915)</f>
        <v>0</v>
      </c>
      <c r="P1915" s="566">
        <f>+N1915+O1915</f>
        <v>0</v>
      </c>
      <c r="Q1915" s="567">
        <f>SUM(D1912:D1915)</f>
        <v>0</v>
      </c>
      <c r="R1915" s="568" t="s">
        <v>311</v>
      </c>
      <c r="S1915" s="1035"/>
    </row>
    <row r="1916" spans="1:22" ht="27.75" customHeight="1" thickTop="1">
      <c r="B1916" s="332" t="s">
        <v>53</v>
      </c>
      <c r="C1916" s="332"/>
      <c r="D1916" s="335"/>
      <c r="H1916" s="332"/>
      <c r="I1916" s="397"/>
      <c r="J1916" s="335"/>
      <c r="K1916" s="374">
        <f t="shared" si="82"/>
        <v>0</v>
      </c>
      <c r="L1916" s="374">
        <f t="shared" si="83"/>
        <v>0</v>
      </c>
      <c r="Q1916" s="478"/>
      <c r="R1916" s="479"/>
      <c r="S1916" s="658"/>
      <c r="T1916" s="290"/>
      <c r="U1916" s="290"/>
      <c r="V1916" s="290"/>
    </row>
    <row r="1917" spans="1:22" ht="27.75" customHeight="1">
      <c r="A1917" s="331">
        <v>1</v>
      </c>
      <c r="B1917" s="332" t="s">
        <v>3421</v>
      </c>
      <c r="C1917" s="332" t="s">
        <v>1477</v>
      </c>
      <c r="D1917" s="335">
        <v>321</v>
      </c>
      <c r="G1917" s="586"/>
      <c r="H1917" s="332"/>
      <c r="I1917" s="397"/>
      <c r="J1917" s="335"/>
      <c r="K1917" s="374">
        <f t="shared" si="82"/>
        <v>0</v>
      </c>
      <c r="L1917" s="374">
        <f t="shared" si="83"/>
        <v>0</v>
      </c>
      <c r="Q1917" s="478"/>
      <c r="R1917" s="479"/>
      <c r="S1917" s="658"/>
      <c r="T1917" s="290"/>
      <c r="U1917" s="290"/>
      <c r="V1917" s="290"/>
    </row>
    <row r="1918" spans="1:22" ht="27.75" customHeight="1">
      <c r="A1918" s="331">
        <v>2</v>
      </c>
      <c r="B1918" s="332" t="s">
        <v>1478</v>
      </c>
      <c r="C1918" s="332" t="s">
        <v>1477</v>
      </c>
      <c r="D1918" s="335"/>
      <c r="E1918" s="335" t="s">
        <v>3420</v>
      </c>
      <c r="F1918" s="331">
        <v>1</v>
      </c>
      <c r="G1918" s="586">
        <v>160.5</v>
      </c>
      <c r="H1918" s="332"/>
      <c r="I1918" s="397"/>
      <c r="J1918" s="335"/>
      <c r="K1918" s="374">
        <f t="shared" si="82"/>
        <v>18.521699999999999</v>
      </c>
      <c r="L1918" s="374">
        <f t="shared" si="83"/>
        <v>0</v>
      </c>
      <c r="Q1918" s="478"/>
      <c r="R1918" s="479"/>
      <c r="S1918" s="658"/>
      <c r="T1918" s="290"/>
      <c r="U1918" s="290"/>
      <c r="V1918" s="290"/>
    </row>
    <row r="1919" spans="1:22" ht="27.75" customHeight="1">
      <c r="A1919" s="331">
        <v>3</v>
      </c>
      <c r="B1919" s="332" t="s">
        <v>2982</v>
      </c>
      <c r="C1919" s="332" t="s">
        <v>2983</v>
      </c>
      <c r="D1919" s="335">
        <v>802.5</v>
      </c>
      <c r="G1919" s="586"/>
      <c r="H1919" s="332"/>
      <c r="I1919" s="397"/>
      <c r="J1919" s="335"/>
      <c r="K1919" s="374">
        <f t="shared" si="82"/>
        <v>0</v>
      </c>
      <c r="L1919" s="374">
        <f t="shared" si="83"/>
        <v>0</v>
      </c>
      <c r="Q1919" s="478"/>
      <c r="R1919" s="479"/>
      <c r="S1919" s="658"/>
      <c r="T1919" s="290"/>
      <c r="U1919" s="290"/>
      <c r="V1919" s="290"/>
    </row>
    <row r="1920" spans="1:22" ht="27.75" customHeight="1">
      <c r="A1920" s="331">
        <v>4</v>
      </c>
      <c r="B1920" s="332" t="s">
        <v>2984</v>
      </c>
      <c r="C1920" s="332" t="s">
        <v>1477</v>
      </c>
      <c r="D1920" s="335">
        <v>802.5</v>
      </c>
      <c r="G1920" s="586"/>
      <c r="H1920" s="332"/>
      <c r="I1920" s="397"/>
      <c r="J1920" s="335"/>
      <c r="K1920" s="374">
        <f t="shared" si="82"/>
        <v>0</v>
      </c>
      <c r="L1920" s="374">
        <f t="shared" si="83"/>
        <v>0</v>
      </c>
      <c r="Q1920" s="478"/>
      <c r="R1920" s="479"/>
      <c r="S1920" s="658"/>
      <c r="T1920" s="290"/>
      <c r="U1920" s="290"/>
      <c r="V1920" s="290"/>
    </row>
    <row r="1921" spans="1:25" ht="27.75" customHeight="1">
      <c r="A1921" s="331">
        <v>5</v>
      </c>
      <c r="B1921" s="332" t="s">
        <v>2271</v>
      </c>
      <c r="C1921" s="332" t="s">
        <v>1477</v>
      </c>
      <c r="D1921" s="335">
        <v>359</v>
      </c>
      <c r="G1921" s="586"/>
      <c r="H1921" s="332"/>
      <c r="I1921" s="397"/>
      <c r="J1921" s="335"/>
      <c r="K1921" s="374">
        <f t="shared" si="82"/>
        <v>0</v>
      </c>
      <c r="L1921" s="374">
        <f t="shared" si="83"/>
        <v>0</v>
      </c>
      <c r="Q1921" s="478"/>
      <c r="R1921" s="479"/>
      <c r="S1921" s="658"/>
      <c r="T1921" s="290"/>
      <c r="U1921" s="290"/>
      <c r="V1921" s="290"/>
    </row>
    <row r="1922" spans="1:25" ht="27.75" customHeight="1">
      <c r="B1922" s="332"/>
      <c r="C1922" s="332"/>
      <c r="D1922" s="335"/>
      <c r="G1922" s="586"/>
      <c r="H1922" s="332"/>
      <c r="I1922" s="397"/>
      <c r="J1922" s="335"/>
      <c r="K1922" s="374"/>
      <c r="L1922" s="374"/>
      <c r="Q1922" s="478"/>
      <c r="R1922" s="479"/>
      <c r="S1922" s="658"/>
      <c r="T1922" s="290"/>
      <c r="U1922" s="290"/>
      <c r="V1922" s="290"/>
    </row>
    <row r="1923" spans="1:25" ht="27.75" customHeight="1" thickBot="1">
      <c r="B1923" s="332"/>
      <c r="C1923" s="332"/>
      <c r="D1923" s="335"/>
      <c r="G1923" s="586"/>
      <c r="H1923" s="332"/>
      <c r="I1923" s="397"/>
      <c r="J1923" s="335"/>
      <c r="K1923" s="374"/>
      <c r="L1923" s="374"/>
      <c r="Q1923" s="478"/>
      <c r="R1923" s="479"/>
      <c r="S1923" s="658"/>
      <c r="T1923" s="290"/>
      <c r="U1923" s="290"/>
      <c r="V1923" s="290"/>
    </row>
    <row r="1924" spans="1:25" s="570" customFormat="1" ht="27.75" customHeight="1" thickTop="1" thickBot="1">
      <c r="A1924" s="558"/>
      <c r="B1924" s="560"/>
      <c r="C1924" s="1111"/>
      <c r="D1924" s="564"/>
      <c r="E1924" s="561"/>
      <c r="F1924" s="1112"/>
      <c r="G1924" s="1113"/>
      <c r="H1924" s="560"/>
      <c r="I1924" s="558"/>
      <c r="J1924" s="564"/>
      <c r="K1924" s="374">
        <f t="shared" si="82"/>
        <v>0</v>
      </c>
      <c r="L1924" s="564">
        <f t="shared" ref="L1924:L1930" si="84">+J1924</f>
        <v>0</v>
      </c>
      <c r="M1924" s="565"/>
      <c r="N1924" s="566">
        <f>SUM(G1916:G1924)</f>
        <v>160.5</v>
      </c>
      <c r="O1924" s="566">
        <f>SUM(J1917:J1924)</f>
        <v>0</v>
      </c>
      <c r="P1924" s="566">
        <f>+N1924+O1924</f>
        <v>160.5</v>
      </c>
      <c r="Q1924" s="567">
        <f>SUM(D1916:D1923)</f>
        <v>2285</v>
      </c>
      <c r="R1924" s="568" t="s">
        <v>53</v>
      </c>
      <c r="S1924" s="1035"/>
    </row>
    <row r="1925" spans="1:25" s="455" customFormat="1" ht="27.75" customHeight="1" thickTop="1">
      <c r="A1925" s="379"/>
      <c r="B1925" s="577" t="s">
        <v>70</v>
      </c>
      <c r="C1925" s="1114"/>
      <c r="D1925" s="374"/>
      <c r="E1925" s="475"/>
      <c r="F1925" s="647"/>
      <c r="G1925" s="336"/>
      <c r="H1925" s="333"/>
      <c r="I1925" s="379"/>
      <c r="J1925" s="374"/>
      <c r="K1925" s="374">
        <f t="shared" si="82"/>
        <v>0</v>
      </c>
      <c r="L1925" s="374">
        <f t="shared" si="84"/>
        <v>0</v>
      </c>
      <c r="M1925" s="329"/>
      <c r="N1925" s="566"/>
      <c r="O1925" s="288"/>
      <c r="P1925" s="288"/>
      <c r="Q1925" s="288"/>
      <c r="R1925" s="385"/>
      <c r="S1925" s="385"/>
      <c r="T1925" s="385"/>
      <c r="U1925" s="385"/>
      <c r="V1925" s="385"/>
      <c r="W1925" s="385"/>
      <c r="X1925" s="385"/>
      <c r="Y1925" s="385"/>
    </row>
    <row r="1926" spans="1:25" s="455" customFormat="1" ht="27.75" customHeight="1">
      <c r="A1926" s="379">
        <v>1</v>
      </c>
      <c r="B1926" s="577" t="s">
        <v>3422</v>
      </c>
      <c r="C1926" s="1114" t="s">
        <v>3423</v>
      </c>
      <c r="D1926" s="374">
        <v>22470</v>
      </c>
      <c r="E1926" s="475"/>
      <c r="F1926" s="647"/>
      <c r="G1926" s="336"/>
      <c r="H1926" s="333"/>
      <c r="I1926" s="379"/>
      <c r="J1926" s="374"/>
      <c r="K1926" s="374">
        <f t="shared" si="82"/>
        <v>0</v>
      </c>
      <c r="L1926" s="374">
        <f t="shared" si="84"/>
        <v>0</v>
      </c>
      <c r="M1926" s="329"/>
      <c r="N1926" s="566"/>
      <c r="O1926" s="288"/>
      <c r="P1926" s="288"/>
      <c r="Q1926" s="288"/>
      <c r="R1926" s="385"/>
      <c r="S1926" s="385"/>
      <c r="T1926" s="385"/>
      <c r="U1926" s="385"/>
      <c r="V1926" s="385"/>
      <c r="W1926" s="385"/>
      <c r="X1926" s="385"/>
      <c r="Y1926" s="385"/>
    </row>
    <row r="1927" spans="1:25" s="455" customFormat="1" ht="27.75" customHeight="1">
      <c r="A1927" s="379">
        <v>2</v>
      </c>
      <c r="B1927" s="577" t="s">
        <v>3424</v>
      </c>
      <c r="C1927" s="1114" t="s">
        <v>2985</v>
      </c>
      <c r="D1927" s="374">
        <v>22470</v>
      </c>
      <c r="E1927" s="475"/>
      <c r="F1927" s="647"/>
      <c r="G1927" s="336"/>
      <c r="H1927" s="333"/>
      <c r="I1927" s="379"/>
      <c r="J1927" s="374"/>
      <c r="K1927" s="374">
        <f t="shared" si="82"/>
        <v>0</v>
      </c>
      <c r="L1927" s="374">
        <f t="shared" si="84"/>
        <v>0</v>
      </c>
      <c r="M1927" s="329"/>
      <c r="N1927" s="566"/>
      <c r="O1927" s="288"/>
      <c r="P1927" s="288"/>
      <c r="Q1927" s="288"/>
      <c r="R1927" s="385"/>
      <c r="S1927" s="385"/>
      <c r="T1927" s="385"/>
      <c r="U1927" s="385"/>
      <c r="V1927" s="385"/>
      <c r="W1927" s="385"/>
      <c r="X1927" s="385"/>
      <c r="Y1927" s="385"/>
    </row>
    <row r="1928" spans="1:25" s="455" customFormat="1" ht="27.75" customHeight="1">
      <c r="A1928" s="379">
        <v>3</v>
      </c>
      <c r="B1928" s="577" t="s">
        <v>3238</v>
      </c>
      <c r="C1928" s="1114" t="s">
        <v>1480</v>
      </c>
      <c r="D1928" s="374"/>
      <c r="E1928" s="475" t="s">
        <v>3420</v>
      </c>
      <c r="F1928" s="647">
        <v>0.93457943925233611</v>
      </c>
      <c r="G1928" s="336">
        <v>9630</v>
      </c>
      <c r="H1928" s="333"/>
      <c r="I1928" s="379"/>
      <c r="J1928" s="374"/>
      <c r="K1928" s="374">
        <f t="shared" si="82"/>
        <v>1111.3019999999999</v>
      </c>
      <c r="L1928" s="374">
        <f t="shared" si="84"/>
        <v>0</v>
      </c>
      <c r="M1928" s="329"/>
      <c r="N1928" s="566"/>
      <c r="O1928" s="288"/>
      <c r="P1928" s="288"/>
      <c r="Q1928" s="288"/>
      <c r="R1928" s="385"/>
      <c r="S1928" s="385"/>
      <c r="T1928" s="385"/>
      <c r="U1928" s="385"/>
      <c r="V1928" s="385"/>
      <c r="W1928" s="385"/>
      <c r="X1928" s="385"/>
      <c r="Y1928" s="385"/>
    </row>
    <row r="1929" spans="1:25" s="455" customFormat="1" ht="27.75" customHeight="1">
      <c r="A1929" s="379">
        <v>4</v>
      </c>
      <c r="B1929" s="577" t="s">
        <v>2696</v>
      </c>
      <c r="C1929" s="1114" t="s">
        <v>2765</v>
      </c>
      <c r="D1929" s="374"/>
      <c r="E1929" s="475" t="s">
        <v>3420</v>
      </c>
      <c r="F1929" s="647">
        <v>0.93457943925233578</v>
      </c>
      <c r="G1929" s="336">
        <v>6420</v>
      </c>
      <c r="H1929" s="333"/>
      <c r="I1929" s="379"/>
      <c r="J1929" s="374"/>
      <c r="K1929" s="374">
        <f t="shared" si="82"/>
        <v>740.86799999999994</v>
      </c>
      <c r="L1929" s="374">
        <f t="shared" si="84"/>
        <v>0</v>
      </c>
      <c r="M1929" s="329"/>
      <c r="N1929" s="566"/>
      <c r="O1929" s="288"/>
      <c r="P1929" s="288"/>
      <c r="Q1929" s="288"/>
      <c r="R1929" s="385"/>
      <c r="S1929" s="385"/>
      <c r="T1929" s="385"/>
      <c r="U1929" s="385"/>
      <c r="V1929" s="385"/>
      <c r="W1929" s="385"/>
      <c r="X1929" s="385"/>
      <c r="Y1929" s="385"/>
    </row>
    <row r="1930" spans="1:25" s="455" customFormat="1" ht="27" customHeight="1" thickBot="1">
      <c r="A1930" s="379"/>
      <c r="B1930" s="577"/>
      <c r="C1930" s="1114"/>
      <c r="D1930" s="374"/>
      <c r="E1930" s="475"/>
      <c r="F1930" s="647"/>
      <c r="G1930" s="336"/>
      <c r="H1930" s="333"/>
      <c r="I1930" s="379"/>
      <c r="J1930" s="374"/>
      <c r="K1930" s="374">
        <f t="shared" si="82"/>
        <v>0</v>
      </c>
      <c r="L1930" s="374">
        <f t="shared" si="84"/>
        <v>0</v>
      </c>
      <c r="M1930" s="329"/>
      <c r="N1930" s="566"/>
      <c r="O1930" s="288"/>
      <c r="P1930" s="288"/>
      <c r="Q1930" s="288"/>
      <c r="R1930" s="385"/>
      <c r="S1930" s="385"/>
      <c r="T1930" s="385"/>
      <c r="U1930" s="385"/>
      <c r="V1930" s="385"/>
      <c r="W1930" s="385"/>
      <c r="X1930" s="385"/>
      <c r="Y1930" s="385"/>
    </row>
    <row r="1931" spans="1:25" s="570" customFormat="1" ht="27.75" customHeight="1" thickTop="1" thickBot="1">
      <c r="A1931" s="558"/>
      <c r="B1931" s="559"/>
      <c r="C1931" s="1025"/>
      <c r="D1931" s="564"/>
      <c r="E1931" s="561"/>
      <c r="F1931" s="558"/>
      <c r="G1931" s="1028"/>
      <c r="H1931" s="562"/>
      <c r="I1931" s="563"/>
      <c r="J1931" s="561"/>
      <c r="K1931" s="374">
        <f t="shared" si="82"/>
        <v>0</v>
      </c>
      <c r="L1931" s="564">
        <f t="shared" ref="L1931:L1943" si="85">+J1931</f>
        <v>0</v>
      </c>
      <c r="M1931" s="565"/>
      <c r="N1931" s="566">
        <f>SUM(G1925:G1931)</f>
        <v>16050</v>
      </c>
      <c r="O1931" s="566">
        <f>SUM(J1924:J1931)</f>
        <v>0</v>
      </c>
      <c r="P1931" s="566">
        <f>+N1931+O1931</f>
        <v>16050</v>
      </c>
      <c r="Q1931" s="567">
        <f>SUM(D1924:D1931)</f>
        <v>44940</v>
      </c>
      <c r="R1931" s="568" t="s">
        <v>44</v>
      </c>
      <c r="S1931" s="1035"/>
    </row>
    <row r="1932" spans="1:25" ht="27.75" customHeight="1" thickTop="1" thickBot="1">
      <c r="B1932" s="506"/>
      <c r="C1932" s="395"/>
      <c r="D1932" s="338"/>
      <c r="E1932" s="475"/>
      <c r="F1932" s="647"/>
      <c r="G1932" s="386"/>
      <c r="H1932" s="332"/>
      <c r="I1932" s="397"/>
      <c r="J1932" s="335"/>
      <c r="K1932" s="374">
        <f t="shared" si="82"/>
        <v>0</v>
      </c>
      <c r="L1932" s="374">
        <f t="shared" si="85"/>
        <v>0</v>
      </c>
      <c r="S1932" s="290"/>
      <c r="T1932" s="290"/>
      <c r="U1932" s="290"/>
      <c r="V1932" s="290"/>
    </row>
    <row r="1933" spans="1:25" s="570" customFormat="1" ht="27.75" customHeight="1" thickTop="1" thickBot="1">
      <c r="A1933" s="558"/>
      <c r="B1933" s="562"/>
      <c r="C1933" s="559"/>
      <c r="D1933" s="564"/>
      <c r="E1933" s="561"/>
      <c r="F1933" s="558"/>
      <c r="G1933" s="1005"/>
      <c r="H1933" s="562"/>
      <c r="I1933" s="563"/>
      <c r="J1933" s="561"/>
      <c r="K1933" s="374">
        <f t="shared" si="82"/>
        <v>0</v>
      </c>
      <c r="L1933" s="564">
        <f t="shared" si="85"/>
        <v>0</v>
      </c>
      <c r="M1933" s="565"/>
      <c r="N1933" s="566">
        <f>SUM(G1933)</f>
        <v>0</v>
      </c>
      <c r="O1933" s="566">
        <f>SUM(J1933)</f>
        <v>0</v>
      </c>
      <c r="P1933" s="566">
        <f>SUM(N1933:O1933)</f>
        <v>0</v>
      </c>
      <c r="Q1933" s="567">
        <f>SUM(D1933)</f>
        <v>0</v>
      </c>
      <c r="R1933" s="568" t="s">
        <v>36</v>
      </c>
      <c r="S1933" s="1035"/>
    </row>
    <row r="1934" spans="1:25" ht="27.75" customHeight="1" thickTop="1">
      <c r="B1934" s="506"/>
      <c r="C1934" s="395"/>
      <c r="D1934" s="338"/>
      <c r="E1934" s="475"/>
      <c r="F1934" s="647"/>
      <c r="G1934" s="386"/>
      <c r="H1934" s="332"/>
      <c r="I1934" s="397"/>
      <c r="J1934" s="335"/>
      <c r="K1934" s="374">
        <f t="shared" si="82"/>
        <v>0</v>
      </c>
      <c r="L1934" s="374">
        <f t="shared" si="85"/>
        <v>0</v>
      </c>
      <c r="S1934" s="290"/>
      <c r="T1934" s="290"/>
      <c r="U1934" s="290"/>
      <c r="V1934" s="290"/>
    </row>
    <row r="1935" spans="1:25" ht="33.6" customHeight="1">
      <c r="B1935" s="395" t="s">
        <v>220</v>
      </c>
      <c r="C1935" s="395"/>
      <c r="D1935" s="374"/>
      <c r="E1935" s="382"/>
      <c r="F1935" s="379"/>
      <c r="G1935" s="386"/>
      <c r="H1935" s="373"/>
      <c r="I1935" s="337"/>
      <c r="J1935" s="335"/>
      <c r="K1935" s="374">
        <f t="shared" si="82"/>
        <v>0</v>
      </c>
      <c r="L1935" s="374">
        <f t="shared" si="85"/>
        <v>0</v>
      </c>
      <c r="N1935" s="288"/>
      <c r="O1935" s="288"/>
      <c r="P1935" s="288"/>
    </row>
    <row r="1936" spans="1:25" ht="27.75" customHeight="1">
      <c r="A1936" s="331">
        <v>1</v>
      </c>
      <c r="B1936" s="393" t="s">
        <v>109</v>
      </c>
      <c r="C1936" s="393" t="s">
        <v>2774</v>
      </c>
      <c r="D1936" s="338"/>
      <c r="G1936" s="386"/>
      <c r="H1936" s="373" t="s">
        <v>296</v>
      </c>
      <c r="I1936" s="331" t="s">
        <v>252</v>
      </c>
      <c r="J1936" s="335">
        <v>28958.15</v>
      </c>
      <c r="K1936" s="374">
        <f t="shared" si="82"/>
        <v>0</v>
      </c>
      <c r="L1936" s="374">
        <f t="shared" si="85"/>
        <v>28958.15</v>
      </c>
      <c r="N1936" s="288"/>
      <c r="O1936" s="288"/>
      <c r="P1936" s="288"/>
      <c r="Q1936" s="478"/>
      <c r="R1936" s="479"/>
      <c r="S1936" s="297"/>
    </row>
    <row r="1937" spans="1:22" ht="27.75" customHeight="1" thickBot="1">
      <c r="B1937" s="393" t="s">
        <v>2775</v>
      </c>
      <c r="C1937" s="393"/>
      <c r="D1937" s="338"/>
      <c r="G1937" s="386"/>
      <c r="H1937" s="373"/>
      <c r="J1937" s="335"/>
      <c r="K1937" s="374"/>
      <c r="L1937" s="374"/>
      <c r="N1937" s="288"/>
      <c r="O1937" s="288"/>
      <c r="P1937" s="288"/>
      <c r="Q1937" s="478"/>
      <c r="R1937" s="479"/>
      <c r="S1937" s="297"/>
    </row>
    <row r="1938" spans="1:22" s="570" customFormat="1" ht="27.75" customHeight="1" thickTop="1" thickBot="1">
      <c r="A1938" s="558"/>
      <c r="B1938" s="559"/>
      <c r="C1938" s="559"/>
      <c r="D1938" s="564"/>
      <c r="E1938" s="561"/>
      <c r="F1938" s="558"/>
      <c r="G1938" s="1005"/>
      <c r="H1938" s="1025"/>
      <c r="I1938" s="558"/>
      <c r="J1938" s="561"/>
      <c r="K1938" s="374">
        <f t="shared" si="82"/>
        <v>0</v>
      </c>
      <c r="L1938" s="374">
        <f t="shared" si="85"/>
        <v>0</v>
      </c>
      <c r="M1938" s="565"/>
      <c r="N1938" s="1059">
        <f>SUM(G1934:G1938)</f>
        <v>0</v>
      </c>
      <c r="O1938" s="1059">
        <f>SUM(J1934:J1938)</f>
        <v>28958.15</v>
      </c>
      <c r="P1938" s="1059">
        <f>+N1938+O1938</f>
        <v>28958.15</v>
      </c>
      <c r="Q1938" s="1080">
        <f>SUM(D1938:D1938)</f>
        <v>0</v>
      </c>
      <c r="R1938" s="568" t="s">
        <v>220</v>
      </c>
      <c r="S1938" s="569"/>
      <c r="T1938" s="566"/>
      <c r="U1938" s="566"/>
      <c r="V1938" s="565">
        <v>27747.239999999998</v>
      </c>
    </row>
    <row r="1939" spans="1:22" ht="27.75" customHeight="1" thickTop="1">
      <c r="B1939" s="395" t="s">
        <v>219</v>
      </c>
      <c r="C1939" s="395"/>
      <c r="D1939" s="374"/>
      <c r="E1939" s="382"/>
      <c r="F1939" s="379"/>
      <c r="G1939" s="386"/>
      <c r="H1939" s="373"/>
      <c r="I1939" s="337"/>
      <c r="J1939" s="335"/>
      <c r="K1939" s="374">
        <f t="shared" si="82"/>
        <v>0</v>
      </c>
      <c r="L1939" s="374">
        <f t="shared" si="85"/>
        <v>0</v>
      </c>
      <c r="N1939" s="288"/>
      <c r="O1939" s="288"/>
      <c r="P1939" s="288"/>
      <c r="V1939" s="551">
        <v>0</v>
      </c>
    </row>
    <row r="1940" spans="1:22" ht="27.75" customHeight="1">
      <c r="A1940" s="331">
        <v>1</v>
      </c>
      <c r="B1940" s="395" t="s">
        <v>109</v>
      </c>
      <c r="C1940" s="395" t="s">
        <v>2772</v>
      </c>
      <c r="D1940" s="374"/>
      <c r="E1940" s="382"/>
      <c r="F1940" s="379"/>
      <c r="G1940" s="386"/>
      <c r="H1940" s="373" t="s">
        <v>272</v>
      </c>
      <c r="I1940" s="337" t="s">
        <v>252</v>
      </c>
      <c r="J1940" s="335">
        <v>57055.05</v>
      </c>
      <c r="K1940" s="374">
        <f t="shared" si="82"/>
        <v>0</v>
      </c>
      <c r="L1940" s="374">
        <f t="shared" si="85"/>
        <v>57055.05</v>
      </c>
      <c r="N1940" s="288"/>
      <c r="O1940" s="288"/>
      <c r="P1940" s="288"/>
      <c r="Q1940" s="478"/>
      <c r="R1940" s="479"/>
      <c r="S1940" s="297"/>
      <c r="V1940" s="551"/>
    </row>
    <row r="1941" spans="1:22" ht="27.75" customHeight="1" thickBot="1">
      <c r="B1941" s="395" t="s">
        <v>2773</v>
      </c>
      <c r="C1941" s="395"/>
      <c r="D1941" s="374"/>
      <c r="E1941" s="382"/>
      <c r="F1941" s="379"/>
      <c r="G1941" s="386"/>
      <c r="H1941" s="373"/>
      <c r="I1941" s="337"/>
      <c r="J1941" s="335">
        <v>0</v>
      </c>
      <c r="K1941" s="374"/>
      <c r="L1941" s="374"/>
      <c r="N1941" s="288"/>
      <c r="O1941" s="288"/>
      <c r="P1941" s="288"/>
      <c r="Q1941" s="478"/>
      <c r="R1941" s="479"/>
      <c r="S1941" s="297"/>
      <c r="V1941" s="551"/>
    </row>
    <row r="1942" spans="1:22" s="570" customFormat="1" ht="27.75" customHeight="1" thickTop="1" thickBot="1">
      <c r="A1942" s="558"/>
      <c r="B1942" s="560"/>
      <c r="C1942" s="559"/>
      <c r="D1942" s="1034"/>
      <c r="E1942" s="561"/>
      <c r="F1942" s="558"/>
      <c r="G1942" s="1005"/>
      <c r="H1942" s="1025"/>
      <c r="I1942" s="1115"/>
      <c r="J1942" s="561"/>
      <c r="K1942" s="374">
        <f t="shared" si="82"/>
        <v>0</v>
      </c>
      <c r="L1942" s="564">
        <f t="shared" si="85"/>
        <v>0</v>
      </c>
      <c r="M1942" s="565"/>
      <c r="N1942" s="566">
        <f>SUM(G1939:G1942)</f>
        <v>0</v>
      </c>
      <c r="O1942" s="566">
        <f>SUM(J1939:J1942)</f>
        <v>57055.05</v>
      </c>
      <c r="P1942" s="566">
        <f>+N1942+O1942</f>
        <v>57055.05</v>
      </c>
      <c r="Q1942" s="567"/>
      <c r="R1942" s="568" t="s">
        <v>219</v>
      </c>
      <c r="S1942" s="569"/>
      <c r="T1942" s="566"/>
      <c r="U1942" s="566"/>
      <c r="V1942" s="565">
        <v>46630.43</v>
      </c>
    </row>
    <row r="1943" spans="1:22" s="385" customFormat="1" ht="27.75" customHeight="1" thickTop="1">
      <c r="A1943" s="891"/>
      <c r="B1943" s="1116"/>
      <c r="C1943" s="1117"/>
      <c r="D1943" s="1118"/>
      <c r="E1943" s="1069"/>
      <c r="F1943" s="1065"/>
      <c r="G1943" s="896"/>
      <c r="H1943" s="1119"/>
      <c r="I1943" s="1120"/>
      <c r="J1943" s="1069"/>
      <c r="K1943" s="374">
        <f t="shared" si="82"/>
        <v>0</v>
      </c>
      <c r="L1943" s="1068">
        <f t="shared" si="85"/>
        <v>0</v>
      </c>
      <c r="M1943" s="288"/>
      <c r="N1943" s="289"/>
      <c r="O1943" s="289"/>
      <c r="P1943" s="289"/>
      <c r="Q1943" s="288"/>
      <c r="S1943" s="291"/>
      <c r="T1943" s="291"/>
      <c r="U1943" s="291"/>
      <c r="V1943" s="291"/>
    </row>
    <row r="1944" spans="1:22" ht="27.75" customHeight="1" thickBot="1">
      <c r="A1944" s="321"/>
      <c r="B1944" s="1121"/>
      <c r="C1944" s="596" t="s">
        <v>26</v>
      </c>
      <c r="D1944" s="533"/>
      <c r="E1944" s="534"/>
      <c r="F1944" s="1122"/>
      <c r="G1944" s="536">
        <f>SUM(G1865:G1942)</f>
        <v>27647.722710280374</v>
      </c>
      <c r="H1944" s="533"/>
      <c r="I1944" s="758"/>
      <c r="J1944" s="533">
        <f>SUM(J1865:J1943)</f>
        <v>9044330.9700000007</v>
      </c>
      <c r="K1944" s="374">
        <f t="shared" si="82"/>
        <v>3190.5472007663548</v>
      </c>
      <c r="L1944" s="538">
        <f>SUM(L1865:L1942)</f>
        <v>9044330.9700000007</v>
      </c>
      <c r="N1944" s="598">
        <f>SUM(N1865:N1943)</f>
        <v>27647.722710280374</v>
      </c>
      <c r="O1944" s="598">
        <f>SUM(O1865:O1942)</f>
        <v>9044330.9700000007</v>
      </c>
      <c r="P1944" s="598">
        <f>SUM(P1865:P1942)</f>
        <v>9071978.6927102804</v>
      </c>
      <c r="Q1944" s="533">
        <f>SUM(Q1865:Q1942)</f>
        <v>477824.87</v>
      </c>
    </row>
    <row r="1945" spans="1:22" ht="27.75" customHeight="1" thickTop="1">
      <c r="B1945" s="1123"/>
      <c r="C1945" s="689"/>
      <c r="D1945" s="370"/>
      <c r="E1945" s="325"/>
      <c r="F1945" s="628"/>
      <c r="G1945" s="359"/>
      <c r="H1945" s="371"/>
      <c r="I1945" s="628"/>
      <c r="J1945" s="370">
        <f>+G1944+J1944</f>
        <v>9071978.6927102804</v>
      </c>
      <c r="K1945" s="374">
        <f t="shared" si="82"/>
        <v>0</v>
      </c>
      <c r="L1945" s="370">
        <f>+K1944+L1944</f>
        <v>9047521.5172007661</v>
      </c>
      <c r="M1945" s="371"/>
      <c r="N1945" s="1124">
        <f>+G1944+J1944</f>
        <v>9071978.6927102804</v>
      </c>
      <c r="O1945" s="603">
        <f>N1945-P1945</f>
        <v>2.7102809399366379E-3</v>
      </c>
      <c r="P1945" s="1125">
        <v>9071978.6899999995</v>
      </c>
      <c r="Q1945" s="370"/>
      <c r="S1945" s="289"/>
      <c r="T1945" s="289"/>
      <c r="U1945" s="289"/>
      <c r="V1945" s="289"/>
    </row>
    <row r="1946" spans="1:22" s="436" customFormat="1" ht="27.75" customHeight="1">
      <c r="A1946" s="692"/>
      <c r="B1946" s="763" t="s">
        <v>79</v>
      </c>
      <c r="C1946" s="764"/>
      <c r="D1946" s="358"/>
      <c r="E1946" s="358"/>
      <c r="F1946" s="1126"/>
      <c r="G1946" s="1127"/>
      <c r="H1946" s="1128"/>
      <c r="I1946" s="1126"/>
      <c r="J1946" s="358"/>
      <c r="K1946" s="374">
        <f t="shared" si="82"/>
        <v>0</v>
      </c>
      <c r="L1946" s="358"/>
      <c r="M1946" s="358"/>
      <c r="N1946" s="358"/>
      <c r="O1946" s="358"/>
      <c r="P1946" s="361"/>
      <c r="Q1946" s="358"/>
      <c r="S1946" s="358"/>
      <c r="T1946" s="358"/>
      <c r="U1946" s="358"/>
      <c r="V1946" s="358"/>
    </row>
    <row r="1947" spans="1:22" ht="27.75" customHeight="1">
      <c r="A1947" s="343"/>
      <c r="B1947" s="515" t="s">
        <v>66</v>
      </c>
      <c r="C1947" s="1129"/>
      <c r="D1947" s="289"/>
      <c r="E1947" s="289"/>
      <c r="F1947" s="541"/>
      <c r="G1947" s="544"/>
      <c r="H1947" s="601"/>
      <c r="I1947" s="541"/>
      <c r="J1947" s="289"/>
      <c r="K1947" s="374">
        <f t="shared" si="82"/>
        <v>0</v>
      </c>
      <c r="L1947" s="289"/>
      <c r="M1947" s="289"/>
      <c r="P1947" s="330"/>
      <c r="S1947" s="289"/>
      <c r="T1947" s="289"/>
      <c r="U1947" s="289"/>
      <c r="V1947" s="289"/>
    </row>
    <row r="1948" spans="1:22" ht="27.75" customHeight="1">
      <c r="A1948" s="331">
        <v>1</v>
      </c>
      <c r="B1948" s="1473" t="s">
        <v>2643</v>
      </c>
      <c r="C1948" s="1474" t="s">
        <v>3491</v>
      </c>
      <c r="D1948" s="1365"/>
      <c r="E1948" s="1474" t="s">
        <v>3416</v>
      </c>
      <c r="F1948" s="1475">
        <v>1</v>
      </c>
      <c r="G1948" s="1476">
        <v>2484</v>
      </c>
      <c r="J1948" s="335"/>
      <c r="K1948" s="374">
        <f t="shared" si="82"/>
        <v>286.65359999999998</v>
      </c>
      <c r="L1948" s="338">
        <f t="shared" ref="L1948:L2026" si="86">+J1948</f>
        <v>0</v>
      </c>
      <c r="M1948" s="289"/>
      <c r="P1948" s="330"/>
      <c r="S1948" s="289"/>
      <c r="T1948" s="289"/>
      <c r="U1948" s="289"/>
      <c r="V1948" s="289"/>
    </row>
    <row r="1949" spans="1:22" ht="27.75" customHeight="1">
      <c r="A1949" s="331">
        <v>2</v>
      </c>
      <c r="B1949" s="1473" t="s">
        <v>2643</v>
      </c>
      <c r="C1949" s="1474" t="s">
        <v>3492</v>
      </c>
      <c r="D1949" s="1365"/>
      <c r="E1949" s="1474" t="s">
        <v>3416</v>
      </c>
      <c r="F1949" s="1475">
        <v>1</v>
      </c>
      <c r="G1949" s="1476">
        <v>2484</v>
      </c>
      <c r="J1949" s="335"/>
      <c r="K1949" s="374">
        <f t="shared" si="82"/>
        <v>286.65359999999998</v>
      </c>
      <c r="L1949" s="338">
        <f t="shared" si="86"/>
        <v>0</v>
      </c>
      <c r="M1949" s="289"/>
      <c r="P1949" s="330"/>
      <c r="S1949" s="289"/>
      <c r="T1949" s="289"/>
      <c r="U1949" s="289"/>
      <c r="V1949" s="289"/>
    </row>
    <row r="1950" spans="1:22" ht="27.75" customHeight="1">
      <c r="A1950" s="331">
        <v>3</v>
      </c>
      <c r="B1950" s="1473" t="s">
        <v>2588</v>
      </c>
      <c r="C1950" s="1474" t="s">
        <v>2589</v>
      </c>
      <c r="D1950" s="1365"/>
      <c r="E1950" s="1474"/>
      <c r="F1950" s="1475"/>
      <c r="G1950" s="1476"/>
      <c r="H1950" s="580" t="s">
        <v>3493</v>
      </c>
      <c r="I1950" s="331">
        <v>17</v>
      </c>
      <c r="J1950" s="335">
        <v>10152</v>
      </c>
      <c r="K1950" s="374">
        <f t="shared" si="82"/>
        <v>0</v>
      </c>
      <c r="L1950" s="338">
        <f t="shared" si="86"/>
        <v>10152</v>
      </c>
      <c r="M1950" s="289"/>
      <c r="P1950" s="330"/>
      <c r="S1950" s="289"/>
      <c r="T1950" s="289"/>
      <c r="U1950" s="289"/>
      <c r="V1950" s="289"/>
    </row>
    <row r="1951" spans="1:22" ht="27.75" customHeight="1">
      <c r="A1951" s="331">
        <v>4</v>
      </c>
      <c r="B1951" s="1473" t="s">
        <v>2588</v>
      </c>
      <c r="C1951" s="1477" t="s">
        <v>2590</v>
      </c>
      <c r="D1951" s="1366"/>
      <c r="E1951" s="1478"/>
      <c r="F1951" s="1475"/>
      <c r="G1951" s="1476"/>
      <c r="H1951" s="580" t="s">
        <v>3493</v>
      </c>
      <c r="I1951" s="331">
        <v>17</v>
      </c>
      <c r="J1951" s="335">
        <v>10152</v>
      </c>
      <c r="K1951" s="374">
        <f t="shared" si="82"/>
        <v>0</v>
      </c>
      <c r="L1951" s="338">
        <f t="shared" si="86"/>
        <v>10152</v>
      </c>
      <c r="M1951" s="289"/>
      <c r="P1951" s="330"/>
      <c r="S1951" s="289"/>
      <c r="T1951" s="289"/>
      <c r="U1951" s="289"/>
      <c r="V1951" s="289"/>
    </row>
    <row r="1952" spans="1:22" ht="27.75" customHeight="1">
      <c r="A1952" s="331">
        <v>5</v>
      </c>
      <c r="B1952" s="1479" t="s">
        <v>2998</v>
      </c>
      <c r="C1952" s="1480" t="s">
        <v>3494</v>
      </c>
      <c r="D1952" s="1367"/>
      <c r="E1952" s="1474" t="s">
        <v>3416</v>
      </c>
      <c r="F1952" s="1475">
        <v>1</v>
      </c>
      <c r="G1952" s="1476">
        <v>2484</v>
      </c>
      <c r="J1952" s="335"/>
      <c r="K1952" s="374">
        <f t="shared" si="82"/>
        <v>286.65359999999998</v>
      </c>
      <c r="L1952" s="338">
        <f t="shared" si="86"/>
        <v>0</v>
      </c>
      <c r="M1952" s="289"/>
      <c r="P1952" s="330"/>
      <c r="S1952" s="289"/>
      <c r="T1952" s="289"/>
      <c r="U1952" s="289"/>
      <c r="V1952" s="289"/>
    </row>
    <row r="1953" spans="1:22" ht="27.75" customHeight="1">
      <c r="A1953" s="331">
        <v>6</v>
      </c>
      <c r="B1953" s="1473" t="s">
        <v>2009</v>
      </c>
      <c r="C1953" s="1480" t="s">
        <v>2591</v>
      </c>
      <c r="D1953" s="1367">
        <v>1296</v>
      </c>
      <c r="E1953" s="1474"/>
      <c r="F1953" s="1475"/>
      <c r="G1953" s="1476"/>
      <c r="J1953" s="335"/>
      <c r="K1953" s="374">
        <f t="shared" si="82"/>
        <v>0</v>
      </c>
      <c r="L1953" s="338">
        <f t="shared" si="86"/>
        <v>0</v>
      </c>
      <c r="M1953" s="289"/>
      <c r="P1953" s="330"/>
      <c r="S1953" s="289"/>
      <c r="T1953" s="289"/>
      <c r="U1953" s="289"/>
      <c r="V1953" s="289"/>
    </row>
    <row r="1954" spans="1:22" ht="27.75" customHeight="1">
      <c r="A1954" s="331">
        <v>7</v>
      </c>
      <c r="B1954" s="1473" t="s">
        <v>2009</v>
      </c>
      <c r="C1954" s="1480" t="s">
        <v>2592</v>
      </c>
      <c r="D1954" s="1367">
        <v>1296</v>
      </c>
      <c r="E1954" s="1474"/>
      <c r="F1954" s="1475"/>
      <c r="G1954" s="1476"/>
      <c r="J1954" s="335"/>
      <c r="K1954" s="374">
        <f t="shared" si="82"/>
        <v>0</v>
      </c>
      <c r="L1954" s="338">
        <f t="shared" si="86"/>
        <v>0</v>
      </c>
      <c r="M1954" s="289"/>
      <c r="P1954" s="330"/>
      <c r="S1954" s="289"/>
      <c r="T1954" s="289"/>
      <c r="U1954" s="289"/>
      <c r="V1954" s="289"/>
    </row>
    <row r="1955" spans="1:22" ht="27.75" customHeight="1">
      <c r="A1955" s="331">
        <v>8</v>
      </c>
      <c r="B1955" s="1473" t="s">
        <v>2009</v>
      </c>
      <c r="C1955" s="1480" t="s">
        <v>2593</v>
      </c>
      <c r="D1955" s="1367">
        <v>1296</v>
      </c>
      <c r="E1955" s="1474"/>
      <c r="F1955" s="1475"/>
      <c r="G1955" s="1476"/>
      <c r="J1955" s="335"/>
      <c r="K1955" s="374">
        <f t="shared" si="82"/>
        <v>0</v>
      </c>
      <c r="L1955" s="338">
        <f t="shared" si="86"/>
        <v>0</v>
      </c>
      <c r="M1955" s="289"/>
      <c r="P1955" s="330"/>
      <c r="S1955" s="289"/>
      <c r="T1955" s="289"/>
      <c r="U1955" s="289"/>
      <c r="V1955" s="289"/>
    </row>
    <row r="1956" spans="1:22" ht="27.75" customHeight="1">
      <c r="A1956" s="331">
        <v>9</v>
      </c>
      <c r="B1956" s="1473" t="s">
        <v>2009</v>
      </c>
      <c r="C1956" s="1480" t="s">
        <v>2594</v>
      </c>
      <c r="D1956" s="1367">
        <v>1296</v>
      </c>
      <c r="E1956" s="1474"/>
      <c r="F1956" s="1475"/>
      <c r="G1956" s="1476"/>
      <c r="J1956" s="335"/>
      <c r="K1956" s="374">
        <f t="shared" si="82"/>
        <v>0</v>
      </c>
      <c r="L1956" s="338">
        <f t="shared" si="86"/>
        <v>0</v>
      </c>
      <c r="M1956" s="289"/>
      <c r="P1956" s="330"/>
      <c r="S1956" s="289"/>
      <c r="T1956" s="289"/>
      <c r="U1956" s="289"/>
      <c r="V1956" s="289"/>
    </row>
    <row r="1957" spans="1:22" ht="27.75" customHeight="1">
      <c r="A1957" s="331">
        <v>10</v>
      </c>
      <c r="B1957" s="1479" t="s">
        <v>2009</v>
      </c>
      <c r="C1957" s="1480" t="s">
        <v>2595</v>
      </c>
      <c r="D1957" s="1367">
        <v>1296</v>
      </c>
      <c r="E1957" s="1478"/>
      <c r="F1957" s="1475"/>
      <c r="G1957" s="1476"/>
      <c r="J1957" s="335"/>
      <c r="K1957" s="374">
        <f t="shared" si="82"/>
        <v>0</v>
      </c>
      <c r="L1957" s="338">
        <f t="shared" si="86"/>
        <v>0</v>
      </c>
      <c r="M1957" s="289"/>
      <c r="P1957" s="330"/>
      <c r="S1957" s="289"/>
      <c r="T1957" s="289"/>
      <c r="U1957" s="289"/>
      <c r="V1957" s="289"/>
    </row>
    <row r="1958" spans="1:22" ht="27.75" customHeight="1">
      <c r="A1958" s="331">
        <v>11</v>
      </c>
      <c r="B1958" s="1473" t="s">
        <v>2009</v>
      </c>
      <c r="C1958" s="1480" t="s">
        <v>2596</v>
      </c>
      <c r="D1958" s="1367">
        <v>1296</v>
      </c>
      <c r="E1958" s="1474"/>
      <c r="F1958" s="1475"/>
      <c r="G1958" s="1476"/>
      <c r="J1958" s="335"/>
      <c r="K1958" s="374">
        <f t="shared" si="82"/>
        <v>0</v>
      </c>
      <c r="L1958" s="338">
        <f t="shared" si="86"/>
        <v>0</v>
      </c>
      <c r="M1958" s="289"/>
      <c r="P1958" s="330"/>
      <c r="S1958" s="289"/>
      <c r="T1958" s="289"/>
      <c r="U1958" s="289"/>
      <c r="V1958" s="289"/>
    </row>
    <row r="1959" spans="1:22" ht="27.75" customHeight="1">
      <c r="A1959" s="331">
        <v>12</v>
      </c>
      <c r="B1959" s="1473" t="s">
        <v>2099</v>
      </c>
      <c r="C1959" s="1480" t="s">
        <v>763</v>
      </c>
      <c r="D1959" s="1367"/>
      <c r="E1959" s="1474"/>
      <c r="F1959" s="1475"/>
      <c r="G1959" s="1476"/>
      <c r="H1959" s="580" t="s">
        <v>3495</v>
      </c>
      <c r="I1959" s="331">
        <v>7</v>
      </c>
      <c r="J1959" s="335">
        <v>11190</v>
      </c>
      <c r="K1959" s="374">
        <f t="shared" si="82"/>
        <v>0</v>
      </c>
      <c r="L1959" s="338">
        <f t="shared" si="86"/>
        <v>11190</v>
      </c>
      <c r="M1959" s="289"/>
      <c r="P1959" s="330"/>
      <c r="S1959" s="289"/>
      <c r="T1959" s="289"/>
      <c r="U1959" s="289"/>
      <c r="V1959" s="289"/>
    </row>
    <row r="1960" spans="1:22" ht="27.75" customHeight="1">
      <c r="A1960" s="331">
        <v>13</v>
      </c>
      <c r="B1960" s="1481" t="s">
        <v>2100</v>
      </c>
      <c r="C1960" s="1480" t="s">
        <v>3496</v>
      </c>
      <c r="D1960" s="1482"/>
      <c r="E1960" s="1474" t="s">
        <v>3416</v>
      </c>
      <c r="F1960" s="1475">
        <v>1</v>
      </c>
      <c r="G1960" s="1476">
        <v>2981</v>
      </c>
      <c r="J1960" s="335"/>
      <c r="K1960" s="374">
        <f t="shared" si="82"/>
        <v>344.00739999999996</v>
      </c>
      <c r="L1960" s="338">
        <f t="shared" si="86"/>
        <v>0</v>
      </c>
      <c r="M1960" s="289"/>
      <c r="P1960" s="330"/>
      <c r="S1960" s="289"/>
      <c r="T1960" s="289"/>
      <c r="U1960" s="289"/>
      <c r="V1960" s="289"/>
    </row>
    <row r="1961" spans="1:22" ht="27.75" customHeight="1">
      <c r="A1961" s="331">
        <v>14</v>
      </c>
      <c r="B1961" s="1481" t="s">
        <v>2263</v>
      </c>
      <c r="C1961" s="1480" t="s">
        <v>3497</v>
      </c>
      <c r="D1961" s="1482"/>
      <c r="E1961" s="1474" t="s">
        <v>3416</v>
      </c>
      <c r="F1961" s="1475">
        <v>1</v>
      </c>
      <c r="G1961" s="1476">
        <v>2981</v>
      </c>
      <c r="J1961" s="335"/>
      <c r="K1961" s="374">
        <f t="shared" si="82"/>
        <v>344.00739999999996</v>
      </c>
      <c r="L1961" s="338">
        <f t="shared" si="86"/>
        <v>0</v>
      </c>
      <c r="M1961" s="289"/>
      <c r="P1961" s="330"/>
      <c r="S1961" s="289"/>
      <c r="T1961" s="289"/>
      <c r="U1961" s="289"/>
      <c r="V1961" s="289"/>
    </row>
    <row r="1962" spans="1:22" ht="27.75" customHeight="1">
      <c r="A1962" s="331">
        <v>15</v>
      </c>
      <c r="B1962" s="1473" t="s">
        <v>2304</v>
      </c>
      <c r="C1962" s="1480" t="s">
        <v>3498</v>
      </c>
      <c r="D1962" s="1367"/>
      <c r="E1962" s="1474" t="s">
        <v>3416</v>
      </c>
      <c r="F1962" s="1475">
        <v>1</v>
      </c>
      <c r="G1962" s="1476">
        <v>2981</v>
      </c>
      <c r="J1962" s="335"/>
      <c r="K1962" s="374">
        <f t="shared" si="82"/>
        <v>344.00739999999996</v>
      </c>
      <c r="L1962" s="338">
        <f t="shared" si="86"/>
        <v>0</v>
      </c>
      <c r="M1962" s="289"/>
      <c r="P1962" s="330"/>
      <c r="S1962" s="289"/>
      <c r="T1962" s="289"/>
      <c r="U1962" s="289"/>
      <c r="V1962" s="289"/>
    </row>
    <row r="1963" spans="1:22" ht="27.75" customHeight="1">
      <c r="A1963" s="331">
        <v>16</v>
      </c>
      <c r="B1963" s="1483" t="s">
        <v>2102</v>
      </c>
      <c r="C1963" s="1484" t="s">
        <v>1283</v>
      </c>
      <c r="D1963" s="1368"/>
      <c r="E1963" s="1485"/>
      <c r="F1963" s="1486"/>
      <c r="G1963" s="1487"/>
      <c r="H1963" s="580" t="s">
        <v>3499</v>
      </c>
      <c r="I1963" s="331">
        <v>22</v>
      </c>
      <c r="J1963" s="335">
        <v>41079</v>
      </c>
      <c r="K1963" s="374">
        <f t="shared" si="82"/>
        <v>0</v>
      </c>
      <c r="L1963" s="338">
        <f t="shared" si="86"/>
        <v>41079</v>
      </c>
      <c r="M1963" s="289"/>
      <c r="P1963" s="330"/>
      <c r="S1963" s="289"/>
      <c r="T1963" s="289"/>
      <c r="U1963" s="289"/>
      <c r="V1963" s="289"/>
    </row>
    <row r="1964" spans="1:22" ht="27.75" customHeight="1">
      <c r="A1964" s="331">
        <v>17</v>
      </c>
      <c r="B1964" s="1483" t="s">
        <v>3194</v>
      </c>
      <c r="C1964" s="1484" t="s">
        <v>3195</v>
      </c>
      <c r="D1964" s="1368"/>
      <c r="E1964" s="1484"/>
      <c r="F1964" s="1486"/>
      <c r="G1964" s="1487"/>
      <c r="H1964" s="580" t="s">
        <v>3500</v>
      </c>
      <c r="I1964" s="331">
        <v>21</v>
      </c>
      <c r="J1964" s="335">
        <v>8880</v>
      </c>
      <c r="K1964" s="374">
        <f t="shared" si="82"/>
        <v>0</v>
      </c>
      <c r="L1964" s="338">
        <f t="shared" si="86"/>
        <v>8880</v>
      </c>
      <c r="M1964" s="289"/>
      <c r="P1964" s="330"/>
      <c r="S1964" s="289"/>
      <c r="T1964" s="289"/>
      <c r="U1964" s="289"/>
      <c r="V1964" s="289"/>
    </row>
    <row r="1965" spans="1:22" ht="27.75" customHeight="1">
      <c r="A1965" s="331">
        <v>18</v>
      </c>
      <c r="B1965" s="1483" t="s">
        <v>2999</v>
      </c>
      <c r="C1965" s="1484" t="s">
        <v>1284</v>
      </c>
      <c r="D1965" s="1368"/>
      <c r="E1965" s="1485"/>
      <c r="F1965" s="1486"/>
      <c r="G1965" s="1487"/>
      <c r="H1965" s="580" t="s">
        <v>3501</v>
      </c>
      <c r="I1965" s="331">
        <v>26</v>
      </c>
      <c r="J1965" s="335">
        <v>44712</v>
      </c>
      <c r="K1965" s="374">
        <f t="shared" si="82"/>
        <v>0</v>
      </c>
      <c r="L1965" s="338">
        <f t="shared" si="86"/>
        <v>44712</v>
      </c>
      <c r="M1965" s="289"/>
      <c r="P1965" s="330"/>
      <c r="S1965" s="289"/>
      <c r="T1965" s="289"/>
      <c r="U1965" s="289"/>
      <c r="V1965" s="289"/>
    </row>
    <row r="1966" spans="1:22" ht="27.75" customHeight="1">
      <c r="A1966" s="331">
        <v>19</v>
      </c>
      <c r="B1966" s="1473" t="s">
        <v>3089</v>
      </c>
      <c r="C1966" s="1474" t="s">
        <v>3196</v>
      </c>
      <c r="D1966" s="1365"/>
      <c r="E1966" s="1474"/>
      <c r="F1966" s="1475"/>
      <c r="G1966" s="1476"/>
      <c r="H1966" s="580" t="s">
        <v>3272</v>
      </c>
      <c r="I1966" s="331">
        <v>20</v>
      </c>
      <c r="J1966" s="335">
        <v>6420</v>
      </c>
      <c r="K1966" s="374">
        <f t="shared" si="82"/>
        <v>0</v>
      </c>
      <c r="L1966" s="338">
        <f t="shared" si="86"/>
        <v>6420</v>
      </c>
      <c r="M1966" s="289"/>
      <c r="P1966" s="330"/>
      <c r="S1966" s="289"/>
      <c r="T1966" s="289"/>
      <c r="U1966" s="289"/>
      <c r="V1966" s="289"/>
    </row>
    <row r="1967" spans="1:22" ht="27.75" customHeight="1">
      <c r="A1967" s="331">
        <v>20</v>
      </c>
      <c r="B1967" s="1473" t="s">
        <v>2103</v>
      </c>
      <c r="C1967" s="1474" t="s">
        <v>1713</v>
      </c>
      <c r="D1967" s="1365"/>
      <c r="E1967" s="1474"/>
      <c r="F1967" s="1475"/>
      <c r="G1967" s="1476"/>
      <c r="H1967" s="580" t="s">
        <v>3502</v>
      </c>
      <c r="I1967" s="331">
        <v>23</v>
      </c>
      <c r="J1967" s="335">
        <v>13800</v>
      </c>
      <c r="K1967" s="374">
        <f t="shared" si="82"/>
        <v>0</v>
      </c>
      <c r="L1967" s="338">
        <f t="shared" si="86"/>
        <v>13800</v>
      </c>
      <c r="M1967" s="289"/>
      <c r="P1967" s="330"/>
      <c r="S1967" s="289"/>
      <c r="T1967" s="289"/>
      <c r="U1967" s="289"/>
      <c r="V1967" s="289"/>
    </row>
    <row r="1968" spans="1:22" ht="27.75" customHeight="1">
      <c r="A1968" s="331">
        <v>21</v>
      </c>
      <c r="B1968" s="1473" t="s">
        <v>2104</v>
      </c>
      <c r="C1968" s="1474" t="s">
        <v>1707</v>
      </c>
      <c r="D1968" s="1365"/>
      <c r="E1968" s="1474"/>
      <c r="F1968" s="1475"/>
      <c r="G1968" s="1476"/>
      <c r="H1968" s="580" t="s">
        <v>3503</v>
      </c>
      <c r="I1968" s="331">
        <v>22</v>
      </c>
      <c r="J1968" s="335">
        <v>9522</v>
      </c>
      <c r="K1968" s="374">
        <f t="shared" si="82"/>
        <v>0</v>
      </c>
      <c r="L1968" s="338">
        <f t="shared" si="86"/>
        <v>9522</v>
      </c>
      <c r="M1968" s="289"/>
      <c r="P1968" s="330"/>
      <c r="S1968" s="289"/>
      <c r="T1968" s="289"/>
      <c r="U1968" s="289"/>
      <c r="V1968" s="289"/>
    </row>
    <row r="1969" spans="1:22" ht="27.75" customHeight="1">
      <c r="A1969" s="331">
        <v>22</v>
      </c>
      <c r="B1969" s="1473" t="s">
        <v>2597</v>
      </c>
      <c r="C1969" s="1474" t="s">
        <v>3504</v>
      </c>
      <c r="D1969" s="1365"/>
      <c r="E1969" s="1474" t="s">
        <v>3416</v>
      </c>
      <c r="F1969" s="1475">
        <v>1</v>
      </c>
      <c r="G1969" s="1476">
        <v>1524</v>
      </c>
      <c r="J1969" s="335"/>
      <c r="K1969" s="374">
        <f t="shared" si="82"/>
        <v>175.86959999999999</v>
      </c>
      <c r="L1969" s="338">
        <f t="shared" si="86"/>
        <v>0</v>
      </c>
      <c r="M1969" s="289"/>
      <c r="P1969" s="330"/>
      <c r="S1969" s="289"/>
      <c r="T1969" s="289"/>
      <c r="U1969" s="289"/>
      <c r="V1969" s="289"/>
    </row>
    <row r="1970" spans="1:22" ht="27.75" customHeight="1">
      <c r="A1970" s="331">
        <v>23</v>
      </c>
      <c r="B1970" s="1473" t="s">
        <v>2598</v>
      </c>
      <c r="C1970" s="1474" t="s">
        <v>3505</v>
      </c>
      <c r="D1970" s="1365"/>
      <c r="E1970" s="1478" t="s">
        <v>3416</v>
      </c>
      <c r="F1970" s="1475">
        <v>1</v>
      </c>
      <c r="G1970" s="1476">
        <v>4572</v>
      </c>
      <c r="J1970" s="335"/>
      <c r="K1970" s="374">
        <f t="shared" si="82"/>
        <v>527.60879999999997</v>
      </c>
      <c r="L1970" s="338">
        <f t="shared" si="86"/>
        <v>0</v>
      </c>
      <c r="M1970" s="289"/>
      <c r="P1970" s="330"/>
      <c r="S1970" s="289"/>
      <c r="T1970" s="289"/>
      <c r="U1970" s="289"/>
      <c r="V1970" s="289"/>
    </row>
    <row r="1971" spans="1:22" ht="27.75" customHeight="1">
      <c r="A1971" s="331">
        <v>24</v>
      </c>
      <c r="B1971" s="1473" t="s">
        <v>2724</v>
      </c>
      <c r="C1971" s="1474" t="s">
        <v>1496</v>
      </c>
      <c r="D1971" s="1365"/>
      <c r="E1971" s="1474" t="s">
        <v>3416</v>
      </c>
      <c r="F1971" s="1475">
        <v>1</v>
      </c>
      <c r="G1971" s="1476">
        <v>1524</v>
      </c>
      <c r="J1971" s="335"/>
      <c r="K1971" s="374">
        <f t="shared" si="82"/>
        <v>175.86959999999999</v>
      </c>
      <c r="L1971" s="338">
        <f t="shared" si="86"/>
        <v>0</v>
      </c>
      <c r="M1971" s="289"/>
      <c r="P1971" s="330"/>
      <c r="S1971" s="289"/>
      <c r="T1971" s="289"/>
      <c r="U1971" s="289"/>
      <c r="V1971" s="289"/>
    </row>
    <row r="1972" spans="1:22" ht="27.6" customHeight="1">
      <c r="A1972" s="331">
        <v>25</v>
      </c>
      <c r="B1972" s="1473" t="s">
        <v>2009</v>
      </c>
      <c r="C1972" s="1474" t="s">
        <v>3197</v>
      </c>
      <c r="D1972" s="1365"/>
      <c r="E1972" s="1488" t="s">
        <v>3416</v>
      </c>
      <c r="F1972" s="1475">
        <v>1</v>
      </c>
      <c r="G1972" s="1476">
        <v>1525</v>
      </c>
      <c r="J1972" s="335"/>
      <c r="K1972" s="374">
        <f t="shared" si="82"/>
        <v>175.98500000000001</v>
      </c>
      <c r="L1972" s="338">
        <f t="shared" si="86"/>
        <v>0</v>
      </c>
      <c r="M1972" s="289"/>
      <c r="P1972" s="330"/>
      <c r="S1972" s="289"/>
      <c r="T1972" s="289"/>
      <c r="U1972" s="289"/>
      <c r="V1972" s="289"/>
    </row>
    <row r="1973" spans="1:22" ht="27.6" customHeight="1">
      <c r="A1973" s="331">
        <v>26</v>
      </c>
      <c r="B1973" s="1473" t="s">
        <v>2901</v>
      </c>
      <c r="C1973" s="1474" t="s">
        <v>3198</v>
      </c>
      <c r="D1973" s="1365"/>
      <c r="E1973" s="1488" t="s">
        <v>3416</v>
      </c>
      <c r="F1973" s="1475">
        <v>1</v>
      </c>
      <c r="G1973" s="1476">
        <v>9150</v>
      </c>
      <c r="J1973" s="335"/>
      <c r="K1973" s="374">
        <f t="shared" si="82"/>
        <v>1055.9099999999999</v>
      </c>
      <c r="L1973" s="338">
        <f t="shared" si="86"/>
        <v>0</v>
      </c>
      <c r="M1973" s="289"/>
      <c r="P1973" s="330"/>
      <c r="S1973" s="289"/>
      <c r="T1973" s="289"/>
      <c r="U1973" s="289"/>
      <c r="V1973" s="289"/>
    </row>
    <row r="1974" spans="1:22" ht="27.6" customHeight="1">
      <c r="A1974" s="331">
        <v>27</v>
      </c>
      <c r="B1974" s="1489" t="s">
        <v>2901</v>
      </c>
      <c r="C1974" s="1474" t="s">
        <v>3199</v>
      </c>
      <c r="D1974" s="1369"/>
      <c r="E1974" s="1478" t="s">
        <v>3416</v>
      </c>
      <c r="F1974" s="1475">
        <v>1</v>
      </c>
      <c r="G1974" s="1476">
        <v>12200</v>
      </c>
      <c r="J1974" s="335"/>
      <c r="K1974" s="374">
        <f t="shared" si="82"/>
        <v>1407.88</v>
      </c>
      <c r="L1974" s="338">
        <f t="shared" si="86"/>
        <v>0</v>
      </c>
      <c r="M1974" s="289"/>
      <c r="P1974" s="330"/>
      <c r="S1974" s="289"/>
      <c r="T1974" s="289"/>
      <c r="U1974" s="289"/>
      <c r="V1974" s="289"/>
    </row>
    <row r="1975" spans="1:22" ht="27.6" customHeight="1">
      <c r="A1975" s="331">
        <v>28</v>
      </c>
      <c r="B1975" s="1483" t="s">
        <v>2901</v>
      </c>
      <c r="C1975" s="1490" t="s">
        <v>3200</v>
      </c>
      <c r="D1975" s="1370"/>
      <c r="E1975" s="1484" t="s">
        <v>3416</v>
      </c>
      <c r="F1975" s="1486">
        <v>1</v>
      </c>
      <c r="G1975" s="1487">
        <v>1525</v>
      </c>
      <c r="J1975" s="335"/>
      <c r="K1975" s="374">
        <f t="shared" si="82"/>
        <v>175.98500000000001</v>
      </c>
      <c r="L1975" s="338">
        <f t="shared" si="86"/>
        <v>0</v>
      </c>
      <c r="M1975" s="289"/>
      <c r="P1975" s="330"/>
      <c r="S1975" s="289"/>
      <c r="T1975" s="289"/>
      <c r="U1975" s="289"/>
      <c r="V1975" s="289"/>
    </row>
    <row r="1976" spans="1:22" ht="27.6" customHeight="1">
      <c r="A1976" s="331">
        <v>29</v>
      </c>
      <c r="B1976" s="1483" t="s">
        <v>2901</v>
      </c>
      <c r="C1976" s="1484" t="s">
        <v>3201</v>
      </c>
      <c r="D1976" s="1368"/>
      <c r="E1976" s="1484" t="s">
        <v>3416</v>
      </c>
      <c r="F1976" s="1486">
        <v>1</v>
      </c>
      <c r="G1976" s="1487">
        <v>3050</v>
      </c>
      <c r="J1976" s="335"/>
      <c r="K1976" s="374">
        <f t="shared" si="82"/>
        <v>351.97</v>
      </c>
      <c r="L1976" s="338">
        <f t="shared" si="86"/>
        <v>0</v>
      </c>
      <c r="M1976" s="289"/>
      <c r="P1976" s="330"/>
      <c r="S1976" s="289"/>
      <c r="T1976" s="289"/>
      <c r="U1976" s="289"/>
      <c r="V1976" s="289"/>
    </row>
    <row r="1977" spans="1:22" ht="27.6" customHeight="1">
      <c r="A1977" s="331">
        <v>30</v>
      </c>
      <c r="B1977" s="1483" t="s">
        <v>2901</v>
      </c>
      <c r="C1977" s="1484" t="s">
        <v>3202</v>
      </c>
      <c r="D1977" s="1368"/>
      <c r="E1977" s="1484" t="s">
        <v>3416</v>
      </c>
      <c r="F1977" s="1486">
        <v>1</v>
      </c>
      <c r="G1977" s="1487">
        <v>1525</v>
      </c>
      <c r="J1977" s="335"/>
      <c r="K1977" s="374">
        <f t="shared" si="82"/>
        <v>175.98500000000001</v>
      </c>
      <c r="L1977" s="338">
        <f t="shared" si="86"/>
        <v>0</v>
      </c>
      <c r="M1977" s="289"/>
      <c r="P1977" s="330"/>
      <c r="S1977" s="289"/>
      <c r="T1977" s="289"/>
      <c r="U1977" s="289"/>
      <c r="V1977" s="289"/>
    </row>
    <row r="1978" spans="1:22" ht="27.6" customHeight="1">
      <c r="A1978" s="331">
        <v>31</v>
      </c>
      <c r="B1978" s="1483" t="s">
        <v>2901</v>
      </c>
      <c r="C1978" s="1484" t="s">
        <v>3203</v>
      </c>
      <c r="D1978" s="1368"/>
      <c r="E1978" s="1484" t="s">
        <v>3416</v>
      </c>
      <c r="F1978" s="1486">
        <v>1</v>
      </c>
      <c r="G1978" s="1487">
        <v>1525</v>
      </c>
      <c r="J1978" s="335"/>
      <c r="K1978" s="374">
        <f t="shared" si="82"/>
        <v>175.98500000000001</v>
      </c>
      <c r="L1978" s="338">
        <f t="shared" si="86"/>
        <v>0</v>
      </c>
      <c r="M1978" s="289"/>
      <c r="P1978" s="330"/>
      <c r="S1978" s="289"/>
      <c r="T1978" s="289"/>
      <c r="U1978" s="289"/>
      <c r="V1978" s="289"/>
    </row>
    <row r="1979" spans="1:22" ht="27.6" customHeight="1">
      <c r="A1979" s="331">
        <v>32</v>
      </c>
      <c r="B1979" s="1483" t="s">
        <v>1708</v>
      </c>
      <c r="C1979" s="1490" t="s">
        <v>1709</v>
      </c>
      <c r="D1979" s="1370"/>
      <c r="E1979" s="1484" t="s">
        <v>3441</v>
      </c>
      <c r="F1979" s="1486">
        <v>3</v>
      </c>
      <c r="G1979" s="1487">
        <v>4575</v>
      </c>
      <c r="J1979" s="335"/>
      <c r="K1979" s="374">
        <f t="shared" ref="K1979:K2042" si="87">G1979*11.54/100</f>
        <v>527.95499999999993</v>
      </c>
      <c r="L1979" s="338">
        <f t="shared" si="86"/>
        <v>0</v>
      </c>
      <c r="M1979" s="289"/>
      <c r="P1979" s="330"/>
      <c r="S1979" s="289"/>
      <c r="T1979" s="289"/>
      <c r="U1979" s="289"/>
      <c r="V1979" s="289"/>
    </row>
    <row r="1980" spans="1:22" ht="27.6" customHeight="1">
      <c r="A1980" s="331">
        <v>33</v>
      </c>
      <c r="B1980" s="1483" t="s">
        <v>1242</v>
      </c>
      <c r="C1980" s="1490" t="s">
        <v>1243</v>
      </c>
      <c r="D1980" s="1370"/>
      <c r="E1980" s="1484" t="s">
        <v>3506</v>
      </c>
      <c r="F1980" s="1486">
        <v>10</v>
      </c>
      <c r="G1980" s="1487">
        <v>15250</v>
      </c>
      <c r="J1980" s="335"/>
      <c r="K1980" s="374">
        <f t="shared" si="87"/>
        <v>1759.85</v>
      </c>
      <c r="L1980" s="338">
        <f t="shared" si="86"/>
        <v>0</v>
      </c>
      <c r="M1980" s="289"/>
      <c r="P1980" s="330"/>
      <c r="S1980" s="289"/>
      <c r="T1980" s="289"/>
      <c r="U1980" s="289"/>
      <c r="V1980" s="289"/>
    </row>
    <row r="1981" spans="1:22" ht="27.6" customHeight="1">
      <c r="A1981" s="331">
        <v>34</v>
      </c>
      <c r="B1981" s="1483" t="s">
        <v>2703</v>
      </c>
      <c r="C1981" s="1490" t="s">
        <v>2704</v>
      </c>
      <c r="D1981" s="1370"/>
      <c r="E1981" s="1484" t="s">
        <v>3507</v>
      </c>
      <c r="F1981" s="1486">
        <v>1</v>
      </c>
      <c r="G1981" s="1487">
        <v>1727</v>
      </c>
      <c r="J1981" s="335"/>
      <c r="K1981" s="374">
        <f t="shared" si="87"/>
        <v>199.29579999999999</v>
      </c>
      <c r="L1981" s="338">
        <f t="shared" si="86"/>
        <v>0</v>
      </c>
      <c r="M1981" s="289"/>
      <c r="P1981" s="330"/>
      <c r="S1981" s="289"/>
      <c r="T1981" s="289"/>
      <c r="U1981" s="289"/>
      <c r="V1981" s="289"/>
    </row>
    <row r="1982" spans="1:22" ht="27.6" customHeight="1">
      <c r="A1982" s="331">
        <v>35</v>
      </c>
      <c r="B1982" s="1491" t="s">
        <v>2793</v>
      </c>
      <c r="C1982" s="1492" t="s">
        <v>3073</v>
      </c>
      <c r="D1982" s="1371"/>
      <c r="E1982" s="1493" t="s">
        <v>3416</v>
      </c>
      <c r="F1982" s="1494">
        <v>1</v>
      </c>
      <c r="G1982" s="1495">
        <v>1525</v>
      </c>
      <c r="J1982" s="335"/>
      <c r="K1982" s="374">
        <f t="shared" si="87"/>
        <v>175.98500000000001</v>
      </c>
      <c r="L1982" s="338">
        <f t="shared" si="86"/>
        <v>0</v>
      </c>
      <c r="M1982" s="289"/>
      <c r="P1982" s="330"/>
      <c r="S1982" s="289"/>
      <c r="T1982" s="289"/>
      <c r="U1982" s="289"/>
      <c r="V1982" s="289"/>
    </row>
    <row r="1983" spans="1:22" ht="27.6" customHeight="1">
      <c r="A1983" s="331">
        <v>36</v>
      </c>
      <c r="B1983" s="1496" t="s">
        <v>2793</v>
      </c>
      <c r="C1983" s="1490" t="s">
        <v>3074</v>
      </c>
      <c r="D1983" s="1370"/>
      <c r="E1983" s="1484" t="s">
        <v>3416</v>
      </c>
      <c r="F1983" s="1486">
        <v>1</v>
      </c>
      <c r="G1983" s="1487">
        <v>1525</v>
      </c>
      <c r="J1983" s="335"/>
      <c r="K1983" s="374">
        <f t="shared" si="87"/>
        <v>175.98500000000001</v>
      </c>
      <c r="L1983" s="338">
        <f t="shared" si="86"/>
        <v>0</v>
      </c>
      <c r="M1983" s="289"/>
      <c r="P1983" s="330"/>
      <c r="S1983" s="289"/>
      <c r="T1983" s="289"/>
      <c r="U1983" s="289"/>
      <c r="V1983" s="289"/>
    </row>
    <row r="1984" spans="1:22" ht="27.6" customHeight="1">
      <c r="A1984" s="331">
        <v>37</v>
      </c>
      <c r="B1984" s="1483" t="s">
        <v>2705</v>
      </c>
      <c r="C1984" s="1484" t="s">
        <v>2706</v>
      </c>
      <c r="D1984" s="1368"/>
      <c r="E1984" s="1484" t="s">
        <v>3352</v>
      </c>
      <c r="F1984" s="1486">
        <v>2</v>
      </c>
      <c r="G1984" s="1487">
        <v>202</v>
      </c>
      <c r="J1984" s="335"/>
      <c r="K1984" s="374">
        <f t="shared" si="87"/>
        <v>23.3108</v>
      </c>
      <c r="L1984" s="338">
        <f t="shared" si="86"/>
        <v>0</v>
      </c>
      <c r="M1984" s="289"/>
      <c r="P1984" s="330"/>
      <c r="S1984" s="289"/>
      <c r="T1984" s="289"/>
      <c r="U1984" s="289"/>
      <c r="V1984" s="289"/>
    </row>
    <row r="1985" spans="1:22" ht="27.6" customHeight="1">
      <c r="A1985" s="331">
        <v>38</v>
      </c>
      <c r="B1985" s="1491" t="s">
        <v>2705</v>
      </c>
      <c r="C1985" s="1497" t="s">
        <v>2707</v>
      </c>
      <c r="D1985" s="1498"/>
      <c r="E1985" s="1492" t="s">
        <v>3352</v>
      </c>
      <c r="F1985" s="1494">
        <v>2</v>
      </c>
      <c r="G1985" s="1495">
        <v>404</v>
      </c>
      <c r="J1985" s="335"/>
      <c r="K1985" s="374">
        <f t="shared" si="87"/>
        <v>46.621600000000001</v>
      </c>
      <c r="L1985" s="338">
        <f t="shared" si="86"/>
        <v>0</v>
      </c>
      <c r="M1985" s="289"/>
      <c r="P1985" s="330"/>
      <c r="S1985" s="289"/>
      <c r="T1985" s="289"/>
      <c r="U1985" s="289"/>
      <c r="V1985" s="289"/>
    </row>
    <row r="1986" spans="1:22" ht="27.6" customHeight="1">
      <c r="A1986" s="331">
        <v>39</v>
      </c>
      <c r="B1986" s="1491" t="s">
        <v>959</v>
      </c>
      <c r="C1986" s="1497" t="s">
        <v>3353</v>
      </c>
      <c r="D1986" s="1498"/>
      <c r="E1986" s="1492" t="s">
        <v>3416</v>
      </c>
      <c r="F1986" s="1494">
        <v>1</v>
      </c>
      <c r="G1986" s="1495">
        <v>1525</v>
      </c>
      <c r="J1986" s="335"/>
      <c r="K1986" s="374">
        <f t="shared" si="87"/>
        <v>175.98500000000001</v>
      </c>
      <c r="L1986" s="338">
        <f t="shared" si="86"/>
        <v>0</v>
      </c>
      <c r="M1986" s="289"/>
      <c r="P1986" s="330"/>
      <c r="S1986" s="289"/>
      <c r="T1986" s="289"/>
      <c r="U1986" s="289"/>
      <c r="V1986" s="289"/>
    </row>
    <row r="1987" spans="1:22" ht="27.6" customHeight="1">
      <c r="A1987" s="331">
        <v>40</v>
      </c>
      <c r="B1987" s="1483" t="s">
        <v>959</v>
      </c>
      <c r="C1987" s="1490" t="s">
        <v>3354</v>
      </c>
      <c r="D1987" s="1370"/>
      <c r="E1987" s="1484" t="s">
        <v>3416</v>
      </c>
      <c r="F1987" s="1486">
        <v>1</v>
      </c>
      <c r="G1987" s="1487">
        <v>1525</v>
      </c>
      <c r="J1987" s="335"/>
      <c r="K1987" s="374">
        <f t="shared" si="87"/>
        <v>175.98500000000001</v>
      </c>
      <c r="L1987" s="338">
        <f t="shared" si="86"/>
        <v>0</v>
      </c>
      <c r="M1987" s="289"/>
      <c r="P1987" s="330"/>
      <c r="S1987" s="289"/>
      <c r="T1987" s="289"/>
      <c r="U1987" s="289"/>
      <c r="V1987" s="289"/>
    </row>
    <row r="1988" spans="1:22" ht="27.6" customHeight="1">
      <c r="A1988" s="331">
        <v>41</v>
      </c>
      <c r="B1988" s="1483" t="s">
        <v>2258</v>
      </c>
      <c r="C1988" s="1490" t="s">
        <v>2259</v>
      </c>
      <c r="D1988" s="1370"/>
      <c r="E1988" s="1484" t="s">
        <v>3508</v>
      </c>
      <c r="F1988" s="1486">
        <v>4</v>
      </c>
      <c r="G1988" s="1487">
        <v>12200</v>
      </c>
      <c r="J1988" s="335"/>
      <c r="K1988" s="374">
        <f t="shared" si="87"/>
        <v>1407.88</v>
      </c>
      <c r="L1988" s="338">
        <f t="shared" si="86"/>
        <v>0</v>
      </c>
      <c r="M1988" s="289"/>
      <c r="P1988" s="330"/>
      <c r="S1988" s="289"/>
      <c r="T1988" s="289"/>
      <c r="U1988" s="289"/>
      <c r="V1988" s="289"/>
    </row>
    <row r="1989" spans="1:22" ht="27.6" customHeight="1">
      <c r="A1989" s="331">
        <v>42</v>
      </c>
      <c r="B1989" s="1483" t="s">
        <v>2258</v>
      </c>
      <c r="C1989" s="1490" t="s">
        <v>2260</v>
      </c>
      <c r="D1989" s="1370"/>
      <c r="E1989" s="1484" t="s">
        <v>3509</v>
      </c>
      <c r="F1989" s="1486">
        <v>5</v>
      </c>
      <c r="G1989" s="1487">
        <v>7625</v>
      </c>
      <c r="J1989" s="335"/>
      <c r="K1989" s="374">
        <f t="shared" si="87"/>
        <v>879.92499999999995</v>
      </c>
      <c r="L1989" s="338">
        <f t="shared" si="86"/>
        <v>0</v>
      </c>
      <c r="M1989" s="289"/>
      <c r="P1989" s="330"/>
      <c r="S1989" s="289"/>
      <c r="T1989" s="289"/>
      <c r="U1989" s="289"/>
      <c r="V1989" s="289"/>
    </row>
    <row r="1990" spans="1:22" ht="27.6" customHeight="1">
      <c r="A1990" s="331">
        <v>43</v>
      </c>
      <c r="B1990" s="1483" t="s">
        <v>2726</v>
      </c>
      <c r="C1990" s="1490" t="s">
        <v>3355</v>
      </c>
      <c r="D1990" s="1370">
        <v>1525</v>
      </c>
      <c r="E1990" s="1484"/>
      <c r="F1990" s="1486"/>
      <c r="G1990" s="1487"/>
      <c r="J1990" s="335"/>
      <c r="K1990" s="374">
        <f t="shared" si="87"/>
        <v>0</v>
      </c>
      <c r="L1990" s="338">
        <f t="shared" si="86"/>
        <v>0</v>
      </c>
      <c r="M1990" s="289"/>
      <c r="P1990" s="330"/>
      <c r="S1990" s="289"/>
      <c r="T1990" s="289"/>
      <c r="U1990" s="289"/>
      <c r="V1990" s="289"/>
    </row>
    <row r="1991" spans="1:22" ht="27.6" customHeight="1">
      <c r="A1991" s="331">
        <v>44</v>
      </c>
      <c r="B1991" s="1483" t="s">
        <v>2708</v>
      </c>
      <c r="C1991" s="1490" t="s">
        <v>2709</v>
      </c>
      <c r="D1991" s="1370">
        <v>5292</v>
      </c>
      <c r="E1991" s="1484"/>
      <c r="F1991" s="1486"/>
      <c r="G1991" s="1487"/>
      <c r="J1991" s="335"/>
      <c r="K1991" s="374">
        <f t="shared" si="87"/>
        <v>0</v>
      </c>
      <c r="L1991" s="338">
        <f t="shared" si="86"/>
        <v>0</v>
      </c>
      <c r="M1991" s="289"/>
      <c r="P1991" s="330"/>
      <c r="S1991" s="289"/>
      <c r="T1991" s="289"/>
      <c r="U1991" s="289"/>
      <c r="V1991" s="289"/>
    </row>
    <row r="1992" spans="1:22" ht="27.6" customHeight="1">
      <c r="A1992" s="331">
        <v>45</v>
      </c>
      <c r="B1992" s="1483" t="s">
        <v>2720</v>
      </c>
      <c r="C1992" s="1490" t="s">
        <v>2710</v>
      </c>
      <c r="D1992" s="1370"/>
      <c r="E1992" s="1484" t="s">
        <v>3416</v>
      </c>
      <c r="F1992" s="1486">
        <v>1</v>
      </c>
      <c r="G1992" s="1487">
        <v>2254</v>
      </c>
      <c r="J1992" s="335"/>
      <c r="K1992" s="374">
        <f t="shared" si="87"/>
        <v>260.11160000000001</v>
      </c>
      <c r="L1992" s="338">
        <f t="shared" si="86"/>
        <v>0</v>
      </c>
      <c r="M1992" s="289"/>
      <c r="P1992" s="330"/>
      <c r="S1992" s="289"/>
      <c r="T1992" s="289"/>
      <c r="U1992" s="289"/>
      <c r="V1992" s="289"/>
    </row>
    <row r="1993" spans="1:22" ht="27.6" customHeight="1">
      <c r="A1993" s="331">
        <v>46</v>
      </c>
      <c r="B1993" s="1499" t="s">
        <v>2108</v>
      </c>
      <c r="C1993" s="1490" t="s">
        <v>2966</v>
      </c>
      <c r="D1993" s="1370">
        <v>2254</v>
      </c>
      <c r="E1993" s="1484"/>
      <c r="F1993" s="1486"/>
      <c r="G1993" s="1487"/>
      <c r="J1993" s="335"/>
      <c r="K1993" s="374">
        <f t="shared" si="87"/>
        <v>0</v>
      </c>
      <c r="L1993" s="338">
        <f t="shared" si="86"/>
        <v>0</v>
      </c>
      <c r="M1993" s="289"/>
      <c r="P1993" s="330"/>
      <c r="S1993" s="289"/>
      <c r="T1993" s="289"/>
      <c r="U1993" s="289"/>
      <c r="V1993" s="289"/>
    </row>
    <row r="1994" spans="1:22" ht="27.6" customHeight="1">
      <c r="A1994" s="331">
        <v>47</v>
      </c>
      <c r="B1994" s="1491" t="s">
        <v>3510</v>
      </c>
      <c r="C1994" s="1497" t="s">
        <v>3511</v>
      </c>
      <c r="D1994" s="1372"/>
      <c r="E1994" s="1484" t="s">
        <v>3416</v>
      </c>
      <c r="F1994" s="1486">
        <v>1</v>
      </c>
      <c r="G1994" s="1487">
        <v>2254</v>
      </c>
      <c r="J1994" s="335"/>
      <c r="K1994" s="374">
        <f t="shared" si="87"/>
        <v>260.11160000000001</v>
      </c>
      <c r="L1994" s="338">
        <f t="shared" si="86"/>
        <v>0</v>
      </c>
      <c r="M1994" s="289"/>
      <c r="P1994" s="330"/>
      <c r="S1994" s="289"/>
      <c r="T1994" s="289"/>
      <c r="U1994" s="289"/>
      <c r="V1994" s="289"/>
    </row>
    <row r="1995" spans="1:22" ht="27.6" customHeight="1">
      <c r="A1995" s="331">
        <v>48</v>
      </c>
      <c r="B1995" s="1491" t="s">
        <v>2795</v>
      </c>
      <c r="C1995" s="1497" t="s">
        <v>1497</v>
      </c>
      <c r="D1995" s="1372"/>
      <c r="E1995" s="1484" t="s">
        <v>3416</v>
      </c>
      <c r="F1995" s="1486">
        <v>1</v>
      </c>
      <c r="G1995" s="1487">
        <v>1420</v>
      </c>
      <c r="J1995" s="335"/>
      <c r="K1995" s="374">
        <f t="shared" si="87"/>
        <v>163.86799999999999</v>
      </c>
      <c r="L1995" s="338">
        <f t="shared" si="86"/>
        <v>0</v>
      </c>
      <c r="M1995" s="289"/>
      <c r="P1995" s="330"/>
      <c r="S1995" s="289"/>
      <c r="T1995" s="289"/>
      <c r="U1995" s="289"/>
      <c r="V1995" s="289"/>
    </row>
    <row r="1996" spans="1:22" ht="27.6" customHeight="1">
      <c r="A1996" s="331">
        <v>49</v>
      </c>
      <c r="B1996" s="1499" t="s">
        <v>3075</v>
      </c>
      <c r="C1996" s="1490" t="s">
        <v>766</v>
      </c>
      <c r="D1996" s="1370"/>
      <c r="E1996" s="1484" t="s">
        <v>3416</v>
      </c>
      <c r="F1996" s="1486">
        <v>1</v>
      </c>
      <c r="G1996" s="1487">
        <v>710</v>
      </c>
      <c r="J1996" s="335"/>
      <c r="K1996" s="374">
        <f t="shared" si="87"/>
        <v>81.933999999999997</v>
      </c>
      <c r="L1996" s="338">
        <f t="shared" si="86"/>
        <v>0</v>
      </c>
      <c r="M1996" s="289"/>
      <c r="P1996" s="330"/>
      <c r="S1996" s="289"/>
      <c r="T1996" s="289"/>
      <c r="U1996" s="289"/>
      <c r="V1996" s="289"/>
    </row>
    <row r="1997" spans="1:22" ht="27.6" customHeight="1">
      <c r="A1997" s="331">
        <v>50</v>
      </c>
      <c r="B1997" s="1499" t="s">
        <v>2796</v>
      </c>
      <c r="C1997" s="1490" t="s">
        <v>1498</v>
      </c>
      <c r="D1997" s="1370"/>
      <c r="E1997" s="1484" t="s">
        <v>3416</v>
      </c>
      <c r="F1997" s="1486">
        <v>1</v>
      </c>
      <c r="G1997" s="1487">
        <v>935</v>
      </c>
      <c r="J1997" s="335"/>
      <c r="K1997" s="374">
        <f t="shared" si="87"/>
        <v>107.899</v>
      </c>
      <c r="L1997" s="338">
        <f t="shared" si="86"/>
        <v>0</v>
      </c>
      <c r="M1997" s="289"/>
      <c r="P1997" s="330"/>
      <c r="S1997" s="289"/>
      <c r="T1997" s="289"/>
      <c r="U1997" s="289"/>
      <c r="V1997" s="289"/>
    </row>
    <row r="1998" spans="1:22" ht="27.6" customHeight="1">
      <c r="A1998" s="331">
        <v>51</v>
      </c>
      <c r="B1998" s="1483" t="s">
        <v>3356</v>
      </c>
      <c r="C1998" s="1490" t="s">
        <v>861</v>
      </c>
      <c r="D1998" s="1370"/>
      <c r="E1998" s="1484" t="s">
        <v>3416</v>
      </c>
      <c r="F1998" s="1486">
        <v>1</v>
      </c>
      <c r="G1998" s="1487">
        <v>935</v>
      </c>
      <c r="J1998" s="335"/>
      <c r="K1998" s="374">
        <f t="shared" si="87"/>
        <v>107.899</v>
      </c>
      <c r="L1998" s="338">
        <f t="shared" si="86"/>
        <v>0</v>
      </c>
      <c r="M1998" s="289"/>
      <c r="P1998" s="330"/>
      <c r="S1998" s="289"/>
      <c r="T1998" s="289"/>
      <c r="U1998" s="289"/>
      <c r="V1998" s="289"/>
    </row>
    <row r="1999" spans="1:22" ht="27.6" customHeight="1">
      <c r="A1999" s="331">
        <v>52</v>
      </c>
      <c r="B1999" s="1483" t="s">
        <v>1518</v>
      </c>
      <c r="C1999" s="1490" t="s">
        <v>3274</v>
      </c>
      <c r="D1999" s="1370"/>
      <c r="E1999" s="1484"/>
      <c r="F1999" s="1486"/>
      <c r="G1999" s="1487"/>
      <c r="H1999" s="580" t="s">
        <v>3275</v>
      </c>
      <c r="I1999" s="331">
        <v>21</v>
      </c>
      <c r="J1999" s="335">
        <v>20223</v>
      </c>
      <c r="K1999" s="374">
        <f t="shared" si="87"/>
        <v>0</v>
      </c>
      <c r="L1999" s="338">
        <f t="shared" si="86"/>
        <v>20223</v>
      </c>
      <c r="M1999" s="289"/>
      <c r="P1999" s="330"/>
      <c r="S1999" s="289"/>
      <c r="T1999" s="289"/>
      <c r="U1999" s="289"/>
      <c r="V1999" s="289"/>
    </row>
    <row r="2000" spans="1:22" ht="27.6" customHeight="1">
      <c r="A2000" s="331">
        <v>53</v>
      </c>
      <c r="B2000" s="1483" t="s">
        <v>2967</v>
      </c>
      <c r="C2000" s="1490" t="s">
        <v>2968</v>
      </c>
      <c r="D2000" s="1370">
        <v>1634</v>
      </c>
      <c r="E2000" s="1484"/>
      <c r="F2000" s="1486"/>
      <c r="G2000" s="1487"/>
      <c r="J2000" s="335"/>
      <c r="K2000" s="374">
        <f t="shared" si="87"/>
        <v>0</v>
      </c>
      <c r="L2000" s="338">
        <f t="shared" si="86"/>
        <v>0</v>
      </c>
      <c r="M2000" s="289"/>
      <c r="P2000" s="330"/>
      <c r="S2000" s="289"/>
      <c r="T2000" s="289"/>
      <c r="U2000" s="289"/>
      <c r="V2000" s="289"/>
    </row>
    <row r="2001" spans="1:22" ht="27.6" customHeight="1">
      <c r="A2001" s="331">
        <v>54</v>
      </c>
      <c r="B2001" s="1483" t="s">
        <v>3204</v>
      </c>
      <c r="C2001" s="1490" t="s">
        <v>1247</v>
      </c>
      <c r="D2001" s="1370"/>
      <c r="E2001" s="1500"/>
      <c r="F2001" s="1486"/>
      <c r="G2001" s="1487"/>
      <c r="H2001" s="580" t="s">
        <v>3512</v>
      </c>
      <c r="I2001" s="331">
        <v>22</v>
      </c>
      <c r="J2001" s="335">
        <v>4922</v>
      </c>
      <c r="K2001" s="374">
        <f t="shared" si="87"/>
        <v>0</v>
      </c>
      <c r="L2001" s="338">
        <f t="shared" si="86"/>
        <v>4922</v>
      </c>
      <c r="M2001" s="289"/>
      <c r="P2001" s="330"/>
      <c r="S2001" s="289"/>
      <c r="T2001" s="289"/>
      <c r="U2001" s="289"/>
      <c r="V2001" s="289"/>
    </row>
    <row r="2002" spans="1:22" ht="27.6" customHeight="1">
      <c r="A2002" s="331">
        <v>55</v>
      </c>
      <c r="B2002" s="1483" t="s">
        <v>3276</v>
      </c>
      <c r="C2002" s="1490" t="s">
        <v>3277</v>
      </c>
      <c r="D2002" s="1370">
        <v>214</v>
      </c>
      <c r="E2002" s="1500"/>
      <c r="F2002" s="1486"/>
      <c r="G2002" s="1487"/>
      <c r="J2002" s="335"/>
      <c r="K2002" s="374">
        <f t="shared" si="87"/>
        <v>0</v>
      </c>
      <c r="L2002" s="338">
        <f t="shared" si="86"/>
        <v>0</v>
      </c>
      <c r="M2002" s="289"/>
      <c r="P2002" s="330"/>
      <c r="S2002" s="289"/>
      <c r="T2002" s="289"/>
      <c r="U2002" s="289"/>
      <c r="V2002" s="289"/>
    </row>
    <row r="2003" spans="1:22" ht="27.6" customHeight="1">
      <c r="A2003" s="331">
        <v>56</v>
      </c>
      <c r="B2003" s="1483" t="s">
        <v>3278</v>
      </c>
      <c r="C2003" s="1484" t="s">
        <v>3279</v>
      </c>
      <c r="D2003" s="1368">
        <v>214</v>
      </c>
      <c r="E2003" s="1484"/>
      <c r="F2003" s="1486"/>
      <c r="G2003" s="1487"/>
      <c r="J2003" s="335"/>
      <c r="K2003" s="374">
        <f t="shared" si="87"/>
        <v>0</v>
      </c>
      <c r="L2003" s="338">
        <f t="shared" si="86"/>
        <v>0</v>
      </c>
      <c r="M2003" s="289"/>
      <c r="P2003" s="330"/>
      <c r="S2003" s="289"/>
      <c r="T2003" s="289"/>
      <c r="U2003" s="289"/>
      <c r="V2003" s="289"/>
    </row>
    <row r="2004" spans="1:22" ht="27.6" customHeight="1">
      <c r="A2004" s="331">
        <v>57</v>
      </c>
      <c r="B2004" s="1483" t="s">
        <v>3280</v>
      </c>
      <c r="C2004" s="1484" t="s">
        <v>1499</v>
      </c>
      <c r="D2004" s="1368"/>
      <c r="E2004" s="1484" t="s">
        <v>3513</v>
      </c>
      <c r="F2004" s="1486">
        <v>1</v>
      </c>
      <c r="G2004" s="1487">
        <v>710</v>
      </c>
      <c r="J2004" s="335"/>
      <c r="K2004" s="374">
        <f t="shared" si="87"/>
        <v>81.933999999999997</v>
      </c>
      <c r="L2004" s="338">
        <f t="shared" si="86"/>
        <v>0</v>
      </c>
      <c r="M2004" s="289"/>
      <c r="P2004" s="330"/>
      <c r="S2004" s="289"/>
      <c r="T2004" s="289"/>
      <c r="U2004" s="289"/>
      <c r="V2004" s="289"/>
    </row>
    <row r="2005" spans="1:22" ht="27.6" customHeight="1">
      <c r="A2005" s="331">
        <v>58</v>
      </c>
      <c r="B2005" s="1483" t="s">
        <v>3281</v>
      </c>
      <c r="C2005" s="1490" t="s">
        <v>3282</v>
      </c>
      <c r="D2005" s="1370"/>
      <c r="E2005" s="1484"/>
      <c r="F2005" s="1486"/>
      <c r="G2005" s="1487"/>
      <c r="H2005" s="580" t="s">
        <v>3514</v>
      </c>
      <c r="I2005" s="331">
        <v>23</v>
      </c>
      <c r="J2005" s="335">
        <v>15524</v>
      </c>
      <c r="K2005" s="374">
        <f t="shared" si="87"/>
        <v>0</v>
      </c>
      <c r="L2005" s="338">
        <f t="shared" si="86"/>
        <v>15524</v>
      </c>
      <c r="M2005" s="289"/>
      <c r="P2005" s="330"/>
      <c r="S2005" s="289"/>
      <c r="T2005" s="289"/>
      <c r="U2005" s="289"/>
      <c r="V2005" s="289"/>
    </row>
    <row r="2006" spans="1:22" ht="27.6" customHeight="1">
      <c r="A2006" s="331">
        <v>59</v>
      </c>
      <c r="B2006" s="1483" t="s">
        <v>3283</v>
      </c>
      <c r="C2006" s="1490" t="s">
        <v>3284</v>
      </c>
      <c r="D2006" s="1370">
        <v>214</v>
      </c>
      <c r="E2006" s="1484"/>
      <c r="F2006" s="1486"/>
      <c r="G2006" s="1487"/>
      <c r="J2006" s="335"/>
      <c r="K2006" s="374">
        <f t="shared" si="87"/>
        <v>0</v>
      </c>
      <c r="L2006" s="338">
        <f t="shared" si="86"/>
        <v>0</v>
      </c>
      <c r="M2006" s="289"/>
      <c r="P2006" s="330"/>
      <c r="S2006" s="289"/>
      <c r="T2006" s="289"/>
      <c r="U2006" s="289"/>
      <c r="V2006" s="289"/>
    </row>
    <row r="2007" spans="1:22" ht="27.6" customHeight="1">
      <c r="A2007" s="331">
        <v>60</v>
      </c>
      <c r="B2007" s="1483" t="s">
        <v>2841</v>
      </c>
      <c r="C2007" s="1484" t="s">
        <v>3285</v>
      </c>
      <c r="D2007" s="1368"/>
      <c r="E2007" s="1484"/>
      <c r="F2007" s="1486"/>
      <c r="G2007" s="1487"/>
      <c r="H2007" s="580" t="s">
        <v>3515</v>
      </c>
      <c r="I2007" s="331">
        <v>22</v>
      </c>
      <c r="J2007" s="335">
        <v>9844</v>
      </c>
      <c r="K2007" s="374">
        <f t="shared" si="87"/>
        <v>0</v>
      </c>
      <c r="L2007" s="338">
        <f t="shared" si="86"/>
        <v>9844</v>
      </c>
      <c r="M2007" s="289"/>
      <c r="P2007" s="330"/>
      <c r="S2007" s="289"/>
      <c r="T2007" s="289"/>
      <c r="U2007" s="289"/>
      <c r="V2007" s="289"/>
    </row>
    <row r="2008" spans="1:22" ht="27.6" customHeight="1">
      <c r="A2008" s="331">
        <v>61</v>
      </c>
      <c r="B2008" s="1483" t="s">
        <v>3076</v>
      </c>
      <c r="C2008" s="1484" t="s">
        <v>3077</v>
      </c>
      <c r="D2008" s="1368"/>
      <c r="E2008" s="1484"/>
      <c r="F2008" s="1486"/>
      <c r="G2008" s="1487"/>
      <c r="H2008" s="580" t="s">
        <v>3516</v>
      </c>
      <c r="I2008" s="331">
        <v>23</v>
      </c>
      <c r="J2008" s="335">
        <v>3881</v>
      </c>
      <c r="K2008" s="374">
        <f t="shared" si="87"/>
        <v>0</v>
      </c>
      <c r="L2008" s="338">
        <f t="shared" si="86"/>
        <v>3881</v>
      </c>
      <c r="M2008" s="289"/>
      <c r="P2008" s="330"/>
      <c r="S2008" s="289"/>
      <c r="T2008" s="289"/>
      <c r="U2008" s="289"/>
      <c r="V2008" s="289"/>
    </row>
    <row r="2009" spans="1:22" ht="27.6" customHeight="1">
      <c r="A2009" s="331">
        <v>62</v>
      </c>
      <c r="B2009" s="1483" t="s">
        <v>2843</v>
      </c>
      <c r="C2009" s="1501" t="s">
        <v>3382</v>
      </c>
      <c r="D2009" s="1370"/>
      <c r="E2009" s="1484"/>
      <c r="F2009" s="1486"/>
      <c r="G2009" s="1487"/>
      <c r="H2009" s="580" t="s">
        <v>3512</v>
      </c>
      <c r="I2009" s="331">
        <v>23</v>
      </c>
      <c r="J2009" s="335">
        <v>4922</v>
      </c>
      <c r="K2009" s="374">
        <f t="shared" si="87"/>
        <v>0</v>
      </c>
      <c r="L2009" s="338">
        <f t="shared" si="86"/>
        <v>4922</v>
      </c>
      <c r="M2009" s="289"/>
      <c r="P2009" s="330"/>
      <c r="S2009" s="289"/>
      <c r="T2009" s="289"/>
      <c r="U2009" s="289"/>
      <c r="V2009" s="289"/>
    </row>
    <row r="2010" spans="1:22" ht="27.6" customHeight="1">
      <c r="A2010" s="331">
        <v>63</v>
      </c>
      <c r="B2010" s="1483" t="s">
        <v>2731</v>
      </c>
      <c r="C2010" s="1490" t="s">
        <v>3287</v>
      </c>
      <c r="D2010" s="1370">
        <v>214</v>
      </c>
      <c r="E2010" s="1484"/>
      <c r="F2010" s="1486"/>
      <c r="G2010" s="1487"/>
      <c r="J2010" s="335"/>
      <c r="K2010" s="374">
        <f t="shared" si="87"/>
        <v>0</v>
      </c>
      <c r="L2010" s="338">
        <f t="shared" si="86"/>
        <v>0</v>
      </c>
      <c r="M2010" s="289"/>
      <c r="P2010" s="330"/>
      <c r="S2010" s="289"/>
      <c r="T2010" s="289"/>
      <c r="U2010" s="289"/>
      <c r="V2010" s="289"/>
    </row>
    <row r="2011" spans="1:22" ht="27.6" customHeight="1">
      <c r="A2011" s="331">
        <v>64</v>
      </c>
      <c r="B2011" s="1483" t="s">
        <v>2969</v>
      </c>
      <c r="C2011" s="1490" t="s">
        <v>2970</v>
      </c>
      <c r="D2011" s="1370">
        <v>4600</v>
      </c>
      <c r="E2011" s="1484"/>
      <c r="F2011" s="1486"/>
      <c r="G2011" s="1487"/>
      <c r="J2011" s="335"/>
      <c r="K2011" s="374">
        <f t="shared" si="87"/>
        <v>0</v>
      </c>
      <c r="L2011" s="338">
        <f t="shared" si="86"/>
        <v>0</v>
      </c>
      <c r="M2011" s="289"/>
      <c r="P2011" s="330"/>
      <c r="S2011" s="289"/>
      <c r="T2011" s="289"/>
      <c r="U2011" s="289"/>
      <c r="V2011" s="289"/>
    </row>
    <row r="2012" spans="1:22" ht="27.6" customHeight="1">
      <c r="A2012" s="331">
        <v>65</v>
      </c>
      <c r="B2012" s="1483" t="s">
        <v>1710</v>
      </c>
      <c r="C2012" s="1490" t="s">
        <v>1711</v>
      </c>
      <c r="D2012" s="1370"/>
      <c r="E2012" s="1484"/>
      <c r="F2012" s="1486"/>
      <c r="G2012" s="1487"/>
      <c r="H2012" s="580" t="s">
        <v>3357</v>
      </c>
      <c r="I2012" s="331">
        <v>7</v>
      </c>
      <c r="J2012" s="335">
        <v>16100</v>
      </c>
      <c r="K2012" s="374">
        <f t="shared" si="87"/>
        <v>0</v>
      </c>
      <c r="L2012" s="338">
        <f t="shared" si="86"/>
        <v>16100</v>
      </c>
      <c r="M2012" s="289"/>
      <c r="P2012" s="330"/>
      <c r="S2012" s="289"/>
      <c r="T2012" s="289"/>
      <c r="U2012" s="289"/>
      <c r="V2012" s="289"/>
    </row>
    <row r="2013" spans="1:22" ht="27.6" customHeight="1">
      <c r="A2013" s="331">
        <v>66</v>
      </c>
      <c r="B2013" s="1483" t="s">
        <v>3517</v>
      </c>
      <c r="C2013" s="1490" t="s">
        <v>3518</v>
      </c>
      <c r="D2013" s="1370"/>
      <c r="E2013" s="1484" t="s">
        <v>3416</v>
      </c>
      <c r="F2013" s="1486">
        <v>1</v>
      </c>
      <c r="G2013" s="1487">
        <v>3450</v>
      </c>
      <c r="J2013" s="335"/>
      <c r="K2013" s="374">
        <f t="shared" si="87"/>
        <v>398.13</v>
      </c>
      <c r="L2013" s="338">
        <f t="shared" si="86"/>
        <v>0</v>
      </c>
      <c r="M2013" s="289"/>
      <c r="P2013" s="330"/>
      <c r="S2013" s="289"/>
      <c r="T2013" s="289"/>
      <c r="U2013" s="289"/>
      <c r="V2013" s="289"/>
    </row>
    <row r="2014" spans="1:22" ht="27.6" customHeight="1">
      <c r="A2014" s="331">
        <v>67</v>
      </c>
      <c r="B2014" s="1483" t="s">
        <v>2110</v>
      </c>
      <c r="C2014" s="1490" t="s">
        <v>1286</v>
      </c>
      <c r="D2014" s="1370">
        <v>3450</v>
      </c>
      <c r="E2014" s="1484"/>
      <c r="F2014" s="1486"/>
      <c r="G2014" s="1487"/>
      <c r="J2014" s="335"/>
      <c r="K2014" s="374">
        <f t="shared" si="87"/>
        <v>0</v>
      </c>
      <c r="L2014" s="338">
        <f t="shared" si="86"/>
        <v>0</v>
      </c>
      <c r="M2014" s="289"/>
      <c r="P2014" s="330"/>
      <c r="S2014" s="289"/>
      <c r="T2014" s="289"/>
      <c r="U2014" s="289"/>
      <c r="V2014" s="289"/>
    </row>
    <row r="2015" spans="1:22" ht="27.6" customHeight="1">
      <c r="A2015" s="331">
        <v>68</v>
      </c>
      <c r="B2015" s="1483" t="s">
        <v>2644</v>
      </c>
      <c r="C2015" s="1490" t="s">
        <v>2645</v>
      </c>
      <c r="D2015" s="1370"/>
      <c r="E2015" s="1484" t="s">
        <v>3437</v>
      </c>
      <c r="F2015" s="1486">
        <v>2</v>
      </c>
      <c r="G2015" s="1487">
        <v>6326</v>
      </c>
      <c r="J2015" s="335"/>
      <c r="K2015" s="374">
        <f t="shared" si="87"/>
        <v>730.02039999999988</v>
      </c>
      <c r="L2015" s="338">
        <f t="shared" si="86"/>
        <v>0</v>
      </c>
      <c r="M2015" s="289"/>
      <c r="P2015" s="330"/>
      <c r="S2015" s="289"/>
      <c r="T2015" s="289"/>
      <c r="U2015" s="289"/>
      <c r="V2015" s="289"/>
    </row>
    <row r="2016" spans="1:22" ht="27.6" customHeight="1">
      <c r="A2016" s="331">
        <v>69</v>
      </c>
      <c r="B2016" s="1483" t="s">
        <v>3519</v>
      </c>
      <c r="C2016" s="1490" t="s">
        <v>3520</v>
      </c>
      <c r="D2016" s="1370"/>
      <c r="E2016" s="1484" t="s">
        <v>3416</v>
      </c>
      <c r="F2016" s="1486">
        <v>1</v>
      </c>
      <c r="G2016" s="1487">
        <v>3067</v>
      </c>
      <c r="J2016" s="335"/>
      <c r="K2016" s="374">
        <f t="shared" si="87"/>
        <v>353.93180000000001</v>
      </c>
      <c r="L2016" s="338">
        <f t="shared" si="86"/>
        <v>0</v>
      </c>
      <c r="M2016" s="289"/>
      <c r="P2016" s="330"/>
      <c r="S2016" s="289"/>
      <c r="T2016" s="289"/>
      <c r="U2016" s="289"/>
      <c r="V2016" s="289"/>
    </row>
    <row r="2017" spans="1:22" ht="27.6" customHeight="1">
      <c r="A2017" s="331">
        <v>70</v>
      </c>
      <c r="B2017" s="1483" t="s">
        <v>1244</v>
      </c>
      <c r="C2017" s="1490" t="s">
        <v>2646</v>
      </c>
      <c r="D2017" s="1370"/>
      <c r="E2017" s="1484"/>
      <c r="F2017" s="1486"/>
      <c r="G2017" s="1487">
        <v>39377</v>
      </c>
      <c r="J2017" s="335"/>
      <c r="K2017" s="374">
        <f t="shared" si="87"/>
        <v>4544.1057999999994</v>
      </c>
      <c r="L2017" s="338">
        <f t="shared" si="86"/>
        <v>0</v>
      </c>
      <c r="M2017" s="289"/>
      <c r="P2017" s="330"/>
      <c r="S2017" s="289"/>
      <c r="T2017" s="289"/>
      <c r="U2017" s="289"/>
      <c r="V2017" s="289"/>
    </row>
    <row r="2018" spans="1:22" ht="27.6" customHeight="1">
      <c r="A2018" s="331">
        <v>71</v>
      </c>
      <c r="B2018" s="1483" t="s">
        <v>1244</v>
      </c>
      <c r="C2018" s="1490" t="s">
        <v>2647</v>
      </c>
      <c r="D2018" s="1370"/>
      <c r="E2018" s="1484"/>
      <c r="F2018" s="1486"/>
      <c r="G2018" s="1487">
        <v>49377</v>
      </c>
      <c r="J2018" s="335"/>
      <c r="K2018" s="374">
        <f t="shared" si="87"/>
        <v>5698.1057999999994</v>
      </c>
      <c r="L2018" s="338">
        <f t="shared" si="86"/>
        <v>0</v>
      </c>
      <c r="M2018" s="289"/>
      <c r="P2018" s="330"/>
      <c r="S2018" s="289"/>
      <c r="T2018" s="289"/>
      <c r="U2018" s="289"/>
      <c r="V2018" s="289"/>
    </row>
    <row r="2019" spans="1:22" ht="27.6" customHeight="1">
      <c r="A2019" s="331">
        <v>72</v>
      </c>
      <c r="B2019" s="1483" t="s">
        <v>1244</v>
      </c>
      <c r="C2019" s="1490" t="s">
        <v>2648</v>
      </c>
      <c r="D2019" s="1370"/>
      <c r="E2019" s="1484"/>
      <c r="F2019" s="1486"/>
      <c r="G2019" s="1487">
        <v>49377</v>
      </c>
      <c r="J2019" s="335"/>
      <c r="K2019" s="374">
        <f t="shared" si="87"/>
        <v>5698.1057999999994</v>
      </c>
      <c r="L2019" s="338">
        <f t="shared" si="86"/>
        <v>0</v>
      </c>
      <c r="M2019" s="289"/>
      <c r="P2019" s="330"/>
      <c r="S2019" s="289"/>
      <c r="T2019" s="289"/>
      <c r="U2019" s="289"/>
      <c r="V2019" s="289"/>
    </row>
    <row r="2020" spans="1:22" ht="27.6" customHeight="1">
      <c r="B2020" s="1130"/>
      <c r="C2020" s="1131"/>
      <c r="D2020" s="475"/>
      <c r="E2020" s="1132"/>
      <c r="F2020" s="1133"/>
      <c r="G2020" s="1134"/>
      <c r="J2020" s="335"/>
      <c r="K2020" s="374">
        <f t="shared" si="87"/>
        <v>0</v>
      </c>
      <c r="L2020" s="338">
        <f t="shared" si="86"/>
        <v>0</v>
      </c>
      <c r="M2020" s="289"/>
      <c r="P2020" s="330"/>
      <c r="S2020" s="289"/>
      <c r="T2020" s="289"/>
      <c r="U2020" s="289"/>
      <c r="V2020" s="289"/>
    </row>
    <row r="2021" spans="1:22" ht="27.6" customHeight="1">
      <c r="B2021" s="1130" t="s">
        <v>1003</v>
      </c>
      <c r="C2021" s="1131"/>
      <c r="D2021" s="475"/>
      <c r="E2021" s="1132"/>
      <c r="F2021" s="1133"/>
      <c r="G2021" s="1134"/>
      <c r="J2021" s="335"/>
      <c r="K2021" s="374">
        <f t="shared" si="87"/>
        <v>0</v>
      </c>
      <c r="L2021" s="338">
        <f t="shared" si="86"/>
        <v>0</v>
      </c>
      <c r="M2021" s="289"/>
      <c r="P2021" s="330"/>
      <c r="S2021" s="289"/>
      <c r="T2021" s="289"/>
      <c r="U2021" s="289"/>
      <c r="V2021" s="289"/>
    </row>
    <row r="2022" spans="1:22" ht="27.6" customHeight="1">
      <c r="B2022" s="1130" t="s">
        <v>171</v>
      </c>
      <c r="C2022" s="1131"/>
      <c r="D2022" s="475"/>
      <c r="E2022" s="1132"/>
      <c r="F2022" s="1133"/>
      <c r="G2022" s="1134"/>
      <c r="J2022" s="335"/>
      <c r="K2022" s="374">
        <f t="shared" si="87"/>
        <v>0</v>
      </c>
      <c r="L2022" s="338">
        <f t="shared" si="86"/>
        <v>0</v>
      </c>
      <c r="M2022" s="289"/>
      <c r="P2022" s="330"/>
      <c r="S2022" s="289"/>
      <c r="T2022" s="289"/>
      <c r="U2022" s="289"/>
      <c r="V2022" s="289"/>
    </row>
    <row r="2023" spans="1:22" s="385" customFormat="1" ht="27.6" customHeight="1">
      <c r="A2023" s="379">
        <v>1</v>
      </c>
      <c r="B2023" s="1353" t="s">
        <v>2685</v>
      </c>
      <c r="C2023" s="1502" t="s">
        <v>777</v>
      </c>
      <c r="D2023" s="382"/>
      <c r="E2023" s="1356"/>
      <c r="F2023" s="1503"/>
      <c r="G2023" s="1504"/>
      <c r="H2023" s="580" t="s">
        <v>831</v>
      </c>
      <c r="I2023" s="331">
        <v>13</v>
      </c>
      <c r="J2023" s="335">
        <v>9230</v>
      </c>
      <c r="K2023" s="374">
        <f t="shared" si="87"/>
        <v>0</v>
      </c>
      <c r="L2023" s="338">
        <f t="shared" si="86"/>
        <v>9230</v>
      </c>
      <c r="M2023" s="288"/>
      <c r="N2023" s="288"/>
      <c r="O2023" s="288"/>
      <c r="P2023" s="329"/>
      <c r="Q2023" s="288"/>
      <c r="S2023" s="288"/>
      <c r="T2023" s="288"/>
      <c r="U2023" s="288"/>
      <c r="V2023" s="288"/>
    </row>
    <row r="2024" spans="1:22" s="385" customFormat="1" ht="27.6" customHeight="1">
      <c r="A2024" s="379"/>
      <c r="B2024" s="1353" t="s">
        <v>1459</v>
      </c>
      <c r="C2024" s="1502"/>
      <c r="D2024" s="382"/>
      <c r="E2024" s="1356"/>
      <c r="F2024" s="1503"/>
      <c r="G2024" s="1504"/>
      <c r="H2024" s="580" t="s">
        <v>833</v>
      </c>
      <c r="I2024" s="331">
        <v>10</v>
      </c>
      <c r="J2024" s="335">
        <v>6100</v>
      </c>
      <c r="K2024" s="374">
        <f t="shared" si="87"/>
        <v>0</v>
      </c>
      <c r="L2024" s="338">
        <f t="shared" si="86"/>
        <v>6100</v>
      </c>
      <c r="M2024" s="288"/>
      <c r="N2024" s="288"/>
      <c r="O2024" s="288"/>
      <c r="P2024" s="329"/>
      <c r="Q2024" s="288"/>
      <c r="S2024" s="288"/>
      <c r="T2024" s="288"/>
      <c r="U2024" s="288"/>
      <c r="V2024" s="288"/>
    </row>
    <row r="2025" spans="1:22" s="385" customFormat="1" ht="27.6" customHeight="1">
      <c r="A2025" s="379">
        <v>2</v>
      </c>
      <c r="B2025" s="1353" t="s">
        <v>2686</v>
      </c>
      <c r="C2025" s="1502" t="s">
        <v>778</v>
      </c>
      <c r="D2025" s="382"/>
      <c r="E2025" s="1356"/>
      <c r="F2025" s="1503"/>
      <c r="G2025" s="1504"/>
      <c r="H2025" s="580" t="s">
        <v>832</v>
      </c>
      <c r="I2025" s="331">
        <v>14</v>
      </c>
      <c r="J2025" s="335">
        <v>9230</v>
      </c>
      <c r="K2025" s="374">
        <f t="shared" si="87"/>
        <v>0</v>
      </c>
      <c r="L2025" s="338">
        <f t="shared" si="86"/>
        <v>9230</v>
      </c>
      <c r="M2025" s="288"/>
      <c r="N2025" s="288"/>
      <c r="O2025" s="288"/>
      <c r="P2025" s="329"/>
      <c r="Q2025" s="288"/>
      <c r="S2025" s="288"/>
      <c r="T2025" s="288"/>
      <c r="U2025" s="288"/>
      <c r="V2025" s="288"/>
    </row>
    <row r="2026" spans="1:22" ht="27.6" customHeight="1">
      <c r="A2026" s="379"/>
      <c r="B2026" s="1130" t="s">
        <v>1459</v>
      </c>
      <c r="C2026" s="1135"/>
      <c r="D2026" s="475"/>
      <c r="E2026" s="1505"/>
      <c r="F2026" s="1133"/>
      <c r="G2026" s="1134"/>
      <c r="H2026" s="580" t="s">
        <v>834</v>
      </c>
      <c r="I2026" s="331">
        <v>9</v>
      </c>
      <c r="J2026" s="335">
        <v>5490</v>
      </c>
      <c r="K2026" s="374">
        <f t="shared" si="87"/>
        <v>0</v>
      </c>
      <c r="L2026" s="338">
        <f t="shared" si="86"/>
        <v>5490</v>
      </c>
      <c r="M2026" s="289"/>
      <c r="P2026" s="330"/>
      <c r="S2026" s="289"/>
      <c r="T2026" s="289"/>
      <c r="U2026" s="289"/>
      <c r="V2026" s="289"/>
    </row>
    <row r="2027" spans="1:22" ht="27.75" customHeight="1">
      <c r="A2027" s="379">
        <v>3</v>
      </c>
      <c r="B2027" s="506" t="s">
        <v>2687</v>
      </c>
      <c r="C2027" s="584" t="s">
        <v>781</v>
      </c>
      <c r="D2027" s="475"/>
      <c r="E2027" s="475"/>
      <c r="F2027" s="579"/>
      <c r="G2027" s="386"/>
      <c r="H2027" s="1136" t="s">
        <v>480</v>
      </c>
      <c r="I2027" s="1137">
        <v>17</v>
      </c>
      <c r="J2027" s="335">
        <v>10370</v>
      </c>
      <c r="K2027" s="374">
        <f t="shared" si="87"/>
        <v>0</v>
      </c>
      <c r="L2027" s="338">
        <f t="shared" ref="L2027:L2055" si="88">+J2027</f>
        <v>10370</v>
      </c>
      <c r="P2027" s="330"/>
      <c r="S2027" s="289"/>
      <c r="T2027" s="289"/>
      <c r="U2027" s="289"/>
      <c r="V2027" s="289"/>
    </row>
    <row r="2028" spans="1:22" ht="27.75" customHeight="1">
      <c r="A2028" s="379">
        <v>4</v>
      </c>
      <c r="B2028" s="506" t="s">
        <v>228</v>
      </c>
      <c r="C2028" s="584" t="s">
        <v>2689</v>
      </c>
      <c r="D2028" s="475"/>
      <c r="E2028" s="475" t="s">
        <v>604</v>
      </c>
      <c r="F2028" s="579"/>
      <c r="G2028" s="386"/>
      <c r="H2028" s="332" t="s">
        <v>1797</v>
      </c>
      <c r="I2028" s="397">
        <v>2</v>
      </c>
      <c r="J2028" s="335">
        <v>14000</v>
      </c>
      <c r="K2028" s="374">
        <f t="shared" si="87"/>
        <v>0</v>
      </c>
      <c r="L2028" s="338">
        <f t="shared" si="88"/>
        <v>14000</v>
      </c>
      <c r="P2028" s="330"/>
      <c r="S2028" s="289"/>
      <c r="T2028" s="289"/>
      <c r="U2028" s="289"/>
      <c r="V2028" s="289"/>
    </row>
    <row r="2029" spans="1:22" ht="27.75" customHeight="1">
      <c r="A2029" s="379">
        <v>5</v>
      </c>
      <c r="B2029" s="506" t="s">
        <v>2690</v>
      </c>
      <c r="C2029" s="584" t="s">
        <v>765</v>
      </c>
      <c r="D2029" s="475"/>
      <c r="E2029" s="475"/>
      <c r="F2029" s="579"/>
      <c r="G2029" s="386"/>
      <c r="H2029" s="332" t="s">
        <v>1798</v>
      </c>
      <c r="I2029" s="397">
        <v>18</v>
      </c>
      <c r="J2029" s="335">
        <v>12780</v>
      </c>
      <c r="K2029" s="374">
        <f t="shared" si="87"/>
        <v>0</v>
      </c>
      <c r="L2029" s="338">
        <f t="shared" si="88"/>
        <v>12780</v>
      </c>
      <c r="P2029" s="330"/>
      <c r="S2029" s="289"/>
      <c r="T2029" s="289"/>
      <c r="U2029" s="289"/>
      <c r="V2029" s="289"/>
    </row>
    <row r="2030" spans="1:22" ht="27.75" customHeight="1">
      <c r="A2030" s="379"/>
      <c r="B2030" s="506"/>
      <c r="C2030" s="584"/>
      <c r="D2030" s="475"/>
      <c r="E2030" s="475"/>
      <c r="F2030" s="579"/>
      <c r="G2030" s="386"/>
      <c r="H2030" s="332" t="s">
        <v>820</v>
      </c>
      <c r="I2030" s="397">
        <v>17</v>
      </c>
      <c r="J2030" s="335">
        <v>10370</v>
      </c>
      <c r="K2030" s="374">
        <f t="shared" si="87"/>
        <v>0</v>
      </c>
      <c r="L2030" s="338">
        <f t="shared" si="88"/>
        <v>10370</v>
      </c>
      <c r="P2030" s="330"/>
      <c r="S2030" s="289"/>
      <c r="T2030" s="289"/>
      <c r="U2030" s="289"/>
      <c r="V2030" s="289"/>
    </row>
    <row r="2031" spans="1:22" ht="27.75" customHeight="1">
      <c r="A2031" s="379">
        <v>6</v>
      </c>
      <c r="B2031" s="506" t="s">
        <v>2691</v>
      </c>
      <c r="C2031" s="584" t="s">
        <v>766</v>
      </c>
      <c r="D2031" s="475"/>
      <c r="E2031" s="475"/>
      <c r="F2031" s="579"/>
      <c r="G2031" s="386"/>
      <c r="H2031" s="332" t="s">
        <v>997</v>
      </c>
      <c r="I2031" s="397">
        <v>23</v>
      </c>
      <c r="J2031" s="335">
        <v>15620</v>
      </c>
      <c r="K2031" s="374">
        <f t="shared" si="87"/>
        <v>0</v>
      </c>
      <c r="L2031" s="338">
        <f t="shared" si="88"/>
        <v>15620</v>
      </c>
      <c r="P2031" s="330"/>
      <c r="S2031" s="289"/>
      <c r="T2031" s="289"/>
      <c r="U2031" s="289"/>
      <c r="V2031" s="289"/>
    </row>
    <row r="2032" spans="1:22" ht="27.75" customHeight="1">
      <c r="B2032" s="332"/>
      <c r="C2032" s="363"/>
      <c r="D2032" s="335"/>
      <c r="F2032" s="397"/>
      <c r="G2032" s="386"/>
      <c r="H2032" s="1506" t="s">
        <v>821</v>
      </c>
      <c r="I2032" s="1137">
        <v>7</v>
      </c>
      <c r="J2032" s="335">
        <v>4270</v>
      </c>
      <c r="K2032" s="374">
        <f t="shared" si="87"/>
        <v>0</v>
      </c>
      <c r="L2032" s="338">
        <f t="shared" si="88"/>
        <v>4270</v>
      </c>
      <c r="P2032" s="330"/>
      <c r="S2032" s="289"/>
      <c r="T2032" s="289"/>
      <c r="U2032" s="289"/>
      <c r="V2032" s="289"/>
    </row>
    <row r="2033" spans="1:22" ht="27.75" customHeight="1">
      <c r="A2033" s="379">
        <v>7</v>
      </c>
      <c r="B2033" s="506" t="s">
        <v>606</v>
      </c>
      <c r="C2033" s="584" t="s">
        <v>764</v>
      </c>
      <c r="D2033" s="475"/>
      <c r="E2033" s="475"/>
      <c r="F2033" s="579"/>
      <c r="G2033" s="386"/>
      <c r="H2033" s="332" t="s">
        <v>957</v>
      </c>
      <c r="I2033" s="397">
        <v>10</v>
      </c>
      <c r="J2033" s="335">
        <v>13230</v>
      </c>
      <c r="K2033" s="374">
        <f t="shared" si="87"/>
        <v>0</v>
      </c>
      <c r="L2033" s="338">
        <f t="shared" si="88"/>
        <v>13230</v>
      </c>
      <c r="P2033" s="330"/>
      <c r="S2033" s="289"/>
      <c r="T2033" s="289"/>
      <c r="U2033" s="289"/>
      <c r="V2033" s="289"/>
    </row>
    <row r="2034" spans="1:22" ht="30" customHeight="1">
      <c r="A2034" s="379"/>
      <c r="B2034" s="506"/>
      <c r="C2034" s="584"/>
      <c r="D2034" s="475"/>
      <c r="E2034" s="475"/>
      <c r="F2034" s="579"/>
      <c r="G2034" s="386"/>
      <c r="H2034" s="1136" t="s">
        <v>819</v>
      </c>
      <c r="I2034" s="1137">
        <v>8</v>
      </c>
      <c r="J2034" s="335">
        <v>9200</v>
      </c>
      <c r="K2034" s="374">
        <f t="shared" si="87"/>
        <v>0</v>
      </c>
      <c r="L2034" s="338">
        <f t="shared" si="88"/>
        <v>9200</v>
      </c>
      <c r="P2034" s="330"/>
      <c r="S2034" s="289"/>
      <c r="T2034" s="289"/>
      <c r="U2034" s="289"/>
      <c r="V2034" s="289"/>
    </row>
    <row r="2035" spans="1:22" ht="27.6" customHeight="1">
      <c r="A2035" s="379"/>
      <c r="B2035" s="506"/>
      <c r="C2035" s="584"/>
      <c r="D2035" s="475"/>
      <c r="E2035" s="475"/>
      <c r="F2035" s="579"/>
      <c r="G2035" s="386"/>
      <c r="H2035" s="1136"/>
      <c r="I2035" s="1137"/>
      <c r="J2035" s="335"/>
      <c r="K2035" s="374">
        <f t="shared" si="87"/>
        <v>0</v>
      </c>
      <c r="L2035" s="338">
        <f t="shared" si="88"/>
        <v>0</v>
      </c>
      <c r="P2035" s="330"/>
      <c r="S2035" s="289"/>
      <c r="T2035" s="289"/>
      <c r="U2035" s="289"/>
      <c r="V2035" s="289"/>
    </row>
    <row r="2036" spans="1:22" ht="26.4" customHeight="1">
      <c r="A2036" s="379">
        <v>9</v>
      </c>
      <c r="B2036" s="506" t="s">
        <v>229</v>
      </c>
      <c r="C2036" s="584"/>
      <c r="D2036" s="475"/>
      <c r="E2036" s="475"/>
      <c r="F2036" s="579"/>
      <c r="G2036" s="386"/>
      <c r="H2036" s="1136" t="s">
        <v>304</v>
      </c>
      <c r="I2036" s="1137">
        <v>9</v>
      </c>
      <c r="J2036" s="335">
        <v>6124</v>
      </c>
      <c r="K2036" s="374">
        <f t="shared" si="87"/>
        <v>0</v>
      </c>
      <c r="L2036" s="338">
        <f t="shared" si="88"/>
        <v>6124</v>
      </c>
      <c r="P2036" s="330"/>
      <c r="S2036" s="289"/>
      <c r="T2036" s="289"/>
      <c r="U2036" s="289"/>
      <c r="V2036" s="289"/>
    </row>
    <row r="2037" spans="1:22" ht="26.4" customHeight="1">
      <c r="A2037" s="379">
        <v>10</v>
      </c>
      <c r="B2037" s="506" t="s">
        <v>1244</v>
      </c>
      <c r="C2037" s="584" t="s">
        <v>2105</v>
      </c>
      <c r="D2037" s="475"/>
      <c r="E2037" s="475"/>
      <c r="F2037" s="579"/>
      <c r="G2037" s="386"/>
      <c r="H2037" s="1136" t="s">
        <v>2669</v>
      </c>
      <c r="I2037" s="1137">
        <v>11</v>
      </c>
      <c r="J2037" s="335">
        <v>14553</v>
      </c>
      <c r="K2037" s="374">
        <f t="shared" si="87"/>
        <v>0</v>
      </c>
      <c r="L2037" s="338">
        <f t="shared" si="88"/>
        <v>14553</v>
      </c>
      <c r="P2037" s="330"/>
      <c r="S2037" s="289"/>
      <c r="T2037" s="289"/>
      <c r="U2037" s="289"/>
      <c r="V2037" s="289"/>
    </row>
    <row r="2038" spans="1:22" ht="26.4" customHeight="1">
      <c r="A2038" s="379"/>
      <c r="B2038" s="506" t="s">
        <v>1244</v>
      </c>
      <c r="C2038" s="584" t="s">
        <v>2106</v>
      </c>
      <c r="D2038" s="475"/>
      <c r="E2038" s="475"/>
      <c r="F2038" s="579"/>
      <c r="G2038" s="386"/>
      <c r="H2038" s="1136" t="s">
        <v>2669</v>
      </c>
      <c r="I2038" s="1137">
        <v>11</v>
      </c>
      <c r="J2038" s="335">
        <v>14553</v>
      </c>
      <c r="K2038" s="374">
        <f t="shared" si="87"/>
        <v>0</v>
      </c>
      <c r="L2038" s="338">
        <f t="shared" si="88"/>
        <v>14553</v>
      </c>
      <c r="P2038" s="330"/>
      <c r="S2038" s="289"/>
      <c r="T2038" s="289"/>
      <c r="U2038" s="289"/>
      <c r="V2038" s="289"/>
    </row>
    <row r="2039" spans="1:22" ht="26.4" customHeight="1">
      <c r="B2039" s="332" t="s">
        <v>2113</v>
      </c>
      <c r="C2039" s="363" t="s">
        <v>1250</v>
      </c>
      <c r="D2039" s="335"/>
      <c r="F2039" s="397"/>
      <c r="G2039" s="386"/>
      <c r="H2039" s="1136" t="s">
        <v>2670</v>
      </c>
      <c r="I2039" s="1137">
        <v>10</v>
      </c>
      <c r="J2039" s="335">
        <v>30630</v>
      </c>
      <c r="K2039" s="374">
        <f t="shared" si="87"/>
        <v>0</v>
      </c>
      <c r="L2039" s="338">
        <f t="shared" si="88"/>
        <v>30630</v>
      </c>
      <c r="P2039" s="330"/>
      <c r="S2039" s="289"/>
      <c r="T2039" s="289"/>
      <c r="U2039" s="289"/>
      <c r="V2039" s="289"/>
    </row>
    <row r="2040" spans="1:22" ht="26.4" customHeight="1">
      <c r="B2040" s="332" t="s">
        <v>1244</v>
      </c>
      <c r="C2040" s="363" t="s">
        <v>1285</v>
      </c>
      <c r="D2040" s="335"/>
      <c r="F2040" s="397"/>
      <c r="G2040" s="386"/>
      <c r="H2040" s="1136" t="s">
        <v>2671</v>
      </c>
      <c r="I2040" s="1137">
        <v>8</v>
      </c>
      <c r="J2040" s="335">
        <v>18032</v>
      </c>
      <c r="K2040" s="374">
        <f t="shared" si="87"/>
        <v>0</v>
      </c>
      <c r="L2040" s="338">
        <f t="shared" si="88"/>
        <v>18032</v>
      </c>
      <c r="P2040" s="330"/>
      <c r="S2040" s="289"/>
      <c r="T2040" s="289"/>
      <c r="U2040" s="289"/>
      <c r="V2040" s="289"/>
    </row>
    <row r="2041" spans="1:22" ht="26.4" customHeight="1">
      <c r="B2041" s="332" t="s">
        <v>1244</v>
      </c>
      <c r="C2041" s="363" t="s">
        <v>1245</v>
      </c>
      <c r="D2041" s="335"/>
      <c r="F2041" s="397"/>
      <c r="G2041" s="386"/>
      <c r="H2041" s="1136" t="s">
        <v>3351</v>
      </c>
      <c r="I2041" s="1137">
        <v>21</v>
      </c>
      <c r="J2041" s="335">
        <v>94668</v>
      </c>
      <c r="K2041" s="374">
        <f t="shared" si="87"/>
        <v>0</v>
      </c>
      <c r="L2041" s="338">
        <f t="shared" si="88"/>
        <v>94668</v>
      </c>
      <c r="P2041" s="330"/>
      <c r="S2041" s="289"/>
      <c r="T2041" s="289"/>
      <c r="U2041" s="289"/>
      <c r="V2041" s="289"/>
    </row>
    <row r="2042" spans="1:22" ht="26.4" customHeight="1">
      <c r="A2042" s="331">
        <v>12</v>
      </c>
      <c r="B2042" s="332" t="s">
        <v>2109</v>
      </c>
      <c r="C2042" s="363" t="s">
        <v>1248</v>
      </c>
      <c r="D2042" s="335"/>
      <c r="F2042" s="397"/>
      <c r="G2042" s="386"/>
      <c r="H2042" s="1136" t="s">
        <v>3663</v>
      </c>
      <c r="I2042" s="1137">
        <v>12.309669522643819</v>
      </c>
      <c r="J2042" s="335">
        <v>10057</v>
      </c>
      <c r="K2042" s="374">
        <f t="shared" si="87"/>
        <v>0</v>
      </c>
      <c r="L2042" s="338">
        <f t="shared" si="88"/>
        <v>10057</v>
      </c>
      <c r="P2042" s="330"/>
      <c r="S2042" s="289"/>
      <c r="T2042" s="289"/>
      <c r="U2042" s="289"/>
      <c r="V2042" s="289"/>
    </row>
    <row r="2043" spans="1:22" ht="26.4" customHeight="1">
      <c r="B2043" s="332"/>
      <c r="C2043" s="363"/>
      <c r="D2043" s="335"/>
      <c r="F2043" s="397"/>
      <c r="G2043" s="386"/>
      <c r="H2043" s="1136"/>
      <c r="I2043" s="1137"/>
      <c r="J2043" s="335"/>
      <c r="K2043" s="374">
        <f t="shared" ref="K2043:K2106" si="89">G2043*11.54/100</f>
        <v>0</v>
      </c>
      <c r="L2043" s="338">
        <f t="shared" si="88"/>
        <v>0</v>
      </c>
      <c r="P2043" s="330"/>
      <c r="S2043" s="289"/>
      <c r="T2043" s="289"/>
      <c r="U2043" s="289"/>
      <c r="V2043" s="289"/>
    </row>
    <row r="2044" spans="1:22" ht="26.4" customHeight="1">
      <c r="B2044" s="332" t="s">
        <v>2735</v>
      </c>
      <c r="C2044" s="363"/>
      <c r="D2044" s="335"/>
      <c r="F2044" s="397"/>
      <c r="G2044" s="386"/>
      <c r="H2044" s="1136"/>
      <c r="I2044" s="1137"/>
      <c r="J2044" s="335"/>
      <c r="K2044" s="374">
        <f t="shared" si="89"/>
        <v>0</v>
      </c>
      <c r="L2044" s="338">
        <f t="shared" si="88"/>
        <v>0</v>
      </c>
      <c r="P2044" s="330"/>
      <c r="S2044" s="289"/>
      <c r="T2044" s="289"/>
      <c r="U2044" s="289"/>
      <c r="V2044" s="289"/>
    </row>
    <row r="2045" spans="1:22" ht="26.4" customHeight="1">
      <c r="A2045" s="331">
        <v>1</v>
      </c>
      <c r="B2045" s="332" t="s">
        <v>605</v>
      </c>
      <c r="C2045" s="363" t="s">
        <v>779</v>
      </c>
      <c r="D2045" s="335"/>
      <c r="F2045" s="397"/>
      <c r="G2045" s="386"/>
      <c r="H2045" s="1136" t="s">
        <v>780</v>
      </c>
      <c r="I2045" s="1137">
        <v>16</v>
      </c>
      <c r="J2045" s="335">
        <v>32200</v>
      </c>
      <c r="K2045" s="374">
        <f t="shared" si="89"/>
        <v>0</v>
      </c>
      <c r="L2045" s="338">
        <f t="shared" si="88"/>
        <v>32200</v>
      </c>
      <c r="P2045" s="330"/>
      <c r="S2045" s="289"/>
      <c r="T2045" s="289"/>
      <c r="U2045" s="289"/>
      <c r="V2045" s="289"/>
    </row>
    <row r="2046" spans="1:22" ht="26.4" customHeight="1">
      <c r="B2046" s="332" t="s">
        <v>3137</v>
      </c>
      <c r="C2046" s="363"/>
      <c r="D2046" s="335"/>
      <c r="F2046" s="397"/>
      <c r="G2046" s="386"/>
      <c r="H2046" s="1136"/>
      <c r="I2046" s="1137"/>
      <c r="J2046" s="335"/>
      <c r="K2046" s="374">
        <f t="shared" si="89"/>
        <v>0</v>
      </c>
      <c r="L2046" s="338">
        <f t="shared" si="88"/>
        <v>0</v>
      </c>
      <c r="P2046" s="330"/>
      <c r="S2046" s="289"/>
      <c r="T2046" s="289"/>
      <c r="U2046" s="289"/>
      <c r="V2046" s="289"/>
    </row>
    <row r="2047" spans="1:22" ht="26.4" customHeight="1">
      <c r="A2047" s="331">
        <v>2</v>
      </c>
      <c r="B2047" s="332" t="s">
        <v>862</v>
      </c>
      <c r="C2047" s="363"/>
      <c r="D2047" s="335"/>
      <c r="F2047" s="397"/>
      <c r="G2047" s="386"/>
      <c r="H2047" s="1136" t="s">
        <v>998</v>
      </c>
      <c r="I2047" s="1137">
        <v>18</v>
      </c>
      <c r="J2047" s="335">
        <v>59500</v>
      </c>
      <c r="K2047" s="374">
        <f t="shared" si="89"/>
        <v>0</v>
      </c>
      <c r="L2047" s="338">
        <f t="shared" si="88"/>
        <v>59500</v>
      </c>
      <c r="P2047" s="330"/>
      <c r="S2047" s="289"/>
      <c r="T2047" s="289"/>
      <c r="U2047" s="289"/>
      <c r="V2047" s="289"/>
    </row>
    <row r="2048" spans="1:22" ht="26.4" customHeight="1">
      <c r="B2048" s="332" t="s">
        <v>3662</v>
      </c>
      <c r="C2048" s="363"/>
      <c r="D2048" s="335"/>
      <c r="F2048" s="397"/>
      <c r="G2048" s="386"/>
      <c r="H2048" s="1136"/>
      <c r="I2048" s="1137"/>
      <c r="J2048" s="335"/>
      <c r="K2048" s="374">
        <f t="shared" si="89"/>
        <v>0</v>
      </c>
      <c r="L2048" s="338">
        <f t="shared" si="88"/>
        <v>0</v>
      </c>
      <c r="P2048" s="330"/>
      <c r="S2048" s="289"/>
      <c r="T2048" s="289"/>
      <c r="U2048" s="289"/>
      <c r="V2048" s="289"/>
    </row>
    <row r="2049" spans="1:22" ht="26.4" customHeight="1">
      <c r="A2049" s="331">
        <v>1</v>
      </c>
      <c r="B2049" s="332" t="s">
        <v>2688</v>
      </c>
      <c r="C2049" s="363" t="s">
        <v>782</v>
      </c>
      <c r="D2049" s="335"/>
      <c r="F2049" s="397"/>
      <c r="G2049" s="386"/>
      <c r="H2049" s="1136" t="s">
        <v>608</v>
      </c>
      <c r="I2049" s="1137">
        <v>8</v>
      </c>
      <c r="J2049" s="335">
        <v>39933.51</v>
      </c>
      <c r="K2049" s="374">
        <f t="shared" si="89"/>
        <v>0</v>
      </c>
      <c r="L2049" s="338">
        <f t="shared" si="88"/>
        <v>39933.51</v>
      </c>
      <c r="P2049" s="330"/>
      <c r="S2049" s="289"/>
      <c r="T2049" s="289"/>
      <c r="U2049" s="289"/>
      <c r="V2049" s="289"/>
    </row>
    <row r="2050" spans="1:22" ht="26.4" customHeight="1">
      <c r="B2050" s="332" t="s">
        <v>3060</v>
      </c>
      <c r="C2050" s="363"/>
      <c r="D2050" s="335"/>
      <c r="F2050" s="397"/>
      <c r="G2050" s="386"/>
      <c r="H2050" s="1136"/>
      <c r="I2050" s="1137"/>
      <c r="J2050" s="335"/>
      <c r="K2050" s="374">
        <f t="shared" si="89"/>
        <v>0</v>
      </c>
      <c r="L2050" s="338">
        <f t="shared" si="88"/>
        <v>0</v>
      </c>
      <c r="P2050" s="330"/>
      <c r="S2050" s="289"/>
      <c r="T2050" s="289"/>
      <c r="U2050" s="289"/>
      <c r="V2050" s="289"/>
    </row>
    <row r="2051" spans="1:22" ht="26.4" customHeight="1">
      <c r="B2051" s="332" t="s">
        <v>3061</v>
      </c>
      <c r="C2051" s="363"/>
      <c r="D2051" s="335"/>
      <c r="F2051" s="397"/>
      <c r="G2051" s="386"/>
      <c r="H2051" s="1136"/>
      <c r="I2051" s="1137"/>
      <c r="J2051" s="335"/>
      <c r="K2051" s="374">
        <f t="shared" si="89"/>
        <v>0</v>
      </c>
      <c r="L2051" s="338">
        <f t="shared" si="88"/>
        <v>0</v>
      </c>
      <c r="P2051" s="330"/>
      <c r="S2051" s="289"/>
      <c r="T2051" s="289"/>
      <c r="U2051" s="289"/>
      <c r="V2051" s="289"/>
    </row>
    <row r="2052" spans="1:22" ht="26.4" customHeight="1">
      <c r="B2052" s="332"/>
      <c r="C2052" s="363"/>
      <c r="D2052" s="335"/>
      <c r="F2052" s="397"/>
      <c r="G2052" s="386"/>
      <c r="H2052" s="1136"/>
      <c r="I2052" s="1137"/>
      <c r="J2052" s="335"/>
      <c r="K2052" s="374">
        <f t="shared" si="89"/>
        <v>0</v>
      </c>
      <c r="L2052" s="338">
        <f t="shared" si="88"/>
        <v>0</v>
      </c>
      <c r="P2052" s="330"/>
      <c r="S2052" s="289"/>
      <c r="T2052" s="289"/>
      <c r="U2052" s="289"/>
      <c r="V2052" s="289"/>
    </row>
    <row r="2053" spans="1:22" ht="27.6" customHeight="1">
      <c r="A2053" s="379"/>
      <c r="B2053" s="506" t="s">
        <v>2256</v>
      </c>
      <c r="C2053" s="584"/>
      <c r="D2053" s="475"/>
      <c r="E2053" s="475"/>
      <c r="F2053" s="579"/>
      <c r="G2053" s="386"/>
      <c r="H2053" s="1136"/>
      <c r="I2053" s="1137"/>
      <c r="J2053" s="335"/>
      <c r="K2053" s="374">
        <f t="shared" si="89"/>
        <v>0</v>
      </c>
      <c r="L2053" s="338">
        <f t="shared" si="88"/>
        <v>0</v>
      </c>
      <c r="P2053" s="330"/>
      <c r="S2053" s="289"/>
      <c r="T2053" s="289"/>
      <c r="U2053" s="289"/>
      <c r="V2053" s="289"/>
    </row>
    <row r="2054" spans="1:22" ht="27.75" customHeight="1" thickBot="1">
      <c r="A2054" s="379">
        <v>1</v>
      </c>
      <c r="B2054" s="506" t="s">
        <v>607</v>
      </c>
      <c r="C2054" s="584" t="s">
        <v>2269</v>
      </c>
      <c r="D2054" s="475"/>
      <c r="E2054" s="475"/>
      <c r="F2054" s="579"/>
      <c r="G2054" s="386"/>
      <c r="H2054" s="1138" t="s">
        <v>2668</v>
      </c>
      <c r="I2054" s="1139">
        <v>9</v>
      </c>
      <c r="J2054" s="475">
        <v>10977</v>
      </c>
      <c r="K2054" s="374">
        <f t="shared" si="89"/>
        <v>0</v>
      </c>
      <c r="L2054" s="338">
        <f t="shared" si="88"/>
        <v>10977</v>
      </c>
      <c r="P2054" s="330"/>
      <c r="S2054" s="289"/>
      <c r="T2054" s="289"/>
      <c r="U2054" s="289"/>
      <c r="V2054" s="289"/>
    </row>
    <row r="2055" spans="1:22" s="756" customFormat="1" ht="27.75" customHeight="1" thickTop="1" thickBot="1">
      <c r="A2055" s="450"/>
      <c r="B2055" s="550"/>
      <c r="C2055" s="473"/>
      <c r="D2055" s="1365"/>
      <c r="E2055" s="453"/>
      <c r="F2055" s="450"/>
      <c r="G2055" s="522"/>
      <c r="H2055" s="444"/>
      <c r="I2055" s="458"/>
      <c r="J2055" s="446"/>
      <c r="K2055" s="374">
        <f t="shared" si="89"/>
        <v>0</v>
      </c>
      <c r="L2055" s="338">
        <f t="shared" si="88"/>
        <v>0</v>
      </c>
      <c r="M2055" s="551"/>
      <c r="N2055" s="452">
        <f>SUM(G1948:G2054)</f>
        <v>262790</v>
      </c>
      <c r="O2055" s="452">
        <f>SUM(J1948:J2054)</f>
        <v>682440.51</v>
      </c>
      <c r="P2055" s="452">
        <f>+N2055+O2055</f>
        <v>945230.51</v>
      </c>
      <c r="Q2055" s="481">
        <f>SUM(D1948:D2054)</f>
        <v>27387</v>
      </c>
      <c r="R2055" s="1140" t="s">
        <v>50</v>
      </c>
      <c r="S2055" s="483">
        <v>1422439</v>
      </c>
      <c r="T2055" s="452"/>
      <c r="U2055" s="452"/>
      <c r="V2055" s="452"/>
    </row>
    <row r="2056" spans="1:22" s="700" customFormat="1" ht="27.75" customHeight="1" thickTop="1">
      <c r="A2056" s="331"/>
      <c r="B2056" s="363" t="s">
        <v>822</v>
      </c>
      <c r="C2056" s="377"/>
      <c r="D2056" s="1365"/>
      <c r="E2056" s="335"/>
      <c r="F2056" s="331"/>
      <c r="G2056" s="336"/>
      <c r="H2056" s="332"/>
      <c r="I2056" s="397"/>
      <c r="J2056" s="338"/>
      <c r="K2056" s="374">
        <f t="shared" si="89"/>
        <v>0</v>
      </c>
      <c r="L2056" s="338">
        <f t="shared" ref="L2056:L2090" si="90">+J2056</f>
        <v>0</v>
      </c>
      <c r="M2056" s="330"/>
      <c r="N2056" s="288"/>
      <c r="O2056" s="288"/>
      <c r="P2056" s="288"/>
      <c r="Q2056" s="288"/>
      <c r="S2056" s="291"/>
      <c r="T2056" s="291"/>
      <c r="U2056" s="291"/>
      <c r="V2056" s="291"/>
    </row>
    <row r="2057" spans="1:22" s="700" customFormat="1" ht="27.75" customHeight="1">
      <c r="A2057" s="331">
        <v>1</v>
      </c>
      <c r="B2057" s="1130" t="s">
        <v>2305</v>
      </c>
      <c r="C2057" s="1135" t="s">
        <v>1249</v>
      </c>
      <c r="D2057" s="1365"/>
      <c r="E2057" s="475" t="s">
        <v>3416</v>
      </c>
      <c r="F2057" s="1133">
        <v>1</v>
      </c>
      <c r="G2057" s="367">
        <v>2298</v>
      </c>
      <c r="H2057" s="332"/>
      <c r="I2057" s="397"/>
      <c r="J2057" s="338"/>
      <c r="K2057" s="374">
        <f t="shared" si="89"/>
        <v>265.18919999999997</v>
      </c>
      <c r="L2057" s="338">
        <f t="shared" si="90"/>
        <v>0</v>
      </c>
      <c r="M2057" s="330"/>
      <c r="N2057" s="288"/>
      <c r="O2057" s="288"/>
      <c r="P2057" s="288"/>
      <c r="Q2057" s="288"/>
      <c r="S2057" s="291"/>
      <c r="T2057" s="291"/>
      <c r="U2057" s="291"/>
      <c r="V2057" s="291"/>
    </row>
    <row r="2058" spans="1:22" s="700" customFormat="1" ht="27.75" customHeight="1">
      <c r="A2058" s="331">
        <v>2</v>
      </c>
      <c r="B2058" s="1130" t="s">
        <v>3521</v>
      </c>
      <c r="C2058" s="1135" t="s">
        <v>3522</v>
      </c>
      <c r="D2058" s="1366"/>
      <c r="E2058" s="475" t="s">
        <v>3416</v>
      </c>
      <c r="F2058" s="1133">
        <v>1</v>
      </c>
      <c r="G2058" s="367">
        <v>4594</v>
      </c>
      <c r="H2058" s="332"/>
      <c r="I2058" s="397"/>
      <c r="J2058" s="338"/>
      <c r="K2058" s="374">
        <f t="shared" si="89"/>
        <v>530.1475999999999</v>
      </c>
      <c r="L2058" s="338">
        <f t="shared" si="90"/>
        <v>0</v>
      </c>
      <c r="M2058" s="330"/>
      <c r="N2058" s="288"/>
      <c r="O2058" s="288"/>
      <c r="P2058" s="288"/>
      <c r="Q2058" s="288"/>
      <c r="S2058" s="291"/>
      <c r="T2058" s="291"/>
      <c r="U2058" s="291"/>
      <c r="V2058" s="291"/>
    </row>
    <row r="2059" spans="1:22" s="700" customFormat="1" ht="27.75" customHeight="1">
      <c r="A2059" s="331">
        <v>3</v>
      </c>
      <c r="B2059" s="1130" t="s">
        <v>2112</v>
      </c>
      <c r="C2059" s="1135" t="s">
        <v>1500</v>
      </c>
      <c r="D2059" s="1367"/>
      <c r="E2059" s="475" t="s">
        <v>3509</v>
      </c>
      <c r="F2059" s="1141">
        <v>4.9991296779808527</v>
      </c>
      <c r="G2059" s="367">
        <v>11488</v>
      </c>
      <c r="H2059" s="332"/>
      <c r="I2059" s="397"/>
      <c r="J2059" s="338"/>
      <c r="K2059" s="374">
        <f t="shared" si="89"/>
        <v>1325.7151999999999</v>
      </c>
      <c r="L2059" s="338">
        <f t="shared" si="90"/>
        <v>0</v>
      </c>
      <c r="M2059" s="330"/>
      <c r="N2059" s="288"/>
      <c r="O2059" s="288"/>
      <c r="P2059" s="288"/>
      <c r="Q2059" s="288"/>
      <c r="S2059" s="291"/>
      <c r="T2059" s="291"/>
      <c r="U2059" s="291"/>
      <c r="V2059" s="291"/>
    </row>
    <row r="2060" spans="1:22" s="700" customFormat="1" ht="27.75" customHeight="1">
      <c r="A2060" s="331">
        <v>4</v>
      </c>
      <c r="B2060" s="1130" t="s">
        <v>2112</v>
      </c>
      <c r="C2060" s="1135" t="s">
        <v>1501</v>
      </c>
      <c r="D2060" s="1367"/>
      <c r="E2060" s="475" t="s">
        <v>3509</v>
      </c>
      <c r="F2060" s="1141">
        <v>5.0006529546196541</v>
      </c>
      <c r="G2060" s="367">
        <v>15317</v>
      </c>
      <c r="H2060" s="332"/>
      <c r="I2060" s="397"/>
      <c r="J2060" s="338"/>
      <c r="K2060" s="374">
        <f t="shared" si="89"/>
        <v>1767.5817999999999</v>
      </c>
      <c r="L2060" s="338">
        <f t="shared" si="90"/>
        <v>0</v>
      </c>
      <c r="M2060" s="330"/>
      <c r="N2060" s="288"/>
      <c r="O2060" s="288"/>
      <c r="P2060" s="288"/>
      <c r="Q2060" s="288"/>
      <c r="S2060" s="291"/>
      <c r="T2060" s="291"/>
      <c r="U2060" s="291"/>
      <c r="V2060" s="291"/>
    </row>
    <row r="2061" spans="1:22" s="700" customFormat="1" ht="27.75" customHeight="1">
      <c r="A2061" s="331">
        <v>5</v>
      </c>
      <c r="B2061" s="1130" t="s">
        <v>3523</v>
      </c>
      <c r="C2061" s="1135" t="s">
        <v>1287</v>
      </c>
      <c r="D2061" s="1367"/>
      <c r="E2061" s="475" t="s">
        <v>3416</v>
      </c>
      <c r="F2061" s="1141">
        <v>1</v>
      </c>
      <c r="G2061" s="367">
        <v>4500</v>
      </c>
      <c r="H2061" s="332"/>
      <c r="I2061" s="397"/>
      <c r="J2061" s="338"/>
      <c r="K2061" s="374">
        <f t="shared" si="89"/>
        <v>519.29999999999995</v>
      </c>
      <c r="L2061" s="338">
        <f t="shared" si="90"/>
        <v>0</v>
      </c>
      <c r="M2061" s="330"/>
      <c r="N2061" s="288"/>
      <c r="O2061" s="288"/>
      <c r="P2061" s="288"/>
      <c r="Q2061" s="288"/>
      <c r="S2061" s="291"/>
      <c r="T2061" s="291"/>
      <c r="U2061" s="291"/>
      <c r="V2061" s="291"/>
    </row>
    <row r="2062" spans="1:22" s="700" customFormat="1" ht="27.75" customHeight="1">
      <c r="A2062" s="331">
        <v>6</v>
      </c>
      <c r="B2062" s="1130" t="s">
        <v>3524</v>
      </c>
      <c r="C2062" s="1135" t="s">
        <v>3525</v>
      </c>
      <c r="D2062" s="1367">
        <v>2000</v>
      </c>
      <c r="E2062" s="475"/>
      <c r="F2062" s="1141"/>
      <c r="G2062" s="367"/>
      <c r="H2062" s="332"/>
      <c r="I2062" s="397"/>
      <c r="J2062" s="338"/>
      <c r="K2062" s="374">
        <f t="shared" si="89"/>
        <v>0</v>
      </c>
      <c r="L2062" s="338">
        <f t="shared" si="90"/>
        <v>0</v>
      </c>
      <c r="M2062" s="330"/>
      <c r="N2062" s="288"/>
      <c r="O2062" s="288"/>
      <c r="P2062" s="288"/>
      <c r="Q2062" s="288"/>
      <c r="S2062" s="291"/>
      <c r="T2062" s="291"/>
      <c r="U2062" s="291"/>
      <c r="V2062" s="291"/>
    </row>
    <row r="2063" spans="1:22" s="700" customFormat="1" ht="27.75" customHeight="1">
      <c r="A2063" s="331">
        <v>7</v>
      </c>
      <c r="B2063" s="1130" t="s">
        <v>1441</v>
      </c>
      <c r="C2063" s="1135" t="s">
        <v>1442</v>
      </c>
      <c r="D2063" s="1367"/>
      <c r="E2063" s="475" t="s">
        <v>3441</v>
      </c>
      <c r="F2063" s="1133">
        <v>3</v>
      </c>
      <c r="G2063" s="367">
        <v>4377</v>
      </c>
      <c r="H2063" s="332"/>
      <c r="I2063" s="397"/>
      <c r="J2063" s="338"/>
      <c r="K2063" s="374">
        <f t="shared" si="89"/>
        <v>505.10579999999993</v>
      </c>
      <c r="L2063" s="338">
        <f t="shared" si="90"/>
        <v>0</v>
      </c>
      <c r="M2063" s="330"/>
      <c r="N2063" s="288"/>
      <c r="O2063" s="288"/>
      <c r="P2063" s="288"/>
      <c r="Q2063" s="288"/>
      <c r="S2063" s="291"/>
      <c r="T2063" s="291"/>
      <c r="U2063" s="291"/>
      <c r="V2063" s="291"/>
    </row>
    <row r="2064" spans="1:22" s="700" customFormat="1" ht="27.75" customHeight="1">
      <c r="A2064" s="331">
        <v>8</v>
      </c>
      <c r="B2064" s="1130" t="s">
        <v>1288</v>
      </c>
      <c r="C2064" s="1135" t="s">
        <v>1289</v>
      </c>
      <c r="D2064" s="1367"/>
      <c r="E2064" s="475" t="s">
        <v>3441</v>
      </c>
      <c r="F2064" s="1133">
        <v>3</v>
      </c>
      <c r="G2064" s="367">
        <v>4377</v>
      </c>
      <c r="H2064" s="332"/>
      <c r="I2064" s="397"/>
      <c r="J2064" s="338"/>
      <c r="K2064" s="374">
        <f t="shared" si="89"/>
        <v>505.10579999999993</v>
      </c>
      <c r="L2064" s="338">
        <f t="shared" si="90"/>
        <v>0</v>
      </c>
      <c r="M2064" s="330"/>
      <c r="N2064" s="288"/>
      <c r="O2064" s="288"/>
      <c r="P2064" s="288"/>
      <c r="Q2064" s="288"/>
      <c r="S2064" s="291"/>
      <c r="T2064" s="291"/>
      <c r="U2064" s="291"/>
      <c r="V2064" s="291"/>
    </row>
    <row r="2065" spans="1:22" s="700" customFormat="1" ht="27.75" customHeight="1">
      <c r="A2065" s="331">
        <v>9</v>
      </c>
      <c r="B2065" s="1130" t="s">
        <v>1443</v>
      </c>
      <c r="C2065" s="1135" t="s">
        <v>1444</v>
      </c>
      <c r="D2065" s="1367"/>
      <c r="E2065" s="475" t="s">
        <v>3437</v>
      </c>
      <c r="F2065" s="1133">
        <v>2</v>
      </c>
      <c r="G2065" s="367">
        <v>2918</v>
      </c>
      <c r="H2065" s="332"/>
      <c r="I2065" s="397"/>
      <c r="J2065" s="338"/>
      <c r="K2065" s="374">
        <f t="shared" si="89"/>
        <v>336.73719999999992</v>
      </c>
      <c r="L2065" s="338">
        <f t="shared" si="90"/>
        <v>0</v>
      </c>
      <c r="M2065" s="330"/>
      <c r="N2065" s="288"/>
      <c r="O2065" s="288"/>
      <c r="P2065" s="288"/>
      <c r="Q2065" s="288"/>
      <c r="S2065" s="291"/>
      <c r="T2065" s="291"/>
      <c r="U2065" s="291"/>
      <c r="V2065" s="291"/>
    </row>
    <row r="2066" spans="1:22" s="700" customFormat="1" ht="27.75" customHeight="1">
      <c r="A2066" s="331">
        <v>10</v>
      </c>
      <c r="B2066" s="1130" t="s">
        <v>1502</v>
      </c>
      <c r="C2066" s="1135" t="s">
        <v>1503</v>
      </c>
      <c r="D2066" s="1367"/>
      <c r="E2066" s="475" t="s">
        <v>3441</v>
      </c>
      <c r="F2066" s="1133">
        <v>3</v>
      </c>
      <c r="G2066" s="367">
        <v>4377</v>
      </c>
      <c r="H2066" s="332"/>
      <c r="I2066" s="397"/>
      <c r="J2066" s="338"/>
      <c r="K2066" s="374">
        <f t="shared" si="89"/>
        <v>505.10579999999993</v>
      </c>
      <c r="L2066" s="338">
        <f t="shared" si="90"/>
        <v>0</v>
      </c>
      <c r="M2066" s="330"/>
      <c r="N2066" s="288"/>
      <c r="O2066" s="288"/>
      <c r="P2066" s="288"/>
      <c r="Q2066" s="288"/>
      <c r="S2066" s="291"/>
      <c r="T2066" s="291"/>
      <c r="U2066" s="291"/>
      <c r="V2066" s="291"/>
    </row>
    <row r="2067" spans="1:22" s="700" customFormat="1" ht="27.75" customHeight="1">
      <c r="A2067" s="331">
        <v>11</v>
      </c>
      <c r="B2067" s="1130" t="s">
        <v>3526</v>
      </c>
      <c r="C2067" s="1135" t="s">
        <v>3527</v>
      </c>
      <c r="D2067" s="1482"/>
      <c r="E2067" s="475" t="s">
        <v>3416</v>
      </c>
      <c r="F2067" s="1133">
        <v>1</v>
      </c>
      <c r="G2067" s="367">
        <v>1459</v>
      </c>
      <c r="H2067" s="332"/>
      <c r="I2067" s="397"/>
      <c r="J2067" s="338"/>
      <c r="K2067" s="374">
        <f t="shared" si="89"/>
        <v>168.36859999999996</v>
      </c>
      <c r="L2067" s="338">
        <f t="shared" si="90"/>
        <v>0</v>
      </c>
      <c r="M2067" s="330"/>
      <c r="N2067" s="288"/>
      <c r="O2067" s="288"/>
      <c r="P2067" s="288"/>
      <c r="Q2067" s="288"/>
      <c r="S2067" s="291"/>
      <c r="T2067" s="291"/>
      <c r="U2067" s="291"/>
      <c r="V2067" s="291"/>
    </row>
    <row r="2068" spans="1:22" s="700" customFormat="1" ht="27.75" customHeight="1">
      <c r="A2068" s="331">
        <v>12</v>
      </c>
      <c r="B2068" s="1130" t="s">
        <v>3205</v>
      </c>
      <c r="C2068" s="1135" t="s">
        <v>1504</v>
      </c>
      <c r="D2068" s="1482"/>
      <c r="E2068" s="475" t="s">
        <v>3437</v>
      </c>
      <c r="F2068" s="1133">
        <v>2</v>
      </c>
      <c r="G2068" s="367">
        <v>2918</v>
      </c>
      <c r="H2068" s="332"/>
      <c r="I2068" s="397"/>
      <c r="J2068" s="338"/>
      <c r="K2068" s="374">
        <f t="shared" si="89"/>
        <v>336.73719999999992</v>
      </c>
      <c r="L2068" s="338">
        <f t="shared" si="90"/>
        <v>0</v>
      </c>
      <c r="M2068" s="330"/>
      <c r="N2068" s="288"/>
      <c r="O2068" s="288"/>
      <c r="P2068" s="288"/>
      <c r="Q2068" s="288"/>
      <c r="S2068" s="291"/>
      <c r="T2068" s="291"/>
      <c r="U2068" s="291"/>
      <c r="V2068" s="291"/>
    </row>
    <row r="2069" spans="1:22" s="700" customFormat="1" ht="27.75" customHeight="1">
      <c r="A2069" s="331">
        <v>13</v>
      </c>
      <c r="B2069" s="1135" t="s">
        <v>574</v>
      </c>
      <c r="C2069" s="1135" t="s">
        <v>767</v>
      </c>
      <c r="D2069" s="1367"/>
      <c r="E2069" s="475" t="s">
        <v>3437</v>
      </c>
      <c r="F2069" s="1133">
        <v>2</v>
      </c>
      <c r="G2069" s="367">
        <v>2918</v>
      </c>
      <c r="H2069" s="332"/>
      <c r="I2069" s="397"/>
      <c r="J2069" s="338"/>
      <c r="K2069" s="374">
        <f t="shared" si="89"/>
        <v>336.73719999999992</v>
      </c>
      <c r="L2069" s="338">
        <f t="shared" si="90"/>
        <v>0</v>
      </c>
      <c r="M2069" s="330"/>
      <c r="N2069" s="288"/>
      <c r="O2069" s="288"/>
      <c r="P2069" s="288"/>
      <c r="Q2069" s="288"/>
      <c r="S2069" s="291"/>
      <c r="T2069" s="291"/>
      <c r="U2069" s="291"/>
      <c r="V2069" s="291"/>
    </row>
    <row r="2070" spans="1:22" s="700" customFormat="1" ht="27.75" customHeight="1">
      <c r="A2070" s="331">
        <v>14</v>
      </c>
      <c r="B2070" s="1130" t="s">
        <v>3359</v>
      </c>
      <c r="C2070" s="1135" t="s">
        <v>1290</v>
      </c>
      <c r="D2070" s="1368"/>
      <c r="E2070" s="475" t="s">
        <v>3441</v>
      </c>
      <c r="F2070" s="1133">
        <v>3</v>
      </c>
      <c r="G2070" s="367">
        <v>4377</v>
      </c>
      <c r="H2070" s="332"/>
      <c r="I2070" s="397"/>
      <c r="J2070" s="338"/>
      <c r="K2070" s="374">
        <f t="shared" si="89"/>
        <v>505.10579999999993</v>
      </c>
      <c r="L2070" s="338">
        <f t="shared" si="90"/>
        <v>0</v>
      </c>
      <c r="M2070" s="330"/>
      <c r="N2070" s="288"/>
      <c r="O2070" s="288"/>
      <c r="P2070" s="288"/>
      <c r="Q2070" s="288"/>
      <c r="S2070" s="291"/>
      <c r="T2070" s="291"/>
      <c r="U2070" s="291"/>
      <c r="V2070" s="291"/>
    </row>
    <row r="2071" spans="1:22" s="700" customFormat="1" ht="27.75" customHeight="1">
      <c r="A2071" s="331">
        <v>15</v>
      </c>
      <c r="B2071" s="1130" t="s">
        <v>2115</v>
      </c>
      <c r="C2071" s="1135" t="s">
        <v>768</v>
      </c>
      <c r="D2071" s="1368"/>
      <c r="E2071" s="475" t="s">
        <v>3416</v>
      </c>
      <c r="F2071" s="1133">
        <v>1</v>
      </c>
      <c r="G2071" s="367">
        <v>1459</v>
      </c>
      <c r="H2071" s="332"/>
      <c r="I2071" s="397"/>
      <c r="J2071" s="338"/>
      <c r="K2071" s="374">
        <f t="shared" si="89"/>
        <v>168.36859999999996</v>
      </c>
      <c r="L2071" s="338">
        <f t="shared" si="90"/>
        <v>0</v>
      </c>
      <c r="M2071" s="330"/>
      <c r="N2071" s="288"/>
      <c r="O2071" s="288"/>
      <c r="P2071" s="288"/>
      <c r="Q2071" s="288"/>
      <c r="S2071" s="291"/>
      <c r="T2071" s="291"/>
      <c r="U2071" s="291"/>
      <c r="V2071" s="291"/>
    </row>
    <row r="2072" spans="1:22" s="700" customFormat="1" ht="27.75" customHeight="1">
      <c r="A2072" s="331">
        <v>16</v>
      </c>
      <c r="B2072" s="1130" t="s">
        <v>3528</v>
      </c>
      <c r="C2072" s="1135" t="s">
        <v>1251</v>
      </c>
      <c r="D2072" s="1368"/>
      <c r="E2072" s="475" t="s">
        <v>3416</v>
      </c>
      <c r="F2072" s="1133">
        <v>1</v>
      </c>
      <c r="G2072" s="367">
        <v>4377</v>
      </c>
      <c r="H2072" s="332"/>
      <c r="I2072" s="397"/>
      <c r="J2072" s="338"/>
      <c r="K2072" s="374">
        <f t="shared" si="89"/>
        <v>505.10579999999993</v>
      </c>
      <c r="L2072" s="338">
        <f t="shared" si="90"/>
        <v>0</v>
      </c>
      <c r="M2072" s="330"/>
      <c r="N2072" s="288"/>
      <c r="O2072" s="288"/>
      <c r="P2072" s="288"/>
      <c r="Q2072" s="288"/>
      <c r="S2072" s="291"/>
      <c r="T2072" s="291"/>
      <c r="U2072" s="291"/>
      <c r="V2072" s="291"/>
    </row>
    <row r="2073" spans="1:22" s="700" customFormat="1" ht="27.75" customHeight="1">
      <c r="A2073" s="331">
        <v>17</v>
      </c>
      <c r="B2073" s="1130" t="s">
        <v>1445</v>
      </c>
      <c r="C2073" s="1135" t="s">
        <v>1446</v>
      </c>
      <c r="D2073" s="1365"/>
      <c r="E2073" s="475" t="s">
        <v>3416</v>
      </c>
      <c r="F2073" s="1133">
        <v>1</v>
      </c>
      <c r="G2073" s="367">
        <v>7295</v>
      </c>
      <c r="H2073" s="332"/>
      <c r="I2073" s="397"/>
      <c r="J2073" s="338"/>
      <c r="K2073" s="374">
        <f t="shared" si="89"/>
        <v>841.84299999999985</v>
      </c>
      <c r="L2073" s="338">
        <f t="shared" si="90"/>
        <v>0</v>
      </c>
      <c r="M2073" s="330"/>
      <c r="N2073" s="288"/>
      <c r="O2073" s="288"/>
      <c r="P2073" s="288"/>
      <c r="Q2073" s="288"/>
      <c r="S2073" s="291"/>
      <c r="T2073" s="291"/>
      <c r="U2073" s="291"/>
      <c r="V2073" s="291"/>
    </row>
    <row r="2074" spans="1:22" s="700" customFormat="1" ht="27.75" customHeight="1">
      <c r="A2074" s="331">
        <v>18</v>
      </c>
      <c r="B2074" s="1130" t="s">
        <v>2116</v>
      </c>
      <c r="C2074" s="1135" t="s">
        <v>1447</v>
      </c>
      <c r="D2074" s="1365"/>
      <c r="E2074" s="475" t="s">
        <v>3416</v>
      </c>
      <c r="F2074" s="1133">
        <v>1</v>
      </c>
      <c r="G2074" s="367">
        <v>2918</v>
      </c>
      <c r="H2074" s="332"/>
      <c r="I2074" s="397"/>
      <c r="J2074" s="338"/>
      <c r="K2074" s="374">
        <f t="shared" si="89"/>
        <v>336.73719999999992</v>
      </c>
      <c r="L2074" s="338">
        <f t="shared" si="90"/>
        <v>0</v>
      </c>
      <c r="M2074" s="330"/>
      <c r="N2074" s="288"/>
      <c r="O2074" s="288"/>
      <c r="P2074" s="288"/>
      <c r="Q2074" s="288"/>
      <c r="S2074" s="291"/>
      <c r="T2074" s="291"/>
      <c r="U2074" s="291"/>
      <c r="V2074" s="291"/>
    </row>
    <row r="2075" spans="1:22" s="700" customFormat="1" ht="27.75" customHeight="1">
      <c r="A2075" s="331">
        <v>19</v>
      </c>
      <c r="B2075" s="1130" t="s">
        <v>3529</v>
      </c>
      <c r="C2075" s="1135" t="s">
        <v>1505</v>
      </c>
      <c r="D2075" s="1365"/>
      <c r="E2075" s="475" t="s">
        <v>3416</v>
      </c>
      <c r="F2075" s="1133">
        <v>1</v>
      </c>
      <c r="G2075" s="367">
        <v>1459</v>
      </c>
      <c r="H2075" s="332"/>
      <c r="I2075" s="397"/>
      <c r="J2075" s="338"/>
      <c r="K2075" s="374">
        <f t="shared" si="89"/>
        <v>168.36859999999996</v>
      </c>
      <c r="L2075" s="338">
        <f t="shared" si="90"/>
        <v>0</v>
      </c>
      <c r="M2075" s="330"/>
      <c r="N2075" s="288"/>
      <c r="O2075" s="288"/>
      <c r="P2075" s="288"/>
      <c r="Q2075" s="288"/>
      <c r="S2075" s="291"/>
      <c r="T2075" s="291"/>
      <c r="U2075" s="291"/>
      <c r="V2075" s="291"/>
    </row>
    <row r="2076" spans="1:22" s="700" customFormat="1" ht="27.75" customHeight="1">
      <c r="A2076" s="331">
        <v>20</v>
      </c>
      <c r="B2076" s="1130" t="s">
        <v>3360</v>
      </c>
      <c r="C2076" s="1135" t="s">
        <v>1506</v>
      </c>
      <c r="D2076" s="1365"/>
      <c r="E2076" s="475" t="s">
        <v>3416</v>
      </c>
      <c r="F2076" s="1133">
        <v>1</v>
      </c>
      <c r="G2076" s="367">
        <v>1459</v>
      </c>
      <c r="H2076" s="332"/>
      <c r="I2076" s="397"/>
      <c r="J2076" s="338"/>
      <c r="K2076" s="374">
        <f t="shared" si="89"/>
        <v>168.36859999999996</v>
      </c>
      <c r="L2076" s="338">
        <f t="shared" si="90"/>
        <v>0</v>
      </c>
      <c r="M2076" s="330"/>
      <c r="N2076" s="288"/>
      <c r="O2076" s="288"/>
      <c r="P2076" s="288"/>
      <c r="Q2076" s="288"/>
      <c r="S2076" s="291"/>
      <c r="T2076" s="291"/>
      <c r="U2076" s="291"/>
      <c r="V2076" s="291"/>
    </row>
    <row r="2077" spans="1:22" s="700" customFormat="1" ht="27.75" customHeight="1">
      <c r="A2077" s="331">
        <v>21</v>
      </c>
      <c r="B2077" s="1130" t="s">
        <v>3530</v>
      </c>
      <c r="C2077" s="1135" t="s">
        <v>1252</v>
      </c>
      <c r="D2077" s="1365"/>
      <c r="E2077" s="475" t="s">
        <v>3416</v>
      </c>
      <c r="F2077" s="1133">
        <v>1</v>
      </c>
      <c r="G2077" s="367">
        <v>1459</v>
      </c>
      <c r="H2077" s="332"/>
      <c r="I2077" s="397"/>
      <c r="J2077" s="338"/>
      <c r="K2077" s="374">
        <f t="shared" si="89"/>
        <v>168.36859999999996</v>
      </c>
      <c r="L2077" s="338">
        <f t="shared" si="90"/>
        <v>0</v>
      </c>
      <c r="M2077" s="330"/>
      <c r="N2077" s="288"/>
      <c r="O2077" s="288"/>
      <c r="P2077" s="288"/>
      <c r="Q2077" s="288"/>
      <c r="S2077" s="291"/>
      <c r="T2077" s="291"/>
      <c r="U2077" s="291"/>
      <c r="V2077" s="291"/>
    </row>
    <row r="2078" spans="1:22" s="700" customFormat="1" ht="27.75" customHeight="1">
      <c r="A2078" s="331">
        <v>22</v>
      </c>
      <c r="B2078" s="1130" t="s">
        <v>2117</v>
      </c>
      <c r="C2078" s="1135" t="s">
        <v>3361</v>
      </c>
      <c r="D2078" s="1365"/>
      <c r="E2078" s="475" t="s">
        <v>3416</v>
      </c>
      <c r="F2078" s="1133">
        <v>1</v>
      </c>
      <c r="G2078" s="367">
        <v>1459</v>
      </c>
      <c r="H2078" s="332"/>
      <c r="I2078" s="397"/>
      <c r="J2078" s="338"/>
      <c r="K2078" s="374">
        <f t="shared" si="89"/>
        <v>168.36859999999996</v>
      </c>
      <c r="L2078" s="338">
        <f t="shared" si="90"/>
        <v>0</v>
      </c>
      <c r="M2078" s="330"/>
      <c r="N2078" s="288"/>
      <c r="O2078" s="288"/>
      <c r="P2078" s="288"/>
      <c r="Q2078" s="288"/>
      <c r="S2078" s="291"/>
      <c r="T2078" s="291"/>
      <c r="U2078" s="291"/>
      <c r="V2078" s="291"/>
    </row>
    <row r="2079" spans="1:22" s="700" customFormat="1" ht="27.75" customHeight="1">
      <c r="A2079" s="331">
        <v>23</v>
      </c>
      <c r="B2079" s="1130" t="s">
        <v>3078</v>
      </c>
      <c r="C2079" s="1135" t="s">
        <v>3079</v>
      </c>
      <c r="D2079" s="1365"/>
      <c r="E2079" s="475" t="s">
        <v>3531</v>
      </c>
      <c r="F2079" s="1141">
        <v>6</v>
      </c>
      <c r="G2079" s="367">
        <v>35016</v>
      </c>
      <c r="H2079" s="332"/>
      <c r="I2079" s="397"/>
      <c r="J2079" s="338"/>
      <c r="K2079" s="374">
        <f t="shared" si="89"/>
        <v>4040.8463999999994</v>
      </c>
      <c r="L2079" s="338">
        <f t="shared" si="90"/>
        <v>0</v>
      </c>
      <c r="M2079" s="330"/>
      <c r="N2079" s="288"/>
      <c r="O2079" s="288"/>
      <c r="P2079" s="288"/>
      <c r="Q2079" s="288"/>
      <c r="S2079" s="291"/>
      <c r="T2079" s="291"/>
      <c r="U2079" s="291"/>
      <c r="V2079" s="291"/>
    </row>
    <row r="2080" spans="1:22" s="700" customFormat="1" ht="27.75" customHeight="1">
      <c r="A2080" s="331">
        <v>24</v>
      </c>
      <c r="B2080" s="1130" t="s">
        <v>2797</v>
      </c>
      <c r="C2080" s="1135" t="s">
        <v>3206</v>
      </c>
      <c r="D2080" s="1365"/>
      <c r="E2080" s="475" t="s">
        <v>3437</v>
      </c>
      <c r="F2080" s="1133">
        <v>2</v>
      </c>
      <c r="G2080" s="367">
        <v>2918</v>
      </c>
      <c r="H2080" s="332"/>
      <c r="I2080" s="397"/>
      <c r="J2080" s="338"/>
      <c r="K2080" s="374">
        <f t="shared" si="89"/>
        <v>336.73719999999992</v>
      </c>
      <c r="L2080" s="338">
        <f t="shared" si="90"/>
        <v>0</v>
      </c>
      <c r="M2080" s="330"/>
      <c r="N2080" s="288"/>
      <c r="O2080" s="288"/>
      <c r="P2080" s="288"/>
      <c r="Q2080" s="288"/>
      <c r="S2080" s="291"/>
      <c r="T2080" s="291"/>
      <c r="U2080" s="291"/>
      <c r="V2080" s="291"/>
    </row>
    <row r="2081" spans="1:22" s="700" customFormat="1" ht="27.75" customHeight="1">
      <c r="A2081" s="331">
        <v>25</v>
      </c>
      <c r="B2081" s="1130" t="s">
        <v>3362</v>
      </c>
      <c r="C2081" s="1135" t="s">
        <v>3363</v>
      </c>
      <c r="D2081" s="1369"/>
      <c r="E2081" s="475" t="s">
        <v>3416</v>
      </c>
      <c r="F2081" s="1133">
        <v>1</v>
      </c>
      <c r="G2081" s="367">
        <v>2918</v>
      </c>
      <c r="H2081" s="332"/>
      <c r="I2081" s="397"/>
      <c r="J2081" s="338"/>
      <c r="K2081" s="374">
        <f t="shared" si="89"/>
        <v>336.73719999999992</v>
      </c>
      <c r="L2081" s="338">
        <f t="shared" si="90"/>
        <v>0</v>
      </c>
      <c r="M2081" s="330"/>
      <c r="N2081" s="288"/>
      <c r="O2081" s="288"/>
      <c r="P2081" s="288"/>
      <c r="Q2081" s="288"/>
      <c r="S2081" s="291"/>
      <c r="T2081" s="291"/>
      <c r="U2081" s="291"/>
      <c r="V2081" s="291"/>
    </row>
    <row r="2082" spans="1:22" s="700" customFormat="1" ht="27.75" customHeight="1">
      <c r="A2082" s="331">
        <v>26</v>
      </c>
      <c r="B2082" s="1130" t="s">
        <v>3532</v>
      </c>
      <c r="C2082" s="1135" t="s">
        <v>3533</v>
      </c>
      <c r="D2082" s="1370"/>
      <c r="E2082" s="475" t="s">
        <v>3416</v>
      </c>
      <c r="F2082" s="1133">
        <v>1</v>
      </c>
      <c r="G2082" s="367">
        <v>1459</v>
      </c>
      <c r="H2082" s="332"/>
      <c r="I2082" s="397"/>
      <c r="J2082" s="338"/>
      <c r="K2082" s="374">
        <f t="shared" si="89"/>
        <v>168.36859999999996</v>
      </c>
      <c r="L2082" s="338">
        <f t="shared" si="90"/>
        <v>0</v>
      </c>
      <c r="M2082" s="330"/>
      <c r="N2082" s="288"/>
      <c r="O2082" s="288"/>
      <c r="P2082" s="288"/>
      <c r="Q2082" s="288"/>
      <c r="S2082" s="291"/>
      <c r="T2082" s="291"/>
      <c r="U2082" s="291"/>
      <c r="V2082" s="291"/>
    </row>
    <row r="2083" spans="1:22" s="700" customFormat="1" ht="27.75" customHeight="1">
      <c r="A2083" s="331">
        <v>27</v>
      </c>
      <c r="B2083" s="1130" t="s">
        <v>3288</v>
      </c>
      <c r="C2083" s="1135" t="s">
        <v>1448</v>
      </c>
      <c r="D2083" s="1368"/>
      <c r="E2083" s="475" t="s">
        <v>3416</v>
      </c>
      <c r="F2083" s="1133">
        <v>1</v>
      </c>
      <c r="G2083" s="367">
        <v>1459</v>
      </c>
      <c r="H2083" s="332"/>
      <c r="I2083" s="397"/>
      <c r="J2083" s="338"/>
      <c r="K2083" s="374">
        <f t="shared" si="89"/>
        <v>168.36859999999996</v>
      </c>
      <c r="L2083" s="338">
        <f t="shared" si="90"/>
        <v>0</v>
      </c>
      <c r="M2083" s="330"/>
      <c r="N2083" s="288"/>
      <c r="O2083" s="288"/>
      <c r="P2083" s="288"/>
      <c r="Q2083" s="288"/>
      <c r="S2083" s="291"/>
      <c r="T2083" s="291"/>
      <c r="U2083" s="291"/>
      <c r="V2083" s="291"/>
    </row>
    <row r="2084" spans="1:22" s="700" customFormat="1" ht="27.75" customHeight="1">
      <c r="A2084" s="331">
        <v>28</v>
      </c>
      <c r="B2084" s="1130" t="s">
        <v>3534</v>
      </c>
      <c r="C2084" s="1135" t="s">
        <v>1507</v>
      </c>
      <c r="D2084" s="1368"/>
      <c r="E2084" s="475" t="s">
        <v>3416</v>
      </c>
      <c r="F2084" s="1133">
        <v>1</v>
      </c>
      <c r="G2084" s="367">
        <v>1459</v>
      </c>
      <c r="H2084" s="332"/>
      <c r="I2084" s="397"/>
      <c r="J2084" s="338"/>
      <c r="K2084" s="374">
        <f t="shared" si="89"/>
        <v>168.36859999999996</v>
      </c>
      <c r="L2084" s="338">
        <f t="shared" si="90"/>
        <v>0</v>
      </c>
      <c r="M2084" s="330"/>
      <c r="N2084" s="288"/>
      <c r="O2084" s="288"/>
      <c r="P2084" s="288"/>
      <c r="Q2084" s="288"/>
      <c r="S2084" s="291"/>
      <c r="T2084" s="291"/>
      <c r="U2084" s="291"/>
      <c r="V2084" s="291"/>
    </row>
    <row r="2085" spans="1:22" s="700" customFormat="1" ht="27.75" customHeight="1">
      <c r="A2085" s="331">
        <v>29</v>
      </c>
      <c r="B2085" s="1130" t="s">
        <v>1508</v>
      </c>
      <c r="C2085" s="1135" t="s">
        <v>1509</v>
      </c>
      <c r="D2085" s="1368"/>
      <c r="E2085" s="475" t="s">
        <v>3416</v>
      </c>
      <c r="F2085" s="1133">
        <v>1</v>
      </c>
      <c r="G2085" s="367">
        <v>1459</v>
      </c>
      <c r="H2085" s="332"/>
      <c r="I2085" s="397"/>
      <c r="J2085" s="338"/>
      <c r="K2085" s="374">
        <f t="shared" si="89"/>
        <v>168.36859999999996</v>
      </c>
      <c r="L2085" s="338">
        <f t="shared" si="90"/>
        <v>0</v>
      </c>
      <c r="M2085" s="330"/>
      <c r="N2085" s="288"/>
      <c r="O2085" s="288"/>
      <c r="P2085" s="288"/>
      <c r="Q2085" s="288"/>
      <c r="S2085" s="291"/>
      <c r="T2085" s="291"/>
      <c r="U2085" s="291"/>
      <c r="V2085" s="291"/>
    </row>
    <row r="2086" spans="1:22" s="700" customFormat="1" ht="27.75" customHeight="1">
      <c r="A2086" s="331">
        <v>30</v>
      </c>
      <c r="B2086" s="1130" t="s">
        <v>2608</v>
      </c>
      <c r="C2086" s="1135" t="s">
        <v>1510</v>
      </c>
      <c r="D2086" s="1370"/>
      <c r="E2086" s="475" t="s">
        <v>3441</v>
      </c>
      <c r="F2086" s="1133">
        <v>3</v>
      </c>
      <c r="G2086" s="367">
        <v>4377</v>
      </c>
      <c r="H2086" s="332"/>
      <c r="I2086" s="397"/>
      <c r="J2086" s="338"/>
      <c r="K2086" s="374">
        <f t="shared" si="89"/>
        <v>505.10579999999993</v>
      </c>
      <c r="L2086" s="338">
        <f t="shared" si="90"/>
        <v>0</v>
      </c>
      <c r="M2086" s="330"/>
      <c r="N2086" s="288"/>
      <c r="O2086" s="288"/>
      <c r="P2086" s="288"/>
      <c r="Q2086" s="288"/>
      <c r="S2086" s="291"/>
      <c r="T2086" s="291"/>
      <c r="U2086" s="291"/>
      <c r="V2086" s="291"/>
    </row>
    <row r="2087" spans="1:22" s="700" customFormat="1" ht="27.75" customHeight="1">
      <c r="A2087" s="331">
        <v>31</v>
      </c>
      <c r="B2087" s="1130" t="s">
        <v>2118</v>
      </c>
      <c r="C2087" s="1135" t="s">
        <v>1511</v>
      </c>
      <c r="D2087" s="1370"/>
      <c r="E2087" s="475" t="s">
        <v>3416</v>
      </c>
      <c r="F2087" s="1133">
        <v>1</v>
      </c>
      <c r="G2087" s="367">
        <v>1459</v>
      </c>
      <c r="H2087" s="332"/>
      <c r="I2087" s="397"/>
      <c r="J2087" s="338"/>
      <c r="K2087" s="374">
        <f t="shared" si="89"/>
        <v>168.36859999999996</v>
      </c>
      <c r="L2087" s="338">
        <f t="shared" si="90"/>
        <v>0</v>
      </c>
      <c r="M2087" s="330"/>
      <c r="N2087" s="288"/>
      <c r="O2087" s="288"/>
      <c r="P2087" s="288"/>
      <c r="Q2087" s="288"/>
      <c r="S2087" s="291"/>
      <c r="T2087" s="291"/>
      <c r="U2087" s="291"/>
      <c r="V2087" s="291"/>
    </row>
    <row r="2088" spans="1:22" s="700" customFormat="1" ht="27.75" customHeight="1">
      <c r="A2088" s="331">
        <v>32</v>
      </c>
      <c r="B2088" s="1130" t="s">
        <v>3535</v>
      </c>
      <c r="C2088" s="1135" t="s">
        <v>1512</v>
      </c>
      <c r="D2088" s="1370"/>
      <c r="E2088" s="475" t="s">
        <v>3416</v>
      </c>
      <c r="F2088" s="1133">
        <v>1</v>
      </c>
      <c r="G2088" s="367">
        <v>1459</v>
      </c>
      <c r="H2088" s="332"/>
      <c r="I2088" s="397"/>
      <c r="J2088" s="338"/>
      <c r="K2088" s="374">
        <f t="shared" si="89"/>
        <v>168.36859999999996</v>
      </c>
      <c r="L2088" s="338">
        <f t="shared" si="90"/>
        <v>0</v>
      </c>
      <c r="M2088" s="330"/>
      <c r="N2088" s="288"/>
      <c r="O2088" s="288"/>
      <c r="P2088" s="288"/>
      <c r="Q2088" s="288"/>
      <c r="S2088" s="291"/>
      <c r="T2088" s="291"/>
      <c r="U2088" s="291"/>
      <c r="V2088" s="291"/>
    </row>
    <row r="2089" spans="1:22" s="700" customFormat="1" ht="27.75" customHeight="1">
      <c r="A2089" s="331">
        <v>33</v>
      </c>
      <c r="B2089" s="1130" t="s">
        <v>2119</v>
      </c>
      <c r="C2089" s="1135" t="s">
        <v>1291</v>
      </c>
      <c r="D2089" s="1371"/>
      <c r="E2089" s="475" t="s">
        <v>3416</v>
      </c>
      <c r="F2089" s="1133">
        <v>1</v>
      </c>
      <c r="G2089" s="367">
        <v>2918</v>
      </c>
      <c r="H2089" s="332"/>
      <c r="I2089" s="397"/>
      <c r="J2089" s="338"/>
      <c r="K2089" s="374">
        <f t="shared" si="89"/>
        <v>336.73719999999992</v>
      </c>
      <c r="L2089" s="338">
        <f t="shared" si="90"/>
        <v>0</v>
      </c>
      <c r="M2089" s="330"/>
      <c r="N2089" s="288"/>
      <c r="O2089" s="288"/>
      <c r="P2089" s="288"/>
      <c r="Q2089" s="288"/>
      <c r="S2089" s="291"/>
      <c r="T2089" s="291"/>
      <c r="U2089" s="291"/>
      <c r="V2089" s="291"/>
    </row>
    <row r="2090" spans="1:22" s="700" customFormat="1" ht="27.75" customHeight="1">
      <c r="A2090" s="331">
        <v>34</v>
      </c>
      <c r="B2090" s="1130" t="s">
        <v>3155</v>
      </c>
      <c r="C2090" s="1135" t="s">
        <v>3156</v>
      </c>
      <c r="D2090" s="1371"/>
      <c r="E2090" s="475" t="s">
        <v>3416</v>
      </c>
      <c r="F2090" s="1133">
        <v>1</v>
      </c>
      <c r="G2090" s="367">
        <v>4438</v>
      </c>
      <c r="H2090" s="332"/>
      <c r="I2090" s="397"/>
      <c r="J2090" s="338"/>
      <c r="K2090" s="374">
        <f t="shared" si="89"/>
        <v>512.14519999999993</v>
      </c>
      <c r="L2090" s="338">
        <f t="shared" si="90"/>
        <v>0</v>
      </c>
      <c r="M2090" s="330"/>
      <c r="N2090" s="288"/>
      <c r="O2090" s="288"/>
      <c r="P2090" s="288"/>
      <c r="Q2090" s="288"/>
      <c r="S2090" s="291"/>
      <c r="T2090" s="291"/>
      <c r="U2090" s="291"/>
      <c r="V2090" s="291"/>
    </row>
    <row r="2091" spans="1:22" s="700" customFormat="1" ht="27.75" customHeight="1">
      <c r="A2091" s="331">
        <v>35</v>
      </c>
      <c r="B2091" s="1130" t="s">
        <v>3536</v>
      </c>
      <c r="C2091" s="1135" t="s">
        <v>3537</v>
      </c>
      <c r="D2091" s="1371"/>
      <c r="E2091" s="475" t="s">
        <v>3416</v>
      </c>
      <c r="F2091" s="1133">
        <v>1</v>
      </c>
      <c r="G2091" s="367">
        <v>2875</v>
      </c>
      <c r="H2091" s="332"/>
      <c r="I2091" s="397"/>
      <c r="J2091" s="338"/>
      <c r="K2091" s="374">
        <f t="shared" si="89"/>
        <v>331.77499999999998</v>
      </c>
      <c r="L2091" s="338">
        <f t="shared" ref="L2091:L2154" si="91">+J2091</f>
        <v>0</v>
      </c>
      <c r="M2091" s="330"/>
      <c r="N2091" s="288"/>
      <c r="O2091" s="288"/>
      <c r="P2091" s="288"/>
      <c r="Q2091" s="288"/>
      <c r="S2091" s="291"/>
      <c r="T2091" s="291"/>
      <c r="U2091" s="291"/>
      <c r="V2091" s="291"/>
    </row>
    <row r="2092" spans="1:22" s="700" customFormat="1" ht="27.75" customHeight="1">
      <c r="A2092" s="331">
        <v>36</v>
      </c>
      <c r="B2092" s="1130" t="s">
        <v>3157</v>
      </c>
      <c r="C2092" s="1135" t="s">
        <v>2120</v>
      </c>
      <c r="D2092" s="1371"/>
      <c r="E2092" s="475" t="s">
        <v>3508</v>
      </c>
      <c r="F2092" s="1133">
        <v>4</v>
      </c>
      <c r="G2092" s="367">
        <v>9200</v>
      </c>
      <c r="H2092" s="332"/>
      <c r="I2092" s="397"/>
      <c r="J2092" s="338"/>
      <c r="K2092" s="374">
        <f t="shared" si="89"/>
        <v>1061.6799999999998</v>
      </c>
      <c r="L2092" s="338">
        <f t="shared" si="91"/>
        <v>0</v>
      </c>
      <c r="M2092" s="330"/>
      <c r="N2092" s="288"/>
      <c r="O2092" s="288"/>
      <c r="P2092" s="288"/>
      <c r="Q2092" s="288"/>
      <c r="S2092" s="291"/>
      <c r="T2092" s="291"/>
      <c r="U2092" s="291"/>
      <c r="V2092" s="291"/>
    </row>
    <row r="2093" spans="1:22" s="700" customFormat="1" ht="27.75" customHeight="1">
      <c r="A2093" s="331">
        <v>37</v>
      </c>
      <c r="B2093" s="1130" t="s">
        <v>3001</v>
      </c>
      <c r="C2093" s="1135" t="s">
        <v>1449</v>
      </c>
      <c r="D2093" s="1371"/>
      <c r="E2093" s="475" t="s">
        <v>3416</v>
      </c>
      <c r="F2093" s="1133">
        <v>1</v>
      </c>
      <c r="G2093" s="367">
        <v>1984</v>
      </c>
      <c r="H2093" s="332"/>
      <c r="I2093" s="397"/>
      <c r="J2093" s="338"/>
      <c r="K2093" s="374">
        <f t="shared" si="89"/>
        <v>228.95359999999997</v>
      </c>
      <c r="L2093" s="338">
        <f t="shared" si="91"/>
        <v>0</v>
      </c>
      <c r="M2093" s="330"/>
      <c r="N2093" s="288"/>
      <c r="O2093" s="288"/>
      <c r="P2093" s="288"/>
      <c r="Q2093" s="288"/>
      <c r="S2093" s="291"/>
      <c r="T2093" s="291"/>
      <c r="U2093" s="291"/>
      <c r="V2093" s="291"/>
    </row>
    <row r="2094" spans="1:22" s="700" customFormat="1" ht="27.75" customHeight="1">
      <c r="A2094" s="331">
        <v>38</v>
      </c>
      <c r="B2094" s="1130" t="s">
        <v>3538</v>
      </c>
      <c r="C2094" s="1135" t="s">
        <v>1449</v>
      </c>
      <c r="D2094" s="1371"/>
      <c r="E2094" s="475" t="s">
        <v>3416</v>
      </c>
      <c r="F2094" s="1133">
        <v>1</v>
      </c>
      <c r="G2094" s="367">
        <v>1749</v>
      </c>
      <c r="H2094" s="332"/>
      <c r="I2094" s="397"/>
      <c r="J2094" s="338"/>
      <c r="K2094" s="374">
        <f t="shared" si="89"/>
        <v>201.83459999999999</v>
      </c>
      <c r="L2094" s="338">
        <f t="shared" si="91"/>
        <v>0</v>
      </c>
      <c r="M2094" s="330"/>
      <c r="N2094" s="288"/>
      <c r="O2094" s="288"/>
      <c r="P2094" s="288"/>
      <c r="Q2094" s="288"/>
      <c r="S2094" s="291"/>
      <c r="T2094" s="291"/>
      <c r="U2094" s="291"/>
      <c r="V2094" s="291"/>
    </row>
    <row r="2095" spans="1:22" s="700" customFormat="1" ht="27.75" customHeight="1">
      <c r="A2095" s="331"/>
      <c r="B2095" s="1130"/>
      <c r="C2095" s="1135"/>
      <c r="D2095" s="1371"/>
      <c r="E2095" s="475"/>
      <c r="F2095" s="1133"/>
      <c r="G2095" s="367"/>
      <c r="H2095" s="332"/>
      <c r="I2095" s="397"/>
      <c r="J2095" s="338"/>
      <c r="K2095" s="374">
        <f t="shared" si="89"/>
        <v>0</v>
      </c>
      <c r="L2095" s="338">
        <f t="shared" si="91"/>
        <v>0</v>
      </c>
      <c r="M2095" s="330"/>
      <c r="N2095" s="288"/>
      <c r="O2095" s="288"/>
      <c r="P2095" s="288"/>
      <c r="Q2095" s="288"/>
      <c r="S2095" s="291"/>
      <c r="T2095" s="291"/>
      <c r="U2095" s="291"/>
      <c r="V2095" s="291"/>
    </row>
    <row r="2096" spans="1:22" s="700" customFormat="1" ht="27.75" customHeight="1">
      <c r="A2096" s="331"/>
      <c r="B2096" s="1130"/>
      <c r="C2096" s="1135"/>
      <c r="D2096" s="1370"/>
      <c r="E2096" s="475"/>
      <c r="F2096" s="1141"/>
      <c r="G2096" s="367"/>
      <c r="H2096" s="332"/>
      <c r="I2096" s="397"/>
      <c r="J2096" s="338"/>
      <c r="K2096" s="374">
        <f t="shared" si="89"/>
        <v>0</v>
      </c>
      <c r="L2096" s="338">
        <f t="shared" si="91"/>
        <v>0</v>
      </c>
      <c r="M2096" s="330"/>
      <c r="N2096" s="288"/>
      <c r="O2096" s="288"/>
      <c r="P2096" s="288"/>
      <c r="Q2096" s="288"/>
      <c r="S2096" s="291"/>
      <c r="T2096" s="291"/>
      <c r="U2096" s="291"/>
      <c r="V2096" s="291"/>
    </row>
    <row r="2097" spans="1:22" s="700" customFormat="1" ht="27.75" customHeight="1">
      <c r="A2097" s="331"/>
      <c r="B2097" s="1130" t="s">
        <v>1999</v>
      </c>
      <c r="C2097" s="1135"/>
      <c r="D2097" s="1368"/>
      <c r="E2097" s="475"/>
      <c r="F2097" s="1133"/>
      <c r="G2097" s="367"/>
      <c r="H2097" s="332"/>
      <c r="I2097" s="397"/>
      <c r="J2097" s="338"/>
      <c r="K2097" s="374">
        <f t="shared" si="89"/>
        <v>0</v>
      </c>
      <c r="L2097" s="338">
        <f t="shared" si="91"/>
        <v>0</v>
      </c>
      <c r="M2097" s="330"/>
      <c r="N2097" s="288"/>
      <c r="O2097" s="288"/>
      <c r="P2097" s="288"/>
      <c r="Q2097" s="288"/>
      <c r="S2097" s="291"/>
      <c r="T2097" s="291"/>
      <c r="U2097" s="291"/>
      <c r="V2097" s="291"/>
    </row>
    <row r="2098" spans="1:22" s="700" customFormat="1" ht="27.75" customHeight="1">
      <c r="A2098" s="331">
        <v>1</v>
      </c>
      <c r="B2098" s="1130" t="s">
        <v>2241</v>
      </c>
      <c r="C2098" s="1135" t="s">
        <v>996</v>
      </c>
      <c r="D2098" s="1498"/>
      <c r="E2098" s="475"/>
      <c r="F2098" s="1133"/>
      <c r="G2098" s="367"/>
      <c r="H2098" s="332" t="s">
        <v>1132</v>
      </c>
      <c r="I2098" s="397">
        <v>4</v>
      </c>
      <c r="J2098" s="338">
        <v>5836</v>
      </c>
      <c r="K2098" s="374">
        <f t="shared" si="89"/>
        <v>0</v>
      </c>
      <c r="L2098" s="338">
        <f t="shared" si="91"/>
        <v>5836</v>
      </c>
      <c r="M2098" s="330"/>
      <c r="N2098" s="288"/>
      <c r="O2098" s="288"/>
      <c r="P2098" s="288"/>
      <c r="Q2098" s="288"/>
      <c r="S2098" s="291"/>
      <c r="T2098" s="291"/>
      <c r="U2098" s="291"/>
      <c r="V2098" s="291"/>
    </row>
    <row r="2099" spans="1:22" s="700" customFormat="1" ht="27.75" customHeight="1" thickBot="1">
      <c r="A2099" s="331">
        <v>2</v>
      </c>
      <c r="B2099" s="1130" t="s">
        <v>2242</v>
      </c>
      <c r="C2099" s="1135" t="s">
        <v>1112</v>
      </c>
      <c r="D2099" s="1498"/>
      <c r="E2099" s="475"/>
      <c r="F2099" s="1133"/>
      <c r="G2099" s="367"/>
      <c r="H2099" s="332" t="s">
        <v>1246</v>
      </c>
      <c r="I2099" s="397">
        <v>3</v>
      </c>
      <c r="J2099" s="338">
        <v>4377</v>
      </c>
      <c r="K2099" s="374">
        <f t="shared" si="89"/>
        <v>0</v>
      </c>
      <c r="L2099" s="338">
        <f t="shared" si="91"/>
        <v>4377</v>
      </c>
      <c r="M2099" s="330"/>
      <c r="N2099" s="288"/>
      <c r="O2099" s="288"/>
      <c r="P2099" s="288"/>
      <c r="Q2099" s="288"/>
      <c r="S2099" s="291"/>
      <c r="T2099" s="291"/>
      <c r="U2099" s="291"/>
      <c r="V2099" s="291"/>
    </row>
    <row r="2100" spans="1:22" s="756" customFormat="1" ht="27.75" customHeight="1" thickTop="1" thickBot="1">
      <c r="A2100" s="450"/>
      <c r="B2100" s="550"/>
      <c r="C2100" s="473"/>
      <c r="D2100" s="1370"/>
      <c r="E2100" s="446"/>
      <c r="F2100" s="576"/>
      <c r="G2100" s="446"/>
      <c r="H2100" s="446"/>
      <c r="I2100" s="576"/>
      <c r="J2100" s="446"/>
      <c r="K2100" s="374">
        <f t="shared" si="89"/>
        <v>0</v>
      </c>
      <c r="L2100" s="338">
        <f t="shared" si="91"/>
        <v>0</v>
      </c>
      <c r="M2100" s="551"/>
      <c r="N2100" s="452">
        <f>SUM(G2057:G2099)</f>
        <v>164950</v>
      </c>
      <c r="O2100" s="452">
        <f>SUM(J2057:J2099)</f>
        <v>10213</v>
      </c>
      <c r="P2100" s="452">
        <f>+N2100+O2100</f>
        <v>175163</v>
      </c>
      <c r="Q2100" s="481">
        <f>SUM(D2057:D2099)</f>
        <v>2000</v>
      </c>
      <c r="R2100" s="552" t="s">
        <v>253</v>
      </c>
      <c r="S2100" s="483"/>
      <c r="T2100" s="452"/>
      <c r="U2100" s="452"/>
      <c r="V2100" s="452"/>
    </row>
    <row r="2101" spans="1:22" s="700" customFormat="1" ht="27.75" customHeight="1" thickTop="1">
      <c r="A2101" s="331"/>
      <c r="B2101" s="363" t="s">
        <v>1460</v>
      </c>
      <c r="C2101" s="377"/>
      <c r="D2101" s="1370"/>
      <c r="E2101" s="335"/>
      <c r="F2101" s="331"/>
      <c r="G2101" s="386"/>
      <c r="H2101" s="332"/>
      <c r="I2101" s="397"/>
      <c r="J2101" s="335"/>
      <c r="K2101" s="374">
        <f t="shared" si="89"/>
        <v>0</v>
      </c>
      <c r="L2101" s="338">
        <f t="shared" si="91"/>
        <v>0</v>
      </c>
      <c r="M2101" s="330"/>
      <c r="N2101" s="288"/>
      <c r="O2101" s="288"/>
      <c r="P2101" s="288"/>
      <c r="Q2101" s="288"/>
      <c r="R2101" s="290"/>
      <c r="S2101" s="291"/>
      <c r="T2101" s="291"/>
      <c r="U2101" s="291"/>
      <c r="V2101" s="291"/>
    </row>
    <row r="2102" spans="1:22" s="700" customFormat="1" ht="27.75" customHeight="1">
      <c r="A2102" s="331"/>
      <c r="B2102" s="363"/>
      <c r="C2102" s="377"/>
      <c r="D2102" s="1370"/>
      <c r="E2102" s="335"/>
      <c r="F2102" s="331"/>
      <c r="G2102" s="386"/>
      <c r="H2102" s="332"/>
      <c r="I2102" s="397"/>
      <c r="J2102" s="335"/>
      <c r="K2102" s="374">
        <f t="shared" si="89"/>
        <v>0</v>
      </c>
      <c r="L2102" s="338">
        <f t="shared" si="91"/>
        <v>0</v>
      </c>
      <c r="M2102" s="330"/>
      <c r="N2102" s="288"/>
      <c r="O2102" s="288"/>
      <c r="P2102" s="288"/>
      <c r="Q2102" s="288"/>
      <c r="R2102" s="290"/>
      <c r="S2102" s="291"/>
      <c r="T2102" s="291"/>
      <c r="U2102" s="291"/>
      <c r="V2102" s="291"/>
    </row>
    <row r="2103" spans="1:22" s="700" customFormat="1" ht="27.75" customHeight="1">
      <c r="A2103" s="331"/>
      <c r="B2103" s="363"/>
      <c r="C2103" s="377"/>
      <c r="D2103" s="1370"/>
      <c r="E2103" s="335"/>
      <c r="F2103" s="331"/>
      <c r="G2103" s="386"/>
      <c r="H2103" s="332"/>
      <c r="I2103" s="397"/>
      <c r="J2103" s="335"/>
      <c r="K2103" s="374">
        <f t="shared" si="89"/>
        <v>0</v>
      </c>
      <c r="L2103" s="338">
        <f t="shared" si="91"/>
        <v>0</v>
      </c>
      <c r="M2103" s="330"/>
      <c r="N2103" s="288"/>
      <c r="O2103" s="288"/>
      <c r="P2103" s="288"/>
      <c r="Q2103" s="288"/>
      <c r="R2103" s="290"/>
      <c r="S2103" s="291"/>
      <c r="T2103" s="291"/>
      <c r="U2103" s="291"/>
      <c r="V2103" s="291"/>
    </row>
    <row r="2104" spans="1:22" s="700" customFormat="1" ht="27.75" customHeight="1" thickBot="1">
      <c r="A2104" s="331"/>
      <c r="B2104" s="363"/>
      <c r="C2104" s="363"/>
      <c r="D2104" s="1370"/>
      <c r="E2104" s="335"/>
      <c r="F2104" s="331"/>
      <c r="G2104" s="386"/>
      <c r="H2104" s="332"/>
      <c r="I2104" s="397"/>
      <c r="J2104" s="335"/>
      <c r="K2104" s="374">
        <f t="shared" si="89"/>
        <v>0</v>
      </c>
      <c r="L2104" s="338">
        <f t="shared" si="91"/>
        <v>0</v>
      </c>
      <c r="M2104" s="330"/>
      <c r="N2104" s="289"/>
      <c r="O2104" s="289"/>
      <c r="P2104" s="289"/>
      <c r="Q2104" s="289"/>
      <c r="R2104" s="290"/>
      <c r="S2104" s="291"/>
      <c r="T2104" s="291"/>
      <c r="U2104" s="291"/>
      <c r="V2104" s="291"/>
    </row>
    <row r="2105" spans="1:22" s="756" customFormat="1" ht="27.75" customHeight="1" thickTop="1" thickBot="1">
      <c r="A2105" s="450"/>
      <c r="B2105" s="550"/>
      <c r="C2105" s="508"/>
      <c r="D2105" s="1370"/>
      <c r="E2105" s="453"/>
      <c r="F2105" s="450"/>
      <c r="G2105" s="499"/>
      <c r="H2105" s="444"/>
      <c r="I2105" s="458"/>
      <c r="J2105" s="453"/>
      <c r="K2105" s="374">
        <f t="shared" si="89"/>
        <v>0</v>
      </c>
      <c r="L2105" s="338">
        <f t="shared" si="91"/>
        <v>0</v>
      </c>
      <c r="M2105" s="551"/>
      <c r="N2105" s="452">
        <f>SUM(G2102:G2105)</f>
        <v>0</v>
      </c>
      <c r="O2105" s="452">
        <f>SUM(J2102:J2105)</f>
        <v>0</v>
      </c>
      <c r="P2105" s="452">
        <f>+N2105+O2105</f>
        <v>0</v>
      </c>
      <c r="Q2105" s="481">
        <f>SUM(D2101:D2105)</f>
        <v>0</v>
      </c>
      <c r="R2105" s="1140" t="s">
        <v>1461</v>
      </c>
      <c r="S2105" s="483"/>
      <c r="T2105" s="452"/>
      <c r="U2105" s="452"/>
      <c r="V2105" s="452"/>
    </row>
    <row r="2106" spans="1:22" s="700" customFormat="1" ht="27.75" customHeight="1" thickTop="1">
      <c r="A2106" s="331"/>
      <c r="B2106" s="363" t="s">
        <v>52</v>
      </c>
      <c r="C2106" s="512"/>
      <c r="D2106" s="1370"/>
      <c r="E2106" s="335"/>
      <c r="F2106" s="331"/>
      <c r="G2106" s="386"/>
      <c r="H2106" s="332"/>
      <c r="I2106" s="397"/>
      <c r="J2106" s="335"/>
      <c r="K2106" s="374">
        <f t="shared" si="89"/>
        <v>0</v>
      </c>
      <c r="L2106" s="338">
        <f t="shared" si="91"/>
        <v>0</v>
      </c>
      <c r="M2106" s="330"/>
      <c r="N2106" s="288"/>
      <c r="O2106" s="288"/>
      <c r="P2106" s="288"/>
      <c r="Q2106" s="288"/>
      <c r="R2106" s="901"/>
      <c r="S2106" s="291"/>
      <c r="T2106" s="291"/>
      <c r="U2106" s="291"/>
      <c r="V2106" s="291"/>
    </row>
    <row r="2107" spans="1:22" s="700" customFormat="1" ht="27.6" customHeight="1">
      <c r="A2107" s="331"/>
      <c r="B2107" s="1142"/>
      <c r="C2107" s="1143"/>
      <c r="D2107" s="1372"/>
      <c r="E2107" s="475"/>
      <c r="F2107" s="1139"/>
      <c r="G2107" s="586"/>
      <c r="H2107" s="332"/>
      <c r="I2107" s="397"/>
      <c r="J2107" s="335"/>
      <c r="K2107" s="374">
        <f t="shared" ref="K2107:K2170" si="92">G2107*11.54/100</f>
        <v>0</v>
      </c>
      <c r="L2107" s="338">
        <f t="shared" si="91"/>
        <v>0</v>
      </c>
      <c r="M2107" s="330"/>
      <c r="N2107" s="288"/>
      <c r="O2107" s="288"/>
      <c r="P2107" s="288"/>
      <c r="Q2107" s="288"/>
      <c r="R2107" s="901"/>
      <c r="S2107" s="291"/>
      <c r="T2107" s="291"/>
      <c r="U2107" s="291"/>
      <c r="V2107" s="291"/>
    </row>
    <row r="2108" spans="1:22" s="700" customFormat="1" ht="27.75" customHeight="1">
      <c r="A2108" s="331"/>
      <c r="B2108" s="1142"/>
      <c r="C2108" s="1143"/>
      <c r="D2108" s="1372"/>
      <c r="E2108" s="475"/>
      <c r="F2108" s="1139"/>
      <c r="G2108" s="586"/>
      <c r="H2108" s="332"/>
      <c r="I2108" s="397"/>
      <c r="J2108" s="335"/>
      <c r="K2108" s="374">
        <f t="shared" si="92"/>
        <v>0</v>
      </c>
      <c r="L2108" s="338">
        <f t="shared" si="91"/>
        <v>0</v>
      </c>
      <c r="M2108" s="330"/>
      <c r="N2108" s="288"/>
      <c r="O2108" s="288"/>
      <c r="P2108" s="288"/>
      <c r="Q2108" s="288"/>
      <c r="R2108" s="901"/>
      <c r="S2108" s="291"/>
      <c r="T2108" s="291"/>
      <c r="U2108" s="291"/>
      <c r="V2108" s="291"/>
    </row>
    <row r="2109" spans="1:22" s="700" customFormat="1" ht="27.75" customHeight="1" thickBot="1">
      <c r="A2109" s="331"/>
      <c r="B2109" s="1142"/>
      <c r="C2109" s="1143"/>
      <c r="D2109" s="1370"/>
      <c r="E2109" s="475"/>
      <c r="F2109" s="1139"/>
      <c r="G2109" s="586"/>
      <c r="H2109" s="332"/>
      <c r="I2109" s="397"/>
      <c r="J2109" s="335"/>
      <c r="K2109" s="374">
        <f t="shared" si="92"/>
        <v>0</v>
      </c>
      <c r="L2109" s="338">
        <f t="shared" si="91"/>
        <v>0</v>
      </c>
      <c r="M2109" s="330"/>
      <c r="N2109" s="288"/>
      <c r="O2109" s="288"/>
      <c r="P2109" s="288"/>
      <c r="Q2109" s="288"/>
      <c r="R2109" s="901"/>
      <c r="S2109" s="291"/>
      <c r="T2109" s="291"/>
      <c r="U2109" s="291"/>
      <c r="V2109" s="291"/>
    </row>
    <row r="2110" spans="1:22" s="756" customFormat="1" ht="27.75" customHeight="1" thickTop="1" thickBot="1">
      <c r="A2110" s="450"/>
      <c r="B2110" s="550"/>
      <c r="C2110" s="457"/>
      <c r="D2110" s="1370"/>
      <c r="E2110" s="453"/>
      <c r="F2110" s="450"/>
      <c r="G2110" s="499"/>
      <c r="H2110" s="444"/>
      <c r="I2110" s="458"/>
      <c r="J2110" s="453"/>
      <c r="K2110" s="374">
        <f t="shared" si="92"/>
        <v>0</v>
      </c>
      <c r="L2110" s="338">
        <f t="shared" si="91"/>
        <v>0</v>
      </c>
      <c r="M2110" s="551"/>
      <c r="N2110" s="452">
        <f>SUM(G2107:G2109)</f>
        <v>0</v>
      </c>
      <c r="O2110" s="452">
        <f>SUM(J2110:J2110)</f>
        <v>0</v>
      </c>
      <c r="P2110" s="452">
        <f>+N2110+O2110</f>
        <v>0</v>
      </c>
      <c r="Q2110" s="1144">
        <f>SUM(D2107:D2110)</f>
        <v>0</v>
      </c>
      <c r="R2110" s="552" t="s">
        <v>31</v>
      </c>
      <c r="S2110" s="483"/>
      <c r="T2110" s="452"/>
      <c r="U2110" s="452"/>
      <c r="V2110" s="452"/>
    </row>
    <row r="2111" spans="1:22" s="700" customFormat="1" ht="27.75" customHeight="1" thickTop="1">
      <c r="A2111" s="331"/>
      <c r="B2111" s="363" t="s">
        <v>32</v>
      </c>
      <c r="C2111" s="393"/>
      <c r="D2111" s="1370"/>
      <c r="E2111" s="335"/>
      <c r="F2111" s="331"/>
      <c r="G2111" s="386"/>
      <c r="H2111" s="332"/>
      <c r="I2111" s="397"/>
      <c r="J2111" s="335"/>
      <c r="K2111" s="374">
        <f t="shared" si="92"/>
        <v>0</v>
      </c>
      <c r="L2111" s="338">
        <f t="shared" si="91"/>
        <v>0</v>
      </c>
      <c r="M2111" s="330"/>
      <c r="N2111" s="289"/>
      <c r="O2111" s="289"/>
      <c r="P2111" s="289"/>
      <c r="Q2111" s="478"/>
      <c r="R2111" s="479"/>
      <c r="S2111" s="287"/>
      <c r="T2111" s="289"/>
      <c r="U2111" s="289"/>
      <c r="V2111" s="289"/>
    </row>
    <row r="2112" spans="1:22" s="700" customFormat="1" ht="27.75" customHeight="1">
      <c r="A2112" s="331">
        <v>1</v>
      </c>
      <c r="B2112" s="363" t="s">
        <v>3570</v>
      </c>
      <c r="C2112" s="393" t="s">
        <v>1452</v>
      </c>
      <c r="D2112" s="1370"/>
      <c r="E2112" s="335" t="s">
        <v>3416</v>
      </c>
      <c r="F2112" s="331">
        <v>1</v>
      </c>
      <c r="G2112" s="336">
        <v>642</v>
      </c>
      <c r="H2112" s="332"/>
      <c r="I2112" s="397"/>
      <c r="J2112" s="335"/>
      <c r="K2112" s="374">
        <f t="shared" si="92"/>
        <v>74.086799999999997</v>
      </c>
      <c r="L2112" s="338">
        <f t="shared" si="91"/>
        <v>0</v>
      </c>
      <c r="M2112" s="330"/>
      <c r="N2112" s="289"/>
      <c r="O2112" s="289"/>
      <c r="P2112" s="289"/>
      <c r="Q2112" s="478"/>
      <c r="R2112" s="479"/>
      <c r="S2112" s="287"/>
      <c r="T2112" s="289"/>
      <c r="U2112" s="289"/>
      <c r="V2112" s="289"/>
    </row>
    <row r="2113" spans="1:22" s="700" customFormat="1" ht="27.75" customHeight="1">
      <c r="A2113" s="331">
        <v>2</v>
      </c>
      <c r="B2113" s="363" t="s">
        <v>3571</v>
      </c>
      <c r="C2113" s="393" t="s">
        <v>3572</v>
      </c>
      <c r="D2113" s="1370"/>
      <c r="E2113" s="335" t="s">
        <v>3416</v>
      </c>
      <c r="F2113" s="331">
        <v>1</v>
      </c>
      <c r="G2113" s="336">
        <v>642</v>
      </c>
      <c r="H2113" s="332"/>
      <c r="I2113" s="397"/>
      <c r="J2113" s="335"/>
      <c r="K2113" s="374">
        <f t="shared" si="92"/>
        <v>74.086799999999997</v>
      </c>
      <c r="L2113" s="338">
        <f t="shared" si="91"/>
        <v>0</v>
      </c>
      <c r="M2113" s="330"/>
      <c r="N2113" s="289"/>
      <c r="O2113" s="289"/>
      <c r="P2113" s="289"/>
      <c r="Q2113" s="478"/>
      <c r="R2113" s="479"/>
      <c r="S2113" s="287"/>
      <c r="T2113" s="289"/>
      <c r="U2113" s="289"/>
      <c r="V2113" s="289"/>
    </row>
    <row r="2114" spans="1:22" s="700" customFormat="1" ht="27.75" customHeight="1">
      <c r="A2114" s="331">
        <v>3</v>
      </c>
      <c r="B2114" s="363" t="s">
        <v>3573</v>
      </c>
      <c r="C2114" s="393" t="s">
        <v>3572</v>
      </c>
      <c r="D2114" s="1370"/>
      <c r="E2114" s="335" t="s">
        <v>3416</v>
      </c>
      <c r="F2114" s="331">
        <v>1</v>
      </c>
      <c r="G2114" s="336">
        <v>642</v>
      </c>
      <c r="H2114" s="332"/>
      <c r="I2114" s="397"/>
      <c r="J2114" s="335"/>
      <c r="K2114" s="374">
        <f t="shared" si="92"/>
        <v>74.086799999999997</v>
      </c>
      <c r="L2114" s="338">
        <f t="shared" si="91"/>
        <v>0</v>
      </c>
      <c r="M2114" s="330"/>
      <c r="N2114" s="289"/>
      <c r="O2114" s="289"/>
      <c r="P2114" s="289"/>
      <c r="Q2114" s="478"/>
      <c r="R2114" s="479"/>
      <c r="S2114" s="287"/>
      <c r="T2114" s="289"/>
      <c r="U2114" s="289"/>
      <c r="V2114" s="289"/>
    </row>
    <row r="2115" spans="1:22" s="700" customFormat="1" ht="27.75" customHeight="1" thickBot="1">
      <c r="A2115" s="331"/>
      <c r="B2115" s="1142"/>
      <c r="C2115" s="1143"/>
      <c r="D2115" s="1370"/>
      <c r="E2115" s="475"/>
      <c r="F2115" s="1145"/>
      <c r="G2115" s="386"/>
      <c r="H2115" s="332"/>
      <c r="I2115" s="397"/>
      <c r="J2115" s="335"/>
      <c r="K2115" s="374">
        <f t="shared" si="92"/>
        <v>0</v>
      </c>
      <c r="L2115" s="338">
        <f t="shared" si="91"/>
        <v>0</v>
      </c>
      <c r="M2115" s="330"/>
      <c r="N2115" s="289"/>
      <c r="O2115" s="289"/>
      <c r="P2115" s="289"/>
      <c r="Q2115" s="289"/>
      <c r="R2115" s="290"/>
      <c r="S2115" s="291"/>
      <c r="T2115" s="291"/>
      <c r="U2115" s="291"/>
      <c r="V2115" s="291"/>
    </row>
    <row r="2116" spans="1:22" s="756" customFormat="1" ht="27.75" customHeight="1" thickTop="1" thickBot="1">
      <c r="A2116" s="450"/>
      <c r="B2116" s="1146"/>
      <c r="C2116" s="1147"/>
      <c r="D2116" s="1370"/>
      <c r="E2116" s="453"/>
      <c r="F2116" s="1148"/>
      <c r="G2116" s="499"/>
      <c r="H2116" s="444"/>
      <c r="I2116" s="458"/>
      <c r="J2116" s="453"/>
      <c r="K2116" s="374">
        <f t="shared" si="92"/>
        <v>0</v>
      </c>
      <c r="L2116" s="338">
        <f t="shared" si="91"/>
        <v>0</v>
      </c>
      <c r="M2116" s="551"/>
      <c r="N2116" s="452">
        <f>SUM(G2112:G2115)</f>
        <v>1926</v>
      </c>
      <c r="O2116" s="452">
        <f>SUM(J2112:J2115)</f>
        <v>0</v>
      </c>
      <c r="P2116" s="452">
        <f>+N2116+O2116</f>
        <v>1926</v>
      </c>
      <c r="Q2116" s="1144">
        <f>SUM(D2112:D2116)</f>
        <v>0</v>
      </c>
      <c r="R2116" s="552" t="s">
        <v>105</v>
      </c>
      <c r="S2116" s="483"/>
      <c r="T2116" s="452"/>
      <c r="U2116" s="452"/>
      <c r="V2116" s="452"/>
    </row>
    <row r="2117" spans="1:22" s="700" customFormat="1" ht="27.75" customHeight="1" thickTop="1">
      <c r="A2117" s="331"/>
      <c r="B2117" s="524" t="s">
        <v>70</v>
      </c>
      <c r="C2117" s="393"/>
      <c r="D2117" s="1370"/>
      <c r="E2117" s="382"/>
      <c r="F2117" s="379"/>
      <c r="G2117" s="336"/>
      <c r="H2117" s="332"/>
      <c r="I2117" s="397"/>
      <c r="J2117" s="335"/>
      <c r="K2117" s="374">
        <f t="shared" si="92"/>
        <v>0</v>
      </c>
      <c r="L2117" s="338">
        <f t="shared" si="91"/>
        <v>0</v>
      </c>
      <c r="M2117" s="330"/>
      <c r="N2117" s="288"/>
      <c r="O2117" s="289"/>
      <c r="P2117" s="289"/>
      <c r="Q2117" s="289"/>
      <c r="R2117" s="290"/>
      <c r="S2117" s="291"/>
      <c r="T2117" s="291"/>
      <c r="U2117" s="291"/>
      <c r="V2117" s="291"/>
    </row>
    <row r="2118" spans="1:22" s="700" customFormat="1" ht="27.6" customHeight="1">
      <c r="A2118" s="331">
        <v>1</v>
      </c>
      <c r="B2118" s="506" t="s">
        <v>2306</v>
      </c>
      <c r="C2118" s="584" t="s">
        <v>3158</v>
      </c>
      <c r="D2118" s="1368"/>
      <c r="E2118" s="409" t="s">
        <v>3416</v>
      </c>
      <c r="F2118" s="362">
        <v>1</v>
      </c>
      <c r="G2118" s="367">
        <v>1200</v>
      </c>
      <c r="H2118" s="332"/>
      <c r="I2118" s="397"/>
      <c r="J2118" s="335"/>
      <c r="K2118" s="374">
        <f t="shared" si="92"/>
        <v>138.47999999999999</v>
      </c>
      <c r="L2118" s="338">
        <f t="shared" si="91"/>
        <v>0</v>
      </c>
      <c r="M2118" s="330"/>
      <c r="N2118" s="289"/>
      <c r="O2118" s="289"/>
      <c r="P2118" s="289"/>
      <c r="Q2118" s="289"/>
      <c r="S2118" s="291"/>
      <c r="T2118" s="291"/>
      <c r="U2118" s="291"/>
      <c r="V2118" s="291"/>
    </row>
    <row r="2119" spans="1:22" s="700" customFormat="1" ht="27.75" customHeight="1">
      <c r="A2119" s="331">
        <v>2</v>
      </c>
      <c r="B2119" s="506" t="s">
        <v>2306</v>
      </c>
      <c r="C2119" s="584" t="s">
        <v>3159</v>
      </c>
      <c r="D2119" s="1368"/>
      <c r="E2119" s="409" t="s">
        <v>3416</v>
      </c>
      <c r="F2119" s="362">
        <v>1</v>
      </c>
      <c r="G2119" s="367">
        <v>1200</v>
      </c>
      <c r="H2119" s="332"/>
      <c r="I2119" s="397"/>
      <c r="J2119" s="335"/>
      <c r="K2119" s="374">
        <f t="shared" si="92"/>
        <v>138.47999999999999</v>
      </c>
      <c r="L2119" s="338">
        <f t="shared" si="91"/>
        <v>0</v>
      </c>
      <c r="M2119" s="330"/>
      <c r="N2119" s="289"/>
      <c r="O2119" s="289"/>
      <c r="P2119" s="289"/>
      <c r="Q2119" s="289"/>
      <c r="S2119" s="291"/>
      <c r="T2119" s="291"/>
      <c r="U2119" s="291"/>
      <c r="V2119" s="291"/>
    </row>
    <row r="2120" spans="1:22" s="700" customFormat="1" ht="27.75" customHeight="1">
      <c r="A2120" s="331">
        <v>3</v>
      </c>
      <c r="B2120" s="506" t="s">
        <v>2124</v>
      </c>
      <c r="C2120" s="723" t="s">
        <v>2125</v>
      </c>
      <c r="D2120" s="1370">
        <v>1200</v>
      </c>
      <c r="E2120" s="409"/>
      <c r="F2120" s="362"/>
      <c r="G2120" s="367"/>
      <c r="H2120" s="332"/>
      <c r="I2120" s="397"/>
      <c r="J2120" s="335"/>
      <c r="K2120" s="374">
        <f t="shared" si="92"/>
        <v>0</v>
      </c>
      <c r="L2120" s="338">
        <f t="shared" si="91"/>
        <v>0</v>
      </c>
      <c r="M2120" s="330"/>
      <c r="N2120" s="289"/>
      <c r="O2120" s="289"/>
      <c r="P2120" s="289"/>
      <c r="Q2120" s="289"/>
      <c r="S2120" s="291"/>
      <c r="T2120" s="291"/>
      <c r="U2120" s="291"/>
      <c r="V2120" s="291"/>
    </row>
    <row r="2121" spans="1:22" s="700" customFormat="1" ht="27.75" customHeight="1">
      <c r="A2121" s="331">
        <v>4</v>
      </c>
      <c r="B2121" s="584" t="s">
        <v>2126</v>
      </c>
      <c r="C2121" s="584" t="s">
        <v>2127</v>
      </c>
      <c r="D2121" s="1370">
        <v>1200</v>
      </c>
      <c r="E2121" s="409"/>
      <c r="F2121" s="362"/>
      <c r="G2121" s="367"/>
      <c r="H2121" s="332"/>
      <c r="I2121" s="397"/>
      <c r="J2121" s="335"/>
      <c r="K2121" s="374">
        <f t="shared" si="92"/>
        <v>0</v>
      </c>
      <c r="L2121" s="338">
        <f t="shared" si="91"/>
        <v>0</v>
      </c>
      <c r="M2121" s="330"/>
      <c r="N2121" s="289"/>
      <c r="O2121" s="289"/>
      <c r="P2121" s="289"/>
      <c r="Q2121" s="289"/>
      <c r="S2121" s="291"/>
      <c r="T2121" s="291"/>
      <c r="U2121" s="291"/>
      <c r="V2121" s="291"/>
    </row>
    <row r="2122" spans="1:22" s="700" customFormat="1" ht="27.75" customHeight="1">
      <c r="A2122" s="331">
        <v>5</v>
      </c>
      <c r="B2122" s="506" t="s">
        <v>2126</v>
      </c>
      <c r="C2122" s="584" t="s">
        <v>2128</v>
      </c>
      <c r="D2122" s="1368">
        <v>1200</v>
      </c>
      <c r="E2122" s="409"/>
      <c r="F2122" s="362"/>
      <c r="G2122" s="367"/>
      <c r="H2122" s="332"/>
      <c r="I2122" s="397"/>
      <c r="J2122" s="335"/>
      <c r="K2122" s="374">
        <f t="shared" si="92"/>
        <v>0</v>
      </c>
      <c r="L2122" s="338">
        <f t="shared" si="91"/>
        <v>0</v>
      </c>
      <c r="M2122" s="330"/>
      <c r="N2122" s="289"/>
      <c r="O2122" s="289"/>
      <c r="P2122" s="289"/>
      <c r="Q2122" s="289"/>
      <c r="S2122" s="291"/>
      <c r="T2122" s="291"/>
      <c r="U2122" s="291"/>
      <c r="V2122" s="291"/>
    </row>
    <row r="2123" spans="1:22" s="700" customFormat="1" ht="27.75" customHeight="1">
      <c r="A2123" s="331">
        <v>6</v>
      </c>
      <c r="B2123" s="506" t="s">
        <v>2261</v>
      </c>
      <c r="C2123" s="584" t="s">
        <v>3539</v>
      </c>
      <c r="D2123" s="1368"/>
      <c r="E2123" s="409" t="s">
        <v>3416</v>
      </c>
      <c r="F2123" s="362">
        <v>1</v>
      </c>
      <c r="G2123" s="367">
        <v>1200</v>
      </c>
      <c r="H2123" s="332"/>
      <c r="I2123" s="397"/>
      <c r="J2123" s="335"/>
      <c r="K2123" s="374">
        <f t="shared" si="92"/>
        <v>138.47999999999999</v>
      </c>
      <c r="L2123" s="338">
        <f t="shared" si="91"/>
        <v>0</v>
      </c>
      <c r="M2123" s="330"/>
      <c r="N2123" s="289"/>
      <c r="O2123" s="289"/>
      <c r="P2123" s="289"/>
      <c r="Q2123" s="289"/>
      <c r="S2123" s="291"/>
      <c r="T2123" s="291"/>
      <c r="U2123" s="291"/>
      <c r="V2123" s="291"/>
    </row>
    <row r="2124" spans="1:22" s="700" customFormat="1" ht="27.75" customHeight="1">
      <c r="A2124" s="331">
        <v>7</v>
      </c>
      <c r="B2124" s="506" t="s">
        <v>2137</v>
      </c>
      <c r="C2124" s="584" t="s">
        <v>3002</v>
      </c>
      <c r="D2124" s="1370">
        <v>1200</v>
      </c>
      <c r="E2124" s="409"/>
      <c r="F2124" s="362"/>
      <c r="G2124" s="367"/>
      <c r="H2124" s="332"/>
      <c r="I2124" s="397"/>
      <c r="J2124" s="335"/>
      <c r="K2124" s="374">
        <f t="shared" si="92"/>
        <v>0</v>
      </c>
      <c r="L2124" s="338">
        <f t="shared" si="91"/>
        <v>0</v>
      </c>
      <c r="M2124" s="330"/>
      <c r="N2124" s="289"/>
      <c r="O2124" s="289"/>
      <c r="P2124" s="289"/>
      <c r="Q2124" s="289"/>
      <c r="S2124" s="291"/>
      <c r="T2124" s="291"/>
      <c r="U2124" s="291"/>
      <c r="V2124" s="291"/>
    </row>
    <row r="2125" spans="1:22" s="700" customFormat="1" ht="27.75" customHeight="1">
      <c r="A2125" s="331">
        <v>8</v>
      </c>
      <c r="B2125" s="506" t="s">
        <v>2143</v>
      </c>
      <c r="C2125" s="584" t="s">
        <v>3364</v>
      </c>
      <c r="D2125" s="1370"/>
      <c r="E2125" s="409" t="s">
        <v>3416</v>
      </c>
      <c r="F2125" s="362">
        <v>1</v>
      </c>
      <c r="G2125" s="367">
        <v>1200</v>
      </c>
      <c r="H2125" s="332"/>
      <c r="I2125" s="397"/>
      <c r="J2125" s="335"/>
      <c r="K2125" s="374">
        <f t="shared" si="92"/>
        <v>138.47999999999999</v>
      </c>
      <c r="L2125" s="338">
        <f t="shared" si="91"/>
        <v>0</v>
      </c>
      <c r="M2125" s="330"/>
      <c r="N2125" s="289"/>
      <c r="O2125" s="289"/>
      <c r="P2125" s="289"/>
      <c r="Q2125" s="289"/>
      <c r="S2125" s="291"/>
      <c r="T2125" s="291"/>
      <c r="U2125" s="291"/>
      <c r="V2125" s="291"/>
    </row>
    <row r="2126" spans="1:22" s="700" customFormat="1" ht="27.75" customHeight="1">
      <c r="A2126" s="331">
        <v>9</v>
      </c>
      <c r="B2126" s="506" t="s">
        <v>2146</v>
      </c>
      <c r="C2126" s="584" t="s">
        <v>3540</v>
      </c>
      <c r="D2126" s="1370"/>
      <c r="E2126" s="409" t="s">
        <v>3416</v>
      </c>
      <c r="F2126" s="362">
        <v>1</v>
      </c>
      <c r="G2126" s="367">
        <v>1200</v>
      </c>
      <c r="H2126" s="332"/>
      <c r="I2126" s="397"/>
      <c r="J2126" s="335"/>
      <c r="K2126" s="374">
        <f t="shared" si="92"/>
        <v>138.47999999999999</v>
      </c>
      <c r="L2126" s="338">
        <f t="shared" si="91"/>
        <v>0</v>
      </c>
      <c r="M2126" s="330"/>
      <c r="N2126" s="289"/>
      <c r="O2126" s="289"/>
      <c r="P2126" s="289"/>
      <c r="Q2126" s="289"/>
      <c r="S2126" s="291"/>
      <c r="T2126" s="291"/>
      <c r="U2126" s="291"/>
      <c r="V2126" s="291"/>
    </row>
    <row r="2127" spans="1:22" s="700" customFormat="1" ht="27.75" customHeight="1">
      <c r="A2127" s="331">
        <v>10</v>
      </c>
      <c r="B2127" s="506" t="s">
        <v>2146</v>
      </c>
      <c r="C2127" s="584" t="s">
        <v>3541</v>
      </c>
      <c r="D2127" s="1370"/>
      <c r="E2127" s="409" t="s">
        <v>3416</v>
      </c>
      <c r="F2127" s="362">
        <v>1</v>
      </c>
      <c r="G2127" s="367">
        <v>1200</v>
      </c>
      <c r="H2127" s="332"/>
      <c r="I2127" s="397"/>
      <c r="J2127" s="335"/>
      <c r="K2127" s="374">
        <f t="shared" si="92"/>
        <v>138.47999999999999</v>
      </c>
      <c r="L2127" s="338">
        <f t="shared" si="91"/>
        <v>0</v>
      </c>
      <c r="M2127" s="330"/>
      <c r="N2127" s="289"/>
      <c r="O2127" s="289"/>
      <c r="P2127" s="289"/>
      <c r="Q2127" s="289"/>
      <c r="S2127" s="291"/>
      <c r="T2127" s="291"/>
      <c r="U2127" s="291"/>
      <c r="V2127" s="291"/>
    </row>
    <row r="2128" spans="1:22" s="700" customFormat="1" ht="27.75" customHeight="1">
      <c r="A2128" s="331">
        <v>11</v>
      </c>
      <c r="B2128" s="506" t="s">
        <v>2146</v>
      </c>
      <c r="C2128" s="584" t="s">
        <v>3542</v>
      </c>
      <c r="D2128" s="1370"/>
      <c r="E2128" s="409" t="s">
        <v>3416</v>
      </c>
      <c r="F2128" s="362">
        <v>1</v>
      </c>
      <c r="G2128" s="367">
        <v>1200</v>
      </c>
      <c r="H2128" s="332"/>
      <c r="I2128" s="397"/>
      <c r="J2128" s="335"/>
      <c r="K2128" s="374">
        <f t="shared" si="92"/>
        <v>138.47999999999999</v>
      </c>
      <c r="L2128" s="338">
        <f t="shared" si="91"/>
        <v>0</v>
      </c>
      <c r="M2128" s="330"/>
      <c r="N2128" s="289"/>
      <c r="O2128" s="289"/>
      <c r="P2128" s="289"/>
      <c r="Q2128" s="289"/>
      <c r="S2128" s="291"/>
      <c r="T2128" s="291"/>
      <c r="U2128" s="291"/>
      <c r="V2128" s="291"/>
    </row>
    <row r="2129" spans="1:22" s="700" customFormat="1" ht="27.75" customHeight="1">
      <c r="A2129" s="331">
        <v>12</v>
      </c>
      <c r="B2129" s="506" t="s">
        <v>2150</v>
      </c>
      <c r="C2129" s="584" t="s">
        <v>3543</v>
      </c>
      <c r="D2129" s="1370">
        <v>1200</v>
      </c>
      <c r="E2129" s="409"/>
      <c r="F2129" s="362"/>
      <c r="G2129" s="367"/>
      <c r="H2129" s="332"/>
      <c r="I2129" s="397"/>
      <c r="J2129" s="335"/>
      <c r="K2129" s="374">
        <f t="shared" si="92"/>
        <v>0</v>
      </c>
      <c r="L2129" s="338">
        <f t="shared" si="91"/>
        <v>0</v>
      </c>
      <c r="M2129" s="330"/>
      <c r="N2129" s="289"/>
      <c r="O2129" s="289"/>
      <c r="P2129" s="289"/>
      <c r="Q2129" s="289"/>
      <c r="S2129" s="291"/>
      <c r="T2129" s="291"/>
      <c r="U2129" s="291"/>
      <c r="V2129" s="291"/>
    </row>
    <row r="2130" spans="1:22" s="700" customFormat="1" ht="27.75" customHeight="1">
      <c r="A2130" s="331">
        <v>13</v>
      </c>
      <c r="B2130" s="506" t="s">
        <v>2152</v>
      </c>
      <c r="C2130" s="584" t="s">
        <v>2153</v>
      </c>
      <c r="D2130" s="1370">
        <v>1200</v>
      </c>
      <c r="E2130" s="409"/>
      <c r="F2130" s="362"/>
      <c r="G2130" s="367"/>
      <c r="H2130" s="332"/>
      <c r="I2130" s="397"/>
      <c r="J2130" s="335"/>
      <c r="K2130" s="374">
        <f t="shared" si="92"/>
        <v>0</v>
      </c>
      <c r="L2130" s="338">
        <f t="shared" si="91"/>
        <v>0</v>
      </c>
      <c r="M2130" s="330"/>
      <c r="N2130" s="289"/>
      <c r="O2130" s="289"/>
      <c r="P2130" s="289"/>
      <c r="Q2130" s="289"/>
      <c r="S2130" s="291"/>
      <c r="T2130" s="291"/>
      <c r="U2130" s="291"/>
      <c r="V2130" s="291"/>
    </row>
    <row r="2131" spans="1:22" s="700" customFormat="1" ht="27.75" customHeight="1">
      <c r="A2131" s="331">
        <v>14</v>
      </c>
      <c r="B2131" s="506" t="s">
        <v>2152</v>
      </c>
      <c r="C2131" s="584" t="s">
        <v>2155</v>
      </c>
      <c r="D2131" s="1370">
        <v>1200</v>
      </c>
      <c r="E2131" s="409"/>
      <c r="F2131" s="362"/>
      <c r="G2131" s="367"/>
      <c r="H2131" s="332"/>
      <c r="I2131" s="397"/>
      <c r="J2131" s="335"/>
      <c r="K2131" s="374">
        <f t="shared" si="92"/>
        <v>0</v>
      </c>
      <c r="L2131" s="338">
        <f t="shared" si="91"/>
        <v>0</v>
      </c>
      <c r="M2131" s="330"/>
      <c r="N2131" s="289"/>
      <c r="O2131" s="289"/>
      <c r="P2131" s="289"/>
      <c r="Q2131" s="289"/>
      <c r="S2131" s="291"/>
      <c r="T2131" s="291"/>
      <c r="U2131" s="291"/>
      <c r="V2131" s="291"/>
    </row>
    <row r="2132" spans="1:22" s="700" customFormat="1" ht="27.75" customHeight="1">
      <c r="A2132" s="331">
        <v>15</v>
      </c>
      <c r="B2132" s="506" t="s">
        <v>2158</v>
      </c>
      <c r="C2132" s="584" t="s">
        <v>2159</v>
      </c>
      <c r="D2132" s="1370">
        <v>2400</v>
      </c>
      <c r="E2132" s="409"/>
      <c r="F2132" s="362"/>
      <c r="G2132" s="367"/>
      <c r="H2132" s="332"/>
      <c r="I2132" s="397"/>
      <c r="J2132" s="335"/>
      <c r="K2132" s="374">
        <f t="shared" si="92"/>
        <v>0</v>
      </c>
      <c r="L2132" s="338">
        <f t="shared" si="91"/>
        <v>0</v>
      </c>
      <c r="M2132" s="330"/>
      <c r="N2132" s="289"/>
      <c r="O2132" s="289"/>
      <c r="P2132" s="289"/>
      <c r="Q2132" s="289"/>
      <c r="S2132" s="291"/>
      <c r="T2132" s="291"/>
      <c r="U2132" s="291"/>
      <c r="V2132" s="291"/>
    </row>
    <row r="2133" spans="1:22" s="700" customFormat="1" ht="27.75" customHeight="1">
      <c r="A2133" s="331">
        <v>16</v>
      </c>
      <c r="B2133" s="506" t="s">
        <v>2678</v>
      </c>
      <c r="C2133" s="584" t="s">
        <v>2679</v>
      </c>
      <c r="D2133" s="1370">
        <v>1200</v>
      </c>
      <c r="E2133" s="409"/>
      <c r="F2133" s="362"/>
      <c r="G2133" s="367"/>
      <c r="H2133" s="332"/>
      <c r="I2133" s="397"/>
      <c r="J2133" s="335"/>
      <c r="K2133" s="374">
        <f t="shared" si="92"/>
        <v>0</v>
      </c>
      <c r="L2133" s="338">
        <f t="shared" si="91"/>
        <v>0</v>
      </c>
      <c r="M2133" s="330"/>
      <c r="N2133" s="289"/>
      <c r="O2133" s="289"/>
      <c r="P2133" s="289"/>
      <c r="Q2133" s="289"/>
      <c r="S2133" s="291"/>
      <c r="T2133" s="291"/>
      <c r="U2133" s="291"/>
      <c r="V2133" s="291"/>
    </row>
    <row r="2134" spans="1:22" s="700" customFormat="1" ht="27.75" customHeight="1">
      <c r="A2134" s="331">
        <v>17</v>
      </c>
      <c r="B2134" s="506" t="s">
        <v>2390</v>
      </c>
      <c r="C2134" s="584" t="s">
        <v>3365</v>
      </c>
      <c r="D2134" s="1370"/>
      <c r="E2134" s="409" t="s">
        <v>3416</v>
      </c>
      <c r="F2134" s="362">
        <v>1</v>
      </c>
      <c r="G2134" s="367">
        <v>1200</v>
      </c>
      <c r="H2134" s="332"/>
      <c r="I2134" s="397"/>
      <c r="J2134" s="335"/>
      <c r="K2134" s="374">
        <f t="shared" si="92"/>
        <v>138.47999999999999</v>
      </c>
      <c r="L2134" s="338">
        <f t="shared" si="91"/>
        <v>0</v>
      </c>
      <c r="M2134" s="330"/>
      <c r="N2134" s="289"/>
      <c r="O2134" s="289"/>
      <c r="P2134" s="289"/>
      <c r="Q2134" s="289"/>
      <c r="S2134" s="291"/>
      <c r="T2134" s="291"/>
      <c r="U2134" s="291"/>
      <c r="V2134" s="291"/>
    </row>
    <row r="2135" spans="1:22" s="700" customFormat="1" ht="27.75" customHeight="1">
      <c r="A2135" s="331">
        <v>18</v>
      </c>
      <c r="B2135" s="506" t="s">
        <v>2167</v>
      </c>
      <c r="C2135" s="584" t="s">
        <v>3366</v>
      </c>
      <c r="D2135" s="1370"/>
      <c r="E2135" s="409" t="s">
        <v>3416</v>
      </c>
      <c r="F2135" s="362">
        <v>1</v>
      </c>
      <c r="G2135" s="367">
        <v>1200</v>
      </c>
      <c r="H2135" s="332"/>
      <c r="I2135" s="397"/>
      <c r="J2135" s="335"/>
      <c r="K2135" s="374">
        <f t="shared" si="92"/>
        <v>138.47999999999999</v>
      </c>
      <c r="L2135" s="338">
        <f t="shared" si="91"/>
        <v>0</v>
      </c>
      <c r="M2135" s="330"/>
      <c r="N2135" s="289"/>
      <c r="O2135" s="289"/>
      <c r="P2135" s="289"/>
      <c r="Q2135" s="289"/>
      <c r="S2135" s="291"/>
      <c r="T2135" s="291"/>
      <c r="U2135" s="291"/>
      <c r="V2135" s="291"/>
    </row>
    <row r="2136" spans="1:22" s="700" customFormat="1" ht="27.75" customHeight="1">
      <c r="A2136" s="331">
        <v>19</v>
      </c>
      <c r="B2136" s="506" t="s">
        <v>2173</v>
      </c>
      <c r="C2136" s="584" t="s">
        <v>3544</v>
      </c>
      <c r="D2136" s="1370"/>
      <c r="E2136" s="409" t="s">
        <v>3416</v>
      </c>
      <c r="F2136" s="362">
        <v>1</v>
      </c>
      <c r="G2136" s="367">
        <v>1200</v>
      </c>
      <c r="H2136" s="332"/>
      <c r="I2136" s="397"/>
      <c r="J2136" s="335"/>
      <c r="K2136" s="374">
        <f t="shared" si="92"/>
        <v>138.47999999999999</v>
      </c>
      <c r="L2136" s="338">
        <f t="shared" si="91"/>
        <v>0</v>
      </c>
      <c r="M2136" s="330"/>
      <c r="N2136" s="289"/>
      <c r="O2136" s="289"/>
      <c r="P2136" s="289"/>
      <c r="Q2136" s="289"/>
      <c r="S2136" s="291"/>
      <c r="T2136" s="291"/>
      <c r="U2136" s="291"/>
      <c r="V2136" s="291"/>
    </row>
    <row r="2137" spans="1:22" s="700" customFormat="1" ht="27.75" customHeight="1">
      <c r="A2137" s="331">
        <v>20</v>
      </c>
      <c r="B2137" s="506" t="s">
        <v>2176</v>
      </c>
      <c r="C2137" s="584" t="s">
        <v>2680</v>
      </c>
      <c r="D2137" s="1370">
        <v>1200</v>
      </c>
      <c r="E2137" s="409"/>
      <c r="F2137" s="362"/>
      <c r="G2137" s="367"/>
      <c r="H2137" s="332"/>
      <c r="I2137" s="397"/>
      <c r="J2137" s="335"/>
      <c r="K2137" s="374">
        <f t="shared" si="92"/>
        <v>0</v>
      </c>
      <c r="L2137" s="338">
        <f t="shared" si="91"/>
        <v>0</v>
      </c>
      <c r="M2137" s="330"/>
      <c r="N2137" s="289"/>
      <c r="O2137" s="289"/>
      <c r="P2137" s="289"/>
      <c r="Q2137" s="289"/>
      <c r="S2137" s="291"/>
      <c r="T2137" s="291"/>
      <c r="U2137" s="291"/>
      <c r="V2137" s="291"/>
    </row>
    <row r="2138" spans="1:22" s="700" customFormat="1" ht="27.75" customHeight="1">
      <c r="A2138" s="331">
        <v>21</v>
      </c>
      <c r="B2138" s="506" t="s">
        <v>2176</v>
      </c>
      <c r="C2138" s="584" t="s">
        <v>2681</v>
      </c>
      <c r="D2138" s="1370">
        <v>1200</v>
      </c>
      <c r="E2138" s="409"/>
      <c r="F2138" s="362"/>
      <c r="G2138" s="367"/>
      <c r="H2138" s="332"/>
      <c r="I2138" s="397"/>
      <c r="J2138" s="335"/>
      <c r="K2138" s="374">
        <f t="shared" si="92"/>
        <v>0</v>
      </c>
      <c r="L2138" s="338">
        <f t="shared" si="91"/>
        <v>0</v>
      </c>
      <c r="M2138" s="330"/>
      <c r="N2138" s="289"/>
      <c r="O2138" s="289"/>
      <c r="P2138" s="289"/>
      <c r="Q2138" s="289"/>
      <c r="S2138" s="291"/>
      <c r="T2138" s="291"/>
      <c r="U2138" s="291"/>
      <c r="V2138" s="291"/>
    </row>
    <row r="2139" spans="1:22" s="700" customFormat="1" ht="27.75" customHeight="1">
      <c r="A2139" s="331">
        <v>22</v>
      </c>
      <c r="B2139" s="506" t="s">
        <v>2308</v>
      </c>
      <c r="C2139" s="584" t="s">
        <v>3545</v>
      </c>
      <c r="D2139" s="1370"/>
      <c r="E2139" s="409" t="s">
        <v>3416</v>
      </c>
      <c r="F2139" s="362">
        <v>1</v>
      </c>
      <c r="G2139" s="367">
        <v>1200</v>
      </c>
      <c r="H2139" s="332"/>
      <c r="I2139" s="397"/>
      <c r="J2139" s="335"/>
      <c r="K2139" s="374">
        <f t="shared" si="92"/>
        <v>138.47999999999999</v>
      </c>
      <c r="L2139" s="338">
        <f t="shared" si="91"/>
        <v>0</v>
      </c>
      <c r="M2139" s="330"/>
      <c r="N2139" s="289"/>
      <c r="O2139" s="289"/>
      <c r="P2139" s="289"/>
      <c r="Q2139" s="289"/>
      <c r="S2139" s="291"/>
      <c r="T2139" s="291"/>
      <c r="U2139" s="291"/>
      <c r="V2139" s="291"/>
    </row>
    <row r="2140" spans="1:22" s="700" customFormat="1" ht="27.75" customHeight="1">
      <c r="A2140" s="331">
        <v>23</v>
      </c>
      <c r="B2140" s="506" t="s">
        <v>2177</v>
      </c>
      <c r="C2140" s="584" t="s">
        <v>2178</v>
      </c>
      <c r="D2140" s="475">
        <v>1200</v>
      </c>
      <c r="E2140" s="409"/>
      <c r="F2140" s="362"/>
      <c r="G2140" s="367"/>
      <c r="H2140" s="332"/>
      <c r="I2140" s="397"/>
      <c r="J2140" s="335"/>
      <c r="K2140" s="374">
        <f t="shared" si="92"/>
        <v>0</v>
      </c>
      <c r="L2140" s="338">
        <f t="shared" si="91"/>
        <v>0</v>
      </c>
      <c r="M2140" s="330"/>
      <c r="N2140" s="289"/>
      <c r="O2140" s="289"/>
      <c r="P2140" s="289"/>
      <c r="Q2140" s="289"/>
      <c r="S2140" s="291"/>
      <c r="T2140" s="291"/>
      <c r="U2140" s="291"/>
      <c r="V2140" s="291"/>
    </row>
    <row r="2141" spans="1:22" s="700" customFormat="1" ht="27.75" customHeight="1">
      <c r="A2141" s="331">
        <v>24</v>
      </c>
      <c r="B2141" s="506" t="s">
        <v>2177</v>
      </c>
      <c r="C2141" s="584" t="s">
        <v>2179</v>
      </c>
      <c r="D2141" s="475">
        <v>1200</v>
      </c>
      <c r="E2141" s="409"/>
      <c r="F2141" s="362"/>
      <c r="G2141" s="367"/>
      <c r="H2141" s="332"/>
      <c r="I2141" s="397"/>
      <c r="J2141" s="335"/>
      <c r="K2141" s="374">
        <f t="shared" si="92"/>
        <v>0</v>
      </c>
      <c r="L2141" s="338">
        <f t="shared" si="91"/>
        <v>0</v>
      </c>
      <c r="M2141" s="330"/>
      <c r="N2141" s="289"/>
      <c r="O2141" s="289"/>
      <c r="P2141" s="289"/>
      <c r="Q2141" s="289"/>
      <c r="S2141" s="291"/>
      <c r="T2141" s="291"/>
      <c r="U2141" s="291"/>
      <c r="V2141" s="291"/>
    </row>
    <row r="2142" spans="1:22" s="700" customFormat="1" ht="27.75" customHeight="1">
      <c r="A2142" s="331">
        <v>25</v>
      </c>
      <c r="B2142" s="506" t="s">
        <v>2180</v>
      </c>
      <c r="C2142" s="584" t="s">
        <v>2181</v>
      </c>
      <c r="D2142" s="475">
        <v>1200</v>
      </c>
      <c r="E2142" s="409"/>
      <c r="F2142" s="362"/>
      <c r="G2142" s="367"/>
      <c r="H2142" s="332"/>
      <c r="I2142" s="397"/>
      <c r="J2142" s="335"/>
      <c r="K2142" s="374">
        <f t="shared" si="92"/>
        <v>0</v>
      </c>
      <c r="L2142" s="338">
        <f t="shared" si="91"/>
        <v>0</v>
      </c>
      <c r="M2142" s="330"/>
      <c r="N2142" s="289"/>
      <c r="O2142" s="289"/>
      <c r="P2142" s="289"/>
      <c r="Q2142" s="289"/>
      <c r="S2142" s="291"/>
      <c r="T2142" s="291"/>
      <c r="U2142" s="291"/>
      <c r="V2142" s="291"/>
    </row>
    <row r="2143" spans="1:22" s="700" customFormat="1" ht="27.75" customHeight="1">
      <c r="A2143" s="331">
        <v>26</v>
      </c>
      <c r="B2143" s="506" t="s">
        <v>2714</v>
      </c>
      <c r="C2143" s="584" t="s">
        <v>3546</v>
      </c>
      <c r="D2143" s="382"/>
      <c r="E2143" s="409" t="s">
        <v>3416</v>
      </c>
      <c r="F2143" s="362">
        <v>1</v>
      </c>
      <c r="G2143" s="367">
        <v>1200</v>
      </c>
      <c r="H2143" s="332"/>
      <c r="I2143" s="397"/>
      <c r="J2143" s="335"/>
      <c r="K2143" s="374">
        <f t="shared" si="92"/>
        <v>138.47999999999999</v>
      </c>
      <c r="L2143" s="338">
        <f t="shared" si="91"/>
        <v>0</v>
      </c>
      <c r="M2143" s="330"/>
      <c r="N2143" s="289"/>
      <c r="O2143" s="289"/>
      <c r="P2143" s="289"/>
      <c r="Q2143" s="289"/>
      <c r="S2143" s="291"/>
      <c r="T2143" s="291"/>
      <c r="U2143" s="291"/>
      <c r="V2143" s="291"/>
    </row>
    <row r="2144" spans="1:22" s="700" customFormat="1" ht="27.75" customHeight="1">
      <c r="A2144" s="331">
        <v>27</v>
      </c>
      <c r="B2144" s="506" t="s">
        <v>2154</v>
      </c>
      <c r="C2144" s="584" t="s">
        <v>3547</v>
      </c>
      <c r="D2144" s="382"/>
      <c r="E2144" s="409" t="s">
        <v>3416</v>
      </c>
      <c r="F2144" s="362">
        <v>1</v>
      </c>
      <c r="G2144" s="367">
        <v>1200</v>
      </c>
      <c r="H2144" s="332"/>
      <c r="I2144" s="397"/>
      <c r="J2144" s="335"/>
      <c r="K2144" s="374">
        <f t="shared" si="92"/>
        <v>138.47999999999999</v>
      </c>
      <c r="L2144" s="338">
        <f t="shared" si="91"/>
        <v>0</v>
      </c>
      <c r="M2144" s="330"/>
      <c r="N2144" s="289"/>
      <c r="O2144" s="289"/>
      <c r="P2144" s="289"/>
      <c r="Q2144" s="289"/>
      <c r="S2144" s="291"/>
      <c r="T2144" s="291"/>
      <c r="U2144" s="291"/>
      <c r="V2144" s="291"/>
    </row>
    <row r="2145" spans="1:22" s="700" customFormat="1" ht="27.75" customHeight="1">
      <c r="A2145" s="331">
        <v>28</v>
      </c>
      <c r="B2145" s="506" t="s">
        <v>2714</v>
      </c>
      <c r="C2145" s="584" t="s">
        <v>3548</v>
      </c>
      <c r="D2145" s="382"/>
      <c r="E2145" s="409" t="s">
        <v>3416</v>
      </c>
      <c r="F2145" s="362">
        <v>1</v>
      </c>
      <c r="G2145" s="367">
        <v>1200</v>
      </c>
      <c r="H2145" s="332"/>
      <c r="I2145" s="397"/>
      <c r="J2145" s="335"/>
      <c r="K2145" s="374">
        <f t="shared" si="92"/>
        <v>138.47999999999999</v>
      </c>
      <c r="L2145" s="338">
        <f t="shared" si="91"/>
        <v>0</v>
      </c>
      <c r="M2145" s="330"/>
      <c r="N2145" s="289"/>
      <c r="O2145" s="289"/>
      <c r="P2145" s="289"/>
      <c r="Q2145" s="289"/>
      <c r="S2145" s="291"/>
      <c r="T2145" s="291"/>
      <c r="U2145" s="291"/>
      <c r="V2145" s="291"/>
    </row>
    <row r="2146" spans="1:22" s="700" customFormat="1" ht="27.75" customHeight="1">
      <c r="A2146" s="331">
        <v>29</v>
      </c>
      <c r="B2146" s="506" t="s">
        <v>2154</v>
      </c>
      <c r="C2146" s="584" t="s">
        <v>3549</v>
      </c>
      <c r="D2146" s="475"/>
      <c r="E2146" s="409" t="s">
        <v>3416</v>
      </c>
      <c r="F2146" s="362">
        <v>1</v>
      </c>
      <c r="G2146" s="367">
        <v>1200</v>
      </c>
      <c r="H2146" s="332"/>
      <c r="I2146" s="397"/>
      <c r="J2146" s="335"/>
      <c r="K2146" s="374">
        <f t="shared" si="92"/>
        <v>138.47999999999999</v>
      </c>
      <c r="L2146" s="338">
        <f t="shared" si="91"/>
        <v>0</v>
      </c>
      <c r="M2146" s="330"/>
      <c r="N2146" s="289"/>
      <c r="O2146" s="289"/>
      <c r="P2146" s="289"/>
      <c r="Q2146" s="289"/>
      <c r="S2146" s="291"/>
      <c r="T2146" s="291"/>
      <c r="U2146" s="291"/>
      <c r="V2146" s="291"/>
    </row>
    <row r="2147" spans="1:22" s="700" customFormat="1" ht="27.75" customHeight="1">
      <c r="A2147" s="331">
        <v>30</v>
      </c>
      <c r="B2147" s="506" t="s">
        <v>2714</v>
      </c>
      <c r="C2147" s="584" t="s">
        <v>3550</v>
      </c>
      <c r="D2147" s="475"/>
      <c r="E2147" s="409" t="s">
        <v>3416</v>
      </c>
      <c r="F2147" s="362">
        <v>1</v>
      </c>
      <c r="G2147" s="367">
        <v>1200</v>
      </c>
      <c r="H2147" s="332"/>
      <c r="I2147" s="397"/>
      <c r="J2147" s="335"/>
      <c r="K2147" s="374">
        <f t="shared" si="92"/>
        <v>138.47999999999999</v>
      </c>
      <c r="L2147" s="338">
        <f t="shared" si="91"/>
        <v>0</v>
      </c>
      <c r="M2147" s="330"/>
      <c r="N2147" s="289"/>
      <c r="O2147" s="289"/>
      <c r="P2147" s="289"/>
      <c r="Q2147" s="289"/>
      <c r="S2147" s="291"/>
      <c r="T2147" s="291"/>
      <c r="U2147" s="291"/>
      <c r="V2147" s="291"/>
    </row>
    <row r="2148" spans="1:22" s="700" customFormat="1" ht="27.75" customHeight="1">
      <c r="A2148" s="331">
        <v>31</v>
      </c>
      <c r="B2148" s="506" t="s">
        <v>2154</v>
      </c>
      <c r="C2148" s="584" t="s">
        <v>3551</v>
      </c>
      <c r="D2148" s="475"/>
      <c r="E2148" s="409" t="s">
        <v>3416</v>
      </c>
      <c r="F2148" s="362">
        <v>1</v>
      </c>
      <c r="G2148" s="367">
        <v>1200</v>
      </c>
      <c r="H2148" s="332"/>
      <c r="I2148" s="397"/>
      <c r="J2148" s="335"/>
      <c r="K2148" s="374">
        <f t="shared" si="92"/>
        <v>138.47999999999999</v>
      </c>
      <c r="L2148" s="338">
        <f t="shared" si="91"/>
        <v>0</v>
      </c>
      <c r="M2148" s="330"/>
      <c r="N2148" s="289"/>
      <c r="O2148" s="289"/>
      <c r="P2148" s="289"/>
      <c r="Q2148" s="289"/>
      <c r="S2148" s="291"/>
      <c r="T2148" s="291"/>
      <c r="U2148" s="291"/>
      <c r="V2148" s="291"/>
    </row>
    <row r="2149" spans="1:22" s="700" customFormat="1" ht="27.75" customHeight="1">
      <c r="A2149" s="331">
        <v>32</v>
      </c>
      <c r="B2149" s="506" t="s">
        <v>2186</v>
      </c>
      <c r="C2149" s="584" t="s">
        <v>3552</v>
      </c>
      <c r="D2149" s="475"/>
      <c r="E2149" s="409" t="s">
        <v>3416</v>
      </c>
      <c r="F2149" s="362">
        <v>1</v>
      </c>
      <c r="G2149" s="367">
        <v>1200</v>
      </c>
      <c r="H2149" s="332"/>
      <c r="I2149" s="397"/>
      <c r="J2149" s="335"/>
      <c r="K2149" s="374">
        <f t="shared" si="92"/>
        <v>138.47999999999999</v>
      </c>
      <c r="L2149" s="338">
        <f t="shared" si="91"/>
        <v>0</v>
      </c>
      <c r="M2149" s="330"/>
      <c r="N2149" s="289"/>
      <c r="O2149" s="289"/>
      <c r="P2149" s="289"/>
      <c r="Q2149" s="289"/>
      <c r="S2149" s="291"/>
      <c r="T2149" s="291"/>
      <c r="U2149" s="291"/>
      <c r="V2149" s="291"/>
    </row>
    <row r="2150" spans="1:22" s="700" customFormat="1" ht="27.75" customHeight="1">
      <c r="A2150" s="331">
        <v>33</v>
      </c>
      <c r="B2150" s="506" t="s">
        <v>2185</v>
      </c>
      <c r="C2150" s="584" t="s">
        <v>3553</v>
      </c>
      <c r="D2150" s="475"/>
      <c r="E2150" s="409" t="s">
        <v>3416</v>
      </c>
      <c r="F2150" s="362">
        <v>1</v>
      </c>
      <c r="G2150" s="367">
        <v>1200</v>
      </c>
      <c r="H2150" s="332"/>
      <c r="I2150" s="397"/>
      <c r="J2150" s="335"/>
      <c r="K2150" s="374">
        <f t="shared" si="92"/>
        <v>138.47999999999999</v>
      </c>
      <c r="L2150" s="338">
        <f t="shared" si="91"/>
        <v>0</v>
      </c>
      <c r="M2150" s="330"/>
      <c r="N2150" s="289"/>
      <c r="O2150" s="289"/>
      <c r="P2150" s="289"/>
      <c r="Q2150" s="289"/>
      <c r="S2150" s="291"/>
      <c r="T2150" s="291"/>
      <c r="U2150" s="291"/>
      <c r="V2150" s="291"/>
    </row>
    <row r="2151" spans="1:22" s="700" customFormat="1" ht="27.75" customHeight="1">
      <c r="A2151" s="331">
        <v>34</v>
      </c>
      <c r="B2151" s="506" t="s">
        <v>2185</v>
      </c>
      <c r="C2151" s="584" t="s">
        <v>3554</v>
      </c>
      <c r="D2151" s="475"/>
      <c r="E2151" s="409" t="s">
        <v>3416</v>
      </c>
      <c r="F2151" s="362">
        <v>1</v>
      </c>
      <c r="G2151" s="367">
        <v>1200</v>
      </c>
      <c r="H2151" s="332"/>
      <c r="I2151" s="397"/>
      <c r="J2151" s="335"/>
      <c r="K2151" s="374">
        <f t="shared" si="92"/>
        <v>138.47999999999999</v>
      </c>
      <c r="L2151" s="338">
        <f t="shared" si="91"/>
        <v>0</v>
      </c>
      <c r="M2151" s="330"/>
      <c r="N2151" s="289"/>
      <c r="O2151" s="289"/>
      <c r="P2151" s="289"/>
      <c r="Q2151" s="289"/>
      <c r="S2151" s="291"/>
      <c r="T2151" s="291"/>
      <c r="U2151" s="291"/>
      <c r="V2151" s="291"/>
    </row>
    <row r="2152" spans="1:22" s="700" customFormat="1" ht="27.75" customHeight="1">
      <c r="A2152" s="331">
        <v>35</v>
      </c>
      <c r="B2152" s="506" t="s">
        <v>2185</v>
      </c>
      <c r="C2152" s="584" t="s">
        <v>3555</v>
      </c>
      <c r="D2152" s="335"/>
      <c r="E2152" s="409" t="s">
        <v>3416</v>
      </c>
      <c r="F2152" s="362">
        <v>1</v>
      </c>
      <c r="G2152" s="367">
        <v>1200</v>
      </c>
      <c r="H2152" s="332"/>
      <c r="I2152" s="397"/>
      <c r="J2152" s="335"/>
      <c r="K2152" s="374">
        <f t="shared" si="92"/>
        <v>138.47999999999999</v>
      </c>
      <c r="L2152" s="338">
        <f t="shared" si="91"/>
        <v>0</v>
      </c>
      <c r="M2152" s="330"/>
      <c r="N2152" s="289"/>
      <c r="O2152" s="289"/>
      <c r="P2152" s="289"/>
      <c r="Q2152" s="289"/>
      <c r="S2152" s="291"/>
      <c r="T2152" s="291"/>
      <c r="U2152" s="291"/>
      <c r="V2152" s="291"/>
    </row>
    <row r="2153" spans="1:22" s="700" customFormat="1" ht="27.75" customHeight="1">
      <c r="A2153" s="331">
        <v>36</v>
      </c>
      <c r="B2153" s="506" t="s">
        <v>2187</v>
      </c>
      <c r="C2153" s="584" t="s">
        <v>3556</v>
      </c>
      <c r="D2153" s="475"/>
      <c r="E2153" s="409" t="s">
        <v>3416</v>
      </c>
      <c r="F2153" s="362">
        <v>1</v>
      </c>
      <c r="G2153" s="367">
        <v>1200</v>
      </c>
      <c r="H2153" s="332"/>
      <c r="I2153" s="397"/>
      <c r="J2153" s="335"/>
      <c r="K2153" s="374">
        <f t="shared" si="92"/>
        <v>138.47999999999999</v>
      </c>
      <c r="L2153" s="338">
        <f t="shared" si="91"/>
        <v>0</v>
      </c>
      <c r="M2153" s="330"/>
      <c r="N2153" s="289"/>
      <c r="O2153" s="289"/>
      <c r="P2153" s="289"/>
      <c r="Q2153" s="289"/>
      <c r="S2153" s="291"/>
      <c r="T2153" s="291"/>
      <c r="U2153" s="291"/>
      <c r="V2153" s="291"/>
    </row>
    <row r="2154" spans="1:22" s="700" customFormat="1" ht="27.75" customHeight="1">
      <c r="A2154" s="331">
        <v>37</v>
      </c>
      <c r="B2154" s="506" t="s">
        <v>2254</v>
      </c>
      <c r="C2154" s="584" t="s">
        <v>3557</v>
      </c>
      <c r="D2154" s="475"/>
      <c r="E2154" s="409" t="s">
        <v>3416</v>
      </c>
      <c r="F2154" s="362">
        <v>1</v>
      </c>
      <c r="G2154" s="367">
        <v>1200</v>
      </c>
      <c r="H2154" s="332"/>
      <c r="I2154" s="397"/>
      <c r="J2154" s="335"/>
      <c r="K2154" s="374">
        <f t="shared" si="92"/>
        <v>138.47999999999999</v>
      </c>
      <c r="L2154" s="338">
        <f t="shared" si="91"/>
        <v>0</v>
      </c>
      <c r="M2154" s="330"/>
      <c r="N2154" s="289"/>
      <c r="O2154" s="289"/>
      <c r="P2154" s="289"/>
      <c r="Q2154" s="289"/>
      <c r="S2154" s="291"/>
      <c r="T2154" s="291"/>
      <c r="U2154" s="291"/>
      <c r="V2154" s="291"/>
    </row>
    <row r="2155" spans="1:22" s="700" customFormat="1" ht="27.75" customHeight="1">
      <c r="A2155" s="331">
        <v>38</v>
      </c>
      <c r="B2155" s="506" t="s">
        <v>2254</v>
      </c>
      <c r="C2155" s="584" t="s">
        <v>3558</v>
      </c>
      <c r="D2155" s="475"/>
      <c r="E2155" s="409" t="s">
        <v>3416</v>
      </c>
      <c r="F2155" s="362">
        <v>1</v>
      </c>
      <c r="G2155" s="367">
        <v>1200</v>
      </c>
      <c r="H2155" s="332"/>
      <c r="I2155" s="397"/>
      <c r="J2155" s="335"/>
      <c r="K2155" s="374">
        <f t="shared" si="92"/>
        <v>138.47999999999999</v>
      </c>
      <c r="L2155" s="338">
        <f t="shared" ref="L2155:L2218" si="93">+J2155</f>
        <v>0</v>
      </c>
      <c r="M2155" s="330"/>
      <c r="N2155" s="289"/>
      <c r="O2155" s="289"/>
      <c r="P2155" s="289"/>
      <c r="Q2155" s="289"/>
      <c r="S2155" s="291"/>
      <c r="T2155" s="291"/>
      <c r="U2155" s="291"/>
      <c r="V2155" s="291"/>
    </row>
    <row r="2156" spans="1:22" s="700" customFormat="1" ht="27.75" customHeight="1">
      <c r="A2156" s="331">
        <v>39</v>
      </c>
      <c r="B2156" s="506" t="s">
        <v>2190</v>
      </c>
      <c r="C2156" s="584" t="s">
        <v>3559</v>
      </c>
      <c r="D2156" s="475"/>
      <c r="E2156" s="409" t="s">
        <v>3416</v>
      </c>
      <c r="F2156" s="362">
        <v>1</v>
      </c>
      <c r="G2156" s="367">
        <v>1200</v>
      </c>
      <c r="H2156" s="332"/>
      <c r="I2156" s="397"/>
      <c r="J2156" s="335"/>
      <c r="K2156" s="374">
        <f t="shared" si="92"/>
        <v>138.47999999999999</v>
      </c>
      <c r="L2156" s="338">
        <f t="shared" si="93"/>
        <v>0</v>
      </c>
      <c r="M2156" s="330"/>
      <c r="N2156" s="289"/>
      <c r="O2156" s="289"/>
      <c r="P2156" s="289"/>
      <c r="Q2156" s="289"/>
      <c r="S2156" s="291"/>
      <c r="T2156" s="291"/>
      <c r="U2156" s="291"/>
      <c r="V2156" s="291"/>
    </row>
    <row r="2157" spans="1:22" s="700" customFormat="1" ht="27.75" customHeight="1">
      <c r="A2157" s="331">
        <v>40</v>
      </c>
      <c r="B2157" s="506" t="s">
        <v>2190</v>
      </c>
      <c r="C2157" s="584" t="s">
        <v>3560</v>
      </c>
      <c r="D2157" s="475"/>
      <c r="E2157" s="409" t="s">
        <v>3416</v>
      </c>
      <c r="F2157" s="362">
        <v>1</v>
      </c>
      <c r="G2157" s="367">
        <v>1200</v>
      </c>
      <c r="H2157" s="332"/>
      <c r="I2157" s="397"/>
      <c r="J2157" s="335"/>
      <c r="K2157" s="374">
        <f t="shared" si="92"/>
        <v>138.47999999999999</v>
      </c>
      <c r="L2157" s="338">
        <f t="shared" si="93"/>
        <v>0</v>
      </c>
      <c r="M2157" s="330"/>
      <c r="N2157" s="289"/>
      <c r="O2157" s="289"/>
      <c r="P2157" s="289"/>
      <c r="Q2157" s="289"/>
      <c r="S2157" s="291"/>
      <c r="T2157" s="291"/>
      <c r="U2157" s="291"/>
      <c r="V2157" s="291"/>
    </row>
    <row r="2158" spans="1:22" s="700" customFormat="1" ht="27.75" customHeight="1">
      <c r="A2158" s="331">
        <v>41</v>
      </c>
      <c r="B2158" s="506" t="s">
        <v>2190</v>
      </c>
      <c r="C2158" s="584" t="s">
        <v>3561</v>
      </c>
      <c r="D2158" s="475"/>
      <c r="E2158" s="409" t="s">
        <v>3416</v>
      </c>
      <c r="F2158" s="362">
        <v>1</v>
      </c>
      <c r="G2158" s="367">
        <v>1200</v>
      </c>
      <c r="H2158" s="332"/>
      <c r="I2158" s="397"/>
      <c r="J2158" s="335"/>
      <c r="K2158" s="374">
        <f t="shared" si="92"/>
        <v>138.47999999999999</v>
      </c>
      <c r="L2158" s="338">
        <f t="shared" si="93"/>
        <v>0</v>
      </c>
      <c r="M2158" s="330"/>
      <c r="N2158" s="289"/>
      <c r="O2158" s="289"/>
      <c r="P2158" s="289"/>
      <c r="Q2158" s="289"/>
      <c r="S2158" s="291"/>
      <c r="T2158" s="291"/>
      <c r="U2158" s="291"/>
      <c r="V2158" s="291"/>
    </row>
    <row r="2159" spans="1:22" s="700" customFormat="1" ht="27.75" customHeight="1">
      <c r="A2159" s="331">
        <v>42</v>
      </c>
      <c r="B2159" s="506" t="s">
        <v>2190</v>
      </c>
      <c r="C2159" s="584" t="s">
        <v>3562</v>
      </c>
      <c r="D2159" s="475"/>
      <c r="E2159" s="409" t="s">
        <v>3416</v>
      </c>
      <c r="F2159" s="362">
        <v>1</v>
      </c>
      <c r="G2159" s="367">
        <v>1200</v>
      </c>
      <c r="H2159" s="332"/>
      <c r="I2159" s="397"/>
      <c r="J2159" s="335"/>
      <c r="K2159" s="374">
        <f t="shared" si="92"/>
        <v>138.47999999999999</v>
      </c>
      <c r="L2159" s="338">
        <f t="shared" si="93"/>
        <v>0</v>
      </c>
      <c r="M2159" s="330"/>
      <c r="N2159" s="289"/>
      <c r="O2159" s="289"/>
      <c r="P2159" s="289"/>
      <c r="Q2159" s="289"/>
      <c r="S2159" s="291"/>
      <c r="T2159" s="291"/>
      <c r="U2159" s="291"/>
      <c r="V2159" s="291"/>
    </row>
    <row r="2160" spans="1:22" s="700" customFormat="1" ht="27.75" customHeight="1">
      <c r="A2160" s="331">
        <v>43</v>
      </c>
      <c r="B2160" s="506" t="s">
        <v>2041</v>
      </c>
      <c r="C2160" s="584" t="s">
        <v>2649</v>
      </c>
      <c r="D2160" s="475">
        <v>1200</v>
      </c>
      <c r="E2160" s="409"/>
      <c r="F2160" s="362"/>
      <c r="G2160" s="367"/>
      <c r="H2160" s="332"/>
      <c r="I2160" s="397"/>
      <c r="J2160" s="335"/>
      <c r="K2160" s="374">
        <f t="shared" si="92"/>
        <v>0</v>
      </c>
      <c r="L2160" s="338">
        <f t="shared" si="93"/>
        <v>0</v>
      </c>
      <c r="M2160" s="330"/>
      <c r="N2160" s="289"/>
      <c r="O2160" s="289"/>
      <c r="P2160" s="289"/>
      <c r="Q2160" s="289"/>
      <c r="S2160" s="291"/>
      <c r="T2160" s="291"/>
      <c r="U2160" s="291"/>
      <c r="V2160" s="291"/>
    </row>
    <row r="2161" spans="1:22" s="700" customFormat="1" ht="27.75" customHeight="1">
      <c r="A2161" s="331">
        <v>44</v>
      </c>
      <c r="B2161" s="506" t="s">
        <v>2041</v>
      </c>
      <c r="C2161" s="584" t="s">
        <v>2650</v>
      </c>
      <c r="D2161" s="335">
        <v>1200</v>
      </c>
      <c r="E2161" s="409"/>
      <c r="F2161" s="362"/>
      <c r="G2161" s="367"/>
      <c r="H2161" s="332"/>
      <c r="I2161" s="397"/>
      <c r="J2161" s="335"/>
      <c r="K2161" s="374">
        <f t="shared" si="92"/>
        <v>0</v>
      </c>
      <c r="L2161" s="338">
        <f t="shared" si="93"/>
        <v>0</v>
      </c>
      <c r="M2161" s="330"/>
      <c r="N2161" s="289"/>
      <c r="O2161" s="289"/>
      <c r="P2161" s="289"/>
      <c r="Q2161" s="289"/>
      <c r="S2161" s="291"/>
      <c r="T2161" s="291"/>
      <c r="U2161" s="291"/>
      <c r="V2161" s="291"/>
    </row>
    <row r="2162" spans="1:22" s="700" customFormat="1" ht="27.75" customHeight="1">
      <c r="A2162" s="331">
        <v>45</v>
      </c>
      <c r="B2162" s="506" t="s">
        <v>2195</v>
      </c>
      <c r="C2162" s="584" t="s">
        <v>2196</v>
      </c>
      <c r="D2162" s="335">
        <v>1200</v>
      </c>
      <c r="E2162" s="409"/>
      <c r="F2162" s="362"/>
      <c r="G2162" s="367"/>
      <c r="H2162" s="332"/>
      <c r="I2162" s="397"/>
      <c r="J2162" s="335"/>
      <c r="K2162" s="374">
        <f t="shared" si="92"/>
        <v>0</v>
      </c>
      <c r="L2162" s="338">
        <f t="shared" si="93"/>
        <v>0</v>
      </c>
      <c r="M2162" s="330"/>
      <c r="N2162" s="289"/>
      <c r="O2162" s="289"/>
      <c r="P2162" s="289"/>
      <c r="Q2162" s="289"/>
      <c r="S2162" s="291"/>
      <c r="T2162" s="291"/>
      <c r="U2162" s="291"/>
      <c r="V2162" s="291"/>
    </row>
    <row r="2163" spans="1:22" s="700" customFormat="1" ht="27.75" customHeight="1">
      <c r="A2163" s="331">
        <v>46</v>
      </c>
      <c r="B2163" s="506" t="s">
        <v>2255</v>
      </c>
      <c r="C2163" s="584" t="s">
        <v>3563</v>
      </c>
      <c r="D2163" s="335"/>
      <c r="E2163" s="409" t="s">
        <v>3416</v>
      </c>
      <c r="F2163" s="362">
        <v>1</v>
      </c>
      <c r="G2163" s="367">
        <v>1200</v>
      </c>
      <c r="H2163" s="332"/>
      <c r="I2163" s="397"/>
      <c r="J2163" s="335"/>
      <c r="K2163" s="374">
        <f t="shared" si="92"/>
        <v>138.47999999999999</v>
      </c>
      <c r="L2163" s="338">
        <f t="shared" si="93"/>
        <v>0</v>
      </c>
      <c r="M2163" s="330"/>
      <c r="N2163" s="289"/>
      <c r="O2163" s="289"/>
      <c r="P2163" s="289"/>
      <c r="Q2163" s="289"/>
      <c r="S2163" s="291"/>
      <c r="T2163" s="291"/>
      <c r="U2163" s="291"/>
      <c r="V2163" s="291"/>
    </row>
    <row r="2164" spans="1:22" s="700" customFormat="1" ht="27.75" customHeight="1">
      <c r="A2164" s="331">
        <v>47</v>
      </c>
      <c r="B2164" s="506" t="s">
        <v>2204</v>
      </c>
      <c r="C2164" s="584" t="s">
        <v>2205</v>
      </c>
      <c r="D2164" s="335">
        <v>1200</v>
      </c>
      <c r="E2164" s="409"/>
      <c r="F2164" s="362"/>
      <c r="G2164" s="367"/>
      <c r="H2164" s="332"/>
      <c r="I2164" s="397"/>
      <c r="J2164" s="335"/>
      <c r="K2164" s="374">
        <f t="shared" si="92"/>
        <v>0</v>
      </c>
      <c r="L2164" s="338">
        <f t="shared" si="93"/>
        <v>0</v>
      </c>
      <c r="M2164" s="330"/>
      <c r="N2164" s="289"/>
      <c r="O2164" s="289"/>
      <c r="P2164" s="289"/>
      <c r="Q2164" s="289"/>
      <c r="S2164" s="291"/>
      <c r="T2164" s="291"/>
      <c r="U2164" s="291"/>
      <c r="V2164" s="291"/>
    </row>
    <row r="2165" spans="1:22" s="700" customFormat="1" ht="27.75" customHeight="1">
      <c r="A2165" s="331">
        <v>48</v>
      </c>
      <c r="B2165" s="506" t="s">
        <v>2206</v>
      </c>
      <c r="C2165" s="584" t="s">
        <v>2207</v>
      </c>
      <c r="D2165" s="335">
        <v>1200</v>
      </c>
      <c r="E2165" s="409"/>
      <c r="F2165" s="362"/>
      <c r="G2165" s="367"/>
      <c r="H2165" s="332"/>
      <c r="I2165" s="397"/>
      <c r="J2165" s="335"/>
      <c r="K2165" s="374">
        <f t="shared" si="92"/>
        <v>0</v>
      </c>
      <c r="L2165" s="338">
        <f t="shared" si="93"/>
        <v>0</v>
      </c>
      <c r="M2165" s="330"/>
      <c r="N2165" s="289"/>
      <c r="O2165" s="289"/>
      <c r="P2165" s="289"/>
      <c r="Q2165" s="289"/>
      <c r="S2165" s="291"/>
      <c r="T2165" s="291"/>
      <c r="U2165" s="291"/>
      <c r="V2165" s="291"/>
    </row>
    <row r="2166" spans="1:22" s="700" customFormat="1" ht="27.75" customHeight="1">
      <c r="A2166" s="331">
        <v>49</v>
      </c>
      <c r="B2166" s="506" t="s">
        <v>2126</v>
      </c>
      <c r="C2166" s="584" t="s">
        <v>3564</v>
      </c>
      <c r="D2166" s="335"/>
      <c r="E2166" s="409" t="s">
        <v>3416</v>
      </c>
      <c r="F2166" s="362">
        <v>1</v>
      </c>
      <c r="G2166" s="367">
        <v>1200</v>
      </c>
      <c r="H2166" s="332"/>
      <c r="I2166" s="397"/>
      <c r="J2166" s="335"/>
      <c r="K2166" s="374">
        <f t="shared" si="92"/>
        <v>138.47999999999999</v>
      </c>
      <c r="L2166" s="338">
        <f t="shared" si="93"/>
        <v>0</v>
      </c>
      <c r="M2166" s="330"/>
      <c r="N2166" s="289"/>
      <c r="O2166" s="289"/>
      <c r="P2166" s="289"/>
      <c r="Q2166" s="289"/>
      <c r="S2166" s="291"/>
      <c r="T2166" s="291"/>
      <c r="U2166" s="291"/>
      <c r="V2166" s="291"/>
    </row>
    <row r="2167" spans="1:22" s="700" customFormat="1" ht="27.75" customHeight="1">
      <c r="A2167" s="331">
        <v>50</v>
      </c>
      <c r="B2167" s="506" t="s">
        <v>2126</v>
      </c>
      <c r="C2167" s="584" t="s">
        <v>3565</v>
      </c>
      <c r="D2167" s="335"/>
      <c r="E2167" s="409" t="s">
        <v>3416</v>
      </c>
      <c r="F2167" s="362">
        <v>1</v>
      </c>
      <c r="G2167" s="367">
        <v>1200</v>
      </c>
      <c r="H2167" s="332"/>
      <c r="I2167" s="397"/>
      <c r="J2167" s="335"/>
      <c r="K2167" s="374">
        <f t="shared" si="92"/>
        <v>138.47999999999999</v>
      </c>
      <c r="L2167" s="338">
        <f t="shared" si="93"/>
        <v>0</v>
      </c>
      <c r="M2167" s="330"/>
      <c r="N2167" s="289"/>
      <c r="O2167" s="289"/>
      <c r="P2167" s="289"/>
      <c r="Q2167" s="289"/>
      <c r="S2167" s="291"/>
      <c r="T2167" s="291"/>
      <c r="U2167" s="291"/>
      <c r="V2167" s="291"/>
    </row>
    <row r="2168" spans="1:22" s="700" customFormat="1" ht="27.75" customHeight="1">
      <c r="A2168" s="331">
        <v>51</v>
      </c>
      <c r="B2168" s="506" t="s">
        <v>2209</v>
      </c>
      <c r="C2168" s="584" t="s">
        <v>3207</v>
      </c>
      <c r="D2168" s="335">
        <v>1200</v>
      </c>
      <c r="E2168" s="409"/>
      <c r="F2168" s="362"/>
      <c r="G2168" s="367"/>
      <c r="H2168" s="332"/>
      <c r="I2168" s="397"/>
      <c r="J2168" s="335"/>
      <c r="K2168" s="374">
        <f t="shared" si="92"/>
        <v>0</v>
      </c>
      <c r="L2168" s="338">
        <f t="shared" si="93"/>
        <v>0</v>
      </c>
      <c r="M2168" s="330"/>
      <c r="N2168" s="289"/>
      <c r="O2168" s="289"/>
      <c r="P2168" s="289"/>
      <c r="Q2168" s="289"/>
      <c r="S2168" s="291"/>
      <c r="T2168" s="291"/>
      <c r="U2168" s="291"/>
      <c r="V2168" s="291"/>
    </row>
    <row r="2169" spans="1:22" s="700" customFormat="1" ht="27.75" customHeight="1">
      <c r="A2169" s="331">
        <v>52</v>
      </c>
      <c r="B2169" s="506" t="s">
        <v>2209</v>
      </c>
      <c r="C2169" s="584" t="s">
        <v>3208</v>
      </c>
      <c r="D2169" s="335">
        <v>1200</v>
      </c>
      <c r="E2169" s="409"/>
      <c r="F2169" s="362"/>
      <c r="G2169" s="367"/>
      <c r="H2169" s="332"/>
      <c r="I2169" s="397"/>
      <c r="J2169" s="335"/>
      <c r="K2169" s="374">
        <f t="shared" si="92"/>
        <v>0</v>
      </c>
      <c r="L2169" s="338">
        <f t="shared" si="93"/>
        <v>0</v>
      </c>
      <c r="M2169" s="330"/>
      <c r="N2169" s="289"/>
      <c r="O2169" s="289"/>
      <c r="P2169" s="289"/>
      <c r="Q2169" s="289"/>
      <c r="S2169" s="291"/>
      <c r="T2169" s="291"/>
      <c r="U2169" s="291"/>
      <c r="V2169" s="291"/>
    </row>
    <row r="2170" spans="1:22" s="700" customFormat="1" ht="27.75" customHeight="1">
      <c r="A2170" s="331">
        <v>53</v>
      </c>
      <c r="B2170" s="506" t="s">
        <v>2971</v>
      </c>
      <c r="C2170" s="584" t="s">
        <v>2972</v>
      </c>
      <c r="D2170" s="335">
        <v>1200</v>
      </c>
      <c r="E2170" s="409"/>
      <c r="F2170" s="362"/>
      <c r="G2170" s="367"/>
      <c r="H2170" s="332"/>
      <c r="I2170" s="397"/>
      <c r="J2170" s="335"/>
      <c r="K2170" s="374">
        <f t="shared" si="92"/>
        <v>0</v>
      </c>
      <c r="L2170" s="338">
        <f t="shared" si="93"/>
        <v>0</v>
      </c>
      <c r="M2170" s="330"/>
      <c r="N2170" s="289"/>
      <c r="O2170" s="289"/>
      <c r="P2170" s="289"/>
      <c r="Q2170" s="289"/>
      <c r="S2170" s="291"/>
      <c r="T2170" s="291"/>
      <c r="U2170" s="291"/>
      <c r="V2170" s="291"/>
    </row>
    <row r="2171" spans="1:22" s="700" customFormat="1" ht="27.75" customHeight="1">
      <c r="A2171" s="331">
        <v>54</v>
      </c>
      <c r="B2171" s="506" t="s">
        <v>2971</v>
      </c>
      <c r="C2171" s="584" t="s">
        <v>2973</v>
      </c>
      <c r="D2171" s="335">
        <v>1200</v>
      </c>
      <c r="E2171" s="409"/>
      <c r="F2171" s="362"/>
      <c r="G2171" s="367"/>
      <c r="H2171" s="332"/>
      <c r="I2171" s="397"/>
      <c r="J2171" s="335"/>
      <c r="K2171" s="374">
        <f t="shared" ref="K2171:K2234" si="94">G2171*11.54/100</f>
        <v>0</v>
      </c>
      <c r="L2171" s="338">
        <f t="shared" si="93"/>
        <v>0</v>
      </c>
      <c r="M2171" s="330"/>
      <c r="N2171" s="289"/>
      <c r="O2171" s="289"/>
      <c r="P2171" s="289"/>
      <c r="Q2171" s="289"/>
      <c r="S2171" s="291"/>
      <c r="T2171" s="291"/>
      <c r="U2171" s="291"/>
      <c r="V2171" s="291"/>
    </row>
    <row r="2172" spans="1:22" s="700" customFormat="1" ht="27.75" customHeight="1">
      <c r="A2172" s="331">
        <v>55</v>
      </c>
      <c r="B2172" s="506" t="s">
        <v>2971</v>
      </c>
      <c r="C2172" s="584" t="s">
        <v>2974</v>
      </c>
      <c r="D2172" s="475">
        <v>1200</v>
      </c>
      <c r="E2172" s="409"/>
      <c r="F2172" s="362"/>
      <c r="G2172" s="367"/>
      <c r="H2172" s="332"/>
      <c r="I2172" s="397"/>
      <c r="J2172" s="335"/>
      <c r="K2172" s="374">
        <f t="shared" si="94"/>
        <v>0</v>
      </c>
      <c r="L2172" s="338">
        <f t="shared" si="93"/>
        <v>0</v>
      </c>
      <c r="M2172" s="330"/>
      <c r="N2172" s="289"/>
      <c r="O2172" s="289"/>
      <c r="P2172" s="289"/>
      <c r="Q2172" s="289"/>
      <c r="S2172" s="291"/>
      <c r="T2172" s="291"/>
      <c r="U2172" s="291"/>
      <c r="V2172" s="291"/>
    </row>
    <row r="2173" spans="1:22" s="700" customFormat="1" ht="27.75" customHeight="1">
      <c r="A2173" s="331">
        <v>56</v>
      </c>
      <c r="B2173" s="506" t="s">
        <v>2971</v>
      </c>
      <c r="C2173" s="584" t="s">
        <v>2975</v>
      </c>
      <c r="D2173" s="475">
        <v>1200</v>
      </c>
      <c r="E2173" s="409"/>
      <c r="F2173" s="362"/>
      <c r="G2173" s="367"/>
      <c r="H2173" s="332"/>
      <c r="I2173" s="397"/>
      <c r="J2173" s="335"/>
      <c r="K2173" s="374">
        <f t="shared" si="94"/>
        <v>0</v>
      </c>
      <c r="L2173" s="338">
        <f t="shared" si="93"/>
        <v>0</v>
      </c>
      <c r="M2173" s="330"/>
      <c r="N2173" s="289"/>
      <c r="O2173" s="289"/>
      <c r="P2173" s="289"/>
      <c r="Q2173" s="289"/>
      <c r="S2173" s="291"/>
      <c r="T2173" s="291"/>
      <c r="U2173" s="291"/>
      <c r="V2173" s="291"/>
    </row>
    <row r="2174" spans="1:22" s="700" customFormat="1" ht="27.75" customHeight="1">
      <c r="A2174" s="331">
        <v>57</v>
      </c>
      <c r="B2174" s="506" t="s">
        <v>2798</v>
      </c>
      <c r="C2174" s="584" t="s">
        <v>2211</v>
      </c>
      <c r="D2174" s="1365">
        <v>1200</v>
      </c>
      <c r="E2174" s="409"/>
      <c r="F2174" s="362"/>
      <c r="G2174" s="367"/>
      <c r="H2174" s="332"/>
      <c r="I2174" s="397"/>
      <c r="J2174" s="335"/>
      <c r="K2174" s="374">
        <f t="shared" si="94"/>
        <v>0</v>
      </c>
      <c r="L2174" s="338">
        <f t="shared" si="93"/>
        <v>0</v>
      </c>
      <c r="M2174" s="330"/>
      <c r="N2174" s="289"/>
      <c r="O2174" s="289"/>
      <c r="P2174" s="289"/>
      <c r="Q2174" s="289"/>
      <c r="S2174" s="291"/>
      <c r="T2174" s="291"/>
      <c r="U2174" s="291"/>
      <c r="V2174" s="291"/>
    </row>
    <row r="2175" spans="1:22" s="700" customFormat="1" ht="27.75" customHeight="1">
      <c r="A2175" s="331">
        <v>58</v>
      </c>
      <c r="B2175" s="506" t="s">
        <v>2798</v>
      </c>
      <c r="C2175" s="584" t="s">
        <v>2212</v>
      </c>
      <c r="D2175" s="1365">
        <v>1200</v>
      </c>
      <c r="E2175" s="409"/>
      <c r="F2175" s="362"/>
      <c r="G2175" s="367"/>
      <c r="H2175" s="332"/>
      <c r="I2175" s="397"/>
      <c r="J2175" s="335"/>
      <c r="K2175" s="374">
        <f t="shared" si="94"/>
        <v>0</v>
      </c>
      <c r="L2175" s="338">
        <f t="shared" si="93"/>
        <v>0</v>
      </c>
      <c r="M2175" s="330"/>
      <c r="N2175" s="289"/>
      <c r="O2175" s="289"/>
      <c r="P2175" s="289"/>
      <c r="Q2175" s="289"/>
      <c r="S2175" s="291"/>
      <c r="T2175" s="291"/>
      <c r="U2175" s="291"/>
      <c r="V2175" s="291"/>
    </row>
    <row r="2176" spans="1:22" s="700" customFormat="1" ht="27.75" customHeight="1">
      <c r="A2176" s="331">
        <v>59</v>
      </c>
      <c r="B2176" s="506" t="s">
        <v>2798</v>
      </c>
      <c r="C2176" s="584" t="s">
        <v>2213</v>
      </c>
      <c r="D2176" s="1365">
        <v>1200</v>
      </c>
      <c r="E2176" s="409"/>
      <c r="F2176" s="362"/>
      <c r="G2176" s="367"/>
      <c r="H2176" s="332"/>
      <c r="I2176" s="397"/>
      <c r="J2176" s="335"/>
      <c r="K2176" s="374">
        <f t="shared" si="94"/>
        <v>0</v>
      </c>
      <c r="L2176" s="338">
        <f t="shared" si="93"/>
        <v>0</v>
      </c>
      <c r="M2176" s="330"/>
      <c r="N2176" s="289"/>
      <c r="O2176" s="289"/>
      <c r="P2176" s="289"/>
      <c r="Q2176" s="289"/>
      <c r="S2176" s="291"/>
      <c r="T2176" s="291"/>
      <c r="U2176" s="291"/>
      <c r="V2176" s="291"/>
    </row>
    <row r="2177" spans="1:22" s="700" customFormat="1" ht="27.75" customHeight="1">
      <c r="A2177" s="331">
        <v>60</v>
      </c>
      <c r="B2177" s="506" t="s">
        <v>2798</v>
      </c>
      <c r="C2177" s="584" t="s">
        <v>2214</v>
      </c>
      <c r="D2177" s="1366">
        <v>1200</v>
      </c>
      <c r="E2177" s="409"/>
      <c r="F2177" s="362"/>
      <c r="G2177" s="367"/>
      <c r="H2177" s="332"/>
      <c r="I2177" s="397"/>
      <c r="J2177" s="335"/>
      <c r="K2177" s="374">
        <f t="shared" si="94"/>
        <v>0</v>
      </c>
      <c r="L2177" s="338">
        <f t="shared" si="93"/>
        <v>0</v>
      </c>
      <c r="M2177" s="330"/>
      <c r="N2177" s="289"/>
      <c r="O2177" s="289"/>
      <c r="P2177" s="289"/>
      <c r="Q2177" s="289"/>
      <c r="S2177" s="291"/>
      <c r="T2177" s="291"/>
      <c r="U2177" s="291"/>
      <c r="V2177" s="291"/>
    </row>
    <row r="2178" spans="1:22" s="700" customFormat="1" ht="27.75" customHeight="1">
      <c r="A2178" s="331">
        <v>61</v>
      </c>
      <c r="B2178" s="506" t="s">
        <v>2124</v>
      </c>
      <c r="C2178" s="584" t="s">
        <v>2215</v>
      </c>
      <c r="D2178" s="1367">
        <v>1200</v>
      </c>
      <c r="E2178" s="409"/>
      <c r="F2178" s="362"/>
      <c r="G2178" s="367"/>
      <c r="H2178" s="332"/>
      <c r="I2178" s="397"/>
      <c r="J2178" s="335"/>
      <c r="K2178" s="374">
        <f t="shared" si="94"/>
        <v>0</v>
      </c>
      <c r="L2178" s="338">
        <f t="shared" si="93"/>
        <v>0</v>
      </c>
      <c r="M2178" s="330"/>
      <c r="N2178" s="289"/>
      <c r="O2178" s="289"/>
      <c r="P2178" s="289"/>
      <c r="Q2178" s="289"/>
      <c r="S2178" s="291"/>
      <c r="T2178" s="291"/>
      <c r="U2178" s="291"/>
      <c r="V2178" s="291"/>
    </row>
    <row r="2179" spans="1:22" s="700" customFormat="1" ht="27.75" customHeight="1">
      <c r="A2179" s="331">
        <v>62</v>
      </c>
      <c r="B2179" s="506" t="s">
        <v>2124</v>
      </c>
      <c r="C2179" s="584" t="s">
        <v>2223</v>
      </c>
      <c r="D2179" s="1367">
        <v>1200</v>
      </c>
      <c r="E2179" s="409"/>
      <c r="F2179" s="362"/>
      <c r="G2179" s="367"/>
      <c r="H2179" s="332"/>
      <c r="I2179" s="397"/>
      <c r="J2179" s="335"/>
      <c r="K2179" s="374">
        <f t="shared" si="94"/>
        <v>0</v>
      </c>
      <c r="L2179" s="338">
        <f t="shared" si="93"/>
        <v>0</v>
      </c>
      <c r="M2179" s="330"/>
      <c r="N2179" s="289"/>
      <c r="O2179" s="289"/>
      <c r="P2179" s="289"/>
      <c r="Q2179" s="289"/>
      <c r="S2179" s="291"/>
      <c r="T2179" s="291"/>
      <c r="U2179" s="291"/>
      <c r="V2179" s="291"/>
    </row>
    <row r="2180" spans="1:22" s="700" customFormat="1" ht="27.75" customHeight="1">
      <c r="A2180" s="331">
        <v>63</v>
      </c>
      <c r="B2180" s="506" t="s">
        <v>2124</v>
      </c>
      <c r="C2180" s="584" t="s">
        <v>2224</v>
      </c>
      <c r="D2180" s="1367">
        <v>1200</v>
      </c>
      <c r="E2180" s="409"/>
      <c r="F2180" s="362"/>
      <c r="G2180" s="367"/>
      <c r="H2180" s="332"/>
      <c r="I2180" s="397"/>
      <c r="J2180" s="335"/>
      <c r="K2180" s="374">
        <f t="shared" si="94"/>
        <v>0</v>
      </c>
      <c r="L2180" s="338">
        <f t="shared" si="93"/>
        <v>0</v>
      </c>
      <c r="M2180" s="330"/>
      <c r="N2180" s="289"/>
      <c r="O2180" s="289"/>
      <c r="P2180" s="289"/>
      <c r="Q2180" s="289"/>
      <c r="S2180" s="291"/>
      <c r="T2180" s="291"/>
      <c r="U2180" s="291"/>
      <c r="V2180" s="291"/>
    </row>
    <row r="2181" spans="1:22" s="700" customFormat="1" ht="27.75" customHeight="1">
      <c r="A2181" s="331">
        <v>64</v>
      </c>
      <c r="B2181" s="506" t="s">
        <v>2124</v>
      </c>
      <c r="C2181" s="584" t="s">
        <v>2225</v>
      </c>
      <c r="D2181" s="1367">
        <v>1200</v>
      </c>
      <c r="E2181" s="409"/>
      <c r="F2181" s="362"/>
      <c r="G2181" s="367"/>
      <c r="H2181" s="332"/>
      <c r="I2181" s="397"/>
      <c r="J2181" s="335"/>
      <c r="K2181" s="374">
        <f t="shared" si="94"/>
        <v>0</v>
      </c>
      <c r="L2181" s="338">
        <f t="shared" si="93"/>
        <v>0</v>
      </c>
      <c r="M2181" s="330"/>
      <c r="N2181" s="289"/>
      <c r="O2181" s="289"/>
      <c r="P2181" s="289"/>
      <c r="Q2181" s="289"/>
      <c r="S2181" s="291"/>
      <c r="T2181" s="291"/>
      <c r="U2181" s="291"/>
      <c r="V2181" s="291"/>
    </row>
    <row r="2182" spans="1:22" s="700" customFormat="1" ht="27.75" customHeight="1">
      <c r="A2182" s="331">
        <v>65</v>
      </c>
      <c r="B2182" s="506" t="s">
        <v>2124</v>
      </c>
      <c r="C2182" s="584" t="s">
        <v>2226</v>
      </c>
      <c r="D2182" s="1367">
        <v>1200</v>
      </c>
      <c r="E2182" s="409"/>
      <c r="F2182" s="362"/>
      <c r="G2182" s="367"/>
      <c r="H2182" s="332"/>
      <c r="I2182" s="397"/>
      <c r="J2182" s="335"/>
      <c r="K2182" s="374">
        <f t="shared" si="94"/>
        <v>0</v>
      </c>
      <c r="L2182" s="338">
        <f t="shared" si="93"/>
        <v>0</v>
      </c>
      <c r="M2182" s="330"/>
      <c r="N2182" s="289"/>
      <c r="O2182" s="289"/>
      <c r="P2182" s="289"/>
      <c r="Q2182" s="289"/>
      <c r="S2182" s="291"/>
      <c r="T2182" s="291"/>
      <c r="U2182" s="291"/>
      <c r="V2182" s="291"/>
    </row>
    <row r="2183" spans="1:22" s="700" customFormat="1" ht="27.75" customHeight="1">
      <c r="A2183" s="331">
        <v>66</v>
      </c>
      <c r="B2183" s="506" t="s">
        <v>2124</v>
      </c>
      <c r="C2183" s="584" t="s">
        <v>2227</v>
      </c>
      <c r="D2183" s="1367">
        <v>1200</v>
      </c>
      <c r="E2183" s="409"/>
      <c r="F2183" s="362"/>
      <c r="G2183" s="367"/>
      <c r="H2183" s="332"/>
      <c r="I2183" s="397"/>
      <c r="J2183" s="335"/>
      <c r="K2183" s="374">
        <f t="shared" si="94"/>
        <v>0</v>
      </c>
      <c r="L2183" s="338">
        <f t="shared" si="93"/>
        <v>0</v>
      </c>
      <c r="M2183" s="330"/>
      <c r="N2183" s="289"/>
      <c r="O2183" s="289"/>
      <c r="P2183" s="289"/>
      <c r="Q2183" s="289"/>
      <c r="S2183" s="291"/>
      <c r="T2183" s="291"/>
      <c r="U2183" s="291"/>
      <c r="V2183" s="291"/>
    </row>
    <row r="2184" spans="1:22" s="700" customFormat="1" ht="27.75" customHeight="1">
      <c r="A2184" s="331">
        <v>67</v>
      </c>
      <c r="B2184" s="506" t="s">
        <v>2124</v>
      </c>
      <c r="C2184" s="584" t="s">
        <v>2228</v>
      </c>
      <c r="D2184" s="1367">
        <v>1200</v>
      </c>
      <c r="E2184" s="409"/>
      <c r="F2184" s="362"/>
      <c r="G2184" s="367"/>
      <c r="H2184" s="332"/>
      <c r="I2184" s="397"/>
      <c r="J2184" s="335"/>
      <c r="K2184" s="374">
        <f t="shared" si="94"/>
        <v>0</v>
      </c>
      <c r="L2184" s="338">
        <f t="shared" si="93"/>
        <v>0</v>
      </c>
      <c r="M2184" s="330"/>
      <c r="N2184" s="289"/>
      <c r="O2184" s="289"/>
      <c r="P2184" s="289"/>
      <c r="Q2184" s="289"/>
      <c r="S2184" s="291"/>
      <c r="T2184" s="291"/>
      <c r="U2184" s="291"/>
      <c r="V2184" s="291"/>
    </row>
    <row r="2185" spans="1:22" s="700" customFormat="1" ht="27.75" customHeight="1">
      <c r="A2185" s="331">
        <v>68</v>
      </c>
      <c r="B2185" s="506" t="s">
        <v>2555</v>
      </c>
      <c r="C2185" s="584" t="s">
        <v>2976</v>
      </c>
      <c r="D2185" s="1367">
        <v>1200</v>
      </c>
      <c r="E2185" s="409"/>
      <c r="F2185" s="362"/>
      <c r="G2185" s="367"/>
      <c r="H2185" s="332"/>
      <c r="I2185" s="397"/>
      <c r="J2185" s="335"/>
      <c r="K2185" s="374">
        <f t="shared" si="94"/>
        <v>0</v>
      </c>
      <c r="L2185" s="338">
        <f t="shared" si="93"/>
        <v>0</v>
      </c>
      <c r="M2185" s="330"/>
      <c r="N2185" s="289"/>
      <c r="O2185" s="289"/>
      <c r="P2185" s="289"/>
      <c r="Q2185" s="289"/>
      <c r="S2185" s="291"/>
      <c r="T2185" s="291"/>
      <c r="U2185" s="291"/>
      <c r="V2185" s="291"/>
    </row>
    <row r="2186" spans="1:22" s="700" customFormat="1" ht="27.75" customHeight="1">
      <c r="A2186" s="331">
        <v>69</v>
      </c>
      <c r="B2186" s="506" t="s">
        <v>3566</v>
      </c>
      <c r="C2186" s="584" t="s">
        <v>3567</v>
      </c>
      <c r="D2186" s="1482"/>
      <c r="E2186" s="409" t="s">
        <v>3416</v>
      </c>
      <c r="F2186" s="362">
        <v>1</v>
      </c>
      <c r="G2186" s="367">
        <v>1638.17</v>
      </c>
      <c r="H2186" s="332"/>
      <c r="I2186" s="397"/>
      <c r="J2186" s="335"/>
      <c r="K2186" s="374">
        <f t="shared" si="94"/>
        <v>189.04481799999996</v>
      </c>
      <c r="L2186" s="338">
        <f t="shared" si="93"/>
        <v>0</v>
      </c>
      <c r="M2186" s="330"/>
      <c r="N2186" s="289"/>
      <c r="O2186" s="289"/>
      <c r="P2186" s="289"/>
      <c r="Q2186" s="289"/>
      <c r="S2186" s="291"/>
      <c r="T2186" s="291"/>
      <c r="U2186" s="291"/>
      <c r="V2186" s="291"/>
    </row>
    <row r="2187" spans="1:22" s="700" customFormat="1" ht="27.75" customHeight="1">
      <c r="A2187" s="331">
        <v>70</v>
      </c>
      <c r="B2187" s="506" t="s">
        <v>1450</v>
      </c>
      <c r="C2187" s="584" t="s">
        <v>769</v>
      </c>
      <c r="D2187" s="1482"/>
      <c r="E2187" s="409" t="s">
        <v>3367</v>
      </c>
      <c r="F2187" s="362">
        <v>11</v>
      </c>
      <c r="G2187" s="367">
        <v>7075.5586999999996</v>
      </c>
      <c r="H2187" s="332"/>
      <c r="I2187" s="397"/>
      <c r="J2187" s="335"/>
      <c r="K2187" s="374">
        <f t="shared" si="94"/>
        <v>816.51947397999993</v>
      </c>
      <c r="L2187" s="338">
        <f t="shared" si="93"/>
        <v>0</v>
      </c>
      <c r="M2187" s="330"/>
      <c r="N2187" s="289"/>
      <c r="O2187" s="289"/>
      <c r="P2187" s="289"/>
      <c r="Q2187" s="289"/>
      <c r="S2187" s="291"/>
      <c r="T2187" s="291"/>
      <c r="U2187" s="291"/>
      <c r="V2187" s="291"/>
    </row>
    <row r="2188" spans="1:22" s="700" customFormat="1" ht="27.75" customHeight="1">
      <c r="A2188" s="331">
        <v>71</v>
      </c>
      <c r="B2188" s="506" t="s">
        <v>3568</v>
      </c>
      <c r="C2188" s="584" t="s">
        <v>3569</v>
      </c>
      <c r="D2188" s="1367">
        <v>1926</v>
      </c>
      <c r="E2188" s="409"/>
      <c r="F2188" s="362"/>
      <c r="G2188" s="367"/>
      <c r="H2188" s="332"/>
      <c r="I2188" s="397"/>
      <c r="J2188" s="335"/>
      <c r="K2188" s="374">
        <f t="shared" si="94"/>
        <v>0</v>
      </c>
      <c r="L2188" s="338">
        <f t="shared" si="93"/>
        <v>0</v>
      </c>
      <c r="M2188" s="330"/>
      <c r="N2188" s="289"/>
      <c r="O2188" s="289"/>
      <c r="P2188" s="289"/>
      <c r="Q2188" s="289"/>
      <c r="S2188" s="291"/>
      <c r="T2188" s="291"/>
      <c r="U2188" s="291"/>
      <c r="V2188" s="291"/>
    </row>
    <row r="2189" spans="1:22" s="700" customFormat="1" ht="27.75" customHeight="1">
      <c r="A2189" s="331"/>
      <c r="B2189" s="506"/>
      <c r="C2189" s="584"/>
      <c r="D2189" s="1370"/>
      <c r="E2189" s="409"/>
      <c r="F2189" s="362"/>
      <c r="G2189" s="367"/>
      <c r="H2189" s="332"/>
      <c r="I2189" s="397"/>
      <c r="J2189" s="335"/>
      <c r="K2189" s="374">
        <f t="shared" si="94"/>
        <v>0</v>
      </c>
      <c r="L2189" s="338">
        <f t="shared" si="93"/>
        <v>0</v>
      </c>
      <c r="M2189" s="330"/>
      <c r="N2189" s="289"/>
      <c r="O2189" s="289"/>
      <c r="P2189" s="289"/>
      <c r="Q2189" s="289"/>
      <c r="S2189" s="291"/>
      <c r="T2189" s="291"/>
      <c r="U2189" s="291"/>
      <c r="V2189" s="291"/>
    </row>
    <row r="2190" spans="1:22" s="700" customFormat="1" ht="27.75" customHeight="1">
      <c r="A2190" s="331"/>
      <c r="B2190" s="506"/>
      <c r="C2190" s="584"/>
      <c r="D2190" s="1370"/>
      <c r="E2190" s="409"/>
      <c r="F2190" s="362"/>
      <c r="G2190" s="367"/>
      <c r="H2190" s="332"/>
      <c r="I2190" s="397"/>
      <c r="J2190" s="335"/>
      <c r="K2190" s="374">
        <f t="shared" si="94"/>
        <v>0</v>
      </c>
      <c r="L2190" s="338">
        <f t="shared" si="93"/>
        <v>0</v>
      </c>
      <c r="M2190" s="330"/>
      <c r="N2190" s="289"/>
      <c r="O2190" s="289"/>
      <c r="P2190" s="289"/>
      <c r="Q2190" s="289"/>
      <c r="S2190" s="291"/>
      <c r="T2190" s="291"/>
      <c r="U2190" s="291"/>
      <c r="V2190" s="291"/>
    </row>
    <row r="2191" spans="1:22" s="700" customFormat="1" ht="27.75" customHeight="1">
      <c r="A2191" s="331"/>
      <c r="B2191" s="506" t="s">
        <v>1003</v>
      </c>
      <c r="C2191" s="584"/>
      <c r="D2191" s="1368"/>
      <c r="E2191" s="409"/>
      <c r="F2191" s="362"/>
      <c r="G2191" s="367"/>
      <c r="H2191" s="332"/>
      <c r="I2191" s="397"/>
      <c r="J2191" s="335"/>
      <c r="K2191" s="374">
        <f t="shared" si="94"/>
        <v>0</v>
      </c>
      <c r="L2191" s="338">
        <f t="shared" si="93"/>
        <v>0</v>
      </c>
      <c r="M2191" s="330"/>
      <c r="N2191" s="289"/>
      <c r="O2191" s="289"/>
      <c r="P2191" s="289"/>
      <c r="Q2191" s="289"/>
      <c r="S2191" s="291"/>
      <c r="T2191" s="291"/>
      <c r="U2191" s="291"/>
      <c r="V2191" s="291"/>
    </row>
    <row r="2192" spans="1:22" s="700" customFormat="1" ht="27.75" customHeight="1">
      <c r="A2192" s="331">
        <v>1</v>
      </c>
      <c r="B2192" s="506" t="s">
        <v>2692</v>
      </c>
      <c r="C2192" s="584" t="s">
        <v>769</v>
      </c>
      <c r="D2192" s="1368"/>
      <c r="E2192" s="409"/>
      <c r="F2192" s="362"/>
      <c r="G2192" s="367"/>
      <c r="H2192" s="332" t="s">
        <v>835</v>
      </c>
      <c r="I2192" s="397">
        <v>9</v>
      </c>
      <c r="J2192" s="335">
        <v>25471.349999999915</v>
      </c>
      <c r="K2192" s="374">
        <f t="shared" si="94"/>
        <v>0</v>
      </c>
      <c r="L2192" s="338">
        <f t="shared" si="93"/>
        <v>25471.349999999915</v>
      </c>
      <c r="M2192" s="330"/>
      <c r="N2192" s="289"/>
      <c r="O2192" s="289"/>
      <c r="P2192" s="289"/>
      <c r="Q2192" s="289"/>
      <c r="S2192" s="291"/>
      <c r="T2192" s="291"/>
      <c r="U2192" s="291"/>
      <c r="V2192" s="291"/>
    </row>
    <row r="2193" spans="1:22" s="700" customFormat="1" ht="27.75" customHeight="1">
      <c r="A2193" s="331"/>
      <c r="B2193" s="506" t="s">
        <v>2693</v>
      </c>
      <c r="C2193" s="584"/>
      <c r="D2193" s="1370"/>
      <c r="E2193" s="409"/>
      <c r="F2193" s="362"/>
      <c r="G2193" s="367"/>
      <c r="H2193" s="332" t="s">
        <v>836</v>
      </c>
      <c r="I2193" s="397">
        <v>6</v>
      </c>
      <c r="J2193" s="335">
        <v>22148.999999999898</v>
      </c>
      <c r="K2193" s="374">
        <f t="shared" si="94"/>
        <v>0</v>
      </c>
      <c r="L2193" s="338">
        <f t="shared" si="93"/>
        <v>22148.999999999898</v>
      </c>
      <c r="M2193" s="330"/>
      <c r="N2193" s="289"/>
      <c r="O2193" s="289"/>
      <c r="P2193" s="289"/>
      <c r="Q2193" s="289"/>
      <c r="S2193" s="291"/>
      <c r="T2193" s="291"/>
      <c r="U2193" s="291"/>
      <c r="V2193" s="291"/>
    </row>
    <row r="2194" spans="1:22" s="700" customFormat="1" ht="27.75" customHeight="1">
      <c r="A2194" s="331"/>
      <c r="B2194" s="506"/>
      <c r="C2194" s="584"/>
      <c r="D2194" s="1370"/>
      <c r="E2194" s="409"/>
      <c r="F2194" s="362"/>
      <c r="G2194" s="367"/>
      <c r="H2194" s="332" t="s">
        <v>837</v>
      </c>
      <c r="I2194" s="397">
        <v>2</v>
      </c>
      <c r="J2194" s="335">
        <v>4279.9999999999691</v>
      </c>
      <c r="K2194" s="374">
        <f t="shared" si="94"/>
        <v>0</v>
      </c>
      <c r="L2194" s="338">
        <f t="shared" si="93"/>
        <v>4279.9999999999691</v>
      </c>
      <c r="M2194" s="330"/>
      <c r="N2194" s="289"/>
      <c r="O2194" s="289"/>
      <c r="P2194" s="289"/>
      <c r="Q2194" s="289"/>
      <c r="S2194" s="291"/>
      <c r="T2194" s="291"/>
      <c r="U2194" s="291"/>
      <c r="V2194" s="291"/>
    </row>
    <row r="2195" spans="1:22" s="700" customFormat="1" ht="27.75" customHeight="1">
      <c r="A2195" s="331">
        <v>2</v>
      </c>
      <c r="B2195" s="506" t="s">
        <v>609</v>
      </c>
      <c r="C2195" s="584" t="s">
        <v>770</v>
      </c>
      <c r="D2195" s="1368"/>
      <c r="E2195" s="409"/>
      <c r="F2195" s="362"/>
      <c r="G2195" s="367"/>
      <c r="H2195" s="332" t="s">
        <v>783</v>
      </c>
      <c r="I2195" s="397">
        <v>18</v>
      </c>
      <c r="J2195" s="335">
        <v>109139.99999999952</v>
      </c>
      <c r="K2195" s="374">
        <f t="shared" si="94"/>
        <v>0</v>
      </c>
      <c r="L2195" s="338">
        <f t="shared" si="93"/>
        <v>109139.99999999952</v>
      </c>
      <c r="M2195" s="330"/>
      <c r="N2195" s="289"/>
      <c r="O2195" s="289"/>
      <c r="P2195" s="289"/>
      <c r="Q2195" s="289"/>
      <c r="S2195" s="291"/>
      <c r="T2195" s="291"/>
      <c r="U2195" s="291"/>
      <c r="V2195" s="291"/>
    </row>
    <row r="2196" spans="1:22" s="700" customFormat="1" ht="27.75" customHeight="1" thickBot="1">
      <c r="A2196" s="331"/>
      <c r="B2196" s="506"/>
      <c r="C2196" s="584"/>
      <c r="D2196" s="1368"/>
      <c r="E2196" s="409"/>
      <c r="F2196" s="362"/>
      <c r="G2196" s="367"/>
      <c r="H2196" s="332"/>
      <c r="I2196" s="397"/>
      <c r="J2196" s="335"/>
      <c r="K2196" s="374">
        <f t="shared" si="94"/>
        <v>0</v>
      </c>
      <c r="L2196" s="338">
        <f t="shared" si="93"/>
        <v>0</v>
      </c>
      <c r="M2196" s="330"/>
      <c r="N2196" s="289"/>
      <c r="O2196" s="289"/>
      <c r="P2196" s="289"/>
      <c r="Q2196" s="289"/>
      <c r="S2196" s="291"/>
      <c r="T2196" s="291"/>
      <c r="U2196" s="291"/>
      <c r="V2196" s="291"/>
    </row>
    <row r="2197" spans="1:22" s="756" customFormat="1" ht="27.75" customHeight="1" thickTop="1" thickBot="1">
      <c r="A2197" s="450"/>
      <c r="B2197" s="444"/>
      <c r="C2197" s="555"/>
      <c r="D2197" s="1370"/>
      <c r="E2197" s="453"/>
      <c r="F2197" s="450"/>
      <c r="G2197" s="522"/>
      <c r="H2197" s="444"/>
      <c r="I2197" s="458"/>
      <c r="J2197" s="453"/>
      <c r="K2197" s="374">
        <f t="shared" si="94"/>
        <v>0</v>
      </c>
      <c r="L2197" s="338">
        <f t="shared" si="93"/>
        <v>0</v>
      </c>
      <c r="M2197" s="551"/>
      <c r="N2197" s="452">
        <f>SUM(G2118:G2196)</f>
        <v>45913.7287</v>
      </c>
      <c r="O2197" s="452">
        <f>SUM(J2118:J2196)</f>
        <v>161040.34999999931</v>
      </c>
      <c r="P2197" s="452">
        <f>+N2197+O2197</f>
        <v>206954.07869999931</v>
      </c>
      <c r="Q2197" s="481">
        <f>SUM(D2118:D2197)</f>
        <v>47526</v>
      </c>
      <c r="R2197" s="552" t="s">
        <v>254</v>
      </c>
      <c r="S2197" s="483"/>
      <c r="T2197" s="452"/>
      <c r="U2197" s="452"/>
      <c r="V2197" s="452"/>
    </row>
    <row r="2198" spans="1:22" s="700" customFormat="1" ht="27.75" customHeight="1" thickTop="1" thickBot="1">
      <c r="A2198" s="331"/>
      <c r="B2198" s="332" t="s">
        <v>879</v>
      </c>
      <c r="C2198" s="477"/>
      <c r="D2198" s="1370"/>
      <c r="E2198" s="335"/>
      <c r="F2198" s="331"/>
      <c r="G2198" s="336"/>
      <c r="H2198" s="332"/>
      <c r="I2198" s="397"/>
      <c r="J2198" s="335"/>
      <c r="K2198" s="374">
        <f t="shared" si="94"/>
        <v>0</v>
      </c>
      <c r="L2198" s="338">
        <f t="shared" si="93"/>
        <v>0</v>
      </c>
      <c r="M2198" s="330"/>
      <c r="N2198" s="289"/>
      <c r="O2198" s="289"/>
      <c r="P2198" s="289"/>
      <c r="Q2198" s="478"/>
      <c r="R2198" s="649"/>
      <c r="S2198" s="287"/>
      <c r="T2198" s="289"/>
      <c r="U2198" s="289"/>
      <c r="V2198" s="289"/>
    </row>
    <row r="2199" spans="1:22" s="700" customFormat="1" ht="27.75" customHeight="1" thickTop="1" thickBot="1">
      <c r="A2199" s="331">
        <v>1</v>
      </c>
      <c r="B2199" s="332" t="s">
        <v>2643</v>
      </c>
      <c r="C2199" s="477" t="s">
        <v>2810</v>
      </c>
      <c r="D2199" s="1370"/>
      <c r="E2199" s="335"/>
      <c r="F2199" s="331"/>
      <c r="G2199" s="336"/>
      <c r="H2199" s="332" t="s">
        <v>2811</v>
      </c>
      <c r="I2199" s="397"/>
      <c r="J2199" s="335">
        <v>30528</v>
      </c>
      <c r="K2199" s="374">
        <f t="shared" si="94"/>
        <v>0</v>
      </c>
      <c r="L2199" s="338">
        <f t="shared" si="93"/>
        <v>30528</v>
      </c>
      <c r="M2199" s="330"/>
      <c r="N2199" s="289"/>
      <c r="O2199" s="289"/>
      <c r="P2199" s="289"/>
      <c r="Q2199" s="478"/>
      <c r="R2199" s="649"/>
      <c r="S2199" s="287"/>
      <c r="T2199" s="289"/>
      <c r="U2199" s="289"/>
      <c r="V2199" s="289"/>
    </row>
    <row r="2200" spans="1:22" s="700" customFormat="1" ht="27.75" customHeight="1" thickTop="1" thickBot="1">
      <c r="A2200" s="331">
        <v>2</v>
      </c>
      <c r="B2200" s="332" t="s">
        <v>2643</v>
      </c>
      <c r="C2200" s="477" t="s">
        <v>2812</v>
      </c>
      <c r="D2200" s="1370"/>
      <c r="E2200" s="335"/>
      <c r="F2200" s="331"/>
      <c r="G2200" s="336"/>
      <c r="H2200" s="332" t="s">
        <v>2811</v>
      </c>
      <c r="I2200" s="397"/>
      <c r="J2200" s="335">
        <v>30528</v>
      </c>
      <c r="K2200" s="374">
        <f t="shared" si="94"/>
        <v>0</v>
      </c>
      <c r="L2200" s="338">
        <f t="shared" si="93"/>
        <v>30528</v>
      </c>
      <c r="M2200" s="330"/>
      <c r="N2200" s="289"/>
      <c r="O2200" s="289"/>
      <c r="P2200" s="289"/>
      <c r="Q2200" s="478"/>
      <c r="R2200" s="649"/>
      <c r="S2200" s="287"/>
      <c r="T2200" s="289"/>
      <c r="U2200" s="289"/>
      <c r="V2200" s="289"/>
    </row>
    <row r="2201" spans="1:22" s="700" customFormat="1" ht="27.75" customHeight="1" thickTop="1" thickBot="1">
      <c r="A2201" s="331">
        <v>3</v>
      </c>
      <c r="B2201" s="332" t="s">
        <v>2588</v>
      </c>
      <c r="C2201" s="477" t="s">
        <v>2813</v>
      </c>
      <c r="D2201" s="1370"/>
      <c r="E2201" s="335"/>
      <c r="F2201" s="331"/>
      <c r="G2201" s="336"/>
      <c r="H2201" s="332" t="s">
        <v>2811</v>
      </c>
      <c r="I2201" s="397"/>
      <c r="J2201" s="335">
        <v>30528</v>
      </c>
      <c r="K2201" s="374">
        <f t="shared" si="94"/>
        <v>0</v>
      </c>
      <c r="L2201" s="338">
        <f t="shared" si="93"/>
        <v>30528</v>
      </c>
      <c r="M2201" s="330"/>
      <c r="N2201" s="289"/>
      <c r="O2201" s="289"/>
      <c r="P2201" s="289"/>
      <c r="Q2201" s="478"/>
      <c r="R2201" s="649"/>
      <c r="S2201" s="287"/>
      <c r="T2201" s="289"/>
      <c r="U2201" s="289"/>
      <c r="V2201" s="289"/>
    </row>
    <row r="2202" spans="1:22" s="700" customFormat="1" ht="27.75" customHeight="1" thickTop="1" thickBot="1">
      <c r="A2202" s="331">
        <v>4</v>
      </c>
      <c r="B2202" s="332" t="s">
        <v>2588</v>
      </c>
      <c r="C2202" s="477" t="s">
        <v>2814</v>
      </c>
      <c r="D2202" s="1370"/>
      <c r="E2202" s="335"/>
      <c r="F2202" s="331"/>
      <c r="G2202" s="336"/>
      <c r="H2202" s="332" t="s">
        <v>2811</v>
      </c>
      <c r="I2202" s="397"/>
      <c r="J2202" s="335">
        <v>30528</v>
      </c>
      <c r="K2202" s="374">
        <f t="shared" si="94"/>
        <v>0</v>
      </c>
      <c r="L2202" s="338">
        <f t="shared" si="93"/>
        <v>30528</v>
      </c>
      <c r="M2202" s="330"/>
      <c r="N2202" s="289"/>
      <c r="O2202" s="289"/>
      <c r="P2202" s="289"/>
      <c r="Q2202" s="478"/>
      <c r="R2202" s="649"/>
      <c r="S2202" s="287"/>
      <c r="T2202" s="289"/>
      <c r="U2202" s="289"/>
      <c r="V2202" s="289"/>
    </row>
    <row r="2203" spans="1:22" s="700" customFormat="1" ht="27.75" customHeight="1" thickTop="1" thickBot="1">
      <c r="A2203" s="331">
        <v>5</v>
      </c>
      <c r="B2203" s="332" t="s">
        <v>2998</v>
      </c>
      <c r="C2203" s="477" t="s">
        <v>2815</v>
      </c>
      <c r="D2203" s="1370"/>
      <c r="E2203" s="335"/>
      <c r="F2203" s="331"/>
      <c r="G2203" s="336"/>
      <c r="H2203" s="332" t="s">
        <v>2811</v>
      </c>
      <c r="I2203" s="397"/>
      <c r="J2203" s="335">
        <v>30528</v>
      </c>
      <c r="K2203" s="374">
        <f t="shared" si="94"/>
        <v>0</v>
      </c>
      <c r="L2203" s="338">
        <f t="shared" si="93"/>
        <v>30528</v>
      </c>
      <c r="M2203" s="330"/>
      <c r="N2203" s="289"/>
      <c r="O2203" s="289"/>
      <c r="P2203" s="289"/>
      <c r="Q2203" s="478"/>
      <c r="R2203" s="649"/>
      <c r="S2203" s="287"/>
      <c r="T2203" s="289"/>
      <c r="U2203" s="289"/>
      <c r="V2203" s="289"/>
    </row>
    <row r="2204" spans="1:22" s="700" customFormat="1" ht="27.75" customHeight="1" thickTop="1" thickBot="1">
      <c r="A2204" s="331">
        <v>6</v>
      </c>
      <c r="B2204" s="332" t="s">
        <v>2009</v>
      </c>
      <c r="C2204" s="477" t="s">
        <v>2817</v>
      </c>
      <c r="D2204" s="1370"/>
      <c r="E2204" s="335"/>
      <c r="F2204" s="331"/>
      <c r="G2204" s="336"/>
      <c r="H2204" s="332" t="s">
        <v>2811</v>
      </c>
      <c r="I2204" s="397"/>
      <c r="J2204" s="335">
        <v>30528</v>
      </c>
      <c r="K2204" s="374">
        <f t="shared" si="94"/>
        <v>0</v>
      </c>
      <c r="L2204" s="338">
        <f t="shared" si="93"/>
        <v>30528</v>
      </c>
      <c r="M2204" s="330"/>
      <c r="N2204" s="289"/>
      <c r="O2204" s="289"/>
      <c r="P2204" s="289"/>
      <c r="Q2204" s="478"/>
      <c r="R2204" s="649"/>
      <c r="S2204" s="287"/>
      <c r="T2204" s="289"/>
      <c r="U2204" s="289"/>
      <c r="V2204" s="289"/>
    </row>
    <row r="2205" spans="1:22" s="700" customFormat="1" ht="27.75" customHeight="1" thickTop="1" thickBot="1">
      <c r="A2205" s="331">
        <v>7</v>
      </c>
      <c r="B2205" s="332" t="s">
        <v>2009</v>
      </c>
      <c r="C2205" s="477" t="s">
        <v>2818</v>
      </c>
      <c r="D2205" s="1370"/>
      <c r="E2205" s="335"/>
      <c r="F2205" s="331"/>
      <c r="G2205" s="336"/>
      <c r="H2205" s="332" t="s">
        <v>2811</v>
      </c>
      <c r="I2205" s="397"/>
      <c r="J2205" s="335">
        <v>30528</v>
      </c>
      <c r="K2205" s="374">
        <f t="shared" si="94"/>
        <v>0</v>
      </c>
      <c r="L2205" s="338">
        <f t="shared" si="93"/>
        <v>30528</v>
      </c>
      <c r="M2205" s="330"/>
      <c r="N2205" s="289"/>
      <c r="O2205" s="289"/>
      <c r="P2205" s="289"/>
      <c r="Q2205" s="478"/>
      <c r="R2205" s="649"/>
      <c r="S2205" s="287"/>
      <c r="T2205" s="289"/>
      <c r="U2205" s="289"/>
      <c r="V2205" s="289"/>
    </row>
    <row r="2206" spans="1:22" s="700" customFormat="1" ht="27.75" customHeight="1" thickTop="1" thickBot="1">
      <c r="A2206" s="331">
        <v>8</v>
      </c>
      <c r="B2206" s="332" t="s">
        <v>2643</v>
      </c>
      <c r="C2206" s="477" t="s">
        <v>2819</v>
      </c>
      <c r="D2206" s="1370"/>
      <c r="E2206" s="335"/>
      <c r="F2206" s="331"/>
      <c r="G2206" s="336"/>
      <c r="H2206" s="332" t="s">
        <v>2811</v>
      </c>
      <c r="I2206" s="397"/>
      <c r="J2206" s="335">
        <v>30528</v>
      </c>
      <c r="K2206" s="374">
        <f t="shared" si="94"/>
        <v>0</v>
      </c>
      <c r="L2206" s="338">
        <f t="shared" si="93"/>
        <v>30528</v>
      </c>
      <c r="M2206" s="330"/>
      <c r="N2206" s="289"/>
      <c r="O2206" s="289"/>
      <c r="P2206" s="289"/>
      <c r="Q2206" s="478"/>
      <c r="R2206" s="649"/>
      <c r="S2206" s="287"/>
      <c r="T2206" s="289"/>
      <c r="U2206" s="289"/>
      <c r="V2206" s="289"/>
    </row>
    <row r="2207" spans="1:22" s="700" customFormat="1" ht="27.75" customHeight="1" thickTop="1" thickBot="1">
      <c r="A2207" s="331">
        <v>9</v>
      </c>
      <c r="B2207" s="332" t="s">
        <v>2099</v>
      </c>
      <c r="C2207" s="477" t="s">
        <v>2820</v>
      </c>
      <c r="D2207" s="1370"/>
      <c r="E2207" s="335"/>
      <c r="F2207" s="331"/>
      <c r="G2207" s="336"/>
      <c r="H2207" s="332" t="s">
        <v>2811</v>
      </c>
      <c r="I2207" s="397"/>
      <c r="J2207" s="335">
        <v>30528</v>
      </c>
      <c r="K2207" s="374">
        <f t="shared" si="94"/>
        <v>0</v>
      </c>
      <c r="L2207" s="338">
        <f t="shared" si="93"/>
        <v>30528</v>
      </c>
      <c r="M2207" s="330"/>
      <c r="N2207" s="289"/>
      <c r="O2207" s="289"/>
      <c r="P2207" s="289"/>
      <c r="Q2207" s="478"/>
      <c r="R2207" s="649"/>
      <c r="S2207" s="287"/>
      <c r="T2207" s="289"/>
      <c r="U2207" s="289"/>
      <c r="V2207" s="289"/>
    </row>
    <row r="2208" spans="1:22" s="700" customFormat="1" ht="27.75" customHeight="1" thickTop="1" thickBot="1">
      <c r="A2208" s="331">
        <v>10</v>
      </c>
      <c r="B2208" s="332" t="s">
        <v>2102</v>
      </c>
      <c r="C2208" s="477" t="s">
        <v>3221</v>
      </c>
      <c r="D2208" s="1370"/>
      <c r="E2208" s="335"/>
      <c r="F2208" s="331"/>
      <c r="G2208" s="336"/>
      <c r="H2208" s="332" t="s">
        <v>2811</v>
      </c>
      <c r="I2208" s="397"/>
      <c r="J2208" s="335">
        <v>29880</v>
      </c>
      <c r="K2208" s="374">
        <f t="shared" si="94"/>
        <v>0</v>
      </c>
      <c r="L2208" s="338">
        <f t="shared" si="93"/>
        <v>29880</v>
      </c>
      <c r="M2208" s="330"/>
      <c r="N2208" s="289"/>
      <c r="O2208" s="289"/>
      <c r="P2208" s="289"/>
      <c r="Q2208" s="478"/>
      <c r="R2208" s="649"/>
      <c r="S2208" s="287"/>
      <c r="T2208" s="289"/>
      <c r="U2208" s="289"/>
      <c r="V2208" s="289"/>
    </row>
    <row r="2209" spans="1:22" s="700" customFormat="1" ht="27.75" customHeight="1" thickTop="1" thickBot="1">
      <c r="A2209" s="331">
        <v>11</v>
      </c>
      <c r="B2209" s="332" t="s">
        <v>2102</v>
      </c>
      <c r="C2209" s="477" t="s">
        <v>3222</v>
      </c>
      <c r="D2209" s="1370"/>
      <c r="E2209" s="335"/>
      <c r="F2209" s="331"/>
      <c r="G2209" s="336"/>
      <c r="H2209" s="332" t="s">
        <v>2811</v>
      </c>
      <c r="I2209" s="397"/>
      <c r="J2209" s="335">
        <v>29880</v>
      </c>
      <c r="K2209" s="374">
        <f t="shared" si="94"/>
        <v>0</v>
      </c>
      <c r="L2209" s="338">
        <f t="shared" si="93"/>
        <v>29880</v>
      </c>
      <c r="M2209" s="330"/>
      <c r="N2209" s="289"/>
      <c r="O2209" s="289"/>
      <c r="P2209" s="289"/>
      <c r="Q2209" s="478"/>
      <c r="R2209" s="649"/>
      <c r="S2209" s="287"/>
      <c r="T2209" s="289"/>
      <c r="U2209" s="289"/>
      <c r="V2209" s="289"/>
    </row>
    <row r="2210" spans="1:22" s="700" customFormat="1" ht="27.75" customHeight="1" thickTop="1" thickBot="1">
      <c r="A2210" s="331">
        <v>12</v>
      </c>
      <c r="B2210" s="332" t="s">
        <v>2102</v>
      </c>
      <c r="C2210" s="477" t="s">
        <v>3223</v>
      </c>
      <c r="D2210" s="1370"/>
      <c r="E2210" s="335"/>
      <c r="F2210" s="331"/>
      <c r="G2210" s="336"/>
      <c r="H2210" s="332" t="s">
        <v>2811</v>
      </c>
      <c r="I2210" s="397"/>
      <c r="J2210" s="335">
        <v>29880</v>
      </c>
      <c r="K2210" s="374">
        <f t="shared" si="94"/>
        <v>0</v>
      </c>
      <c r="L2210" s="338">
        <f t="shared" si="93"/>
        <v>29880</v>
      </c>
      <c r="M2210" s="330"/>
      <c r="N2210" s="289"/>
      <c r="O2210" s="289"/>
      <c r="P2210" s="289"/>
      <c r="Q2210" s="478"/>
      <c r="R2210" s="649"/>
      <c r="S2210" s="287"/>
      <c r="T2210" s="289"/>
      <c r="U2210" s="289"/>
      <c r="V2210" s="289"/>
    </row>
    <row r="2211" spans="1:22" s="700" customFormat="1" ht="27.75" customHeight="1" thickTop="1" thickBot="1">
      <c r="A2211" s="331">
        <v>13</v>
      </c>
      <c r="B2211" s="332" t="s">
        <v>3194</v>
      </c>
      <c r="C2211" s="477" t="s">
        <v>3224</v>
      </c>
      <c r="D2211" s="1370"/>
      <c r="E2211" s="335"/>
      <c r="F2211" s="331"/>
      <c r="G2211" s="336"/>
      <c r="H2211" s="332" t="s">
        <v>2811</v>
      </c>
      <c r="I2211" s="397"/>
      <c r="J2211" s="335">
        <v>29880</v>
      </c>
      <c r="K2211" s="374">
        <f t="shared" si="94"/>
        <v>0</v>
      </c>
      <c r="L2211" s="338">
        <f t="shared" si="93"/>
        <v>29880</v>
      </c>
      <c r="M2211" s="330"/>
      <c r="N2211" s="289"/>
      <c r="O2211" s="289"/>
      <c r="P2211" s="289"/>
      <c r="Q2211" s="478"/>
      <c r="R2211" s="649"/>
      <c r="S2211" s="287"/>
      <c r="T2211" s="289"/>
      <c r="U2211" s="289"/>
      <c r="V2211" s="289"/>
    </row>
    <row r="2212" spans="1:22" s="700" customFormat="1" ht="27.75" customHeight="1" thickTop="1" thickBot="1">
      <c r="A2212" s="331">
        <v>14</v>
      </c>
      <c r="B2212" s="332" t="s">
        <v>2999</v>
      </c>
      <c r="C2212" s="477" t="s">
        <v>3225</v>
      </c>
      <c r="D2212" s="1370"/>
      <c r="E2212" s="335"/>
      <c r="F2212" s="331"/>
      <c r="G2212" s="336"/>
      <c r="H2212" s="332" t="s">
        <v>2811</v>
      </c>
      <c r="I2212" s="397"/>
      <c r="J2212" s="335">
        <v>29880</v>
      </c>
      <c r="K2212" s="374">
        <f t="shared" si="94"/>
        <v>0</v>
      </c>
      <c r="L2212" s="338">
        <f t="shared" si="93"/>
        <v>29880</v>
      </c>
      <c r="M2212" s="330"/>
      <c r="N2212" s="289"/>
      <c r="O2212" s="289"/>
      <c r="P2212" s="289"/>
      <c r="Q2212" s="478"/>
      <c r="R2212" s="649"/>
      <c r="S2212" s="287"/>
      <c r="T2212" s="289"/>
      <c r="U2212" s="289"/>
      <c r="V2212" s="289"/>
    </row>
    <row r="2213" spans="1:22" s="700" customFormat="1" ht="27.75" customHeight="1" thickTop="1" thickBot="1">
      <c r="A2213" s="331">
        <v>15</v>
      </c>
      <c r="B2213" s="332" t="s">
        <v>2999</v>
      </c>
      <c r="C2213" s="477" t="s">
        <v>3226</v>
      </c>
      <c r="D2213" s="475"/>
      <c r="E2213" s="335"/>
      <c r="F2213" s="331"/>
      <c r="G2213" s="336"/>
      <c r="H2213" s="332" t="s">
        <v>2811</v>
      </c>
      <c r="I2213" s="397"/>
      <c r="J2213" s="335">
        <v>29880</v>
      </c>
      <c r="K2213" s="374">
        <f t="shared" si="94"/>
        <v>0</v>
      </c>
      <c r="L2213" s="338">
        <f t="shared" si="93"/>
        <v>29880</v>
      </c>
      <c r="M2213" s="330"/>
      <c r="N2213" s="289"/>
      <c r="O2213" s="289"/>
      <c r="P2213" s="289"/>
      <c r="Q2213" s="478"/>
      <c r="R2213" s="649"/>
      <c r="S2213" s="287"/>
      <c r="T2213" s="289"/>
      <c r="U2213" s="289"/>
      <c r="V2213" s="289"/>
    </row>
    <row r="2214" spans="1:22" s="700" customFormat="1" ht="27.75" customHeight="1" thickTop="1" thickBot="1">
      <c r="A2214" s="331">
        <v>16</v>
      </c>
      <c r="B2214" s="332" t="s">
        <v>3089</v>
      </c>
      <c r="C2214" s="477" t="s">
        <v>3227</v>
      </c>
      <c r="D2214" s="475"/>
      <c r="E2214" s="335"/>
      <c r="F2214" s="331"/>
      <c r="G2214" s="336"/>
      <c r="H2214" s="332" t="s">
        <v>2811</v>
      </c>
      <c r="I2214" s="397"/>
      <c r="J2214" s="335">
        <v>29880</v>
      </c>
      <c r="K2214" s="374">
        <f t="shared" si="94"/>
        <v>0</v>
      </c>
      <c r="L2214" s="338">
        <f t="shared" si="93"/>
        <v>29880</v>
      </c>
      <c r="M2214" s="330"/>
      <c r="N2214" s="289"/>
      <c r="O2214" s="289"/>
      <c r="P2214" s="289"/>
      <c r="Q2214" s="478"/>
      <c r="R2214" s="649"/>
      <c r="S2214" s="287"/>
      <c r="T2214" s="289"/>
      <c r="U2214" s="289"/>
      <c r="V2214" s="289"/>
    </row>
    <row r="2215" spans="1:22" s="700" customFormat="1" ht="27.75" customHeight="1" thickTop="1" thickBot="1">
      <c r="A2215" s="331">
        <v>17</v>
      </c>
      <c r="B2215" s="332" t="s">
        <v>2103</v>
      </c>
      <c r="C2215" s="477" t="s">
        <v>3228</v>
      </c>
      <c r="D2215" s="475"/>
      <c r="E2215" s="335"/>
      <c r="F2215" s="331"/>
      <c r="G2215" s="336"/>
      <c r="H2215" s="332" t="s">
        <v>2811</v>
      </c>
      <c r="I2215" s="397"/>
      <c r="J2215" s="335">
        <v>29880</v>
      </c>
      <c r="K2215" s="374">
        <f t="shared" si="94"/>
        <v>0</v>
      </c>
      <c r="L2215" s="338">
        <f t="shared" si="93"/>
        <v>29880</v>
      </c>
      <c r="M2215" s="330"/>
      <c r="N2215" s="289"/>
      <c r="O2215" s="289"/>
      <c r="P2215" s="289"/>
      <c r="Q2215" s="478"/>
      <c r="R2215" s="649"/>
      <c r="S2215" s="287"/>
      <c r="T2215" s="289"/>
      <c r="U2215" s="289"/>
      <c r="V2215" s="289"/>
    </row>
    <row r="2216" spans="1:22" s="700" customFormat="1" ht="27.75" customHeight="1" thickTop="1" thickBot="1">
      <c r="A2216" s="331">
        <v>18</v>
      </c>
      <c r="B2216" s="332" t="s">
        <v>2104</v>
      </c>
      <c r="C2216" s="477" t="s">
        <v>3229</v>
      </c>
      <c r="D2216" s="382"/>
      <c r="E2216" s="335"/>
      <c r="F2216" s="331"/>
      <c r="G2216" s="336"/>
      <c r="H2216" s="332" t="s">
        <v>2811</v>
      </c>
      <c r="I2216" s="397"/>
      <c r="J2216" s="335">
        <v>29880</v>
      </c>
      <c r="K2216" s="374">
        <f t="shared" si="94"/>
        <v>0</v>
      </c>
      <c r="L2216" s="338">
        <f t="shared" si="93"/>
        <v>29880</v>
      </c>
      <c r="M2216" s="330"/>
      <c r="N2216" s="289"/>
      <c r="O2216" s="289"/>
      <c r="P2216" s="289"/>
      <c r="Q2216" s="478"/>
      <c r="R2216" s="649"/>
      <c r="S2216" s="287"/>
      <c r="T2216" s="289"/>
      <c r="U2216" s="289"/>
      <c r="V2216" s="289"/>
    </row>
    <row r="2217" spans="1:22" s="700" customFormat="1" ht="27.75" customHeight="1" thickTop="1" thickBot="1">
      <c r="A2217" s="331">
        <v>19</v>
      </c>
      <c r="B2217" s="332" t="s">
        <v>2722</v>
      </c>
      <c r="C2217" s="477" t="s">
        <v>2821</v>
      </c>
      <c r="D2217" s="382"/>
      <c r="E2217" s="335"/>
      <c r="F2217" s="331"/>
      <c r="G2217" s="336"/>
      <c r="H2217" s="332" t="s">
        <v>2822</v>
      </c>
      <c r="I2217" s="397"/>
      <c r="J2217" s="335">
        <v>11600</v>
      </c>
      <c r="K2217" s="374">
        <f t="shared" si="94"/>
        <v>0</v>
      </c>
      <c r="L2217" s="338">
        <f t="shared" si="93"/>
        <v>11600</v>
      </c>
      <c r="M2217" s="330"/>
      <c r="N2217" s="289"/>
      <c r="O2217" s="289"/>
      <c r="P2217" s="289"/>
      <c r="Q2217" s="478"/>
      <c r="R2217" s="649"/>
      <c r="S2217" s="287"/>
      <c r="T2217" s="289"/>
      <c r="U2217" s="289"/>
      <c r="V2217" s="289"/>
    </row>
    <row r="2218" spans="1:22" s="700" customFormat="1" ht="27.75" customHeight="1" thickTop="1" thickBot="1">
      <c r="A2218" s="331">
        <v>20</v>
      </c>
      <c r="B2218" s="332" t="s">
        <v>2722</v>
      </c>
      <c r="C2218" s="477" t="s">
        <v>2823</v>
      </c>
      <c r="D2218" s="382"/>
      <c r="E2218" s="335"/>
      <c r="F2218" s="331"/>
      <c r="G2218" s="336"/>
      <c r="H2218" s="332" t="s">
        <v>2822</v>
      </c>
      <c r="I2218" s="397"/>
      <c r="J2218" s="335">
        <v>11600</v>
      </c>
      <c r="K2218" s="374">
        <f t="shared" si="94"/>
        <v>0</v>
      </c>
      <c r="L2218" s="338">
        <f t="shared" si="93"/>
        <v>11600</v>
      </c>
      <c r="M2218" s="330"/>
      <c r="N2218" s="289"/>
      <c r="O2218" s="289"/>
      <c r="P2218" s="289"/>
      <c r="Q2218" s="478"/>
      <c r="R2218" s="649"/>
      <c r="S2218" s="287"/>
      <c r="T2218" s="289"/>
      <c r="U2218" s="289"/>
      <c r="V2218" s="289"/>
    </row>
    <row r="2219" spans="1:22" s="700" customFormat="1" ht="27.75" customHeight="1" thickTop="1" thickBot="1">
      <c r="A2219" s="331">
        <v>21</v>
      </c>
      <c r="B2219" s="332" t="s">
        <v>2723</v>
      </c>
      <c r="C2219" s="477" t="s">
        <v>2824</v>
      </c>
      <c r="D2219" s="475"/>
      <c r="E2219" s="335"/>
      <c r="F2219" s="331"/>
      <c r="G2219" s="336"/>
      <c r="H2219" s="332" t="s">
        <v>2822</v>
      </c>
      <c r="I2219" s="397"/>
      <c r="J2219" s="335">
        <v>11600</v>
      </c>
      <c r="K2219" s="374">
        <f t="shared" si="94"/>
        <v>0</v>
      </c>
      <c r="L2219" s="338">
        <f t="shared" ref="L2219:L2282" si="95">+J2219</f>
        <v>11600</v>
      </c>
      <c r="M2219" s="330"/>
      <c r="N2219" s="289"/>
      <c r="O2219" s="289"/>
      <c r="P2219" s="289"/>
      <c r="Q2219" s="478"/>
      <c r="R2219" s="649"/>
      <c r="S2219" s="287"/>
      <c r="T2219" s="289"/>
      <c r="U2219" s="289"/>
      <c r="V2219" s="289"/>
    </row>
    <row r="2220" spans="1:22" s="700" customFormat="1" ht="27.75" customHeight="1" thickTop="1" thickBot="1">
      <c r="A2220" s="331">
        <v>22</v>
      </c>
      <c r="B2220" s="332" t="s">
        <v>2723</v>
      </c>
      <c r="C2220" s="477" t="s">
        <v>2825</v>
      </c>
      <c r="D2220" s="475"/>
      <c r="E2220" s="335"/>
      <c r="F2220" s="331"/>
      <c r="G2220" s="336"/>
      <c r="H2220" s="332" t="s">
        <v>2822</v>
      </c>
      <c r="I2220" s="397"/>
      <c r="J2220" s="335">
        <v>11600</v>
      </c>
      <c r="K2220" s="374">
        <f t="shared" si="94"/>
        <v>0</v>
      </c>
      <c r="L2220" s="338">
        <f t="shared" si="95"/>
        <v>11600</v>
      </c>
      <c r="M2220" s="330"/>
      <c r="N2220" s="289"/>
      <c r="O2220" s="289"/>
      <c r="P2220" s="289"/>
      <c r="Q2220" s="478"/>
      <c r="R2220" s="649"/>
      <c r="S2220" s="287"/>
      <c r="T2220" s="289"/>
      <c r="U2220" s="289"/>
      <c r="V2220" s="289"/>
    </row>
    <row r="2221" spans="1:22" s="700" customFormat="1" ht="27.75" customHeight="1" thickTop="1" thickBot="1">
      <c r="A2221" s="331">
        <v>23</v>
      </c>
      <c r="B2221" s="332" t="s">
        <v>2723</v>
      </c>
      <c r="C2221" s="477" t="s">
        <v>2826</v>
      </c>
      <c r="D2221" s="475"/>
      <c r="E2221" s="335"/>
      <c r="F2221" s="331"/>
      <c r="G2221" s="336"/>
      <c r="H2221" s="332" t="s">
        <v>2822</v>
      </c>
      <c r="I2221" s="397"/>
      <c r="J2221" s="335">
        <v>11600</v>
      </c>
      <c r="K2221" s="374">
        <f t="shared" si="94"/>
        <v>0</v>
      </c>
      <c r="L2221" s="338">
        <f t="shared" si="95"/>
        <v>11600</v>
      </c>
      <c r="M2221" s="330"/>
      <c r="N2221" s="289"/>
      <c r="O2221" s="289"/>
      <c r="P2221" s="289"/>
      <c r="Q2221" s="478"/>
      <c r="R2221" s="649"/>
      <c r="S2221" s="287"/>
      <c r="T2221" s="289"/>
      <c r="U2221" s="289"/>
      <c r="V2221" s="289"/>
    </row>
    <row r="2222" spans="1:22" s="700" customFormat="1" ht="27.75" customHeight="1" thickTop="1" thickBot="1">
      <c r="A2222" s="331">
        <v>24</v>
      </c>
      <c r="B2222" s="332" t="s">
        <v>2597</v>
      </c>
      <c r="C2222" s="477" t="s">
        <v>2827</v>
      </c>
      <c r="D2222" s="475"/>
      <c r="E2222" s="335"/>
      <c r="F2222" s="331"/>
      <c r="G2222" s="336"/>
      <c r="H2222" s="332" t="s">
        <v>2822</v>
      </c>
      <c r="I2222" s="397"/>
      <c r="J2222" s="335">
        <v>11600</v>
      </c>
      <c r="K2222" s="374">
        <f t="shared" si="94"/>
        <v>0</v>
      </c>
      <c r="L2222" s="338">
        <f t="shared" si="95"/>
        <v>11600</v>
      </c>
      <c r="M2222" s="330"/>
      <c r="N2222" s="289"/>
      <c r="O2222" s="289"/>
      <c r="P2222" s="289"/>
      <c r="Q2222" s="478"/>
      <c r="R2222" s="649"/>
      <c r="S2222" s="287"/>
      <c r="T2222" s="289"/>
      <c r="U2222" s="289"/>
      <c r="V2222" s="289"/>
    </row>
    <row r="2223" spans="1:22" s="700" customFormat="1" ht="27.75" customHeight="1" thickTop="1" thickBot="1">
      <c r="A2223" s="331">
        <v>25</v>
      </c>
      <c r="B2223" s="332" t="s">
        <v>2828</v>
      </c>
      <c r="C2223" s="477" t="s">
        <v>2829</v>
      </c>
      <c r="D2223" s="475"/>
      <c r="E2223" s="335"/>
      <c r="F2223" s="331"/>
      <c r="G2223" s="336"/>
      <c r="H2223" s="332" t="s">
        <v>2822</v>
      </c>
      <c r="I2223" s="397"/>
      <c r="J2223" s="335">
        <v>11600</v>
      </c>
      <c r="K2223" s="374">
        <f t="shared" si="94"/>
        <v>0</v>
      </c>
      <c r="L2223" s="338">
        <f t="shared" si="95"/>
        <v>11600</v>
      </c>
      <c r="M2223" s="330"/>
      <c r="N2223" s="289"/>
      <c r="O2223" s="289"/>
      <c r="P2223" s="289"/>
      <c r="Q2223" s="478"/>
      <c r="R2223" s="649"/>
      <c r="S2223" s="287"/>
      <c r="T2223" s="289"/>
      <c r="U2223" s="289"/>
      <c r="V2223" s="289"/>
    </row>
    <row r="2224" spans="1:22" s="700" customFormat="1" ht="27.75" customHeight="1" thickTop="1" thickBot="1">
      <c r="A2224" s="331">
        <v>26</v>
      </c>
      <c r="B2224" s="332" t="s">
        <v>2598</v>
      </c>
      <c r="C2224" s="477" t="s">
        <v>2830</v>
      </c>
      <c r="D2224" s="475"/>
      <c r="E2224" s="335"/>
      <c r="F2224" s="331"/>
      <c r="G2224" s="336"/>
      <c r="H2224" s="332" t="s">
        <v>2822</v>
      </c>
      <c r="I2224" s="397"/>
      <c r="J2224" s="335">
        <v>11600</v>
      </c>
      <c r="K2224" s="374">
        <f t="shared" si="94"/>
        <v>0</v>
      </c>
      <c r="L2224" s="338">
        <f t="shared" si="95"/>
        <v>11600</v>
      </c>
      <c r="M2224" s="330"/>
      <c r="N2224" s="289"/>
      <c r="O2224" s="289"/>
      <c r="P2224" s="289"/>
      <c r="Q2224" s="478"/>
      <c r="R2224" s="649"/>
      <c r="S2224" s="287"/>
      <c r="T2224" s="289"/>
      <c r="U2224" s="289"/>
      <c r="V2224" s="289"/>
    </row>
    <row r="2225" spans="1:22" s="700" customFormat="1" ht="27.75" customHeight="1" thickTop="1" thickBot="1">
      <c r="A2225" s="331">
        <v>27</v>
      </c>
      <c r="B2225" s="332" t="s">
        <v>2598</v>
      </c>
      <c r="C2225" s="477" t="s">
        <v>2831</v>
      </c>
      <c r="D2225" s="335"/>
      <c r="E2225" s="335"/>
      <c r="F2225" s="331"/>
      <c r="G2225" s="336"/>
      <c r="H2225" s="332" t="s">
        <v>2822</v>
      </c>
      <c r="I2225" s="397"/>
      <c r="J2225" s="335">
        <v>11600</v>
      </c>
      <c r="K2225" s="374">
        <f t="shared" si="94"/>
        <v>0</v>
      </c>
      <c r="L2225" s="338">
        <f t="shared" si="95"/>
        <v>11600</v>
      </c>
      <c r="M2225" s="330"/>
      <c r="N2225" s="289"/>
      <c r="O2225" s="289"/>
      <c r="P2225" s="289"/>
      <c r="Q2225" s="478"/>
      <c r="R2225" s="649"/>
      <c r="S2225" s="287"/>
      <c r="T2225" s="289"/>
      <c r="U2225" s="289"/>
      <c r="V2225" s="289"/>
    </row>
    <row r="2226" spans="1:22" s="700" customFormat="1" ht="27.75" customHeight="1" thickTop="1" thickBot="1">
      <c r="A2226" s="331">
        <v>28</v>
      </c>
      <c r="B2226" s="332" t="s">
        <v>2598</v>
      </c>
      <c r="C2226" s="477" t="s">
        <v>2832</v>
      </c>
      <c r="D2226" s="475"/>
      <c r="E2226" s="335"/>
      <c r="F2226" s="331"/>
      <c r="G2226" s="336"/>
      <c r="H2226" s="332" t="s">
        <v>2822</v>
      </c>
      <c r="I2226" s="397"/>
      <c r="J2226" s="335">
        <v>11600</v>
      </c>
      <c r="K2226" s="374">
        <f t="shared" si="94"/>
        <v>0</v>
      </c>
      <c r="L2226" s="338">
        <f t="shared" si="95"/>
        <v>11600</v>
      </c>
      <c r="M2226" s="330"/>
      <c r="N2226" s="289"/>
      <c r="O2226" s="289"/>
      <c r="P2226" s="289"/>
      <c r="Q2226" s="478"/>
      <c r="R2226" s="649"/>
      <c r="S2226" s="287"/>
      <c r="T2226" s="289"/>
      <c r="U2226" s="289"/>
      <c r="V2226" s="289"/>
    </row>
    <row r="2227" spans="1:22" s="700" customFormat="1" ht="27.75" customHeight="1" thickTop="1" thickBot="1">
      <c r="A2227" s="331">
        <v>29</v>
      </c>
      <c r="B2227" s="332" t="s">
        <v>2724</v>
      </c>
      <c r="C2227" s="477" t="s">
        <v>2833</v>
      </c>
      <c r="D2227" s="475"/>
      <c r="E2227" s="335"/>
      <c r="F2227" s="331"/>
      <c r="G2227" s="336"/>
      <c r="H2227" s="332" t="s">
        <v>2822</v>
      </c>
      <c r="I2227" s="397"/>
      <c r="J2227" s="335">
        <v>11600</v>
      </c>
      <c r="K2227" s="374">
        <f t="shared" si="94"/>
        <v>0</v>
      </c>
      <c r="L2227" s="338">
        <f t="shared" si="95"/>
        <v>11600</v>
      </c>
      <c r="M2227" s="330"/>
      <c r="N2227" s="289"/>
      <c r="O2227" s="289"/>
      <c r="P2227" s="289"/>
      <c r="Q2227" s="478"/>
      <c r="R2227" s="649"/>
      <c r="S2227" s="287"/>
      <c r="T2227" s="289"/>
      <c r="U2227" s="289"/>
      <c r="V2227" s="289"/>
    </row>
    <row r="2228" spans="1:22" s="700" customFormat="1" ht="27.75" customHeight="1" thickTop="1" thickBot="1">
      <c r="A2228" s="331">
        <v>30</v>
      </c>
      <c r="B2228" s="332" t="s">
        <v>2725</v>
      </c>
      <c r="C2228" s="477" t="s">
        <v>2949</v>
      </c>
      <c r="D2228" s="475"/>
      <c r="E2228" s="335" t="s">
        <v>2950</v>
      </c>
      <c r="F2228" s="331"/>
      <c r="G2228" s="336">
        <v>6000</v>
      </c>
      <c r="H2228" s="332"/>
      <c r="I2228" s="397"/>
      <c r="J2228" s="335"/>
      <c r="K2228" s="374">
        <f t="shared" si="94"/>
        <v>692.4</v>
      </c>
      <c r="L2228" s="338">
        <f t="shared" si="95"/>
        <v>0</v>
      </c>
      <c r="M2228" s="330"/>
      <c r="N2228" s="289"/>
      <c r="O2228" s="289"/>
      <c r="P2228" s="289"/>
      <c r="Q2228" s="478"/>
      <c r="R2228" s="649"/>
      <c r="S2228" s="287"/>
      <c r="T2228" s="289"/>
      <c r="U2228" s="289"/>
      <c r="V2228" s="289"/>
    </row>
    <row r="2229" spans="1:22" s="700" customFormat="1" ht="27.75" customHeight="1" thickTop="1" thickBot="1">
      <c r="A2229" s="331">
        <v>31</v>
      </c>
      <c r="B2229" s="332" t="s">
        <v>2725</v>
      </c>
      <c r="C2229" s="477" t="s">
        <v>2951</v>
      </c>
      <c r="D2229" s="475"/>
      <c r="E2229" s="335" t="s">
        <v>2950</v>
      </c>
      <c r="F2229" s="331"/>
      <c r="G2229" s="336">
        <v>4500</v>
      </c>
      <c r="H2229" s="332"/>
      <c r="I2229" s="397"/>
      <c r="J2229" s="335"/>
      <c r="K2229" s="374">
        <f t="shared" si="94"/>
        <v>519.29999999999995</v>
      </c>
      <c r="L2229" s="338">
        <f t="shared" si="95"/>
        <v>0</v>
      </c>
      <c r="M2229" s="330"/>
      <c r="N2229" s="289"/>
      <c r="O2229" s="289"/>
      <c r="P2229" s="289"/>
      <c r="Q2229" s="478"/>
      <c r="R2229" s="649"/>
      <c r="S2229" s="287"/>
      <c r="T2229" s="289"/>
      <c r="U2229" s="289"/>
      <c r="V2229" s="289"/>
    </row>
    <row r="2230" spans="1:22" s="700" customFormat="1" ht="27.75" customHeight="1" thickTop="1" thickBot="1">
      <c r="A2230" s="331">
        <v>32</v>
      </c>
      <c r="B2230" s="332" t="s">
        <v>2725</v>
      </c>
      <c r="C2230" s="477" t="s">
        <v>2952</v>
      </c>
      <c r="D2230" s="475"/>
      <c r="E2230" s="335" t="s">
        <v>2950</v>
      </c>
      <c r="F2230" s="331"/>
      <c r="G2230" s="336">
        <v>1500</v>
      </c>
      <c r="H2230" s="332"/>
      <c r="I2230" s="397"/>
      <c r="J2230" s="335"/>
      <c r="K2230" s="374">
        <f t="shared" si="94"/>
        <v>173.1</v>
      </c>
      <c r="L2230" s="338">
        <f t="shared" si="95"/>
        <v>0</v>
      </c>
      <c r="M2230" s="330"/>
      <c r="N2230" s="289"/>
      <c r="O2230" s="289"/>
      <c r="P2230" s="289"/>
      <c r="Q2230" s="478"/>
      <c r="R2230" s="649"/>
      <c r="S2230" s="287"/>
      <c r="T2230" s="289"/>
      <c r="U2230" s="289"/>
      <c r="V2230" s="289"/>
    </row>
    <row r="2231" spans="1:22" s="700" customFormat="1" ht="27.75" customHeight="1" thickTop="1" thickBot="1">
      <c r="A2231" s="331">
        <v>33</v>
      </c>
      <c r="B2231" s="332" t="s">
        <v>1242</v>
      </c>
      <c r="C2231" s="477" t="s">
        <v>2953</v>
      </c>
      <c r="D2231" s="475"/>
      <c r="E2231" s="335" t="s">
        <v>2950</v>
      </c>
      <c r="F2231" s="331"/>
      <c r="G2231" s="336">
        <v>1500</v>
      </c>
      <c r="H2231" s="332"/>
      <c r="I2231" s="397"/>
      <c r="J2231" s="335"/>
      <c r="K2231" s="374">
        <f t="shared" si="94"/>
        <v>173.1</v>
      </c>
      <c r="L2231" s="338">
        <f t="shared" si="95"/>
        <v>0</v>
      </c>
      <c r="M2231" s="330"/>
      <c r="N2231" s="289"/>
      <c r="O2231" s="289"/>
      <c r="P2231" s="289"/>
      <c r="Q2231" s="478"/>
      <c r="R2231" s="649"/>
      <c r="S2231" s="287"/>
      <c r="T2231" s="289"/>
      <c r="U2231" s="289"/>
      <c r="V2231" s="289"/>
    </row>
    <row r="2232" spans="1:22" s="700" customFormat="1" ht="27.75" customHeight="1" thickTop="1" thickBot="1">
      <c r="A2232" s="331">
        <v>34</v>
      </c>
      <c r="B2232" s="332" t="s">
        <v>2794</v>
      </c>
      <c r="C2232" s="477" t="s">
        <v>2837</v>
      </c>
      <c r="D2232" s="475"/>
      <c r="E2232" s="335"/>
      <c r="F2232" s="331"/>
      <c r="G2232" s="336"/>
      <c r="H2232" s="332" t="s">
        <v>2835</v>
      </c>
      <c r="I2232" s="397"/>
      <c r="J2232" s="335">
        <v>3384</v>
      </c>
      <c r="K2232" s="374">
        <f t="shared" si="94"/>
        <v>0</v>
      </c>
      <c r="L2232" s="338">
        <f t="shared" si="95"/>
        <v>3384</v>
      </c>
      <c r="M2232" s="330"/>
      <c r="N2232" s="289"/>
      <c r="O2232" s="289"/>
      <c r="P2232" s="289"/>
      <c r="Q2232" s="478"/>
      <c r="R2232" s="649"/>
      <c r="S2232" s="287"/>
      <c r="T2232" s="289"/>
      <c r="U2232" s="289"/>
      <c r="V2232" s="289"/>
    </row>
    <row r="2233" spans="1:22" s="700" customFormat="1" ht="27.75" customHeight="1" thickTop="1" thickBot="1">
      <c r="A2233" s="331">
        <v>35</v>
      </c>
      <c r="B2233" s="332" t="s">
        <v>2258</v>
      </c>
      <c r="C2233" s="477" t="s">
        <v>2954</v>
      </c>
      <c r="D2233" s="475"/>
      <c r="E2233" s="335" t="s">
        <v>2950</v>
      </c>
      <c r="F2233" s="331"/>
      <c r="G2233" s="336">
        <v>3000</v>
      </c>
      <c r="H2233" s="332"/>
      <c r="I2233" s="397"/>
      <c r="J2233" s="335"/>
      <c r="K2233" s="374">
        <f t="shared" si="94"/>
        <v>346.2</v>
      </c>
      <c r="L2233" s="338">
        <f t="shared" si="95"/>
        <v>0</v>
      </c>
      <c r="M2233" s="330"/>
      <c r="N2233" s="289"/>
      <c r="O2233" s="289"/>
      <c r="P2233" s="289"/>
      <c r="Q2233" s="478"/>
      <c r="R2233" s="649"/>
      <c r="S2233" s="287"/>
      <c r="T2233" s="289"/>
      <c r="U2233" s="289"/>
      <c r="V2233" s="289"/>
    </row>
    <row r="2234" spans="1:22" s="700" customFormat="1" ht="27.75" customHeight="1" thickTop="1" thickBot="1">
      <c r="A2234" s="331">
        <v>36</v>
      </c>
      <c r="B2234" s="332" t="s">
        <v>2258</v>
      </c>
      <c r="C2234" s="477" t="s">
        <v>2955</v>
      </c>
      <c r="D2234" s="335"/>
      <c r="E2234" s="335" t="s">
        <v>2950</v>
      </c>
      <c r="F2234" s="331"/>
      <c r="G2234" s="336">
        <v>1500</v>
      </c>
      <c r="H2234" s="332"/>
      <c r="I2234" s="397"/>
      <c r="J2234" s="335"/>
      <c r="K2234" s="374">
        <f t="shared" si="94"/>
        <v>173.1</v>
      </c>
      <c r="L2234" s="338">
        <f t="shared" si="95"/>
        <v>0</v>
      </c>
      <c r="M2234" s="330"/>
      <c r="N2234" s="289"/>
      <c r="O2234" s="289"/>
      <c r="P2234" s="289"/>
      <c r="Q2234" s="478"/>
      <c r="R2234" s="649"/>
      <c r="S2234" s="287"/>
      <c r="T2234" s="289"/>
      <c r="U2234" s="289"/>
      <c r="V2234" s="289"/>
    </row>
    <row r="2235" spans="1:22" s="700" customFormat="1" ht="27.75" customHeight="1" thickTop="1" thickBot="1">
      <c r="A2235" s="331">
        <v>37</v>
      </c>
      <c r="B2235" s="332" t="s">
        <v>2726</v>
      </c>
      <c r="C2235" s="477" t="s">
        <v>2956</v>
      </c>
      <c r="D2235" s="335"/>
      <c r="E2235" s="335" t="s">
        <v>2950</v>
      </c>
      <c r="F2235" s="331"/>
      <c r="G2235" s="336">
        <v>3000</v>
      </c>
      <c r="H2235" s="332"/>
      <c r="I2235" s="397"/>
      <c r="J2235" s="335"/>
      <c r="K2235" s="374">
        <f t="shared" ref="K2235:K2298" si="96">G2235*11.54/100</f>
        <v>346.2</v>
      </c>
      <c r="L2235" s="338">
        <f t="shared" si="95"/>
        <v>0</v>
      </c>
      <c r="M2235" s="330"/>
      <c r="N2235" s="289"/>
      <c r="O2235" s="289"/>
      <c r="P2235" s="289"/>
      <c r="Q2235" s="478"/>
      <c r="R2235" s="649"/>
      <c r="S2235" s="287"/>
      <c r="T2235" s="289"/>
      <c r="U2235" s="289"/>
      <c r="V2235" s="289"/>
    </row>
    <row r="2236" spans="1:22" s="700" customFormat="1" ht="27.75" customHeight="1" thickTop="1" thickBot="1">
      <c r="A2236" s="331">
        <v>38</v>
      </c>
      <c r="B2236" s="332" t="s">
        <v>2726</v>
      </c>
      <c r="C2236" s="477" t="s">
        <v>2957</v>
      </c>
      <c r="D2236" s="335"/>
      <c r="E2236" s="335" t="s">
        <v>2950</v>
      </c>
      <c r="F2236" s="331"/>
      <c r="G2236" s="336">
        <v>1500</v>
      </c>
      <c r="H2236" s="332"/>
      <c r="I2236" s="397"/>
      <c r="J2236" s="335"/>
      <c r="K2236" s="374">
        <f t="shared" si="96"/>
        <v>173.1</v>
      </c>
      <c r="L2236" s="338">
        <f t="shared" si="95"/>
        <v>0</v>
      </c>
      <c r="M2236" s="330"/>
      <c r="N2236" s="289"/>
      <c r="O2236" s="289"/>
      <c r="P2236" s="289"/>
      <c r="Q2236" s="478"/>
      <c r="R2236" s="649"/>
      <c r="S2236" s="287"/>
      <c r="T2236" s="289"/>
      <c r="U2236" s="289"/>
      <c r="V2236" s="289"/>
    </row>
    <row r="2237" spans="1:22" s="700" customFormat="1" ht="27.75" customHeight="1" thickTop="1" thickBot="1">
      <c r="A2237" s="331">
        <v>39</v>
      </c>
      <c r="B2237" s="332" t="s">
        <v>1518</v>
      </c>
      <c r="C2237" s="477" t="s">
        <v>2840</v>
      </c>
      <c r="D2237" s="335"/>
      <c r="E2237" s="335"/>
      <c r="F2237" s="331"/>
      <c r="G2237" s="336"/>
      <c r="H2237" s="332" t="s">
        <v>2839</v>
      </c>
      <c r="I2237" s="397"/>
      <c r="J2237" s="335">
        <v>9720</v>
      </c>
      <c r="K2237" s="374">
        <f t="shared" si="96"/>
        <v>0</v>
      </c>
      <c r="L2237" s="338">
        <f t="shared" si="95"/>
        <v>9720</v>
      </c>
      <c r="M2237" s="330"/>
      <c r="N2237" s="289"/>
      <c r="O2237" s="289"/>
      <c r="P2237" s="289"/>
      <c r="Q2237" s="478"/>
      <c r="R2237" s="649"/>
      <c r="S2237" s="287"/>
      <c r="T2237" s="289"/>
      <c r="U2237" s="289"/>
      <c r="V2237" s="289"/>
    </row>
    <row r="2238" spans="1:22" s="700" customFormat="1" ht="27.75" customHeight="1" thickTop="1" thickBot="1">
      <c r="A2238" s="331">
        <v>40</v>
      </c>
      <c r="B2238" s="332" t="s">
        <v>1518</v>
      </c>
      <c r="C2238" s="477" t="s">
        <v>2840</v>
      </c>
      <c r="D2238" s="335"/>
      <c r="E2238" s="335"/>
      <c r="F2238" s="331"/>
      <c r="G2238" s="336"/>
      <c r="H2238" s="332" t="s">
        <v>3306</v>
      </c>
      <c r="I2238" s="397"/>
      <c r="J2238" s="335">
        <v>7200</v>
      </c>
      <c r="K2238" s="374">
        <f t="shared" si="96"/>
        <v>0</v>
      </c>
      <c r="L2238" s="338">
        <f t="shared" si="95"/>
        <v>7200</v>
      </c>
      <c r="M2238" s="330"/>
      <c r="N2238" s="289"/>
      <c r="O2238" s="289"/>
      <c r="P2238" s="289"/>
      <c r="Q2238" s="478"/>
      <c r="R2238" s="649"/>
      <c r="S2238" s="287"/>
      <c r="T2238" s="289"/>
      <c r="U2238" s="289"/>
      <c r="V2238" s="289"/>
    </row>
    <row r="2239" spans="1:22" s="700" customFormat="1" ht="27.75" customHeight="1" thickTop="1" thickBot="1">
      <c r="A2239" s="331">
        <v>41</v>
      </c>
      <c r="B2239" s="332" t="s">
        <v>3204</v>
      </c>
      <c r="C2239" s="477" t="s">
        <v>3307</v>
      </c>
      <c r="D2239" s="335"/>
      <c r="E2239" s="335"/>
      <c r="F2239" s="331"/>
      <c r="G2239" s="336"/>
      <c r="H2239" s="332" t="s">
        <v>3306</v>
      </c>
      <c r="I2239" s="397"/>
      <c r="J2239" s="335">
        <v>1600</v>
      </c>
      <c r="K2239" s="374">
        <f t="shared" si="96"/>
        <v>0</v>
      </c>
      <c r="L2239" s="338">
        <f t="shared" si="95"/>
        <v>1600</v>
      </c>
      <c r="M2239" s="330"/>
      <c r="N2239" s="289"/>
      <c r="O2239" s="289"/>
      <c r="P2239" s="289"/>
      <c r="Q2239" s="478"/>
      <c r="R2239" s="649"/>
      <c r="S2239" s="287"/>
      <c r="T2239" s="289"/>
      <c r="U2239" s="289"/>
      <c r="V2239" s="289"/>
    </row>
    <row r="2240" spans="1:22" s="700" customFormat="1" ht="27.75" customHeight="1" thickTop="1" thickBot="1">
      <c r="A2240" s="331">
        <v>42</v>
      </c>
      <c r="B2240" s="332" t="s">
        <v>3281</v>
      </c>
      <c r="C2240" s="477" t="s">
        <v>3308</v>
      </c>
      <c r="D2240" s="335"/>
      <c r="E2240" s="335"/>
      <c r="F2240" s="331"/>
      <c r="G2240" s="336"/>
      <c r="H2240" s="332" t="s">
        <v>3306</v>
      </c>
      <c r="I2240" s="397"/>
      <c r="J2240" s="335">
        <v>3200</v>
      </c>
      <c r="K2240" s="374">
        <f t="shared" si="96"/>
        <v>0</v>
      </c>
      <c r="L2240" s="338">
        <f t="shared" si="95"/>
        <v>3200</v>
      </c>
      <c r="M2240" s="330"/>
      <c r="N2240" s="289"/>
      <c r="O2240" s="289"/>
      <c r="P2240" s="289"/>
      <c r="Q2240" s="478"/>
      <c r="R2240" s="649"/>
      <c r="S2240" s="287"/>
      <c r="T2240" s="289"/>
      <c r="U2240" s="289"/>
      <c r="V2240" s="289"/>
    </row>
    <row r="2241" spans="1:22" s="700" customFormat="1" ht="27.75" customHeight="1" thickTop="1" thickBot="1">
      <c r="A2241" s="331">
        <v>43</v>
      </c>
      <c r="B2241" s="332" t="s">
        <v>2109</v>
      </c>
      <c r="C2241" s="477" t="s">
        <v>3309</v>
      </c>
      <c r="D2241" s="335"/>
      <c r="E2241" s="335"/>
      <c r="F2241" s="331"/>
      <c r="G2241" s="336"/>
      <c r="H2241" s="332" t="s">
        <v>3306</v>
      </c>
      <c r="I2241" s="397"/>
      <c r="J2241" s="335">
        <v>800</v>
      </c>
      <c r="K2241" s="374">
        <f t="shared" si="96"/>
        <v>0</v>
      </c>
      <c r="L2241" s="338">
        <f t="shared" si="95"/>
        <v>800</v>
      </c>
      <c r="M2241" s="330"/>
      <c r="N2241" s="289"/>
      <c r="O2241" s="289"/>
      <c r="P2241" s="289"/>
      <c r="Q2241" s="478"/>
      <c r="R2241" s="649"/>
      <c r="S2241" s="287"/>
      <c r="T2241" s="289"/>
      <c r="U2241" s="289"/>
      <c r="V2241" s="289"/>
    </row>
    <row r="2242" spans="1:22" s="700" customFormat="1" ht="27.75" customHeight="1" thickTop="1" thickBot="1">
      <c r="A2242" s="331">
        <v>44</v>
      </c>
      <c r="B2242" s="332" t="s">
        <v>2841</v>
      </c>
      <c r="C2242" s="477" t="s">
        <v>2842</v>
      </c>
      <c r="D2242" s="335"/>
      <c r="E2242" s="335"/>
      <c r="F2242" s="331"/>
      <c r="G2242" s="336"/>
      <c r="H2242" s="332" t="s">
        <v>2839</v>
      </c>
      <c r="I2242" s="397"/>
      <c r="J2242" s="335">
        <v>4320</v>
      </c>
      <c r="K2242" s="374">
        <f t="shared" si="96"/>
        <v>0</v>
      </c>
      <c r="L2242" s="338">
        <f t="shared" si="95"/>
        <v>4320</v>
      </c>
      <c r="M2242" s="330"/>
      <c r="N2242" s="289"/>
      <c r="O2242" s="289"/>
      <c r="P2242" s="289"/>
      <c r="Q2242" s="478"/>
      <c r="R2242" s="649"/>
      <c r="S2242" s="287"/>
      <c r="T2242" s="289"/>
      <c r="U2242" s="289"/>
      <c r="V2242" s="289"/>
    </row>
    <row r="2243" spans="1:22" s="700" customFormat="1" ht="27.75" customHeight="1" thickTop="1" thickBot="1">
      <c r="A2243" s="331">
        <v>45</v>
      </c>
      <c r="B2243" s="332" t="s">
        <v>2841</v>
      </c>
      <c r="C2243" s="477" t="s">
        <v>2842</v>
      </c>
      <c r="D2243" s="335"/>
      <c r="E2243" s="335"/>
      <c r="F2243" s="331"/>
      <c r="G2243" s="336"/>
      <c r="H2243" s="332" t="s">
        <v>3306</v>
      </c>
      <c r="I2243" s="397"/>
      <c r="J2243" s="335">
        <v>3200</v>
      </c>
      <c r="K2243" s="374">
        <f t="shared" si="96"/>
        <v>0</v>
      </c>
      <c r="L2243" s="338">
        <f t="shared" si="95"/>
        <v>3200</v>
      </c>
      <c r="M2243" s="330"/>
      <c r="N2243" s="289"/>
      <c r="O2243" s="289"/>
      <c r="P2243" s="289"/>
      <c r="Q2243" s="478"/>
      <c r="R2243" s="649"/>
      <c r="S2243" s="287"/>
      <c r="T2243" s="289"/>
      <c r="U2243" s="289"/>
      <c r="V2243" s="289"/>
    </row>
    <row r="2244" spans="1:22" s="700" customFormat="1" ht="27.75" customHeight="1" thickTop="1" thickBot="1">
      <c r="A2244" s="331">
        <v>46</v>
      </c>
      <c r="B2244" s="332" t="s">
        <v>3310</v>
      </c>
      <c r="C2244" s="477" t="s">
        <v>3311</v>
      </c>
      <c r="D2244" s="335"/>
      <c r="E2244" s="335"/>
      <c r="F2244" s="331"/>
      <c r="G2244" s="336"/>
      <c r="H2244" s="332" t="s">
        <v>3306</v>
      </c>
      <c r="I2244" s="397"/>
      <c r="J2244" s="335">
        <v>800</v>
      </c>
      <c r="K2244" s="374">
        <f t="shared" si="96"/>
        <v>0</v>
      </c>
      <c r="L2244" s="338">
        <f t="shared" si="95"/>
        <v>800</v>
      </c>
      <c r="M2244" s="330"/>
      <c r="N2244" s="289"/>
      <c r="O2244" s="289"/>
      <c r="P2244" s="289"/>
      <c r="Q2244" s="478"/>
      <c r="R2244" s="649"/>
      <c r="S2244" s="287"/>
      <c r="T2244" s="289"/>
      <c r="U2244" s="289"/>
      <c r="V2244" s="289"/>
    </row>
    <row r="2245" spans="1:22" s="700" customFormat="1" ht="27.75" customHeight="1" thickTop="1" thickBot="1">
      <c r="A2245" s="331">
        <v>47</v>
      </c>
      <c r="B2245" s="332" t="s">
        <v>2843</v>
      </c>
      <c r="C2245" s="477" t="s">
        <v>2844</v>
      </c>
      <c r="D2245" s="475"/>
      <c r="E2245" s="335"/>
      <c r="F2245" s="331"/>
      <c r="G2245" s="336"/>
      <c r="H2245" s="332" t="s">
        <v>2839</v>
      </c>
      <c r="I2245" s="397"/>
      <c r="J2245" s="335">
        <v>2160</v>
      </c>
      <c r="K2245" s="374">
        <f t="shared" si="96"/>
        <v>0</v>
      </c>
      <c r="L2245" s="338">
        <f t="shared" si="95"/>
        <v>2160</v>
      </c>
      <c r="M2245" s="330"/>
      <c r="N2245" s="289"/>
      <c r="O2245" s="289"/>
      <c r="P2245" s="289"/>
      <c r="Q2245" s="478"/>
      <c r="R2245" s="649"/>
      <c r="S2245" s="287"/>
      <c r="T2245" s="289"/>
      <c r="U2245" s="289"/>
      <c r="V2245" s="289"/>
    </row>
    <row r="2246" spans="1:22" s="700" customFormat="1" ht="27.75" customHeight="1" thickTop="1" thickBot="1">
      <c r="A2246" s="331">
        <v>48</v>
      </c>
      <c r="B2246" s="332" t="s">
        <v>2843</v>
      </c>
      <c r="C2246" s="477" t="s">
        <v>2844</v>
      </c>
      <c r="D2246" s="475"/>
      <c r="E2246" s="335"/>
      <c r="F2246" s="331"/>
      <c r="G2246" s="336"/>
      <c r="H2246" s="332" t="s">
        <v>3306</v>
      </c>
      <c r="I2246" s="397"/>
      <c r="J2246" s="335">
        <v>1600</v>
      </c>
      <c r="K2246" s="374">
        <f t="shared" si="96"/>
        <v>0</v>
      </c>
      <c r="L2246" s="338">
        <f t="shared" si="95"/>
        <v>1600</v>
      </c>
      <c r="M2246" s="330"/>
      <c r="N2246" s="289"/>
      <c r="O2246" s="289"/>
      <c r="P2246" s="289"/>
      <c r="Q2246" s="478"/>
      <c r="R2246" s="649"/>
      <c r="S2246" s="287"/>
      <c r="T2246" s="289"/>
      <c r="U2246" s="289"/>
      <c r="V2246" s="289"/>
    </row>
    <row r="2247" spans="1:22" s="700" customFormat="1" ht="27.75" customHeight="1" thickTop="1" thickBot="1">
      <c r="A2247" s="331">
        <v>49</v>
      </c>
      <c r="B2247" s="332" t="s">
        <v>1516</v>
      </c>
      <c r="C2247" s="477" t="s">
        <v>2845</v>
      </c>
      <c r="D2247" s="1365"/>
      <c r="E2247" s="335"/>
      <c r="F2247" s="331"/>
      <c r="G2247" s="336"/>
      <c r="H2247" s="332" t="s">
        <v>2839</v>
      </c>
      <c r="I2247" s="397"/>
      <c r="J2247" s="335">
        <v>1080</v>
      </c>
      <c r="K2247" s="374">
        <f t="shared" si="96"/>
        <v>0</v>
      </c>
      <c r="L2247" s="338">
        <f t="shared" si="95"/>
        <v>1080</v>
      </c>
      <c r="M2247" s="330"/>
      <c r="N2247" s="289"/>
      <c r="O2247" s="289"/>
      <c r="P2247" s="289"/>
      <c r="Q2247" s="478"/>
      <c r="R2247" s="649"/>
      <c r="S2247" s="287"/>
      <c r="T2247" s="289"/>
      <c r="U2247" s="289"/>
      <c r="V2247" s="289"/>
    </row>
    <row r="2248" spans="1:22" s="700" customFormat="1" ht="27.75" customHeight="1" thickTop="1" thickBot="1">
      <c r="A2248" s="331">
        <v>50</v>
      </c>
      <c r="B2248" s="332" t="s">
        <v>2731</v>
      </c>
      <c r="C2248" s="477" t="s">
        <v>2846</v>
      </c>
      <c r="D2248" s="1365"/>
      <c r="E2248" s="335"/>
      <c r="F2248" s="331"/>
      <c r="G2248" s="336"/>
      <c r="H2248" s="332" t="s">
        <v>2839</v>
      </c>
      <c r="I2248" s="397"/>
      <c r="J2248" s="335">
        <v>1080</v>
      </c>
      <c r="K2248" s="374">
        <f t="shared" si="96"/>
        <v>0</v>
      </c>
      <c r="L2248" s="338">
        <f t="shared" si="95"/>
        <v>1080</v>
      </c>
      <c r="M2248" s="330"/>
      <c r="N2248" s="289"/>
      <c r="O2248" s="289"/>
      <c r="P2248" s="289"/>
      <c r="Q2248" s="478"/>
      <c r="R2248" s="649"/>
      <c r="S2248" s="287"/>
      <c r="T2248" s="289"/>
      <c r="U2248" s="289"/>
      <c r="V2248" s="289"/>
    </row>
    <row r="2249" spans="1:22" s="700" customFormat="1" ht="27.75" customHeight="1" thickTop="1" thickBot="1">
      <c r="A2249" s="331">
        <v>51</v>
      </c>
      <c r="B2249" s="332" t="s">
        <v>1710</v>
      </c>
      <c r="C2249" s="477" t="s">
        <v>2848</v>
      </c>
      <c r="D2249" s="1365"/>
      <c r="E2249" s="335"/>
      <c r="F2249" s="331"/>
      <c r="G2249" s="336"/>
      <c r="H2249" s="332" t="s">
        <v>2847</v>
      </c>
      <c r="I2249" s="397"/>
      <c r="J2249" s="335">
        <v>19065</v>
      </c>
      <c r="K2249" s="374">
        <f t="shared" si="96"/>
        <v>0</v>
      </c>
      <c r="L2249" s="338">
        <f t="shared" si="95"/>
        <v>19065</v>
      </c>
      <c r="M2249" s="330"/>
      <c r="N2249" s="289"/>
      <c r="O2249" s="289"/>
      <c r="P2249" s="289"/>
      <c r="Q2249" s="478"/>
      <c r="R2249" s="649"/>
      <c r="S2249" s="287"/>
      <c r="T2249" s="289"/>
      <c r="U2249" s="289"/>
      <c r="V2249" s="289"/>
    </row>
    <row r="2250" spans="1:22" s="700" customFormat="1" ht="27.75" customHeight="1" thickTop="1" thickBot="1">
      <c r="A2250" s="331">
        <v>52</v>
      </c>
      <c r="B2250" s="332" t="s">
        <v>2110</v>
      </c>
      <c r="C2250" s="477" t="s">
        <v>2849</v>
      </c>
      <c r="D2250" s="1366"/>
      <c r="E2250" s="335"/>
      <c r="F2250" s="331"/>
      <c r="G2250" s="336"/>
      <c r="H2250" s="332" t="s">
        <v>2835</v>
      </c>
      <c r="I2250" s="397"/>
      <c r="J2250" s="335">
        <v>8600</v>
      </c>
      <c r="K2250" s="374">
        <f t="shared" si="96"/>
        <v>0</v>
      </c>
      <c r="L2250" s="338">
        <f t="shared" si="95"/>
        <v>8600</v>
      </c>
      <c r="M2250" s="330"/>
      <c r="N2250" s="289"/>
      <c r="O2250" s="289"/>
      <c r="P2250" s="289"/>
      <c r="Q2250" s="478"/>
      <c r="R2250" s="649"/>
      <c r="S2250" s="287"/>
      <c r="T2250" s="289"/>
      <c r="U2250" s="289"/>
      <c r="V2250" s="289"/>
    </row>
    <row r="2251" spans="1:22" s="700" customFormat="1" ht="27.75" customHeight="1" thickTop="1" thickBot="1">
      <c r="A2251" s="331"/>
      <c r="B2251" s="332"/>
      <c r="C2251" s="477"/>
      <c r="D2251" s="1368"/>
      <c r="E2251" s="335"/>
      <c r="F2251" s="331"/>
      <c r="G2251" s="336"/>
      <c r="H2251" s="332"/>
      <c r="I2251" s="397"/>
      <c r="J2251" s="335"/>
      <c r="K2251" s="374">
        <f t="shared" si="96"/>
        <v>0</v>
      </c>
      <c r="L2251" s="338">
        <f t="shared" si="95"/>
        <v>0</v>
      </c>
      <c r="M2251" s="330"/>
      <c r="N2251" s="289"/>
      <c r="O2251" s="289"/>
      <c r="P2251" s="289"/>
      <c r="Q2251" s="478"/>
      <c r="R2251" s="649"/>
      <c r="S2251" s="287"/>
      <c r="T2251" s="289"/>
      <c r="U2251" s="289"/>
      <c r="V2251" s="289"/>
    </row>
    <row r="2252" spans="1:22" s="700" customFormat="1" ht="27.75" customHeight="1" thickTop="1" thickBot="1">
      <c r="A2252" s="331"/>
      <c r="B2252" s="332" t="s">
        <v>1999</v>
      </c>
      <c r="C2252" s="477"/>
      <c r="D2252" s="1368"/>
      <c r="E2252" s="335"/>
      <c r="F2252" s="331"/>
      <c r="G2252" s="336"/>
      <c r="H2252" s="332"/>
      <c r="I2252" s="397"/>
      <c r="J2252" s="335"/>
      <c r="K2252" s="374">
        <f t="shared" si="96"/>
        <v>0</v>
      </c>
      <c r="L2252" s="338">
        <f t="shared" si="95"/>
        <v>0</v>
      </c>
      <c r="M2252" s="330"/>
      <c r="N2252" s="289"/>
      <c r="O2252" s="289"/>
      <c r="P2252" s="289"/>
      <c r="Q2252" s="478"/>
      <c r="R2252" s="649"/>
      <c r="S2252" s="287"/>
      <c r="T2252" s="289"/>
      <c r="U2252" s="289"/>
      <c r="V2252" s="289"/>
    </row>
    <row r="2253" spans="1:22" s="700" customFormat="1" ht="27.75" customHeight="1" thickTop="1" thickBot="1">
      <c r="A2253" s="331">
        <v>1</v>
      </c>
      <c r="B2253" s="332" t="s">
        <v>1244</v>
      </c>
      <c r="C2253" s="477" t="s">
        <v>2834</v>
      </c>
      <c r="D2253" s="1365"/>
      <c r="E2253" s="335"/>
      <c r="F2253" s="331"/>
      <c r="G2253" s="336"/>
      <c r="H2253" s="332" t="s">
        <v>2835</v>
      </c>
      <c r="I2253" s="397"/>
      <c r="J2253" s="335">
        <v>1692</v>
      </c>
      <c r="K2253" s="374">
        <f t="shared" si="96"/>
        <v>0</v>
      </c>
      <c r="L2253" s="338">
        <f t="shared" si="95"/>
        <v>1692</v>
      </c>
      <c r="M2253" s="330"/>
      <c r="N2253" s="289"/>
      <c r="O2253" s="289"/>
      <c r="P2253" s="289"/>
      <c r="Q2253" s="478"/>
      <c r="R2253" s="649"/>
      <c r="S2253" s="287"/>
      <c r="T2253" s="289"/>
      <c r="U2253" s="289"/>
      <c r="V2253" s="289"/>
    </row>
    <row r="2254" spans="1:22" s="700" customFormat="1" ht="27.75" customHeight="1" thickTop="1" thickBot="1">
      <c r="A2254" s="331"/>
      <c r="B2254" s="332" t="s">
        <v>1244</v>
      </c>
      <c r="C2254" s="477" t="s">
        <v>2836</v>
      </c>
      <c r="D2254" s="1365"/>
      <c r="E2254" s="335"/>
      <c r="F2254" s="331"/>
      <c r="G2254" s="336"/>
      <c r="H2254" s="332" t="s">
        <v>2835</v>
      </c>
      <c r="I2254" s="397"/>
      <c r="J2254" s="335">
        <v>1692</v>
      </c>
      <c r="K2254" s="374">
        <f t="shared" si="96"/>
        <v>0</v>
      </c>
      <c r="L2254" s="338">
        <f t="shared" si="95"/>
        <v>1692</v>
      </c>
      <c r="M2254" s="330"/>
      <c r="N2254" s="289"/>
      <c r="O2254" s="289"/>
      <c r="P2254" s="289"/>
      <c r="Q2254" s="478"/>
      <c r="R2254" s="649"/>
      <c r="S2254" s="287"/>
      <c r="T2254" s="289"/>
      <c r="U2254" s="289"/>
      <c r="V2254" s="289"/>
    </row>
    <row r="2255" spans="1:22" s="700" customFormat="1" ht="27.75" customHeight="1" thickTop="1" thickBot="1">
      <c r="A2255" s="331"/>
      <c r="B2255" s="332" t="s">
        <v>1244</v>
      </c>
      <c r="C2255" s="477" t="s">
        <v>2838</v>
      </c>
      <c r="D2255" s="1365"/>
      <c r="E2255" s="335"/>
      <c r="F2255" s="331"/>
      <c r="G2255" s="336"/>
      <c r="H2255" s="332" t="s">
        <v>2839</v>
      </c>
      <c r="I2255" s="397"/>
      <c r="J2255" s="335">
        <v>7824</v>
      </c>
      <c r="K2255" s="374">
        <f t="shared" si="96"/>
        <v>0</v>
      </c>
      <c r="L2255" s="338">
        <f t="shared" si="95"/>
        <v>7824</v>
      </c>
      <c r="M2255" s="330"/>
      <c r="N2255" s="289"/>
      <c r="O2255" s="289"/>
      <c r="P2255" s="289"/>
      <c r="Q2255" s="478"/>
      <c r="R2255" s="649"/>
      <c r="S2255" s="287"/>
      <c r="T2255" s="289"/>
      <c r="U2255" s="289"/>
      <c r="V2255" s="289"/>
    </row>
    <row r="2256" spans="1:22" s="700" customFormat="1" ht="27.75" customHeight="1" thickTop="1" thickBot="1">
      <c r="A2256" s="331">
        <v>2</v>
      </c>
      <c r="B2256" s="332" t="s">
        <v>2109</v>
      </c>
      <c r="C2256" s="477" t="s">
        <v>3309</v>
      </c>
      <c r="D2256" s="1365"/>
      <c r="E2256" s="335"/>
      <c r="F2256" s="331"/>
      <c r="G2256" s="336"/>
      <c r="H2256" s="332" t="s">
        <v>3306</v>
      </c>
      <c r="I2256" s="397"/>
      <c r="J2256" s="335">
        <v>800</v>
      </c>
      <c r="K2256" s="374">
        <f t="shared" si="96"/>
        <v>0</v>
      </c>
      <c r="L2256" s="338">
        <f t="shared" si="95"/>
        <v>800</v>
      </c>
      <c r="M2256" s="330"/>
      <c r="N2256" s="289"/>
      <c r="O2256" s="289"/>
      <c r="P2256" s="289"/>
      <c r="Q2256" s="478"/>
      <c r="R2256" s="649"/>
      <c r="S2256" s="287"/>
      <c r="T2256" s="289"/>
      <c r="U2256" s="289"/>
      <c r="V2256" s="289"/>
    </row>
    <row r="2257" spans="1:22" s="700" customFormat="1" ht="27.75" customHeight="1" thickTop="1" thickBot="1">
      <c r="A2257" s="331"/>
      <c r="B2257" s="332"/>
      <c r="C2257" s="477"/>
      <c r="D2257" s="1365"/>
      <c r="E2257" s="335"/>
      <c r="F2257" s="331"/>
      <c r="G2257" s="336"/>
      <c r="H2257" s="332"/>
      <c r="I2257" s="397"/>
      <c r="J2257" s="335"/>
      <c r="K2257" s="374">
        <f t="shared" si="96"/>
        <v>0</v>
      </c>
      <c r="L2257" s="338">
        <f t="shared" si="95"/>
        <v>0</v>
      </c>
      <c r="M2257" s="330"/>
      <c r="N2257" s="289"/>
      <c r="O2257" s="289"/>
      <c r="P2257" s="289"/>
      <c r="Q2257" s="478"/>
      <c r="R2257" s="649"/>
      <c r="S2257" s="287"/>
      <c r="T2257" s="289"/>
      <c r="U2257" s="289"/>
      <c r="V2257" s="289"/>
    </row>
    <row r="2258" spans="1:22" s="756" customFormat="1" ht="27.75" customHeight="1" thickTop="1" thickBot="1">
      <c r="A2258" s="450"/>
      <c r="B2258" s="1149"/>
      <c r="C2258" s="1150"/>
      <c r="D2258" s="1365"/>
      <c r="E2258" s="453"/>
      <c r="F2258" s="450"/>
      <c r="G2258" s="499"/>
      <c r="H2258" s="444"/>
      <c r="I2258" s="458"/>
      <c r="J2258" s="453"/>
      <c r="K2258" s="374">
        <f t="shared" si="96"/>
        <v>0</v>
      </c>
      <c r="L2258" s="338">
        <f t="shared" si="95"/>
        <v>0</v>
      </c>
      <c r="M2258" s="551"/>
      <c r="N2258" s="452">
        <f>SUM(G2199:G2258)</f>
        <v>22500</v>
      </c>
      <c r="O2258" s="452">
        <f>SUM(J2199:J2258)</f>
        <v>751089</v>
      </c>
      <c r="P2258" s="452">
        <f>+N2258+O2258</f>
        <v>773589</v>
      </c>
      <c r="Q2258" s="481">
        <f>SUM(D2258)</f>
        <v>0</v>
      </c>
      <c r="R2258" s="1151" t="s">
        <v>879</v>
      </c>
      <c r="S2258" s="483"/>
      <c r="T2258" s="452"/>
      <c r="U2258" s="452"/>
      <c r="V2258" s="452"/>
    </row>
    <row r="2259" spans="1:22" s="515" customFormat="1" ht="27.75" customHeight="1" thickTop="1">
      <c r="A2259" s="331"/>
      <c r="B2259" s="1143" t="s">
        <v>88</v>
      </c>
      <c r="C2259" s="1143"/>
      <c r="D2259" s="1365"/>
      <c r="E2259" s="475"/>
      <c r="F2259" s="1139"/>
      <c r="G2259" s="586"/>
      <c r="H2259" s="363"/>
      <c r="I2259" s="397"/>
      <c r="J2259" s="335"/>
      <c r="K2259" s="374">
        <f t="shared" si="96"/>
        <v>0</v>
      </c>
      <c r="L2259" s="338">
        <f t="shared" si="95"/>
        <v>0</v>
      </c>
      <c r="M2259" s="330"/>
      <c r="N2259" s="289"/>
      <c r="O2259" s="289"/>
      <c r="P2259" s="289"/>
      <c r="Q2259" s="289"/>
      <c r="S2259" s="291"/>
      <c r="T2259" s="291"/>
      <c r="U2259" s="291"/>
      <c r="V2259" s="291"/>
    </row>
    <row r="2260" spans="1:22" s="515" customFormat="1" ht="27.75" customHeight="1">
      <c r="A2260" s="331"/>
      <c r="B2260" s="1143"/>
      <c r="C2260" s="1143"/>
      <c r="D2260" s="1365"/>
      <c r="E2260" s="475"/>
      <c r="F2260" s="1139"/>
      <c r="G2260" s="586"/>
      <c r="H2260" s="363"/>
      <c r="I2260" s="397"/>
      <c r="J2260" s="335"/>
      <c r="K2260" s="374">
        <f t="shared" si="96"/>
        <v>0</v>
      </c>
      <c r="L2260" s="338">
        <f t="shared" si="95"/>
        <v>0</v>
      </c>
      <c r="M2260" s="330"/>
      <c r="N2260" s="289"/>
      <c r="O2260" s="289"/>
      <c r="P2260" s="289"/>
      <c r="Q2260" s="289"/>
      <c r="S2260" s="291"/>
      <c r="T2260" s="291"/>
      <c r="U2260" s="291"/>
      <c r="V2260" s="291"/>
    </row>
    <row r="2261" spans="1:22" s="515" customFormat="1" ht="27.75" customHeight="1" thickBot="1">
      <c r="A2261" s="331"/>
      <c r="B2261" s="1143"/>
      <c r="C2261" s="1143"/>
      <c r="D2261" s="1365"/>
      <c r="E2261" s="475"/>
      <c r="F2261" s="1139"/>
      <c r="G2261" s="586"/>
      <c r="H2261" s="363"/>
      <c r="I2261" s="397"/>
      <c r="J2261" s="335"/>
      <c r="K2261" s="374">
        <f t="shared" si="96"/>
        <v>0</v>
      </c>
      <c r="L2261" s="338">
        <f t="shared" si="95"/>
        <v>0</v>
      </c>
      <c r="M2261" s="330"/>
      <c r="N2261" s="289"/>
      <c r="O2261" s="289"/>
      <c r="P2261" s="289"/>
      <c r="Q2261" s="289"/>
      <c r="S2261" s="291"/>
      <c r="T2261" s="291"/>
      <c r="U2261" s="291"/>
      <c r="V2261" s="291"/>
    </row>
    <row r="2262" spans="1:22" s="924" customFormat="1" ht="27.75" customHeight="1" thickTop="1" thickBot="1">
      <c r="A2262" s="450"/>
      <c r="B2262" s="550"/>
      <c r="C2262" s="550"/>
      <c r="D2262" s="1365"/>
      <c r="E2262" s="453"/>
      <c r="F2262" s="1152"/>
      <c r="G2262" s="707"/>
      <c r="H2262" s="550"/>
      <c r="I2262" s="458"/>
      <c r="J2262" s="453"/>
      <c r="K2262" s="374">
        <f t="shared" si="96"/>
        <v>0</v>
      </c>
      <c r="L2262" s="338">
        <f t="shared" si="95"/>
        <v>0</v>
      </c>
      <c r="M2262" s="551"/>
      <c r="N2262" s="452">
        <f>SUM(G2259:G2262)</f>
        <v>0</v>
      </c>
      <c r="O2262" s="452">
        <f>SUM(J2259:J2262)</f>
        <v>0</v>
      </c>
      <c r="P2262" s="452">
        <f>+N2262+O2262</f>
        <v>0</v>
      </c>
      <c r="Q2262" s="1144">
        <f>SUM(D2259:D2262)</f>
        <v>0</v>
      </c>
      <c r="R2262" s="1153" t="s">
        <v>88</v>
      </c>
      <c r="S2262" s="483"/>
      <c r="T2262" s="452"/>
      <c r="U2262" s="452"/>
      <c r="V2262" s="452"/>
    </row>
    <row r="2263" spans="1:22" s="516" customFormat="1" ht="27.75" customHeight="1" thickTop="1">
      <c r="A2263" s="379"/>
      <c r="B2263" s="506" t="s">
        <v>35</v>
      </c>
      <c r="C2263" s="723"/>
      <c r="D2263" s="1369"/>
      <c r="E2263" s="409"/>
      <c r="F2263" s="362"/>
      <c r="G2263" s="367"/>
      <c r="H2263" s="524"/>
      <c r="I2263" s="388"/>
      <c r="J2263" s="382"/>
      <c r="K2263" s="374">
        <f t="shared" si="96"/>
        <v>0</v>
      </c>
      <c r="L2263" s="338">
        <f t="shared" si="95"/>
        <v>0</v>
      </c>
      <c r="M2263" s="329"/>
      <c r="N2263" s="288"/>
      <c r="O2263" s="288"/>
      <c r="P2263" s="288"/>
      <c r="Q2263" s="690"/>
      <c r="R2263" s="1154"/>
      <c r="S2263" s="288"/>
      <c r="T2263" s="288"/>
      <c r="U2263" s="288"/>
      <c r="V2263" s="288"/>
    </row>
    <row r="2264" spans="1:22" s="516" customFormat="1" ht="27.75" customHeight="1">
      <c r="A2264" s="379">
        <v>1</v>
      </c>
      <c r="B2264" s="506" t="s">
        <v>3574</v>
      </c>
      <c r="C2264" s="723" t="s">
        <v>3575</v>
      </c>
      <c r="D2264" s="1370"/>
      <c r="E2264" s="409" t="s">
        <v>3416</v>
      </c>
      <c r="F2264" s="362">
        <v>1</v>
      </c>
      <c r="G2264" s="367">
        <v>535</v>
      </c>
      <c r="H2264" s="524"/>
      <c r="I2264" s="388"/>
      <c r="J2264" s="382"/>
      <c r="K2264" s="374">
        <f t="shared" si="96"/>
        <v>61.738999999999997</v>
      </c>
      <c r="L2264" s="338">
        <f t="shared" si="95"/>
        <v>0</v>
      </c>
      <c r="M2264" s="329"/>
      <c r="N2264" s="288"/>
      <c r="O2264" s="288"/>
      <c r="P2264" s="288"/>
      <c r="Q2264" s="690"/>
      <c r="R2264" s="1154"/>
      <c r="S2264" s="288"/>
      <c r="T2264" s="288"/>
      <c r="U2264" s="288"/>
      <c r="V2264" s="288"/>
    </row>
    <row r="2265" spans="1:22" s="516" customFormat="1" ht="27.75" customHeight="1">
      <c r="A2265" s="379">
        <v>2</v>
      </c>
      <c r="B2265" s="506" t="s">
        <v>2998</v>
      </c>
      <c r="C2265" s="584" t="s">
        <v>3576</v>
      </c>
      <c r="D2265" s="1368"/>
      <c r="E2265" s="409" t="s">
        <v>3416</v>
      </c>
      <c r="F2265" s="362">
        <v>1</v>
      </c>
      <c r="G2265" s="367">
        <v>535</v>
      </c>
      <c r="H2265" s="524"/>
      <c r="I2265" s="388"/>
      <c r="J2265" s="382"/>
      <c r="K2265" s="374">
        <f t="shared" si="96"/>
        <v>61.738999999999997</v>
      </c>
      <c r="L2265" s="338">
        <f t="shared" si="95"/>
        <v>0</v>
      </c>
      <c r="M2265" s="329"/>
      <c r="N2265" s="288"/>
      <c r="O2265" s="288"/>
      <c r="P2265" s="288"/>
      <c r="Q2265" s="690"/>
      <c r="R2265" s="1154"/>
      <c r="S2265" s="288"/>
      <c r="T2265" s="288"/>
      <c r="U2265" s="288"/>
      <c r="V2265" s="288"/>
    </row>
    <row r="2266" spans="1:22" s="516" customFormat="1" ht="27.75" customHeight="1">
      <c r="A2266" s="379">
        <v>3</v>
      </c>
      <c r="B2266" s="506" t="s">
        <v>2099</v>
      </c>
      <c r="C2266" s="584" t="s">
        <v>771</v>
      </c>
      <c r="D2266" s="1368"/>
      <c r="E2266" s="409" t="s">
        <v>3416</v>
      </c>
      <c r="F2266" s="362">
        <v>1</v>
      </c>
      <c r="G2266" s="367">
        <v>214</v>
      </c>
      <c r="H2266" s="524"/>
      <c r="I2266" s="388"/>
      <c r="J2266" s="382"/>
      <c r="K2266" s="374">
        <f t="shared" si="96"/>
        <v>24.695599999999999</v>
      </c>
      <c r="L2266" s="338">
        <f t="shared" si="95"/>
        <v>0</v>
      </c>
      <c r="M2266" s="329"/>
      <c r="N2266" s="288"/>
      <c r="O2266" s="288"/>
      <c r="P2266" s="288"/>
      <c r="Q2266" s="690"/>
      <c r="R2266" s="1154"/>
      <c r="S2266" s="288"/>
      <c r="T2266" s="288"/>
      <c r="U2266" s="288"/>
      <c r="V2266" s="288"/>
    </row>
    <row r="2267" spans="1:22" s="516" customFormat="1" ht="27.75" customHeight="1">
      <c r="A2267" s="379">
        <v>4</v>
      </c>
      <c r="B2267" s="506" t="s">
        <v>2100</v>
      </c>
      <c r="C2267" s="584" t="s">
        <v>3577</v>
      </c>
      <c r="D2267" s="1368"/>
      <c r="E2267" s="409" t="s">
        <v>3416</v>
      </c>
      <c r="F2267" s="362">
        <v>1</v>
      </c>
      <c r="G2267" s="367">
        <v>214</v>
      </c>
      <c r="H2267" s="524"/>
      <c r="I2267" s="388"/>
      <c r="J2267" s="382"/>
      <c r="K2267" s="374">
        <f t="shared" si="96"/>
        <v>24.695599999999999</v>
      </c>
      <c r="L2267" s="338">
        <f t="shared" si="95"/>
        <v>0</v>
      </c>
      <c r="M2267" s="329"/>
      <c r="N2267" s="288"/>
      <c r="O2267" s="288"/>
      <c r="P2267" s="288"/>
      <c r="Q2267" s="690"/>
      <c r="R2267" s="1154"/>
      <c r="S2267" s="288"/>
      <c r="T2267" s="288"/>
      <c r="U2267" s="288"/>
      <c r="V2267" s="288"/>
    </row>
    <row r="2268" spans="1:22" s="516" customFormat="1" ht="27.75" customHeight="1">
      <c r="A2268" s="379">
        <v>5</v>
      </c>
      <c r="B2268" s="584" t="s">
        <v>2304</v>
      </c>
      <c r="C2268" s="584" t="s">
        <v>3578</v>
      </c>
      <c r="D2268" s="1370"/>
      <c r="E2268" s="409" t="s">
        <v>3416</v>
      </c>
      <c r="F2268" s="362">
        <v>1</v>
      </c>
      <c r="G2268" s="367">
        <v>214</v>
      </c>
      <c r="H2268" s="524"/>
      <c r="I2268" s="388"/>
      <c r="J2268" s="382"/>
      <c r="K2268" s="374">
        <f t="shared" si="96"/>
        <v>24.695599999999999</v>
      </c>
      <c r="L2268" s="338">
        <f t="shared" si="95"/>
        <v>0</v>
      </c>
      <c r="M2268" s="329"/>
      <c r="N2268" s="288"/>
      <c r="O2268" s="288"/>
      <c r="P2268" s="288"/>
      <c r="Q2268" s="690"/>
      <c r="R2268" s="1154"/>
      <c r="S2268" s="288"/>
      <c r="T2268" s="288"/>
      <c r="U2268" s="288"/>
      <c r="V2268" s="288"/>
    </row>
    <row r="2269" spans="1:22" s="516" customFormat="1" ht="27.75" customHeight="1">
      <c r="A2269" s="379">
        <v>6</v>
      </c>
      <c r="B2269" s="506" t="s">
        <v>3194</v>
      </c>
      <c r="C2269" s="584" t="s">
        <v>3289</v>
      </c>
      <c r="D2269" s="1370"/>
      <c r="E2269" s="409" t="s">
        <v>3416</v>
      </c>
      <c r="F2269" s="362">
        <v>1</v>
      </c>
      <c r="G2269" s="367">
        <v>214</v>
      </c>
      <c r="H2269" s="524"/>
      <c r="I2269" s="388"/>
      <c r="J2269" s="382"/>
      <c r="K2269" s="374">
        <f t="shared" si="96"/>
        <v>24.695599999999999</v>
      </c>
      <c r="L2269" s="338">
        <f t="shared" si="95"/>
        <v>0</v>
      </c>
      <c r="M2269" s="329"/>
      <c r="N2269" s="288"/>
      <c r="O2269" s="288"/>
      <c r="P2269" s="288"/>
      <c r="Q2269" s="690"/>
      <c r="R2269" s="1154"/>
      <c r="S2269" s="288"/>
      <c r="T2269" s="288"/>
      <c r="U2269" s="288"/>
      <c r="V2269" s="288"/>
    </row>
    <row r="2270" spans="1:22" s="516" customFormat="1" ht="27.75" customHeight="1">
      <c r="A2270" s="379">
        <v>7</v>
      </c>
      <c r="B2270" s="506" t="s">
        <v>2999</v>
      </c>
      <c r="C2270" s="584" t="s">
        <v>1293</v>
      </c>
      <c r="D2270" s="1370"/>
      <c r="E2270" s="409" t="s">
        <v>3579</v>
      </c>
      <c r="F2270" s="362">
        <v>7</v>
      </c>
      <c r="G2270" s="367">
        <v>2247</v>
      </c>
      <c r="H2270" s="524"/>
      <c r="I2270" s="388"/>
      <c r="J2270" s="382"/>
      <c r="K2270" s="374">
        <f t="shared" si="96"/>
        <v>259.30379999999997</v>
      </c>
      <c r="L2270" s="338">
        <f t="shared" si="95"/>
        <v>0</v>
      </c>
      <c r="M2270" s="329"/>
      <c r="N2270" s="288"/>
      <c r="O2270" s="288"/>
      <c r="P2270" s="288"/>
      <c r="Q2270" s="690"/>
      <c r="R2270" s="1154"/>
      <c r="S2270" s="288"/>
      <c r="T2270" s="288"/>
      <c r="U2270" s="288"/>
      <c r="V2270" s="288"/>
    </row>
    <row r="2271" spans="1:22" s="516" customFormat="1" ht="27.75" customHeight="1">
      <c r="A2271" s="379">
        <v>8</v>
      </c>
      <c r="B2271" s="506" t="s">
        <v>3290</v>
      </c>
      <c r="C2271" s="584" t="s">
        <v>3291</v>
      </c>
      <c r="D2271" s="1371"/>
      <c r="E2271" s="409" t="s">
        <v>3441</v>
      </c>
      <c r="F2271" s="362">
        <v>3</v>
      </c>
      <c r="G2271" s="367">
        <v>642</v>
      </c>
      <c r="H2271" s="524"/>
      <c r="I2271" s="388"/>
      <c r="J2271" s="382"/>
      <c r="K2271" s="374">
        <f t="shared" si="96"/>
        <v>74.086799999999997</v>
      </c>
      <c r="L2271" s="338">
        <f t="shared" si="95"/>
        <v>0</v>
      </c>
      <c r="M2271" s="329"/>
      <c r="N2271" s="288"/>
      <c r="O2271" s="288"/>
      <c r="P2271" s="288"/>
      <c r="Q2271" s="690"/>
      <c r="R2271" s="1154"/>
      <c r="S2271" s="288"/>
      <c r="T2271" s="288"/>
      <c r="U2271" s="288"/>
      <c r="V2271" s="288"/>
    </row>
    <row r="2272" spans="1:22" s="516" customFormat="1" ht="27.75" customHeight="1">
      <c r="A2272" s="379">
        <v>9</v>
      </c>
      <c r="B2272" s="506" t="s">
        <v>2597</v>
      </c>
      <c r="C2272" s="584" t="s">
        <v>3580</v>
      </c>
      <c r="D2272" s="1370"/>
      <c r="E2272" s="409" t="s">
        <v>3416</v>
      </c>
      <c r="F2272" s="362">
        <v>1</v>
      </c>
      <c r="G2272" s="367">
        <v>321</v>
      </c>
      <c r="H2272" s="524"/>
      <c r="I2272" s="388"/>
      <c r="J2272" s="382"/>
      <c r="K2272" s="374">
        <f t="shared" si="96"/>
        <v>37.043399999999998</v>
      </c>
      <c r="L2272" s="338">
        <f t="shared" si="95"/>
        <v>0</v>
      </c>
      <c r="M2272" s="329"/>
      <c r="N2272" s="288"/>
      <c r="O2272" s="288"/>
      <c r="P2272" s="288"/>
      <c r="Q2272" s="690"/>
      <c r="R2272" s="1154"/>
      <c r="S2272" s="288"/>
      <c r="T2272" s="288"/>
      <c r="U2272" s="288"/>
      <c r="V2272" s="288"/>
    </row>
    <row r="2273" spans="1:22" s="516" customFormat="1" ht="27.75" customHeight="1">
      <c r="A2273" s="379">
        <v>10</v>
      </c>
      <c r="B2273" s="506" t="s">
        <v>2598</v>
      </c>
      <c r="C2273" s="584" t="s">
        <v>3581</v>
      </c>
      <c r="D2273" s="1368"/>
      <c r="E2273" s="409" t="s">
        <v>3416</v>
      </c>
      <c r="F2273" s="362">
        <v>1</v>
      </c>
      <c r="G2273" s="367">
        <v>963</v>
      </c>
      <c r="H2273" s="524"/>
      <c r="I2273" s="388"/>
      <c r="J2273" s="382"/>
      <c r="K2273" s="374">
        <f t="shared" si="96"/>
        <v>111.13019999999999</v>
      </c>
      <c r="L2273" s="338">
        <f t="shared" si="95"/>
        <v>0</v>
      </c>
      <c r="M2273" s="329"/>
      <c r="N2273" s="288"/>
      <c r="O2273" s="288"/>
      <c r="P2273" s="288"/>
      <c r="Q2273" s="690"/>
      <c r="R2273" s="1154"/>
      <c r="S2273" s="288"/>
      <c r="T2273" s="288"/>
      <c r="U2273" s="288"/>
      <c r="V2273" s="288"/>
    </row>
    <row r="2274" spans="1:22" s="516" customFormat="1" ht="27.75" customHeight="1">
      <c r="A2274" s="379">
        <v>11</v>
      </c>
      <c r="B2274" s="506" t="s">
        <v>2724</v>
      </c>
      <c r="C2274" s="584" t="s">
        <v>1515</v>
      </c>
      <c r="D2274" s="1498"/>
      <c r="E2274" s="409" t="s">
        <v>3416</v>
      </c>
      <c r="F2274" s="362">
        <v>1</v>
      </c>
      <c r="G2274" s="367">
        <v>321</v>
      </c>
      <c r="H2274" s="524"/>
      <c r="I2274" s="388"/>
      <c r="J2274" s="382"/>
      <c r="K2274" s="374">
        <f t="shared" si="96"/>
        <v>37.043399999999998</v>
      </c>
      <c r="L2274" s="338">
        <f t="shared" si="95"/>
        <v>0</v>
      </c>
      <c r="M2274" s="329"/>
      <c r="N2274" s="288"/>
      <c r="O2274" s="288"/>
      <c r="P2274" s="288"/>
      <c r="Q2274" s="690"/>
      <c r="R2274" s="1154"/>
      <c r="S2274" s="288"/>
      <c r="T2274" s="288"/>
      <c r="U2274" s="288"/>
      <c r="V2274" s="288"/>
    </row>
    <row r="2275" spans="1:22" s="516" customFormat="1" ht="27.75" customHeight="1">
      <c r="A2275" s="379">
        <v>12</v>
      </c>
      <c r="B2275" s="506" t="s">
        <v>3209</v>
      </c>
      <c r="C2275" s="584" t="s">
        <v>3210</v>
      </c>
      <c r="D2275" s="1498"/>
      <c r="E2275" s="409" t="s">
        <v>3416</v>
      </c>
      <c r="F2275" s="362">
        <v>1</v>
      </c>
      <c r="G2275" s="367">
        <v>428</v>
      </c>
      <c r="H2275" s="524"/>
      <c r="I2275" s="388"/>
      <c r="J2275" s="382"/>
      <c r="K2275" s="374">
        <f t="shared" si="96"/>
        <v>49.391199999999998</v>
      </c>
      <c r="L2275" s="338">
        <f t="shared" si="95"/>
        <v>0</v>
      </c>
      <c r="M2275" s="329"/>
      <c r="N2275" s="288"/>
      <c r="O2275" s="288"/>
      <c r="P2275" s="288"/>
      <c r="Q2275" s="690"/>
      <c r="R2275" s="1154"/>
      <c r="S2275" s="288"/>
      <c r="T2275" s="288"/>
      <c r="U2275" s="288"/>
      <c r="V2275" s="288"/>
    </row>
    <row r="2276" spans="1:22" s="516" customFormat="1" ht="27.75" customHeight="1">
      <c r="A2276" s="379">
        <v>13</v>
      </c>
      <c r="B2276" s="506" t="s">
        <v>3209</v>
      </c>
      <c r="C2276" s="584" t="s">
        <v>3211</v>
      </c>
      <c r="D2276" s="1370"/>
      <c r="E2276" s="409" t="s">
        <v>3416</v>
      </c>
      <c r="F2276" s="362">
        <v>1</v>
      </c>
      <c r="G2276" s="367">
        <v>214</v>
      </c>
      <c r="H2276" s="524"/>
      <c r="I2276" s="388"/>
      <c r="J2276" s="382"/>
      <c r="K2276" s="374">
        <f t="shared" si="96"/>
        <v>24.695599999999999</v>
      </c>
      <c r="L2276" s="338">
        <f t="shared" si="95"/>
        <v>0</v>
      </c>
      <c r="M2276" s="329"/>
      <c r="N2276" s="288"/>
      <c r="O2276" s="288"/>
      <c r="P2276" s="288"/>
      <c r="Q2276" s="690"/>
      <c r="R2276" s="1154"/>
      <c r="S2276" s="288"/>
      <c r="T2276" s="288"/>
      <c r="U2276" s="288"/>
      <c r="V2276" s="288"/>
    </row>
    <row r="2277" spans="1:22" s="516" customFormat="1" ht="27.75" customHeight="1">
      <c r="A2277" s="379">
        <v>14</v>
      </c>
      <c r="B2277" s="506" t="s">
        <v>3209</v>
      </c>
      <c r="C2277" s="584" t="s">
        <v>3212</v>
      </c>
      <c r="D2277" s="1370"/>
      <c r="E2277" s="409" t="s">
        <v>3416</v>
      </c>
      <c r="F2277" s="362">
        <v>1</v>
      </c>
      <c r="G2277" s="367">
        <v>214</v>
      </c>
      <c r="H2277" s="524"/>
      <c r="I2277" s="388"/>
      <c r="J2277" s="382"/>
      <c r="K2277" s="374">
        <f t="shared" si="96"/>
        <v>24.695599999999999</v>
      </c>
      <c r="L2277" s="338">
        <f t="shared" si="95"/>
        <v>0</v>
      </c>
      <c r="M2277" s="329"/>
      <c r="N2277" s="288"/>
      <c r="O2277" s="288"/>
      <c r="P2277" s="288"/>
      <c r="Q2277" s="690"/>
      <c r="R2277" s="1154"/>
      <c r="S2277" s="288"/>
      <c r="T2277" s="288"/>
      <c r="U2277" s="288"/>
      <c r="V2277" s="288"/>
    </row>
    <row r="2278" spans="1:22" s="516" customFormat="1" ht="27.75" customHeight="1">
      <c r="A2278" s="379">
        <v>15</v>
      </c>
      <c r="B2278" s="506" t="s">
        <v>3209</v>
      </c>
      <c r="C2278" s="584" t="s">
        <v>3213</v>
      </c>
      <c r="D2278" s="1370"/>
      <c r="E2278" s="409" t="s">
        <v>3416</v>
      </c>
      <c r="F2278" s="362">
        <v>1</v>
      </c>
      <c r="G2278" s="367">
        <v>1070</v>
      </c>
      <c r="H2278" s="524"/>
      <c r="I2278" s="388"/>
      <c r="J2278" s="382"/>
      <c r="K2278" s="374">
        <f t="shared" si="96"/>
        <v>123.47799999999999</v>
      </c>
      <c r="L2278" s="338">
        <f t="shared" si="95"/>
        <v>0</v>
      </c>
      <c r="M2278" s="329"/>
      <c r="N2278" s="288"/>
      <c r="O2278" s="288"/>
      <c r="P2278" s="288"/>
      <c r="Q2278" s="690"/>
      <c r="R2278" s="1154"/>
      <c r="S2278" s="288"/>
      <c r="T2278" s="288"/>
      <c r="U2278" s="288"/>
      <c r="V2278" s="288"/>
    </row>
    <row r="2279" spans="1:22" s="516" customFormat="1" ht="27.75" customHeight="1">
      <c r="A2279" s="379">
        <v>16</v>
      </c>
      <c r="B2279" s="506" t="s">
        <v>3214</v>
      </c>
      <c r="C2279" s="723" t="s">
        <v>3215</v>
      </c>
      <c r="D2279" s="1370"/>
      <c r="E2279" s="409" t="s">
        <v>3416</v>
      </c>
      <c r="F2279" s="362">
        <v>1</v>
      </c>
      <c r="G2279" s="367">
        <v>321</v>
      </c>
      <c r="H2279" s="524"/>
      <c r="I2279" s="388"/>
      <c r="J2279" s="382"/>
      <c r="K2279" s="374">
        <f t="shared" si="96"/>
        <v>37.043399999999998</v>
      </c>
      <c r="L2279" s="338">
        <f t="shared" si="95"/>
        <v>0</v>
      </c>
      <c r="M2279" s="329"/>
      <c r="N2279" s="288"/>
      <c r="O2279" s="288"/>
      <c r="P2279" s="288"/>
      <c r="Q2279" s="690"/>
      <c r="R2279" s="1154"/>
      <c r="S2279" s="288"/>
      <c r="T2279" s="288"/>
      <c r="U2279" s="288"/>
      <c r="V2279" s="288"/>
    </row>
    <row r="2280" spans="1:22" s="516" customFormat="1" ht="27.75" customHeight="1">
      <c r="A2280" s="379">
        <v>17</v>
      </c>
      <c r="B2280" s="506" t="s">
        <v>3160</v>
      </c>
      <c r="C2280" s="584" t="s">
        <v>3161</v>
      </c>
      <c r="D2280" s="1370">
        <v>428</v>
      </c>
      <c r="E2280" s="409"/>
      <c r="F2280" s="362"/>
      <c r="G2280" s="367"/>
      <c r="H2280" s="524"/>
      <c r="I2280" s="388"/>
      <c r="J2280" s="382"/>
      <c r="K2280" s="374">
        <f t="shared" si="96"/>
        <v>0</v>
      </c>
      <c r="L2280" s="338">
        <f t="shared" si="95"/>
        <v>0</v>
      </c>
      <c r="M2280" s="329"/>
      <c r="N2280" s="288"/>
      <c r="O2280" s="288"/>
      <c r="P2280" s="288"/>
      <c r="Q2280" s="690"/>
      <c r="R2280" s="1154"/>
      <c r="S2280" s="288"/>
      <c r="T2280" s="288"/>
      <c r="U2280" s="288"/>
      <c r="V2280" s="288"/>
    </row>
    <row r="2281" spans="1:22" s="516" customFormat="1" ht="27.75" customHeight="1">
      <c r="A2281" s="379">
        <v>18</v>
      </c>
      <c r="B2281" s="506" t="s">
        <v>2146</v>
      </c>
      <c r="C2281" s="584" t="s">
        <v>2653</v>
      </c>
      <c r="D2281" s="1370"/>
      <c r="E2281" s="409" t="s">
        <v>3509</v>
      </c>
      <c r="F2281" s="362">
        <v>5</v>
      </c>
      <c r="G2281" s="367">
        <v>1070</v>
      </c>
      <c r="H2281" s="524"/>
      <c r="I2281" s="388"/>
      <c r="J2281" s="382"/>
      <c r="K2281" s="374">
        <f t="shared" si="96"/>
        <v>123.47799999999999</v>
      </c>
      <c r="L2281" s="338">
        <f t="shared" si="95"/>
        <v>0</v>
      </c>
      <c r="M2281" s="329"/>
      <c r="N2281" s="288"/>
      <c r="O2281" s="288"/>
      <c r="P2281" s="288"/>
      <c r="Q2281" s="690"/>
      <c r="R2281" s="1154"/>
      <c r="S2281" s="288"/>
      <c r="T2281" s="288"/>
      <c r="U2281" s="288"/>
      <c r="V2281" s="288"/>
    </row>
    <row r="2282" spans="1:22" s="516" customFormat="1" ht="27.75" customHeight="1">
      <c r="A2282" s="379">
        <v>19</v>
      </c>
      <c r="B2282" s="506" t="s">
        <v>2107</v>
      </c>
      <c r="C2282" s="584" t="s">
        <v>1803</v>
      </c>
      <c r="D2282" s="1370"/>
      <c r="E2282" s="409" t="s">
        <v>3416</v>
      </c>
      <c r="F2282" s="362">
        <v>1</v>
      </c>
      <c r="G2282" s="367">
        <v>963</v>
      </c>
      <c r="H2282" s="524"/>
      <c r="I2282" s="388"/>
      <c r="J2282" s="382"/>
      <c r="K2282" s="374">
        <f t="shared" si="96"/>
        <v>111.13019999999999</v>
      </c>
      <c r="L2282" s="338">
        <f t="shared" si="95"/>
        <v>0</v>
      </c>
      <c r="M2282" s="329"/>
      <c r="N2282" s="288"/>
      <c r="O2282" s="288"/>
      <c r="P2282" s="288"/>
      <c r="Q2282" s="690"/>
      <c r="R2282" s="1154"/>
      <c r="S2282" s="288"/>
      <c r="T2282" s="288"/>
      <c r="U2282" s="288"/>
      <c r="V2282" s="288"/>
    </row>
    <row r="2283" spans="1:22" s="516" customFormat="1" ht="27.75" customHeight="1">
      <c r="A2283" s="379">
        <v>20</v>
      </c>
      <c r="B2283" s="506" t="s">
        <v>3510</v>
      </c>
      <c r="C2283" s="584" t="s">
        <v>3582</v>
      </c>
      <c r="D2283" s="1372"/>
      <c r="E2283" s="409" t="s">
        <v>3416</v>
      </c>
      <c r="F2283" s="362">
        <v>1</v>
      </c>
      <c r="G2283" s="367">
        <v>321</v>
      </c>
      <c r="H2283" s="524"/>
      <c r="I2283" s="388"/>
      <c r="J2283" s="382"/>
      <c r="K2283" s="374">
        <f t="shared" si="96"/>
        <v>37.043399999999998</v>
      </c>
      <c r="L2283" s="338">
        <f t="shared" ref="L2283:L2346" si="97">+J2283</f>
        <v>0</v>
      </c>
      <c r="M2283" s="329"/>
      <c r="N2283" s="288"/>
      <c r="O2283" s="288"/>
      <c r="P2283" s="288"/>
      <c r="Q2283" s="690"/>
      <c r="R2283" s="1154"/>
      <c r="S2283" s="288"/>
      <c r="T2283" s="288"/>
      <c r="U2283" s="288"/>
      <c r="V2283" s="288"/>
    </row>
    <row r="2284" spans="1:22" s="516" customFormat="1" ht="27.75" customHeight="1">
      <c r="A2284" s="379">
        <v>21</v>
      </c>
      <c r="B2284" s="506" t="s">
        <v>3583</v>
      </c>
      <c r="C2284" s="584" t="s">
        <v>3584</v>
      </c>
      <c r="D2284" s="1372"/>
      <c r="E2284" s="409" t="s">
        <v>3416</v>
      </c>
      <c r="F2284" s="362">
        <v>1</v>
      </c>
      <c r="G2284" s="367">
        <v>449.4</v>
      </c>
      <c r="H2284" s="524"/>
      <c r="I2284" s="388"/>
      <c r="J2284" s="382"/>
      <c r="K2284" s="374">
        <f t="shared" si="96"/>
        <v>51.860759999999992</v>
      </c>
      <c r="L2284" s="338">
        <f t="shared" si="97"/>
        <v>0</v>
      </c>
      <c r="M2284" s="329"/>
      <c r="N2284" s="288"/>
      <c r="O2284" s="288"/>
      <c r="P2284" s="288"/>
      <c r="Q2284" s="690"/>
      <c r="R2284" s="1154"/>
      <c r="S2284" s="288"/>
      <c r="T2284" s="288"/>
      <c r="U2284" s="288"/>
      <c r="V2284" s="288"/>
    </row>
    <row r="2285" spans="1:22" s="516" customFormat="1" ht="27.75" customHeight="1">
      <c r="A2285" s="379">
        <v>22</v>
      </c>
      <c r="B2285" s="506" t="s">
        <v>2796</v>
      </c>
      <c r="C2285" s="584" t="s">
        <v>1517</v>
      </c>
      <c r="D2285" s="1370"/>
      <c r="E2285" s="409" t="s">
        <v>3416</v>
      </c>
      <c r="F2285" s="362">
        <v>1</v>
      </c>
      <c r="G2285" s="367">
        <v>321</v>
      </c>
      <c r="H2285" s="524"/>
      <c r="I2285" s="388"/>
      <c r="J2285" s="382"/>
      <c r="K2285" s="374">
        <f t="shared" si="96"/>
        <v>37.043399999999998</v>
      </c>
      <c r="L2285" s="338">
        <f t="shared" si="97"/>
        <v>0</v>
      </c>
      <c r="M2285" s="329"/>
      <c r="N2285" s="288"/>
      <c r="O2285" s="288"/>
      <c r="P2285" s="288"/>
      <c r="Q2285" s="690"/>
      <c r="R2285" s="1154"/>
      <c r="S2285" s="288"/>
      <c r="T2285" s="288"/>
      <c r="U2285" s="288"/>
      <c r="V2285" s="288"/>
    </row>
    <row r="2286" spans="1:22" s="516" customFormat="1" ht="27.75" customHeight="1">
      <c r="A2286" s="379">
        <v>23</v>
      </c>
      <c r="B2286" s="506" t="s">
        <v>3356</v>
      </c>
      <c r="C2286" s="584" t="s">
        <v>960</v>
      </c>
      <c r="D2286" s="1370"/>
      <c r="E2286" s="409" t="s">
        <v>3416</v>
      </c>
      <c r="F2286" s="362">
        <v>1</v>
      </c>
      <c r="G2286" s="367">
        <v>321</v>
      </c>
      <c r="H2286" s="524"/>
      <c r="I2286" s="388"/>
      <c r="J2286" s="382"/>
      <c r="K2286" s="374">
        <f t="shared" si="96"/>
        <v>37.043399999999998</v>
      </c>
      <c r="L2286" s="338">
        <f t="shared" si="97"/>
        <v>0</v>
      </c>
      <c r="M2286" s="329"/>
      <c r="N2286" s="288"/>
      <c r="O2286" s="288"/>
      <c r="P2286" s="288"/>
      <c r="Q2286" s="690"/>
      <c r="R2286" s="1154"/>
      <c r="S2286" s="288"/>
      <c r="T2286" s="288"/>
      <c r="U2286" s="288"/>
      <c r="V2286" s="288"/>
    </row>
    <row r="2287" spans="1:22" s="516" customFormat="1" ht="27.75" customHeight="1">
      <c r="A2287" s="379">
        <v>24</v>
      </c>
      <c r="B2287" s="506" t="s">
        <v>3281</v>
      </c>
      <c r="C2287" s="584" t="s">
        <v>3368</v>
      </c>
      <c r="D2287" s="1370"/>
      <c r="E2287" s="409" t="s">
        <v>3437</v>
      </c>
      <c r="F2287" s="362">
        <v>2</v>
      </c>
      <c r="G2287" s="367">
        <v>856</v>
      </c>
      <c r="H2287" s="524"/>
      <c r="I2287" s="388"/>
      <c r="J2287" s="382"/>
      <c r="K2287" s="374">
        <f t="shared" si="96"/>
        <v>98.782399999999996</v>
      </c>
      <c r="L2287" s="338">
        <f t="shared" si="97"/>
        <v>0</v>
      </c>
      <c r="M2287" s="329"/>
      <c r="N2287" s="288"/>
      <c r="O2287" s="288"/>
      <c r="P2287" s="288"/>
      <c r="Q2287" s="690"/>
      <c r="R2287" s="1154"/>
      <c r="S2287" s="288"/>
      <c r="T2287" s="288"/>
      <c r="U2287" s="288"/>
      <c r="V2287" s="288"/>
    </row>
    <row r="2288" spans="1:22" s="516" customFormat="1" ht="27.75" customHeight="1">
      <c r="A2288" s="379">
        <v>25</v>
      </c>
      <c r="B2288" s="506" t="s">
        <v>3517</v>
      </c>
      <c r="C2288" s="584" t="s">
        <v>3585</v>
      </c>
      <c r="D2288" s="1370"/>
      <c r="E2288" s="409" t="s">
        <v>3416</v>
      </c>
      <c r="F2288" s="362">
        <v>1</v>
      </c>
      <c r="G2288" s="367">
        <v>321</v>
      </c>
      <c r="H2288" s="524"/>
      <c r="I2288" s="388"/>
      <c r="J2288" s="382"/>
      <c r="K2288" s="374">
        <f t="shared" si="96"/>
        <v>37.043399999999998</v>
      </c>
      <c r="L2288" s="338">
        <f t="shared" si="97"/>
        <v>0</v>
      </c>
      <c r="M2288" s="329"/>
      <c r="N2288" s="288"/>
      <c r="O2288" s="288"/>
      <c r="P2288" s="288"/>
      <c r="Q2288" s="690"/>
      <c r="R2288" s="1154"/>
      <c r="S2288" s="288"/>
      <c r="T2288" s="288"/>
      <c r="U2288" s="288"/>
      <c r="V2288" s="288"/>
    </row>
    <row r="2289" spans="1:22" s="516" customFormat="1" ht="27.75" customHeight="1">
      <c r="A2289" s="379">
        <v>26</v>
      </c>
      <c r="B2289" s="506" t="s">
        <v>2234</v>
      </c>
      <c r="C2289" s="584" t="s">
        <v>1295</v>
      </c>
      <c r="D2289" s="1370">
        <v>1070</v>
      </c>
      <c r="E2289" s="409"/>
      <c r="F2289" s="362"/>
      <c r="G2289" s="367"/>
      <c r="H2289" s="524"/>
      <c r="I2289" s="388"/>
      <c r="J2289" s="382"/>
      <c r="K2289" s="374">
        <f t="shared" si="96"/>
        <v>0</v>
      </c>
      <c r="L2289" s="338">
        <f t="shared" si="97"/>
        <v>0</v>
      </c>
      <c r="M2289" s="329"/>
      <c r="N2289" s="288"/>
      <c r="O2289" s="288"/>
      <c r="P2289" s="288"/>
      <c r="Q2289" s="690"/>
      <c r="R2289" s="1154"/>
      <c r="S2289" s="288"/>
      <c r="T2289" s="288"/>
      <c r="U2289" s="288"/>
      <c r="V2289" s="288"/>
    </row>
    <row r="2290" spans="1:22" s="516" customFormat="1" ht="27.75" customHeight="1">
      <c r="A2290" s="379">
        <v>27</v>
      </c>
      <c r="B2290" s="506" t="s">
        <v>2644</v>
      </c>
      <c r="C2290" s="584" t="s">
        <v>2654</v>
      </c>
      <c r="D2290" s="1370"/>
      <c r="E2290" s="409" t="s">
        <v>3437</v>
      </c>
      <c r="F2290" s="362">
        <v>2</v>
      </c>
      <c r="G2290" s="367">
        <v>428</v>
      </c>
      <c r="H2290" s="524"/>
      <c r="I2290" s="388"/>
      <c r="J2290" s="382"/>
      <c r="K2290" s="374">
        <f t="shared" si="96"/>
        <v>49.391199999999998</v>
      </c>
      <c r="L2290" s="338">
        <f t="shared" si="97"/>
        <v>0</v>
      </c>
      <c r="M2290" s="329"/>
      <c r="N2290" s="288"/>
      <c r="O2290" s="288"/>
      <c r="P2290" s="288"/>
      <c r="Q2290" s="690"/>
      <c r="R2290" s="1154"/>
      <c r="S2290" s="288"/>
      <c r="T2290" s="288"/>
      <c r="U2290" s="288"/>
      <c r="V2290" s="288"/>
    </row>
    <row r="2291" spans="1:22" s="516" customFormat="1" ht="27.75" customHeight="1">
      <c r="A2291" s="379">
        <v>28</v>
      </c>
      <c r="B2291" s="506" t="s">
        <v>2305</v>
      </c>
      <c r="C2291" s="584" t="s">
        <v>1255</v>
      </c>
      <c r="D2291" s="1370"/>
      <c r="E2291" s="409" t="s">
        <v>3437</v>
      </c>
      <c r="F2291" s="362">
        <v>2</v>
      </c>
      <c r="G2291" s="367">
        <v>214</v>
      </c>
      <c r="H2291" s="524"/>
      <c r="I2291" s="388"/>
      <c r="J2291" s="382"/>
      <c r="K2291" s="374">
        <f t="shared" si="96"/>
        <v>24.695599999999999</v>
      </c>
      <c r="L2291" s="338">
        <f t="shared" si="97"/>
        <v>0</v>
      </c>
      <c r="M2291" s="329"/>
      <c r="N2291" s="288"/>
      <c r="O2291" s="288"/>
      <c r="P2291" s="288"/>
      <c r="Q2291" s="690"/>
      <c r="R2291" s="1154"/>
      <c r="S2291" s="288"/>
      <c r="T2291" s="288"/>
      <c r="U2291" s="288"/>
      <c r="V2291" s="288"/>
    </row>
    <row r="2292" spans="1:22" s="516" customFormat="1" ht="27.75" customHeight="1">
      <c r="A2292" s="379">
        <v>29</v>
      </c>
      <c r="B2292" s="506" t="s">
        <v>3586</v>
      </c>
      <c r="C2292" s="584" t="s">
        <v>1296</v>
      </c>
      <c r="D2292" s="1368"/>
      <c r="E2292" s="409" t="s">
        <v>3416</v>
      </c>
      <c r="F2292" s="362">
        <v>1</v>
      </c>
      <c r="G2292" s="367">
        <v>535</v>
      </c>
      <c r="H2292" s="524"/>
      <c r="I2292" s="388"/>
      <c r="J2292" s="382"/>
      <c r="K2292" s="374">
        <f t="shared" si="96"/>
        <v>61.738999999999997</v>
      </c>
      <c r="L2292" s="338">
        <f t="shared" si="97"/>
        <v>0</v>
      </c>
      <c r="M2292" s="329"/>
      <c r="N2292" s="288"/>
      <c r="O2292" s="288"/>
      <c r="P2292" s="288"/>
      <c r="Q2292" s="690"/>
      <c r="R2292" s="1154"/>
      <c r="S2292" s="288"/>
      <c r="T2292" s="288"/>
      <c r="U2292" s="288"/>
      <c r="V2292" s="288"/>
    </row>
    <row r="2293" spans="1:22" s="516" customFormat="1" ht="27.75" customHeight="1">
      <c r="A2293" s="379">
        <v>30</v>
      </c>
      <c r="B2293" s="506" t="s">
        <v>3155</v>
      </c>
      <c r="C2293" s="584" t="s">
        <v>3162</v>
      </c>
      <c r="D2293" s="1368"/>
      <c r="E2293" s="409" t="s">
        <v>3416</v>
      </c>
      <c r="F2293" s="362">
        <v>1</v>
      </c>
      <c r="G2293" s="367">
        <v>321</v>
      </c>
      <c r="H2293" s="524"/>
      <c r="I2293" s="388"/>
      <c r="J2293" s="382"/>
      <c r="K2293" s="374">
        <f t="shared" si="96"/>
        <v>37.043399999999998</v>
      </c>
      <c r="L2293" s="338">
        <f t="shared" si="97"/>
        <v>0</v>
      </c>
      <c r="M2293" s="329"/>
      <c r="N2293" s="288"/>
      <c r="O2293" s="288"/>
      <c r="P2293" s="288"/>
      <c r="Q2293" s="690"/>
      <c r="R2293" s="1154"/>
      <c r="S2293" s="288"/>
      <c r="T2293" s="288"/>
      <c r="U2293" s="288"/>
      <c r="V2293" s="288"/>
    </row>
    <row r="2294" spans="1:22" s="516" customFormat="1" ht="27.75" customHeight="1">
      <c r="A2294" s="379">
        <v>31</v>
      </c>
      <c r="B2294" s="506" t="s">
        <v>2799</v>
      </c>
      <c r="C2294" s="584" t="s">
        <v>2800</v>
      </c>
      <c r="D2294" s="1370"/>
      <c r="E2294" s="409" t="s">
        <v>3508</v>
      </c>
      <c r="F2294" s="362">
        <v>4</v>
      </c>
      <c r="G2294" s="367">
        <v>856</v>
      </c>
      <c r="H2294" s="524"/>
      <c r="I2294" s="388"/>
      <c r="J2294" s="382"/>
      <c r="K2294" s="374">
        <f t="shared" si="96"/>
        <v>98.782399999999996</v>
      </c>
      <c r="L2294" s="338">
        <f t="shared" si="97"/>
        <v>0</v>
      </c>
      <c r="M2294" s="329"/>
      <c r="N2294" s="288"/>
      <c r="O2294" s="288"/>
      <c r="P2294" s="288"/>
      <c r="Q2294" s="690"/>
      <c r="R2294" s="1154"/>
      <c r="S2294" s="288"/>
      <c r="T2294" s="288"/>
      <c r="U2294" s="288"/>
      <c r="V2294" s="288"/>
    </row>
    <row r="2295" spans="1:22" s="516" customFormat="1" ht="27.75" customHeight="1">
      <c r="A2295" s="379">
        <v>32</v>
      </c>
      <c r="B2295" s="506" t="s">
        <v>2801</v>
      </c>
      <c r="C2295" s="584" t="s">
        <v>2802</v>
      </c>
      <c r="D2295" s="1370"/>
      <c r="E2295" s="409" t="s">
        <v>3416</v>
      </c>
      <c r="F2295" s="362">
        <v>1</v>
      </c>
      <c r="G2295" s="367">
        <v>214</v>
      </c>
      <c r="H2295" s="524"/>
      <c r="I2295" s="388"/>
      <c r="J2295" s="382"/>
      <c r="K2295" s="374">
        <f t="shared" si="96"/>
        <v>24.695599999999999</v>
      </c>
      <c r="L2295" s="338">
        <f t="shared" si="97"/>
        <v>0</v>
      </c>
      <c r="M2295" s="329"/>
      <c r="N2295" s="288"/>
      <c r="O2295" s="288"/>
      <c r="P2295" s="288"/>
      <c r="Q2295" s="690"/>
      <c r="R2295" s="1154"/>
      <c r="S2295" s="288"/>
      <c r="T2295" s="288"/>
      <c r="U2295" s="288"/>
      <c r="V2295" s="288"/>
    </row>
    <row r="2296" spans="1:22" s="516" customFormat="1" ht="27.75" customHeight="1">
      <c r="A2296" s="379">
        <v>33</v>
      </c>
      <c r="B2296" s="506" t="s">
        <v>3566</v>
      </c>
      <c r="C2296" s="584" t="s">
        <v>3587</v>
      </c>
      <c r="D2296" s="1368"/>
      <c r="E2296" s="409" t="s">
        <v>3416</v>
      </c>
      <c r="F2296" s="362">
        <v>1</v>
      </c>
      <c r="G2296" s="367">
        <v>214</v>
      </c>
      <c r="H2296" s="524"/>
      <c r="I2296" s="388"/>
      <c r="J2296" s="382"/>
      <c r="K2296" s="374">
        <f t="shared" si="96"/>
        <v>24.695599999999999</v>
      </c>
      <c r="L2296" s="338">
        <f t="shared" si="97"/>
        <v>0</v>
      </c>
      <c r="M2296" s="329"/>
      <c r="N2296" s="288"/>
      <c r="O2296" s="288"/>
      <c r="P2296" s="288"/>
      <c r="Q2296" s="690"/>
      <c r="R2296" s="1154"/>
      <c r="S2296" s="288"/>
      <c r="T2296" s="288"/>
      <c r="U2296" s="288"/>
      <c r="V2296" s="288"/>
    </row>
    <row r="2297" spans="1:22" s="516" customFormat="1" ht="27.75" customHeight="1">
      <c r="A2297" s="379">
        <v>34</v>
      </c>
      <c r="B2297" s="506" t="s">
        <v>3588</v>
      </c>
      <c r="C2297" s="584" t="s">
        <v>1453</v>
      </c>
      <c r="D2297" s="1368"/>
      <c r="E2297" s="409" t="s">
        <v>3416</v>
      </c>
      <c r="F2297" s="362">
        <v>1</v>
      </c>
      <c r="G2297" s="367">
        <v>1070</v>
      </c>
      <c r="H2297" s="524"/>
      <c r="I2297" s="388"/>
      <c r="J2297" s="382"/>
      <c r="K2297" s="374">
        <f t="shared" si="96"/>
        <v>123.47799999999999</v>
      </c>
      <c r="L2297" s="338">
        <f t="shared" si="97"/>
        <v>0</v>
      </c>
      <c r="M2297" s="329"/>
      <c r="N2297" s="288"/>
      <c r="O2297" s="288"/>
      <c r="P2297" s="288"/>
      <c r="Q2297" s="690"/>
      <c r="R2297" s="1154"/>
      <c r="S2297" s="288"/>
      <c r="T2297" s="288"/>
      <c r="U2297" s="288"/>
      <c r="V2297" s="288"/>
    </row>
    <row r="2298" spans="1:22" s="516" customFormat="1" ht="27.75" customHeight="1">
      <c r="A2298" s="379">
        <v>35</v>
      </c>
      <c r="B2298" s="506" t="s">
        <v>3369</v>
      </c>
      <c r="C2298" s="584" t="s">
        <v>3370</v>
      </c>
      <c r="D2298" s="1370"/>
      <c r="E2298" s="409" t="s">
        <v>3416</v>
      </c>
      <c r="F2298" s="362">
        <v>1</v>
      </c>
      <c r="G2298" s="367">
        <v>535</v>
      </c>
      <c r="H2298" s="524"/>
      <c r="I2298" s="388"/>
      <c r="J2298" s="382"/>
      <c r="K2298" s="374">
        <f t="shared" si="96"/>
        <v>61.738999999999997</v>
      </c>
      <c r="L2298" s="338">
        <f t="shared" si="97"/>
        <v>0</v>
      </c>
      <c r="M2298" s="329"/>
      <c r="N2298" s="288"/>
      <c r="O2298" s="288"/>
      <c r="P2298" s="288"/>
      <c r="Q2298" s="1155"/>
      <c r="R2298" s="1156"/>
      <c r="S2298" s="554"/>
      <c r="T2298" s="288"/>
      <c r="U2298" s="288"/>
      <c r="V2298" s="288"/>
    </row>
    <row r="2299" spans="1:22" s="516" customFormat="1" ht="27.75" customHeight="1">
      <c r="A2299" s="379">
        <v>36</v>
      </c>
      <c r="B2299" s="506" t="s">
        <v>2655</v>
      </c>
      <c r="C2299" s="584" t="s">
        <v>2010</v>
      </c>
      <c r="D2299" s="1370"/>
      <c r="E2299" s="409" t="s">
        <v>3437</v>
      </c>
      <c r="F2299" s="362">
        <v>2</v>
      </c>
      <c r="G2299" s="367">
        <v>2140</v>
      </c>
      <c r="H2299" s="524"/>
      <c r="I2299" s="388"/>
      <c r="J2299" s="382"/>
      <c r="K2299" s="374">
        <f t="shared" ref="K2299:K2362" si="98">G2299*11.54/100</f>
        <v>246.95599999999999</v>
      </c>
      <c r="L2299" s="338">
        <f t="shared" si="97"/>
        <v>0</v>
      </c>
      <c r="M2299" s="329"/>
      <c r="N2299" s="288"/>
      <c r="O2299" s="288"/>
      <c r="P2299" s="288"/>
      <c r="Q2299" s="1155"/>
      <c r="R2299" s="1156"/>
      <c r="S2299" s="554"/>
      <c r="T2299" s="288"/>
      <c r="U2299" s="288"/>
      <c r="V2299" s="288"/>
    </row>
    <row r="2300" spans="1:22" s="516" customFormat="1" ht="27.75" customHeight="1">
      <c r="A2300" s="379">
        <v>37</v>
      </c>
      <c r="B2300" s="506" t="s">
        <v>3589</v>
      </c>
      <c r="C2300" s="584" t="s">
        <v>3590</v>
      </c>
      <c r="D2300" s="1370"/>
      <c r="E2300" s="409" t="s">
        <v>3416</v>
      </c>
      <c r="F2300" s="362">
        <v>1</v>
      </c>
      <c r="G2300" s="367">
        <v>2140</v>
      </c>
      <c r="H2300" s="524"/>
      <c r="I2300" s="388"/>
      <c r="J2300" s="382"/>
      <c r="K2300" s="374">
        <f t="shared" si="98"/>
        <v>246.95599999999999</v>
      </c>
      <c r="L2300" s="338">
        <f t="shared" si="97"/>
        <v>0</v>
      </c>
      <c r="M2300" s="329"/>
      <c r="N2300" s="288"/>
      <c r="O2300" s="288"/>
      <c r="P2300" s="288"/>
      <c r="Q2300" s="1155"/>
      <c r="R2300" s="1156"/>
      <c r="S2300" s="554"/>
      <c r="T2300" s="288"/>
      <c r="U2300" s="288"/>
      <c r="V2300" s="288"/>
    </row>
    <row r="2301" spans="1:22" s="516" customFormat="1" ht="27.75" customHeight="1">
      <c r="A2301" s="379"/>
      <c r="B2301" s="506"/>
      <c r="C2301" s="584"/>
      <c r="D2301" s="1370"/>
      <c r="E2301" s="409"/>
      <c r="F2301" s="362"/>
      <c r="G2301" s="367"/>
      <c r="H2301" s="524"/>
      <c r="I2301" s="388"/>
      <c r="J2301" s="382"/>
      <c r="K2301" s="374">
        <f t="shared" si="98"/>
        <v>0</v>
      </c>
      <c r="L2301" s="338">
        <f t="shared" si="97"/>
        <v>0</v>
      </c>
      <c r="M2301" s="329"/>
      <c r="N2301" s="288"/>
      <c r="O2301" s="288"/>
      <c r="P2301" s="288"/>
      <c r="Q2301" s="1155"/>
      <c r="R2301" s="1156"/>
      <c r="S2301" s="554"/>
      <c r="T2301" s="288"/>
      <c r="U2301" s="288"/>
      <c r="V2301" s="288"/>
    </row>
    <row r="2302" spans="1:22" s="516" customFormat="1" ht="27.75" customHeight="1">
      <c r="A2302" s="379"/>
      <c r="B2302" s="506" t="s">
        <v>1003</v>
      </c>
      <c r="C2302" s="584"/>
      <c r="D2302" s="1370"/>
      <c r="E2302" s="409"/>
      <c r="F2302" s="362"/>
      <c r="G2302" s="367"/>
      <c r="H2302" s="524"/>
      <c r="I2302" s="388"/>
      <c r="J2302" s="382"/>
      <c r="K2302" s="374">
        <f t="shared" si="98"/>
        <v>0</v>
      </c>
      <c r="L2302" s="338">
        <f t="shared" si="97"/>
        <v>0</v>
      </c>
      <c r="M2302" s="329"/>
      <c r="N2302" s="288"/>
      <c r="O2302" s="288"/>
      <c r="P2302" s="288"/>
      <c r="Q2302" s="1155"/>
      <c r="R2302" s="1156"/>
      <c r="S2302" s="554"/>
      <c r="T2302" s="288"/>
      <c r="U2302" s="288"/>
      <c r="V2302" s="288"/>
    </row>
    <row r="2303" spans="1:22" s="516" customFormat="1" ht="27.75" customHeight="1">
      <c r="A2303" s="379">
        <v>1</v>
      </c>
      <c r="B2303" s="506" t="s">
        <v>1244</v>
      </c>
      <c r="C2303" s="584" t="s">
        <v>1294</v>
      </c>
      <c r="D2303" s="1370"/>
      <c r="E2303" s="409"/>
      <c r="F2303" s="362"/>
      <c r="G2303" s="367"/>
      <c r="H2303" s="524" t="s">
        <v>2671</v>
      </c>
      <c r="I2303" s="388">
        <v>8</v>
      </c>
      <c r="J2303" s="382">
        <v>1712</v>
      </c>
      <c r="K2303" s="374">
        <f t="shared" si="98"/>
        <v>0</v>
      </c>
      <c r="L2303" s="338">
        <f t="shared" si="97"/>
        <v>1712</v>
      </c>
      <c r="M2303" s="329"/>
      <c r="N2303" s="288"/>
      <c r="O2303" s="288"/>
      <c r="P2303" s="288"/>
      <c r="Q2303" s="1155"/>
      <c r="R2303" s="1156"/>
      <c r="S2303" s="554"/>
      <c r="T2303" s="288"/>
      <c r="U2303" s="288"/>
      <c r="V2303" s="288"/>
    </row>
    <row r="2304" spans="1:22" s="516" customFormat="1" ht="27.75" customHeight="1">
      <c r="A2304" s="379"/>
      <c r="B2304" s="506" t="s">
        <v>1244</v>
      </c>
      <c r="C2304" s="584" t="s">
        <v>1253</v>
      </c>
      <c r="D2304" s="1370"/>
      <c r="E2304" s="409"/>
      <c r="F2304" s="362"/>
      <c r="G2304" s="367"/>
      <c r="H2304" s="524" t="s">
        <v>3664</v>
      </c>
      <c r="I2304" s="388">
        <v>21</v>
      </c>
      <c r="J2304" s="382">
        <v>8988</v>
      </c>
      <c r="K2304" s="374">
        <f t="shared" si="98"/>
        <v>0</v>
      </c>
      <c r="L2304" s="338">
        <f t="shared" si="97"/>
        <v>8988</v>
      </c>
      <c r="M2304" s="329"/>
      <c r="N2304" s="288"/>
      <c r="O2304" s="288"/>
      <c r="P2304" s="288"/>
      <c r="Q2304" s="1155"/>
      <c r="R2304" s="1156"/>
      <c r="S2304" s="554"/>
      <c r="T2304" s="288"/>
      <c r="U2304" s="288"/>
      <c r="V2304" s="288"/>
    </row>
    <row r="2305" spans="1:22" s="516" customFormat="1" ht="27.75" customHeight="1">
      <c r="A2305" s="379">
        <v>2</v>
      </c>
      <c r="B2305" s="506" t="s">
        <v>2109</v>
      </c>
      <c r="C2305" s="584" t="s">
        <v>1254</v>
      </c>
      <c r="D2305" s="1370"/>
      <c r="E2305" s="409" t="s">
        <v>3665</v>
      </c>
      <c r="F2305" s="362">
        <v>10</v>
      </c>
      <c r="G2305" s="367">
        <v>1070</v>
      </c>
      <c r="H2305" s="524"/>
      <c r="I2305" s="388"/>
      <c r="J2305" s="382"/>
      <c r="K2305" s="374">
        <f t="shared" si="98"/>
        <v>123.47799999999999</v>
      </c>
      <c r="L2305" s="338">
        <f t="shared" si="97"/>
        <v>0</v>
      </c>
      <c r="M2305" s="329"/>
      <c r="N2305" s="288"/>
      <c r="O2305" s="288"/>
      <c r="P2305" s="288"/>
      <c r="Q2305" s="1155"/>
      <c r="R2305" s="1156"/>
      <c r="S2305" s="554"/>
      <c r="T2305" s="288"/>
      <c r="U2305" s="288"/>
      <c r="V2305" s="288"/>
    </row>
    <row r="2306" spans="1:22" s="516" customFormat="1" ht="27.75" customHeight="1" thickBot="1">
      <c r="A2306" s="379"/>
      <c r="B2306" s="506"/>
      <c r="C2306" s="584"/>
      <c r="D2306" s="1370"/>
      <c r="E2306" s="409"/>
      <c r="F2306" s="362"/>
      <c r="G2306" s="367"/>
      <c r="H2306" s="524"/>
      <c r="I2306" s="388"/>
      <c r="J2306" s="382"/>
      <c r="K2306" s="374">
        <f t="shared" si="98"/>
        <v>0</v>
      </c>
      <c r="L2306" s="338">
        <f t="shared" si="97"/>
        <v>0</v>
      </c>
      <c r="M2306" s="329"/>
      <c r="N2306" s="288"/>
      <c r="O2306" s="288"/>
      <c r="P2306" s="288"/>
      <c r="Q2306" s="1155"/>
      <c r="R2306" s="1156"/>
      <c r="S2306" s="554"/>
      <c r="T2306" s="288"/>
      <c r="U2306" s="288"/>
      <c r="V2306" s="288"/>
    </row>
    <row r="2307" spans="1:22" s="924" customFormat="1" ht="27.75" customHeight="1" thickTop="1" thickBot="1">
      <c r="A2307" s="450"/>
      <c r="B2307" s="1149"/>
      <c r="C2307" s="457"/>
      <c r="D2307" s="1370"/>
      <c r="E2307" s="453"/>
      <c r="F2307" s="450"/>
      <c r="G2307" s="499"/>
      <c r="H2307" s="550"/>
      <c r="I2307" s="458"/>
      <c r="J2307" s="453"/>
      <c r="K2307" s="374">
        <f t="shared" si="98"/>
        <v>0</v>
      </c>
      <c r="L2307" s="338">
        <f t="shared" si="97"/>
        <v>0</v>
      </c>
      <c r="M2307" s="551"/>
      <c r="N2307" s="452">
        <f>SUM(G2263:G2306)</f>
        <v>23026.400000000001</v>
      </c>
      <c r="O2307" s="452">
        <f>SUM(J2263:J2306)</f>
        <v>10700</v>
      </c>
      <c r="P2307" s="452">
        <f>SUM(N2307:O2307)</f>
        <v>33726.400000000001</v>
      </c>
      <c r="Q2307" s="1157">
        <f>SUM(D2264:D2307)</f>
        <v>1498</v>
      </c>
      <c r="R2307" s="1153" t="s">
        <v>35</v>
      </c>
      <c r="S2307" s="483"/>
      <c r="T2307" s="452"/>
      <c r="U2307" s="452"/>
      <c r="V2307" s="452"/>
    </row>
    <row r="2308" spans="1:22" s="515" customFormat="1" ht="27.75" customHeight="1" thickTop="1">
      <c r="A2308" s="331"/>
      <c r="B2308" s="506" t="s">
        <v>36</v>
      </c>
      <c r="C2308" s="584"/>
      <c r="D2308" s="1370"/>
      <c r="E2308" s="475"/>
      <c r="F2308" s="1139"/>
      <c r="G2308" s="386"/>
      <c r="H2308" s="363"/>
      <c r="I2308" s="397"/>
      <c r="J2308" s="335"/>
      <c r="K2308" s="374">
        <f t="shared" si="98"/>
        <v>0</v>
      </c>
      <c r="L2308" s="338">
        <f t="shared" si="97"/>
        <v>0</v>
      </c>
      <c r="M2308" s="330"/>
      <c r="N2308" s="289"/>
      <c r="O2308" s="289"/>
      <c r="P2308" s="289"/>
      <c r="Q2308" s="325"/>
      <c r="R2308" s="1158"/>
      <c r="S2308" s="291"/>
      <c r="T2308" s="291"/>
      <c r="U2308" s="291"/>
      <c r="V2308" s="291"/>
    </row>
    <row r="2309" spans="1:22" s="515" customFormat="1" ht="27.75" customHeight="1">
      <c r="A2309" s="331">
        <f t="shared" ref="A2309:A2335" si="99">+A2308+1</f>
        <v>1</v>
      </c>
      <c r="B2309" s="506" t="s">
        <v>1441</v>
      </c>
      <c r="C2309" s="584" t="s">
        <v>1454</v>
      </c>
      <c r="D2309" s="1370"/>
      <c r="E2309" s="475" t="s">
        <v>3441</v>
      </c>
      <c r="F2309" s="1139">
        <v>3</v>
      </c>
      <c r="G2309" s="386">
        <v>321</v>
      </c>
      <c r="H2309" s="363"/>
      <c r="I2309" s="397"/>
      <c r="J2309" s="335"/>
      <c r="K2309" s="374">
        <f t="shared" si="98"/>
        <v>37.043399999999998</v>
      </c>
      <c r="L2309" s="338">
        <f t="shared" si="97"/>
        <v>0</v>
      </c>
      <c r="M2309" s="330"/>
      <c r="N2309" s="289"/>
      <c r="O2309" s="289"/>
      <c r="P2309" s="289"/>
      <c r="Q2309" s="325"/>
      <c r="R2309" s="1158"/>
      <c r="S2309" s="291"/>
      <c r="T2309" s="291"/>
      <c r="U2309" s="291"/>
      <c r="V2309" s="291"/>
    </row>
    <row r="2310" spans="1:22" s="515" customFormat="1" ht="27.75" customHeight="1">
      <c r="A2310" s="331">
        <f t="shared" si="99"/>
        <v>2</v>
      </c>
      <c r="B2310" s="506" t="s">
        <v>1288</v>
      </c>
      <c r="C2310" s="584" t="s">
        <v>1297</v>
      </c>
      <c r="D2310" s="1370"/>
      <c r="E2310" s="475" t="s">
        <v>3441</v>
      </c>
      <c r="F2310" s="1139">
        <v>3</v>
      </c>
      <c r="G2310" s="386">
        <v>321</v>
      </c>
      <c r="H2310" s="363"/>
      <c r="I2310" s="397"/>
      <c r="J2310" s="335"/>
      <c r="K2310" s="374">
        <f t="shared" si="98"/>
        <v>37.043399999999998</v>
      </c>
      <c r="L2310" s="338">
        <f t="shared" si="97"/>
        <v>0</v>
      </c>
      <c r="M2310" s="330"/>
      <c r="N2310" s="289"/>
      <c r="O2310" s="289"/>
      <c r="P2310" s="289"/>
      <c r="Q2310" s="325"/>
      <c r="R2310" s="1158"/>
      <c r="S2310" s="291"/>
      <c r="T2310" s="291"/>
      <c r="U2310" s="291"/>
      <c r="V2310" s="291"/>
    </row>
    <row r="2311" spans="1:22" s="515" customFormat="1" ht="27.75" customHeight="1">
      <c r="A2311" s="331">
        <f t="shared" si="99"/>
        <v>3</v>
      </c>
      <c r="B2311" s="506" t="s">
        <v>1443</v>
      </c>
      <c r="C2311" s="584" t="s">
        <v>1455</v>
      </c>
      <c r="D2311" s="1370"/>
      <c r="E2311" s="475" t="s">
        <v>3437</v>
      </c>
      <c r="F2311" s="1139">
        <v>2</v>
      </c>
      <c r="G2311" s="386">
        <v>214</v>
      </c>
      <c r="H2311" s="363"/>
      <c r="I2311" s="397"/>
      <c r="J2311" s="335"/>
      <c r="K2311" s="374">
        <f t="shared" si="98"/>
        <v>24.695599999999999</v>
      </c>
      <c r="L2311" s="338">
        <f t="shared" si="97"/>
        <v>0</v>
      </c>
      <c r="M2311" s="330"/>
      <c r="N2311" s="289"/>
      <c r="O2311" s="289"/>
      <c r="P2311" s="289"/>
      <c r="Q2311" s="325"/>
      <c r="R2311" s="1158"/>
      <c r="S2311" s="291"/>
      <c r="T2311" s="291"/>
      <c r="U2311" s="291"/>
      <c r="V2311" s="291"/>
    </row>
    <row r="2312" spans="1:22" s="515" customFormat="1" ht="27.75" customHeight="1">
      <c r="A2312" s="331">
        <f t="shared" si="99"/>
        <v>4</v>
      </c>
      <c r="B2312" s="506" t="s">
        <v>1502</v>
      </c>
      <c r="C2312" s="723" t="s">
        <v>1519</v>
      </c>
      <c r="D2312" s="1370"/>
      <c r="E2312" s="475" t="s">
        <v>3441</v>
      </c>
      <c r="F2312" s="1139">
        <v>3</v>
      </c>
      <c r="G2312" s="386">
        <v>321</v>
      </c>
      <c r="H2312" s="363"/>
      <c r="I2312" s="397"/>
      <c r="J2312" s="335"/>
      <c r="K2312" s="374">
        <f t="shared" si="98"/>
        <v>37.043399999999998</v>
      </c>
      <c r="L2312" s="338">
        <f t="shared" si="97"/>
        <v>0</v>
      </c>
      <c r="M2312" s="330"/>
      <c r="N2312" s="289"/>
      <c r="O2312" s="289"/>
      <c r="P2312" s="289"/>
      <c r="Q2312" s="325"/>
      <c r="R2312" s="1158"/>
      <c r="S2312" s="291"/>
      <c r="T2312" s="291"/>
      <c r="U2312" s="291"/>
      <c r="V2312" s="291"/>
    </row>
    <row r="2313" spans="1:22" s="515" customFormat="1" ht="27.75" customHeight="1">
      <c r="A2313" s="331">
        <f t="shared" si="99"/>
        <v>5</v>
      </c>
      <c r="B2313" s="506" t="s">
        <v>3526</v>
      </c>
      <c r="C2313" s="584" t="s">
        <v>3591</v>
      </c>
      <c r="D2313" s="1370"/>
      <c r="E2313" s="475" t="s">
        <v>3416</v>
      </c>
      <c r="F2313" s="1139">
        <v>1</v>
      </c>
      <c r="G2313" s="386">
        <v>107</v>
      </c>
      <c r="H2313" s="363"/>
      <c r="I2313" s="397"/>
      <c r="J2313" s="335"/>
      <c r="K2313" s="374">
        <f t="shared" si="98"/>
        <v>12.347799999999999</v>
      </c>
      <c r="L2313" s="338">
        <f t="shared" si="97"/>
        <v>0</v>
      </c>
      <c r="M2313" s="330"/>
      <c r="N2313" s="289"/>
      <c r="O2313" s="289"/>
      <c r="P2313" s="289"/>
      <c r="Q2313" s="325"/>
      <c r="R2313" s="1158"/>
      <c r="S2313" s="291"/>
      <c r="T2313" s="291"/>
      <c r="U2313" s="291"/>
      <c r="V2313" s="291"/>
    </row>
    <row r="2314" spans="1:22" s="515" customFormat="1" ht="27.75" customHeight="1">
      <c r="A2314" s="331">
        <f t="shared" si="99"/>
        <v>6</v>
      </c>
      <c r="B2314" s="506" t="s">
        <v>3205</v>
      </c>
      <c r="C2314" s="584" t="s">
        <v>1520</v>
      </c>
      <c r="D2314" s="1370"/>
      <c r="E2314" s="475" t="s">
        <v>3437</v>
      </c>
      <c r="F2314" s="1139">
        <v>2</v>
      </c>
      <c r="G2314" s="386">
        <v>214</v>
      </c>
      <c r="H2314" s="363"/>
      <c r="I2314" s="397"/>
      <c r="J2314" s="335"/>
      <c r="K2314" s="374">
        <f t="shared" si="98"/>
        <v>24.695599999999999</v>
      </c>
      <c r="L2314" s="338">
        <f t="shared" si="97"/>
        <v>0</v>
      </c>
      <c r="M2314" s="330"/>
      <c r="N2314" s="289"/>
      <c r="O2314" s="289"/>
      <c r="P2314" s="289"/>
      <c r="Q2314" s="325"/>
      <c r="R2314" s="1158"/>
      <c r="S2314" s="291"/>
      <c r="T2314" s="291"/>
      <c r="U2314" s="291"/>
      <c r="V2314" s="291"/>
    </row>
    <row r="2315" spans="1:22" s="515" customFormat="1" ht="27.75" customHeight="1">
      <c r="A2315" s="331">
        <f t="shared" si="99"/>
        <v>7</v>
      </c>
      <c r="B2315" s="506" t="s">
        <v>574</v>
      </c>
      <c r="C2315" s="584" t="s">
        <v>772</v>
      </c>
      <c r="D2315" s="475"/>
      <c r="E2315" s="475" t="s">
        <v>3437</v>
      </c>
      <c r="F2315" s="1139">
        <v>2</v>
      </c>
      <c r="G2315" s="386">
        <v>214</v>
      </c>
      <c r="H2315" s="1138"/>
      <c r="I2315" s="397"/>
      <c r="J2315" s="335"/>
      <c r="K2315" s="374">
        <f t="shared" si="98"/>
        <v>24.695599999999999</v>
      </c>
      <c r="L2315" s="338">
        <f t="shared" si="97"/>
        <v>0</v>
      </c>
      <c r="M2315" s="330"/>
      <c r="N2315" s="289"/>
      <c r="O2315" s="289"/>
      <c r="P2315" s="289"/>
      <c r="Q2315" s="325"/>
      <c r="R2315" s="1158"/>
      <c r="S2315" s="291"/>
      <c r="T2315" s="291"/>
      <c r="U2315" s="291"/>
      <c r="V2315" s="291"/>
    </row>
    <row r="2316" spans="1:22" s="515" customFormat="1" ht="27.75" customHeight="1">
      <c r="A2316" s="331">
        <f t="shared" si="99"/>
        <v>8</v>
      </c>
      <c r="B2316" s="506" t="s">
        <v>3359</v>
      </c>
      <c r="C2316" s="584" t="s">
        <v>1298</v>
      </c>
      <c r="D2316" s="475"/>
      <c r="E2316" s="475" t="s">
        <v>3441</v>
      </c>
      <c r="F2316" s="1139">
        <v>3</v>
      </c>
      <c r="G2316" s="386">
        <v>321</v>
      </c>
      <c r="H2316" s="363"/>
      <c r="I2316" s="397"/>
      <c r="J2316" s="335"/>
      <c r="K2316" s="374">
        <f t="shared" si="98"/>
        <v>37.043399999999998</v>
      </c>
      <c r="L2316" s="338">
        <f t="shared" si="97"/>
        <v>0</v>
      </c>
      <c r="M2316" s="330"/>
      <c r="N2316" s="289"/>
      <c r="O2316" s="289"/>
      <c r="P2316" s="289"/>
      <c r="Q2316" s="325"/>
      <c r="R2316" s="1158"/>
      <c r="S2316" s="291"/>
      <c r="T2316" s="291"/>
      <c r="U2316" s="291"/>
      <c r="V2316" s="291"/>
    </row>
    <row r="2317" spans="1:22" s="515" customFormat="1" ht="27.75" customHeight="1">
      <c r="A2317" s="331">
        <f t="shared" si="99"/>
        <v>9</v>
      </c>
      <c r="B2317" s="506" t="s">
        <v>2115</v>
      </c>
      <c r="C2317" s="584" t="s">
        <v>773</v>
      </c>
      <c r="D2317" s="475"/>
      <c r="E2317" s="475" t="s">
        <v>3416</v>
      </c>
      <c r="F2317" s="1139">
        <v>1</v>
      </c>
      <c r="G2317" s="386">
        <v>107</v>
      </c>
      <c r="H2317" s="363"/>
      <c r="I2317" s="397"/>
      <c r="J2317" s="335"/>
      <c r="K2317" s="374">
        <f t="shared" si="98"/>
        <v>12.347799999999999</v>
      </c>
      <c r="L2317" s="338">
        <f t="shared" si="97"/>
        <v>0</v>
      </c>
      <c r="M2317" s="330"/>
      <c r="N2317" s="289"/>
      <c r="O2317" s="289"/>
      <c r="P2317" s="289"/>
      <c r="Q2317" s="325"/>
      <c r="R2317" s="1158"/>
      <c r="S2317" s="291"/>
      <c r="T2317" s="291"/>
      <c r="U2317" s="291"/>
      <c r="V2317" s="291"/>
    </row>
    <row r="2318" spans="1:22" s="515" customFormat="1" ht="27.75" customHeight="1">
      <c r="A2318" s="331">
        <f t="shared" si="99"/>
        <v>10</v>
      </c>
      <c r="B2318" s="506" t="s">
        <v>3528</v>
      </c>
      <c r="C2318" s="584" t="s">
        <v>1256</v>
      </c>
      <c r="D2318" s="382"/>
      <c r="E2318" s="475" t="s">
        <v>3416</v>
      </c>
      <c r="F2318" s="1139">
        <v>1</v>
      </c>
      <c r="G2318" s="386">
        <v>107</v>
      </c>
      <c r="H2318" s="363"/>
      <c r="I2318" s="397"/>
      <c r="J2318" s="335"/>
      <c r="K2318" s="374">
        <f t="shared" si="98"/>
        <v>12.347799999999999</v>
      </c>
      <c r="L2318" s="338">
        <f t="shared" si="97"/>
        <v>0</v>
      </c>
      <c r="M2318" s="330"/>
      <c r="N2318" s="289"/>
      <c r="O2318" s="289"/>
      <c r="P2318" s="289"/>
      <c r="Q2318" s="325"/>
      <c r="R2318" s="1158"/>
      <c r="S2318" s="291"/>
      <c r="T2318" s="291"/>
      <c r="U2318" s="291"/>
      <c r="V2318" s="291"/>
    </row>
    <row r="2319" spans="1:22" s="515" customFormat="1" ht="27.75" customHeight="1">
      <c r="A2319" s="331">
        <f t="shared" si="99"/>
        <v>11</v>
      </c>
      <c r="B2319" s="506" t="s">
        <v>1445</v>
      </c>
      <c r="C2319" s="723" t="s">
        <v>1456</v>
      </c>
      <c r="D2319" s="382"/>
      <c r="E2319" s="475" t="s">
        <v>3416</v>
      </c>
      <c r="F2319" s="1139">
        <v>1</v>
      </c>
      <c r="G2319" s="386">
        <v>535</v>
      </c>
      <c r="H2319" s="363"/>
      <c r="I2319" s="397"/>
      <c r="J2319" s="335"/>
      <c r="K2319" s="374">
        <f t="shared" si="98"/>
        <v>61.738999999999997</v>
      </c>
      <c r="L2319" s="338">
        <f t="shared" si="97"/>
        <v>0</v>
      </c>
      <c r="M2319" s="330"/>
      <c r="N2319" s="289"/>
      <c r="O2319" s="289"/>
      <c r="P2319" s="289"/>
      <c r="Q2319" s="325"/>
      <c r="R2319" s="1158"/>
      <c r="S2319" s="291"/>
      <c r="T2319" s="291"/>
      <c r="U2319" s="291"/>
      <c r="V2319" s="291"/>
    </row>
    <row r="2320" spans="1:22" s="515" customFormat="1" ht="27.75" customHeight="1">
      <c r="A2320" s="331">
        <f t="shared" si="99"/>
        <v>12</v>
      </c>
      <c r="B2320" s="506" t="s">
        <v>2116</v>
      </c>
      <c r="C2320" s="723" t="s">
        <v>1457</v>
      </c>
      <c r="D2320" s="382"/>
      <c r="E2320" s="475" t="s">
        <v>3416</v>
      </c>
      <c r="F2320" s="1139">
        <v>1</v>
      </c>
      <c r="G2320" s="386">
        <v>107</v>
      </c>
      <c r="H2320" s="363"/>
      <c r="I2320" s="397"/>
      <c r="J2320" s="335"/>
      <c r="K2320" s="374">
        <f t="shared" si="98"/>
        <v>12.347799999999999</v>
      </c>
      <c r="L2320" s="338">
        <f t="shared" si="97"/>
        <v>0</v>
      </c>
      <c r="M2320" s="330"/>
      <c r="N2320" s="289"/>
      <c r="O2320" s="289"/>
      <c r="P2320" s="289"/>
      <c r="Q2320" s="325"/>
      <c r="R2320" s="1158"/>
      <c r="S2320" s="291"/>
      <c r="T2320" s="291"/>
      <c r="U2320" s="291"/>
      <c r="V2320" s="291"/>
    </row>
    <row r="2321" spans="1:22" s="515" customFormat="1" ht="27.75" customHeight="1">
      <c r="A2321" s="331">
        <f t="shared" si="99"/>
        <v>13</v>
      </c>
      <c r="B2321" s="506" t="s">
        <v>3529</v>
      </c>
      <c r="C2321" s="584" t="s">
        <v>1521</v>
      </c>
      <c r="D2321" s="475"/>
      <c r="E2321" s="475" t="s">
        <v>3416</v>
      </c>
      <c r="F2321" s="1139">
        <v>1</v>
      </c>
      <c r="G2321" s="386">
        <v>107</v>
      </c>
      <c r="H2321" s="363"/>
      <c r="I2321" s="397"/>
      <c r="J2321" s="335"/>
      <c r="K2321" s="374">
        <f t="shared" si="98"/>
        <v>12.347799999999999</v>
      </c>
      <c r="L2321" s="338">
        <f t="shared" si="97"/>
        <v>0</v>
      </c>
      <c r="M2321" s="330"/>
      <c r="N2321" s="289"/>
      <c r="O2321" s="289"/>
      <c r="P2321" s="289"/>
      <c r="Q2321" s="325"/>
      <c r="R2321" s="1158"/>
      <c r="S2321" s="291"/>
      <c r="T2321" s="291"/>
      <c r="U2321" s="291"/>
      <c r="V2321" s="291"/>
    </row>
    <row r="2322" spans="1:22" s="515" customFormat="1" ht="27.75" customHeight="1">
      <c r="A2322" s="331">
        <f t="shared" si="99"/>
        <v>14</v>
      </c>
      <c r="B2322" s="506" t="s">
        <v>3530</v>
      </c>
      <c r="C2322" s="584" t="s">
        <v>1257</v>
      </c>
      <c r="D2322" s="475"/>
      <c r="E2322" s="475" t="s">
        <v>3416</v>
      </c>
      <c r="F2322" s="1139">
        <v>1</v>
      </c>
      <c r="G2322" s="386">
        <v>107</v>
      </c>
      <c r="H2322" s="363"/>
      <c r="I2322" s="397"/>
      <c r="J2322" s="335"/>
      <c r="K2322" s="374">
        <f t="shared" si="98"/>
        <v>12.347799999999999</v>
      </c>
      <c r="L2322" s="338">
        <f t="shared" si="97"/>
        <v>0</v>
      </c>
      <c r="M2322" s="330"/>
      <c r="N2322" s="289"/>
      <c r="O2322" s="289"/>
      <c r="P2322" s="289"/>
      <c r="Q2322" s="325"/>
      <c r="R2322" s="1158"/>
      <c r="S2322" s="291"/>
      <c r="T2322" s="291"/>
      <c r="U2322" s="291"/>
      <c r="V2322" s="291"/>
    </row>
    <row r="2323" spans="1:22" s="515" customFormat="1" ht="27.75" customHeight="1">
      <c r="A2323" s="331">
        <f t="shared" si="99"/>
        <v>15</v>
      </c>
      <c r="B2323" s="506" t="s">
        <v>2117</v>
      </c>
      <c r="C2323" s="584" t="s">
        <v>3371</v>
      </c>
      <c r="D2323" s="475"/>
      <c r="E2323" s="475" t="s">
        <v>3416</v>
      </c>
      <c r="F2323" s="1139">
        <v>1</v>
      </c>
      <c r="G2323" s="386">
        <v>107</v>
      </c>
      <c r="H2323" s="363"/>
      <c r="I2323" s="397"/>
      <c r="J2323" s="335"/>
      <c r="K2323" s="374">
        <f t="shared" si="98"/>
        <v>12.347799999999999</v>
      </c>
      <c r="L2323" s="338">
        <f t="shared" si="97"/>
        <v>0</v>
      </c>
      <c r="M2323" s="330"/>
      <c r="N2323" s="289"/>
      <c r="O2323" s="289"/>
      <c r="P2323" s="289"/>
      <c r="Q2323" s="325"/>
      <c r="R2323" s="1158"/>
      <c r="S2323" s="291"/>
      <c r="T2323" s="291"/>
      <c r="U2323" s="291"/>
      <c r="V2323" s="291"/>
    </row>
    <row r="2324" spans="1:22" s="515" customFormat="1" ht="27.75" customHeight="1">
      <c r="A2324" s="331">
        <f t="shared" si="99"/>
        <v>16</v>
      </c>
      <c r="B2324" s="506" t="s">
        <v>2803</v>
      </c>
      <c r="C2324" s="584" t="s">
        <v>2804</v>
      </c>
      <c r="D2324" s="475"/>
      <c r="E2324" s="475" t="s">
        <v>3531</v>
      </c>
      <c r="F2324" s="1139">
        <v>6</v>
      </c>
      <c r="G2324" s="386">
        <v>642</v>
      </c>
      <c r="H2324" s="363"/>
      <c r="I2324" s="397"/>
      <c r="J2324" s="335"/>
      <c r="K2324" s="374">
        <f t="shared" si="98"/>
        <v>74.086799999999997</v>
      </c>
      <c r="L2324" s="338">
        <f t="shared" si="97"/>
        <v>0</v>
      </c>
      <c r="M2324" s="330"/>
      <c r="N2324" s="289"/>
      <c r="O2324" s="289"/>
      <c r="P2324" s="289"/>
      <c r="Q2324" s="325"/>
      <c r="R2324" s="1158"/>
      <c r="S2324" s="291"/>
      <c r="T2324" s="291"/>
      <c r="U2324" s="291"/>
      <c r="V2324" s="291"/>
    </row>
    <row r="2325" spans="1:22" s="515" customFormat="1" ht="27.75" customHeight="1">
      <c r="A2325" s="331">
        <f t="shared" si="99"/>
        <v>17</v>
      </c>
      <c r="B2325" s="506" t="s">
        <v>2803</v>
      </c>
      <c r="C2325" s="584" t="s">
        <v>2805</v>
      </c>
      <c r="D2325" s="475"/>
      <c r="E2325" s="475" t="s">
        <v>3531</v>
      </c>
      <c r="F2325" s="1139">
        <v>6</v>
      </c>
      <c r="G2325" s="386">
        <v>642</v>
      </c>
      <c r="H2325" s="363"/>
      <c r="I2325" s="397"/>
      <c r="J2325" s="335"/>
      <c r="K2325" s="374">
        <f t="shared" si="98"/>
        <v>74.086799999999997</v>
      </c>
      <c r="L2325" s="338">
        <f t="shared" si="97"/>
        <v>0</v>
      </c>
      <c r="M2325" s="330"/>
      <c r="N2325" s="289"/>
      <c r="O2325" s="289"/>
      <c r="P2325" s="289"/>
      <c r="Q2325" s="325"/>
      <c r="R2325" s="1158"/>
      <c r="S2325" s="291"/>
      <c r="T2325" s="291"/>
      <c r="U2325" s="291"/>
      <c r="V2325" s="291"/>
    </row>
    <row r="2326" spans="1:22" s="515" customFormat="1" ht="27.75" customHeight="1">
      <c r="A2326" s="331">
        <f t="shared" si="99"/>
        <v>18</v>
      </c>
      <c r="B2326" s="506" t="s">
        <v>2803</v>
      </c>
      <c r="C2326" s="584" t="s">
        <v>2806</v>
      </c>
      <c r="D2326" s="475"/>
      <c r="E2326" s="475" t="s">
        <v>3531</v>
      </c>
      <c r="F2326" s="1139">
        <v>6</v>
      </c>
      <c r="G2326" s="386">
        <v>642</v>
      </c>
      <c r="H2326" s="363"/>
      <c r="I2326" s="397"/>
      <c r="J2326" s="335"/>
      <c r="K2326" s="374">
        <f t="shared" si="98"/>
        <v>74.086799999999997</v>
      </c>
      <c r="L2326" s="338">
        <f t="shared" si="97"/>
        <v>0</v>
      </c>
      <c r="M2326" s="330"/>
      <c r="N2326" s="289"/>
      <c r="O2326" s="289"/>
      <c r="P2326" s="289"/>
      <c r="Q2326" s="325"/>
      <c r="R2326" s="1158"/>
      <c r="S2326" s="291"/>
      <c r="T2326" s="291"/>
      <c r="U2326" s="291"/>
      <c r="V2326" s="291"/>
    </row>
    <row r="2327" spans="1:22" s="515" customFormat="1" ht="27.75" customHeight="1">
      <c r="A2327" s="331">
        <f t="shared" si="99"/>
        <v>19</v>
      </c>
      <c r="B2327" s="506" t="s">
        <v>2803</v>
      </c>
      <c r="C2327" s="584" t="s">
        <v>2807</v>
      </c>
      <c r="D2327" s="335"/>
      <c r="E2327" s="475" t="s">
        <v>3531</v>
      </c>
      <c r="F2327" s="1139">
        <v>6</v>
      </c>
      <c r="G2327" s="386">
        <v>642</v>
      </c>
      <c r="H2327" s="363"/>
      <c r="I2327" s="397"/>
      <c r="J2327" s="335"/>
      <c r="K2327" s="374">
        <f t="shared" si="98"/>
        <v>74.086799999999997</v>
      </c>
      <c r="L2327" s="338">
        <f t="shared" si="97"/>
        <v>0</v>
      </c>
      <c r="M2327" s="330"/>
      <c r="N2327" s="289"/>
      <c r="O2327" s="289"/>
      <c r="P2327" s="289"/>
      <c r="Q2327" s="325"/>
      <c r="R2327" s="1158"/>
      <c r="S2327" s="291"/>
      <c r="T2327" s="291"/>
      <c r="U2327" s="291"/>
      <c r="V2327" s="291"/>
    </row>
    <row r="2328" spans="1:22" s="515" customFormat="1" ht="27.75" customHeight="1">
      <c r="A2328" s="331">
        <f t="shared" si="99"/>
        <v>20</v>
      </c>
      <c r="B2328" s="506" t="s">
        <v>2797</v>
      </c>
      <c r="C2328" s="584" t="s">
        <v>3216</v>
      </c>
      <c r="D2328" s="475"/>
      <c r="E2328" s="475" t="s">
        <v>3437</v>
      </c>
      <c r="F2328" s="1139">
        <v>2</v>
      </c>
      <c r="G2328" s="386">
        <v>214</v>
      </c>
      <c r="H2328" s="363"/>
      <c r="I2328" s="397"/>
      <c r="J2328" s="335"/>
      <c r="K2328" s="374">
        <f t="shared" si="98"/>
        <v>24.695599999999999</v>
      </c>
      <c r="L2328" s="338">
        <f t="shared" si="97"/>
        <v>0</v>
      </c>
      <c r="M2328" s="330"/>
      <c r="N2328" s="289"/>
      <c r="O2328" s="289"/>
      <c r="P2328" s="289"/>
      <c r="Q2328" s="325"/>
      <c r="R2328" s="1158"/>
      <c r="S2328" s="291"/>
      <c r="T2328" s="291"/>
      <c r="U2328" s="291"/>
      <c r="V2328" s="291"/>
    </row>
    <row r="2329" spans="1:22" s="515" customFormat="1" ht="27.75" customHeight="1">
      <c r="A2329" s="331">
        <f t="shared" si="99"/>
        <v>21</v>
      </c>
      <c r="B2329" s="506" t="s">
        <v>3532</v>
      </c>
      <c r="C2329" s="584" t="s">
        <v>3592</v>
      </c>
      <c r="D2329" s="475"/>
      <c r="E2329" s="475" t="s">
        <v>3416</v>
      </c>
      <c r="F2329" s="1139">
        <v>1</v>
      </c>
      <c r="G2329" s="386">
        <v>107</v>
      </c>
      <c r="H2329" s="363"/>
      <c r="I2329" s="397"/>
      <c r="J2329" s="335"/>
      <c r="K2329" s="374">
        <f t="shared" si="98"/>
        <v>12.347799999999999</v>
      </c>
      <c r="L2329" s="338">
        <f t="shared" si="97"/>
        <v>0</v>
      </c>
      <c r="M2329" s="330"/>
      <c r="N2329" s="289"/>
      <c r="O2329" s="289"/>
      <c r="P2329" s="289"/>
      <c r="Q2329" s="325"/>
      <c r="R2329" s="1158"/>
      <c r="S2329" s="291"/>
      <c r="T2329" s="291"/>
      <c r="U2329" s="291"/>
      <c r="V2329" s="291"/>
    </row>
    <row r="2330" spans="1:22" s="515" customFormat="1" ht="27.75" customHeight="1">
      <c r="A2330" s="331">
        <f t="shared" si="99"/>
        <v>22</v>
      </c>
      <c r="B2330" s="506" t="s">
        <v>3292</v>
      </c>
      <c r="C2330" s="584" t="s">
        <v>3293</v>
      </c>
      <c r="D2330" s="475"/>
      <c r="E2330" s="475" t="s">
        <v>3416</v>
      </c>
      <c r="F2330" s="1139">
        <v>1</v>
      </c>
      <c r="G2330" s="386">
        <v>107</v>
      </c>
      <c r="H2330" s="363"/>
      <c r="I2330" s="397"/>
      <c r="J2330" s="335"/>
      <c r="K2330" s="374">
        <f t="shared" si="98"/>
        <v>12.347799999999999</v>
      </c>
      <c r="L2330" s="338">
        <f t="shared" si="97"/>
        <v>0</v>
      </c>
      <c r="M2330" s="330"/>
      <c r="N2330" s="289"/>
      <c r="O2330" s="289"/>
      <c r="P2330" s="289"/>
      <c r="Q2330" s="325"/>
      <c r="R2330" s="1158"/>
      <c r="S2330" s="291"/>
      <c r="T2330" s="291"/>
      <c r="U2330" s="291"/>
      <c r="V2330" s="291"/>
    </row>
    <row r="2331" spans="1:22" s="515" customFormat="1" ht="27.75" customHeight="1">
      <c r="A2331" s="331">
        <f t="shared" si="99"/>
        <v>23</v>
      </c>
      <c r="B2331" s="506" t="s">
        <v>3534</v>
      </c>
      <c r="C2331" s="584" t="s">
        <v>1522</v>
      </c>
      <c r="D2331" s="475"/>
      <c r="E2331" s="475" t="s">
        <v>3416</v>
      </c>
      <c r="F2331" s="1139">
        <v>1</v>
      </c>
      <c r="G2331" s="386">
        <v>107</v>
      </c>
      <c r="H2331" s="363"/>
      <c r="I2331" s="397"/>
      <c r="J2331" s="335"/>
      <c r="K2331" s="374">
        <f t="shared" si="98"/>
        <v>12.347799999999999</v>
      </c>
      <c r="L2331" s="338">
        <f t="shared" si="97"/>
        <v>0</v>
      </c>
      <c r="M2331" s="330"/>
      <c r="N2331" s="289"/>
      <c r="O2331" s="289"/>
      <c r="P2331" s="289"/>
      <c r="Q2331" s="325"/>
      <c r="R2331" s="1158"/>
      <c r="S2331" s="291"/>
      <c r="T2331" s="291"/>
      <c r="U2331" s="291"/>
      <c r="V2331" s="291"/>
    </row>
    <row r="2332" spans="1:22" s="515" customFormat="1" ht="27.75" customHeight="1">
      <c r="A2332" s="331">
        <f t="shared" si="99"/>
        <v>24</v>
      </c>
      <c r="B2332" s="506" t="s">
        <v>1508</v>
      </c>
      <c r="C2332" s="584" t="s">
        <v>1523</v>
      </c>
      <c r="D2332" s="475"/>
      <c r="E2332" s="475" t="s">
        <v>3416</v>
      </c>
      <c r="F2332" s="1139">
        <v>1</v>
      </c>
      <c r="G2332" s="386">
        <v>107</v>
      </c>
      <c r="H2332" s="363"/>
      <c r="I2332" s="397"/>
      <c r="J2332" s="335"/>
      <c r="K2332" s="374">
        <f t="shared" si="98"/>
        <v>12.347799999999999</v>
      </c>
      <c r="L2332" s="338">
        <f t="shared" si="97"/>
        <v>0</v>
      </c>
      <c r="M2332" s="330"/>
      <c r="N2332" s="289"/>
      <c r="O2332" s="289"/>
      <c r="P2332" s="289"/>
      <c r="Q2332" s="971"/>
      <c r="R2332" s="1159"/>
      <c r="S2332" s="297"/>
      <c r="T2332" s="291"/>
      <c r="U2332" s="291"/>
      <c r="V2332" s="291"/>
    </row>
    <row r="2333" spans="1:22" s="515" customFormat="1" ht="27.75" customHeight="1">
      <c r="A2333" s="331">
        <f t="shared" si="99"/>
        <v>25</v>
      </c>
      <c r="B2333" s="506" t="s">
        <v>2118</v>
      </c>
      <c r="C2333" s="584" t="s">
        <v>1524</v>
      </c>
      <c r="D2333" s="475"/>
      <c r="E2333" s="475" t="s">
        <v>3416</v>
      </c>
      <c r="F2333" s="1139">
        <v>1</v>
      </c>
      <c r="G2333" s="386">
        <v>107</v>
      </c>
      <c r="H2333" s="363"/>
      <c r="I2333" s="397"/>
      <c r="J2333" s="335"/>
      <c r="K2333" s="374">
        <f t="shared" si="98"/>
        <v>12.347799999999999</v>
      </c>
      <c r="L2333" s="338">
        <f t="shared" si="97"/>
        <v>0</v>
      </c>
      <c r="M2333" s="330"/>
      <c r="N2333" s="289"/>
      <c r="O2333" s="289"/>
      <c r="P2333" s="289"/>
      <c r="Q2333" s="971"/>
      <c r="R2333" s="1159"/>
      <c r="S2333" s="297"/>
      <c r="T2333" s="291"/>
      <c r="U2333" s="291"/>
      <c r="V2333" s="291"/>
    </row>
    <row r="2334" spans="1:22" s="515" customFormat="1" ht="27.75" customHeight="1">
      <c r="A2334" s="331">
        <f t="shared" si="99"/>
        <v>26</v>
      </c>
      <c r="B2334" s="506" t="s">
        <v>3535</v>
      </c>
      <c r="C2334" s="584" t="s">
        <v>3593</v>
      </c>
      <c r="D2334" s="475"/>
      <c r="E2334" s="475" t="s">
        <v>3416</v>
      </c>
      <c r="F2334" s="1139">
        <v>1</v>
      </c>
      <c r="G2334" s="386">
        <v>107</v>
      </c>
      <c r="H2334" s="363"/>
      <c r="I2334" s="397"/>
      <c r="J2334" s="335"/>
      <c r="K2334" s="374">
        <f t="shared" si="98"/>
        <v>12.347799999999999</v>
      </c>
      <c r="L2334" s="338">
        <f t="shared" si="97"/>
        <v>0</v>
      </c>
      <c r="M2334" s="330"/>
      <c r="N2334" s="289"/>
      <c r="O2334" s="289"/>
      <c r="P2334" s="289"/>
      <c r="Q2334" s="971"/>
      <c r="R2334" s="1159"/>
      <c r="S2334" s="297"/>
      <c r="T2334" s="291"/>
      <c r="U2334" s="291"/>
      <c r="V2334" s="291"/>
    </row>
    <row r="2335" spans="1:22" s="515" customFormat="1" ht="27.75" customHeight="1">
      <c r="A2335" s="331">
        <f t="shared" si="99"/>
        <v>27</v>
      </c>
      <c r="B2335" s="506" t="s">
        <v>2119</v>
      </c>
      <c r="C2335" s="584" t="s">
        <v>1299</v>
      </c>
      <c r="D2335" s="475"/>
      <c r="E2335" s="475" t="s">
        <v>3416</v>
      </c>
      <c r="F2335" s="1139">
        <v>1</v>
      </c>
      <c r="G2335" s="386">
        <v>214</v>
      </c>
      <c r="H2335" s="363"/>
      <c r="I2335" s="397"/>
      <c r="J2335" s="335"/>
      <c r="K2335" s="374">
        <f t="shared" si="98"/>
        <v>24.695599999999999</v>
      </c>
      <c r="L2335" s="338">
        <f t="shared" si="97"/>
        <v>0</v>
      </c>
      <c r="M2335" s="330"/>
      <c r="N2335" s="289"/>
      <c r="O2335" s="289"/>
      <c r="P2335" s="289"/>
      <c r="Q2335" s="971"/>
      <c r="R2335" s="1159"/>
      <c r="S2335" s="297"/>
      <c r="T2335" s="291"/>
      <c r="U2335" s="291"/>
      <c r="V2335" s="291"/>
    </row>
    <row r="2336" spans="1:22" s="515" customFormat="1" ht="27.75" customHeight="1">
      <c r="A2336" s="331"/>
      <c r="B2336" s="506"/>
      <c r="C2336" s="584"/>
      <c r="D2336" s="475"/>
      <c r="E2336" s="475"/>
      <c r="F2336" s="1139"/>
      <c r="G2336" s="386"/>
      <c r="H2336" s="363"/>
      <c r="I2336" s="397"/>
      <c r="J2336" s="335"/>
      <c r="K2336" s="374">
        <f t="shared" si="98"/>
        <v>0</v>
      </c>
      <c r="L2336" s="338">
        <f t="shared" si="97"/>
        <v>0</v>
      </c>
      <c r="M2336" s="330"/>
      <c r="N2336" s="289"/>
      <c r="O2336" s="289"/>
      <c r="P2336" s="289"/>
      <c r="Q2336" s="971"/>
      <c r="R2336" s="1159"/>
      <c r="S2336" s="297"/>
      <c r="T2336" s="291"/>
      <c r="U2336" s="291"/>
      <c r="V2336" s="291"/>
    </row>
    <row r="2337" spans="1:22" s="515" customFormat="1" ht="29.25" customHeight="1">
      <c r="A2337" s="331"/>
      <c r="B2337" s="506" t="s">
        <v>1003</v>
      </c>
      <c r="C2337" s="584"/>
      <c r="D2337" s="475"/>
      <c r="E2337" s="475"/>
      <c r="F2337" s="1139"/>
      <c r="G2337" s="386"/>
      <c r="H2337" s="363"/>
      <c r="I2337" s="397"/>
      <c r="J2337" s="335"/>
      <c r="K2337" s="374">
        <f t="shared" si="98"/>
        <v>0</v>
      </c>
      <c r="L2337" s="338">
        <f t="shared" si="97"/>
        <v>0</v>
      </c>
      <c r="M2337" s="330"/>
      <c r="N2337" s="289"/>
      <c r="O2337" s="289"/>
      <c r="P2337" s="289"/>
      <c r="Q2337" s="971"/>
      <c r="R2337" s="1159"/>
      <c r="S2337" s="297"/>
      <c r="T2337" s="291"/>
      <c r="U2337" s="291"/>
      <c r="V2337" s="291"/>
    </row>
    <row r="2338" spans="1:22" s="515" customFormat="1" ht="27" customHeight="1">
      <c r="A2338" s="331">
        <v>1</v>
      </c>
      <c r="B2338" s="506" t="s">
        <v>828</v>
      </c>
      <c r="C2338" s="584" t="s">
        <v>829</v>
      </c>
      <c r="D2338" s="475"/>
      <c r="E2338" s="475"/>
      <c r="F2338" s="1139"/>
      <c r="G2338" s="386"/>
      <c r="H2338" s="363" t="s">
        <v>958</v>
      </c>
      <c r="I2338" s="397">
        <v>5</v>
      </c>
      <c r="J2338" s="335">
        <v>535</v>
      </c>
      <c r="K2338" s="374">
        <f t="shared" si="98"/>
        <v>0</v>
      </c>
      <c r="L2338" s="338">
        <f t="shared" si="97"/>
        <v>535</v>
      </c>
      <c r="M2338" s="330"/>
      <c r="N2338" s="289"/>
      <c r="O2338" s="289"/>
      <c r="P2338" s="289"/>
      <c r="Q2338" s="971"/>
      <c r="R2338" s="1159"/>
      <c r="S2338" s="297"/>
      <c r="T2338" s="291"/>
      <c r="U2338" s="291"/>
      <c r="V2338" s="291"/>
    </row>
    <row r="2339" spans="1:22" s="515" customFormat="1" ht="27" customHeight="1">
      <c r="A2339" s="331">
        <v>2</v>
      </c>
      <c r="B2339" s="506" t="s">
        <v>1111</v>
      </c>
      <c r="C2339" s="584" t="s">
        <v>1113</v>
      </c>
      <c r="D2339" s="475"/>
      <c r="E2339" s="475"/>
      <c r="F2339" s="1139"/>
      <c r="G2339" s="386"/>
      <c r="H2339" s="363" t="s">
        <v>1246</v>
      </c>
      <c r="I2339" s="397">
        <v>3</v>
      </c>
      <c r="J2339" s="335">
        <v>321</v>
      </c>
      <c r="K2339" s="374">
        <f t="shared" si="98"/>
        <v>0</v>
      </c>
      <c r="L2339" s="338">
        <f t="shared" si="97"/>
        <v>321</v>
      </c>
      <c r="M2339" s="330"/>
      <c r="N2339" s="289"/>
      <c r="O2339" s="289"/>
      <c r="P2339" s="289"/>
      <c r="Q2339" s="971"/>
      <c r="R2339" s="1159"/>
      <c r="S2339" s="297"/>
      <c r="T2339" s="291"/>
      <c r="U2339" s="291"/>
      <c r="V2339" s="291"/>
    </row>
    <row r="2340" spans="1:22" s="515" customFormat="1" ht="27" customHeight="1">
      <c r="A2340" s="331"/>
      <c r="B2340" s="506"/>
      <c r="C2340" s="584"/>
      <c r="D2340" s="335"/>
      <c r="E2340" s="475"/>
      <c r="F2340" s="1139"/>
      <c r="G2340" s="386"/>
      <c r="H2340" s="363"/>
      <c r="I2340" s="397"/>
      <c r="J2340" s="335"/>
      <c r="K2340" s="374">
        <f t="shared" si="98"/>
        <v>0</v>
      </c>
      <c r="L2340" s="338">
        <f t="shared" si="97"/>
        <v>0</v>
      </c>
      <c r="M2340" s="330"/>
      <c r="N2340" s="289"/>
      <c r="O2340" s="289"/>
      <c r="P2340" s="289"/>
      <c r="Q2340" s="971"/>
      <c r="R2340" s="1159"/>
      <c r="S2340" s="297"/>
      <c r="T2340" s="291"/>
      <c r="U2340" s="291"/>
      <c r="V2340" s="291"/>
    </row>
    <row r="2341" spans="1:22" s="515" customFormat="1" ht="27" customHeight="1">
      <c r="A2341" s="331"/>
      <c r="B2341" s="506"/>
      <c r="C2341" s="584"/>
      <c r="D2341" s="335"/>
      <c r="E2341" s="475"/>
      <c r="F2341" s="1139"/>
      <c r="G2341" s="386"/>
      <c r="H2341" s="363"/>
      <c r="I2341" s="397"/>
      <c r="J2341" s="335"/>
      <c r="K2341" s="374">
        <f t="shared" si="98"/>
        <v>0</v>
      </c>
      <c r="L2341" s="338">
        <f t="shared" si="97"/>
        <v>0</v>
      </c>
      <c r="M2341" s="330"/>
      <c r="N2341" s="289"/>
      <c r="O2341" s="289"/>
      <c r="P2341" s="289"/>
      <c r="Q2341" s="971"/>
      <c r="R2341" s="1159"/>
      <c r="S2341" s="297"/>
      <c r="T2341" s="291"/>
      <c r="U2341" s="291"/>
      <c r="V2341" s="291"/>
    </row>
    <row r="2342" spans="1:22" s="515" customFormat="1" ht="27" customHeight="1" thickBot="1">
      <c r="A2342" s="331"/>
      <c r="B2342" s="506"/>
      <c r="C2342" s="584"/>
      <c r="D2342" s="335"/>
      <c r="E2342" s="475"/>
      <c r="F2342" s="1139"/>
      <c r="G2342" s="386"/>
      <c r="H2342" s="363"/>
      <c r="I2342" s="397"/>
      <c r="J2342" s="335"/>
      <c r="K2342" s="374">
        <f t="shared" si="98"/>
        <v>0</v>
      </c>
      <c r="L2342" s="338">
        <f t="shared" si="97"/>
        <v>0</v>
      </c>
      <c r="M2342" s="330"/>
      <c r="N2342" s="289"/>
      <c r="O2342" s="289"/>
      <c r="P2342" s="289"/>
      <c r="Q2342" s="971"/>
      <c r="R2342" s="1159"/>
      <c r="S2342" s="297"/>
      <c r="T2342" s="291"/>
      <c r="U2342" s="291"/>
      <c r="V2342" s="291"/>
    </row>
    <row r="2343" spans="1:22" s="924" customFormat="1" ht="27.75" customHeight="1" thickTop="1" thickBot="1">
      <c r="A2343" s="450"/>
      <c r="B2343" s="1149"/>
      <c r="C2343" s="457"/>
      <c r="D2343" s="335"/>
      <c r="E2343" s="453"/>
      <c r="F2343" s="450"/>
      <c r="G2343" s="499"/>
      <c r="H2343" s="550"/>
      <c r="I2343" s="458"/>
      <c r="J2343" s="453"/>
      <c r="K2343" s="374">
        <f t="shared" si="98"/>
        <v>0</v>
      </c>
      <c r="L2343" s="338">
        <f t="shared" si="97"/>
        <v>0</v>
      </c>
      <c r="M2343" s="551"/>
      <c r="N2343" s="452">
        <f>SUM(G2308:G2342)</f>
        <v>6848</v>
      </c>
      <c r="O2343" s="452">
        <f>SUM(J2308:J2342)</f>
        <v>856</v>
      </c>
      <c r="P2343" s="452">
        <f>SUM(N2343:O2343)</f>
        <v>7704</v>
      </c>
      <c r="Q2343" s="1157">
        <f>SUM(D2308:D2342)</f>
        <v>0</v>
      </c>
      <c r="R2343" s="1153" t="s">
        <v>36</v>
      </c>
      <c r="S2343" s="483"/>
      <c r="T2343" s="452"/>
      <c r="U2343" s="452"/>
      <c r="V2343" s="452"/>
    </row>
    <row r="2344" spans="1:22" s="515" customFormat="1" ht="27.75" customHeight="1" thickTop="1">
      <c r="A2344" s="331"/>
      <c r="B2344" s="506" t="s">
        <v>73</v>
      </c>
      <c r="C2344" s="584"/>
      <c r="D2344" s="335"/>
      <c r="E2344" s="475"/>
      <c r="F2344" s="1139"/>
      <c r="G2344" s="386"/>
      <c r="H2344" s="363"/>
      <c r="I2344" s="397"/>
      <c r="J2344" s="335"/>
      <c r="K2344" s="374">
        <f t="shared" si="98"/>
        <v>0</v>
      </c>
      <c r="L2344" s="338">
        <f t="shared" si="97"/>
        <v>0</v>
      </c>
      <c r="M2344" s="330"/>
      <c r="N2344" s="289"/>
      <c r="O2344" s="289"/>
      <c r="P2344" s="289"/>
      <c r="Q2344" s="325"/>
      <c r="R2344" s="1158"/>
      <c r="S2344" s="291"/>
      <c r="T2344" s="291"/>
      <c r="U2344" s="291"/>
      <c r="V2344" s="291"/>
    </row>
    <row r="2345" spans="1:22" s="515" customFormat="1" ht="27.75" customHeight="1">
      <c r="A2345" s="331">
        <v>1</v>
      </c>
      <c r="B2345" s="506" t="s">
        <v>3574</v>
      </c>
      <c r="C2345" s="723" t="s">
        <v>3594</v>
      </c>
      <c r="D2345" s="335"/>
      <c r="E2345" s="475" t="s">
        <v>3416</v>
      </c>
      <c r="F2345" s="1139">
        <v>1</v>
      </c>
      <c r="G2345" s="386">
        <v>107</v>
      </c>
      <c r="H2345" s="363"/>
      <c r="I2345" s="397"/>
      <c r="J2345" s="335"/>
      <c r="K2345" s="374">
        <f t="shared" si="98"/>
        <v>12.347799999999999</v>
      </c>
      <c r="L2345" s="338">
        <f t="shared" si="97"/>
        <v>0</v>
      </c>
      <c r="M2345" s="330"/>
      <c r="N2345" s="289"/>
      <c r="O2345" s="289"/>
      <c r="P2345" s="289"/>
      <c r="Q2345" s="325"/>
      <c r="R2345" s="1158"/>
      <c r="S2345" s="291"/>
      <c r="T2345" s="291"/>
      <c r="U2345" s="291"/>
      <c r="V2345" s="291"/>
    </row>
    <row r="2346" spans="1:22" s="515" customFormat="1" ht="27.75" customHeight="1">
      <c r="A2346" s="331">
        <v>2</v>
      </c>
      <c r="B2346" s="506" t="s">
        <v>409</v>
      </c>
      <c r="C2346" s="723" t="s">
        <v>774</v>
      </c>
      <c r="D2346" s="335"/>
      <c r="E2346" s="475" t="s">
        <v>3437</v>
      </c>
      <c r="F2346" s="1139">
        <v>2</v>
      </c>
      <c r="G2346" s="386">
        <v>214</v>
      </c>
      <c r="H2346" s="363"/>
      <c r="I2346" s="397"/>
      <c r="J2346" s="335"/>
      <c r="K2346" s="374">
        <f t="shared" si="98"/>
        <v>24.695599999999999</v>
      </c>
      <c r="L2346" s="338">
        <f t="shared" si="97"/>
        <v>0</v>
      </c>
      <c r="M2346" s="328"/>
      <c r="N2346" s="325"/>
      <c r="O2346" s="325"/>
      <c r="P2346" s="325"/>
      <c r="Q2346" s="325"/>
      <c r="R2346" s="1158"/>
      <c r="S2346" s="291"/>
      <c r="T2346" s="291"/>
      <c r="U2346" s="291"/>
      <c r="V2346" s="291"/>
    </row>
    <row r="2347" spans="1:22" s="515" customFormat="1" ht="27.75" customHeight="1">
      <c r="A2347" s="331">
        <v>3</v>
      </c>
      <c r="B2347" s="506" t="s">
        <v>2998</v>
      </c>
      <c r="C2347" s="584" t="s">
        <v>3595</v>
      </c>
      <c r="D2347" s="335"/>
      <c r="E2347" s="475" t="s">
        <v>3416</v>
      </c>
      <c r="F2347" s="1139">
        <v>1</v>
      </c>
      <c r="G2347" s="386">
        <v>53.5</v>
      </c>
      <c r="H2347" s="363"/>
      <c r="I2347" s="397"/>
      <c r="J2347" s="335"/>
      <c r="K2347" s="374">
        <f t="shared" si="98"/>
        <v>6.1738999999999997</v>
      </c>
      <c r="L2347" s="338">
        <f t="shared" ref="L2347:L2410" si="100">+J2347</f>
        <v>0</v>
      </c>
      <c r="M2347" s="338"/>
      <c r="N2347" s="335"/>
      <c r="O2347" s="335"/>
      <c r="P2347" s="335"/>
      <c r="Q2347" s="335"/>
      <c r="R2347" s="1158"/>
      <c r="S2347" s="291"/>
      <c r="T2347" s="291"/>
      <c r="U2347" s="291"/>
      <c r="V2347" s="291"/>
    </row>
    <row r="2348" spans="1:22" s="515" customFormat="1" ht="27.75" customHeight="1">
      <c r="A2348" s="331">
        <v>4</v>
      </c>
      <c r="B2348" s="506" t="s">
        <v>2656</v>
      </c>
      <c r="C2348" s="584" t="s">
        <v>2657</v>
      </c>
      <c r="D2348" s="335">
        <v>1177</v>
      </c>
      <c r="E2348" s="475"/>
      <c r="F2348" s="1139"/>
      <c r="G2348" s="386"/>
      <c r="H2348" s="363"/>
      <c r="I2348" s="397"/>
      <c r="J2348" s="335"/>
      <c r="K2348" s="374">
        <f t="shared" si="98"/>
        <v>0</v>
      </c>
      <c r="L2348" s="338">
        <f t="shared" si="100"/>
        <v>0</v>
      </c>
      <c r="M2348" s="338"/>
      <c r="N2348" s="335"/>
      <c r="O2348" s="335"/>
      <c r="P2348" s="335"/>
      <c r="Q2348" s="335"/>
      <c r="R2348" s="1158"/>
      <c r="S2348" s="291"/>
      <c r="T2348" s="291"/>
      <c r="U2348" s="291"/>
      <c r="V2348" s="291"/>
    </row>
    <row r="2349" spans="1:22" s="515" customFormat="1" ht="27.75" customHeight="1">
      <c r="A2349" s="331">
        <v>5</v>
      </c>
      <c r="B2349" s="506" t="s">
        <v>1712</v>
      </c>
      <c r="C2349" s="584" t="s">
        <v>2043</v>
      </c>
      <c r="D2349" s="335">
        <v>1070</v>
      </c>
      <c r="E2349" s="475"/>
      <c r="F2349" s="1139"/>
      <c r="G2349" s="386"/>
      <c r="H2349" s="363"/>
      <c r="I2349" s="397"/>
      <c r="J2349" s="335"/>
      <c r="K2349" s="374">
        <f t="shared" si="98"/>
        <v>0</v>
      </c>
      <c r="L2349" s="338">
        <f t="shared" si="100"/>
        <v>0</v>
      </c>
      <c r="M2349" s="338"/>
      <c r="N2349" s="335"/>
      <c r="O2349" s="335"/>
      <c r="P2349" s="335"/>
      <c r="Q2349" s="335"/>
      <c r="R2349" s="1158"/>
      <c r="S2349" s="291"/>
      <c r="T2349" s="291"/>
      <c r="U2349" s="291"/>
      <c r="V2349" s="291"/>
    </row>
    <row r="2350" spans="1:22" s="515" customFormat="1" ht="27.75" customHeight="1">
      <c r="A2350" s="331">
        <v>6</v>
      </c>
      <c r="B2350" s="506" t="s">
        <v>2816</v>
      </c>
      <c r="C2350" s="584" t="s">
        <v>3596</v>
      </c>
      <c r="D2350" s="335">
        <v>1391</v>
      </c>
      <c r="E2350" s="475"/>
      <c r="F2350" s="1139"/>
      <c r="G2350" s="386"/>
      <c r="H2350" s="363"/>
      <c r="I2350" s="397"/>
      <c r="J2350" s="335"/>
      <c r="K2350" s="374">
        <f t="shared" si="98"/>
        <v>0</v>
      </c>
      <c r="L2350" s="338">
        <f t="shared" si="100"/>
        <v>0</v>
      </c>
      <c r="M2350" s="338"/>
      <c r="N2350" s="335"/>
      <c r="O2350" s="335"/>
      <c r="P2350" s="335"/>
      <c r="Q2350" s="335"/>
      <c r="R2350" s="1158"/>
      <c r="S2350" s="291"/>
      <c r="T2350" s="291"/>
      <c r="U2350" s="291"/>
      <c r="V2350" s="291"/>
    </row>
    <row r="2351" spans="1:22" s="515" customFormat="1" ht="27.75" customHeight="1">
      <c r="A2351" s="331">
        <v>7</v>
      </c>
      <c r="B2351" s="506" t="s">
        <v>2233</v>
      </c>
      <c r="C2351" s="584" t="s">
        <v>2033</v>
      </c>
      <c r="D2351" s="475">
        <v>695.5</v>
      </c>
      <c r="E2351" s="475"/>
      <c r="F2351" s="1139"/>
      <c r="G2351" s="386"/>
      <c r="H2351" s="363"/>
      <c r="I2351" s="397"/>
      <c r="J2351" s="335"/>
      <c r="K2351" s="374">
        <f t="shared" si="98"/>
        <v>0</v>
      </c>
      <c r="L2351" s="338">
        <f t="shared" si="100"/>
        <v>0</v>
      </c>
      <c r="M2351" s="338"/>
      <c r="N2351" s="335"/>
      <c r="O2351" s="335"/>
      <c r="P2351" s="335"/>
      <c r="Q2351" s="335"/>
      <c r="R2351" s="1158"/>
      <c r="S2351" s="291"/>
      <c r="T2351" s="291"/>
      <c r="U2351" s="291"/>
      <c r="V2351" s="291"/>
    </row>
    <row r="2352" spans="1:22" s="515" customFormat="1" ht="27.75" customHeight="1">
      <c r="A2352" s="331">
        <v>8</v>
      </c>
      <c r="B2352" s="506" t="s">
        <v>2263</v>
      </c>
      <c r="C2352" s="584" t="s">
        <v>3217</v>
      </c>
      <c r="D2352" s="475">
        <v>749</v>
      </c>
      <c r="E2352" s="475"/>
      <c r="F2352" s="1139"/>
      <c r="G2352" s="386"/>
      <c r="H2352" s="363"/>
      <c r="I2352" s="397"/>
      <c r="J2352" s="335"/>
      <c r="K2352" s="374">
        <f t="shared" si="98"/>
        <v>0</v>
      </c>
      <c r="L2352" s="338">
        <f t="shared" si="100"/>
        <v>0</v>
      </c>
      <c r="M2352" s="338"/>
      <c r="N2352" s="335"/>
      <c r="O2352" s="335"/>
      <c r="P2352" s="335"/>
      <c r="Q2352" s="335"/>
      <c r="R2352" s="1158"/>
      <c r="S2352" s="291"/>
      <c r="T2352" s="291"/>
      <c r="U2352" s="291"/>
      <c r="V2352" s="291"/>
    </row>
    <row r="2353" spans="1:22" s="515" customFormat="1" ht="27.75" customHeight="1">
      <c r="A2353" s="331">
        <v>9</v>
      </c>
      <c r="B2353" s="506" t="s">
        <v>2310</v>
      </c>
      <c r="C2353" s="584" t="s">
        <v>1258</v>
      </c>
      <c r="D2353" s="1365">
        <v>267.5</v>
      </c>
      <c r="E2353" s="475"/>
      <c r="F2353" s="1139"/>
      <c r="G2353" s="386"/>
      <c r="H2353" s="363"/>
      <c r="I2353" s="397"/>
      <c r="J2353" s="335"/>
      <c r="K2353" s="374">
        <f t="shared" si="98"/>
        <v>0</v>
      </c>
      <c r="L2353" s="338">
        <f t="shared" si="100"/>
        <v>0</v>
      </c>
      <c r="M2353" s="338"/>
      <c r="N2353" s="335"/>
      <c r="O2353" s="335"/>
      <c r="P2353" s="335"/>
      <c r="Q2353" s="335"/>
      <c r="R2353" s="1158"/>
      <c r="S2353" s="291"/>
      <c r="T2353" s="291"/>
      <c r="U2353" s="291"/>
      <c r="V2353" s="291"/>
    </row>
    <row r="2354" spans="1:22" s="515" customFormat="1" ht="27.75" customHeight="1">
      <c r="A2354" s="331">
        <v>10</v>
      </c>
      <c r="B2354" s="506" t="s">
        <v>2098</v>
      </c>
      <c r="C2354" s="584" t="s">
        <v>2044</v>
      </c>
      <c r="D2354" s="1365">
        <v>1177</v>
      </c>
      <c r="E2354" s="475"/>
      <c r="F2354" s="1139"/>
      <c r="G2354" s="386"/>
      <c r="H2354" s="363"/>
      <c r="I2354" s="397"/>
      <c r="J2354" s="335"/>
      <c r="K2354" s="374">
        <f t="shared" si="98"/>
        <v>0</v>
      </c>
      <c r="L2354" s="338">
        <f t="shared" si="100"/>
        <v>0</v>
      </c>
      <c r="M2354" s="338"/>
      <c r="N2354" s="335"/>
      <c r="O2354" s="335"/>
      <c r="P2354" s="335"/>
      <c r="Q2354" s="335"/>
      <c r="R2354" s="1158"/>
      <c r="S2354" s="291"/>
      <c r="T2354" s="291"/>
      <c r="U2354" s="291"/>
      <c r="V2354" s="291"/>
    </row>
    <row r="2355" spans="1:22" s="515" customFormat="1" ht="27.75" customHeight="1">
      <c r="A2355" s="331">
        <v>11</v>
      </c>
      <c r="B2355" s="506" t="s">
        <v>2789</v>
      </c>
      <c r="C2355" s="584" t="s">
        <v>1525</v>
      </c>
      <c r="D2355" s="1365">
        <v>1391</v>
      </c>
      <c r="E2355" s="475"/>
      <c r="F2355" s="1139"/>
      <c r="G2355" s="386"/>
      <c r="H2355" s="363"/>
      <c r="I2355" s="397"/>
      <c r="J2355" s="335"/>
      <c r="K2355" s="374">
        <f t="shared" si="98"/>
        <v>0</v>
      </c>
      <c r="L2355" s="338">
        <f t="shared" si="100"/>
        <v>0</v>
      </c>
      <c r="M2355" s="338"/>
      <c r="N2355" s="335"/>
      <c r="O2355" s="335"/>
      <c r="P2355" s="335"/>
      <c r="Q2355" s="335"/>
      <c r="R2355" s="1158"/>
      <c r="S2355" s="291"/>
      <c r="T2355" s="291"/>
      <c r="U2355" s="291"/>
      <c r="V2355" s="291"/>
    </row>
    <row r="2356" spans="1:22" s="515" customFormat="1" ht="27.75" customHeight="1">
      <c r="A2356" s="331">
        <v>12</v>
      </c>
      <c r="B2356" s="506" t="s">
        <v>2099</v>
      </c>
      <c r="C2356" s="584" t="s">
        <v>775</v>
      </c>
      <c r="D2356" s="1366"/>
      <c r="E2356" s="475" t="s">
        <v>3416</v>
      </c>
      <c r="F2356" s="1139">
        <v>1</v>
      </c>
      <c r="G2356" s="386">
        <v>107</v>
      </c>
      <c r="H2356" s="363"/>
      <c r="I2356" s="397"/>
      <c r="J2356" s="335"/>
      <c r="K2356" s="374">
        <f t="shared" si="98"/>
        <v>12.347799999999999</v>
      </c>
      <c r="L2356" s="338">
        <f t="shared" si="100"/>
        <v>0</v>
      </c>
      <c r="M2356" s="338"/>
      <c r="N2356" s="335"/>
      <c r="O2356" s="335"/>
      <c r="P2356" s="335"/>
      <c r="Q2356" s="335"/>
      <c r="R2356" s="1158"/>
      <c r="S2356" s="291"/>
      <c r="T2356" s="291"/>
      <c r="U2356" s="291"/>
      <c r="V2356" s="291"/>
    </row>
    <row r="2357" spans="1:22" s="515" customFormat="1" ht="27.75" customHeight="1">
      <c r="A2357" s="331">
        <v>13</v>
      </c>
      <c r="B2357" s="506" t="s">
        <v>2651</v>
      </c>
      <c r="C2357" s="584" t="s">
        <v>2658</v>
      </c>
      <c r="D2357" s="1367">
        <v>2354</v>
      </c>
      <c r="E2357" s="475"/>
      <c r="F2357" s="1139"/>
      <c r="G2357" s="386"/>
      <c r="H2357" s="363"/>
      <c r="I2357" s="397"/>
      <c r="J2357" s="335"/>
      <c r="K2357" s="374">
        <f t="shared" si="98"/>
        <v>0</v>
      </c>
      <c r="L2357" s="338">
        <f t="shared" si="100"/>
        <v>0</v>
      </c>
      <c r="M2357" s="338"/>
      <c r="N2357" s="335"/>
      <c r="O2357" s="335"/>
      <c r="P2357" s="335"/>
      <c r="Q2357" s="335"/>
      <c r="R2357" s="1158"/>
      <c r="S2357" s="291"/>
      <c r="T2357" s="291"/>
      <c r="U2357" s="291"/>
      <c r="V2357" s="291"/>
    </row>
    <row r="2358" spans="1:22" s="515" customFormat="1" ht="27.75" customHeight="1">
      <c r="A2358" s="331">
        <v>14</v>
      </c>
      <c r="B2358" s="506" t="s">
        <v>2652</v>
      </c>
      <c r="C2358" s="584" t="s">
        <v>2659</v>
      </c>
      <c r="D2358" s="1367">
        <v>1177</v>
      </c>
      <c r="E2358" s="475"/>
      <c r="F2358" s="1139"/>
      <c r="G2358" s="386"/>
      <c r="H2358" s="363"/>
      <c r="I2358" s="397"/>
      <c r="J2358" s="335"/>
      <c r="K2358" s="374">
        <f t="shared" si="98"/>
        <v>0</v>
      </c>
      <c r="L2358" s="338">
        <f t="shared" si="100"/>
        <v>0</v>
      </c>
      <c r="M2358" s="338"/>
      <c r="N2358" s="335"/>
      <c r="O2358" s="335"/>
      <c r="P2358" s="335"/>
      <c r="Q2358" s="335"/>
      <c r="R2358" s="1158"/>
      <c r="S2358" s="291"/>
      <c r="T2358" s="291"/>
      <c r="U2358" s="291"/>
      <c r="V2358" s="291"/>
    </row>
    <row r="2359" spans="1:22" s="515" customFormat="1" ht="27.75" customHeight="1">
      <c r="A2359" s="331">
        <v>15</v>
      </c>
      <c r="B2359" s="506" t="s">
        <v>2100</v>
      </c>
      <c r="C2359" s="584" t="s">
        <v>2045</v>
      </c>
      <c r="D2359" s="1367">
        <v>1177</v>
      </c>
      <c r="E2359" s="475"/>
      <c r="F2359" s="1139"/>
      <c r="G2359" s="386"/>
      <c r="H2359" s="363"/>
      <c r="I2359" s="397"/>
      <c r="J2359" s="335"/>
      <c r="K2359" s="374">
        <f t="shared" si="98"/>
        <v>0</v>
      </c>
      <c r="L2359" s="338">
        <f t="shared" si="100"/>
        <v>0</v>
      </c>
      <c r="M2359" s="338"/>
      <c r="N2359" s="335"/>
      <c r="O2359" s="335"/>
      <c r="P2359" s="335"/>
      <c r="Q2359" s="335"/>
      <c r="R2359" s="1158"/>
      <c r="S2359" s="291"/>
      <c r="T2359" s="291"/>
      <c r="U2359" s="291"/>
      <c r="V2359" s="291"/>
    </row>
    <row r="2360" spans="1:22" s="515" customFormat="1" ht="27.75" customHeight="1">
      <c r="A2360" s="331">
        <v>16</v>
      </c>
      <c r="B2360" s="506" t="s">
        <v>2702</v>
      </c>
      <c r="C2360" s="584" t="s">
        <v>2719</v>
      </c>
      <c r="D2360" s="1367">
        <v>1391</v>
      </c>
      <c r="E2360" s="475"/>
      <c r="F2360" s="1139"/>
      <c r="G2360" s="386"/>
      <c r="H2360" s="363"/>
      <c r="I2360" s="397"/>
      <c r="J2360" s="335"/>
      <c r="K2360" s="374">
        <f t="shared" si="98"/>
        <v>0</v>
      </c>
      <c r="L2360" s="338">
        <f t="shared" si="100"/>
        <v>0</v>
      </c>
      <c r="M2360" s="338"/>
      <c r="N2360" s="335"/>
      <c r="O2360" s="335"/>
      <c r="P2360" s="335"/>
      <c r="Q2360" s="335"/>
      <c r="R2360" s="1158"/>
      <c r="S2360" s="291"/>
      <c r="T2360" s="291"/>
      <c r="U2360" s="291"/>
      <c r="V2360" s="291"/>
    </row>
    <row r="2361" spans="1:22" s="515" customFormat="1" ht="27.75" customHeight="1">
      <c r="A2361" s="331">
        <v>17</v>
      </c>
      <c r="B2361" s="506" t="s">
        <v>2263</v>
      </c>
      <c r="C2361" s="584" t="s">
        <v>3294</v>
      </c>
      <c r="D2361" s="1367">
        <v>749</v>
      </c>
      <c r="E2361" s="475"/>
      <c r="F2361" s="1139"/>
      <c r="G2361" s="386"/>
      <c r="H2361" s="363"/>
      <c r="I2361" s="397"/>
      <c r="J2361" s="335"/>
      <c r="K2361" s="374">
        <f t="shared" si="98"/>
        <v>0</v>
      </c>
      <c r="L2361" s="338">
        <f t="shared" si="100"/>
        <v>0</v>
      </c>
      <c r="M2361" s="338"/>
      <c r="N2361" s="335"/>
      <c r="O2361" s="335"/>
      <c r="P2361" s="335"/>
      <c r="Q2361" s="335"/>
      <c r="R2361" s="1158"/>
      <c r="S2361" s="291"/>
      <c r="T2361" s="291"/>
      <c r="U2361" s="291"/>
      <c r="V2361" s="291"/>
    </row>
    <row r="2362" spans="1:22" s="515" customFormat="1" ht="27.75" customHeight="1">
      <c r="A2362" s="331">
        <v>18</v>
      </c>
      <c r="B2362" s="506" t="s">
        <v>2304</v>
      </c>
      <c r="C2362" s="584" t="s">
        <v>2660</v>
      </c>
      <c r="D2362" s="1367">
        <v>695.5</v>
      </c>
      <c r="E2362" s="475"/>
      <c r="F2362" s="1139"/>
      <c r="G2362" s="386"/>
      <c r="H2362" s="363"/>
      <c r="I2362" s="397"/>
      <c r="J2362" s="335"/>
      <c r="K2362" s="374">
        <f t="shared" si="98"/>
        <v>0</v>
      </c>
      <c r="L2362" s="338">
        <f t="shared" si="100"/>
        <v>0</v>
      </c>
      <c r="M2362" s="338"/>
      <c r="N2362" s="335"/>
      <c r="O2362" s="335"/>
      <c r="P2362" s="335"/>
      <c r="Q2362" s="335"/>
      <c r="R2362" s="1158"/>
      <c r="S2362" s="291"/>
      <c r="T2362" s="291"/>
      <c r="U2362" s="291"/>
      <c r="V2362" s="291"/>
    </row>
    <row r="2363" spans="1:22" s="515" customFormat="1" ht="27.75" customHeight="1">
      <c r="A2363" s="331">
        <v>19</v>
      </c>
      <c r="B2363" s="506" t="s">
        <v>2661</v>
      </c>
      <c r="C2363" s="584" t="s">
        <v>2662</v>
      </c>
      <c r="D2363" s="1367">
        <v>1391</v>
      </c>
      <c r="E2363" s="475"/>
      <c r="F2363" s="1139"/>
      <c r="G2363" s="386"/>
      <c r="H2363" s="363"/>
      <c r="I2363" s="397"/>
      <c r="J2363" s="335"/>
      <c r="K2363" s="374">
        <f t="shared" ref="K2363:K2426" si="101">G2363*11.54/100</f>
        <v>0</v>
      </c>
      <c r="L2363" s="338">
        <f t="shared" si="100"/>
        <v>0</v>
      </c>
      <c r="M2363" s="338"/>
      <c r="N2363" s="335"/>
      <c r="O2363" s="335"/>
      <c r="P2363" s="335"/>
      <c r="Q2363" s="335"/>
      <c r="R2363" s="1158"/>
      <c r="S2363" s="291"/>
      <c r="T2363" s="291"/>
      <c r="U2363" s="291"/>
      <c r="V2363" s="291"/>
    </row>
    <row r="2364" spans="1:22" s="515" customFormat="1" ht="27.75" customHeight="1">
      <c r="A2364" s="331">
        <v>20</v>
      </c>
      <c r="B2364" s="506" t="s">
        <v>2101</v>
      </c>
      <c r="C2364" s="584" t="s">
        <v>830</v>
      </c>
      <c r="D2364" s="1367">
        <v>1819</v>
      </c>
      <c r="E2364" s="475"/>
      <c r="F2364" s="1139"/>
      <c r="G2364" s="386"/>
      <c r="H2364" s="363"/>
      <c r="I2364" s="397"/>
      <c r="J2364" s="335"/>
      <c r="K2364" s="374">
        <f t="shared" si="101"/>
        <v>0</v>
      </c>
      <c r="L2364" s="338">
        <f t="shared" si="100"/>
        <v>0</v>
      </c>
      <c r="M2364" s="338"/>
      <c r="N2364" s="335"/>
      <c r="O2364" s="335"/>
      <c r="P2364" s="335"/>
      <c r="Q2364" s="335"/>
      <c r="R2364" s="1158"/>
      <c r="S2364" s="291"/>
      <c r="T2364" s="291"/>
      <c r="U2364" s="291"/>
      <c r="V2364" s="291"/>
    </row>
    <row r="2365" spans="1:22" s="515" customFormat="1" ht="27.75" customHeight="1">
      <c r="A2365" s="331">
        <v>21</v>
      </c>
      <c r="B2365" s="506" t="s">
        <v>2209</v>
      </c>
      <c r="C2365" s="584" t="s">
        <v>1458</v>
      </c>
      <c r="D2365" s="1482">
        <v>160.5</v>
      </c>
      <c r="E2365" s="475"/>
      <c r="F2365" s="1139"/>
      <c r="G2365" s="386"/>
      <c r="H2365" s="363"/>
      <c r="I2365" s="397"/>
      <c r="J2365" s="335"/>
      <c r="K2365" s="374">
        <f t="shared" si="101"/>
        <v>0</v>
      </c>
      <c r="L2365" s="338">
        <f t="shared" si="100"/>
        <v>0</v>
      </c>
      <c r="M2365" s="338"/>
      <c r="N2365" s="335"/>
      <c r="O2365" s="335"/>
      <c r="P2365" s="335"/>
      <c r="Q2365" s="335"/>
      <c r="R2365" s="1158"/>
      <c r="S2365" s="291"/>
      <c r="T2365" s="291"/>
      <c r="U2365" s="291"/>
      <c r="V2365" s="291"/>
    </row>
    <row r="2366" spans="1:22" s="515" customFormat="1" ht="27.6" customHeight="1">
      <c r="A2366" s="331">
        <v>22</v>
      </c>
      <c r="B2366" s="506" t="s">
        <v>2102</v>
      </c>
      <c r="C2366" s="584" t="s">
        <v>1300</v>
      </c>
      <c r="D2366" s="1482"/>
      <c r="E2366" s="475" t="s">
        <v>3437</v>
      </c>
      <c r="F2366" s="1139">
        <v>2</v>
      </c>
      <c r="G2366" s="386">
        <v>321</v>
      </c>
      <c r="H2366" s="363"/>
      <c r="I2366" s="397"/>
      <c r="J2366" s="335"/>
      <c r="K2366" s="374">
        <f t="shared" si="101"/>
        <v>37.043399999999998</v>
      </c>
      <c r="L2366" s="338">
        <f t="shared" si="100"/>
        <v>0</v>
      </c>
      <c r="M2366" s="338"/>
      <c r="N2366" s="335"/>
      <c r="O2366" s="335"/>
      <c r="P2366" s="335"/>
      <c r="Q2366" s="335"/>
      <c r="R2366" s="1158"/>
      <c r="S2366" s="291"/>
      <c r="T2366" s="291"/>
      <c r="U2366" s="291"/>
      <c r="V2366" s="291"/>
    </row>
    <row r="2367" spans="1:22" s="515" customFormat="1" ht="27.6" customHeight="1">
      <c r="A2367" s="331">
        <v>23</v>
      </c>
      <c r="B2367" s="506" t="s">
        <v>3295</v>
      </c>
      <c r="C2367" s="584" t="s">
        <v>3296</v>
      </c>
      <c r="D2367" s="1367"/>
      <c r="E2367" s="475" t="s">
        <v>3416</v>
      </c>
      <c r="F2367" s="1139">
        <v>1</v>
      </c>
      <c r="G2367" s="386">
        <v>53.5</v>
      </c>
      <c r="H2367" s="363"/>
      <c r="I2367" s="397"/>
      <c r="J2367" s="335"/>
      <c r="K2367" s="374">
        <f t="shared" si="101"/>
        <v>6.1738999999999997</v>
      </c>
      <c r="L2367" s="338">
        <f t="shared" si="100"/>
        <v>0</v>
      </c>
      <c r="M2367" s="338"/>
      <c r="N2367" s="335"/>
      <c r="O2367" s="335"/>
      <c r="P2367" s="335"/>
      <c r="Q2367" s="335"/>
      <c r="R2367" s="1158"/>
      <c r="S2367" s="291"/>
      <c r="T2367" s="291"/>
      <c r="U2367" s="291"/>
      <c r="V2367" s="291"/>
    </row>
    <row r="2368" spans="1:22" s="515" customFormat="1" ht="27.6" customHeight="1">
      <c r="A2368" s="331">
        <v>24</v>
      </c>
      <c r="B2368" s="506" t="s">
        <v>2999</v>
      </c>
      <c r="C2368" s="584" t="s">
        <v>1301</v>
      </c>
      <c r="D2368" s="1368"/>
      <c r="E2368" s="475" t="s">
        <v>3579</v>
      </c>
      <c r="F2368" s="1139">
        <v>7</v>
      </c>
      <c r="G2368" s="386">
        <v>749</v>
      </c>
      <c r="H2368" s="363"/>
      <c r="I2368" s="397"/>
      <c r="J2368" s="335"/>
      <c r="K2368" s="374">
        <f t="shared" si="101"/>
        <v>86.434599999999989</v>
      </c>
      <c r="L2368" s="338">
        <f t="shared" si="100"/>
        <v>0</v>
      </c>
      <c r="M2368" s="338"/>
      <c r="N2368" s="335"/>
      <c r="O2368" s="335"/>
      <c r="P2368" s="335"/>
      <c r="Q2368" s="335"/>
      <c r="R2368" s="1158"/>
      <c r="S2368" s="291"/>
      <c r="T2368" s="291"/>
      <c r="U2368" s="291"/>
      <c r="V2368" s="291"/>
    </row>
    <row r="2369" spans="1:22" s="515" customFormat="1" ht="27.6" customHeight="1">
      <c r="A2369" s="331">
        <v>25</v>
      </c>
      <c r="B2369" s="506" t="s">
        <v>3297</v>
      </c>
      <c r="C2369" s="584" t="s">
        <v>3298</v>
      </c>
      <c r="D2369" s="1368">
        <v>749</v>
      </c>
      <c r="E2369" s="475"/>
      <c r="F2369" s="1139"/>
      <c r="G2369" s="386"/>
      <c r="H2369" s="363"/>
      <c r="I2369" s="397"/>
      <c r="J2369" s="335"/>
      <c r="K2369" s="374">
        <f t="shared" si="101"/>
        <v>0</v>
      </c>
      <c r="L2369" s="338">
        <f t="shared" si="100"/>
        <v>0</v>
      </c>
      <c r="M2369" s="338"/>
      <c r="N2369" s="335"/>
      <c r="O2369" s="335"/>
      <c r="P2369" s="335"/>
      <c r="Q2369" s="335"/>
      <c r="R2369" s="1158"/>
      <c r="S2369" s="291"/>
      <c r="T2369" s="291"/>
      <c r="U2369" s="291"/>
      <c r="V2369" s="291"/>
    </row>
    <row r="2370" spans="1:22" s="515" customFormat="1" ht="27.6" customHeight="1">
      <c r="A2370" s="331">
        <v>26</v>
      </c>
      <c r="B2370" s="506" t="s">
        <v>2816</v>
      </c>
      <c r="C2370" s="584" t="s">
        <v>3597</v>
      </c>
      <c r="D2370" s="1368">
        <v>1391</v>
      </c>
      <c r="E2370" s="475"/>
      <c r="F2370" s="1139"/>
      <c r="G2370" s="386"/>
      <c r="H2370" s="363"/>
      <c r="I2370" s="397"/>
      <c r="J2370" s="335"/>
      <c r="K2370" s="374">
        <f t="shared" si="101"/>
        <v>0</v>
      </c>
      <c r="L2370" s="338">
        <f t="shared" si="100"/>
        <v>0</v>
      </c>
      <c r="M2370" s="338"/>
      <c r="N2370" s="335"/>
      <c r="O2370" s="335"/>
      <c r="P2370" s="335"/>
      <c r="Q2370" s="335"/>
      <c r="R2370" s="1158"/>
      <c r="S2370" s="291"/>
      <c r="T2370" s="291"/>
      <c r="U2370" s="291"/>
      <c r="V2370" s="291"/>
    </row>
    <row r="2371" spans="1:22" s="515" customFormat="1" ht="27.6" customHeight="1">
      <c r="A2371" s="331">
        <v>27</v>
      </c>
      <c r="B2371" s="506" t="s">
        <v>2103</v>
      </c>
      <c r="C2371" s="584" t="s">
        <v>3299</v>
      </c>
      <c r="D2371" s="1365"/>
      <c r="E2371" s="475" t="s">
        <v>3441</v>
      </c>
      <c r="F2371" s="1139">
        <v>3</v>
      </c>
      <c r="G2371" s="386">
        <v>160.5</v>
      </c>
      <c r="H2371" s="363"/>
      <c r="I2371" s="397"/>
      <c r="J2371" s="335"/>
      <c r="K2371" s="374">
        <f t="shared" si="101"/>
        <v>18.521699999999999</v>
      </c>
      <c r="L2371" s="338">
        <f t="shared" si="100"/>
        <v>0</v>
      </c>
      <c r="M2371" s="338"/>
      <c r="N2371" s="335"/>
      <c r="O2371" s="335"/>
      <c r="P2371" s="335"/>
      <c r="Q2371" s="335"/>
      <c r="R2371" s="1158"/>
      <c r="S2371" s="291"/>
      <c r="T2371" s="291"/>
      <c r="U2371" s="291"/>
      <c r="V2371" s="291"/>
    </row>
    <row r="2372" spans="1:22" s="515" customFormat="1" ht="27.6" customHeight="1">
      <c r="A2372" s="331">
        <v>28</v>
      </c>
      <c r="B2372" s="506" t="s">
        <v>2597</v>
      </c>
      <c r="C2372" s="584" t="s">
        <v>3598</v>
      </c>
      <c r="D2372" s="1365"/>
      <c r="E2372" s="475" t="s">
        <v>3416</v>
      </c>
      <c r="F2372" s="1139">
        <v>1</v>
      </c>
      <c r="G2372" s="386">
        <v>53.5</v>
      </c>
      <c r="H2372" s="363"/>
      <c r="I2372" s="397"/>
      <c r="J2372" s="335"/>
      <c r="K2372" s="374">
        <f t="shared" si="101"/>
        <v>6.1738999999999997</v>
      </c>
      <c r="L2372" s="338">
        <f t="shared" si="100"/>
        <v>0</v>
      </c>
      <c r="M2372" s="338"/>
      <c r="N2372" s="335"/>
      <c r="O2372" s="335"/>
      <c r="P2372" s="335"/>
      <c r="Q2372" s="335"/>
      <c r="R2372" s="1158"/>
      <c r="S2372" s="291"/>
      <c r="T2372" s="291"/>
      <c r="U2372" s="291"/>
      <c r="V2372" s="291"/>
    </row>
    <row r="2373" spans="1:22" s="515" customFormat="1" ht="27.6" customHeight="1">
      <c r="A2373" s="331">
        <v>29</v>
      </c>
      <c r="B2373" s="506" t="s">
        <v>2598</v>
      </c>
      <c r="C2373" s="584" t="s">
        <v>3599</v>
      </c>
      <c r="D2373" s="1365"/>
      <c r="E2373" s="475" t="s">
        <v>3416</v>
      </c>
      <c r="F2373" s="1139">
        <v>1</v>
      </c>
      <c r="G2373" s="386">
        <v>160.5</v>
      </c>
      <c r="H2373" s="363"/>
      <c r="I2373" s="397"/>
      <c r="J2373" s="335"/>
      <c r="K2373" s="374">
        <f t="shared" si="101"/>
        <v>18.521699999999999</v>
      </c>
      <c r="L2373" s="338">
        <f t="shared" si="100"/>
        <v>0</v>
      </c>
      <c r="M2373" s="338"/>
      <c r="N2373" s="335"/>
      <c r="O2373" s="335"/>
      <c r="P2373" s="335"/>
      <c r="Q2373" s="335"/>
      <c r="R2373" s="1158"/>
      <c r="S2373" s="291"/>
      <c r="T2373" s="291"/>
      <c r="U2373" s="291"/>
      <c r="V2373" s="291"/>
    </row>
    <row r="2374" spans="1:22" s="515" customFormat="1" ht="27.6" customHeight="1">
      <c r="A2374" s="331">
        <v>30</v>
      </c>
      <c r="B2374" s="506" t="s">
        <v>1495</v>
      </c>
      <c r="C2374" s="584" t="s">
        <v>1526</v>
      </c>
      <c r="D2374" s="1365">
        <v>214</v>
      </c>
      <c r="E2374" s="475"/>
      <c r="F2374" s="1139"/>
      <c r="G2374" s="386"/>
      <c r="H2374" s="363"/>
      <c r="I2374" s="397"/>
      <c r="J2374" s="335"/>
      <c r="K2374" s="374">
        <f t="shared" si="101"/>
        <v>0</v>
      </c>
      <c r="L2374" s="338">
        <f t="shared" si="100"/>
        <v>0</v>
      </c>
      <c r="M2374" s="338"/>
      <c r="N2374" s="335"/>
      <c r="O2374" s="335"/>
      <c r="P2374" s="335"/>
      <c r="Q2374" s="335"/>
      <c r="R2374" s="1158"/>
      <c r="S2374" s="291"/>
      <c r="T2374" s="291"/>
      <c r="U2374" s="291"/>
      <c r="V2374" s="291"/>
    </row>
    <row r="2375" spans="1:22" s="515" customFormat="1" ht="27.6" customHeight="1">
      <c r="A2375" s="331">
        <v>31</v>
      </c>
      <c r="B2375" s="506" t="s">
        <v>2009</v>
      </c>
      <c r="C2375" s="584" t="s">
        <v>2900</v>
      </c>
      <c r="D2375" s="1365">
        <v>1391</v>
      </c>
      <c r="E2375" s="475"/>
      <c r="F2375" s="1139"/>
      <c r="G2375" s="386"/>
      <c r="H2375" s="363"/>
      <c r="I2375" s="397"/>
      <c r="J2375" s="335"/>
      <c r="K2375" s="374">
        <f t="shared" si="101"/>
        <v>0</v>
      </c>
      <c r="L2375" s="338">
        <f t="shared" si="100"/>
        <v>0</v>
      </c>
      <c r="M2375" s="338"/>
      <c r="N2375" s="335"/>
      <c r="O2375" s="335"/>
      <c r="P2375" s="335"/>
      <c r="Q2375" s="335"/>
      <c r="R2375" s="1158"/>
      <c r="S2375" s="291"/>
      <c r="T2375" s="291"/>
      <c r="U2375" s="291"/>
      <c r="V2375" s="291"/>
    </row>
    <row r="2376" spans="1:22" s="515" customFormat="1" ht="27.6" customHeight="1">
      <c r="A2376" s="331">
        <v>32</v>
      </c>
      <c r="B2376" s="506" t="s">
        <v>3273</v>
      </c>
      <c r="C2376" s="584" t="s">
        <v>3300</v>
      </c>
      <c r="D2376" s="1365">
        <v>1391</v>
      </c>
      <c r="E2376" s="475"/>
      <c r="F2376" s="1139"/>
      <c r="G2376" s="386"/>
      <c r="H2376" s="363"/>
      <c r="I2376" s="397"/>
      <c r="J2376" s="335"/>
      <c r="K2376" s="374">
        <f t="shared" si="101"/>
        <v>0</v>
      </c>
      <c r="L2376" s="338">
        <f t="shared" si="100"/>
        <v>0</v>
      </c>
      <c r="M2376" s="338"/>
      <c r="N2376" s="335"/>
      <c r="O2376" s="335"/>
      <c r="P2376" s="335"/>
      <c r="Q2376" s="335"/>
      <c r="R2376" s="1158"/>
      <c r="S2376" s="291"/>
      <c r="T2376" s="291"/>
      <c r="U2376" s="291"/>
      <c r="V2376" s="291"/>
    </row>
    <row r="2377" spans="1:22" s="515" customFormat="1" ht="27.6" customHeight="1">
      <c r="A2377" s="331">
        <v>33</v>
      </c>
      <c r="B2377" s="506" t="s">
        <v>2901</v>
      </c>
      <c r="C2377" s="584" t="s">
        <v>2902</v>
      </c>
      <c r="D2377" s="1365">
        <v>8346</v>
      </c>
      <c r="E2377" s="475"/>
      <c r="F2377" s="1139"/>
      <c r="G2377" s="386"/>
      <c r="H2377" s="363"/>
      <c r="I2377" s="397"/>
      <c r="J2377" s="335"/>
      <c r="K2377" s="374">
        <f t="shared" si="101"/>
        <v>0</v>
      </c>
      <c r="L2377" s="338">
        <f t="shared" si="100"/>
        <v>0</v>
      </c>
      <c r="M2377" s="338"/>
      <c r="N2377" s="335"/>
      <c r="O2377" s="335"/>
      <c r="P2377" s="335"/>
      <c r="Q2377" s="335"/>
      <c r="R2377" s="1158"/>
      <c r="S2377" s="291"/>
      <c r="T2377" s="291"/>
      <c r="U2377" s="291"/>
      <c r="V2377" s="291"/>
    </row>
    <row r="2378" spans="1:22" s="515" customFormat="1" ht="27.6" customHeight="1">
      <c r="A2378" s="331">
        <v>34</v>
      </c>
      <c r="B2378" s="506" t="s">
        <v>2901</v>
      </c>
      <c r="C2378" s="584" t="s">
        <v>2903</v>
      </c>
      <c r="D2378" s="1365">
        <v>11128</v>
      </c>
      <c r="E2378" s="475"/>
      <c r="F2378" s="1139"/>
      <c r="G2378" s="386"/>
      <c r="H2378" s="363"/>
      <c r="I2378" s="397"/>
      <c r="J2378" s="335"/>
      <c r="K2378" s="374">
        <f t="shared" si="101"/>
        <v>0</v>
      </c>
      <c r="L2378" s="338">
        <f t="shared" si="100"/>
        <v>0</v>
      </c>
      <c r="M2378" s="338"/>
      <c r="N2378" s="335"/>
      <c r="O2378" s="335"/>
      <c r="P2378" s="335"/>
      <c r="Q2378" s="335"/>
      <c r="R2378" s="1158"/>
      <c r="S2378" s="291"/>
      <c r="T2378" s="291"/>
      <c r="U2378" s="291"/>
      <c r="V2378" s="291"/>
    </row>
    <row r="2379" spans="1:22" s="515" customFormat="1" ht="27.6" customHeight="1">
      <c r="A2379" s="331">
        <v>35</v>
      </c>
      <c r="B2379" s="506" t="s">
        <v>2901</v>
      </c>
      <c r="C2379" s="584" t="s">
        <v>2904</v>
      </c>
      <c r="D2379" s="1369">
        <v>1391</v>
      </c>
      <c r="E2379" s="475"/>
      <c r="F2379" s="1139"/>
      <c r="G2379" s="386"/>
      <c r="H2379" s="363"/>
      <c r="I2379" s="397"/>
      <c r="J2379" s="335"/>
      <c r="K2379" s="374">
        <f t="shared" si="101"/>
        <v>0</v>
      </c>
      <c r="L2379" s="338">
        <f t="shared" si="100"/>
        <v>0</v>
      </c>
      <c r="M2379" s="338"/>
      <c r="N2379" s="335"/>
      <c r="O2379" s="335"/>
      <c r="P2379" s="335"/>
      <c r="Q2379" s="335"/>
      <c r="R2379" s="1158"/>
      <c r="S2379" s="291"/>
      <c r="T2379" s="291"/>
      <c r="U2379" s="291"/>
      <c r="V2379" s="291"/>
    </row>
    <row r="2380" spans="1:22" s="515" customFormat="1" ht="27.6" customHeight="1">
      <c r="A2380" s="331">
        <v>36</v>
      </c>
      <c r="B2380" s="506" t="s">
        <v>2901</v>
      </c>
      <c r="C2380" s="584" t="s">
        <v>2905</v>
      </c>
      <c r="D2380" s="1370">
        <v>2782</v>
      </c>
      <c r="E2380" s="475"/>
      <c r="F2380" s="1139"/>
      <c r="G2380" s="386"/>
      <c r="H2380" s="363"/>
      <c r="I2380" s="397"/>
      <c r="J2380" s="335"/>
      <c r="K2380" s="374">
        <f t="shared" si="101"/>
        <v>0</v>
      </c>
      <c r="L2380" s="338">
        <f t="shared" si="100"/>
        <v>0</v>
      </c>
      <c r="M2380" s="338"/>
      <c r="N2380" s="335"/>
      <c r="O2380" s="335"/>
      <c r="P2380" s="335"/>
      <c r="Q2380" s="335"/>
      <c r="R2380" s="1158"/>
      <c r="S2380" s="291"/>
      <c r="T2380" s="291"/>
      <c r="U2380" s="291"/>
      <c r="V2380" s="291"/>
    </row>
    <row r="2381" spans="1:22" s="515" customFormat="1" ht="27.6" customHeight="1">
      <c r="A2381" s="331">
        <v>37</v>
      </c>
      <c r="B2381" s="506" t="s">
        <v>2901</v>
      </c>
      <c r="C2381" s="584" t="s">
        <v>2906</v>
      </c>
      <c r="D2381" s="1368">
        <v>1391</v>
      </c>
      <c r="E2381" s="475"/>
      <c r="F2381" s="1139"/>
      <c r="G2381" s="386"/>
      <c r="H2381" s="363"/>
      <c r="I2381" s="397"/>
      <c r="J2381" s="335"/>
      <c r="K2381" s="374">
        <f t="shared" si="101"/>
        <v>0</v>
      </c>
      <c r="L2381" s="338">
        <f t="shared" si="100"/>
        <v>0</v>
      </c>
      <c r="M2381" s="338"/>
      <c r="N2381" s="335"/>
      <c r="O2381" s="335"/>
      <c r="P2381" s="335"/>
      <c r="Q2381" s="335"/>
      <c r="R2381" s="1158"/>
      <c r="S2381" s="291"/>
      <c r="T2381" s="291"/>
      <c r="U2381" s="291"/>
      <c r="V2381" s="291"/>
    </row>
    <row r="2382" spans="1:22" s="515" customFormat="1" ht="27.6" customHeight="1">
      <c r="A2382" s="331">
        <v>38</v>
      </c>
      <c r="B2382" s="506" t="s">
        <v>2901</v>
      </c>
      <c r="C2382" s="584" t="s">
        <v>2907</v>
      </c>
      <c r="D2382" s="1368">
        <v>1391</v>
      </c>
      <c r="E2382" s="475"/>
      <c r="F2382" s="1139"/>
      <c r="G2382" s="386"/>
      <c r="H2382" s="363"/>
      <c r="I2382" s="397"/>
      <c r="J2382" s="335"/>
      <c r="K2382" s="374">
        <f t="shared" si="101"/>
        <v>0</v>
      </c>
      <c r="L2382" s="338">
        <f t="shared" si="100"/>
        <v>0</v>
      </c>
      <c r="M2382" s="338"/>
      <c r="N2382" s="335"/>
      <c r="O2382" s="335"/>
      <c r="P2382" s="335"/>
      <c r="Q2382" s="335"/>
      <c r="R2382" s="1158"/>
      <c r="S2382" s="291"/>
      <c r="T2382" s="291"/>
      <c r="U2382" s="291"/>
      <c r="V2382" s="291"/>
    </row>
    <row r="2383" spans="1:22" s="515" customFormat="1" ht="27" customHeight="1">
      <c r="A2383" s="331">
        <v>39</v>
      </c>
      <c r="B2383" s="506" t="s">
        <v>1516</v>
      </c>
      <c r="C2383" s="584" t="s">
        <v>2908</v>
      </c>
      <c r="D2383" s="1368">
        <v>5885</v>
      </c>
      <c r="E2383" s="475"/>
      <c r="F2383" s="1139"/>
      <c r="G2383" s="386"/>
      <c r="H2383" s="363"/>
      <c r="I2383" s="397"/>
      <c r="J2383" s="335"/>
      <c r="K2383" s="374">
        <f t="shared" si="101"/>
        <v>0</v>
      </c>
      <c r="L2383" s="338">
        <f t="shared" si="100"/>
        <v>0</v>
      </c>
      <c r="M2383" s="338"/>
      <c r="N2383" s="335"/>
      <c r="O2383" s="335"/>
      <c r="P2383" s="335"/>
      <c r="Q2383" s="335"/>
      <c r="R2383" s="1158"/>
      <c r="S2383" s="291"/>
      <c r="T2383" s="291"/>
      <c r="U2383" s="291"/>
      <c r="V2383" s="291"/>
    </row>
    <row r="2384" spans="1:22" s="515" customFormat="1" ht="27" customHeight="1">
      <c r="A2384" s="331">
        <v>40</v>
      </c>
      <c r="B2384" s="506" t="s">
        <v>1714</v>
      </c>
      <c r="C2384" s="584" t="s">
        <v>2909</v>
      </c>
      <c r="D2384" s="1370">
        <v>214</v>
      </c>
      <c r="E2384" s="475"/>
      <c r="F2384" s="1139"/>
      <c r="G2384" s="386"/>
      <c r="H2384" s="363"/>
      <c r="I2384" s="397"/>
      <c r="J2384" s="335"/>
      <c r="K2384" s="374">
        <f t="shared" si="101"/>
        <v>0</v>
      </c>
      <c r="L2384" s="338">
        <f t="shared" si="100"/>
        <v>0</v>
      </c>
      <c r="M2384" s="338"/>
      <c r="N2384" s="335"/>
      <c r="O2384" s="335"/>
      <c r="P2384" s="335"/>
      <c r="Q2384" s="335"/>
      <c r="R2384" s="1158"/>
      <c r="S2384" s="291"/>
      <c r="T2384" s="291"/>
      <c r="U2384" s="291"/>
      <c r="V2384" s="291"/>
    </row>
    <row r="2385" spans="1:22" s="515" customFormat="1" ht="27" customHeight="1">
      <c r="A2385" s="331">
        <v>41</v>
      </c>
      <c r="B2385" s="506" t="s">
        <v>1714</v>
      </c>
      <c r="C2385" s="584" t="s">
        <v>2910</v>
      </c>
      <c r="D2385" s="1370">
        <v>107</v>
      </c>
      <c r="E2385" s="475"/>
      <c r="F2385" s="1139"/>
      <c r="G2385" s="386"/>
      <c r="H2385" s="363"/>
      <c r="I2385" s="397"/>
      <c r="J2385" s="335"/>
      <c r="K2385" s="374">
        <f t="shared" si="101"/>
        <v>0</v>
      </c>
      <c r="L2385" s="338">
        <f t="shared" si="100"/>
        <v>0</v>
      </c>
      <c r="M2385" s="338"/>
      <c r="N2385" s="335"/>
      <c r="O2385" s="335"/>
      <c r="P2385" s="335"/>
      <c r="Q2385" s="335"/>
      <c r="R2385" s="1158"/>
      <c r="S2385" s="291"/>
      <c r="T2385" s="291"/>
      <c r="U2385" s="291"/>
      <c r="V2385" s="291"/>
    </row>
    <row r="2386" spans="1:22" s="515" customFormat="1" ht="27" customHeight="1">
      <c r="A2386" s="331">
        <v>42</v>
      </c>
      <c r="B2386" s="506" t="s">
        <v>2661</v>
      </c>
      <c r="C2386" s="584" t="s">
        <v>2911</v>
      </c>
      <c r="D2386" s="1370">
        <v>8346</v>
      </c>
      <c r="E2386" s="475"/>
      <c r="F2386" s="1139"/>
      <c r="G2386" s="386"/>
      <c r="H2386" s="363"/>
      <c r="I2386" s="397"/>
      <c r="J2386" s="335"/>
      <c r="K2386" s="374">
        <f t="shared" si="101"/>
        <v>0</v>
      </c>
      <c r="L2386" s="338">
        <f t="shared" si="100"/>
        <v>0</v>
      </c>
      <c r="M2386" s="338"/>
      <c r="N2386" s="335"/>
      <c r="O2386" s="335"/>
      <c r="P2386" s="335"/>
      <c r="Q2386" s="335"/>
      <c r="R2386" s="1158"/>
      <c r="S2386" s="291"/>
      <c r="T2386" s="291"/>
      <c r="U2386" s="291"/>
      <c r="V2386" s="291"/>
    </row>
    <row r="2387" spans="1:22" s="515" customFormat="1" ht="27" customHeight="1">
      <c r="A2387" s="331">
        <v>43</v>
      </c>
      <c r="B2387" s="506" t="s">
        <v>1715</v>
      </c>
      <c r="C2387" s="584" t="s">
        <v>2912</v>
      </c>
      <c r="D2387" s="1371">
        <v>2782</v>
      </c>
      <c r="E2387" s="475"/>
      <c r="F2387" s="1139"/>
      <c r="G2387" s="386"/>
      <c r="H2387" s="363"/>
      <c r="I2387" s="397"/>
      <c r="J2387" s="335"/>
      <c r="K2387" s="374">
        <f t="shared" si="101"/>
        <v>0</v>
      </c>
      <c r="L2387" s="338">
        <f t="shared" si="100"/>
        <v>0</v>
      </c>
      <c r="M2387" s="338"/>
      <c r="N2387" s="335"/>
      <c r="O2387" s="335"/>
      <c r="P2387" s="335"/>
      <c r="Q2387" s="335"/>
      <c r="R2387" s="1158"/>
      <c r="S2387" s="291"/>
      <c r="T2387" s="291"/>
      <c r="U2387" s="291"/>
      <c r="V2387" s="291"/>
    </row>
    <row r="2388" spans="1:22" s="515" customFormat="1" ht="27" customHeight="1">
      <c r="A2388" s="331">
        <v>44</v>
      </c>
      <c r="B2388" s="506" t="s">
        <v>1715</v>
      </c>
      <c r="C2388" s="584" t="s">
        <v>2913</v>
      </c>
      <c r="D2388" s="1370">
        <v>1391</v>
      </c>
      <c r="E2388" s="475"/>
      <c r="F2388" s="1139"/>
      <c r="G2388" s="386"/>
      <c r="H2388" s="363"/>
      <c r="I2388" s="397"/>
      <c r="J2388" s="335"/>
      <c r="K2388" s="374">
        <f t="shared" si="101"/>
        <v>0</v>
      </c>
      <c r="L2388" s="338">
        <f t="shared" si="100"/>
        <v>0</v>
      </c>
      <c r="M2388" s="338"/>
      <c r="N2388" s="335"/>
      <c r="O2388" s="335"/>
      <c r="P2388" s="335"/>
      <c r="Q2388" s="335"/>
      <c r="R2388" s="1158"/>
      <c r="S2388" s="291"/>
      <c r="T2388" s="291"/>
      <c r="U2388" s="291"/>
      <c r="V2388" s="291"/>
    </row>
    <row r="2389" spans="1:22" s="515" customFormat="1" ht="27" customHeight="1">
      <c r="A2389" s="331">
        <v>45</v>
      </c>
      <c r="B2389" s="506" t="s">
        <v>2914</v>
      </c>
      <c r="C2389" s="584" t="s">
        <v>2915</v>
      </c>
      <c r="D2389" s="1368"/>
      <c r="E2389" s="475" t="s">
        <v>3506</v>
      </c>
      <c r="F2389" s="1139">
        <v>10</v>
      </c>
      <c r="G2389" s="386">
        <v>535</v>
      </c>
      <c r="H2389" s="363"/>
      <c r="I2389" s="397"/>
      <c r="J2389" s="335"/>
      <c r="K2389" s="374">
        <f t="shared" si="101"/>
        <v>61.738999999999997</v>
      </c>
      <c r="L2389" s="338">
        <f t="shared" si="100"/>
        <v>0</v>
      </c>
      <c r="M2389" s="338"/>
      <c r="N2389" s="335"/>
      <c r="O2389" s="335"/>
      <c r="P2389" s="335"/>
      <c r="Q2389" s="335"/>
      <c r="R2389" s="1158"/>
      <c r="S2389" s="291"/>
      <c r="T2389" s="291"/>
      <c r="U2389" s="291"/>
      <c r="V2389" s="291"/>
    </row>
    <row r="2390" spans="1:22" s="515" customFormat="1" ht="27" customHeight="1">
      <c r="A2390" s="331">
        <v>46</v>
      </c>
      <c r="B2390" s="506" t="s">
        <v>2914</v>
      </c>
      <c r="C2390" s="584" t="s">
        <v>2916</v>
      </c>
      <c r="D2390" s="1498"/>
      <c r="E2390" s="475" t="s">
        <v>3506</v>
      </c>
      <c r="F2390" s="1139">
        <v>10</v>
      </c>
      <c r="G2390" s="386">
        <v>535</v>
      </c>
      <c r="H2390" s="363"/>
      <c r="I2390" s="397"/>
      <c r="J2390" s="335"/>
      <c r="K2390" s="374">
        <f t="shared" si="101"/>
        <v>61.738999999999997</v>
      </c>
      <c r="L2390" s="338">
        <f t="shared" si="100"/>
        <v>0</v>
      </c>
      <c r="M2390" s="338"/>
      <c r="N2390" s="335"/>
      <c r="O2390" s="335"/>
      <c r="P2390" s="335"/>
      <c r="Q2390" s="335"/>
      <c r="R2390" s="1158"/>
      <c r="S2390" s="291"/>
      <c r="T2390" s="291"/>
      <c r="U2390" s="291"/>
      <c r="V2390" s="291"/>
    </row>
    <row r="2391" spans="1:22" s="515" customFormat="1" ht="27" customHeight="1">
      <c r="A2391" s="331">
        <v>47</v>
      </c>
      <c r="B2391" s="506" t="s">
        <v>2914</v>
      </c>
      <c r="C2391" s="584" t="s">
        <v>2917</v>
      </c>
      <c r="D2391" s="1498"/>
      <c r="E2391" s="475" t="s">
        <v>3506</v>
      </c>
      <c r="F2391" s="1139">
        <v>10</v>
      </c>
      <c r="G2391" s="386">
        <v>535</v>
      </c>
      <c r="H2391" s="363"/>
      <c r="I2391" s="397"/>
      <c r="J2391" s="335"/>
      <c r="K2391" s="374">
        <f t="shared" si="101"/>
        <v>61.738999999999997</v>
      </c>
      <c r="L2391" s="338">
        <f t="shared" si="100"/>
        <v>0</v>
      </c>
      <c r="M2391" s="338"/>
      <c r="N2391" s="335"/>
      <c r="O2391" s="335"/>
      <c r="P2391" s="335"/>
      <c r="Q2391" s="335"/>
      <c r="R2391" s="1158"/>
      <c r="S2391" s="291"/>
      <c r="T2391" s="291"/>
      <c r="U2391" s="291"/>
      <c r="V2391" s="291"/>
    </row>
    <row r="2392" spans="1:22" s="515" customFormat="1" ht="27" customHeight="1">
      <c r="A2392" s="331">
        <v>48</v>
      </c>
      <c r="B2392" s="506" t="s">
        <v>1708</v>
      </c>
      <c r="C2392" s="584" t="s">
        <v>2918</v>
      </c>
      <c r="D2392" s="1370">
        <v>1391</v>
      </c>
      <c r="E2392" s="475"/>
      <c r="F2392" s="1139"/>
      <c r="G2392" s="386"/>
      <c r="H2392" s="363"/>
      <c r="I2392" s="397"/>
      <c r="J2392" s="335"/>
      <c r="K2392" s="374">
        <f t="shared" si="101"/>
        <v>0</v>
      </c>
      <c r="L2392" s="338">
        <f t="shared" si="100"/>
        <v>0</v>
      </c>
      <c r="M2392" s="338"/>
      <c r="N2392" s="335"/>
      <c r="O2392" s="335"/>
      <c r="P2392" s="335"/>
      <c r="Q2392" s="335"/>
      <c r="R2392" s="1158"/>
      <c r="S2392" s="291"/>
      <c r="T2392" s="291"/>
      <c r="U2392" s="291"/>
      <c r="V2392" s="291"/>
    </row>
    <row r="2393" spans="1:22" s="515" customFormat="1" ht="27" customHeight="1">
      <c r="A2393" s="331">
        <v>49</v>
      </c>
      <c r="B2393" s="506" t="s">
        <v>2919</v>
      </c>
      <c r="C2393" s="584" t="s">
        <v>2920</v>
      </c>
      <c r="D2393" s="1370">
        <v>1391</v>
      </c>
      <c r="E2393" s="475"/>
      <c r="F2393" s="1139"/>
      <c r="G2393" s="386"/>
      <c r="H2393" s="363"/>
      <c r="I2393" s="397"/>
      <c r="J2393" s="335"/>
      <c r="K2393" s="374">
        <f t="shared" si="101"/>
        <v>0</v>
      </c>
      <c r="L2393" s="338">
        <f t="shared" si="100"/>
        <v>0</v>
      </c>
      <c r="M2393" s="338"/>
      <c r="N2393" s="335"/>
      <c r="O2393" s="335"/>
      <c r="P2393" s="335"/>
      <c r="Q2393" s="335"/>
      <c r="R2393" s="1158"/>
      <c r="S2393" s="291"/>
      <c r="T2393" s="291"/>
      <c r="U2393" s="291"/>
      <c r="V2393" s="291"/>
    </row>
    <row r="2394" spans="1:22" s="515" customFormat="1" ht="27" customHeight="1">
      <c r="A2394" s="331">
        <v>50</v>
      </c>
      <c r="B2394" s="506" t="s">
        <v>2919</v>
      </c>
      <c r="C2394" s="584" t="s">
        <v>2921</v>
      </c>
      <c r="D2394" s="1370">
        <v>1391</v>
      </c>
      <c r="E2394" s="475"/>
      <c r="F2394" s="1139"/>
      <c r="G2394" s="386"/>
      <c r="H2394" s="363"/>
      <c r="I2394" s="397"/>
      <c r="J2394" s="335"/>
      <c r="K2394" s="374">
        <f t="shared" si="101"/>
        <v>0</v>
      </c>
      <c r="L2394" s="338">
        <f t="shared" si="100"/>
        <v>0</v>
      </c>
      <c r="M2394" s="338"/>
      <c r="N2394" s="335"/>
      <c r="O2394" s="335"/>
      <c r="P2394" s="335"/>
      <c r="Q2394" s="335"/>
      <c r="R2394" s="1158"/>
      <c r="S2394" s="291"/>
      <c r="T2394" s="291"/>
      <c r="U2394" s="291"/>
      <c r="V2394" s="291"/>
    </row>
    <row r="2395" spans="1:22" s="515" customFormat="1" ht="27" customHeight="1">
      <c r="A2395" s="331">
        <v>51</v>
      </c>
      <c r="B2395" s="506" t="s">
        <v>2919</v>
      </c>
      <c r="C2395" s="584" t="s">
        <v>2922</v>
      </c>
      <c r="D2395" s="1370">
        <v>1391</v>
      </c>
      <c r="E2395" s="475"/>
      <c r="F2395" s="1139"/>
      <c r="G2395" s="386"/>
      <c r="H2395" s="363"/>
      <c r="I2395" s="397"/>
      <c r="J2395" s="335"/>
      <c r="K2395" s="374">
        <f t="shared" si="101"/>
        <v>0</v>
      </c>
      <c r="L2395" s="338">
        <f t="shared" si="100"/>
        <v>0</v>
      </c>
      <c r="M2395" s="338"/>
      <c r="N2395" s="335"/>
      <c r="O2395" s="335"/>
      <c r="P2395" s="335"/>
      <c r="Q2395" s="335"/>
      <c r="R2395" s="1158"/>
      <c r="S2395" s="291"/>
      <c r="T2395" s="291"/>
      <c r="U2395" s="291"/>
      <c r="V2395" s="291"/>
    </row>
    <row r="2396" spans="1:22" s="515" customFormat="1" ht="27" customHeight="1">
      <c r="A2396" s="331">
        <v>52</v>
      </c>
      <c r="B2396" s="506" t="s">
        <v>2919</v>
      </c>
      <c r="C2396" s="584" t="s">
        <v>2923</v>
      </c>
      <c r="D2396" s="1370">
        <v>2782</v>
      </c>
      <c r="E2396" s="475"/>
      <c r="F2396" s="1139"/>
      <c r="G2396" s="386"/>
      <c r="H2396" s="363"/>
      <c r="I2396" s="397"/>
      <c r="J2396" s="335"/>
      <c r="K2396" s="374">
        <f t="shared" si="101"/>
        <v>0</v>
      </c>
      <c r="L2396" s="338">
        <f t="shared" si="100"/>
        <v>0</v>
      </c>
      <c r="M2396" s="338"/>
      <c r="N2396" s="335"/>
      <c r="O2396" s="335"/>
      <c r="P2396" s="335"/>
      <c r="Q2396" s="335"/>
      <c r="R2396" s="1158"/>
      <c r="S2396" s="291"/>
      <c r="T2396" s="291"/>
      <c r="U2396" s="291"/>
      <c r="V2396" s="291"/>
    </row>
    <row r="2397" spans="1:22" s="515" customFormat="1" ht="27" customHeight="1">
      <c r="A2397" s="331">
        <v>53</v>
      </c>
      <c r="B2397" s="506" t="s">
        <v>3302</v>
      </c>
      <c r="C2397" s="584" t="s">
        <v>3080</v>
      </c>
      <c r="D2397" s="1370">
        <v>2675</v>
      </c>
      <c r="E2397" s="475"/>
      <c r="F2397" s="1139"/>
      <c r="G2397" s="386"/>
      <c r="H2397" s="363"/>
      <c r="I2397" s="397"/>
      <c r="J2397" s="335"/>
      <c r="K2397" s="374">
        <f t="shared" si="101"/>
        <v>0</v>
      </c>
      <c r="L2397" s="338">
        <f t="shared" si="100"/>
        <v>0</v>
      </c>
      <c r="M2397" s="338"/>
      <c r="N2397" s="335"/>
      <c r="O2397" s="335"/>
      <c r="P2397" s="335"/>
      <c r="Q2397" s="335"/>
      <c r="R2397" s="1158"/>
      <c r="S2397" s="291"/>
      <c r="T2397" s="291"/>
      <c r="U2397" s="291"/>
      <c r="V2397" s="291"/>
    </row>
    <row r="2398" spans="1:22" s="515" customFormat="1" ht="27" customHeight="1">
      <c r="A2398" s="331">
        <v>54</v>
      </c>
      <c r="B2398" s="506" t="s">
        <v>2924</v>
      </c>
      <c r="C2398" s="584" t="s">
        <v>2925</v>
      </c>
      <c r="D2398" s="1370">
        <v>1391</v>
      </c>
      <c r="E2398" s="475"/>
      <c r="F2398" s="1139"/>
      <c r="G2398" s="386"/>
      <c r="H2398" s="363"/>
      <c r="I2398" s="397"/>
      <c r="J2398" s="335"/>
      <c r="K2398" s="374">
        <f t="shared" si="101"/>
        <v>0</v>
      </c>
      <c r="L2398" s="338">
        <f t="shared" si="100"/>
        <v>0</v>
      </c>
      <c r="M2398" s="338"/>
      <c r="N2398" s="335"/>
      <c r="O2398" s="335"/>
      <c r="P2398" s="335"/>
      <c r="Q2398" s="335"/>
      <c r="R2398" s="1158"/>
      <c r="S2398" s="291"/>
      <c r="T2398" s="291"/>
      <c r="U2398" s="291"/>
      <c r="V2398" s="291"/>
    </row>
    <row r="2399" spans="1:22" s="515" customFormat="1" ht="27" customHeight="1">
      <c r="A2399" s="331">
        <v>55</v>
      </c>
      <c r="B2399" s="506" t="s">
        <v>2790</v>
      </c>
      <c r="C2399" s="584" t="s">
        <v>2926</v>
      </c>
      <c r="D2399" s="1372">
        <v>1658.5</v>
      </c>
      <c r="E2399" s="475"/>
      <c r="F2399" s="1139"/>
      <c r="G2399" s="386"/>
      <c r="H2399" s="363"/>
      <c r="I2399" s="397"/>
      <c r="J2399" s="335"/>
      <c r="K2399" s="374">
        <f t="shared" si="101"/>
        <v>0</v>
      </c>
      <c r="L2399" s="338">
        <f t="shared" si="100"/>
        <v>0</v>
      </c>
      <c r="M2399" s="338"/>
      <c r="N2399" s="335"/>
      <c r="O2399" s="335"/>
      <c r="P2399" s="335"/>
      <c r="Q2399" s="335"/>
      <c r="R2399" s="1158"/>
      <c r="S2399" s="291"/>
      <c r="T2399" s="291"/>
      <c r="U2399" s="291"/>
      <c r="V2399" s="291"/>
    </row>
    <row r="2400" spans="1:22" s="515" customFormat="1" ht="27" customHeight="1">
      <c r="A2400" s="331">
        <v>56</v>
      </c>
      <c r="B2400" s="506" t="s">
        <v>2790</v>
      </c>
      <c r="C2400" s="584" t="s">
        <v>2927</v>
      </c>
      <c r="D2400" s="1372">
        <v>3317</v>
      </c>
      <c r="E2400" s="475"/>
      <c r="F2400" s="1139"/>
      <c r="G2400" s="386"/>
      <c r="H2400" s="363"/>
      <c r="I2400" s="397"/>
      <c r="J2400" s="335"/>
      <c r="K2400" s="374">
        <f t="shared" si="101"/>
        <v>0</v>
      </c>
      <c r="L2400" s="338">
        <f t="shared" si="100"/>
        <v>0</v>
      </c>
      <c r="M2400" s="338"/>
      <c r="N2400" s="335"/>
      <c r="O2400" s="335"/>
      <c r="P2400" s="335"/>
      <c r="Q2400" s="335"/>
      <c r="R2400" s="1158"/>
      <c r="S2400" s="291"/>
      <c r="T2400" s="291"/>
      <c r="U2400" s="291"/>
      <c r="V2400" s="291"/>
    </row>
    <row r="2401" spans="1:22" s="515" customFormat="1" ht="27" customHeight="1">
      <c r="A2401" s="331">
        <v>57</v>
      </c>
      <c r="B2401" s="506" t="s">
        <v>2791</v>
      </c>
      <c r="C2401" s="584" t="s">
        <v>2928</v>
      </c>
      <c r="D2401" s="1370">
        <v>1391</v>
      </c>
      <c r="E2401" s="475"/>
      <c r="F2401" s="1139"/>
      <c r="G2401" s="386"/>
      <c r="H2401" s="363"/>
      <c r="I2401" s="397"/>
      <c r="J2401" s="335"/>
      <c r="K2401" s="374">
        <f t="shared" si="101"/>
        <v>0</v>
      </c>
      <c r="L2401" s="338">
        <f t="shared" si="100"/>
        <v>0</v>
      </c>
      <c r="M2401" s="338"/>
      <c r="N2401" s="335"/>
      <c r="O2401" s="335"/>
      <c r="P2401" s="335"/>
      <c r="Q2401" s="335"/>
      <c r="R2401" s="1158"/>
      <c r="S2401" s="291"/>
      <c r="T2401" s="291"/>
      <c r="U2401" s="291"/>
      <c r="V2401" s="291"/>
    </row>
    <row r="2402" spans="1:22" s="515" customFormat="1" ht="27" customHeight="1">
      <c r="A2402" s="331">
        <v>58</v>
      </c>
      <c r="B2402" s="506" t="s">
        <v>2791</v>
      </c>
      <c r="C2402" s="584" t="s">
        <v>2929</v>
      </c>
      <c r="D2402" s="1370">
        <v>1391</v>
      </c>
      <c r="E2402" s="475"/>
      <c r="F2402" s="1139"/>
      <c r="G2402" s="386"/>
      <c r="H2402" s="363"/>
      <c r="I2402" s="397"/>
      <c r="J2402" s="335"/>
      <c r="K2402" s="374">
        <f t="shared" si="101"/>
        <v>0</v>
      </c>
      <c r="L2402" s="338">
        <f t="shared" si="100"/>
        <v>0</v>
      </c>
      <c r="M2402" s="338"/>
      <c r="N2402" s="335"/>
      <c r="O2402" s="335"/>
      <c r="P2402" s="335"/>
      <c r="Q2402" s="335"/>
      <c r="R2402" s="1158"/>
      <c r="S2402" s="291"/>
      <c r="T2402" s="291"/>
      <c r="U2402" s="291"/>
      <c r="V2402" s="291"/>
    </row>
    <row r="2403" spans="1:22" s="515" customFormat="1" ht="27" customHeight="1">
      <c r="A2403" s="331">
        <v>59</v>
      </c>
      <c r="B2403" s="506" t="s">
        <v>1242</v>
      </c>
      <c r="C2403" s="584" t="s">
        <v>2930</v>
      </c>
      <c r="D2403" s="1370"/>
      <c r="E2403" s="475" t="s">
        <v>3506</v>
      </c>
      <c r="F2403" s="1139">
        <v>10</v>
      </c>
      <c r="G2403" s="386">
        <v>535</v>
      </c>
      <c r="H2403" s="363"/>
      <c r="I2403" s="397"/>
      <c r="J2403" s="335"/>
      <c r="K2403" s="374">
        <f t="shared" si="101"/>
        <v>61.738999999999997</v>
      </c>
      <c r="L2403" s="338">
        <f t="shared" si="100"/>
        <v>0</v>
      </c>
      <c r="M2403" s="338"/>
      <c r="N2403" s="335"/>
      <c r="O2403" s="335"/>
      <c r="P2403" s="335"/>
      <c r="Q2403" s="335"/>
      <c r="R2403" s="1158"/>
      <c r="S2403" s="291"/>
      <c r="T2403" s="291"/>
      <c r="U2403" s="291"/>
      <c r="V2403" s="291"/>
    </row>
    <row r="2404" spans="1:22" s="515" customFormat="1" ht="27" customHeight="1">
      <c r="A2404" s="331">
        <v>60</v>
      </c>
      <c r="B2404" s="506" t="s">
        <v>2792</v>
      </c>
      <c r="C2404" s="584" t="s">
        <v>2931</v>
      </c>
      <c r="D2404" s="1370">
        <v>1391</v>
      </c>
      <c r="E2404" s="475"/>
      <c r="F2404" s="1139"/>
      <c r="G2404" s="386"/>
      <c r="H2404" s="363"/>
      <c r="I2404" s="397"/>
      <c r="J2404" s="335"/>
      <c r="K2404" s="374">
        <f t="shared" si="101"/>
        <v>0</v>
      </c>
      <c r="L2404" s="338">
        <f t="shared" si="100"/>
        <v>0</v>
      </c>
      <c r="M2404" s="338"/>
      <c r="N2404" s="335"/>
      <c r="O2404" s="335"/>
      <c r="P2404" s="335"/>
      <c r="Q2404" s="335"/>
      <c r="R2404" s="1158"/>
      <c r="S2404" s="291"/>
      <c r="T2404" s="291"/>
      <c r="U2404" s="291"/>
      <c r="V2404" s="291"/>
    </row>
    <row r="2405" spans="1:22" s="515" customFormat="1" ht="27" customHeight="1">
      <c r="A2405" s="331">
        <v>61</v>
      </c>
      <c r="B2405" s="506" t="s">
        <v>2703</v>
      </c>
      <c r="C2405" s="584" t="s">
        <v>3163</v>
      </c>
      <c r="D2405" s="1370">
        <v>802.5</v>
      </c>
      <c r="E2405" s="475"/>
      <c r="F2405" s="1139"/>
      <c r="G2405" s="386"/>
      <c r="H2405" s="363"/>
      <c r="I2405" s="397"/>
      <c r="J2405" s="335"/>
      <c r="K2405" s="374">
        <f t="shared" si="101"/>
        <v>0</v>
      </c>
      <c r="L2405" s="338">
        <f t="shared" si="100"/>
        <v>0</v>
      </c>
      <c r="M2405" s="338"/>
      <c r="N2405" s="335"/>
      <c r="O2405" s="335"/>
      <c r="P2405" s="335"/>
      <c r="Q2405" s="335"/>
      <c r="R2405" s="1158"/>
      <c r="S2405" s="291"/>
      <c r="T2405" s="291"/>
      <c r="U2405" s="291"/>
      <c r="V2405" s="291"/>
    </row>
    <row r="2406" spans="1:22" s="515" customFormat="1" ht="27" customHeight="1">
      <c r="A2406" s="331">
        <v>62</v>
      </c>
      <c r="B2406" s="506" t="s">
        <v>2793</v>
      </c>
      <c r="C2406" s="584" t="s">
        <v>2932</v>
      </c>
      <c r="D2406" s="1370">
        <v>1391</v>
      </c>
      <c r="E2406" s="475"/>
      <c r="F2406" s="1139"/>
      <c r="G2406" s="386"/>
      <c r="H2406" s="363"/>
      <c r="I2406" s="397"/>
      <c r="J2406" s="335"/>
      <c r="K2406" s="374">
        <f t="shared" si="101"/>
        <v>0</v>
      </c>
      <c r="L2406" s="338">
        <f t="shared" si="100"/>
        <v>0</v>
      </c>
      <c r="M2406" s="338"/>
      <c r="N2406" s="335"/>
      <c r="O2406" s="335"/>
      <c r="P2406" s="335"/>
      <c r="Q2406" s="335"/>
      <c r="R2406" s="1158"/>
      <c r="S2406" s="291"/>
      <c r="T2406" s="291"/>
      <c r="U2406" s="291"/>
      <c r="V2406" s="291"/>
    </row>
    <row r="2407" spans="1:22" s="515" customFormat="1" ht="27" customHeight="1">
      <c r="A2407" s="331">
        <v>63</v>
      </c>
      <c r="B2407" s="506" t="s">
        <v>2793</v>
      </c>
      <c r="C2407" s="584" t="s">
        <v>2933</v>
      </c>
      <c r="D2407" s="1370">
        <v>1391</v>
      </c>
      <c r="E2407" s="475"/>
      <c r="F2407" s="1139"/>
      <c r="G2407" s="386"/>
      <c r="H2407" s="363"/>
      <c r="I2407" s="397"/>
      <c r="J2407" s="335"/>
      <c r="K2407" s="374">
        <f t="shared" si="101"/>
        <v>0</v>
      </c>
      <c r="L2407" s="338">
        <f t="shared" si="100"/>
        <v>0</v>
      </c>
      <c r="M2407" s="338"/>
      <c r="N2407" s="335"/>
      <c r="O2407" s="335"/>
      <c r="P2407" s="335"/>
      <c r="Q2407" s="335"/>
      <c r="R2407" s="1158"/>
      <c r="S2407" s="291"/>
      <c r="T2407" s="291"/>
      <c r="U2407" s="291"/>
      <c r="V2407" s="291"/>
    </row>
    <row r="2408" spans="1:22" s="515" customFormat="1" ht="27" customHeight="1">
      <c r="A2408" s="331">
        <v>64</v>
      </c>
      <c r="B2408" s="506" t="s">
        <v>2705</v>
      </c>
      <c r="C2408" s="584" t="s">
        <v>3164</v>
      </c>
      <c r="D2408" s="1368">
        <v>802.5</v>
      </c>
      <c r="E2408" s="475"/>
      <c r="F2408" s="1139"/>
      <c r="G2408" s="386"/>
      <c r="H2408" s="363"/>
      <c r="I2408" s="397"/>
      <c r="J2408" s="335"/>
      <c r="K2408" s="374">
        <f t="shared" si="101"/>
        <v>0</v>
      </c>
      <c r="L2408" s="338">
        <f t="shared" si="100"/>
        <v>0</v>
      </c>
      <c r="M2408" s="338"/>
      <c r="N2408" s="335"/>
      <c r="O2408" s="335"/>
      <c r="P2408" s="335"/>
      <c r="Q2408" s="335"/>
      <c r="R2408" s="1158"/>
      <c r="S2408" s="291"/>
      <c r="T2408" s="291"/>
      <c r="U2408" s="291"/>
      <c r="V2408" s="291"/>
    </row>
    <row r="2409" spans="1:22" s="515" customFormat="1" ht="27" customHeight="1">
      <c r="A2409" s="331">
        <v>65</v>
      </c>
      <c r="B2409" s="506" t="s">
        <v>2705</v>
      </c>
      <c r="C2409" s="584" t="s">
        <v>3165</v>
      </c>
      <c r="D2409" s="1368">
        <v>1712</v>
      </c>
      <c r="E2409" s="475"/>
      <c r="F2409" s="1139"/>
      <c r="G2409" s="386"/>
      <c r="H2409" s="363"/>
      <c r="I2409" s="397"/>
      <c r="J2409" s="335"/>
      <c r="K2409" s="374">
        <f t="shared" si="101"/>
        <v>0</v>
      </c>
      <c r="L2409" s="338">
        <f t="shared" si="100"/>
        <v>0</v>
      </c>
      <c r="M2409" s="338"/>
      <c r="N2409" s="335"/>
      <c r="O2409" s="335"/>
      <c r="P2409" s="335"/>
      <c r="Q2409" s="335"/>
      <c r="R2409" s="1158"/>
      <c r="S2409" s="291"/>
      <c r="T2409" s="291"/>
      <c r="U2409" s="291"/>
      <c r="V2409" s="291"/>
    </row>
    <row r="2410" spans="1:22" s="515" customFormat="1" ht="27" customHeight="1">
      <c r="A2410" s="331">
        <v>66</v>
      </c>
      <c r="B2410" s="506" t="s">
        <v>959</v>
      </c>
      <c r="C2410" s="584" t="s">
        <v>2936</v>
      </c>
      <c r="D2410" s="1370">
        <v>107</v>
      </c>
      <c r="E2410" s="475"/>
      <c r="F2410" s="1139"/>
      <c r="G2410" s="386"/>
      <c r="H2410" s="363"/>
      <c r="I2410" s="397"/>
      <c r="J2410" s="335"/>
      <c r="K2410" s="374">
        <f t="shared" si="101"/>
        <v>0</v>
      </c>
      <c r="L2410" s="338">
        <f t="shared" si="100"/>
        <v>0</v>
      </c>
      <c r="M2410" s="338"/>
      <c r="N2410" s="335"/>
      <c r="O2410" s="335"/>
      <c r="P2410" s="335"/>
      <c r="Q2410" s="335"/>
      <c r="R2410" s="1158"/>
      <c r="S2410" s="291"/>
      <c r="T2410" s="291"/>
      <c r="U2410" s="291"/>
      <c r="V2410" s="291"/>
    </row>
    <row r="2411" spans="1:22" s="515" customFormat="1" ht="27" customHeight="1">
      <c r="A2411" s="331">
        <v>67</v>
      </c>
      <c r="B2411" s="506" t="s">
        <v>959</v>
      </c>
      <c r="C2411" s="584" t="s">
        <v>2937</v>
      </c>
      <c r="D2411" s="1370">
        <v>107</v>
      </c>
      <c r="E2411" s="475"/>
      <c r="F2411" s="1139"/>
      <c r="G2411" s="386"/>
      <c r="H2411" s="363"/>
      <c r="I2411" s="397"/>
      <c r="J2411" s="335"/>
      <c r="K2411" s="374">
        <f t="shared" si="101"/>
        <v>0</v>
      </c>
      <c r="L2411" s="338">
        <f t="shared" ref="L2411:L2474" si="102">+J2411</f>
        <v>0</v>
      </c>
      <c r="M2411" s="338"/>
      <c r="N2411" s="335"/>
      <c r="O2411" s="335"/>
      <c r="P2411" s="335"/>
      <c r="Q2411" s="335"/>
      <c r="R2411" s="1158"/>
      <c r="S2411" s="291"/>
      <c r="T2411" s="291"/>
      <c r="U2411" s="291"/>
      <c r="V2411" s="291"/>
    </row>
    <row r="2412" spans="1:22" s="515" customFormat="1" ht="27" customHeight="1">
      <c r="A2412" s="331">
        <v>68</v>
      </c>
      <c r="B2412" s="506" t="s">
        <v>2794</v>
      </c>
      <c r="C2412" s="584" t="s">
        <v>2938</v>
      </c>
      <c r="D2412" s="1368">
        <v>2782</v>
      </c>
      <c r="E2412" s="475"/>
      <c r="F2412" s="1139"/>
      <c r="G2412" s="386"/>
      <c r="H2412" s="363"/>
      <c r="I2412" s="397"/>
      <c r="J2412" s="335"/>
      <c r="K2412" s="374">
        <f t="shared" si="101"/>
        <v>0</v>
      </c>
      <c r="L2412" s="338">
        <f t="shared" si="102"/>
        <v>0</v>
      </c>
      <c r="M2412" s="338"/>
      <c r="N2412" s="335"/>
      <c r="O2412" s="335"/>
      <c r="P2412" s="335"/>
      <c r="Q2412" s="335"/>
      <c r="R2412" s="1158"/>
      <c r="S2412" s="291"/>
      <c r="T2412" s="291"/>
      <c r="U2412" s="291"/>
      <c r="V2412" s="291"/>
    </row>
    <row r="2413" spans="1:22" s="515" customFormat="1" ht="27" customHeight="1">
      <c r="A2413" s="331">
        <v>69</v>
      </c>
      <c r="B2413" s="506" t="s">
        <v>2258</v>
      </c>
      <c r="C2413" s="584" t="s">
        <v>2939</v>
      </c>
      <c r="D2413" s="1368">
        <v>428</v>
      </c>
      <c r="E2413" s="475"/>
      <c r="F2413" s="1139"/>
      <c r="G2413" s="386"/>
      <c r="H2413" s="363"/>
      <c r="I2413" s="397"/>
      <c r="J2413" s="335"/>
      <c r="K2413" s="374">
        <f t="shared" si="101"/>
        <v>0</v>
      </c>
      <c r="L2413" s="338">
        <f t="shared" si="102"/>
        <v>0</v>
      </c>
      <c r="M2413" s="338"/>
      <c r="N2413" s="335"/>
      <c r="O2413" s="335"/>
      <c r="P2413" s="335"/>
      <c r="Q2413" s="335"/>
      <c r="R2413" s="1158"/>
      <c r="S2413" s="291"/>
      <c r="T2413" s="291"/>
      <c r="U2413" s="291"/>
      <c r="V2413" s="291"/>
    </row>
    <row r="2414" spans="1:22" s="515" customFormat="1" ht="27" customHeight="1">
      <c r="A2414" s="331">
        <v>70</v>
      </c>
      <c r="B2414" s="506" t="s">
        <v>2258</v>
      </c>
      <c r="C2414" s="584" t="s">
        <v>2940</v>
      </c>
      <c r="D2414" s="1370"/>
      <c r="E2414" s="475" t="s">
        <v>3506</v>
      </c>
      <c r="F2414" s="1139">
        <v>10</v>
      </c>
      <c r="G2414" s="386">
        <v>535</v>
      </c>
      <c r="H2414" s="363"/>
      <c r="I2414" s="397"/>
      <c r="J2414" s="335"/>
      <c r="K2414" s="374">
        <f t="shared" si="101"/>
        <v>61.738999999999997</v>
      </c>
      <c r="L2414" s="338">
        <f t="shared" si="102"/>
        <v>0</v>
      </c>
      <c r="M2414" s="338"/>
      <c r="N2414" s="335"/>
      <c r="O2414" s="335"/>
      <c r="P2414" s="335"/>
      <c r="Q2414" s="335"/>
      <c r="R2414" s="1158"/>
      <c r="S2414" s="291"/>
      <c r="T2414" s="291"/>
      <c r="U2414" s="291"/>
      <c r="V2414" s="291"/>
    </row>
    <row r="2415" spans="1:22" s="515" customFormat="1" ht="27" customHeight="1">
      <c r="A2415" s="331">
        <v>71</v>
      </c>
      <c r="B2415" s="506" t="s">
        <v>1716</v>
      </c>
      <c r="C2415" s="584" t="s">
        <v>2941</v>
      </c>
      <c r="D2415" s="1370">
        <v>1391</v>
      </c>
      <c r="E2415" s="475"/>
      <c r="F2415" s="1139"/>
      <c r="G2415" s="386"/>
      <c r="H2415" s="363"/>
      <c r="I2415" s="397"/>
      <c r="J2415" s="335"/>
      <c r="K2415" s="374">
        <f t="shared" si="101"/>
        <v>0</v>
      </c>
      <c r="L2415" s="338">
        <f t="shared" si="102"/>
        <v>0</v>
      </c>
      <c r="M2415" s="338"/>
      <c r="N2415" s="335"/>
      <c r="O2415" s="335"/>
      <c r="P2415" s="335"/>
      <c r="Q2415" s="335"/>
      <c r="R2415" s="1158"/>
      <c r="S2415" s="291"/>
      <c r="T2415" s="291"/>
      <c r="U2415" s="291"/>
      <c r="V2415" s="291"/>
    </row>
    <row r="2416" spans="1:22" s="515" customFormat="1" ht="27" customHeight="1">
      <c r="A2416" s="331">
        <v>72</v>
      </c>
      <c r="B2416" s="506" t="s">
        <v>1716</v>
      </c>
      <c r="C2416" s="584" t="s">
        <v>2942</v>
      </c>
      <c r="D2416" s="1370">
        <v>1391</v>
      </c>
      <c r="E2416" s="475"/>
      <c r="F2416" s="1139"/>
      <c r="G2416" s="386"/>
      <c r="H2416" s="363"/>
      <c r="I2416" s="397"/>
      <c r="J2416" s="335"/>
      <c r="K2416" s="374">
        <f t="shared" si="101"/>
        <v>0</v>
      </c>
      <c r="L2416" s="338">
        <f t="shared" si="102"/>
        <v>0</v>
      </c>
      <c r="M2416" s="338"/>
      <c r="N2416" s="335"/>
      <c r="O2416" s="335"/>
      <c r="P2416" s="335"/>
      <c r="Q2416" s="335"/>
      <c r="R2416" s="1158"/>
      <c r="S2416" s="291"/>
      <c r="T2416" s="291"/>
      <c r="U2416" s="291"/>
      <c r="V2416" s="291"/>
    </row>
    <row r="2417" spans="1:22" s="515" customFormat="1" ht="27" customHeight="1">
      <c r="A2417" s="331">
        <v>73</v>
      </c>
      <c r="B2417" s="506" t="s">
        <v>2599</v>
      </c>
      <c r="C2417" s="584" t="s">
        <v>2943</v>
      </c>
      <c r="D2417" s="1370">
        <v>2782</v>
      </c>
      <c r="E2417" s="475"/>
      <c r="F2417" s="1139"/>
      <c r="G2417" s="386"/>
      <c r="H2417" s="363"/>
      <c r="I2417" s="397"/>
      <c r="J2417" s="335"/>
      <c r="K2417" s="374">
        <f t="shared" si="101"/>
        <v>0</v>
      </c>
      <c r="L2417" s="338">
        <f t="shared" si="102"/>
        <v>0</v>
      </c>
      <c r="M2417" s="338"/>
      <c r="N2417" s="335"/>
      <c r="O2417" s="335"/>
      <c r="P2417" s="335"/>
      <c r="Q2417" s="335"/>
      <c r="R2417" s="1158"/>
      <c r="S2417" s="291"/>
      <c r="T2417" s="291"/>
      <c r="U2417" s="291"/>
      <c r="V2417" s="291"/>
    </row>
    <row r="2418" spans="1:22" s="515" customFormat="1" ht="27" customHeight="1">
      <c r="A2418" s="331">
        <v>74</v>
      </c>
      <c r="B2418" s="506" t="s">
        <v>2726</v>
      </c>
      <c r="C2418" s="584" t="s">
        <v>2944</v>
      </c>
      <c r="D2418" s="1370">
        <v>107</v>
      </c>
      <c r="E2418" s="475"/>
      <c r="F2418" s="1139"/>
      <c r="G2418" s="386"/>
      <c r="H2418" s="363"/>
      <c r="I2418" s="397"/>
      <c r="J2418" s="335"/>
      <c r="K2418" s="374">
        <f t="shared" si="101"/>
        <v>0</v>
      </c>
      <c r="L2418" s="338">
        <f t="shared" si="102"/>
        <v>0</v>
      </c>
      <c r="M2418" s="338"/>
      <c r="N2418" s="335"/>
      <c r="O2418" s="335"/>
      <c r="P2418" s="335"/>
      <c r="Q2418" s="335"/>
      <c r="R2418" s="1158"/>
      <c r="S2418" s="291"/>
      <c r="T2418" s="291"/>
      <c r="U2418" s="291"/>
      <c r="V2418" s="291"/>
    </row>
    <row r="2419" spans="1:22" s="515" customFormat="1" ht="27" customHeight="1">
      <c r="A2419" s="331">
        <v>75</v>
      </c>
      <c r="B2419" s="506" t="s">
        <v>3303</v>
      </c>
      <c r="C2419" s="584" t="s">
        <v>2945</v>
      </c>
      <c r="D2419" s="1370">
        <v>1391</v>
      </c>
      <c r="E2419" s="475"/>
      <c r="F2419" s="1139"/>
      <c r="G2419" s="386"/>
      <c r="H2419" s="363"/>
      <c r="I2419" s="397"/>
      <c r="J2419" s="335"/>
      <c r="K2419" s="374">
        <f t="shared" si="101"/>
        <v>0</v>
      </c>
      <c r="L2419" s="338">
        <f t="shared" si="102"/>
        <v>0</v>
      </c>
      <c r="M2419" s="338"/>
      <c r="N2419" s="335"/>
      <c r="O2419" s="335"/>
      <c r="P2419" s="335"/>
      <c r="Q2419" s="335"/>
      <c r="R2419" s="1158"/>
      <c r="S2419" s="291"/>
      <c r="T2419" s="291"/>
      <c r="U2419" s="291"/>
      <c r="V2419" s="291"/>
    </row>
    <row r="2420" spans="1:22" s="515" customFormat="1" ht="27" customHeight="1">
      <c r="A2420" s="331">
        <v>76</v>
      </c>
      <c r="B2420" s="506" t="s">
        <v>1717</v>
      </c>
      <c r="C2420" s="584" t="s">
        <v>2946</v>
      </c>
      <c r="D2420" s="1370">
        <v>2996</v>
      </c>
      <c r="E2420" s="475"/>
      <c r="F2420" s="1139"/>
      <c r="G2420" s="386"/>
      <c r="H2420" s="363"/>
      <c r="I2420" s="397"/>
      <c r="J2420" s="335"/>
      <c r="K2420" s="374">
        <f t="shared" si="101"/>
        <v>0</v>
      </c>
      <c r="L2420" s="338">
        <f t="shared" si="102"/>
        <v>0</v>
      </c>
      <c r="M2420" s="338"/>
      <c r="N2420" s="335"/>
      <c r="O2420" s="335"/>
      <c r="P2420" s="335"/>
      <c r="Q2420" s="335"/>
      <c r="R2420" s="1158"/>
      <c r="S2420" s="291"/>
      <c r="T2420" s="291"/>
      <c r="U2420" s="291"/>
      <c r="V2420" s="291"/>
    </row>
    <row r="2421" spans="1:22" s="515" customFormat="1" ht="27" customHeight="1">
      <c r="A2421" s="331">
        <v>77</v>
      </c>
      <c r="B2421" s="506" t="s">
        <v>1718</v>
      </c>
      <c r="C2421" s="584" t="s">
        <v>2947</v>
      </c>
      <c r="D2421" s="1370">
        <v>4173</v>
      </c>
      <c r="E2421" s="475"/>
      <c r="F2421" s="1139"/>
      <c r="G2421" s="386"/>
      <c r="H2421" s="363"/>
      <c r="I2421" s="397"/>
      <c r="J2421" s="335"/>
      <c r="K2421" s="374">
        <f t="shared" si="101"/>
        <v>0</v>
      </c>
      <c r="L2421" s="338">
        <f t="shared" si="102"/>
        <v>0</v>
      </c>
      <c r="M2421" s="338"/>
      <c r="N2421" s="335"/>
      <c r="O2421" s="335"/>
      <c r="P2421" s="335"/>
      <c r="Q2421" s="335"/>
      <c r="R2421" s="1158"/>
      <c r="S2421" s="291"/>
      <c r="T2421" s="291"/>
      <c r="U2421" s="291"/>
      <c r="V2421" s="291"/>
    </row>
    <row r="2422" spans="1:22" s="515" customFormat="1" ht="27" customHeight="1">
      <c r="A2422" s="331">
        <v>78</v>
      </c>
      <c r="B2422" s="506" t="s">
        <v>1719</v>
      </c>
      <c r="C2422" s="584" t="s">
        <v>2948</v>
      </c>
      <c r="D2422" s="1370">
        <v>2782</v>
      </c>
      <c r="E2422" s="475"/>
      <c r="F2422" s="1139"/>
      <c r="G2422" s="386"/>
      <c r="H2422" s="363"/>
      <c r="I2422" s="397"/>
      <c r="J2422" s="335"/>
      <c r="K2422" s="374">
        <f t="shared" si="101"/>
        <v>0</v>
      </c>
      <c r="L2422" s="338">
        <f t="shared" si="102"/>
        <v>0</v>
      </c>
      <c r="M2422" s="338"/>
      <c r="N2422" s="335"/>
      <c r="O2422" s="335"/>
      <c r="P2422" s="335"/>
      <c r="Q2422" s="335"/>
      <c r="R2422" s="1158"/>
      <c r="S2422" s="291"/>
      <c r="T2422" s="291"/>
      <c r="U2422" s="291"/>
      <c r="V2422" s="291"/>
    </row>
    <row r="2423" spans="1:22" s="515" customFormat="1" ht="27" customHeight="1">
      <c r="A2423" s="331">
        <v>79</v>
      </c>
      <c r="B2423" s="506" t="s">
        <v>2708</v>
      </c>
      <c r="C2423" s="584" t="s">
        <v>3166</v>
      </c>
      <c r="D2423" s="1370">
        <v>3210</v>
      </c>
      <c r="E2423" s="475"/>
      <c r="F2423" s="1139"/>
      <c r="G2423" s="386"/>
      <c r="H2423" s="363"/>
      <c r="I2423" s="397"/>
      <c r="J2423" s="335"/>
      <c r="K2423" s="374">
        <f t="shared" si="101"/>
        <v>0</v>
      </c>
      <c r="L2423" s="338">
        <f t="shared" si="102"/>
        <v>0</v>
      </c>
      <c r="M2423" s="338"/>
      <c r="N2423" s="335"/>
      <c r="O2423" s="335"/>
      <c r="P2423" s="335"/>
      <c r="Q2423" s="335"/>
      <c r="R2423" s="1158"/>
      <c r="S2423" s="291"/>
      <c r="T2423" s="291"/>
      <c r="U2423" s="291"/>
      <c r="V2423" s="291"/>
    </row>
    <row r="2424" spans="1:22" s="515" customFormat="1" ht="27" customHeight="1">
      <c r="A2424" s="331">
        <v>80</v>
      </c>
      <c r="B2424" s="506" t="s">
        <v>2107</v>
      </c>
      <c r="C2424" s="584" t="s">
        <v>2236</v>
      </c>
      <c r="D2424" s="1370"/>
      <c r="E2424" s="475" t="s">
        <v>3416</v>
      </c>
      <c r="F2424" s="1139">
        <v>1</v>
      </c>
      <c r="G2424" s="386">
        <v>107</v>
      </c>
      <c r="H2424" s="363"/>
      <c r="I2424" s="397"/>
      <c r="J2424" s="335"/>
      <c r="K2424" s="374">
        <f t="shared" si="101"/>
        <v>12.347799999999999</v>
      </c>
      <c r="L2424" s="338">
        <f t="shared" si="102"/>
        <v>0</v>
      </c>
      <c r="M2424" s="338"/>
      <c r="N2424" s="335"/>
      <c r="O2424" s="335"/>
      <c r="P2424" s="335"/>
      <c r="Q2424" s="335"/>
      <c r="R2424" s="1158"/>
      <c r="S2424" s="291"/>
      <c r="T2424" s="291"/>
      <c r="U2424" s="291"/>
      <c r="V2424" s="291"/>
    </row>
    <row r="2425" spans="1:22" s="515" customFormat="1" ht="27" customHeight="1">
      <c r="A2425" s="331">
        <v>81</v>
      </c>
      <c r="B2425" s="506" t="s">
        <v>3510</v>
      </c>
      <c r="C2425" s="584" t="s">
        <v>1114</v>
      </c>
      <c r="D2425" s="1370"/>
      <c r="E2425" s="475" t="s">
        <v>3416</v>
      </c>
      <c r="F2425" s="1139">
        <v>1</v>
      </c>
      <c r="G2425" s="386">
        <v>53.5</v>
      </c>
      <c r="H2425" s="363"/>
      <c r="I2425" s="397"/>
      <c r="J2425" s="335"/>
      <c r="K2425" s="374">
        <f t="shared" si="101"/>
        <v>6.1738999999999997</v>
      </c>
      <c r="L2425" s="338">
        <f t="shared" si="102"/>
        <v>0</v>
      </c>
      <c r="M2425" s="338"/>
      <c r="N2425" s="335"/>
      <c r="O2425" s="335"/>
      <c r="P2425" s="335"/>
      <c r="Q2425" s="335"/>
      <c r="R2425" s="1158"/>
      <c r="S2425" s="291"/>
      <c r="T2425" s="291"/>
      <c r="U2425" s="291"/>
      <c r="V2425" s="291"/>
    </row>
    <row r="2426" spans="1:22" s="515" customFormat="1" ht="27" customHeight="1">
      <c r="A2426" s="331">
        <v>82</v>
      </c>
      <c r="B2426" s="506" t="s">
        <v>2795</v>
      </c>
      <c r="C2426" s="584" t="s">
        <v>1527</v>
      </c>
      <c r="D2426" s="1370">
        <v>64.2</v>
      </c>
      <c r="E2426" s="475"/>
      <c r="F2426" s="1139"/>
      <c r="G2426" s="386"/>
      <c r="H2426" s="363"/>
      <c r="I2426" s="397"/>
      <c r="J2426" s="335"/>
      <c r="K2426" s="374">
        <f t="shared" si="101"/>
        <v>0</v>
      </c>
      <c r="L2426" s="338">
        <f t="shared" si="102"/>
        <v>0</v>
      </c>
      <c r="M2426" s="338"/>
      <c r="N2426" s="335"/>
      <c r="O2426" s="335"/>
      <c r="P2426" s="335"/>
      <c r="Q2426" s="335"/>
      <c r="R2426" s="1158"/>
      <c r="S2426" s="291"/>
      <c r="T2426" s="291"/>
      <c r="U2426" s="291"/>
      <c r="V2426" s="291"/>
    </row>
    <row r="2427" spans="1:22" s="515" customFormat="1" ht="27" customHeight="1">
      <c r="A2427" s="331">
        <v>83</v>
      </c>
      <c r="B2427" s="506" t="s">
        <v>3075</v>
      </c>
      <c r="C2427" s="584" t="s">
        <v>776</v>
      </c>
      <c r="D2427" s="1370"/>
      <c r="E2427" s="475" t="s">
        <v>3416</v>
      </c>
      <c r="F2427" s="1139">
        <v>1</v>
      </c>
      <c r="G2427" s="386">
        <v>32.1</v>
      </c>
      <c r="H2427" s="363"/>
      <c r="I2427" s="397"/>
      <c r="J2427" s="335"/>
      <c r="K2427" s="374">
        <f t="shared" ref="K2427:K2490" si="103">G2427*11.54/100</f>
        <v>3.7043399999999997</v>
      </c>
      <c r="L2427" s="338">
        <f t="shared" si="102"/>
        <v>0</v>
      </c>
      <c r="M2427" s="338"/>
      <c r="N2427" s="335"/>
      <c r="O2427" s="335"/>
      <c r="P2427" s="335"/>
      <c r="Q2427" s="335"/>
      <c r="R2427" s="1158"/>
      <c r="S2427" s="291"/>
      <c r="T2427" s="291"/>
      <c r="U2427" s="291"/>
      <c r="V2427" s="291"/>
    </row>
    <row r="2428" spans="1:22" s="515" customFormat="1" ht="27" customHeight="1">
      <c r="A2428" s="331">
        <v>84</v>
      </c>
      <c r="B2428" s="506" t="s">
        <v>2796</v>
      </c>
      <c r="C2428" s="584" t="s">
        <v>1528</v>
      </c>
      <c r="D2428" s="1370">
        <v>107</v>
      </c>
      <c r="E2428" s="475"/>
      <c r="F2428" s="1139"/>
      <c r="G2428" s="386"/>
      <c r="H2428" s="363"/>
      <c r="I2428" s="397"/>
      <c r="J2428" s="335"/>
      <c r="K2428" s="374">
        <f t="shared" si="103"/>
        <v>0</v>
      </c>
      <c r="L2428" s="338">
        <f t="shared" si="102"/>
        <v>0</v>
      </c>
      <c r="M2428" s="338"/>
      <c r="N2428" s="335"/>
      <c r="O2428" s="335"/>
      <c r="P2428" s="335"/>
      <c r="Q2428" s="335"/>
      <c r="R2428" s="1158"/>
      <c r="S2428" s="291"/>
      <c r="T2428" s="291"/>
      <c r="U2428" s="291"/>
      <c r="V2428" s="291"/>
    </row>
    <row r="2429" spans="1:22" s="515" customFormat="1" ht="27" customHeight="1">
      <c r="A2429" s="331">
        <v>85</v>
      </c>
      <c r="B2429" s="506" t="s">
        <v>3356</v>
      </c>
      <c r="C2429" s="584" t="s">
        <v>863</v>
      </c>
      <c r="D2429" s="1370"/>
      <c r="E2429" s="475" t="s">
        <v>3416</v>
      </c>
      <c r="F2429" s="1139">
        <v>1</v>
      </c>
      <c r="G2429" s="386">
        <v>53.5</v>
      </c>
      <c r="H2429" s="363"/>
      <c r="I2429" s="397"/>
      <c r="J2429" s="335"/>
      <c r="K2429" s="374">
        <f t="shared" si="103"/>
        <v>6.1738999999999997</v>
      </c>
      <c r="L2429" s="338">
        <f t="shared" si="102"/>
        <v>0</v>
      </c>
      <c r="M2429" s="338"/>
      <c r="N2429" s="335"/>
      <c r="O2429" s="335"/>
      <c r="P2429" s="335"/>
      <c r="Q2429" s="335"/>
      <c r="R2429" s="1158"/>
      <c r="S2429" s="291"/>
      <c r="T2429" s="291"/>
      <c r="U2429" s="291"/>
      <c r="V2429" s="291"/>
    </row>
    <row r="2430" spans="1:22" s="515" customFormat="1" ht="27" customHeight="1">
      <c r="A2430" s="331">
        <v>86</v>
      </c>
      <c r="B2430" s="506" t="s">
        <v>1518</v>
      </c>
      <c r="C2430" s="584" t="s">
        <v>3372</v>
      </c>
      <c r="D2430" s="475"/>
      <c r="E2430" s="475"/>
      <c r="F2430" s="1139"/>
      <c r="G2430" s="386"/>
      <c r="H2430" s="363" t="s">
        <v>3600</v>
      </c>
      <c r="I2430" s="397">
        <v>23</v>
      </c>
      <c r="J2430" s="335">
        <v>11074.5</v>
      </c>
      <c r="K2430" s="374">
        <f t="shared" si="103"/>
        <v>0</v>
      </c>
      <c r="L2430" s="338">
        <f t="shared" si="102"/>
        <v>11074.5</v>
      </c>
      <c r="M2430" s="338"/>
      <c r="N2430" s="335"/>
      <c r="O2430" s="335"/>
      <c r="P2430" s="335"/>
      <c r="Q2430" s="335"/>
      <c r="R2430" s="1158"/>
      <c r="S2430" s="291"/>
      <c r="T2430" s="291"/>
      <c r="U2430" s="291"/>
      <c r="V2430" s="291"/>
    </row>
    <row r="2431" spans="1:22" s="515" customFormat="1" ht="27" customHeight="1">
      <c r="A2431" s="331">
        <v>87</v>
      </c>
      <c r="B2431" s="506" t="s">
        <v>2967</v>
      </c>
      <c r="C2431" s="584" t="s">
        <v>3373</v>
      </c>
      <c r="D2431" s="475">
        <v>1391</v>
      </c>
      <c r="E2431" s="475"/>
      <c r="F2431" s="1139"/>
      <c r="G2431" s="386"/>
      <c r="H2431" s="363"/>
      <c r="I2431" s="397"/>
      <c r="J2431" s="335"/>
      <c r="K2431" s="374">
        <f t="shared" si="103"/>
        <v>0</v>
      </c>
      <c r="L2431" s="338">
        <f t="shared" si="102"/>
        <v>0</v>
      </c>
      <c r="M2431" s="338"/>
      <c r="N2431" s="335"/>
      <c r="O2431" s="335"/>
      <c r="P2431" s="335"/>
      <c r="Q2431" s="335"/>
      <c r="R2431" s="1158"/>
      <c r="S2431" s="291"/>
      <c r="T2431" s="291"/>
      <c r="U2431" s="291"/>
      <c r="V2431" s="291"/>
    </row>
    <row r="2432" spans="1:22" s="515" customFormat="1" ht="27" customHeight="1">
      <c r="A2432" s="331">
        <v>88</v>
      </c>
      <c r="B2432" s="506" t="s">
        <v>3204</v>
      </c>
      <c r="C2432" s="584" t="s">
        <v>3374</v>
      </c>
      <c r="D2432" s="475"/>
      <c r="E2432" s="475"/>
      <c r="F2432" s="1139"/>
      <c r="G2432" s="386"/>
      <c r="H2432" s="363" t="s">
        <v>3600</v>
      </c>
      <c r="I2432" s="397">
        <v>23</v>
      </c>
      <c r="J2432" s="335">
        <v>2461</v>
      </c>
      <c r="K2432" s="374">
        <f t="shared" si="103"/>
        <v>0</v>
      </c>
      <c r="L2432" s="338">
        <f t="shared" si="102"/>
        <v>2461</v>
      </c>
      <c r="M2432" s="338"/>
      <c r="N2432" s="335"/>
      <c r="O2432" s="335"/>
      <c r="P2432" s="335"/>
      <c r="Q2432" s="335"/>
      <c r="R2432" s="1158"/>
      <c r="S2432" s="291"/>
      <c r="T2432" s="291"/>
      <c r="U2432" s="291"/>
      <c r="V2432" s="291"/>
    </row>
    <row r="2433" spans="1:22" s="515" customFormat="1" ht="27" customHeight="1">
      <c r="A2433" s="331">
        <v>89</v>
      </c>
      <c r="B2433" s="506" t="s">
        <v>3276</v>
      </c>
      <c r="C2433" s="584" t="s">
        <v>3375</v>
      </c>
      <c r="D2433" s="382">
        <v>695.5</v>
      </c>
      <c r="E2433" s="475"/>
      <c r="F2433" s="1139"/>
      <c r="G2433" s="386"/>
      <c r="H2433" s="363"/>
      <c r="I2433" s="397"/>
      <c r="J2433" s="335"/>
      <c r="K2433" s="374">
        <f t="shared" si="103"/>
        <v>0</v>
      </c>
      <c r="L2433" s="338">
        <f t="shared" si="102"/>
        <v>0</v>
      </c>
      <c r="M2433" s="338"/>
      <c r="N2433" s="335"/>
      <c r="O2433" s="335"/>
      <c r="P2433" s="335"/>
      <c r="Q2433" s="335"/>
      <c r="R2433" s="1158"/>
      <c r="S2433" s="291"/>
      <c r="T2433" s="291"/>
      <c r="U2433" s="291"/>
      <c r="V2433" s="291"/>
    </row>
    <row r="2434" spans="1:22" s="515" customFormat="1" ht="27" customHeight="1">
      <c r="A2434" s="331">
        <v>90</v>
      </c>
      <c r="B2434" s="506" t="s">
        <v>3278</v>
      </c>
      <c r="C2434" s="584" t="s">
        <v>3376</v>
      </c>
      <c r="D2434" s="382">
        <v>695.5</v>
      </c>
      <c r="E2434" s="475"/>
      <c r="F2434" s="1139"/>
      <c r="G2434" s="386"/>
      <c r="H2434" s="363"/>
      <c r="I2434" s="397"/>
      <c r="J2434" s="335"/>
      <c r="K2434" s="374">
        <f t="shared" si="103"/>
        <v>0</v>
      </c>
      <c r="L2434" s="338">
        <f t="shared" si="102"/>
        <v>0</v>
      </c>
      <c r="M2434" s="338"/>
      <c r="N2434" s="335"/>
      <c r="O2434" s="335"/>
      <c r="P2434" s="335"/>
      <c r="Q2434" s="335"/>
      <c r="R2434" s="1158"/>
      <c r="S2434" s="291"/>
      <c r="T2434" s="291"/>
      <c r="U2434" s="291"/>
      <c r="V2434" s="291"/>
    </row>
    <row r="2435" spans="1:22" s="515" customFormat="1" ht="27" customHeight="1">
      <c r="A2435" s="331">
        <v>91</v>
      </c>
      <c r="B2435" s="506" t="s">
        <v>3280</v>
      </c>
      <c r="C2435" s="584" t="s">
        <v>3377</v>
      </c>
      <c r="D2435" s="382">
        <v>695.5</v>
      </c>
      <c r="E2435" s="475"/>
      <c r="F2435" s="1139"/>
      <c r="G2435" s="386"/>
      <c r="H2435" s="363"/>
      <c r="I2435" s="397"/>
      <c r="J2435" s="335"/>
      <c r="K2435" s="374">
        <f t="shared" si="103"/>
        <v>0</v>
      </c>
      <c r="L2435" s="338">
        <f t="shared" si="102"/>
        <v>0</v>
      </c>
      <c r="M2435" s="338"/>
      <c r="N2435" s="335"/>
      <c r="O2435" s="335"/>
      <c r="P2435" s="335"/>
      <c r="Q2435" s="335"/>
      <c r="R2435" s="1158"/>
      <c r="S2435" s="291"/>
      <c r="T2435" s="291"/>
      <c r="U2435" s="291"/>
      <c r="V2435" s="291"/>
    </row>
    <row r="2436" spans="1:22" s="515" customFormat="1" ht="27" customHeight="1">
      <c r="A2436" s="331">
        <v>92</v>
      </c>
      <c r="B2436" s="506" t="s">
        <v>3281</v>
      </c>
      <c r="C2436" s="584" t="s">
        <v>3601</v>
      </c>
      <c r="D2436" s="475"/>
      <c r="E2436" s="475"/>
      <c r="F2436" s="1139"/>
      <c r="G2436" s="386"/>
      <c r="H2436" s="363" t="s">
        <v>3600</v>
      </c>
      <c r="I2436" s="397">
        <v>23</v>
      </c>
      <c r="J2436" s="335">
        <v>4922</v>
      </c>
      <c r="K2436" s="374">
        <f t="shared" si="103"/>
        <v>0</v>
      </c>
      <c r="L2436" s="338">
        <f t="shared" si="102"/>
        <v>4922</v>
      </c>
      <c r="M2436" s="338"/>
      <c r="N2436" s="335"/>
      <c r="O2436" s="335"/>
      <c r="P2436" s="335"/>
      <c r="Q2436" s="335"/>
      <c r="R2436" s="1158"/>
      <c r="S2436" s="291"/>
      <c r="T2436" s="291"/>
      <c r="U2436" s="291"/>
      <c r="V2436" s="291"/>
    </row>
    <row r="2437" spans="1:22" s="515" customFormat="1" ht="27" customHeight="1">
      <c r="A2437" s="331">
        <v>93</v>
      </c>
      <c r="B2437" s="506" t="s">
        <v>3283</v>
      </c>
      <c r="C2437" s="584" t="s">
        <v>3378</v>
      </c>
      <c r="D2437" s="475">
        <v>695.5</v>
      </c>
      <c r="E2437" s="475"/>
      <c r="F2437" s="1139"/>
      <c r="G2437" s="386"/>
      <c r="H2437" s="363"/>
      <c r="I2437" s="397"/>
      <c r="J2437" s="335"/>
      <c r="K2437" s="374">
        <f t="shared" si="103"/>
        <v>0</v>
      </c>
      <c r="L2437" s="338">
        <f t="shared" si="102"/>
        <v>0</v>
      </c>
      <c r="M2437" s="338"/>
      <c r="N2437" s="335"/>
      <c r="O2437" s="335"/>
      <c r="P2437" s="335"/>
      <c r="Q2437" s="335"/>
      <c r="R2437" s="1158"/>
      <c r="S2437" s="291"/>
      <c r="T2437" s="291"/>
      <c r="U2437" s="291"/>
      <c r="V2437" s="291"/>
    </row>
    <row r="2438" spans="1:22" s="515" customFormat="1" ht="27" customHeight="1">
      <c r="A2438" s="331">
        <v>94</v>
      </c>
      <c r="B2438" s="506" t="s">
        <v>3379</v>
      </c>
      <c r="C2438" s="584" t="s">
        <v>3380</v>
      </c>
      <c r="D2438" s="475">
        <v>695.5</v>
      </c>
      <c r="E2438" s="475"/>
      <c r="F2438" s="1139"/>
      <c r="G2438" s="386"/>
      <c r="H2438" s="363"/>
      <c r="I2438" s="397"/>
      <c r="J2438" s="335"/>
      <c r="K2438" s="374">
        <f t="shared" si="103"/>
        <v>0</v>
      </c>
      <c r="L2438" s="338">
        <f t="shared" si="102"/>
        <v>0</v>
      </c>
      <c r="M2438" s="338"/>
      <c r="N2438" s="335"/>
      <c r="O2438" s="335"/>
      <c r="P2438" s="335"/>
      <c r="Q2438" s="335"/>
      <c r="R2438" s="1158"/>
      <c r="S2438" s="291"/>
      <c r="T2438" s="291"/>
      <c r="U2438" s="291"/>
      <c r="V2438" s="291"/>
    </row>
    <row r="2439" spans="1:22" s="515" customFormat="1" ht="27" customHeight="1">
      <c r="A2439" s="331">
        <v>95</v>
      </c>
      <c r="B2439" s="506" t="s">
        <v>2841</v>
      </c>
      <c r="C2439" s="584" t="s">
        <v>3381</v>
      </c>
      <c r="D2439" s="475"/>
      <c r="E2439" s="475"/>
      <c r="F2439" s="1139"/>
      <c r="G2439" s="386"/>
      <c r="H2439" s="363" t="s">
        <v>3600</v>
      </c>
      <c r="I2439" s="397">
        <v>23</v>
      </c>
      <c r="J2439" s="335">
        <v>4922</v>
      </c>
      <c r="K2439" s="374">
        <f t="shared" si="103"/>
        <v>0</v>
      </c>
      <c r="L2439" s="338">
        <f t="shared" si="102"/>
        <v>4922</v>
      </c>
      <c r="M2439" s="338"/>
      <c r="N2439" s="335"/>
      <c r="O2439" s="335"/>
      <c r="P2439" s="335"/>
      <c r="Q2439" s="335"/>
      <c r="R2439" s="1158"/>
      <c r="S2439" s="291"/>
      <c r="T2439" s="291"/>
      <c r="U2439" s="291"/>
      <c r="V2439" s="291"/>
    </row>
    <row r="2440" spans="1:22" s="515" customFormat="1" ht="27" customHeight="1">
      <c r="A2440" s="331">
        <v>96</v>
      </c>
      <c r="B2440" s="506" t="s">
        <v>3310</v>
      </c>
      <c r="C2440" s="584" t="s">
        <v>3602</v>
      </c>
      <c r="D2440" s="475"/>
      <c r="E2440" s="475"/>
      <c r="F2440" s="1139"/>
      <c r="G2440" s="386"/>
      <c r="H2440" s="363" t="s">
        <v>3600</v>
      </c>
      <c r="I2440" s="397">
        <v>23</v>
      </c>
      <c r="J2440" s="335">
        <v>1230.5</v>
      </c>
      <c r="K2440" s="374">
        <f t="shared" si="103"/>
        <v>0</v>
      </c>
      <c r="L2440" s="338">
        <f t="shared" si="102"/>
        <v>1230.5</v>
      </c>
      <c r="M2440" s="338"/>
      <c r="N2440" s="335"/>
      <c r="O2440" s="335"/>
      <c r="P2440" s="335"/>
      <c r="Q2440" s="335"/>
      <c r="R2440" s="1158"/>
      <c r="S2440" s="291"/>
      <c r="T2440" s="291"/>
      <c r="U2440" s="291"/>
      <c r="V2440" s="291"/>
    </row>
    <row r="2441" spans="1:22" s="515" customFormat="1" ht="27" customHeight="1">
      <c r="A2441" s="331">
        <v>97</v>
      </c>
      <c r="B2441" s="506" t="s">
        <v>2843</v>
      </c>
      <c r="C2441" s="584" t="s">
        <v>3603</v>
      </c>
      <c r="D2441" s="475"/>
      <c r="E2441" s="475"/>
      <c r="F2441" s="1139"/>
      <c r="G2441" s="386"/>
      <c r="H2441" s="363" t="s">
        <v>3600</v>
      </c>
      <c r="I2441" s="397">
        <v>23</v>
      </c>
      <c r="J2441" s="335">
        <v>2461</v>
      </c>
      <c r="K2441" s="374">
        <f t="shared" si="103"/>
        <v>0</v>
      </c>
      <c r="L2441" s="338">
        <f t="shared" si="102"/>
        <v>2461</v>
      </c>
      <c r="M2441" s="338"/>
      <c r="N2441" s="335"/>
      <c r="O2441" s="335"/>
      <c r="P2441" s="335"/>
      <c r="Q2441" s="335"/>
      <c r="R2441" s="1158"/>
      <c r="S2441" s="291"/>
      <c r="T2441" s="291"/>
      <c r="U2441" s="291"/>
      <c r="V2441" s="291"/>
    </row>
    <row r="2442" spans="1:22" s="515" customFormat="1" ht="27" customHeight="1">
      <c r="A2442" s="331">
        <v>98</v>
      </c>
      <c r="B2442" s="506" t="s">
        <v>3286</v>
      </c>
      <c r="C2442" s="584" t="s">
        <v>3383</v>
      </c>
      <c r="D2442" s="335">
        <v>1391</v>
      </c>
      <c r="E2442" s="475"/>
      <c r="F2442" s="1139"/>
      <c r="G2442" s="386"/>
      <c r="H2442" s="363"/>
      <c r="I2442" s="397"/>
      <c r="J2442" s="335"/>
      <c r="K2442" s="374">
        <f t="shared" si="103"/>
        <v>0</v>
      </c>
      <c r="L2442" s="338">
        <f t="shared" si="102"/>
        <v>0</v>
      </c>
      <c r="M2442" s="338"/>
      <c r="N2442" s="335"/>
      <c r="O2442" s="335"/>
      <c r="P2442" s="335"/>
      <c r="Q2442" s="335"/>
      <c r="R2442" s="1158"/>
      <c r="S2442" s="291"/>
      <c r="T2442" s="291"/>
      <c r="U2442" s="291"/>
      <c r="V2442" s="291"/>
    </row>
    <row r="2443" spans="1:22" s="515" customFormat="1" ht="27" customHeight="1">
      <c r="A2443" s="331">
        <v>99</v>
      </c>
      <c r="B2443" s="506" t="s">
        <v>1516</v>
      </c>
      <c r="C2443" s="584" t="s">
        <v>3384</v>
      </c>
      <c r="D2443" s="475">
        <v>695.5</v>
      </c>
      <c r="E2443" s="475"/>
      <c r="F2443" s="1139"/>
      <c r="G2443" s="386"/>
      <c r="H2443" s="363"/>
      <c r="I2443" s="397"/>
      <c r="J2443" s="335"/>
      <c r="K2443" s="374">
        <f t="shared" si="103"/>
        <v>0</v>
      </c>
      <c r="L2443" s="338">
        <f t="shared" si="102"/>
        <v>0</v>
      </c>
      <c r="M2443" s="338"/>
      <c r="N2443" s="335"/>
      <c r="O2443" s="335"/>
      <c r="P2443" s="335"/>
      <c r="Q2443" s="335"/>
      <c r="R2443" s="1158"/>
      <c r="S2443" s="291"/>
      <c r="T2443" s="291"/>
      <c r="U2443" s="291"/>
      <c r="V2443" s="291"/>
    </row>
    <row r="2444" spans="1:22" s="515" customFormat="1" ht="27" customHeight="1">
      <c r="A2444" s="331">
        <v>100</v>
      </c>
      <c r="B2444" s="506" t="s">
        <v>2731</v>
      </c>
      <c r="C2444" s="584" t="s">
        <v>3287</v>
      </c>
      <c r="D2444" s="475">
        <v>695.5</v>
      </c>
      <c r="E2444" s="475"/>
      <c r="F2444" s="1139"/>
      <c r="G2444" s="386"/>
      <c r="H2444" s="363"/>
      <c r="I2444" s="397"/>
      <c r="J2444" s="335"/>
      <c r="K2444" s="374">
        <f t="shared" si="103"/>
        <v>0</v>
      </c>
      <c r="L2444" s="338">
        <f t="shared" si="102"/>
        <v>0</v>
      </c>
      <c r="M2444" s="338"/>
      <c r="N2444" s="335"/>
      <c r="O2444" s="335"/>
      <c r="P2444" s="335"/>
      <c r="Q2444" s="335"/>
      <c r="R2444" s="1158"/>
      <c r="S2444" s="291"/>
      <c r="T2444" s="291"/>
      <c r="U2444" s="291"/>
      <c r="V2444" s="291"/>
    </row>
    <row r="2445" spans="1:22" s="515" customFormat="1" ht="27" customHeight="1">
      <c r="A2445" s="331">
        <v>101</v>
      </c>
      <c r="B2445" s="506" t="s">
        <v>2121</v>
      </c>
      <c r="C2445" s="584" t="s">
        <v>2311</v>
      </c>
      <c r="D2445" s="475">
        <v>1819</v>
      </c>
      <c r="E2445" s="475"/>
      <c r="F2445" s="1139"/>
      <c r="G2445" s="386"/>
      <c r="H2445" s="363"/>
      <c r="I2445" s="397"/>
      <c r="J2445" s="335"/>
      <c r="K2445" s="374">
        <f t="shared" si="103"/>
        <v>0</v>
      </c>
      <c r="L2445" s="338">
        <f t="shared" si="102"/>
        <v>0</v>
      </c>
      <c r="M2445" s="338"/>
      <c r="N2445" s="335"/>
      <c r="O2445" s="335"/>
      <c r="P2445" s="335"/>
      <c r="Q2445" s="335"/>
      <c r="R2445" s="1158"/>
      <c r="S2445" s="291"/>
      <c r="T2445" s="291"/>
      <c r="U2445" s="291"/>
      <c r="V2445" s="291"/>
    </row>
    <row r="2446" spans="1:22" s="515" customFormat="1" ht="27" customHeight="1">
      <c r="A2446" s="331">
        <v>102</v>
      </c>
      <c r="B2446" s="506" t="s">
        <v>2122</v>
      </c>
      <c r="C2446" s="584" t="s">
        <v>2312</v>
      </c>
      <c r="D2446" s="475">
        <v>1819</v>
      </c>
      <c r="E2446" s="475"/>
      <c r="F2446" s="1139"/>
      <c r="G2446" s="386"/>
      <c r="H2446" s="363"/>
      <c r="I2446" s="397"/>
      <c r="J2446" s="335"/>
      <c r="K2446" s="374">
        <f t="shared" si="103"/>
        <v>0</v>
      </c>
      <c r="L2446" s="338">
        <f t="shared" si="102"/>
        <v>0</v>
      </c>
      <c r="M2446" s="338"/>
      <c r="N2446" s="335"/>
      <c r="O2446" s="335"/>
      <c r="P2446" s="335"/>
      <c r="Q2446" s="335"/>
      <c r="R2446" s="1158"/>
      <c r="S2446" s="291"/>
      <c r="T2446" s="291"/>
      <c r="U2446" s="291"/>
      <c r="V2446" s="291"/>
    </row>
    <row r="2447" spans="1:22" s="515" customFormat="1" ht="27" customHeight="1">
      <c r="A2447" s="331">
        <v>103</v>
      </c>
      <c r="B2447" s="506" t="s">
        <v>2121</v>
      </c>
      <c r="C2447" s="584" t="s">
        <v>2313</v>
      </c>
      <c r="D2447" s="475">
        <v>1819</v>
      </c>
      <c r="E2447" s="475"/>
      <c r="F2447" s="1139"/>
      <c r="G2447" s="386"/>
      <c r="H2447" s="363"/>
      <c r="I2447" s="397"/>
      <c r="J2447" s="335"/>
      <c r="K2447" s="374">
        <f t="shared" si="103"/>
        <v>0</v>
      </c>
      <c r="L2447" s="338">
        <f t="shared" si="102"/>
        <v>0</v>
      </c>
      <c r="M2447" s="338"/>
      <c r="N2447" s="335"/>
      <c r="O2447" s="335"/>
      <c r="P2447" s="335"/>
      <c r="Q2447" s="335"/>
      <c r="R2447" s="1158"/>
      <c r="S2447" s="291"/>
      <c r="T2447" s="291"/>
      <c r="U2447" s="291"/>
      <c r="V2447" s="291"/>
    </row>
    <row r="2448" spans="1:22" s="515" customFormat="1" ht="27" customHeight="1">
      <c r="A2448" s="331">
        <v>104</v>
      </c>
      <c r="B2448" s="506" t="s">
        <v>2122</v>
      </c>
      <c r="C2448" s="584" t="s">
        <v>2314</v>
      </c>
      <c r="D2448" s="475">
        <v>1819</v>
      </c>
      <c r="E2448" s="475"/>
      <c r="F2448" s="1139"/>
      <c r="G2448" s="386"/>
      <c r="H2448" s="363"/>
      <c r="I2448" s="397"/>
      <c r="J2448" s="335"/>
      <c r="K2448" s="374">
        <f t="shared" si="103"/>
        <v>0</v>
      </c>
      <c r="L2448" s="338">
        <f t="shared" si="102"/>
        <v>0</v>
      </c>
      <c r="M2448" s="338"/>
      <c r="N2448" s="335"/>
      <c r="O2448" s="335"/>
      <c r="P2448" s="335"/>
      <c r="Q2448" s="335"/>
      <c r="R2448" s="1158"/>
      <c r="S2448" s="291"/>
      <c r="T2448" s="291"/>
      <c r="U2448" s="291"/>
      <c r="V2448" s="291"/>
    </row>
    <row r="2449" spans="1:22" s="515" customFormat="1" ht="27" customHeight="1">
      <c r="A2449" s="331">
        <v>105</v>
      </c>
      <c r="B2449" s="506" t="s">
        <v>2121</v>
      </c>
      <c r="C2449" s="584" t="s">
        <v>2315</v>
      </c>
      <c r="D2449" s="475">
        <v>1819</v>
      </c>
      <c r="E2449" s="475"/>
      <c r="F2449" s="1139"/>
      <c r="G2449" s="386"/>
      <c r="H2449" s="363"/>
      <c r="I2449" s="397"/>
      <c r="J2449" s="335"/>
      <c r="K2449" s="374">
        <f t="shared" si="103"/>
        <v>0</v>
      </c>
      <c r="L2449" s="338">
        <f t="shared" si="102"/>
        <v>0</v>
      </c>
      <c r="M2449" s="338"/>
      <c r="N2449" s="335"/>
      <c r="O2449" s="335"/>
      <c r="P2449" s="335"/>
      <c r="Q2449" s="335"/>
      <c r="R2449" s="1158"/>
      <c r="S2449" s="291"/>
      <c r="T2449" s="291"/>
      <c r="U2449" s="291"/>
      <c r="V2449" s="291"/>
    </row>
    <row r="2450" spans="1:22" s="515" customFormat="1" ht="27" customHeight="1">
      <c r="A2450" s="331">
        <v>106</v>
      </c>
      <c r="B2450" s="506" t="s">
        <v>2123</v>
      </c>
      <c r="C2450" s="584" t="s">
        <v>2316</v>
      </c>
      <c r="D2450" s="475">
        <v>1819</v>
      </c>
      <c r="E2450" s="475"/>
      <c r="F2450" s="1139"/>
      <c r="G2450" s="386"/>
      <c r="H2450" s="363"/>
      <c r="I2450" s="397"/>
      <c r="J2450" s="335"/>
      <c r="K2450" s="374">
        <f t="shared" si="103"/>
        <v>0</v>
      </c>
      <c r="L2450" s="338">
        <f t="shared" si="102"/>
        <v>0</v>
      </c>
      <c r="M2450" s="338"/>
      <c r="N2450" s="335"/>
      <c r="O2450" s="335"/>
      <c r="P2450" s="335"/>
      <c r="Q2450" s="335"/>
      <c r="R2450" s="1158"/>
      <c r="S2450" s="291"/>
      <c r="T2450" s="291"/>
      <c r="U2450" s="291"/>
      <c r="V2450" s="291"/>
    </row>
    <row r="2451" spans="1:22" s="515" customFormat="1" ht="27" customHeight="1">
      <c r="A2451" s="331">
        <v>107</v>
      </c>
      <c r="B2451" s="506" t="s">
        <v>2121</v>
      </c>
      <c r="C2451" s="584" t="s">
        <v>2317</v>
      </c>
      <c r="D2451" s="335">
        <v>3959</v>
      </c>
      <c r="E2451" s="475"/>
      <c r="F2451" s="1139"/>
      <c r="G2451" s="386"/>
      <c r="H2451" s="363"/>
      <c r="I2451" s="397"/>
      <c r="J2451" s="335"/>
      <c r="K2451" s="374">
        <f t="shared" si="103"/>
        <v>0</v>
      </c>
      <c r="L2451" s="338">
        <f t="shared" si="102"/>
        <v>0</v>
      </c>
      <c r="M2451" s="338"/>
      <c r="N2451" s="335"/>
      <c r="O2451" s="335"/>
      <c r="P2451" s="335"/>
      <c r="Q2451" s="335"/>
      <c r="R2451" s="1158"/>
      <c r="S2451" s="291"/>
      <c r="T2451" s="291"/>
      <c r="U2451" s="291"/>
      <c r="V2451" s="291"/>
    </row>
    <row r="2452" spans="1:22" s="515" customFormat="1" ht="27" customHeight="1">
      <c r="A2452" s="331">
        <v>108</v>
      </c>
      <c r="B2452" s="506" t="s">
        <v>2600</v>
      </c>
      <c r="C2452" s="584" t="s">
        <v>2318</v>
      </c>
      <c r="D2452" s="335">
        <v>3852</v>
      </c>
      <c r="E2452" s="475"/>
      <c r="F2452" s="1139"/>
      <c r="G2452" s="386"/>
      <c r="H2452" s="363"/>
      <c r="I2452" s="397"/>
      <c r="J2452" s="335"/>
      <c r="K2452" s="374">
        <f t="shared" si="103"/>
        <v>0</v>
      </c>
      <c r="L2452" s="338">
        <f t="shared" si="102"/>
        <v>0</v>
      </c>
      <c r="M2452" s="338"/>
      <c r="N2452" s="335"/>
      <c r="O2452" s="335"/>
      <c r="P2452" s="335"/>
      <c r="Q2452" s="335"/>
      <c r="R2452" s="1158"/>
      <c r="S2452" s="291"/>
      <c r="T2452" s="291"/>
      <c r="U2452" s="291"/>
      <c r="V2452" s="291"/>
    </row>
    <row r="2453" spans="1:22" s="515" customFormat="1" ht="27" customHeight="1">
      <c r="A2453" s="331">
        <v>109</v>
      </c>
      <c r="B2453" s="506" t="s">
        <v>2306</v>
      </c>
      <c r="C2453" s="584" t="s">
        <v>2319</v>
      </c>
      <c r="D2453" s="335">
        <v>1819</v>
      </c>
      <c r="E2453" s="475"/>
      <c r="F2453" s="1139"/>
      <c r="G2453" s="386"/>
      <c r="H2453" s="363"/>
      <c r="I2453" s="397"/>
      <c r="J2453" s="335"/>
      <c r="K2453" s="374">
        <f t="shared" si="103"/>
        <v>0</v>
      </c>
      <c r="L2453" s="338">
        <f t="shared" si="102"/>
        <v>0</v>
      </c>
      <c r="M2453" s="338"/>
      <c r="N2453" s="335"/>
      <c r="O2453" s="335"/>
      <c r="P2453" s="335"/>
      <c r="Q2453" s="335"/>
      <c r="R2453" s="1158"/>
      <c r="S2453" s="291"/>
      <c r="T2453" s="291"/>
      <c r="U2453" s="291"/>
      <c r="V2453" s="291"/>
    </row>
    <row r="2454" spans="1:22" s="515" customFormat="1" ht="27" customHeight="1">
      <c r="A2454" s="331">
        <v>110</v>
      </c>
      <c r="B2454" s="506" t="s">
        <v>2306</v>
      </c>
      <c r="C2454" s="584" t="s">
        <v>2320</v>
      </c>
      <c r="D2454" s="335">
        <v>1819</v>
      </c>
      <c r="E2454" s="475"/>
      <c r="F2454" s="1139"/>
      <c r="G2454" s="386"/>
      <c r="H2454" s="363"/>
      <c r="I2454" s="397"/>
      <c r="J2454" s="335"/>
      <c r="K2454" s="374">
        <f t="shared" si="103"/>
        <v>0</v>
      </c>
      <c r="L2454" s="338">
        <f t="shared" si="102"/>
        <v>0</v>
      </c>
      <c r="M2454" s="338"/>
      <c r="N2454" s="335"/>
      <c r="O2454" s="335"/>
      <c r="P2454" s="335"/>
      <c r="Q2454" s="335"/>
      <c r="R2454" s="1158"/>
      <c r="S2454" s="291"/>
      <c r="T2454" s="291"/>
      <c r="U2454" s="291"/>
      <c r="V2454" s="291"/>
    </row>
    <row r="2455" spans="1:22" s="515" customFormat="1" ht="27" customHeight="1">
      <c r="A2455" s="331">
        <v>111</v>
      </c>
      <c r="B2455" s="506" t="s">
        <v>2124</v>
      </c>
      <c r="C2455" s="584" t="s">
        <v>2321</v>
      </c>
      <c r="D2455" s="335">
        <v>1819</v>
      </c>
      <c r="E2455" s="475"/>
      <c r="F2455" s="1139"/>
      <c r="G2455" s="386"/>
      <c r="H2455" s="363"/>
      <c r="I2455" s="397"/>
      <c r="J2455" s="335"/>
      <c r="K2455" s="374">
        <f t="shared" si="103"/>
        <v>0</v>
      </c>
      <c r="L2455" s="338">
        <f t="shared" si="102"/>
        <v>0</v>
      </c>
      <c r="M2455" s="338"/>
      <c r="N2455" s="335"/>
      <c r="O2455" s="335"/>
      <c r="P2455" s="335"/>
      <c r="Q2455" s="335"/>
      <c r="R2455" s="1158"/>
      <c r="S2455" s="291"/>
      <c r="T2455" s="291"/>
      <c r="U2455" s="291"/>
      <c r="V2455" s="291"/>
    </row>
    <row r="2456" spans="1:22" s="515" customFormat="1" ht="27" customHeight="1">
      <c r="A2456" s="331">
        <v>112</v>
      </c>
      <c r="B2456" s="506" t="s">
        <v>2126</v>
      </c>
      <c r="C2456" s="584" t="s">
        <v>2322</v>
      </c>
      <c r="D2456" s="335">
        <v>3852</v>
      </c>
      <c r="E2456" s="475"/>
      <c r="F2456" s="1139"/>
      <c r="G2456" s="386"/>
      <c r="H2456" s="363"/>
      <c r="I2456" s="397"/>
      <c r="J2456" s="335"/>
      <c r="K2456" s="374">
        <f t="shared" si="103"/>
        <v>0</v>
      </c>
      <c r="L2456" s="338">
        <f t="shared" si="102"/>
        <v>0</v>
      </c>
      <c r="M2456" s="338"/>
      <c r="N2456" s="335"/>
      <c r="O2456" s="335"/>
      <c r="P2456" s="335"/>
      <c r="Q2456" s="335"/>
      <c r="R2456" s="1158"/>
      <c r="S2456" s="291"/>
      <c r="T2456" s="291"/>
      <c r="U2456" s="291"/>
      <c r="V2456" s="291"/>
    </row>
    <row r="2457" spans="1:22" s="515" customFormat="1" ht="27" customHeight="1">
      <c r="A2457" s="331">
        <v>113</v>
      </c>
      <c r="B2457" s="506" t="s">
        <v>3218</v>
      </c>
      <c r="C2457" s="584" t="s">
        <v>2323</v>
      </c>
      <c r="D2457" s="335">
        <v>4066</v>
      </c>
      <c r="E2457" s="475"/>
      <c r="F2457" s="1139"/>
      <c r="G2457" s="386"/>
      <c r="H2457" s="363"/>
      <c r="I2457" s="397"/>
      <c r="J2457" s="335"/>
      <c r="K2457" s="374">
        <f t="shared" si="103"/>
        <v>0</v>
      </c>
      <c r="L2457" s="338">
        <f t="shared" si="102"/>
        <v>0</v>
      </c>
      <c r="M2457" s="338"/>
      <c r="N2457" s="335"/>
      <c r="O2457" s="335"/>
      <c r="P2457" s="335"/>
      <c r="Q2457" s="335"/>
      <c r="R2457" s="1158"/>
      <c r="S2457" s="291"/>
      <c r="T2457" s="291"/>
      <c r="U2457" s="291"/>
      <c r="V2457" s="291"/>
    </row>
    <row r="2458" spans="1:22" s="515" customFormat="1" ht="27" customHeight="1">
      <c r="A2458" s="331">
        <v>114</v>
      </c>
      <c r="B2458" s="506" t="s">
        <v>2126</v>
      </c>
      <c r="C2458" s="584" t="s">
        <v>2324</v>
      </c>
      <c r="D2458" s="335">
        <v>3852</v>
      </c>
      <c r="E2458" s="475"/>
      <c r="F2458" s="1139"/>
      <c r="G2458" s="386"/>
      <c r="H2458" s="363"/>
      <c r="I2458" s="397"/>
      <c r="J2458" s="335"/>
      <c r="K2458" s="374">
        <f t="shared" si="103"/>
        <v>0</v>
      </c>
      <c r="L2458" s="338">
        <f t="shared" si="102"/>
        <v>0</v>
      </c>
      <c r="M2458" s="338"/>
      <c r="N2458" s="335"/>
      <c r="O2458" s="335"/>
      <c r="P2458" s="335"/>
      <c r="Q2458" s="335"/>
      <c r="R2458" s="1158"/>
      <c r="S2458" s="291"/>
      <c r="T2458" s="291"/>
      <c r="U2458" s="291"/>
      <c r="V2458" s="291"/>
    </row>
    <row r="2459" spans="1:22" s="515" customFormat="1" ht="27" customHeight="1">
      <c r="A2459" s="331">
        <v>115</v>
      </c>
      <c r="B2459" s="506" t="s">
        <v>2126</v>
      </c>
      <c r="C2459" s="584" t="s">
        <v>2325</v>
      </c>
      <c r="D2459" s="335">
        <v>1819</v>
      </c>
      <c r="E2459" s="475"/>
      <c r="F2459" s="1139"/>
      <c r="G2459" s="386"/>
      <c r="H2459" s="363"/>
      <c r="I2459" s="397"/>
      <c r="J2459" s="335"/>
      <c r="K2459" s="374">
        <f t="shared" si="103"/>
        <v>0</v>
      </c>
      <c r="L2459" s="338">
        <f t="shared" si="102"/>
        <v>0</v>
      </c>
      <c r="M2459" s="338"/>
      <c r="N2459" s="335"/>
      <c r="O2459" s="335"/>
      <c r="P2459" s="335"/>
      <c r="Q2459" s="335"/>
      <c r="R2459" s="1158"/>
      <c r="S2459" s="291"/>
      <c r="T2459" s="291"/>
      <c r="U2459" s="291"/>
      <c r="V2459" s="291"/>
    </row>
    <row r="2460" spans="1:22" s="515" customFormat="1" ht="27" customHeight="1">
      <c r="A2460" s="331">
        <v>116</v>
      </c>
      <c r="B2460" s="506" t="s">
        <v>2129</v>
      </c>
      <c r="C2460" s="584" t="s">
        <v>2326</v>
      </c>
      <c r="D2460" s="335">
        <v>1819</v>
      </c>
      <c r="E2460" s="475"/>
      <c r="F2460" s="1139"/>
      <c r="G2460" s="386"/>
      <c r="H2460" s="363"/>
      <c r="I2460" s="397"/>
      <c r="J2460" s="335"/>
      <c r="K2460" s="374">
        <f t="shared" si="103"/>
        <v>0</v>
      </c>
      <c r="L2460" s="338">
        <f t="shared" si="102"/>
        <v>0</v>
      </c>
      <c r="M2460" s="338"/>
      <c r="N2460" s="335"/>
      <c r="O2460" s="335"/>
      <c r="P2460" s="335"/>
      <c r="Q2460" s="335"/>
      <c r="R2460" s="1158"/>
      <c r="S2460" s="291"/>
      <c r="T2460" s="291"/>
      <c r="U2460" s="291"/>
      <c r="V2460" s="291"/>
    </row>
    <row r="2461" spans="1:22" s="515" customFormat="1" ht="27" customHeight="1">
      <c r="A2461" s="331">
        <v>117</v>
      </c>
      <c r="B2461" s="506" t="s">
        <v>2129</v>
      </c>
      <c r="C2461" s="584" t="s">
        <v>2327</v>
      </c>
      <c r="D2461" s="335">
        <v>1819</v>
      </c>
      <c r="E2461" s="475"/>
      <c r="F2461" s="1139"/>
      <c r="G2461" s="386"/>
      <c r="H2461" s="363"/>
      <c r="I2461" s="397"/>
      <c r="J2461" s="335"/>
      <c r="K2461" s="374">
        <f t="shared" si="103"/>
        <v>0</v>
      </c>
      <c r="L2461" s="338">
        <f t="shared" si="102"/>
        <v>0</v>
      </c>
      <c r="M2461" s="338"/>
      <c r="N2461" s="335"/>
      <c r="O2461" s="335"/>
      <c r="P2461" s="335"/>
      <c r="Q2461" s="335"/>
      <c r="R2461" s="1158"/>
      <c r="S2461" s="291"/>
      <c r="T2461" s="291"/>
      <c r="U2461" s="291"/>
      <c r="V2461" s="291"/>
    </row>
    <row r="2462" spans="1:22" s="515" customFormat="1" ht="27" customHeight="1">
      <c r="A2462" s="331">
        <v>118</v>
      </c>
      <c r="B2462" s="506" t="s">
        <v>2129</v>
      </c>
      <c r="C2462" s="584" t="s">
        <v>2328</v>
      </c>
      <c r="D2462" s="475">
        <v>1819</v>
      </c>
      <c r="E2462" s="475"/>
      <c r="F2462" s="1139"/>
      <c r="G2462" s="386"/>
      <c r="H2462" s="363"/>
      <c r="I2462" s="397"/>
      <c r="J2462" s="335"/>
      <c r="K2462" s="374">
        <f t="shared" si="103"/>
        <v>0</v>
      </c>
      <c r="L2462" s="338">
        <f t="shared" si="102"/>
        <v>0</v>
      </c>
      <c r="M2462" s="338"/>
      <c r="N2462" s="335"/>
      <c r="O2462" s="335"/>
      <c r="P2462" s="335"/>
      <c r="Q2462" s="335"/>
      <c r="R2462" s="1158"/>
      <c r="S2462" s="291"/>
      <c r="T2462" s="291"/>
      <c r="U2462" s="291"/>
      <c r="V2462" s="291"/>
    </row>
    <row r="2463" spans="1:22" s="515" customFormat="1" ht="27" customHeight="1">
      <c r="A2463" s="331">
        <v>119</v>
      </c>
      <c r="B2463" s="506" t="s">
        <v>2129</v>
      </c>
      <c r="C2463" s="584" t="s">
        <v>2329</v>
      </c>
      <c r="D2463" s="475">
        <v>1819</v>
      </c>
      <c r="E2463" s="475"/>
      <c r="F2463" s="1139"/>
      <c r="G2463" s="386"/>
      <c r="H2463" s="363"/>
      <c r="I2463" s="397"/>
      <c r="J2463" s="335"/>
      <c r="K2463" s="374">
        <f t="shared" si="103"/>
        <v>0</v>
      </c>
      <c r="L2463" s="338">
        <f t="shared" si="102"/>
        <v>0</v>
      </c>
      <c r="M2463" s="338"/>
      <c r="N2463" s="335"/>
      <c r="O2463" s="335"/>
      <c r="P2463" s="335"/>
      <c r="Q2463" s="335"/>
      <c r="R2463" s="1158"/>
      <c r="S2463" s="291"/>
      <c r="T2463" s="291"/>
      <c r="U2463" s="291"/>
      <c r="V2463" s="291"/>
    </row>
    <row r="2464" spans="1:22" s="515" customFormat="1" ht="27" customHeight="1">
      <c r="A2464" s="331">
        <v>120</v>
      </c>
      <c r="B2464" s="506" t="s">
        <v>2130</v>
      </c>
      <c r="C2464" s="584" t="s">
        <v>2330</v>
      </c>
      <c r="D2464" s="1365">
        <v>1819</v>
      </c>
      <c r="E2464" s="475"/>
      <c r="F2464" s="1139"/>
      <c r="G2464" s="386"/>
      <c r="H2464" s="363"/>
      <c r="I2464" s="397"/>
      <c r="J2464" s="335"/>
      <c r="K2464" s="374">
        <f t="shared" si="103"/>
        <v>0</v>
      </c>
      <c r="L2464" s="338">
        <f t="shared" si="102"/>
        <v>0</v>
      </c>
      <c r="M2464" s="338"/>
      <c r="N2464" s="335"/>
      <c r="O2464" s="335"/>
      <c r="P2464" s="335"/>
      <c r="Q2464" s="335"/>
      <c r="R2464" s="1158"/>
      <c r="S2464" s="291"/>
      <c r="T2464" s="291"/>
      <c r="U2464" s="291"/>
      <c r="V2464" s="291"/>
    </row>
    <row r="2465" spans="1:22" s="515" customFormat="1" ht="27" customHeight="1">
      <c r="A2465" s="331">
        <v>121</v>
      </c>
      <c r="B2465" s="506" t="s">
        <v>2131</v>
      </c>
      <c r="C2465" s="584" t="s">
        <v>2331</v>
      </c>
      <c r="D2465" s="1365">
        <v>1819</v>
      </c>
      <c r="E2465" s="475"/>
      <c r="F2465" s="1139"/>
      <c r="G2465" s="386"/>
      <c r="H2465" s="363"/>
      <c r="I2465" s="397"/>
      <c r="J2465" s="335"/>
      <c r="K2465" s="374">
        <f t="shared" si="103"/>
        <v>0</v>
      </c>
      <c r="L2465" s="338">
        <f t="shared" si="102"/>
        <v>0</v>
      </c>
      <c r="M2465" s="338"/>
      <c r="N2465" s="335"/>
      <c r="O2465" s="335"/>
      <c r="P2465" s="335"/>
      <c r="Q2465" s="335"/>
      <c r="R2465" s="1158"/>
      <c r="S2465" s="291"/>
      <c r="T2465" s="291"/>
      <c r="U2465" s="291"/>
      <c r="V2465" s="291"/>
    </row>
    <row r="2466" spans="1:22" s="515" customFormat="1" ht="27" customHeight="1">
      <c r="A2466" s="331">
        <v>122</v>
      </c>
      <c r="B2466" s="506" t="s">
        <v>2132</v>
      </c>
      <c r="C2466" s="584" t="s">
        <v>3004</v>
      </c>
      <c r="D2466" s="1365">
        <v>535</v>
      </c>
      <c r="E2466" s="475"/>
      <c r="F2466" s="1139"/>
      <c r="G2466" s="386"/>
      <c r="H2466" s="363"/>
      <c r="I2466" s="397"/>
      <c r="J2466" s="335"/>
      <c r="K2466" s="374">
        <f t="shared" si="103"/>
        <v>0</v>
      </c>
      <c r="L2466" s="338">
        <f t="shared" si="102"/>
        <v>0</v>
      </c>
      <c r="M2466" s="338"/>
      <c r="N2466" s="335"/>
      <c r="O2466" s="335"/>
      <c r="P2466" s="335"/>
      <c r="Q2466" s="335"/>
      <c r="R2466" s="1158"/>
      <c r="S2466" s="291"/>
      <c r="T2466" s="291"/>
      <c r="U2466" s="291"/>
      <c r="V2466" s="291"/>
    </row>
    <row r="2467" spans="1:22" s="515" customFormat="1" ht="27" customHeight="1">
      <c r="A2467" s="331">
        <v>123</v>
      </c>
      <c r="B2467" s="506" t="s">
        <v>2132</v>
      </c>
      <c r="C2467" s="584" t="s">
        <v>3005</v>
      </c>
      <c r="D2467" s="1366">
        <v>535</v>
      </c>
      <c r="E2467" s="475"/>
      <c r="F2467" s="1139"/>
      <c r="G2467" s="386"/>
      <c r="H2467" s="363"/>
      <c r="I2467" s="397"/>
      <c r="J2467" s="335"/>
      <c r="K2467" s="374">
        <f t="shared" si="103"/>
        <v>0</v>
      </c>
      <c r="L2467" s="338">
        <f t="shared" si="102"/>
        <v>0</v>
      </c>
      <c r="M2467" s="338"/>
      <c r="N2467" s="335"/>
      <c r="O2467" s="335"/>
      <c r="P2467" s="335"/>
      <c r="Q2467" s="335"/>
      <c r="R2467" s="1158"/>
      <c r="S2467" s="291"/>
      <c r="T2467" s="291"/>
      <c r="U2467" s="291"/>
      <c r="V2467" s="291"/>
    </row>
    <row r="2468" spans="1:22" s="515" customFormat="1" ht="27" customHeight="1">
      <c r="A2468" s="331">
        <v>124</v>
      </c>
      <c r="B2468" s="506" t="s">
        <v>2132</v>
      </c>
      <c r="C2468" s="584" t="s">
        <v>3006</v>
      </c>
      <c r="D2468" s="1367">
        <v>535</v>
      </c>
      <c r="E2468" s="475"/>
      <c r="F2468" s="1139"/>
      <c r="G2468" s="386"/>
      <c r="H2468" s="363"/>
      <c r="I2468" s="397"/>
      <c r="J2468" s="335"/>
      <c r="K2468" s="374">
        <f t="shared" si="103"/>
        <v>0</v>
      </c>
      <c r="L2468" s="338">
        <f t="shared" si="102"/>
        <v>0</v>
      </c>
      <c r="M2468" s="338"/>
      <c r="N2468" s="335"/>
      <c r="O2468" s="335"/>
      <c r="P2468" s="335"/>
      <c r="Q2468" s="335"/>
      <c r="R2468" s="1158"/>
      <c r="S2468" s="291"/>
      <c r="T2468" s="291"/>
      <c r="U2468" s="291"/>
      <c r="V2468" s="291"/>
    </row>
    <row r="2469" spans="1:22" s="515" customFormat="1" ht="27" customHeight="1">
      <c r="A2469" s="331">
        <v>125</v>
      </c>
      <c r="B2469" s="506" t="s">
        <v>2132</v>
      </c>
      <c r="C2469" s="584" t="s">
        <v>2332</v>
      </c>
      <c r="D2469" s="1367">
        <v>2461</v>
      </c>
      <c r="E2469" s="475"/>
      <c r="F2469" s="1139"/>
      <c r="G2469" s="386"/>
      <c r="H2469" s="363"/>
      <c r="I2469" s="397"/>
      <c r="J2469" s="335"/>
      <c r="K2469" s="374">
        <f t="shared" si="103"/>
        <v>0</v>
      </c>
      <c r="L2469" s="338">
        <f t="shared" si="102"/>
        <v>0</v>
      </c>
      <c r="M2469" s="338"/>
      <c r="N2469" s="335"/>
      <c r="O2469" s="335"/>
      <c r="P2469" s="335"/>
      <c r="Q2469" s="335"/>
      <c r="R2469" s="1158"/>
      <c r="S2469" s="291"/>
      <c r="T2469" s="291"/>
      <c r="U2469" s="291"/>
      <c r="V2469" s="291"/>
    </row>
    <row r="2470" spans="1:22" s="515" customFormat="1" ht="27" customHeight="1">
      <c r="A2470" s="331">
        <v>126</v>
      </c>
      <c r="B2470" s="506" t="s">
        <v>2133</v>
      </c>
      <c r="C2470" s="584" t="s">
        <v>2333</v>
      </c>
      <c r="D2470" s="1367">
        <v>1819</v>
      </c>
      <c r="E2470" s="475"/>
      <c r="F2470" s="1139"/>
      <c r="G2470" s="386"/>
      <c r="H2470" s="363"/>
      <c r="I2470" s="397"/>
      <c r="J2470" s="335"/>
      <c r="K2470" s="374">
        <f t="shared" si="103"/>
        <v>0</v>
      </c>
      <c r="L2470" s="338">
        <f t="shared" si="102"/>
        <v>0</v>
      </c>
      <c r="M2470" s="338"/>
      <c r="N2470" s="335"/>
      <c r="O2470" s="335"/>
      <c r="P2470" s="335"/>
      <c r="Q2470" s="335"/>
      <c r="R2470" s="1158"/>
      <c r="S2470" s="291"/>
      <c r="T2470" s="291"/>
      <c r="U2470" s="291"/>
      <c r="V2470" s="291"/>
    </row>
    <row r="2471" spans="1:22" s="515" customFormat="1" ht="27" customHeight="1">
      <c r="A2471" s="331">
        <v>127</v>
      </c>
      <c r="B2471" s="506" t="s">
        <v>2134</v>
      </c>
      <c r="C2471" s="584" t="s">
        <v>2334</v>
      </c>
      <c r="D2471" s="1367">
        <v>1819</v>
      </c>
      <c r="E2471" s="475"/>
      <c r="F2471" s="1139"/>
      <c r="G2471" s="386"/>
      <c r="H2471" s="363"/>
      <c r="I2471" s="397"/>
      <c r="J2471" s="335"/>
      <c r="K2471" s="374">
        <f t="shared" si="103"/>
        <v>0</v>
      </c>
      <c r="L2471" s="338">
        <f t="shared" si="102"/>
        <v>0</v>
      </c>
      <c r="M2471" s="338"/>
      <c r="N2471" s="335"/>
      <c r="O2471" s="335"/>
      <c r="P2471" s="335"/>
      <c r="Q2471" s="335"/>
      <c r="R2471" s="1158"/>
      <c r="S2471" s="291"/>
      <c r="T2471" s="291"/>
      <c r="U2471" s="291"/>
      <c r="V2471" s="291"/>
    </row>
    <row r="2472" spans="1:22" s="515" customFormat="1" ht="27" customHeight="1">
      <c r="A2472" s="331">
        <v>128</v>
      </c>
      <c r="B2472" s="506" t="s">
        <v>2132</v>
      </c>
      <c r="C2472" s="584" t="s">
        <v>2335</v>
      </c>
      <c r="D2472" s="1367">
        <v>2461</v>
      </c>
      <c r="E2472" s="475"/>
      <c r="F2472" s="1139"/>
      <c r="G2472" s="386"/>
      <c r="H2472" s="363"/>
      <c r="I2472" s="397"/>
      <c r="J2472" s="335"/>
      <c r="K2472" s="374">
        <f t="shared" si="103"/>
        <v>0</v>
      </c>
      <c r="L2472" s="338">
        <f t="shared" si="102"/>
        <v>0</v>
      </c>
      <c r="M2472" s="338"/>
      <c r="N2472" s="335"/>
      <c r="O2472" s="335"/>
      <c r="P2472" s="335"/>
      <c r="Q2472" s="335"/>
      <c r="R2472" s="1158"/>
      <c r="S2472" s="291"/>
      <c r="T2472" s="291"/>
      <c r="U2472" s="291"/>
      <c r="V2472" s="291"/>
    </row>
    <row r="2473" spans="1:22" s="515" customFormat="1" ht="27" customHeight="1">
      <c r="A2473" s="331">
        <v>129</v>
      </c>
      <c r="B2473" s="506" t="s">
        <v>2132</v>
      </c>
      <c r="C2473" s="584" t="s">
        <v>3007</v>
      </c>
      <c r="D2473" s="1367">
        <v>535</v>
      </c>
      <c r="E2473" s="475"/>
      <c r="F2473" s="1139"/>
      <c r="G2473" s="386"/>
      <c r="H2473" s="363"/>
      <c r="I2473" s="397"/>
      <c r="J2473" s="335"/>
      <c r="K2473" s="374">
        <f t="shared" si="103"/>
        <v>0</v>
      </c>
      <c r="L2473" s="338">
        <f t="shared" si="102"/>
        <v>0</v>
      </c>
      <c r="M2473" s="338"/>
      <c r="N2473" s="335"/>
      <c r="O2473" s="335"/>
      <c r="P2473" s="335"/>
      <c r="Q2473" s="335"/>
      <c r="R2473" s="1158"/>
      <c r="S2473" s="291"/>
      <c r="T2473" s="291"/>
      <c r="U2473" s="291"/>
      <c r="V2473" s="291"/>
    </row>
    <row r="2474" spans="1:22" s="515" customFormat="1" ht="27" customHeight="1">
      <c r="A2474" s="331">
        <v>130</v>
      </c>
      <c r="B2474" s="506" t="s">
        <v>2132</v>
      </c>
      <c r="C2474" s="584" t="s">
        <v>3008</v>
      </c>
      <c r="D2474" s="1367">
        <v>535</v>
      </c>
      <c r="E2474" s="475"/>
      <c r="F2474" s="1139"/>
      <c r="G2474" s="386"/>
      <c r="H2474" s="363"/>
      <c r="I2474" s="397"/>
      <c r="J2474" s="335"/>
      <c r="K2474" s="374">
        <f t="shared" si="103"/>
        <v>0</v>
      </c>
      <c r="L2474" s="338">
        <f t="shared" si="102"/>
        <v>0</v>
      </c>
      <c r="M2474" s="338"/>
      <c r="N2474" s="335"/>
      <c r="O2474" s="335"/>
      <c r="P2474" s="335"/>
      <c r="Q2474" s="335"/>
      <c r="R2474" s="1158"/>
      <c r="S2474" s="291"/>
      <c r="T2474" s="291"/>
      <c r="U2474" s="291"/>
      <c r="V2474" s="291"/>
    </row>
    <row r="2475" spans="1:22" s="515" customFormat="1" ht="27" customHeight="1">
      <c r="A2475" s="331">
        <v>131</v>
      </c>
      <c r="B2475" s="506" t="s">
        <v>2132</v>
      </c>
      <c r="C2475" s="584" t="s">
        <v>3009</v>
      </c>
      <c r="D2475" s="1367">
        <v>535</v>
      </c>
      <c r="E2475" s="475"/>
      <c r="F2475" s="1139"/>
      <c r="G2475" s="386"/>
      <c r="H2475" s="363"/>
      <c r="I2475" s="397"/>
      <c r="J2475" s="335"/>
      <c r="K2475" s="374">
        <f t="shared" si="103"/>
        <v>0</v>
      </c>
      <c r="L2475" s="338">
        <f t="shared" ref="L2475:L2538" si="104">+J2475</f>
        <v>0</v>
      </c>
      <c r="M2475" s="338"/>
      <c r="N2475" s="335"/>
      <c r="O2475" s="335"/>
      <c r="P2475" s="335"/>
      <c r="Q2475" s="335"/>
      <c r="R2475" s="1158"/>
      <c r="S2475" s="291"/>
      <c r="T2475" s="291"/>
      <c r="U2475" s="291"/>
      <c r="V2475" s="291"/>
    </row>
    <row r="2476" spans="1:22" s="515" customFormat="1" ht="27" customHeight="1">
      <c r="A2476" s="331">
        <v>132</v>
      </c>
      <c r="B2476" s="506" t="s">
        <v>2111</v>
      </c>
      <c r="C2476" s="584" t="s">
        <v>3010</v>
      </c>
      <c r="D2476" s="1482">
        <v>535</v>
      </c>
      <c r="E2476" s="475"/>
      <c r="F2476" s="1139"/>
      <c r="G2476" s="386"/>
      <c r="H2476" s="363"/>
      <c r="I2476" s="397"/>
      <c r="J2476" s="335"/>
      <c r="K2476" s="374">
        <f t="shared" si="103"/>
        <v>0</v>
      </c>
      <c r="L2476" s="338">
        <f t="shared" si="104"/>
        <v>0</v>
      </c>
      <c r="M2476" s="338"/>
      <c r="N2476" s="335"/>
      <c r="O2476" s="335"/>
      <c r="P2476" s="335"/>
      <c r="Q2476" s="335"/>
      <c r="R2476" s="1158"/>
      <c r="S2476" s="291"/>
      <c r="T2476" s="291"/>
      <c r="U2476" s="291"/>
      <c r="V2476" s="291"/>
    </row>
    <row r="2477" spans="1:22" s="515" customFormat="1" ht="27" customHeight="1">
      <c r="A2477" s="331">
        <v>133</v>
      </c>
      <c r="B2477" s="506" t="s">
        <v>2111</v>
      </c>
      <c r="C2477" s="584" t="s">
        <v>3011</v>
      </c>
      <c r="D2477" s="1482">
        <v>535</v>
      </c>
      <c r="E2477" s="475"/>
      <c r="F2477" s="1139"/>
      <c r="G2477" s="386"/>
      <c r="H2477" s="363"/>
      <c r="I2477" s="397"/>
      <c r="J2477" s="335"/>
      <c r="K2477" s="374">
        <f t="shared" si="103"/>
        <v>0</v>
      </c>
      <c r="L2477" s="338">
        <f t="shared" si="104"/>
        <v>0</v>
      </c>
      <c r="M2477" s="338"/>
      <c r="N2477" s="335"/>
      <c r="O2477" s="335"/>
      <c r="P2477" s="335"/>
      <c r="Q2477" s="335"/>
      <c r="R2477" s="1158"/>
      <c r="S2477" s="291"/>
      <c r="T2477" s="291"/>
      <c r="U2477" s="291"/>
      <c r="V2477" s="291"/>
    </row>
    <row r="2478" spans="1:22" s="515" customFormat="1" ht="27" customHeight="1">
      <c r="A2478" s="331">
        <v>134</v>
      </c>
      <c r="B2478" s="506" t="s">
        <v>2261</v>
      </c>
      <c r="C2478" s="584" t="s">
        <v>2336</v>
      </c>
      <c r="D2478" s="1367">
        <v>1819</v>
      </c>
      <c r="E2478" s="475"/>
      <c r="F2478" s="1139"/>
      <c r="G2478" s="386"/>
      <c r="H2478" s="363"/>
      <c r="I2478" s="397"/>
      <c r="J2478" s="335"/>
      <c r="K2478" s="374">
        <f t="shared" si="103"/>
        <v>0</v>
      </c>
      <c r="L2478" s="338">
        <f t="shared" si="104"/>
        <v>0</v>
      </c>
      <c r="M2478" s="338"/>
      <c r="N2478" s="335"/>
      <c r="O2478" s="335"/>
      <c r="P2478" s="335"/>
      <c r="Q2478" s="335"/>
      <c r="R2478" s="1158"/>
      <c r="S2478" s="291"/>
      <c r="T2478" s="291"/>
      <c r="U2478" s="291"/>
      <c r="V2478" s="291"/>
    </row>
    <row r="2479" spans="1:22" s="515" customFormat="1" ht="27" customHeight="1">
      <c r="A2479" s="331">
        <v>135</v>
      </c>
      <c r="B2479" s="506" t="s">
        <v>2111</v>
      </c>
      <c r="C2479" s="584" t="s">
        <v>3604</v>
      </c>
      <c r="D2479" s="1368"/>
      <c r="E2479" s="475" t="s">
        <v>3416</v>
      </c>
      <c r="F2479" s="1139">
        <v>1</v>
      </c>
      <c r="G2479" s="386">
        <v>107</v>
      </c>
      <c r="H2479" s="363"/>
      <c r="I2479" s="397"/>
      <c r="J2479" s="335"/>
      <c r="K2479" s="374">
        <f t="shared" si="103"/>
        <v>12.347799999999999</v>
      </c>
      <c r="L2479" s="338">
        <f t="shared" si="104"/>
        <v>0</v>
      </c>
      <c r="M2479" s="338"/>
      <c r="N2479" s="335"/>
      <c r="O2479" s="335"/>
      <c r="P2479" s="335"/>
      <c r="Q2479" s="335"/>
      <c r="R2479" s="1158"/>
      <c r="S2479" s="291"/>
      <c r="T2479" s="291"/>
      <c r="U2479" s="291"/>
      <c r="V2479" s="291"/>
    </row>
    <row r="2480" spans="1:22" s="515" customFormat="1" ht="27" customHeight="1">
      <c r="A2480" s="331">
        <v>136</v>
      </c>
      <c r="B2480" s="506" t="s">
        <v>2132</v>
      </c>
      <c r="C2480" s="584" t="s">
        <v>3012</v>
      </c>
      <c r="D2480" s="1368">
        <v>535</v>
      </c>
      <c r="E2480" s="475"/>
      <c r="F2480" s="1139"/>
      <c r="G2480" s="386"/>
      <c r="H2480" s="363"/>
      <c r="I2480" s="397"/>
      <c r="J2480" s="335"/>
      <c r="K2480" s="374">
        <f t="shared" si="103"/>
        <v>0</v>
      </c>
      <c r="L2480" s="338">
        <f t="shared" si="104"/>
        <v>0</v>
      </c>
      <c r="M2480" s="338"/>
      <c r="N2480" s="335"/>
      <c r="O2480" s="335"/>
      <c r="P2480" s="335"/>
      <c r="Q2480" s="335"/>
      <c r="R2480" s="1158"/>
      <c r="S2480" s="291"/>
      <c r="T2480" s="291"/>
      <c r="U2480" s="291"/>
      <c r="V2480" s="291"/>
    </row>
    <row r="2481" spans="1:22" s="515" customFormat="1" ht="27" customHeight="1">
      <c r="A2481" s="331">
        <v>137</v>
      </c>
      <c r="B2481" s="506" t="s">
        <v>2262</v>
      </c>
      <c r="C2481" s="584" t="s">
        <v>2337</v>
      </c>
      <c r="D2481" s="1368">
        <v>3424</v>
      </c>
      <c r="E2481" s="475"/>
      <c r="F2481" s="1139"/>
      <c r="G2481" s="386"/>
      <c r="H2481" s="363"/>
      <c r="I2481" s="397"/>
      <c r="J2481" s="335"/>
      <c r="K2481" s="374">
        <f t="shared" si="103"/>
        <v>0</v>
      </c>
      <c r="L2481" s="338">
        <f t="shared" si="104"/>
        <v>0</v>
      </c>
      <c r="M2481" s="338"/>
      <c r="N2481" s="335"/>
      <c r="O2481" s="335"/>
      <c r="P2481" s="335"/>
      <c r="Q2481" s="335"/>
      <c r="R2481" s="1158"/>
      <c r="S2481" s="291"/>
      <c r="T2481" s="291"/>
      <c r="U2481" s="291"/>
      <c r="V2481" s="291"/>
    </row>
    <row r="2482" spans="1:22" s="515" customFormat="1" ht="27" customHeight="1">
      <c r="A2482" s="331">
        <v>138</v>
      </c>
      <c r="B2482" s="506" t="s">
        <v>2132</v>
      </c>
      <c r="C2482" s="584" t="s">
        <v>3013</v>
      </c>
      <c r="D2482" s="1365">
        <v>535</v>
      </c>
      <c r="E2482" s="475"/>
      <c r="F2482" s="1139"/>
      <c r="G2482" s="386"/>
      <c r="H2482" s="363"/>
      <c r="I2482" s="397"/>
      <c r="J2482" s="335"/>
      <c r="K2482" s="374">
        <f t="shared" si="103"/>
        <v>0</v>
      </c>
      <c r="L2482" s="338">
        <f t="shared" si="104"/>
        <v>0</v>
      </c>
      <c r="M2482" s="338"/>
      <c r="N2482" s="335"/>
      <c r="O2482" s="335"/>
      <c r="P2482" s="335"/>
      <c r="Q2482" s="335"/>
      <c r="R2482" s="1158"/>
      <c r="S2482" s="291"/>
      <c r="T2482" s="291"/>
      <c r="U2482" s="291"/>
      <c r="V2482" s="291"/>
    </row>
    <row r="2483" spans="1:22" s="515" customFormat="1" ht="27" customHeight="1">
      <c r="A2483" s="331">
        <v>139</v>
      </c>
      <c r="B2483" s="506" t="s">
        <v>2135</v>
      </c>
      <c r="C2483" s="584" t="s">
        <v>2338</v>
      </c>
      <c r="D2483" s="1365">
        <v>1819</v>
      </c>
      <c r="E2483" s="475"/>
      <c r="F2483" s="1139"/>
      <c r="G2483" s="386"/>
      <c r="H2483" s="363"/>
      <c r="I2483" s="397"/>
      <c r="J2483" s="335"/>
      <c r="K2483" s="374">
        <f t="shared" si="103"/>
        <v>0</v>
      </c>
      <c r="L2483" s="338">
        <f t="shared" si="104"/>
        <v>0</v>
      </c>
      <c r="M2483" s="338"/>
      <c r="N2483" s="335"/>
      <c r="O2483" s="335"/>
      <c r="P2483" s="335"/>
      <c r="Q2483" s="335"/>
      <c r="R2483" s="1158"/>
      <c r="S2483" s="291"/>
      <c r="T2483" s="291"/>
      <c r="U2483" s="291"/>
      <c r="V2483" s="291"/>
    </row>
    <row r="2484" spans="1:22" s="515" customFormat="1" ht="27" customHeight="1">
      <c r="A2484" s="331">
        <v>140</v>
      </c>
      <c r="B2484" s="506" t="s">
        <v>2136</v>
      </c>
      <c r="C2484" s="584" t="s">
        <v>2339</v>
      </c>
      <c r="D2484" s="1365">
        <v>4173</v>
      </c>
      <c r="E2484" s="475"/>
      <c r="F2484" s="1139"/>
      <c r="G2484" s="386"/>
      <c r="H2484" s="363"/>
      <c r="I2484" s="397"/>
      <c r="J2484" s="335"/>
      <c r="K2484" s="374">
        <f t="shared" si="103"/>
        <v>0</v>
      </c>
      <c r="L2484" s="338">
        <f t="shared" si="104"/>
        <v>0</v>
      </c>
      <c r="M2484" s="338"/>
      <c r="N2484" s="335"/>
      <c r="O2484" s="335"/>
      <c r="P2484" s="335"/>
      <c r="Q2484" s="335"/>
      <c r="R2484" s="1158"/>
      <c r="S2484" s="291"/>
      <c r="T2484" s="291"/>
      <c r="U2484" s="291"/>
      <c r="V2484" s="291"/>
    </row>
    <row r="2485" spans="1:22" s="515" customFormat="1" ht="27" customHeight="1">
      <c r="A2485" s="331">
        <v>141</v>
      </c>
      <c r="B2485" s="506" t="s">
        <v>2135</v>
      </c>
      <c r="C2485" s="584" t="s">
        <v>3014</v>
      </c>
      <c r="D2485" s="1365">
        <v>2140</v>
      </c>
      <c r="E2485" s="475"/>
      <c r="F2485" s="1139"/>
      <c r="G2485" s="386"/>
      <c r="H2485" s="363"/>
      <c r="I2485" s="397"/>
      <c r="J2485" s="335"/>
      <c r="K2485" s="374">
        <f t="shared" si="103"/>
        <v>0</v>
      </c>
      <c r="L2485" s="338">
        <f t="shared" si="104"/>
        <v>0</v>
      </c>
      <c r="M2485" s="338"/>
      <c r="N2485" s="335"/>
      <c r="O2485" s="335"/>
      <c r="P2485" s="335"/>
      <c r="Q2485" s="335"/>
      <c r="R2485" s="1158"/>
      <c r="S2485" s="291"/>
      <c r="T2485" s="291"/>
      <c r="U2485" s="291"/>
      <c r="V2485" s="291"/>
    </row>
    <row r="2486" spans="1:22" s="515" customFormat="1" ht="27" customHeight="1">
      <c r="A2486" s="331">
        <v>142</v>
      </c>
      <c r="B2486" s="506" t="s">
        <v>2136</v>
      </c>
      <c r="C2486" s="584" t="s">
        <v>2682</v>
      </c>
      <c r="D2486" s="1365">
        <v>4173</v>
      </c>
      <c r="E2486" s="475"/>
      <c r="F2486" s="1139"/>
      <c r="G2486" s="386"/>
      <c r="H2486" s="363"/>
      <c r="I2486" s="397"/>
      <c r="J2486" s="335"/>
      <c r="K2486" s="374">
        <f t="shared" si="103"/>
        <v>0</v>
      </c>
      <c r="L2486" s="338">
        <f t="shared" si="104"/>
        <v>0</v>
      </c>
      <c r="M2486" s="338"/>
      <c r="N2486" s="335"/>
      <c r="O2486" s="335"/>
      <c r="P2486" s="335"/>
      <c r="Q2486" s="335"/>
      <c r="R2486" s="1158"/>
      <c r="S2486" s="291"/>
      <c r="T2486" s="291"/>
      <c r="U2486" s="291"/>
      <c r="V2486" s="291"/>
    </row>
    <row r="2487" spans="1:22" s="515" customFormat="1" ht="27" customHeight="1">
      <c r="A2487" s="331">
        <v>143</v>
      </c>
      <c r="B2487" s="506" t="s">
        <v>2135</v>
      </c>
      <c r="C2487" s="584" t="s">
        <v>3015</v>
      </c>
      <c r="D2487" s="1365">
        <v>2140</v>
      </c>
      <c r="E2487" s="475"/>
      <c r="F2487" s="1139"/>
      <c r="G2487" s="386"/>
      <c r="H2487" s="363"/>
      <c r="I2487" s="397"/>
      <c r="J2487" s="335"/>
      <c r="K2487" s="374">
        <f t="shared" si="103"/>
        <v>0</v>
      </c>
      <c r="L2487" s="338">
        <f t="shared" si="104"/>
        <v>0</v>
      </c>
      <c r="M2487" s="338"/>
      <c r="N2487" s="335"/>
      <c r="O2487" s="335"/>
      <c r="P2487" s="335"/>
      <c r="Q2487" s="335"/>
      <c r="R2487" s="1158"/>
      <c r="S2487" s="291"/>
      <c r="T2487" s="291"/>
      <c r="U2487" s="291"/>
      <c r="V2487" s="291"/>
    </row>
    <row r="2488" spans="1:22" s="515" customFormat="1" ht="27" customHeight="1">
      <c r="A2488" s="331">
        <v>144</v>
      </c>
      <c r="B2488" s="506" t="s">
        <v>2263</v>
      </c>
      <c r="C2488" s="584" t="s">
        <v>2340</v>
      </c>
      <c r="D2488" s="1365">
        <v>3424</v>
      </c>
      <c r="E2488" s="475"/>
      <c r="F2488" s="1139"/>
      <c r="G2488" s="386"/>
      <c r="H2488" s="363"/>
      <c r="I2488" s="397"/>
      <c r="J2488" s="335"/>
      <c r="K2488" s="374">
        <f t="shared" si="103"/>
        <v>0</v>
      </c>
      <c r="L2488" s="338">
        <f t="shared" si="104"/>
        <v>0</v>
      </c>
      <c r="M2488" s="338"/>
      <c r="N2488" s="335"/>
      <c r="O2488" s="335"/>
      <c r="P2488" s="335"/>
      <c r="Q2488" s="335"/>
      <c r="R2488" s="1158"/>
      <c r="S2488" s="291"/>
      <c r="T2488" s="291"/>
      <c r="U2488" s="291"/>
      <c r="V2488" s="291"/>
    </row>
    <row r="2489" spans="1:22" s="515" customFormat="1" ht="27" customHeight="1">
      <c r="A2489" s="331">
        <v>145</v>
      </c>
      <c r="B2489" s="506" t="s">
        <v>2137</v>
      </c>
      <c r="C2489" s="584" t="s">
        <v>2341</v>
      </c>
      <c r="D2489" s="1365">
        <v>1819</v>
      </c>
      <c r="E2489" s="475"/>
      <c r="F2489" s="1139"/>
      <c r="G2489" s="386"/>
      <c r="H2489" s="363"/>
      <c r="I2489" s="397"/>
      <c r="J2489" s="335"/>
      <c r="K2489" s="374">
        <f t="shared" si="103"/>
        <v>0</v>
      </c>
      <c r="L2489" s="338">
        <f t="shared" si="104"/>
        <v>0</v>
      </c>
      <c r="M2489" s="338"/>
      <c r="N2489" s="335"/>
      <c r="O2489" s="335"/>
      <c r="P2489" s="335"/>
      <c r="Q2489" s="335"/>
      <c r="R2489" s="1158"/>
      <c r="S2489" s="291"/>
      <c r="T2489" s="291"/>
      <c r="U2489" s="291"/>
      <c r="V2489" s="291"/>
    </row>
    <row r="2490" spans="1:22" s="515" customFormat="1" ht="27" customHeight="1">
      <c r="A2490" s="331">
        <v>146</v>
      </c>
      <c r="B2490" s="506" t="s">
        <v>2138</v>
      </c>
      <c r="C2490" s="584" t="s">
        <v>2342</v>
      </c>
      <c r="D2490" s="1369">
        <v>1819</v>
      </c>
      <c r="E2490" s="475"/>
      <c r="F2490" s="1139"/>
      <c r="G2490" s="386"/>
      <c r="H2490" s="363"/>
      <c r="I2490" s="397"/>
      <c r="J2490" s="335"/>
      <c r="K2490" s="374">
        <f t="shared" si="103"/>
        <v>0</v>
      </c>
      <c r="L2490" s="338">
        <f t="shared" si="104"/>
        <v>0</v>
      </c>
      <c r="M2490" s="338"/>
      <c r="N2490" s="335"/>
      <c r="O2490" s="335"/>
      <c r="P2490" s="335"/>
      <c r="Q2490" s="335"/>
      <c r="R2490" s="1158"/>
      <c r="S2490" s="291"/>
      <c r="T2490" s="291"/>
      <c r="U2490" s="291"/>
      <c r="V2490" s="291"/>
    </row>
    <row r="2491" spans="1:22" s="515" customFormat="1" ht="27" customHeight="1">
      <c r="A2491" s="331">
        <v>147</v>
      </c>
      <c r="B2491" s="506" t="s">
        <v>2138</v>
      </c>
      <c r="C2491" s="584" t="s">
        <v>2343</v>
      </c>
      <c r="D2491" s="1370">
        <v>1819</v>
      </c>
      <c r="E2491" s="475"/>
      <c r="F2491" s="1139"/>
      <c r="G2491" s="386"/>
      <c r="H2491" s="363"/>
      <c r="I2491" s="397"/>
      <c r="J2491" s="335"/>
      <c r="K2491" s="374">
        <f t="shared" ref="K2491:K2554" si="105">G2491*11.54/100</f>
        <v>0</v>
      </c>
      <c r="L2491" s="338">
        <f t="shared" si="104"/>
        <v>0</v>
      </c>
      <c r="M2491" s="338"/>
      <c r="N2491" s="335"/>
      <c r="O2491" s="335"/>
      <c r="P2491" s="335"/>
      <c r="Q2491" s="335"/>
      <c r="R2491" s="1158"/>
      <c r="S2491" s="291"/>
      <c r="T2491" s="291"/>
      <c r="U2491" s="291"/>
      <c r="V2491" s="291"/>
    </row>
    <row r="2492" spans="1:22" s="515" customFormat="1" ht="27" customHeight="1">
      <c r="A2492" s="331">
        <v>148</v>
      </c>
      <c r="B2492" s="506" t="s">
        <v>2139</v>
      </c>
      <c r="C2492" s="584" t="s">
        <v>2344</v>
      </c>
      <c r="D2492" s="1368">
        <v>1819</v>
      </c>
      <c r="E2492" s="475"/>
      <c r="F2492" s="1139"/>
      <c r="G2492" s="386"/>
      <c r="H2492" s="363"/>
      <c r="I2492" s="397"/>
      <c r="J2492" s="335"/>
      <c r="K2492" s="374">
        <f t="shared" si="105"/>
        <v>0</v>
      </c>
      <c r="L2492" s="338">
        <f t="shared" si="104"/>
        <v>0</v>
      </c>
      <c r="M2492" s="338"/>
      <c r="N2492" s="335"/>
      <c r="O2492" s="335"/>
      <c r="P2492" s="335"/>
      <c r="Q2492" s="335"/>
      <c r="R2492" s="1158"/>
      <c r="S2492" s="291"/>
      <c r="T2492" s="291"/>
      <c r="U2492" s="291"/>
      <c r="V2492" s="291"/>
    </row>
    <row r="2493" spans="1:22" s="515" customFormat="1" ht="27" customHeight="1">
      <c r="A2493" s="331">
        <v>149</v>
      </c>
      <c r="B2493" s="506" t="s">
        <v>2218</v>
      </c>
      <c r="C2493" s="584" t="s">
        <v>2345</v>
      </c>
      <c r="D2493" s="1368">
        <v>3852</v>
      </c>
      <c r="E2493" s="475"/>
      <c r="F2493" s="1139"/>
      <c r="G2493" s="386"/>
      <c r="H2493" s="363"/>
      <c r="I2493" s="397"/>
      <c r="J2493" s="335"/>
      <c r="K2493" s="374">
        <f t="shared" si="105"/>
        <v>0</v>
      </c>
      <c r="L2493" s="338">
        <f t="shared" si="104"/>
        <v>0</v>
      </c>
      <c r="M2493" s="338"/>
      <c r="N2493" s="335"/>
      <c r="O2493" s="335"/>
      <c r="P2493" s="335"/>
      <c r="Q2493" s="335"/>
      <c r="R2493" s="1158"/>
      <c r="S2493" s="291"/>
      <c r="T2493" s="291"/>
      <c r="U2493" s="291"/>
      <c r="V2493" s="291"/>
    </row>
    <row r="2494" spans="1:22" s="515" customFormat="1" ht="27" customHeight="1">
      <c r="A2494" s="331">
        <v>150</v>
      </c>
      <c r="B2494" s="506" t="s">
        <v>2140</v>
      </c>
      <c r="C2494" s="584" t="s">
        <v>2346</v>
      </c>
      <c r="D2494" s="1368">
        <v>4066</v>
      </c>
      <c r="E2494" s="475"/>
      <c r="F2494" s="1139"/>
      <c r="G2494" s="386"/>
      <c r="H2494" s="363"/>
      <c r="I2494" s="397"/>
      <c r="J2494" s="335"/>
      <c r="K2494" s="374">
        <f t="shared" si="105"/>
        <v>0</v>
      </c>
      <c r="L2494" s="338">
        <f t="shared" si="104"/>
        <v>0</v>
      </c>
      <c r="M2494" s="338"/>
      <c r="N2494" s="335"/>
      <c r="O2494" s="335"/>
      <c r="P2494" s="335"/>
      <c r="Q2494" s="335"/>
      <c r="R2494" s="1158"/>
      <c r="S2494" s="291"/>
      <c r="T2494" s="291"/>
      <c r="U2494" s="291"/>
      <c r="V2494" s="291"/>
    </row>
    <row r="2495" spans="1:22" s="515" customFormat="1" ht="27" customHeight="1">
      <c r="A2495" s="331">
        <v>151</v>
      </c>
      <c r="B2495" s="506" t="s">
        <v>2141</v>
      </c>
      <c r="C2495" s="584" t="s">
        <v>2347</v>
      </c>
      <c r="D2495" s="1370">
        <v>1819</v>
      </c>
      <c r="E2495" s="475"/>
      <c r="F2495" s="1139"/>
      <c r="G2495" s="386"/>
      <c r="H2495" s="363"/>
      <c r="I2495" s="397"/>
      <c r="J2495" s="335"/>
      <c r="K2495" s="374">
        <f t="shared" si="105"/>
        <v>0</v>
      </c>
      <c r="L2495" s="338">
        <f t="shared" si="104"/>
        <v>0</v>
      </c>
      <c r="M2495" s="338"/>
      <c r="N2495" s="335"/>
      <c r="O2495" s="335"/>
      <c r="P2495" s="335"/>
      <c r="Q2495" s="335"/>
      <c r="R2495" s="1158"/>
      <c r="S2495" s="291"/>
      <c r="T2495" s="291"/>
      <c r="U2495" s="291"/>
      <c r="V2495" s="291"/>
    </row>
    <row r="2496" spans="1:22" s="515" customFormat="1" ht="27" customHeight="1">
      <c r="A2496" s="331">
        <v>152</v>
      </c>
      <c r="B2496" s="506" t="s">
        <v>2142</v>
      </c>
      <c r="C2496" s="584" t="s">
        <v>2348</v>
      </c>
      <c r="D2496" s="1370">
        <v>1819</v>
      </c>
      <c r="E2496" s="475"/>
      <c r="F2496" s="1139"/>
      <c r="G2496" s="386"/>
      <c r="H2496" s="363"/>
      <c r="I2496" s="397"/>
      <c r="J2496" s="335"/>
      <c r="K2496" s="374">
        <f t="shared" si="105"/>
        <v>0</v>
      </c>
      <c r="L2496" s="338">
        <f t="shared" si="104"/>
        <v>0</v>
      </c>
      <c r="M2496" s="338"/>
      <c r="N2496" s="335"/>
      <c r="O2496" s="335"/>
      <c r="P2496" s="335"/>
      <c r="Q2496" s="335"/>
      <c r="R2496" s="1158"/>
      <c r="S2496" s="291"/>
      <c r="T2496" s="291"/>
      <c r="U2496" s="291"/>
      <c r="V2496" s="291"/>
    </row>
    <row r="2497" spans="1:22" s="515" customFormat="1" ht="27" customHeight="1">
      <c r="A2497" s="331">
        <v>153</v>
      </c>
      <c r="B2497" s="506" t="s">
        <v>2143</v>
      </c>
      <c r="C2497" s="584" t="s">
        <v>2349</v>
      </c>
      <c r="D2497" s="1370">
        <v>1819</v>
      </c>
      <c r="E2497" s="475"/>
      <c r="F2497" s="1139"/>
      <c r="G2497" s="386"/>
      <c r="H2497" s="363"/>
      <c r="I2497" s="397"/>
      <c r="J2497" s="335"/>
      <c r="K2497" s="374">
        <f t="shared" si="105"/>
        <v>0</v>
      </c>
      <c r="L2497" s="338">
        <f t="shared" si="104"/>
        <v>0</v>
      </c>
      <c r="M2497" s="338"/>
      <c r="N2497" s="335"/>
      <c r="O2497" s="335"/>
      <c r="P2497" s="335"/>
      <c r="Q2497" s="335"/>
      <c r="R2497" s="1158"/>
      <c r="S2497" s="291"/>
      <c r="T2497" s="291"/>
      <c r="U2497" s="291"/>
      <c r="V2497" s="291"/>
    </row>
    <row r="2498" spans="1:22" s="515" customFormat="1" ht="27" customHeight="1">
      <c r="A2498" s="331">
        <v>154</v>
      </c>
      <c r="B2498" s="506" t="s">
        <v>2144</v>
      </c>
      <c r="C2498" s="584" t="s">
        <v>2350</v>
      </c>
      <c r="D2498" s="1371">
        <v>1819</v>
      </c>
      <c r="E2498" s="475"/>
      <c r="F2498" s="1139"/>
      <c r="G2498" s="386"/>
      <c r="H2498" s="363"/>
      <c r="I2498" s="397"/>
      <c r="J2498" s="335"/>
      <c r="K2498" s="374">
        <f t="shared" si="105"/>
        <v>0</v>
      </c>
      <c r="L2498" s="338">
        <f t="shared" si="104"/>
        <v>0</v>
      </c>
      <c r="M2498" s="338"/>
      <c r="N2498" s="335"/>
      <c r="O2498" s="335"/>
      <c r="P2498" s="335"/>
      <c r="Q2498" s="335"/>
      <c r="R2498" s="1158"/>
      <c r="S2498" s="291"/>
      <c r="T2498" s="291"/>
      <c r="U2498" s="291"/>
      <c r="V2498" s="291"/>
    </row>
    <row r="2499" spans="1:22" s="515" customFormat="1" ht="27" customHeight="1">
      <c r="A2499" s="331">
        <v>155</v>
      </c>
      <c r="B2499" s="506" t="s">
        <v>2145</v>
      </c>
      <c r="C2499" s="584" t="s">
        <v>2351</v>
      </c>
      <c r="D2499" s="1370">
        <v>1819</v>
      </c>
      <c r="E2499" s="475"/>
      <c r="F2499" s="1139"/>
      <c r="G2499" s="386"/>
      <c r="H2499" s="363"/>
      <c r="I2499" s="397"/>
      <c r="J2499" s="335"/>
      <c r="K2499" s="374">
        <f t="shared" si="105"/>
        <v>0</v>
      </c>
      <c r="L2499" s="338">
        <f t="shared" si="104"/>
        <v>0</v>
      </c>
      <c r="M2499" s="338"/>
      <c r="N2499" s="335"/>
      <c r="O2499" s="335"/>
      <c r="P2499" s="335"/>
      <c r="Q2499" s="335"/>
      <c r="R2499" s="1158"/>
      <c r="S2499" s="291"/>
      <c r="T2499" s="291"/>
      <c r="U2499" s="291"/>
      <c r="V2499" s="291"/>
    </row>
    <row r="2500" spans="1:22" s="515" customFormat="1" ht="27" customHeight="1">
      <c r="A2500" s="331">
        <v>156</v>
      </c>
      <c r="B2500" s="506" t="s">
        <v>2711</v>
      </c>
      <c r="C2500" s="584" t="s">
        <v>2352</v>
      </c>
      <c r="D2500" s="1368">
        <v>1819</v>
      </c>
      <c r="E2500" s="475"/>
      <c r="F2500" s="1139"/>
      <c r="G2500" s="386"/>
      <c r="H2500" s="363"/>
      <c r="I2500" s="397"/>
      <c r="J2500" s="335"/>
      <c r="K2500" s="374">
        <f t="shared" si="105"/>
        <v>0</v>
      </c>
      <c r="L2500" s="338">
        <f t="shared" si="104"/>
        <v>0</v>
      </c>
      <c r="M2500" s="338"/>
      <c r="N2500" s="335"/>
      <c r="O2500" s="335"/>
      <c r="P2500" s="335"/>
      <c r="Q2500" s="335"/>
      <c r="R2500" s="1158"/>
      <c r="S2500" s="291"/>
      <c r="T2500" s="291"/>
      <c r="U2500" s="291"/>
      <c r="V2500" s="291"/>
    </row>
    <row r="2501" spans="1:22" s="515" customFormat="1" ht="27" customHeight="1">
      <c r="A2501" s="331">
        <v>157</v>
      </c>
      <c r="B2501" s="506" t="s">
        <v>2711</v>
      </c>
      <c r="C2501" s="584" t="s">
        <v>2353</v>
      </c>
      <c r="D2501" s="1498">
        <v>1819</v>
      </c>
      <c r="E2501" s="475"/>
      <c r="F2501" s="1139"/>
      <c r="G2501" s="386"/>
      <c r="H2501" s="363"/>
      <c r="I2501" s="397"/>
      <c r="J2501" s="335"/>
      <c r="K2501" s="374">
        <f t="shared" si="105"/>
        <v>0</v>
      </c>
      <c r="L2501" s="338">
        <f t="shared" si="104"/>
        <v>0</v>
      </c>
      <c r="M2501" s="338"/>
      <c r="N2501" s="335"/>
      <c r="O2501" s="335"/>
      <c r="P2501" s="335"/>
      <c r="Q2501" s="335"/>
      <c r="R2501" s="1158"/>
      <c r="S2501" s="291"/>
      <c r="T2501" s="291"/>
      <c r="U2501" s="291"/>
      <c r="V2501" s="291"/>
    </row>
    <row r="2502" spans="1:22" s="515" customFormat="1" ht="27" customHeight="1">
      <c r="A2502" s="331">
        <v>158</v>
      </c>
      <c r="B2502" s="506" t="s">
        <v>2711</v>
      </c>
      <c r="C2502" s="584" t="s">
        <v>2354</v>
      </c>
      <c r="D2502" s="1498">
        <v>1819</v>
      </c>
      <c r="E2502" s="475"/>
      <c r="F2502" s="1139"/>
      <c r="G2502" s="386"/>
      <c r="H2502" s="363"/>
      <c r="I2502" s="397"/>
      <c r="J2502" s="335"/>
      <c r="K2502" s="374">
        <f t="shared" si="105"/>
        <v>0</v>
      </c>
      <c r="L2502" s="338">
        <f t="shared" si="104"/>
        <v>0</v>
      </c>
      <c r="M2502" s="338"/>
      <c r="N2502" s="335"/>
      <c r="O2502" s="335"/>
      <c r="P2502" s="335"/>
      <c r="Q2502" s="335"/>
      <c r="R2502" s="1158"/>
      <c r="S2502" s="291"/>
      <c r="T2502" s="291"/>
      <c r="U2502" s="291"/>
      <c r="V2502" s="291"/>
    </row>
    <row r="2503" spans="1:22" s="515" customFormat="1" ht="27" customHeight="1">
      <c r="A2503" s="331">
        <v>159</v>
      </c>
      <c r="B2503" s="506" t="s">
        <v>2711</v>
      </c>
      <c r="C2503" s="584" t="s">
        <v>2355</v>
      </c>
      <c r="D2503" s="1370">
        <v>1819</v>
      </c>
      <c r="E2503" s="475"/>
      <c r="F2503" s="1139"/>
      <c r="G2503" s="386"/>
      <c r="H2503" s="363"/>
      <c r="I2503" s="397"/>
      <c r="J2503" s="335"/>
      <c r="K2503" s="374">
        <f t="shared" si="105"/>
        <v>0</v>
      </c>
      <c r="L2503" s="338">
        <f t="shared" si="104"/>
        <v>0</v>
      </c>
      <c r="M2503" s="338"/>
      <c r="N2503" s="335"/>
      <c r="O2503" s="335"/>
      <c r="P2503" s="335"/>
      <c r="Q2503" s="335"/>
      <c r="R2503" s="1158"/>
      <c r="S2503" s="291"/>
      <c r="T2503" s="291"/>
      <c r="U2503" s="291"/>
      <c r="V2503" s="291"/>
    </row>
    <row r="2504" spans="1:22" s="515" customFormat="1" ht="27" customHeight="1">
      <c r="A2504" s="331">
        <v>160</v>
      </c>
      <c r="B2504" s="506" t="s">
        <v>2126</v>
      </c>
      <c r="C2504" s="584" t="s">
        <v>2356</v>
      </c>
      <c r="D2504" s="1370">
        <v>1819</v>
      </c>
      <c r="E2504" s="475"/>
      <c r="F2504" s="1139"/>
      <c r="G2504" s="386"/>
      <c r="H2504" s="363"/>
      <c r="I2504" s="397"/>
      <c r="J2504" s="335"/>
      <c r="K2504" s="374">
        <f t="shared" si="105"/>
        <v>0</v>
      </c>
      <c r="L2504" s="338">
        <f t="shared" si="104"/>
        <v>0</v>
      </c>
      <c r="M2504" s="338"/>
      <c r="N2504" s="335"/>
      <c r="O2504" s="335"/>
      <c r="P2504" s="335"/>
      <c r="Q2504" s="335"/>
      <c r="R2504" s="1158"/>
      <c r="S2504" s="291"/>
      <c r="T2504" s="291"/>
      <c r="U2504" s="291"/>
      <c r="V2504" s="291"/>
    </row>
    <row r="2505" spans="1:22" s="515" customFormat="1" ht="27" customHeight="1">
      <c r="A2505" s="331">
        <v>161</v>
      </c>
      <c r="B2505" s="506" t="s">
        <v>2126</v>
      </c>
      <c r="C2505" s="584" t="s">
        <v>2357</v>
      </c>
      <c r="D2505" s="1370">
        <v>1819</v>
      </c>
      <c r="E2505" s="475"/>
      <c r="F2505" s="1139"/>
      <c r="G2505" s="386"/>
      <c r="H2505" s="363"/>
      <c r="I2505" s="397"/>
      <c r="J2505" s="335"/>
      <c r="K2505" s="374">
        <f t="shared" si="105"/>
        <v>0</v>
      </c>
      <c r="L2505" s="338">
        <f t="shared" si="104"/>
        <v>0</v>
      </c>
      <c r="M2505" s="338"/>
      <c r="N2505" s="335"/>
      <c r="O2505" s="335"/>
      <c r="P2505" s="335"/>
      <c r="Q2505" s="335"/>
      <c r="R2505" s="1158"/>
      <c r="S2505" s="291"/>
      <c r="T2505" s="291"/>
      <c r="U2505" s="291"/>
      <c r="V2505" s="291"/>
    </row>
    <row r="2506" spans="1:22" s="515" customFormat="1" ht="27" customHeight="1">
      <c r="A2506" s="331">
        <v>162</v>
      </c>
      <c r="B2506" s="506" t="s">
        <v>2126</v>
      </c>
      <c r="C2506" s="584" t="s">
        <v>2358</v>
      </c>
      <c r="D2506" s="1370">
        <v>1819</v>
      </c>
      <c r="E2506" s="475"/>
      <c r="F2506" s="1139"/>
      <c r="G2506" s="386"/>
      <c r="H2506" s="363"/>
      <c r="I2506" s="397"/>
      <c r="J2506" s="335"/>
      <c r="K2506" s="374">
        <f t="shared" si="105"/>
        <v>0</v>
      </c>
      <c r="L2506" s="338">
        <f t="shared" si="104"/>
        <v>0</v>
      </c>
      <c r="M2506" s="338"/>
      <c r="N2506" s="335"/>
      <c r="O2506" s="335"/>
      <c r="P2506" s="335"/>
      <c r="Q2506" s="335"/>
      <c r="R2506" s="1158"/>
      <c r="S2506" s="291"/>
      <c r="T2506" s="291"/>
      <c r="U2506" s="291"/>
      <c r="V2506" s="291"/>
    </row>
    <row r="2507" spans="1:22" s="515" customFormat="1" ht="27" customHeight="1">
      <c r="A2507" s="331">
        <v>163</v>
      </c>
      <c r="B2507" s="506" t="s">
        <v>2126</v>
      </c>
      <c r="C2507" s="584" t="s">
        <v>2359</v>
      </c>
      <c r="D2507" s="1370">
        <v>1819</v>
      </c>
      <c r="E2507" s="475"/>
      <c r="F2507" s="1139"/>
      <c r="G2507" s="386"/>
      <c r="H2507" s="363"/>
      <c r="I2507" s="397"/>
      <c r="J2507" s="335"/>
      <c r="K2507" s="374">
        <f t="shared" si="105"/>
        <v>0</v>
      </c>
      <c r="L2507" s="338">
        <f t="shared" si="104"/>
        <v>0</v>
      </c>
      <c r="M2507" s="338"/>
      <c r="N2507" s="335"/>
      <c r="O2507" s="335"/>
      <c r="P2507" s="335"/>
      <c r="Q2507" s="335"/>
      <c r="R2507" s="1158"/>
      <c r="S2507" s="291"/>
      <c r="T2507" s="291"/>
      <c r="U2507" s="291"/>
      <c r="V2507" s="291"/>
    </row>
    <row r="2508" spans="1:22" s="515" customFormat="1" ht="27" customHeight="1">
      <c r="A2508" s="331">
        <v>164</v>
      </c>
      <c r="B2508" s="506" t="s">
        <v>2126</v>
      </c>
      <c r="C2508" s="584" t="s">
        <v>2360</v>
      </c>
      <c r="D2508" s="1370">
        <v>1819</v>
      </c>
      <c r="E2508" s="475"/>
      <c r="F2508" s="1139"/>
      <c r="G2508" s="386"/>
      <c r="H2508" s="363"/>
      <c r="I2508" s="397"/>
      <c r="J2508" s="335"/>
      <c r="K2508" s="374">
        <f t="shared" si="105"/>
        <v>0</v>
      </c>
      <c r="L2508" s="338">
        <f t="shared" si="104"/>
        <v>0</v>
      </c>
      <c r="M2508" s="338"/>
      <c r="N2508" s="335"/>
      <c r="O2508" s="335"/>
      <c r="P2508" s="335"/>
      <c r="Q2508" s="335"/>
      <c r="R2508" s="1158"/>
      <c r="S2508" s="291"/>
      <c r="T2508" s="291"/>
      <c r="U2508" s="291"/>
      <c r="V2508" s="291"/>
    </row>
    <row r="2509" spans="1:22" s="515" customFormat="1" ht="27" customHeight="1">
      <c r="A2509" s="331">
        <v>165</v>
      </c>
      <c r="B2509" s="506" t="s">
        <v>2126</v>
      </c>
      <c r="C2509" s="584" t="s">
        <v>2361</v>
      </c>
      <c r="D2509" s="1370">
        <v>1819</v>
      </c>
      <c r="E2509" s="475"/>
      <c r="F2509" s="1139"/>
      <c r="G2509" s="386"/>
      <c r="H2509" s="363"/>
      <c r="I2509" s="397"/>
      <c r="J2509" s="335"/>
      <c r="K2509" s="374">
        <f t="shared" si="105"/>
        <v>0</v>
      </c>
      <c r="L2509" s="338">
        <f t="shared" si="104"/>
        <v>0</v>
      </c>
      <c r="M2509" s="338"/>
      <c r="N2509" s="335"/>
      <c r="O2509" s="335"/>
      <c r="P2509" s="335"/>
      <c r="Q2509" s="335"/>
      <c r="R2509" s="1158"/>
      <c r="S2509" s="291"/>
      <c r="T2509" s="291"/>
      <c r="U2509" s="291"/>
      <c r="V2509" s="291"/>
    </row>
    <row r="2510" spans="1:22" s="515" customFormat="1" ht="27" customHeight="1">
      <c r="A2510" s="331">
        <v>166</v>
      </c>
      <c r="B2510" s="506" t="s">
        <v>2146</v>
      </c>
      <c r="C2510" s="584" t="s">
        <v>2362</v>
      </c>
      <c r="D2510" s="1372">
        <v>1819</v>
      </c>
      <c r="E2510" s="475"/>
      <c r="F2510" s="1139"/>
      <c r="G2510" s="386"/>
      <c r="H2510" s="363"/>
      <c r="I2510" s="397"/>
      <c r="J2510" s="335"/>
      <c r="K2510" s="374">
        <f t="shared" si="105"/>
        <v>0</v>
      </c>
      <c r="L2510" s="338">
        <f t="shared" si="104"/>
        <v>0</v>
      </c>
      <c r="M2510" s="338"/>
      <c r="N2510" s="335"/>
      <c r="O2510" s="335"/>
      <c r="P2510" s="335"/>
      <c r="Q2510" s="335"/>
      <c r="R2510" s="1158"/>
      <c r="S2510" s="291"/>
      <c r="T2510" s="291"/>
      <c r="U2510" s="291"/>
      <c r="V2510" s="291"/>
    </row>
    <row r="2511" spans="1:22" s="515" customFormat="1" ht="27" customHeight="1">
      <c r="A2511" s="331">
        <v>167</v>
      </c>
      <c r="B2511" s="506" t="s">
        <v>2146</v>
      </c>
      <c r="C2511" s="584" t="s">
        <v>2363</v>
      </c>
      <c r="D2511" s="1372">
        <v>1819</v>
      </c>
      <c r="E2511" s="475"/>
      <c r="F2511" s="1139"/>
      <c r="G2511" s="386"/>
      <c r="H2511" s="363"/>
      <c r="I2511" s="397"/>
      <c r="J2511" s="335"/>
      <c r="K2511" s="374">
        <f t="shared" si="105"/>
        <v>0</v>
      </c>
      <c r="L2511" s="338">
        <f t="shared" si="104"/>
        <v>0</v>
      </c>
      <c r="M2511" s="338"/>
      <c r="N2511" s="335"/>
      <c r="O2511" s="335"/>
      <c r="P2511" s="335"/>
      <c r="Q2511" s="335"/>
      <c r="R2511" s="1158"/>
      <c r="S2511" s="291"/>
      <c r="T2511" s="291"/>
      <c r="U2511" s="291"/>
      <c r="V2511" s="291"/>
    </row>
    <row r="2512" spans="1:22" s="515" customFormat="1" ht="27" customHeight="1">
      <c r="A2512" s="331">
        <v>168</v>
      </c>
      <c r="B2512" s="506" t="s">
        <v>2146</v>
      </c>
      <c r="C2512" s="584" t="s">
        <v>2364</v>
      </c>
      <c r="D2512" s="1370">
        <v>1819</v>
      </c>
      <c r="E2512" s="475"/>
      <c r="F2512" s="1139"/>
      <c r="G2512" s="386"/>
      <c r="H2512" s="363"/>
      <c r="I2512" s="397"/>
      <c r="J2512" s="335"/>
      <c r="K2512" s="374">
        <f t="shared" si="105"/>
        <v>0</v>
      </c>
      <c r="L2512" s="338">
        <f t="shared" si="104"/>
        <v>0</v>
      </c>
      <c r="M2512" s="338"/>
      <c r="N2512" s="335"/>
      <c r="O2512" s="335"/>
      <c r="P2512" s="335"/>
      <c r="Q2512" s="335"/>
      <c r="R2512" s="1158"/>
      <c r="S2512" s="291"/>
      <c r="T2512" s="291"/>
      <c r="U2512" s="291"/>
      <c r="V2512" s="291"/>
    </row>
    <row r="2513" spans="1:22" s="515" customFormat="1" ht="27" customHeight="1">
      <c r="A2513" s="331">
        <v>169</v>
      </c>
      <c r="B2513" s="506" t="s">
        <v>2365</v>
      </c>
      <c r="C2513" s="584" t="s">
        <v>3605</v>
      </c>
      <c r="D2513" s="1370">
        <v>535</v>
      </c>
      <c r="E2513" s="475"/>
      <c r="F2513" s="1139"/>
      <c r="G2513" s="386"/>
      <c r="H2513" s="363"/>
      <c r="I2513" s="397"/>
      <c r="J2513" s="335"/>
      <c r="K2513" s="374">
        <f t="shared" si="105"/>
        <v>0</v>
      </c>
      <c r="L2513" s="338">
        <f t="shared" si="104"/>
        <v>0</v>
      </c>
      <c r="M2513" s="338"/>
      <c r="N2513" s="335"/>
      <c r="O2513" s="335"/>
      <c r="P2513" s="335"/>
      <c r="Q2513" s="335"/>
      <c r="R2513" s="1158"/>
      <c r="S2513" s="291"/>
      <c r="T2513" s="291"/>
      <c r="U2513" s="291"/>
      <c r="V2513" s="291"/>
    </row>
    <row r="2514" spans="1:22" s="515" customFormat="1" ht="27" customHeight="1">
      <c r="A2514" s="331">
        <v>170</v>
      </c>
      <c r="B2514" s="506" t="s">
        <v>2122</v>
      </c>
      <c r="C2514" s="584" t="s">
        <v>2366</v>
      </c>
      <c r="D2514" s="1370">
        <v>1819</v>
      </c>
      <c r="E2514" s="475"/>
      <c r="F2514" s="1139"/>
      <c r="G2514" s="386"/>
      <c r="H2514" s="363"/>
      <c r="I2514" s="397"/>
      <c r="J2514" s="335"/>
      <c r="K2514" s="374">
        <f t="shared" si="105"/>
        <v>0</v>
      </c>
      <c r="L2514" s="338">
        <f t="shared" si="104"/>
        <v>0</v>
      </c>
      <c r="M2514" s="338"/>
      <c r="N2514" s="335"/>
      <c r="O2514" s="335"/>
      <c r="P2514" s="335"/>
      <c r="Q2514" s="335"/>
      <c r="R2514" s="1158"/>
      <c r="S2514" s="291"/>
      <c r="T2514" s="291"/>
      <c r="U2514" s="291"/>
      <c r="V2514" s="291"/>
    </row>
    <row r="2515" spans="1:22" s="515" customFormat="1" ht="27" customHeight="1">
      <c r="A2515" s="331">
        <v>171</v>
      </c>
      <c r="B2515" s="506" t="s">
        <v>2147</v>
      </c>
      <c r="C2515" s="584" t="s">
        <v>2367</v>
      </c>
      <c r="D2515" s="1370">
        <v>1819</v>
      </c>
      <c r="E2515" s="475"/>
      <c r="F2515" s="1139"/>
      <c r="G2515" s="386"/>
      <c r="H2515" s="363"/>
      <c r="I2515" s="397"/>
      <c r="J2515" s="335"/>
      <c r="K2515" s="374">
        <f t="shared" si="105"/>
        <v>0</v>
      </c>
      <c r="L2515" s="338">
        <f t="shared" si="104"/>
        <v>0</v>
      </c>
      <c r="M2515" s="338"/>
      <c r="N2515" s="335"/>
      <c r="O2515" s="335"/>
      <c r="P2515" s="335"/>
      <c r="Q2515" s="335"/>
      <c r="R2515" s="1158"/>
      <c r="S2515" s="291"/>
      <c r="T2515" s="291"/>
      <c r="U2515" s="291"/>
      <c r="V2515" s="291"/>
    </row>
    <row r="2516" spans="1:22" s="515" customFormat="1" ht="27" customHeight="1">
      <c r="A2516" s="331">
        <v>172</v>
      </c>
      <c r="B2516" s="506" t="s">
        <v>2122</v>
      </c>
      <c r="C2516" s="584" t="s">
        <v>2368</v>
      </c>
      <c r="D2516" s="1370">
        <v>1819</v>
      </c>
      <c r="E2516" s="475"/>
      <c r="F2516" s="1139"/>
      <c r="G2516" s="386"/>
      <c r="H2516" s="363"/>
      <c r="I2516" s="397"/>
      <c r="J2516" s="335"/>
      <c r="K2516" s="374">
        <f t="shared" si="105"/>
        <v>0</v>
      </c>
      <c r="L2516" s="338">
        <f t="shared" si="104"/>
        <v>0</v>
      </c>
      <c r="M2516" s="338"/>
      <c r="N2516" s="335"/>
      <c r="O2516" s="335"/>
      <c r="P2516" s="335"/>
      <c r="Q2516" s="335"/>
      <c r="R2516" s="1158"/>
      <c r="S2516" s="291"/>
      <c r="T2516" s="291"/>
      <c r="U2516" s="291"/>
      <c r="V2516" s="291"/>
    </row>
    <row r="2517" spans="1:22" s="515" customFormat="1" ht="27" customHeight="1">
      <c r="A2517" s="331">
        <v>173</v>
      </c>
      <c r="B2517" s="506" t="s">
        <v>2712</v>
      </c>
      <c r="C2517" s="584" t="s">
        <v>3606</v>
      </c>
      <c r="D2517" s="1370">
        <v>535</v>
      </c>
      <c r="E2517" s="475"/>
      <c r="F2517" s="1139"/>
      <c r="G2517" s="386"/>
      <c r="H2517" s="363"/>
      <c r="I2517" s="397"/>
      <c r="J2517" s="335"/>
      <c r="K2517" s="374">
        <f t="shared" si="105"/>
        <v>0</v>
      </c>
      <c r="L2517" s="338">
        <f t="shared" si="104"/>
        <v>0</v>
      </c>
      <c r="M2517" s="338"/>
      <c r="N2517" s="335"/>
      <c r="O2517" s="335"/>
      <c r="P2517" s="335"/>
      <c r="Q2517" s="335"/>
      <c r="R2517" s="1158"/>
      <c r="S2517" s="291"/>
      <c r="T2517" s="291"/>
      <c r="U2517" s="291"/>
      <c r="V2517" s="291"/>
    </row>
    <row r="2518" spans="1:22" s="515" customFormat="1" ht="27" customHeight="1">
      <c r="A2518" s="331">
        <v>174</v>
      </c>
      <c r="B2518" s="506" t="s">
        <v>2148</v>
      </c>
      <c r="C2518" s="584" t="s">
        <v>2369</v>
      </c>
      <c r="D2518" s="1370">
        <v>1819</v>
      </c>
      <c r="E2518" s="475"/>
      <c r="F2518" s="1139"/>
      <c r="G2518" s="386"/>
      <c r="H2518" s="363"/>
      <c r="I2518" s="397"/>
      <c r="J2518" s="335"/>
      <c r="K2518" s="374">
        <f t="shared" si="105"/>
        <v>0</v>
      </c>
      <c r="L2518" s="338">
        <f t="shared" si="104"/>
        <v>0</v>
      </c>
      <c r="M2518" s="338"/>
      <c r="N2518" s="335"/>
      <c r="O2518" s="335"/>
      <c r="P2518" s="335"/>
      <c r="Q2518" s="335"/>
      <c r="R2518" s="1158"/>
      <c r="S2518" s="291"/>
      <c r="T2518" s="291"/>
      <c r="U2518" s="291"/>
      <c r="V2518" s="291"/>
    </row>
    <row r="2519" spans="1:22" s="515" customFormat="1" ht="27" customHeight="1">
      <c r="A2519" s="331">
        <v>175</v>
      </c>
      <c r="B2519" s="506" t="s">
        <v>3385</v>
      </c>
      <c r="C2519" s="584" t="s">
        <v>3386</v>
      </c>
      <c r="D2519" s="1368">
        <v>428</v>
      </c>
      <c r="E2519" s="475"/>
      <c r="F2519" s="1139"/>
      <c r="G2519" s="386"/>
      <c r="H2519" s="363"/>
      <c r="I2519" s="397"/>
      <c r="J2519" s="335"/>
      <c r="K2519" s="374">
        <f t="shared" si="105"/>
        <v>0</v>
      </c>
      <c r="L2519" s="338">
        <f t="shared" si="104"/>
        <v>0</v>
      </c>
      <c r="M2519" s="338"/>
      <c r="N2519" s="335"/>
      <c r="O2519" s="335"/>
      <c r="P2519" s="335"/>
      <c r="Q2519" s="335"/>
      <c r="R2519" s="1158"/>
      <c r="S2519" s="291"/>
      <c r="T2519" s="291"/>
      <c r="U2519" s="291"/>
      <c r="V2519" s="291"/>
    </row>
    <row r="2520" spans="1:22" s="515" customFormat="1" ht="27" customHeight="1">
      <c r="A2520" s="331">
        <v>176</v>
      </c>
      <c r="B2520" s="506" t="s">
        <v>2149</v>
      </c>
      <c r="C2520" s="584" t="s">
        <v>2370</v>
      </c>
      <c r="D2520" s="1368">
        <v>1819</v>
      </c>
      <c r="E2520" s="475"/>
      <c r="F2520" s="1139"/>
      <c r="G2520" s="386"/>
      <c r="H2520" s="363"/>
      <c r="I2520" s="397"/>
      <c r="J2520" s="335"/>
      <c r="K2520" s="374">
        <f t="shared" si="105"/>
        <v>0</v>
      </c>
      <c r="L2520" s="338">
        <f t="shared" si="104"/>
        <v>0</v>
      </c>
      <c r="M2520" s="338"/>
      <c r="N2520" s="335"/>
      <c r="O2520" s="335"/>
      <c r="P2520" s="335"/>
      <c r="Q2520" s="335"/>
      <c r="R2520" s="1158"/>
      <c r="S2520" s="291"/>
      <c r="T2520" s="291"/>
      <c r="U2520" s="291"/>
      <c r="V2520" s="291"/>
    </row>
    <row r="2521" spans="1:22" s="515" customFormat="1" ht="27" customHeight="1">
      <c r="A2521" s="331">
        <v>177</v>
      </c>
      <c r="B2521" s="506" t="s">
        <v>2149</v>
      </c>
      <c r="C2521" s="584" t="s">
        <v>2371</v>
      </c>
      <c r="D2521" s="1370">
        <v>1819</v>
      </c>
      <c r="E2521" s="475"/>
      <c r="F2521" s="1139"/>
      <c r="G2521" s="386"/>
      <c r="H2521" s="363"/>
      <c r="I2521" s="397"/>
      <c r="J2521" s="335"/>
      <c r="K2521" s="374">
        <f t="shared" si="105"/>
        <v>0</v>
      </c>
      <c r="L2521" s="338">
        <f t="shared" si="104"/>
        <v>0</v>
      </c>
      <c r="M2521" s="338"/>
      <c r="N2521" s="335"/>
      <c r="O2521" s="335"/>
      <c r="P2521" s="335"/>
      <c r="Q2521" s="335"/>
      <c r="R2521" s="1158"/>
      <c r="S2521" s="291"/>
      <c r="T2521" s="291"/>
      <c r="U2521" s="291"/>
      <c r="V2521" s="291"/>
    </row>
    <row r="2522" spans="1:22" s="515" customFormat="1" ht="27" customHeight="1">
      <c r="A2522" s="331">
        <v>178</v>
      </c>
      <c r="B2522" s="506" t="s">
        <v>3627</v>
      </c>
      <c r="C2522" s="584" t="s">
        <v>3607</v>
      </c>
      <c r="D2522" s="1370"/>
      <c r="E2522" s="475" t="s">
        <v>3416</v>
      </c>
      <c r="F2522" s="1139">
        <v>1</v>
      </c>
      <c r="G2522" s="386">
        <v>107</v>
      </c>
      <c r="H2522" s="363"/>
      <c r="I2522" s="397"/>
      <c r="J2522" s="335"/>
      <c r="K2522" s="374">
        <f t="shared" si="105"/>
        <v>12.347799999999999</v>
      </c>
      <c r="L2522" s="338">
        <f t="shared" si="104"/>
        <v>0</v>
      </c>
      <c r="M2522" s="338"/>
      <c r="N2522" s="335"/>
      <c r="O2522" s="335"/>
      <c r="P2522" s="335"/>
      <c r="Q2522" s="335"/>
      <c r="R2522" s="1158"/>
      <c r="S2522" s="291"/>
      <c r="T2522" s="291"/>
      <c r="U2522" s="291"/>
      <c r="V2522" s="291"/>
    </row>
    <row r="2523" spans="1:22" s="515" customFormat="1" ht="27" customHeight="1">
      <c r="A2523" s="331">
        <v>179</v>
      </c>
      <c r="B2523" s="506" t="s">
        <v>3003</v>
      </c>
      <c r="C2523" s="584" t="s">
        <v>3016</v>
      </c>
      <c r="D2523" s="1368">
        <v>535</v>
      </c>
      <c r="E2523" s="475"/>
      <c r="F2523" s="1139"/>
      <c r="G2523" s="386"/>
      <c r="H2523" s="363"/>
      <c r="I2523" s="397"/>
      <c r="J2523" s="335"/>
      <c r="K2523" s="374">
        <f t="shared" si="105"/>
        <v>0</v>
      </c>
      <c r="L2523" s="338">
        <f t="shared" si="104"/>
        <v>0</v>
      </c>
      <c r="M2523" s="338"/>
      <c r="N2523" s="335"/>
      <c r="O2523" s="335"/>
      <c r="P2523" s="335"/>
      <c r="Q2523" s="335"/>
      <c r="R2523" s="1158"/>
      <c r="S2523" s="291"/>
      <c r="T2523" s="291"/>
      <c r="U2523" s="291"/>
      <c r="V2523" s="291"/>
    </row>
    <row r="2524" spans="1:22" s="515" customFormat="1" ht="27" customHeight="1">
      <c r="A2524" s="331">
        <v>180</v>
      </c>
      <c r="B2524" s="506" t="s">
        <v>2150</v>
      </c>
      <c r="C2524" s="584" t="s">
        <v>2683</v>
      </c>
      <c r="D2524" s="1368">
        <v>1819</v>
      </c>
      <c r="E2524" s="475"/>
      <c r="F2524" s="1139"/>
      <c r="G2524" s="386"/>
      <c r="H2524" s="363"/>
      <c r="I2524" s="397"/>
      <c r="J2524" s="335"/>
      <c r="K2524" s="374">
        <f t="shared" si="105"/>
        <v>0</v>
      </c>
      <c r="L2524" s="338">
        <f t="shared" si="104"/>
        <v>0</v>
      </c>
      <c r="M2524" s="338"/>
      <c r="N2524" s="335"/>
      <c r="O2524" s="335"/>
      <c r="P2524" s="335"/>
      <c r="Q2524" s="335"/>
      <c r="R2524" s="1158"/>
      <c r="S2524" s="291"/>
      <c r="T2524" s="291"/>
      <c r="U2524" s="291"/>
      <c r="V2524" s="291"/>
    </row>
    <row r="2525" spans="1:22" s="515" customFormat="1" ht="27" customHeight="1">
      <c r="A2525" s="331">
        <v>181</v>
      </c>
      <c r="B2525" s="506" t="s">
        <v>3628</v>
      </c>
      <c r="C2525" s="584" t="s">
        <v>3608</v>
      </c>
      <c r="D2525" s="1370">
        <v>535</v>
      </c>
      <c r="E2525" s="475"/>
      <c r="F2525" s="1139"/>
      <c r="G2525" s="386"/>
      <c r="H2525" s="363"/>
      <c r="I2525" s="397"/>
      <c r="J2525" s="335"/>
      <c r="K2525" s="374">
        <f t="shared" si="105"/>
        <v>0</v>
      </c>
      <c r="L2525" s="338">
        <f t="shared" si="104"/>
        <v>0</v>
      </c>
      <c r="M2525" s="338"/>
      <c r="N2525" s="335"/>
      <c r="O2525" s="335"/>
      <c r="P2525" s="335"/>
      <c r="Q2525" s="335"/>
      <c r="R2525" s="1158"/>
      <c r="S2525" s="291"/>
      <c r="T2525" s="291"/>
      <c r="U2525" s="291"/>
      <c r="V2525" s="291"/>
    </row>
    <row r="2526" spans="1:22" s="515" customFormat="1" ht="27" customHeight="1">
      <c r="A2526" s="331">
        <v>182</v>
      </c>
      <c r="B2526" s="506" t="s">
        <v>2307</v>
      </c>
      <c r="C2526" s="584" t="s">
        <v>2372</v>
      </c>
      <c r="D2526" s="1370">
        <v>3424</v>
      </c>
      <c r="E2526" s="475"/>
      <c r="F2526" s="1139"/>
      <c r="G2526" s="386"/>
      <c r="H2526" s="363"/>
      <c r="I2526" s="397"/>
      <c r="J2526" s="335"/>
      <c r="K2526" s="374">
        <f t="shared" si="105"/>
        <v>0</v>
      </c>
      <c r="L2526" s="338">
        <f t="shared" si="104"/>
        <v>0</v>
      </c>
      <c r="M2526" s="338"/>
      <c r="N2526" s="335"/>
      <c r="O2526" s="335"/>
      <c r="P2526" s="335"/>
      <c r="Q2526" s="335"/>
      <c r="R2526" s="1158"/>
      <c r="S2526" s="291"/>
      <c r="T2526" s="291"/>
      <c r="U2526" s="291"/>
      <c r="V2526" s="291"/>
    </row>
    <row r="2527" spans="1:22" s="515" customFormat="1" ht="27" customHeight="1">
      <c r="A2527" s="331">
        <v>183</v>
      </c>
      <c r="B2527" s="506" t="s">
        <v>2151</v>
      </c>
      <c r="C2527" s="584" t="s">
        <v>3609</v>
      </c>
      <c r="D2527" s="1370"/>
      <c r="E2527" s="475" t="s">
        <v>3416</v>
      </c>
      <c r="F2527" s="1139">
        <v>1</v>
      </c>
      <c r="G2527" s="386">
        <v>107</v>
      </c>
      <c r="H2527" s="363"/>
      <c r="I2527" s="397"/>
      <c r="J2527" s="335"/>
      <c r="K2527" s="374">
        <f t="shared" si="105"/>
        <v>12.347799999999999</v>
      </c>
      <c r="L2527" s="338">
        <f t="shared" si="104"/>
        <v>0</v>
      </c>
      <c r="M2527" s="338"/>
      <c r="N2527" s="335"/>
      <c r="O2527" s="335"/>
      <c r="P2527" s="335"/>
      <c r="Q2527" s="335"/>
      <c r="R2527" s="1158"/>
      <c r="S2527" s="291"/>
      <c r="T2527" s="291"/>
      <c r="U2527" s="291"/>
      <c r="V2527" s="291"/>
    </row>
    <row r="2528" spans="1:22" s="515" customFormat="1" ht="27" customHeight="1">
      <c r="A2528" s="331">
        <v>184</v>
      </c>
      <c r="B2528" s="506" t="s">
        <v>3629</v>
      </c>
      <c r="C2528" s="584" t="s">
        <v>3610</v>
      </c>
      <c r="D2528" s="1370"/>
      <c r="E2528" s="475" t="s">
        <v>3416</v>
      </c>
      <c r="F2528" s="1139">
        <v>1</v>
      </c>
      <c r="G2528" s="386">
        <v>107</v>
      </c>
      <c r="H2528" s="363"/>
      <c r="I2528" s="397"/>
      <c r="J2528" s="335"/>
      <c r="K2528" s="374">
        <f t="shared" si="105"/>
        <v>12.347799999999999</v>
      </c>
      <c r="L2528" s="338">
        <f t="shared" si="104"/>
        <v>0</v>
      </c>
      <c r="M2528" s="338"/>
      <c r="N2528" s="335"/>
      <c r="O2528" s="335"/>
      <c r="P2528" s="335"/>
      <c r="Q2528" s="335"/>
      <c r="R2528" s="1158"/>
      <c r="S2528" s="291"/>
      <c r="T2528" s="291"/>
      <c r="U2528" s="291"/>
      <c r="V2528" s="291"/>
    </row>
    <row r="2529" spans="1:22" s="515" customFormat="1" ht="27" customHeight="1">
      <c r="A2529" s="331">
        <v>185</v>
      </c>
      <c r="B2529" s="506" t="s">
        <v>2151</v>
      </c>
      <c r="C2529" s="584" t="s">
        <v>3611</v>
      </c>
      <c r="D2529" s="1370"/>
      <c r="E2529" s="475" t="s">
        <v>3416</v>
      </c>
      <c r="F2529" s="1139">
        <v>1</v>
      </c>
      <c r="G2529" s="386">
        <v>107</v>
      </c>
      <c r="H2529" s="363"/>
      <c r="I2529" s="397"/>
      <c r="J2529" s="335"/>
      <c r="K2529" s="374">
        <f t="shared" si="105"/>
        <v>12.347799999999999</v>
      </c>
      <c r="L2529" s="338">
        <f t="shared" si="104"/>
        <v>0</v>
      </c>
      <c r="M2529" s="338"/>
      <c r="N2529" s="335"/>
      <c r="O2529" s="335"/>
      <c r="P2529" s="335"/>
      <c r="Q2529" s="335"/>
      <c r="R2529" s="1158"/>
      <c r="S2529" s="291"/>
      <c r="T2529" s="291"/>
      <c r="U2529" s="291"/>
      <c r="V2529" s="291"/>
    </row>
    <row r="2530" spans="1:22" s="515" customFormat="1" ht="27" customHeight="1">
      <c r="A2530" s="331">
        <v>186</v>
      </c>
      <c r="B2530" s="506" t="s">
        <v>3629</v>
      </c>
      <c r="C2530" s="584" t="s">
        <v>3612</v>
      </c>
      <c r="D2530" s="1370"/>
      <c r="E2530" s="475" t="s">
        <v>3416</v>
      </c>
      <c r="F2530" s="1139">
        <v>1</v>
      </c>
      <c r="G2530" s="386">
        <v>107</v>
      </c>
      <c r="H2530" s="363"/>
      <c r="I2530" s="397"/>
      <c r="J2530" s="335"/>
      <c r="K2530" s="374">
        <f t="shared" si="105"/>
        <v>12.347799999999999</v>
      </c>
      <c r="L2530" s="338">
        <f t="shared" si="104"/>
        <v>0</v>
      </c>
      <c r="M2530" s="338"/>
      <c r="N2530" s="335"/>
      <c r="O2530" s="335"/>
      <c r="P2530" s="335"/>
      <c r="Q2530" s="335"/>
      <c r="R2530" s="1158"/>
      <c r="S2530" s="291"/>
      <c r="T2530" s="291"/>
      <c r="U2530" s="291"/>
      <c r="V2530" s="291"/>
    </row>
    <row r="2531" spans="1:22" s="515" customFormat="1" ht="27" customHeight="1">
      <c r="A2531" s="331">
        <v>187</v>
      </c>
      <c r="B2531" s="506" t="s">
        <v>3630</v>
      </c>
      <c r="C2531" s="584" t="s">
        <v>3613</v>
      </c>
      <c r="D2531" s="1370"/>
      <c r="E2531" s="475" t="s">
        <v>3416</v>
      </c>
      <c r="F2531" s="1139">
        <v>1</v>
      </c>
      <c r="G2531" s="386">
        <v>107</v>
      </c>
      <c r="H2531" s="363"/>
      <c r="I2531" s="397"/>
      <c r="J2531" s="335"/>
      <c r="K2531" s="374">
        <f t="shared" si="105"/>
        <v>12.347799999999999</v>
      </c>
      <c r="L2531" s="338">
        <f t="shared" si="104"/>
        <v>0</v>
      </c>
      <c r="M2531" s="338"/>
      <c r="N2531" s="335"/>
      <c r="O2531" s="335"/>
      <c r="P2531" s="335"/>
      <c r="Q2531" s="335"/>
      <c r="R2531" s="1158"/>
      <c r="S2531" s="291"/>
      <c r="T2531" s="291"/>
      <c r="U2531" s="291"/>
      <c r="V2531" s="291"/>
    </row>
    <row r="2532" spans="1:22" s="515" customFormat="1" ht="27" customHeight="1">
      <c r="A2532" s="331">
        <v>188</v>
      </c>
      <c r="B2532" s="506" t="s">
        <v>2152</v>
      </c>
      <c r="C2532" s="584" t="s">
        <v>2373</v>
      </c>
      <c r="D2532" s="1370">
        <v>1819</v>
      </c>
      <c r="E2532" s="475"/>
      <c r="F2532" s="1139"/>
      <c r="G2532" s="386"/>
      <c r="H2532" s="363"/>
      <c r="I2532" s="397"/>
      <c r="J2532" s="335"/>
      <c r="K2532" s="374">
        <f t="shared" si="105"/>
        <v>0</v>
      </c>
      <c r="L2532" s="338">
        <f t="shared" si="104"/>
        <v>0</v>
      </c>
      <c r="M2532" s="338"/>
      <c r="N2532" s="335"/>
      <c r="O2532" s="335"/>
      <c r="P2532" s="335"/>
      <c r="Q2532" s="335"/>
      <c r="R2532" s="1158"/>
      <c r="S2532" s="291"/>
      <c r="T2532" s="291"/>
      <c r="U2532" s="291"/>
      <c r="V2532" s="291"/>
    </row>
    <row r="2533" spans="1:22" s="515" customFormat="1" ht="27" customHeight="1">
      <c r="A2533" s="331">
        <v>189</v>
      </c>
      <c r="B2533" s="506" t="s">
        <v>2154</v>
      </c>
      <c r="C2533" s="584" t="s">
        <v>2374</v>
      </c>
      <c r="D2533" s="1370">
        <v>1819</v>
      </c>
      <c r="E2533" s="475"/>
      <c r="F2533" s="1139"/>
      <c r="G2533" s="386"/>
      <c r="H2533" s="363"/>
      <c r="I2533" s="397"/>
      <c r="J2533" s="335"/>
      <c r="K2533" s="374">
        <f t="shared" si="105"/>
        <v>0</v>
      </c>
      <c r="L2533" s="338">
        <f t="shared" si="104"/>
        <v>0</v>
      </c>
      <c r="M2533" s="338"/>
      <c r="N2533" s="335"/>
      <c r="O2533" s="335"/>
      <c r="P2533" s="335"/>
      <c r="Q2533" s="335"/>
      <c r="R2533" s="1158"/>
      <c r="S2533" s="291"/>
      <c r="T2533" s="291"/>
      <c r="U2533" s="291"/>
      <c r="V2533" s="291"/>
    </row>
    <row r="2534" spans="1:22" s="515" customFormat="1" ht="27" customHeight="1">
      <c r="A2534" s="331">
        <v>190</v>
      </c>
      <c r="B2534" s="506" t="s">
        <v>2152</v>
      </c>
      <c r="C2534" s="584" t="s">
        <v>2375</v>
      </c>
      <c r="D2534" s="1370">
        <v>1819</v>
      </c>
      <c r="E2534" s="475"/>
      <c r="F2534" s="1139"/>
      <c r="G2534" s="386"/>
      <c r="H2534" s="363"/>
      <c r="I2534" s="397"/>
      <c r="J2534" s="335"/>
      <c r="K2534" s="374">
        <f t="shared" si="105"/>
        <v>0</v>
      </c>
      <c r="L2534" s="338">
        <f t="shared" si="104"/>
        <v>0</v>
      </c>
      <c r="M2534" s="338"/>
      <c r="N2534" s="335"/>
      <c r="O2534" s="335"/>
      <c r="P2534" s="335"/>
      <c r="Q2534" s="335"/>
      <c r="R2534" s="1158"/>
      <c r="S2534" s="291"/>
      <c r="T2534" s="291"/>
      <c r="U2534" s="291"/>
      <c r="V2534" s="291"/>
    </row>
    <row r="2535" spans="1:22" s="515" customFormat="1" ht="27" customHeight="1">
      <c r="A2535" s="331">
        <v>191</v>
      </c>
      <c r="B2535" s="506" t="s">
        <v>2713</v>
      </c>
      <c r="C2535" s="584" t="s">
        <v>2376</v>
      </c>
      <c r="D2535" s="1370">
        <v>1819</v>
      </c>
      <c r="E2535" s="475"/>
      <c r="F2535" s="1139"/>
      <c r="G2535" s="386"/>
      <c r="H2535" s="363"/>
      <c r="I2535" s="397"/>
      <c r="J2535" s="335"/>
      <c r="K2535" s="374">
        <f t="shared" si="105"/>
        <v>0</v>
      </c>
      <c r="L2535" s="338">
        <f t="shared" si="104"/>
        <v>0</v>
      </c>
      <c r="M2535" s="338"/>
      <c r="N2535" s="335"/>
      <c r="O2535" s="335"/>
      <c r="P2535" s="335"/>
      <c r="Q2535" s="335"/>
      <c r="R2535" s="1158"/>
      <c r="S2535" s="291"/>
      <c r="T2535" s="291"/>
      <c r="U2535" s="291"/>
      <c r="V2535" s="291"/>
    </row>
    <row r="2536" spans="1:22" s="515" customFormat="1" ht="27" customHeight="1">
      <c r="A2536" s="331">
        <v>192</v>
      </c>
      <c r="B2536" s="506" t="s">
        <v>2156</v>
      </c>
      <c r="C2536" s="584" t="s">
        <v>2377</v>
      </c>
      <c r="D2536" s="1370">
        <v>1819</v>
      </c>
      <c r="E2536" s="475"/>
      <c r="F2536" s="1139"/>
      <c r="G2536" s="386"/>
      <c r="H2536" s="363"/>
      <c r="I2536" s="397"/>
      <c r="J2536" s="335"/>
      <c r="K2536" s="374">
        <f t="shared" si="105"/>
        <v>0</v>
      </c>
      <c r="L2536" s="338">
        <f t="shared" si="104"/>
        <v>0</v>
      </c>
      <c r="M2536" s="338"/>
      <c r="N2536" s="335"/>
      <c r="O2536" s="335"/>
      <c r="P2536" s="335"/>
      <c r="Q2536" s="335"/>
      <c r="R2536" s="1158"/>
      <c r="S2536" s="291"/>
      <c r="T2536" s="291"/>
      <c r="U2536" s="291"/>
      <c r="V2536" s="291"/>
    </row>
    <row r="2537" spans="1:22" s="515" customFormat="1" ht="27" customHeight="1">
      <c r="A2537" s="331">
        <v>193</v>
      </c>
      <c r="B2537" s="506" t="s">
        <v>2157</v>
      </c>
      <c r="C2537" s="584" t="s">
        <v>2378</v>
      </c>
      <c r="D2537" s="1370">
        <v>1819</v>
      </c>
      <c r="E2537" s="475"/>
      <c r="F2537" s="1139"/>
      <c r="G2537" s="386"/>
      <c r="H2537" s="363"/>
      <c r="I2537" s="397"/>
      <c r="J2537" s="335"/>
      <c r="K2537" s="374">
        <f t="shared" si="105"/>
        <v>0</v>
      </c>
      <c r="L2537" s="338">
        <f t="shared" si="104"/>
        <v>0</v>
      </c>
      <c r="M2537" s="338"/>
      <c r="N2537" s="335"/>
      <c r="O2537" s="335"/>
      <c r="P2537" s="335"/>
      <c r="Q2537" s="335"/>
      <c r="R2537" s="1158"/>
      <c r="S2537" s="291"/>
      <c r="T2537" s="291"/>
      <c r="U2537" s="291"/>
      <c r="V2537" s="291"/>
    </row>
    <row r="2538" spans="1:22" s="515" customFormat="1" ht="27" customHeight="1">
      <c r="A2538" s="331">
        <v>194</v>
      </c>
      <c r="B2538" s="506" t="s">
        <v>2156</v>
      </c>
      <c r="C2538" s="584" t="s">
        <v>2379</v>
      </c>
      <c r="D2538" s="1370">
        <v>1819</v>
      </c>
      <c r="E2538" s="475"/>
      <c r="F2538" s="1139"/>
      <c r="G2538" s="386"/>
      <c r="H2538" s="363"/>
      <c r="I2538" s="397"/>
      <c r="J2538" s="335"/>
      <c r="K2538" s="374">
        <f t="shared" si="105"/>
        <v>0</v>
      </c>
      <c r="L2538" s="338">
        <f t="shared" si="104"/>
        <v>0</v>
      </c>
      <c r="M2538" s="338"/>
      <c r="N2538" s="335"/>
      <c r="O2538" s="335"/>
      <c r="P2538" s="335"/>
      <c r="Q2538" s="335"/>
      <c r="R2538" s="1158"/>
      <c r="S2538" s="291"/>
      <c r="T2538" s="291"/>
      <c r="U2538" s="291"/>
      <c r="V2538" s="291"/>
    </row>
    <row r="2539" spans="1:22" s="515" customFormat="1" ht="27" customHeight="1">
      <c r="A2539" s="331">
        <v>195</v>
      </c>
      <c r="B2539" s="506" t="s">
        <v>2713</v>
      </c>
      <c r="C2539" s="584" t="s">
        <v>2380</v>
      </c>
      <c r="D2539" s="1370">
        <v>1819</v>
      </c>
      <c r="E2539" s="475"/>
      <c r="F2539" s="1139"/>
      <c r="G2539" s="386"/>
      <c r="H2539" s="363"/>
      <c r="I2539" s="397"/>
      <c r="J2539" s="335"/>
      <c r="K2539" s="374">
        <f t="shared" si="105"/>
        <v>0</v>
      </c>
      <c r="L2539" s="338">
        <f t="shared" ref="L2539:L2602" si="106">+J2539</f>
        <v>0</v>
      </c>
      <c r="M2539" s="338"/>
      <c r="N2539" s="335"/>
      <c r="O2539" s="335"/>
      <c r="P2539" s="335"/>
      <c r="Q2539" s="335"/>
      <c r="R2539" s="1158"/>
      <c r="S2539" s="291"/>
      <c r="T2539" s="291"/>
      <c r="U2539" s="291"/>
      <c r="V2539" s="291"/>
    </row>
    <row r="2540" spans="1:22" s="515" customFormat="1" ht="27" customHeight="1">
      <c r="A2540" s="331">
        <v>196</v>
      </c>
      <c r="B2540" s="506" t="s">
        <v>2158</v>
      </c>
      <c r="C2540" s="584" t="s">
        <v>3017</v>
      </c>
      <c r="D2540" s="1370">
        <v>535</v>
      </c>
      <c r="E2540" s="475"/>
      <c r="F2540" s="1139"/>
      <c r="G2540" s="386"/>
      <c r="H2540" s="363"/>
      <c r="I2540" s="397"/>
      <c r="J2540" s="335"/>
      <c r="K2540" s="374">
        <f t="shared" si="105"/>
        <v>0</v>
      </c>
      <c r="L2540" s="338">
        <f t="shared" si="106"/>
        <v>0</v>
      </c>
      <c r="M2540" s="338"/>
      <c r="N2540" s="335"/>
      <c r="O2540" s="335"/>
      <c r="P2540" s="335"/>
      <c r="Q2540" s="335"/>
      <c r="R2540" s="1158"/>
      <c r="S2540" s="291"/>
      <c r="T2540" s="291"/>
      <c r="U2540" s="291"/>
      <c r="V2540" s="291"/>
    </row>
    <row r="2541" spans="1:22" s="515" customFormat="1" ht="27" customHeight="1">
      <c r="A2541" s="331">
        <v>197</v>
      </c>
      <c r="B2541" s="506" t="s">
        <v>2678</v>
      </c>
      <c r="C2541" s="584" t="s">
        <v>3018</v>
      </c>
      <c r="D2541" s="475">
        <v>535</v>
      </c>
      <c r="E2541" s="475"/>
      <c r="F2541" s="1139"/>
      <c r="G2541" s="386"/>
      <c r="H2541" s="363"/>
      <c r="I2541" s="397"/>
      <c r="J2541" s="335"/>
      <c r="K2541" s="374">
        <f t="shared" si="105"/>
        <v>0</v>
      </c>
      <c r="L2541" s="338">
        <f t="shared" si="106"/>
        <v>0</v>
      </c>
      <c r="M2541" s="338"/>
      <c r="N2541" s="335"/>
      <c r="O2541" s="335"/>
      <c r="P2541" s="335"/>
      <c r="Q2541" s="335"/>
      <c r="R2541" s="1158"/>
      <c r="S2541" s="291"/>
      <c r="T2541" s="291"/>
      <c r="U2541" s="291"/>
      <c r="V2541" s="291"/>
    </row>
    <row r="2542" spans="1:22" s="515" customFormat="1" ht="27" customHeight="1">
      <c r="A2542" s="331">
        <v>198</v>
      </c>
      <c r="B2542" s="506" t="s">
        <v>2160</v>
      </c>
      <c r="C2542" s="584" t="s">
        <v>2381</v>
      </c>
      <c r="D2542" s="475">
        <v>1819</v>
      </c>
      <c r="E2542" s="475"/>
      <c r="F2542" s="1139"/>
      <c r="G2542" s="386"/>
      <c r="H2542" s="363"/>
      <c r="I2542" s="397"/>
      <c r="J2542" s="335"/>
      <c r="K2542" s="374">
        <f t="shared" si="105"/>
        <v>0</v>
      </c>
      <c r="L2542" s="338">
        <f t="shared" si="106"/>
        <v>0</v>
      </c>
      <c r="M2542" s="338"/>
      <c r="N2542" s="335"/>
      <c r="O2542" s="335"/>
      <c r="P2542" s="335"/>
      <c r="Q2542" s="335"/>
      <c r="R2542" s="1158"/>
      <c r="S2542" s="291"/>
      <c r="T2542" s="291"/>
      <c r="U2542" s="291"/>
      <c r="V2542" s="291"/>
    </row>
    <row r="2543" spans="1:22" s="515" customFormat="1" ht="27" customHeight="1">
      <c r="A2543" s="331">
        <v>199</v>
      </c>
      <c r="B2543" s="506" t="s">
        <v>2713</v>
      </c>
      <c r="C2543" s="584" t="s">
        <v>2382</v>
      </c>
      <c r="D2543" s="475">
        <v>1819</v>
      </c>
      <c r="E2543" s="475"/>
      <c r="F2543" s="1139"/>
      <c r="G2543" s="386"/>
      <c r="H2543" s="363"/>
      <c r="I2543" s="397"/>
      <c r="J2543" s="335"/>
      <c r="K2543" s="374">
        <f t="shared" si="105"/>
        <v>0</v>
      </c>
      <c r="L2543" s="338">
        <f t="shared" si="106"/>
        <v>0</v>
      </c>
      <c r="M2543" s="338"/>
      <c r="N2543" s="335"/>
      <c r="O2543" s="335"/>
      <c r="P2543" s="335"/>
      <c r="Q2543" s="335"/>
      <c r="R2543" s="1158"/>
      <c r="S2543" s="291"/>
      <c r="T2543" s="291"/>
      <c r="U2543" s="291"/>
      <c r="V2543" s="291"/>
    </row>
    <row r="2544" spans="1:22" s="515" customFormat="1" ht="27" customHeight="1">
      <c r="A2544" s="331">
        <v>200</v>
      </c>
      <c r="B2544" s="506" t="s">
        <v>2161</v>
      </c>
      <c r="C2544" s="584" t="s">
        <v>2383</v>
      </c>
      <c r="D2544" s="382">
        <v>1819</v>
      </c>
      <c r="E2544" s="475"/>
      <c r="F2544" s="1139"/>
      <c r="G2544" s="386"/>
      <c r="H2544" s="363"/>
      <c r="I2544" s="397"/>
      <c r="J2544" s="335"/>
      <c r="K2544" s="374">
        <f t="shared" si="105"/>
        <v>0</v>
      </c>
      <c r="L2544" s="338">
        <f t="shared" si="106"/>
        <v>0</v>
      </c>
      <c r="M2544" s="338"/>
      <c r="N2544" s="335"/>
      <c r="O2544" s="335"/>
      <c r="P2544" s="335"/>
      <c r="Q2544" s="335"/>
      <c r="R2544" s="1158"/>
      <c r="S2544" s="291"/>
      <c r="T2544" s="291"/>
      <c r="U2544" s="291"/>
      <c r="V2544" s="291"/>
    </row>
    <row r="2545" spans="1:22" s="515" customFormat="1" ht="27" customHeight="1">
      <c r="A2545" s="331">
        <v>201</v>
      </c>
      <c r="B2545" s="506" t="s">
        <v>2162</v>
      </c>
      <c r="C2545" s="584" t="s">
        <v>2384</v>
      </c>
      <c r="D2545" s="382">
        <v>1819</v>
      </c>
      <c r="E2545" s="475"/>
      <c r="F2545" s="1139"/>
      <c r="G2545" s="386"/>
      <c r="H2545" s="363"/>
      <c r="I2545" s="397"/>
      <c r="J2545" s="335"/>
      <c r="K2545" s="374">
        <f t="shared" si="105"/>
        <v>0</v>
      </c>
      <c r="L2545" s="338">
        <f t="shared" si="106"/>
        <v>0</v>
      </c>
      <c r="M2545" s="338"/>
      <c r="N2545" s="335"/>
      <c r="O2545" s="335"/>
      <c r="P2545" s="335"/>
      <c r="Q2545" s="335"/>
      <c r="R2545" s="1158"/>
      <c r="S2545" s="291"/>
      <c r="T2545" s="291"/>
      <c r="U2545" s="291"/>
      <c r="V2545" s="291"/>
    </row>
    <row r="2546" spans="1:22" s="515" customFormat="1" ht="27" customHeight="1">
      <c r="A2546" s="331">
        <v>202</v>
      </c>
      <c r="B2546" s="506" t="s">
        <v>2163</v>
      </c>
      <c r="C2546" s="584" t="s">
        <v>2385</v>
      </c>
      <c r="D2546" s="382">
        <v>1819</v>
      </c>
      <c r="E2546" s="475"/>
      <c r="F2546" s="1139"/>
      <c r="G2546" s="386"/>
      <c r="H2546" s="363"/>
      <c r="I2546" s="397"/>
      <c r="J2546" s="335"/>
      <c r="K2546" s="374">
        <f t="shared" si="105"/>
        <v>0</v>
      </c>
      <c r="L2546" s="338">
        <f t="shared" si="106"/>
        <v>0</v>
      </c>
      <c r="M2546" s="338"/>
      <c r="N2546" s="335"/>
      <c r="O2546" s="335"/>
      <c r="P2546" s="335"/>
      <c r="Q2546" s="335"/>
      <c r="R2546" s="1158"/>
      <c r="S2546" s="291"/>
      <c r="T2546" s="291"/>
      <c r="U2546" s="291"/>
      <c r="V2546" s="291"/>
    </row>
    <row r="2547" spans="1:22" s="515" customFormat="1" ht="27" customHeight="1">
      <c r="A2547" s="331">
        <v>203</v>
      </c>
      <c r="B2547" s="506" t="s">
        <v>2162</v>
      </c>
      <c r="C2547" s="584" t="s">
        <v>2386</v>
      </c>
      <c r="D2547" s="475">
        <v>1819</v>
      </c>
      <c r="E2547" s="475"/>
      <c r="F2547" s="1139"/>
      <c r="G2547" s="386"/>
      <c r="H2547" s="363"/>
      <c r="I2547" s="397"/>
      <c r="J2547" s="335"/>
      <c r="K2547" s="374">
        <f t="shared" si="105"/>
        <v>0</v>
      </c>
      <c r="L2547" s="338">
        <f t="shared" si="106"/>
        <v>0</v>
      </c>
      <c r="M2547" s="338"/>
      <c r="N2547" s="335"/>
      <c r="O2547" s="335"/>
      <c r="P2547" s="335"/>
      <c r="Q2547" s="335"/>
      <c r="R2547" s="1158"/>
      <c r="S2547" s="291"/>
      <c r="T2547" s="291"/>
      <c r="U2547" s="291"/>
      <c r="V2547" s="291"/>
    </row>
    <row r="2548" spans="1:22" s="515" customFormat="1" ht="27" customHeight="1">
      <c r="A2548" s="331">
        <v>204</v>
      </c>
      <c r="B2548" s="506" t="s">
        <v>2164</v>
      </c>
      <c r="C2548" s="584" t="s">
        <v>2387</v>
      </c>
      <c r="D2548" s="475">
        <v>1819</v>
      </c>
      <c r="E2548" s="475"/>
      <c r="F2548" s="1139"/>
      <c r="G2548" s="386"/>
      <c r="H2548" s="363"/>
      <c r="I2548" s="397"/>
      <c r="J2548" s="335"/>
      <c r="K2548" s="374">
        <f t="shared" si="105"/>
        <v>0</v>
      </c>
      <c r="L2548" s="338">
        <f t="shared" si="106"/>
        <v>0</v>
      </c>
      <c r="M2548" s="338"/>
      <c r="N2548" s="335"/>
      <c r="O2548" s="335"/>
      <c r="P2548" s="335"/>
      <c r="Q2548" s="335"/>
      <c r="R2548" s="1158"/>
      <c r="S2548" s="291"/>
      <c r="T2548" s="291"/>
      <c r="U2548" s="291"/>
      <c r="V2548" s="291"/>
    </row>
    <row r="2549" spans="1:22" s="515" customFormat="1" ht="27" customHeight="1">
      <c r="A2549" s="331">
        <v>205</v>
      </c>
      <c r="B2549" s="506" t="s">
        <v>2388</v>
      </c>
      <c r="C2549" s="584" t="s">
        <v>2389</v>
      </c>
      <c r="D2549" s="475">
        <v>1819</v>
      </c>
      <c r="E2549" s="475"/>
      <c r="F2549" s="1139"/>
      <c r="G2549" s="386"/>
      <c r="H2549" s="363"/>
      <c r="I2549" s="397"/>
      <c r="J2549" s="335"/>
      <c r="K2549" s="374">
        <f t="shared" si="105"/>
        <v>0</v>
      </c>
      <c r="L2549" s="338">
        <f t="shared" si="106"/>
        <v>0</v>
      </c>
      <c r="M2549" s="338"/>
      <c r="N2549" s="335"/>
      <c r="O2549" s="335"/>
      <c r="P2549" s="335"/>
      <c r="Q2549" s="335"/>
      <c r="R2549" s="1158"/>
      <c r="S2549" s="291"/>
      <c r="T2549" s="291"/>
      <c r="U2549" s="291"/>
      <c r="V2549" s="291"/>
    </row>
    <row r="2550" spans="1:22" s="515" customFormat="1" ht="27" customHeight="1">
      <c r="A2550" s="331">
        <v>206</v>
      </c>
      <c r="B2550" s="506" t="s">
        <v>2390</v>
      </c>
      <c r="C2550" s="584" t="s">
        <v>3167</v>
      </c>
      <c r="D2550" s="475">
        <v>1391</v>
      </c>
      <c r="E2550" s="475"/>
      <c r="F2550" s="1139"/>
      <c r="G2550" s="386"/>
      <c r="H2550" s="363"/>
      <c r="I2550" s="397"/>
      <c r="J2550" s="335"/>
      <c r="K2550" s="374">
        <f t="shared" si="105"/>
        <v>0</v>
      </c>
      <c r="L2550" s="338">
        <f t="shared" si="106"/>
        <v>0</v>
      </c>
      <c r="M2550" s="338"/>
      <c r="N2550" s="335"/>
      <c r="O2550" s="335"/>
      <c r="P2550" s="335"/>
      <c r="Q2550" s="335"/>
      <c r="R2550" s="1158"/>
      <c r="S2550" s="291"/>
      <c r="T2550" s="291"/>
      <c r="U2550" s="291"/>
      <c r="V2550" s="291"/>
    </row>
    <row r="2551" spans="1:22" s="515" customFormat="1" ht="27" customHeight="1">
      <c r="A2551" s="331">
        <v>207</v>
      </c>
      <c r="B2551" s="506" t="s">
        <v>2391</v>
      </c>
      <c r="C2551" s="584" t="s">
        <v>2392</v>
      </c>
      <c r="D2551" s="475">
        <v>1819</v>
      </c>
      <c r="E2551" s="475"/>
      <c r="F2551" s="1139"/>
      <c r="G2551" s="386"/>
      <c r="H2551" s="363"/>
      <c r="I2551" s="397"/>
      <c r="J2551" s="335"/>
      <c r="K2551" s="374">
        <f t="shared" si="105"/>
        <v>0</v>
      </c>
      <c r="L2551" s="338">
        <f t="shared" si="106"/>
        <v>0</v>
      </c>
      <c r="M2551" s="338"/>
      <c r="N2551" s="335"/>
      <c r="O2551" s="335"/>
      <c r="P2551" s="335"/>
      <c r="Q2551" s="335"/>
      <c r="R2551" s="1158"/>
      <c r="S2551" s="291"/>
      <c r="T2551" s="291"/>
      <c r="U2551" s="291"/>
      <c r="V2551" s="291"/>
    </row>
    <row r="2552" spans="1:22" s="515" customFormat="1" ht="27" customHeight="1">
      <c r="A2552" s="331">
        <v>208</v>
      </c>
      <c r="B2552" s="506" t="s">
        <v>2151</v>
      </c>
      <c r="C2552" s="584" t="s">
        <v>2393</v>
      </c>
      <c r="D2552" s="475">
        <v>1819</v>
      </c>
      <c r="E2552" s="475"/>
      <c r="F2552" s="1139"/>
      <c r="G2552" s="386"/>
      <c r="H2552" s="363"/>
      <c r="I2552" s="397"/>
      <c r="J2552" s="335"/>
      <c r="K2552" s="374">
        <f t="shared" si="105"/>
        <v>0</v>
      </c>
      <c r="L2552" s="338">
        <f t="shared" si="106"/>
        <v>0</v>
      </c>
      <c r="M2552" s="338"/>
      <c r="N2552" s="335"/>
      <c r="O2552" s="335"/>
      <c r="P2552" s="335"/>
      <c r="Q2552" s="335"/>
      <c r="R2552" s="1158"/>
      <c r="S2552" s="291"/>
      <c r="T2552" s="291"/>
      <c r="U2552" s="291"/>
      <c r="V2552" s="291"/>
    </row>
    <row r="2553" spans="1:22" s="515" customFormat="1" ht="27" customHeight="1">
      <c r="A2553" s="331">
        <v>209</v>
      </c>
      <c r="B2553" s="506" t="s">
        <v>2165</v>
      </c>
      <c r="C2553" s="584" t="s">
        <v>2394</v>
      </c>
      <c r="D2553" s="335">
        <v>1819</v>
      </c>
      <c r="E2553" s="475"/>
      <c r="F2553" s="1139"/>
      <c r="G2553" s="386"/>
      <c r="H2553" s="363"/>
      <c r="I2553" s="397"/>
      <c r="J2553" s="335"/>
      <c r="K2553" s="374">
        <f t="shared" si="105"/>
        <v>0</v>
      </c>
      <c r="L2553" s="338">
        <f t="shared" si="106"/>
        <v>0</v>
      </c>
      <c r="M2553" s="338"/>
      <c r="N2553" s="335"/>
      <c r="O2553" s="335"/>
      <c r="P2553" s="335"/>
      <c r="Q2553" s="335"/>
      <c r="R2553" s="1158"/>
      <c r="S2553" s="291"/>
      <c r="T2553" s="291"/>
      <c r="U2553" s="291"/>
      <c r="V2553" s="291"/>
    </row>
    <row r="2554" spans="1:22" s="515" customFormat="1" ht="27" customHeight="1">
      <c r="A2554" s="331">
        <v>210</v>
      </c>
      <c r="B2554" s="506" t="s">
        <v>2165</v>
      </c>
      <c r="C2554" s="584" t="s">
        <v>2395</v>
      </c>
      <c r="D2554" s="475">
        <v>1819</v>
      </c>
      <c r="E2554" s="475"/>
      <c r="F2554" s="1139"/>
      <c r="G2554" s="386"/>
      <c r="H2554" s="363"/>
      <c r="I2554" s="397"/>
      <c r="J2554" s="335"/>
      <c r="K2554" s="374">
        <f t="shared" si="105"/>
        <v>0</v>
      </c>
      <c r="L2554" s="338">
        <f t="shared" si="106"/>
        <v>0</v>
      </c>
      <c r="M2554" s="338"/>
      <c r="N2554" s="335"/>
      <c r="O2554" s="335"/>
      <c r="P2554" s="335"/>
      <c r="Q2554" s="335"/>
      <c r="R2554" s="1158"/>
      <c r="S2554" s="291"/>
      <c r="T2554" s="291"/>
      <c r="U2554" s="291"/>
      <c r="V2554" s="291"/>
    </row>
    <row r="2555" spans="1:22" s="515" customFormat="1" ht="27" customHeight="1">
      <c r="A2555" s="331">
        <v>211</v>
      </c>
      <c r="B2555" s="506" t="s">
        <v>2166</v>
      </c>
      <c r="C2555" s="584" t="s">
        <v>2396</v>
      </c>
      <c r="D2555" s="475">
        <v>1819</v>
      </c>
      <c r="E2555" s="475"/>
      <c r="F2555" s="1139"/>
      <c r="G2555" s="386"/>
      <c r="H2555" s="363"/>
      <c r="I2555" s="397"/>
      <c r="J2555" s="335"/>
      <c r="K2555" s="374">
        <f t="shared" ref="K2555:K2618" si="107">G2555*11.54/100</f>
        <v>0</v>
      </c>
      <c r="L2555" s="338">
        <f t="shared" si="106"/>
        <v>0</v>
      </c>
      <c r="M2555" s="338"/>
      <c r="N2555" s="335"/>
      <c r="O2555" s="335"/>
      <c r="P2555" s="335"/>
      <c r="Q2555" s="335"/>
      <c r="R2555" s="1158"/>
      <c r="S2555" s="291"/>
      <c r="T2555" s="291"/>
      <c r="U2555" s="291"/>
      <c r="V2555" s="291"/>
    </row>
    <row r="2556" spans="1:22" s="515" customFormat="1" ht="27" customHeight="1">
      <c r="A2556" s="331">
        <v>212</v>
      </c>
      <c r="B2556" s="506" t="s">
        <v>2167</v>
      </c>
      <c r="C2556" s="584" t="s">
        <v>2397</v>
      </c>
      <c r="D2556" s="475">
        <v>1819</v>
      </c>
      <c r="E2556" s="475"/>
      <c r="F2556" s="1139"/>
      <c r="G2556" s="386"/>
      <c r="H2556" s="363"/>
      <c r="I2556" s="397"/>
      <c r="J2556" s="335"/>
      <c r="K2556" s="374">
        <f t="shared" si="107"/>
        <v>0</v>
      </c>
      <c r="L2556" s="338">
        <f t="shared" si="106"/>
        <v>0</v>
      </c>
      <c r="M2556" s="338"/>
      <c r="N2556" s="335"/>
      <c r="O2556" s="335"/>
      <c r="P2556" s="335"/>
      <c r="Q2556" s="335"/>
      <c r="R2556" s="1158"/>
      <c r="S2556" s="291"/>
      <c r="T2556" s="291"/>
      <c r="U2556" s="291"/>
      <c r="V2556" s="291"/>
    </row>
    <row r="2557" spans="1:22" s="515" customFormat="1" ht="27" customHeight="1">
      <c r="A2557" s="331">
        <v>213</v>
      </c>
      <c r="B2557" s="506" t="s">
        <v>2166</v>
      </c>
      <c r="C2557" s="584" t="s">
        <v>2398</v>
      </c>
      <c r="D2557" s="475">
        <v>1819</v>
      </c>
      <c r="E2557" s="475"/>
      <c r="F2557" s="1139"/>
      <c r="G2557" s="386"/>
      <c r="H2557" s="363"/>
      <c r="I2557" s="397"/>
      <c r="J2557" s="335"/>
      <c r="K2557" s="374">
        <f t="shared" si="107"/>
        <v>0</v>
      </c>
      <c r="L2557" s="338">
        <f t="shared" si="106"/>
        <v>0</v>
      </c>
      <c r="M2557" s="338"/>
      <c r="N2557" s="335"/>
      <c r="O2557" s="335"/>
      <c r="P2557" s="335"/>
      <c r="Q2557" s="335"/>
      <c r="R2557" s="1158"/>
      <c r="S2557" s="291"/>
      <c r="T2557" s="291"/>
      <c r="U2557" s="291"/>
      <c r="V2557" s="291"/>
    </row>
    <row r="2558" spans="1:22" s="515" customFormat="1" ht="27" customHeight="1">
      <c r="A2558" s="331">
        <v>214</v>
      </c>
      <c r="B2558" s="506" t="s">
        <v>2168</v>
      </c>
      <c r="C2558" s="584" t="s">
        <v>2399</v>
      </c>
      <c r="D2558" s="475">
        <v>1819</v>
      </c>
      <c r="E2558" s="475"/>
      <c r="F2558" s="1139"/>
      <c r="G2558" s="386"/>
      <c r="H2558" s="363"/>
      <c r="I2558" s="397"/>
      <c r="J2558" s="335"/>
      <c r="K2558" s="374">
        <f t="shared" si="107"/>
        <v>0</v>
      </c>
      <c r="L2558" s="338">
        <f t="shared" si="106"/>
        <v>0</v>
      </c>
      <c r="M2558" s="338"/>
      <c r="N2558" s="335"/>
      <c r="O2558" s="335"/>
      <c r="P2558" s="335"/>
      <c r="Q2558" s="335"/>
      <c r="R2558" s="1158"/>
      <c r="S2558" s="291"/>
      <c r="T2558" s="291"/>
      <c r="U2558" s="291"/>
      <c r="V2558" s="291"/>
    </row>
    <row r="2559" spans="1:22" s="515" customFormat="1" ht="27" customHeight="1">
      <c r="A2559" s="331">
        <v>215</v>
      </c>
      <c r="B2559" s="506" t="s">
        <v>2169</v>
      </c>
      <c r="C2559" s="584" t="s">
        <v>2400</v>
      </c>
      <c r="D2559" s="475">
        <v>1819</v>
      </c>
      <c r="E2559" s="475"/>
      <c r="F2559" s="1139"/>
      <c r="G2559" s="386"/>
      <c r="H2559" s="363"/>
      <c r="I2559" s="397"/>
      <c r="J2559" s="335"/>
      <c r="K2559" s="374">
        <f t="shared" si="107"/>
        <v>0</v>
      </c>
      <c r="L2559" s="338">
        <f t="shared" si="106"/>
        <v>0</v>
      </c>
      <c r="M2559" s="338"/>
      <c r="N2559" s="335"/>
      <c r="O2559" s="335"/>
      <c r="P2559" s="335"/>
      <c r="Q2559" s="335"/>
      <c r="R2559" s="1158"/>
      <c r="S2559" s="291"/>
      <c r="T2559" s="291"/>
      <c r="U2559" s="291"/>
      <c r="V2559" s="291"/>
    </row>
    <row r="2560" spans="1:22" s="515" customFormat="1" ht="27" customHeight="1">
      <c r="A2560" s="331">
        <v>216</v>
      </c>
      <c r="B2560" s="506" t="s">
        <v>3631</v>
      </c>
      <c r="C2560" s="584" t="s">
        <v>3614</v>
      </c>
      <c r="D2560" s="475">
        <v>535</v>
      </c>
      <c r="E2560" s="475"/>
      <c r="F2560" s="1139"/>
      <c r="G2560" s="386"/>
      <c r="H2560" s="363"/>
      <c r="I2560" s="397"/>
      <c r="J2560" s="335"/>
      <c r="K2560" s="374">
        <f t="shared" si="107"/>
        <v>0</v>
      </c>
      <c r="L2560" s="338">
        <f t="shared" si="106"/>
        <v>0</v>
      </c>
      <c r="M2560" s="338"/>
      <c r="N2560" s="335"/>
      <c r="O2560" s="335"/>
      <c r="P2560" s="335"/>
      <c r="Q2560" s="335"/>
      <c r="R2560" s="1158"/>
      <c r="S2560" s="291"/>
      <c r="T2560" s="291"/>
      <c r="U2560" s="291"/>
      <c r="V2560" s="291"/>
    </row>
    <row r="2561" spans="1:22" s="515" customFormat="1" ht="27" customHeight="1">
      <c r="A2561" s="331">
        <v>217</v>
      </c>
      <c r="B2561" s="506" t="s">
        <v>2170</v>
      </c>
      <c r="C2561" s="584" t="s">
        <v>2401</v>
      </c>
      <c r="D2561" s="475">
        <v>3424</v>
      </c>
      <c r="E2561" s="475"/>
      <c r="F2561" s="1139"/>
      <c r="G2561" s="386"/>
      <c r="H2561" s="363"/>
      <c r="I2561" s="397"/>
      <c r="J2561" s="335"/>
      <c r="K2561" s="374">
        <f t="shared" si="107"/>
        <v>0</v>
      </c>
      <c r="L2561" s="338">
        <f t="shared" si="106"/>
        <v>0</v>
      </c>
      <c r="M2561" s="338"/>
      <c r="N2561" s="335"/>
      <c r="O2561" s="335"/>
      <c r="P2561" s="335"/>
      <c r="Q2561" s="335"/>
      <c r="R2561" s="1158"/>
      <c r="S2561" s="291"/>
      <c r="T2561" s="291"/>
      <c r="U2561" s="291"/>
      <c r="V2561" s="291"/>
    </row>
    <row r="2562" spans="1:22" s="515" customFormat="1" ht="27" customHeight="1">
      <c r="A2562" s="331">
        <v>218</v>
      </c>
      <c r="B2562" s="506" t="s">
        <v>2168</v>
      </c>
      <c r="C2562" s="584" t="s">
        <v>2402</v>
      </c>
      <c r="D2562" s="335">
        <v>1819</v>
      </c>
      <c r="E2562" s="475"/>
      <c r="F2562" s="1139"/>
      <c r="G2562" s="386"/>
      <c r="H2562" s="363"/>
      <c r="I2562" s="397"/>
      <c r="J2562" s="335"/>
      <c r="K2562" s="374">
        <f t="shared" si="107"/>
        <v>0</v>
      </c>
      <c r="L2562" s="338">
        <f t="shared" si="106"/>
        <v>0</v>
      </c>
      <c r="M2562" s="338"/>
      <c r="N2562" s="335"/>
      <c r="O2562" s="335"/>
      <c r="P2562" s="335"/>
      <c r="Q2562" s="335"/>
      <c r="R2562" s="1158"/>
      <c r="S2562" s="291"/>
      <c r="T2562" s="291"/>
      <c r="U2562" s="291"/>
      <c r="V2562" s="291"/>
    </row>
    <row r="2563" spans="1:22" s="515" customFormat="1" ht="27" customHeight="1">
      <c r="A2563" s="331">
        <v>219</v>
      </c>
      <c r="B2563" s="506" t="s">
        <v>2171</v>
      </c>
      <c r="C2563" s="584" t="s">
        <v>2403</v>
      </c>
      <c r="D2563" s="335">
        <v>1819</v>
      </c>
      <c r="E2563" s="475"/>
      <c r="F2563" s="1139"/>
      <c r="G2563" s="386"/>
      <c r="H2563" s="363"/>
      <c r="I2563" s="397"/>
      <c r="J2563" s="335"/>
      <c r="K2563" s="374">
        <f t="shared" si="107"/>
        <v>0</v>
      </c>
      <c r="L2563" s="338">
        <f t="shared" si="106"/>
        <v>0</v>
      </c>
      <c r="M2563" s="338"/>
      <c r="N2563" s="335"/>
      <c r="O2563" s="335"/>
      <c r="P2563" s="335"/>
      <c r="Q2563" s="335"/>
      <c r="R2563" s="1158"/>
      <c r="S2563" s="291"/>
      <c r="T2563" s="291"/>
      <c r="U2563" s="291"/>
      <c r="V2563" s="291"/>
    </row>
    <row r="2564" spans="1:22" s="515" customFormat="1" ht="27" customHeight="1">
      <c r="A2564" s="331">
        <v>220</v>
      </c>
      <c r="B2564" s="506" t="s">
        <v>2171</v>
      </c>
      <c r="C2564" s="584" t="s">
        <v>2404</v>
      </c>
      <c r="D2564" s="335">
        <v>1819</v>
      </c>
      <c r="E2564" s="475"/>
      <c r="F2564" s="1139"/>
      <c r="G2564" s="386"/>
      <c r="H2564" s="363"/>
      <c r="I2564" s="397"/>
      <c r="J2564" s="335"/>
      <c r="K2564" s="374">
        <f t="shared" si="107"/>
        <v>0</v>
      </c>
      <c r="L2564" s="338">
        <f t="shared" si="106"/>
        <v>0</v>
      </c>
      <c r="M2564" s="338"/>
      <c r="N2564" s="335"/>
      <c r="O2564" s="335"/>
      <c r="P2564" s="335"/>
      <c r="Q2564" s="335"/>
      <c r="R2564" s="1158"/>
      <c r="S2564" s="291"/>
      <c r="T2564" s="291"/>
      <c r="U2564" s="291"/>
      <c r="V2564" s="291"/>
    </row>
    <row r="2565" spans="1:22" s="515" customFormat="1" ht="27" customHeight="1">
      <c r="A2565" s="331">
        <v>221</v>
      </c>
      <c r="B2565" s="506" t="s">
        <v>3019</v>
      </c>
      <c r="C2565" s="584" t="s">
        <v>3615</v>
      </c>
      <c r="D2565" s="335">
        <v>535</v>
      </c>
      <c r="E2565" s="475"/>
      <c r="F2565" s="1139"/>
      <c r="G2565" s="386"/>
      <c r="H2565" s="363"/>
      <c r="I2565" s="397"/>
      <c r="J2565" s="335"/>
      <c r="K2565" s="374">
        <f t="shared" si="107"/>
        <v>0</v>
      </c>
      <c r="L2565" s="338">
        <f t="shared" si="106"/>
        <v>0</v>
      </c>
      <c r="M2565" s="338"/>
      <c r="N2565" s="335"/>
      <c r="O2565" s="335"/>
      <c r="P2565" s="335"/>
      <c r="Q2565" s="335"/>
      <c r="R2565" s="1158"/>
      <c r="S2565" s="291"/>
      <c r="T2565" s="291"/>
      <c r="U2565" s="291"/>
      <c r="V2565" s="291"/>
    </row>
    <row r="2566" spans="1:22" s="515" customFormat="1" ht="27" customHeight="1">
      <c r="A2566" s="331">
        <v>222</v>
      </c>
      <c r="B2566" s="506" t="s">
        <v>2264</v>
      </c>
      <c r="C2566" s="584" t="s">
        <v>3616</v>
      </c>
      <c r="D2566" s="335">
        <v>535</v>
      </c>
      <c r="E2566" s="475"/>
      <c r="F2566" s="1139"/>
      <c r="G2566" s="386"/>
      <c r="H2566" s="363"/>
      <c r="I2566" s="397"/>
      <c r="J2566" s="335"/>
      <c r="K2566" s="374">
        <f t="shared" si="107"/>
        <v>0</v>
      </c>
      <c r="L2566" s="338">
        <f t="shared" si="106"/>
        <v>0</v>
      </c>
      <c r="M2566" s="338"/>
      <c r="N2566" s="335"/>
      <c r="O2566" s="335"/>
      <c r="P2566" s="335"/>
      <c r="Q2566" s="335"/>
      <c r="R2566" s="1158"/>
      <c r="S2566" s="291"/>
      <c r="T2566" s="291"/>
      <c r="U2566" s="291"/>
      <c r="V2566" s="291"/>
    </row>
    <row r="2567" spans="1:22" s="515" customFormat="1" ht="27" customHeight="1">
      <c r="A2567" s="331">
        <v>223</v>
      </c>
      <c r="B2567" s="506" t="s">
        <v>2684</v>
      </c>
      <c r="C2567" s="584" t="s">
        <v>3617</v>
      </c>
      <c r="D2567" s="335">
        <v>535</v>
      </c>
      <c r="E2567" s="475"/>
      <c r="F2567" s="1139"/>
      <c r="G2567" s="386"/>
      <c r="H2567" s="363"/>
      <c r="I2567" s="397"/>
      <c r="J2567" s="335"/>
      <c r="K2567" s="374">
        <f t="shared" si="107"/>
        <v>0</v>
      </c>
      <c r="L2567" s="338">
        <f t="shared" si="106"/>
        <v>0</v>
      </c>
      <c r="M2567" s="338"/>
      <c r="N2567" s="335"/>
      <c r="O2567" s="335"/>
      <c r="P2567" s="335"/>
      <c r="Q2567" s="335"/>
      <c r="R2567" s="1158"/>
      <c r="S2567" s="291"/>
      <c r="T2567" s="291"/>
      <c r="U2567" s="291"/>
      <c r="V2567" s="291"/>
    </row>
    <row r="2568" spans="1:22" s="515" customFormat="1" ht="27" customHeight="1">
      <c r="A2568" s="331">
        <v>224</v>
      </c>
      <c r="B2568" s="506" t="s">
        <v>2405</v>
      </c>
      <c r="C2568" s="584" t="s">
        <v>2406</v>
      </c>
      <c r="D2568" s="335">
        <v>1819</v>
      </c>
      <c r="E2568" s="475"/>
      <c r="F2568" s="1139"/>
      <c r="G2568" s="386"/>
      <c r="H2568" s="363"/>
      <c r="I2568" s="397"/>
      <c r="J2568" s="335"/>
      <c r="K2568" s="374">
        <f t="shared" si="107"/>
        <v>0</v>
      </c>
      <c r="L2568" s="338">
        <f t="shared" si="106"/>
        <v>0</v>
      </c>
      <c r="M2568" s="338"/>
      <c r="N2568" s="335"/>
      <c r="O2568" s="335"/>
      <c r="P2568" s="335"/>
      <c r="Q2568" s="335"/>
      <c r="R2568" s="1158"/>
      <c r="S2568" s="291"/>
      <c r="T2568" s="291"/>
      <c r="U2568" s="291"/>
      <c r="V2568" s="291"/>
    </row>
    <row r="2569" spans="1:22" s="515" customFormat="1" ht="27" customHeight="1">
      <c r="A2569" s="331">
        <v>225</v>
      </c>
      <c r="B2569" s="506" t="s">
        <v>2172</v>
      </c>
      <c r="C2569" s="584" t="s">
        <v>2407</v>
      </c>
      <c r="D2569" s="335">
        <v>1819</v>
      </c>
      <c r="E2569" s="475"/>
      <c r="F2569" s="1139"/>
      <c r="G2569" s="386"/>
      <c r="H2569" s="363"/>
      <c r="I2569" s="397"/>
      <c r="J2569" s="335"/>
      <c r="K2569" s="374">
        <f t="shared" si="107"/>
        <v>0</v>
      </c>
      <c r="L2569" s="338">
        <f t="shared" si="106"/>
        <v>0</v>
      </c>
      <c r="M2569" s="338"/>
      <c r="N2569" s="335"/>
      <c r="O2569" s="335"/>
      <c r="P2569" s="335"/>
      <c r="Q2569" s="335"/>
      <c r="R2569" s="1158"/>
      <c r="S2569" s="291"/>
      <c r="T2569" s="291"/>
      <c r="U2569" s="291"/>
      <c r="V2569" s="291"/>
    </row>
    <row r="2570" spans="1:22" s="515" customFormat="1" ht="27" customHeight="1">
      <c r="A2570" s="331">
        <v>226</v>
      </c>
      <c r="B2570" s="506" t="s">
        <v>3020</v>
      </c>
      <c r="C2570" s="584" t="s">
        <v>3618</v>
      </c>
      <c r="D2570" s="335">
        <v>535</v>
      </c>
      <c r="E2570" s="475"/>
      <c r="F2570" s="1139"/>
      <c r="G2570" s="386"/>
      <c r="H2570" s="363"/>
      <c r="I2570" s="397"/>
      <c r="J2570" s="335"/>
      <c r="K2570" s="374">
        <f t="shared" si="107"/>
        <v>0</v>
      </c>
      <c r="L2570" s="338">
        <f t="shared" si="106"/>
        <v>0</v>
      </c>
      <c r="M2570" s="338"/>
      <c r="N2570" s="335"/>
      <c r="O2570" s="335"/>
      <c r="P2570" s="335"/>
      <c r="Q2570" s="335"/>
      <c r="R2570" s="1158"/>
      <c r="S2570" s="291"/>
      <c r="T2570" s="291"/>
      <c r="U2570" s="291"/>
      <c r="V2570" s="291"/>
    </row>
    <row r="2571" spans="1:22" s="515" customFormat="1" ht="27" customHeight="1">
      <c r="A2571" s="331">
        <v>227</v>
      </c>
      <c r="B2571" s="506" t="s">
        <v>2172</v>
      </c>
      <c r="C2571" s="584" t="s">
        <v>2408</v>
      </c>
      <c r="D2571" s="335">
        <v>1819</v>
      </c>
      <c r="E2571" s="475"/>
      <c r="F2571" s="1139"/>
      <c r="G2571" s="386"/>
      <c r="H2571" s="363"/>
      <c r="I2571" s="397"/>
      <c r="J2571" s="335"/>
      <c r="K2571" s="374">
        <f t="shared" si="107"/>
        <v>0</v>
      </c>
      <c r="L2571" s="338">
        <f t="shared" si="106"/>
        <v>0</v>
      </c>
      <c r="M2571" s="338"/>
      <c r="N2571" s="335"/>
      <c r="O2571" s="335"/>
      <c r="P2571" s="335"/>
      <c r="Q2571" s="335"/>
      <c r="R2571" s="1158"/>
      <c r="S2571" s="291"/>
      <c r="T2571" s="291"/>
      <c r="U2571" s="291"/>
      <c r="V2571" s="291"/>
    </row>
    <row r="2572" spans="1:22" s="515" customFormat="1" ht="27" customHeight="1">
      <c r="A2572" s="331">
        <v>228</v>
      </c>
      <c r="B2572" s="506" t="s">
        <v>3020</v>
      </c>
      <c r="C2572" s="584" t="s">
        <v>3619</v>
      </c>
      <c r="D2572" s="335">
        <v>535</v>
      </c>
      <c r="E2572" s="475"/>
      <c r="F2572" s="1139"/>
      <c r="G2572" s="386"/>
      <c r="H2572" s="363"/>
      <c r="I2572" s="397"/>
      <c r="J2572" s="335"/>
      <c r="K2572" s="374">
        <f t="shared" si="107"/>
        <v>0</v>
      </c>
      <c r="L2572" s="338">
        <f t="shared" si="106"/>
        <v>0</v>
      </c>
      <c r="M2572" s="338"/>
      <c r="N2572" s="335"/>
      <c r="O2572" s="335"/>
      <c r="P2572" s="335"/>
      <c r="Q2572" s="335"/>
      <c r="R2572" s="1158"/>
      <c r="S2572" s="291"/>
      <c r="T2572" s="291"/>
      <c r="U2572" s="291"/>
      <c r="V2572" s="291"/>
    </row>
    <row r="2573" spans="1:22" s="515" customFormat="1" ht="27" customHeight="1">
      <c r="A2573" s="331">
        <v>229</v>
      </c>
      <c r="B2573" s="506" t="s">
        <v>2173</v>
      </c>
      <c r="C2573" s="584" t="s">
        <v>2409</v>
      </c>
      <c r="D2573" s="475">
        <v>1819</v>
      </c>
      <c r="E2573" s="475"/>
      <c r="F2573" s="1139"/>
      <c r="G2573" s="386"/>
      <c r="H2573" s="363"/>
      <c r="I2573" s="397"/>
      <c r="J2573" s="335"/>
      <c r="K2573" s="374">
        <f t="shared" si="107"/>
        <v>0</v>
      </c>
      <c r="L2573" s="338">
        <f t="shared" si="106"/>
        <v>0</v>
      </c>
      <c r="M2573" s="338"/>
      <c r="N2573" s="335"/>
      <c r="O2573" s="335"/>
      <c r="P2573" s="335"/>
      <c r="Q2573" s="335"/>
      <c r="R2573" s="1158"/>
      <c r="S2573" s="291"/>
      <c r="T2573" s="291"/>
      <c r="U2573" s="291"/>
      <c r="V2573" s="291"/>
    </row>
    <row r="2574" spans="1:22" s="515" customFormat="1" ht="27" customHeight="1">
      <c r="A2574" s="331">
        <v>230</v>
      </c>
      <c r="B2574" s="506" t="s">
        <v>2174</v>
      </c>
      <c r="C2574" s="584" t="s">
        <v>2410</v>
      </c>
      <c r="D2574" s="475">
        <v>1819</v>
      </c>
      <c r="E2574" s="475"/>
      <c r="F2574" s="1139"/>
      <c r="G2574" s="386"/>
      <c r="H2574" s="363"/>
      <c r="I2574" s="397"/>
      <c r="J2574" s="335"/>
      <c r="K2574" s="374">
        <f t="shared" si="107"/>
        <v>0</v>
      </c>
      <c r="L2574" s="338">
        <f t="shared" si="106"/>
        <v>0</v>
      </c>
      <c r="M2574" s="338"/>
      <c r="N2574" s="335"/>
      <c r="O2574" s="335"/>
      <c r="P2574" s="335"/>
      <c r="Q2574" s="335"/>
      <c r="R2574" s="1158"/>
      <c r="S2574" s="291"/>
      <c r="T2574" s="291"/>
      <c r="U2574" s="291"/>
      <c r="V2574" s="291"/>
    </row>
    <row r="2575" spans="1:22" s="515" customFormat="1" ht="27" customHeight="1">
      <c r="A2575" s="331">
        <v>231</v>
      </c>
      <c r="B2575" s="506" t="s">
        <v>2174</v>
      </c>
      <c r="C2575" s="584" t="s">
        <v>2411</v>
      </c>
      <c r="D2575" s="1365">
        <v>1819</v>
      </c>
      <c r="E2575" s="475"/>
      <c r="F2575" s="1139"/>
      <c r="G2575" s="386"/>
      <c r="H2575" s="363"/>
      <c r="I2575" s="397"/>
      <c r="J2575" s="335"/>
      <c r="K2575" s="374">
        <f t="shared" si="107"/>
        <v>0</v>
      </c>
      <c r="L2575" s="338">
        <f t="shared" si="106"/>
        <v>0</v>
      </c>
      <c r="M2575" s="338"/>
      <c r="N2575" s="335"/>
      <c r="O2575" s="335"/>
      <c r="P2575" s="335"/>
      <c r="Q2575" s="335"/>
      <c r="R2575" s="1158"/>
      <c r="S2575" s="291"/>
      <c r="T2575" s="291"/>
      <c r="U2575" s="291"/>
      <c r="V2575" s="291"/>
    </row>
    <row r="2576" spans="1:22" s="515" customFormat="1" ht="27" customHeight="1">
      <c r="A2576" s="331">
        <v>232</v>
      </c>
      <c r="B2576" s="506" t="s">
        <v>2174</v>
      </c>
      <c r="C2576" s="584" t="s">
        <v>2412</v>
      </c>
      <c r="D2576" s="1365">
        <v>1819</v>
      </c>
      <c r="E2576" s="475"/>
      <c r="F2576" s="1139"/>
      <c r="G2576" s="386"/>
      <c r="H2576" s="363"/>
      <c r="I2576" s="397"/>
      <c r="J2576" s="335"/>
      <c r="K2576" s="374">
        <f t="shared" si="107"/>
        <v>0</v>
      </c>
      <c r="L2576" s="338">
        <f t="shared" si="106"/>
        <v>0</v>
      </c>
      <c r="M2576" s="338"/>
      <c r="N2576" s="335"/>
      <c r="O2576" s="335"/>
      <c r="P2576" s="335"/>
      <c r="Q2576" s="335"/>
      <c r="R2576" s="1158"/>
      <c r="S2576" s="291"/>
      <c r="T2576" s="291"/>
      <c r="U2576" s="291"/>
      <c r="V2576" s="291"/>
    </row>
    <row r="2577" spans="1:22" s="515" customFormat="1" ht="27" customHeight="1">
      <c r="A2577" s="331">
        <v>233</v>
      </c>
      <c r="B2577" s="506" t="s">
        <v>3632</v>
      </c>
      <c r="C2577" s="584" t="s">
        <v>3620</v>
      </c>
      <c r="D2577" s="1365">
        <v>535</v>
      </c>
      <c r="E2577" s="475"/>
      <c r="F2577" s="1139"/>
      <c r="G2577" s="386"/>
      <c r="H2577" s="363"/>
      <c r="I2577" s="397"/>
      <c r="J2577" s="335"/>
      <c r="K2577" s="374">
        <f t="shared" si="107"/>
        <v>0</v>
      </c>
      <c r="L2577" s="338">
        <f t="shared" si="106"/>
        <v>0</v>
      </c>
      <c r="M2577" s="338"/>
      <c r="N2577" s="335"/>
      <c r="O2577" s="335"/>
      <c r="P2577" s="335"/>
      <c r="Q2577" s="335"/>
      <c r="R2577" s="1158"/>
      <c r="S2577" s="291"/>
      <c r="T2577" s="291"/>
      <c r="U2577" s="291"/>
      <c r="V2577" s="291"/>
    </row>
    <row r="2578" spans="1:22" s="515" customFormat="1" ht="27" customHeight="1">
      <c r="A2578" s="331">
        <v>234</v>
      </c>
      <c r="B2578" s="506" t="s">
        <v>3632</v>
      </c>
      <c r="C2578" s="584" t="s">
        <v>3621</v>
      </c>
      <c r="D2578" s="1366">
        <v>535</v>
      </c>
      <c r="E2578" s="475"/>
      <c r="F2578" s="1139"/>
      <c r="G2578" s="386"/>
      <c r="H2578" s="363"/>
      <c r="I2578" s="397"/>
      <c r="J2578" s="335"/>
      <c r="K2578" s="374">
        <f t="shared" si="107"/>
        <v>0</v>
      </c>
      <c r="L2578" s="338">
        <f t="shared" si="106"/>
        <v>0</v>
      </c>
      <c r="M2578" s="338"/>
      <c r="N2578" s="335"/>
      <c r="O2578" s="335"/>
      <c r="P2578" s="335"/>
      <c r="Q2578" s="335"/>
      <c r="R2578" s="1158"/>
      <c r="S2578" s="291"/>
      <c r="T2578" s="291"/>
      <c r="U2578" s="291"/>
      <c r="V2578" s="291"/>
    </row>
    <row r="2579" spans="1:22" s="515" customFormat="1" ht="27" customHeight="1">
      <c r="A2579" s="331">
        <v>235</v>
      </c>
      <c r="B2579" s="506" t="s">
        <v>3633</v>
      </c>
      <c r="C2579" s="584" t="s">
        <v>3622</v>
      </c>
      <c r="D2579" s="1367"/>
      <c r="E2579" s="475" t="s">
        <v>3416</v>
      </c>
      <c r="F2579" s="1139">
        <v>1</v>
      </c>
      <c r="G2579" s="386">
        <v>107</v>
      </c>
      <c r="H2579" s="363"/>
      <c r="I2579" s="397"/>
      <c r="J2579" s="335"/>
      <c r="K2579" s="374">
        <f t="shared" si="107"/>
        <v>12.347799999999999</v>
      </c>
      <c r="L2579" s="338">
        <f t="shared" si="106"/>
        <v>0</v>
      </c>
      <c r="M2579" s="338"/>
      <c r="N2579" s="335"/>
      <c r="O2579" s="335"/>
      <c r="P2579" s="335"/>
      <c r="Q2579" s="335"/>
      <c r="R2579" s="1158"/>
      <c r="S2579" s="291"/>
      <c r="T2579" s="291"/>
      <c r="U2579" s="291"/>
      <c r="V2579" s="291"/>
    </row>
    <row r="2580" spans="1:22" s="515" customFormat="1" ht="27" customHeight="1">
      <c r="A2580" s="331">
        <v>236</v>
      </c>
      <c r="B2580" s="506" t="s">
        <v>3632</v>
      </c>
      <c r="C2580" s="584" t="s">
        <v>3623</v>
      </c>
      <c r="D2580" s="1367">
        <v>535</v>
      </c>
      <c r="E2580" s="475"/>
      <c r="F2580" s="1139"/>
      <c r="G2580" s="386"/>
      <c r="H2580" s="363"/>
      <c r="I2580" s="397"/>
      <c r="J2580" s="335"/>
      <c r="K2580" s="374">
        <f t="shared" si="107"/>
        <v>0</v>
      </c>
      <c r="L2580" s="338">
        <f t="shared" si="106"/>
        <v>0</v>
      </c>
      <c r="M2580" s="338"/>
      <c r="N2580" s="335"/>
      <c r="O2580" s="335"/>
      <c r="P2580" s="335"/>
      <c r="Q2580" s="335"/>
      <c r="R2580" s="1158"/>
      <c r="S2580" s="291"/>
      <c r="T2580" s="291"/>
      <c r="U2580" s="291"/>
      <c r="V2580" s="291"/>
    </row>
    <row r="2581" spans="1:22" s="515" customFormat="1" ht="27" customHeight="1">
      <c r="A2581" s="331">
        <v>237</v>
      </c>
      <c r="B2581" s="506" t="s">
        <v>3633</v>
      </c>
      <c r="C2581" s="584" t="s">
        <v>3624</v>
      </c>
      <c r="D2581" s="1367"/>
      <c r="E2581" s="475" t="s">
        <v>3416</v>
      </c>
      <c r="F2581" s="1139">
        <v>1</v>
      </c>
      <c r="G2581" s="386">
        <v>107</v>
      </c>
      <c r="H2581" s="363"/>
      <c r="I2581" s="397"/>
      <c r="J2581" s="335"/>
      <c r="K2581" s="374">
        <f t="shared" si="107"/>
        <v>12.347799999999999</v>
      </c>
      <c r="L2581" s="338">
        <f t="shared" si="106"/>
        <v>0</v>
      </c>
      <c r="M2581" s="338"/>
      <c r="N2581" s="335"/>
      <c r="O2581" s="335"/>
      <c r="P2581" s="335"/>
      <c r="Q2581" s="335"/>
      <c r="R2581" s="1158"/>
      <c r="S2581" s="291"/>
      <c r="T2581" s="291"/>
      <c r="U2581" s="291"/>
      <c r="V2581" s="291"/>
    </row>
    <row r="2582" spans="1:22" s="515" customFormat="1" ht="27" customHeight="1">
      <c r="A2582" s="331">
        <v>238</v>
      </c>
      <c r="B2582" s="506" t="s">
        <v>2175</v>
      </c>
      <c r="C2582" s="584" t="s">
        <v>2413</v>
      </c>
      <c r="D2582" s="1367">
        <v>1819</v>
      </c>
      <c r="E2582" s="475"/>
      <c r="F2582" s="1139"/>
      <c r="G2582" s="386"/>
      <c r="H2582" s="363"/>
      <c r="I2582" s="397"/>
      <c r="J2582" s="335"/>
      <c r="K2582" s="374">
        <f t="shared" si="107"/>
        <v>0</v>
      </c>
      <c r="L2582" s="338">
        <f t="shared" si="106"/>
        <v>0</v>
      </c>
      <c r="M2582" s="338"/>
      <c r="N2582" s="335"/>
      <c r="O2582" s="335"/>
      <c r="P2582" s="335"/>
      <c r="Q2582" s="335"/>
      <c r="R2582" s="1158"/>
      <c r="S2582" s="291"/>
      <c r="T2582" s="291"/>
      <c r="U2582" s="291"/>
      <c r="V2582" s="291"/>
    </row>
    <row r="2583" spans="1:22" s="515" customFormat="1" ht="27" customHeight="1">
      <c r="A2583" s="331">
        <v>239</v>
      </c>
      <c r="B2583" s="506" t="s">
        <v>2122</v>
      </c>
      <c r="C2583" s="584" t="s">
        <v>2414</v>
      </c>
      <c r="D2583" s="1367">
        <v>1819</v>
      </c>
      <c r="E2583" s="475"/>
      <c r="F2583" s="1139"/>
      <c r="G2583" s="386"/>
      <c r="H2583" s="363"/>
      <c r="I2583" s="397"/>
      <c r="J2583" s="335"/>
      <c r="K2583" s="374">
        <f t="shared" si="107"/>
        <v>0</v>
      </c>
      <c r="L2583" s="338">
        <f t="shared" si="106"/>
        <v>0</v>
      </c>
      <c r="M2583" s="338"/>
      <c r="N2583" s="335"/>
      <c r="O2583" s="335"/>
      <c r="P2583" s="335"/>
      <c r="Q2583" s="335"/>
      <c r="R2583" s="1158"/>
      <c r="S2583" s="291"/>
      <c r="T2583" s="291"/>
      <c r="U2583" s="291"/>
      <c r="V2583" s="291"/>
    </row>
    <row r="2584" spans="1:22" s="515" customFormat="1" ht="27" customHeight="1">
      <c r="A2584" s="331">
        <v>240</v>
      </c>
      <c r="B2584" s="506" t="s">
        <v>2176</v>
      </c>
      <c r="C2584" s="584" t="s">
        <v>2415</v>
      </c>
      <c r="D2584" s="1367">
        <v>1819</v>
      </c>
      <c r="E2584" s="475"/>
      <c r="F2584" s="1139"/>
      <c r="G2584" s="386"/>
      <c r="H2584" s="363"/>
      <c r="I2584" s="397"/>
      <c r="J2584" s="335"/>
      <c r="K2584" s="374">
        <f t="shared" si="107"/>
        <v>0</v>
      </c>
      <c r="L2584" s="338">
        <f t="shared" si="106"/>
        <v>0</v>
      </c>
      <c r="M2584" s="338"/>
      <c r="N2584" s="335"/>
      <c r="O2584" s="335"/>
      <c r="P2584" s="335"/>
      <c r="Q2584" s="335"/>
      <c r="R2584" s="1158"/>
      <c r="S2584" s="291"/>
      <c r="T2584" s="291"/>
      <c r="U2584" s="291"/>
      <c r="V2584" s="291"/>
    </row>
    <row r="2585" spans="1:22" s="515" customFormat="1" ht="27" customHeight="1">
      <c r="A2585" s="331">
        <v>241</v>
      </c>
      <c r="B2585" s="506" t="s">
        <v>2122</v>
      </c>
      <c r="C2585" s="584" t="s">
        <v>2416</v>
      </c>
      <c r="D2585" s="1367">
        <v>1819</v>
      </c>
      <c r="E2585" s="475"/>
      <c r="F2585" s="1139"/>
      <c r="G2585" s="386"/>
      <c r="H2585" s="363"/>
      <c r="I2585" s="397"/>
      <c r="J2585" s="335"/>
      <c r="K2585" s="374">
        <f t="shared" si="107"/>
        <v>0</v>
      </c>
      <c r="L2585" s="338">
        <f t="shared" si="106"/>
        <v>0</v>
      </c>
      <c r="M2585" s="338"/>
      <c r="N2585" s="335"/>
      <c r="O2585" s="335"/>
      <c r="P2585" s="335"/>
      <c r="Q2585" s="335"/>
      <c r="R2585" s="1158"/>
      <c r="S2585" s="291"/>
      <c r="T2585" s="291"/>
      <c r="U2585" s="291"/>
      <c r="V2585" s="291"/>
    </row>
    <row r="2586" spans="1:22" s="515" customFormat="1" ht="27" customHeight="1">
      <c r="A2586" s="331">
        <v>242</v>
      </c>
      <c r="B2586" s="506" t="s">
        <v>2176</v>
      </c>
      <c r="C2586" s="584" t="s">
        <v>2417</v>
      </c>
      <c r="D2586" s="1367">
        <v>1819</v>
      </c>
      <c r="E2586" s="475"/>
      <c r="F2586" s="1139"/>
      <c r="G2586" s="386"/>
      <c r="H2586" s="363"/>
      <c r="I2586" s="397"/>
      <c r="J2586" s="335"/>
      <c r="K2586" s="374">
        <f t="shared" si="107"/>
        <v>0</v>
      </c>
      <c r="L2586" s="338">
        <f t="shared" si="106"/>
        <v>0</v>
      </c>
      <c r="M2586" s="338"/>
      <c r="N2586" s="335"/>
      <c r="O2586" s="335"/>
      <c r="P2586" s="335"/>
      <c r="Q2586" s="335"/>
      <c r="R2586" s="1158"/>
      <c r="S2586" s="291"/>
      <c r="T2586" s="291"/>
      <c r="U2586" s="291"/>
      <c r="V2586" s="291"/>
    </row>
    <row r="2587" spans="1:22" s="515" customFormat="1" ht="27" customHeight="1">
      <c r="A2587" s="331">
        <v>243</v>
      </c>
      <c r="B2587" s="506" t="s">
        <v>2308</v>
      </c>
      <c r="C2587" s="584" t="s">
        <v>2418</v>
      </c>
      <c r="D2587" s="1482">
        <v>1819</v>
      </c>
      <c r="E2587" s="475"/>
      <c r="F2587" s="1139"/>
      <c r="G2587" s="386"/>
      <c r="H2587" s="363"/>
      <c r="I2587" s="397"/>
      <c r="J2587" s="335"/>
      <c r="K2587" s="374">
        <f t="shared" si="107"/>
        <v>0</v>
      </c>
      <c r="L2587" s="338">
        <f t="shared" si="106"/>
        <v>0</v>
      </c>
      <c r="M2587" s="338"/>
      <c r="N2587" s="335"/>
      <c r="O2587" s="335"/>
      <c r="P2587" s="335"/>
      <c r="Q2587" s="335"/>
      <c r="R2587" s="1158"/>
      <c r="S2587" s="291"/>
      <c r="T2587" s="291"/>
      <c r="U2587" s="291"/>
      <c r="V2587" s="291"/>
    </row>
    <row r="2588" spans="1:22" s="515" customFormat="1" ht="27" customHeight="1">
      <c r="A2588" s="331">
        <v>244</v>
      </c>
      <c r="B2588" s="506" t="s">
        <v>2263</v>
      </c>
      <c r="C2588" s="584" t="s">
        <v>2419</v>
      </c>
      <c r="D2588" s="1482">
        <v>1819</v>
      </c>
      <c r="E2588" s="475"/>
      <c r="F2588" s="1139"/>
      <c r="G2588" s="386"/>
      <c r="H2588" s="363"/>
      <c r="I2588" s="397"/>
      <c r="J2588" s="335"/>
      <c r="K2588" s="374">
        <f t="shared" si="107"/>
        <v>0</v>
      </c>
      <c r="L2588" s="338">
        <f t="shared" si="106"/>
        <v>0</v>
      </c>
      <c r="M2588" s="338"/>
      <c r="N2588" s="335"/>
      <c r="O2588" s="335"/>
      <c r="P2588" s="335"/>
      <c r="Q2588" s="335"/>
      <c r="R2588" s="1158"/>
      <c r="S2588" s="291"/>
      <c r="T2588" s="291"/>
      <c r="U2588" s="291"/>
      <c r="V2588" s="291"/>
    </row>
    <row r="2589" spans="1:22" s="515" customFormat="1" ht="27" customHeight="1">
      <c r="A2589" s="331">
        <v>245</v>
      </c>
      <c r="B2589" s="506" t="s">
        <v>2177</v>
      </c>
      <c r="C2589" s="584" t="s">
        <v>2420</v>
      </c>
      <c r="D2589" s="1367">
        <v>1819</v>
      </c>
      <c r="E2589" s="475"/>
      <c r="F2589" s="1139"/>
      <c r="G2589" s="386"/>
      <c r="H2589" s="363"/>
      <c r="I2589" s="397"/>
      <c r="J2589" s="335"/>
      <c r="K2589" s="374">
        <f t="shared" si="107"/>
        <v>0</v>
      </c>
      <c r="L2589" s="338">
        <f t="shared" si="106"/>
        <v>0</v>
      </c>
      <c r="M2589" s="338"/>
      <c r="N2589" s="335"/>
      <c r="O2589" s="335"/>
      <c r="P2589" s="335"/>
      <c r="Q2589" s="335"/>
      <c r="R2589" s="1158"/>
      <c r="S2589" s="291"/>
      <c r="T2589" s="291"/>
      <c r="U2589" s="291"/>
      <c r="V2589" s="291"/>
    </row>
    <row r="2590" spans="1:22" s="515" customFormat="1" ht="27" customHeight="1">
      <c r="A2590" s="331">
        <v>246</v>
      </c>
      <c r="B2590" s="506" t="s">
        <v>2177</v>
      </c>
      <c r="C2590" s="584" t="s">
        <v>2421</v>
      </c>
      <c r="D2590" s="1368">
        <v>1819</v>
      </c>
      <c r="E2590" s="475"/>
      <c r="F2590" s="1139"/>
      <c r="G2590" s="386"/>
      <c r="H2590" s="363"/>
      <c r="I2590" s="397"/>
      <c r="J2590" s="335"/>
      <c r="K2590" s="374">
        <f t="shared" si="107"/>
        <v>0</v>
      </c>
      <c r="L2590" s="338">
        <f t="shared" si="106"/>
        <v>0</v>
      </c>
      <c r="M2590" s="338"/>
      <c r="N2590" s="335"/>
      <c r="O2590" s="335"/>
      <c r="P2590" s="335"/>
      <c r="Q2590" s="335"/>
      <c r="R2590" s="1158"/>
      <c r="S2590" s="291"/>
      <c r="T2590" s="291"/>
      <c r="U2590" s="291"/>
      <c r="V2590" s="291"/>
    </row>
    <row r="2591" spans="1:22" s="515" customFormat="1" ht="27" customHeight="1">
      <c r="A2591" s="331">
        <v>247</v>
      </c>
      <c r="B2591" s="506" t="s">
        <v>2163</v>
      </c>
      <c r="C2591" s="584" t="s">
        <v>3634</v>
      </c>
      <c r="D2591" s="1368"/>
      <c r="E2591" s="475" t="s">
        <v>3416</v>
      </c>
      <c r="F2591" s="1139">
        <v>1</v>
      </c>
      <c r="G2591" s="386">
        <v>107</v>
      </c>
      <c r="H2591" s="363"/>
      <c r="I2591" s="397"/>
      <c r="J2591" s="335"/>
      <c r="K2591" s="374">
        <f t="shared" si="107"/>
        <v>12.347799999999999</v>
      </c>
      <c r="L2591" s="338">
        <f t="shared" si="106"/>
        <v>0</v>
      </c>
      <c r="M2591" s="338"/>
      <c r="N2591" s="335"/>
      <c r="O2591" s="335"/>
      <c r="P2591" s="335"/>
      <c r="Q2591" s="335"/>
      <c r="R2591" s="1158"/>
      <c r="S2591" s="291"/>
      <c r="T2591" s="291"/>
      <c r="U2591" s="291"/>
      <c r="V2591" s="291"/>
    </row>
    <row r="2592" spans="1:22" s="515" customFormat="1" ht="27" customHeight="1">
      <c r="A2592" s="331">
        <v>248</v>
      </c>
      <c r="B2592" s="506" t="s">
        <v>2163</v>
      </c>
      <c r="C2592" s="584" t="s">
        <v>3635</v>
      </c>
      <c r="D2592" s="1368"/>
      <c r="E2592" s="475" t="s">
        <v>3416</v>
      </c>
      <c r="F2592" s="1139">
        <v>1</v>
      </c>
      <c r="G2592" s="386">
        <v>107</v>
      </c>
      <c r="H2592" s="363"/>
      <c r="I2592" s="397"/>
      <c r="J2592" s="335"/>
      <c r="K2592" s="374">
        <f t="shared" si="107"/>
        <v>12.347799999999999</v>
      </c>
      <c r="L2592" s="338">
        <f t="shared" si="106"/>
        <v>0</v>
      </c>
      <c r="M2592" s="338"/>
      <c r="N2592" s="335"/>
      <c r="O2592" s="335"/>
      <c r="P2592" s="335"/>
      <c r="Q2592" s="335"/>
      <c r="R2592" s="1158"/>
      <c r="S2592" s="291"/>
      <c r="T2592" s="291"/>
      <c r="U2592" s="291"/>
      <c r="V2592" s="291"/>
    </row>
    <row r="2593" spans="1:22" s="515" customFormat="1" ht="27" customHeight="1">
      <c r="A2593" s="331">
        <v>249</v>
      </c>
      <c r="B2593" s="506" t="s">
        <v>2163</v>
      </c>
      <c r="C2593" s="584" t="s">
        <v>3636</v>
      </c>
      <c r="D2593" s="1365"/>
      <c r="E2593" s="475" t="s">
        <v>3416</v>
      </c>
      <c r="F2593" s="1139">
        <v>1</v>
      </c>
      <c r="G2593" s="386">
        <v>107</v>
      </c>
      <c r="H2593" s="363"/>
      <c r="I2593" s="397"/>
      <c r="J2593" s="335"/>
      <c r="K2593" s="374">
        <f t="shared" si="107"/>
        <v>12.347799999999999</v>
      </c>
      <c r="L2593" s="338">
        <f t="shared" si="106"/>
        <v>0</v>
      </c>
      <c r="M2593" s="338"/>
      <c r="N2593" s="335"/>
      <c r="O2593" s="335"/>
      <c r="P2593" s="335"/>
      <c r="Q2593" s="335"/>
      <c r="R2593" s="1158"/>
      <c r="S2593" s="291"/>
      <c r="T2593" s="291"/>
      <c r="U2593" s="291"/>
      <c r="V2593" s="291"/>
    </row>
    <row r="2594" spans="1:22" s="515" customFormat="1" ht="27" customHeight="1">
      <c r="A2594" s="331">
        <v>250</v>
      </c>
      <c r="B2594" s="506" t="s">
        <v>2163</v>
      </c>
      <c r="C2594" s="584" t="s">
        <v>3637</v>
      </c>
      <c r="D2594" s="1365"/>
      <c r="E2594" s="475" t="s">
        <v>3416</v>
      </c>
      <c r="F2594" s="1139">
        <v>1</v>
      </c>
      <c r="G2594" s="386">
        <v>107</v>
      </c>
      <c r="H2594" s="363"/>
      <c r="I2594" s="397"/>
      <c r="J2594" s="335"/>
      <c r="K2594" s="374">
        <f t="shared" si="107"/>
        <v>12.347799999999999</v>
      </c>
      <c r="L2594" s="338">
        <f t="shared" si="106"/>
        <v>0</v>
      </c>
      <c r="M2594" s="338"/>
      <c r="N2594" s="335"/>
      <c r="O2594" s="335"/>
      <c r="P2594" s="335"/>
      <c r="Q2594" s="335"/>
      <c r="R2594" s="1158"/>
      <c r="S2594" s="291"/>
      <c r="T2594" s="291"/>
      <c r="U2594" s="291"/>
      <c r="V2594" s="291"/>
    </row>
    <row r="2595" spans="1:22" s="515" customFormat="1" ht="27" customHeight="1">
      <c r="A2595" s="331">
        <v>251</v>
      </c>
      <c r="B2595" s="506" t="s">
        <v>2163</v>
      </c>
      <c r="C2595" s="584" t="s">
        <v>3638</v>
      </c>
      <c r="D2595" s="1365"/>
      <c r="E2595" s="475" t="s">
        <v>3416</v>
      </c>
      <c r="F2595" s="1139">
        <v>1</v>
      </c>
      <c r="G2595" s="386">
        <v>107</v>
      </c>
      <c r="H2595" s="363"/>
      <c r="I2595" s="397"/>
      <c r="J2595" s="335"/>
      <c r="K2595" s="374">
        <f t="shared" si="107"/>
        <v>12.347799999999999</v>
      </c>
      <c r="L2595" s="338">
        <f t="shared" si="106"/>
        <v>0</v>
      </c>
      <c r="M2595" s="338"/>
      <c r="N2595" s="335"/>
      <c r="O2595" s="335"/>
      <c r="P2595" s="335"/>
      <c r="Q2595" s="335"/>
      <c r="R2595" s="1158"/>
      <c r="S2595" s="291"/>
      <c r="T2595" s="291"/>
      <c r="U2595" s="291"/>
      <c r="V2595" s="291"/>
    </row>
    <row r="2596" spans="1:22" s="515" customFormat="1" ht="27" customHeight="1">
      <c r="A2596" s="331">
        <v>252</v>
      </c>
      <c r="B2596" s="506" t="s">
        <v>2126</v>
      </c>
      <c r="C2596" s="584" t="s">
        <v>2422</v>
      </c>
      <c r="D2596" s="1365">
        <v>1819</v>
      </c>
      <c r="E2596" s="475"/>
      <c r="F2596" s="1139"/>
      <c r="G2596" s="386"/>
      <c r="H2596" s="363"/>
      <c r="I2596" s="397"/>
      <c r="J2596" s="335"/>
      <c r="K2596" s="374">
        <f t="shared" si="107"/>
        <v>0</v>
      </c>
      <c r="L2596" s="338">
        <f t="shared" si="106"/>
        <v>0</v>
      </c>
      <c r="M2596" s="338"/>
      <c r="N2596" s="335"/>
      <c r="O2596" s="335"/>
      <c r="P2596" s="335"/>
      <c r="Q2596" s="335"/>
      <c r="R2596" s="1158"/>
      <c r="S2596" s="291"/>
      <c r="T2596" s="291"/>
      <c r="U2596" s="291"/>
      <c r="V2596" s="291"/>
    </row>
    <row r="2597" spans="1:22" s="515" customFormat="1" ht="27" customHeight="1">
      <c r="A2597" s="331">
        <v>253</v>
      </c>
      <c r="B2597" s="506" t="s">
        <v>2163</v>
      </c>
      <c r="C2597" s="584" t="s">
        <v>3639</v>
      </c>
      <c r="D2597" s="1365"/>
      <c r="E2597" s="475" t="s">
        <v>3416</v>
      </c>
      <c r="F2597" s="1139">
        <v>1</v>
      </c>
      <c r="G2597" s="386">
        <v>107</v>
      </c>
      <c r="H2597" s="363"/>
      <c r="I2597" s="397"/>
      <c r="J2597" s="335"/>
      <c r="K2597" s="374">
        <f t="shared" si="107"/>
        <v>12.347799999999999</v>
      </c>
      <c r="L2597" s="338">
        <f t="shared" si="106"/>
        <v>0</v>
      </c>
      <c r="M2597" s="338"/>
      <c r="N2597" s="335"/>
      <c r="O2597" s="335"/>
      <c r="P2597" s="335"/>
      <c r="Q2597" s="335"/>
      <c r="R2597" s="1158"/>
      <c r="S2597" s="291"/>
      <c r="T2597" s="291"/>
      <c r="U2597" s="291"/>
      <c r="V2597" s="291"/>
    </row>
    <row r="2598" spans="1:22" s="515" customFormat="1" ht="27" customHeight="1">
      <c r="A2598" s="331">
        <v>254</v>
      </c>
      <c r="B2598" s="506" t="s">
        <v>2180</v>
      </c>
      <c r="C2598" s="584" t="s">
        <v>2423</v>
      </c>
      <c r="D2598" s="1365">
        <v>1819</v>
      </c>
      <c r="E2598" s="475"/>
      <c r="F2598" s="1139"/>
      <c r="G2598" s="386"/>
      <c r="H2598" s="363"/>
      <c r="I2598" s="397"/>
      <c r="J2598" s="335"/>
      <c r="K2598" s="374">
        <f t="shared" si="107"/>
        <v>0</v>
      </c>
      <c r="L2598" s="338">
        <f t="shared" si="106"/>
        <v>0</v>
      </c>
      <c r="M2598" s="338"/>
      <c r="N2598" s="335"/>
      <c r="O2598" s="335"/>
      <c r="P2598" s="335"/>
      <c r="Q2598" s="335"/>
      <c r="R2598" s="1158"/>
      <c r="S2598" s="291"/>
      <c r="T2598" s="291"/>
      <c r="U2598" s="291"/>
      <c r="V2598" s="291"/>
    </row>
    <row r="2599" spans="1:22" s="515" customFormat="1" ht="27" customHeight="1">
      <c r="A2599" s="331">
        <v>255</v>
      </c>
      <c r="B2599" s="506" t="s">
        <v>2182</v>
      </c>
      <c r="C2599" s="584" t="s">
        <v>2424</v>
      </c>
      <c r="D2599" s="1365">
        <v>1819</v>
      </c>
      <c r="E2599" s="475"/>
      <c r="F2599" s="1139"/>
      <c r="G2599" s="386"/>
      <c r="H2599" s="363"/>
      <c r="I2599" s="397"/>
      <c r="J2599" s="335"/>
      <c r="K2599" s="374">
        <f t="shared" si="107"/>
        <v>0</v>
      </c>
      <c r="L2599" s="338">
        <f t="shared" si="106"/>
        <v>0</v>
      </c>
      <c r="M2599" s="338"/>
      <c r="N2599" s="335"/>
      <c r="O2599" s="335"/>
      <c r="P2599" s="335"/>
      <c r="Q2599" s="335"/>
      <c r="R2599" s="1158"/>
      <c r="S2599" s="291"/>
      <c r="T2599" s="291"/>
      <c r="U2599" s="291"/>
      <c r="V2599" s="291"/>
    </row>
    <row r="2600" spans="1:22" s="515" customFormat="1" ht="27" customHeight="1">
      <c r="A2600" s="331">
        <v>256</v>
      </c>
      <c r="B2600" s="506" t="s">
        <v>2182</v>
      </c>
      <c r="C2600" s="584" t="s">
        <v>2425</v>
      </c>
      <c r="D2600" s="1365">
        <v>1819</v>
      </c>
      <c r="E2600" s="475"/>
      <c r="F2600" s="1139"/>
      <c r="G2600" s="386"/>
      <c r="H2600" s="363"/>
      <c r="I2600" s="397"/>
      <c r="J2600" s="335"/>
      <c r="K2600" s="374">
        <f t="shared" si="107"/>
        <v>0</v>
      </c>
      <c r="L2600" s="338">
        <f t="shared" si="106"/>
        <v>0</v>
      </c>
      <c r="M2600" s="338"/>
      <c r="N2600" s="335"/>
      <c r="O2600" s="335"/>
      <c r="P2600" s="335"/>
      <c r="Q2600" s="335"/>
      <c r="R2600" s="1158"/>
      <c r="S2600" s="291"/>
      <c r="T2600" s="291"/>
      <c r="U2600" s="291"/>
      <c r="V2600" s="291"/>
    </row>
    <row r="2601" spans="1:22" s="515" customFormat="1" ht="27" customHeight="1">
      <c r="A2601" s="331">
        <v>257</v>
      </c>
      <c r="B2601" s="506" t="s">
        <v>2182</v>
      </c>
      <c r="C2601" s="584" t="s">
        <v>2426</v>
      </c>
      <c r="D2601" s="1369">
        <v>1819</v>
      </c>
      <c r="E2601" s="475"/>
      <c r="F2601" s="1139"/>
      <c r="G2601" s="386"/>
      <c r="H2601" s="363"/>
      <c r="I2601" s="397"/>
      <c r="J2601" s="335"/>
      <c r="K2601" s="374">
        <f t="shared" si="107"/>
        <v>0</v>
      </c>
      <c r="L2601" s="338">
        <f t="shared" si="106"/>
        <v>0</v>
      </c>
      <c r="M2601" s="338"/>
      <c r="N2601" s="335"/>
      <c r="O2601" s="335"/>
      <c r="P2601" s="335"/>
      <c r="Q2601" s="335"/>
      <c r="R2601" s="1158"/>
      <c r="S2601" s="291"/>
      <c r="T2601" s="291"/>
      <c r="U2601" s="291"/>
      <c r="V2601" s="291"/>
    </row>
    <row r="2602" spans="1:22" s="515" customFormat="1" ht="27" customHeight="1">
      <c r="A2602" s="331">
        <v>258</v>
      </c>
      <c r="B2602" s="506" t="s">
        <v>2183</v>
      </c>
      <c r="C2602" s="584" t="s">
        <v>3625</v>
      </c>
      <c r="D2602" s="1370">
        <v>1819</v>
      </c>
      <c r="E2602" s="475"/>
      <c r="F2602" s="1139"/>
      <c r="G2602" s="386"/>
      <c r="H2602" s="363"/>
      <c r="I2602" s="397"/>
      <c r="J2602" s="335"/>
      <c r="K2602" s="374">
        <f t="shared" si="107"/>
        <v>0</v>
      </c>
      <c r="L2602" s="338">
        <f t="shared" si="106"/>
        <v>0</v>
      </c>
      <c r="M2602" s="338"/>
      <c r="N2602" s="335"/>
      <c r="O2602" s="335"/>
      <c r="P2602" s="335"/>
      <c r="Q2602" s="335"/>
      <c r="R2602" s="1158"/>
      <c r="S2602" s="291"/>
      <c r="T2602" s="291"/>
      <c r="U2602" s="291"/>
      <c r="V2602" s="291"/>
    </row>
    <row r="2603" spans="1:22" s="515" customFormat="1" ht="27" customHeight="1">
      <c r="A2603" s="331">
        <v>259</v>
      </c>
      <c r="B2603" s="506" t="s">
        <v>2183</v>
      </c>
      <c r="C2603" s="584" t="s">
        <v>3626</v>
      </c>
      <c r="D2603" s="1368"/>
      <c r="E2603" s="475" t="s">
        <v>3416</v>
      </c>
      <c r="F2603" s="1139">
        <v>1</v>
      </c>
      <c r="G2603" s="386">
        <v>107</v>
      </c>
      <c r="H2603" s="363"/>
      <c r="I2603" s="397"/>
      <c r="J2603" s="335"/>
      <c r="K2603" s="374">
        <f t="shared" si="107"/>
        <v>12.347799999999999</v>
      </c>
      <c r="L2603" s="338">
        <f t="shared" ref="L2603:L2666" si="108">+J2603</f>
        <v>0</v>
      </c>
      <c r="M2603" s="338"/>
      <c r="N2603" s="335"/>
      <c r="O2603" s="335"/>
      <c r="P2603" s="335"/>
      <c r="Q2603" s="335"/>
      <c r="R2603" s="1158"/>
      <c r="S2603" s="291"/>
      <c r="T2603" s="291"/>
      <c r="U2603" s="291"/>
      <c r="V2603" s="291"/>
    </row>
    <row r="2604" spans="1:22" s="515" customFormat="1" ht="27" customHeight="1">
      <c r="A2604" s="331">
        <v>260</v>
      </c>
      <c r="B2604" s="506" t="s">
        <v>2183</v>
      </c>
      <c r="C2604" s="584" t="s">
        <v>3640</v>
      </c>
      <c r="D2604" s="1368"/>
      <c r="E2604" s="475" t="s">
        <v>3416</v>
      </c>
      <c r="F2604" s="1139">
        <v>1</v>
      </c>
      <c r="G2604" s="386">
        <v>107</v>
      </c>
      <c r="H2604" s="363"/>
      <c r="I2604" s="397"/>
      <c r="J2604" s="335"/>
      <c r="K2604" s="374">
        <f t="shared" si="107"/>
        <v>12.347799999999999</v>
      </c>
      <c r="L2604" s="338">
        <f t="shared" si="108"/>
        <v>0</v>
      </c>
      <c r="M2604" s="338"/>
      <c r="N2604" s="335"/>
      <c r="O2604" s="335"/>
      <c r="P2604" s="335"/>
      <c r="Q2604" s="335"/>
      <c r="R2604" s="1158"/>
      <c r="S2604" s="291"/>
      <c r="T2604" s="291"/>
      <c r="U2604" s="291"/>
      <c r="V2604" s="291"/>
    </row>
    <row r="2605" spans="1:22" s="515" customFormat="1" ht="27" customHeight="1">
      <c r="A2605" s="331">
        <v>261</v>
      </c>
      <c r="B2605" s="506" t="s">
        <v>2184</v>
      </c>
      <c r="C2605" s="584" t="s">
        <v>3641</v>
      </c>
      <c r="D2605" s="1368">
        <v>535</v>
      </c>
      <c r="E2605" s="475"/>
      <c r="F2605" s="1139"/>
      <c r="G2605" s="386"/>
      <c r="H2605" s="363"/>
      <c r="I2605" s="397"/>
      <c r="J2605" s="335"/>
      <c r="K2605" s="374">
        <f t="shared" si="107"/>
        <v>0</v>
      </c>
      <c r="L2605" s="338">
        <f t="shared" si="108"/>
        <v>0</v>
      </c>
      <c r="M2605" s="338"/>
      <c r="N2605" s="335"/>
      <c r="O2605" s="335"/>
      <c r="P2605" s="335"/>
      <c r="Q2605" s="335"/>
      <c r="R2605" s="1158"/>
      <c r="S2605" s="291"/>
      <c r="T2605" s="291"/>
      <c r="U2605" s="291"/>
      <c r="V2605" s="291"/>
    </row>
    <row r="2606" spans="1:22" s="515" customFormat="1" ht="27" customHeight="1">
      <c r="A2606" s="331">
        <v>262</v>
      </c>
      <c r="B2606" s="506" t="s">
        <v>2184</v>
      </c>
      <c r="C2606" s="584" t="s">
        <v>3642</v>
      </c>
      <c r="D2606" s="1370">
        <v>535</v>
      </c>
      <c r="E2606" s="475"/>
      <c r="F2606" s="1139"/>
      <c r="G2606" s="386"/>
      <c r="H2606" s="363"/>
      <c r="I2606" s="397"/>
      <c r="J2606" s="335"/>
      <c r="K2606" s="374">
        <f t="shared" si="107"/>
        <v>0</v>
      </c>
      <c r="L2606" s="338">
        <f t="shared" si="108"/>
        <v>0</v>
      </c>
      <c r="M2606" s="338"/>
      <c r="N2606" s="335"/>
      <c r="O2606" s="335"/>
      <c r="P2606" s="335"/>
      <c r="Q2606" s="335"/>
      <c r="R2606" s="1158"/>
      <c r="S2606" s="291"/>
      <c r="T2606" s="291"/>
      <c r="U2606" s="291"/>
      <c r="V2606" s="291"/>
    </row>
    <row r="2607" spans="1:22" s="515" customFormat="1" ht="27" customHeight="1">
      <c r="A2607" s="331">
        <v>263</v>
      </c>
      <c r="B2607" s="506" t="s">
        <v>2184</v>
      </c>
      <c r="C2607" s="584" t="s">
        <v>3643</v>
      </c>
      <c r="D2607" s="1370">
        <v>535</v>
      </c>
      <c r="E2607" s="475"/>
      <c r="F2607" s="1139"/>
      <c r="G2607" s="386"/>
      <c r="H2607" s="363"/>
      <c r="I2607" s="397"/>
      <c r="J2607" s="335"/>
      <c r="K2607" s="374">
        <f t="shared" si="107"/>
        <v>0</v>
      </c>
      <c r="L2607" s="338">
        <f t="shared" si="108"/>
        <v>0</v>
      </c>
      <c r="M2607" s="338"/>
      <c r="N2607" s="335"/>
      <c r="O2607" s="335"/>
      <c r="P2607" s="335"/>
      <c r="Q2607" s="335"/>
      <c r="R2607" s="1158"/>
      <c r="S2607" s="291"/>
      <c r="T2607" s="291"/>
      <c r="U2607" s="291"/>
      <c r="V2607" s="291"/>
    </row>
    <row r="2608" spans="1:22" s="515" customFormat="1" ht="27" customHeight="1">
      <c r="A2608" s="331">
        <v>264</v>
      </c>
      <c r="B2608" s="506" t="s">
        <v>2184</v>
      </c>
      <c r="C2608" s="584" t="s">
        <v>3644</v>
      </c>
      <c r="D2608" s="1370">
        <v>535</v>
      </c>
      <c r="E2608" s="475"/>
      <c r="F2608" s="1139"/>
      <c r="G2608" s="386"/>
      <c r="H2608" s="363"/>
      <c r="I2608" s="397"/>
      <c r="J2608" s="335"/>
      <c r="K2608" s="374">
        <f t="shared" si="107"/>
        <v>0</v>
      </c>
      <c r="L2608" s="338">
        <f t="shared" si="108"/>
        <v>0</v>
      </c>
      <c r="M2608" s="338"/>
      <c r="N2608" s="335"/>
      <c r="O2608" s="335"/>
      <c r="P2608" s="335"/>
      <c r="Q2608" s="335"/>
      <c r="R2608" s="1158"/>
      <c r="S2608" s="291"/>
      <c r="T2608" s="291"/>
      <c r="U2608" s="291"/>
      <c r="V2608" s="291"/>
    </row>
    <row r="2609" spans="1:22" s="515" customFormat="1" ht="27" customHeight="1">
      <c r="A2609" s="331">
        <v>265</v>
      </c>
      <c r="B2609" s="506" t="s">
        <v>2184</v>
      </c>
      <c r="C2609" s="584" t="s">
        <v>3645</v>
      </c>
      <c r="D2609" s="1371">
        <v>535</v>
      </c>
      <c r="E2609" s="475"/>
      <c r="F2609" s="1139"/>
      <c r="G2609" s="386"/>
      <c r="H2609" s="363"/>
      <c r="I2609" s="397"/>
      <c r="J2609" s="335"/>
      <c r="K2609" s="374">
        <f t="shared" si="107"/>
        <v>0</v>
      </c>
      <c r="L2609" s="338">
        <f t="shared" si="108"/>
        <v>0</v>
      </c>
      <c r="M2609" s="338"/>
      <c r="N2609" s="335"/>
      <c r="O2609" s="335"/>
      <c r="P2609" s="335"/>
      <c r="Q2609" s="335"/>
      <c r="R2609" s="1158"/>
      <c r="S2609" s="291"/>
      <c r="T2609" s="291"/>
      <c r="U2609" s="291"/>
      <c r="V2609" s="291"/>
    </row>
    <row r="2610" spans="1:22" s="515" customFormat="1" ht="27" customHeight="1">
      <c r="A2610" s="331">
        <v>266</v>
      </c>
      <c r="B2610" s="506" t="s">
        <v>2184</v>
      </c>
      <c r="C2610" s="584" t="s">
        <v>3646</v>
      </c>
      <c r="D2610" s="1370">
        <v>535</v>
      </c>
      <c r="E2610" s="475"/>
      <c r="F2610" s="1139"/>
      <c r="G2610" s="386"/>
      <c r="H2610" s="363"/>
      <c r="I2610" s="397"/>
      <c r="J2610" s="335"/>
      <c r="K2610" s="374">
        <f t="shared" si="107"/>
        <v>0</v>
      </c>
      <c r="L2610" s="338">
        <f t="shared" si="108"/>
        <v>0</v>
      </c>
      <c r="M2610" s="338"/>
      <c r="N2610" s="335"/>
      <c r="O2610" s="335"/>
      <c r="P2610" s="335"/>
      <c r="Q2610" s="335"/>
      <c r="R2610" s="1158"/>
      <c r="S2610" s="291"/>
      <c r="T2610" s="291"/>
      <c r="U2610" s="291"/>
      <c r="V2610" s="291"/>
    </row>
    <row r="2611" spans="1:22" s="515" customFormat="1" ht="27" customHeight="1">
      <c r="A2611" s="331">
        <v>267</v>
      </c>
      <c r="B2611" s="506" t="s">
        <v>2714</v>
      </c>
      <c r="C2611" s="584" t="s">
        <v>2427</v>
      </c>
      <c r="D2611" s="1368">
        <v>1819</v>
      </c>
      <c r="E2611" s="475"/>
      <c r="F2611" s="1139"/>
      <c r="G2611" s="386"/>
      <c r="H2611" s="363"/>
      <c r="I2611" s="397"/>
      <c r="J2611" s="335"/>
      <c r="K2611" s="374">
        <f t="shared" si="107"/>
        <v>0</v>
      </c>
      <c r="L2611" s="338">
        <f t="shared" si="108"/>
        <v>0</v>
      </c>
      <c r="M2611" s="338"/>
      <c r="N2611" s="335"/>
      <c r="O2611" s="335"/>
      <c r="P2611" s="335"/>
      <c r="Q2611" s="335"/>
      <c r="R2611" s="1158"/>
      <c r="S2611" s="291"/>
      <c r="T2611" s="291"/>
      <c r="U2611" s="291"/>
      <c r="V2611" s="291"/>
    </row>
    <row r="2612" spans="1:22" s="515" customFormat="1" ht="27" customHeight="1">
      <c r="A2612" s="331">
        <v>268</v>
      </c>
      <c r="B2612" s="506" t="s">
        <v>2154</v>
      </c>
      <c r="C2612" s="584" t="s">
        <v>2428</v>
      </c>
      <c r="D2612" s="1498">
        <v>1819</v>
      </c>
      <c r="E2612" s="475"/>
      <c r="F2612" s="1139"/>
      <c r="G2612" s="386"/>
      <c r="H2612" s="363"/>
      <c r="I2612" s="397"/>
      <c r="J2612" s="335"/>
      <c r="K2612" s="374">
        <f t="shared" si="107"/>
        <v>0</v>
      </c>
      <c r="L2612" s="338">
        <f t="shared" si="108"/>
        <v>0</v>
      </c>
      <c r="M2612" s="338"/>
      <c r="N2612" s="335"/>
      <c r="O2612" s="335"/>
      <c r="P2612" s="335"/>
      <c r="Q2612" s="335"/>
      <c r="R2612" s="1158"/>
      <c r="S2612" s="291"/>
      <c r="T2612" s="291"/>
      <c r="U2612" s="291"/>
      <c r="V2612" s="291"/>
    </row>
    <row r="2613" spans="1:22" s="515" customFormat="1" ht="27" customHeight="1">
      <c r="A2613" s="331">
        <v>269</v>
      </c>
      <c r="B2613" s="506" t="s">
        <v>2714</v>
      </c>
      <c r="C2613" s="584" t="s">
        <v>2429</v>
      </c>
      <c r="D2613" s="1498">
        <v>1819</v>
      </c>
      <c r="E2613" s="475"/>
      <c r="F2613" s="1139"/>
      <c r="G2613" s="386"/>
      <c r="H2613" s="363"/>
      <c r="I2613" s="397"/>
      <c r="J2613" s="335"/>
      <c r="K2613" s="374">
        <f t="shared" si="107"/>
        <v>0</v>
      </c>
      <c r="L2613" s="338">
        <f t="shared" si="108"/>
        <v>0</v>
      </c>
      <c r="M2613" s="338"/>
      <c r="N2613" s="335"/>
      <c r="O2613" s="335"/>
      <c r="P2613" s="335"/>
      <c r="Q2613" s="335"/>
      <c r="R2613" s="1158"/>
      <c r="S2613" s="291"/>
      <c r="T2613" s="291"/>
      <c r="U2613" s="291"/>
      <c r="V2613" s="291"/>
    </row>
    <row r="2614" spans="1:22" s="515" customFormat="1" ht="27" customHeight="1">
      <c r="A2614" s="331">
        <v>270</v>
      </c>
      <c r="B2614" s="506" t="s">
        <v>2154</v>
      </c>
      <c r="C2614" s="584" t="s">
        <v>2430</v>
      </c>
      <c r="D2614" s="1370">
        <v>1819</v>
      </c>
      <c r="E2614" s="475"/>
      <c r="F2614" s="1139"/>
      <c r="G2614" s="386"/>
      <c r="H2614" s="363"/>
      <c r="I2614" s="397"/>
      <c r="J2614" s="335"/>
      <c r="K2614" s="374">
        <f t="shared" si="107"/>
        <v>0</v>
      </c>
      <c r="L2614" s="338">
        <f t="shared" si="108"/>
        <v>0</v>
      </c>
      <c r="M2614" s="338"/>
      <c r="N2614" s="335"/>
      <c r="O2614" s="335"/>
      <c r="P2614" s="335"/>
      <c r="Q2614" s="335"/>
      <c r="R2614" s="1158"/>
      <c r="S2614" s="291"/>
      <c r="T2614" s="291"/>
      <c r="U2614" s="291"/>
      <c r="V2614" s="291"/>
    </row>
    <row r="2615" spans="1:22" s="515" customFormat="1" ht="27" customHeight="1">
      <c r="A2615" s="331">
        <v>271</v>
      </c>
      <c r="B2615" s="506" t="s">
        <v>2714</v>
      </c>
      <c r="C2615" s="584" t="s">
        <v>2431</v>
      </c>
      <c r="D2615" s="1370">
        <v>1819</v>
      </c>
      <c r="E2615" s="475"/>
      <c r="F2615" s="1139"/>
      <c r="G2615" s="386"/>
      <c r="H2615" s="363"/>
      <c r="I2615" s="397"/>
      <c r="J2615" s="335"/>
      <c r="K2615" s="374">
        <f t="shared" si="107"/>
        <v>0</v>
      </c>
      <c r="L2615" s="338">
        <f t="shared" si="108"/>
        <v>0</v>
      </c>
      <c r="M2615" s="338"/>
      <c r="N2615" s="335"/>
      <c r="O2615" s="335"/>
      <c r="P2615" s="335"/>
      <c r="Q2615" s="335"/>
      <c r="R2615" s="1158"/>
      <c r="S2615" s="291"/>
      <c r="T2615" s="291"/>
      <c r="U2615" s="291"/>
      <c r="V2615" s="291"/>
    </row>
    <row r="2616" spans="1:22" s="515" customFormat="1" ht="27" customHeight="1">
      <c r="A2616" s="331">
        <v>272</v>
      </c>
      <c r="B2616" s="506" t="s">
        <v>2154</v>
      </c>
      <c r="C2616" s="584" t="s">
        <v>2432</v>
      </c>
      <c r="D2616" s="1370">
        <v>1819</v>
      </c>
      <c r="E2616" s="475"/>
      <c r="F2616" s="1139"/>
      <c r="G2616" s="386"/>
      <c r="H2616" s="363"/>
      <c r="I2616" s="397"/>
      <c r="J2616" s="335"/>
      <c r="K2616" s="374">
        <f t="shared" si="107"/>
        <v>0</v>
      </c>
      <c r="L2616" s="338">
        <f t="shared" si="108"/>
        <v>0</v>
      </c>
      <c r="M2616" s="338"/>
      <c r="N2616" s="335"/>
      <c r="O2616" s="335"/>
      <c r="P2616" s="335"/>
      <c r="Q2616" s="335"/>
      <c r="R2616" s="1158"/>
      <c r="S2616" s="291"/>
      <c r="T2616" s="291"/>
      <c r="U2616" s="291"/>
      <c r="V2616" s="291"/>
    </row>
    <row r="2617" spans="1:22" s="515" customFormat="1" ht="27" customHeight="1">
      <c r="A2617" s="331">
        <v>273</v>
      </c>
      <c r="B2617" s="506" t="s">
        <v>2714</v>
      </c>
      <c r="C2617" s="584" t="s">
        <v>2433</v>
      </c>
      <c r="D2617" s="1370">
        <v>3745</v>
      </c>
      <c r="E2617" s="475"/>
      <c r="F2617" s="1139"/>
      <c r="G2617" s="386"/>
      <c r="H2617" s="363"/>
      <c r="I2617" s="397"/>
      <c r="J2617" s="335"/>
      <c r="K2617" s="374">
        <f t="shared" si="107"/>
        <v>0</v>
      </c>
      <c r="L2617" s="338">
        <f t="shared" si="108"/>
        <v>0</v>
      </c>
      <c r="M2617" s="338"/>
      <c r="N2617" s="335"/>
      <c r="O2617" s="335"/>
      <c r="P2617" s="335"/>
      <c r="Q2617" s="335"/>
      <c r="R2617" s="1158"/>
      <c r="S2617" s="291"/>
      <c r="T2617" s="291"/>
      <c r="U2617" s="291"/>
      <c r="V2617" s="291"/>
    </row>
    <row r="2618" spans="1:22" s="515" customFormat="1" ht="27" customHeight="1">
      <c r="A2618" s="331">
        <v>274</v>
      </c>
      <c r="B2618" s="506" t="s">
        <v>2154</v>
      </c>
      <c r="C2618" s="584" t="s">
        <v>2434</v>
      </c>
      <c r="D2618" s="1370">
        <v>1819</v>
      </c>
      <c r="E2618" s="475"/>
      <c r="F2618" s="1139"/>
      <c r="G2618" s="386"/>
      <c r="H2618" s="363"/>
      <c r="I2618" s="397"/>
      <c r="J2618" s="335"/>
      <c r="K2618" s="374">
        <f t="shared" si="107"/>
        <v>0</v>
      </c>
      <c r="L2618" s="338">
        <f t="shared" si="108"/>
        <v>0</v>
      </c>
      <c r="M2618" s="338"/>
      <c r="N2618" s="335"/>
      <c r="O2618" s="335"/>
      <c r="P2618" s="335"/>
      <c r="Q2618" s="335"/>
      <c r="R2618" s="1158"/>
      <c r="S2618" s="291"/>
      <c r="T2618" s="291"/>
      <c r="U2618" s="291"/>
      <c r="V2618" s="291"/>
    </row>
    <row r="2619" spans="1:22" s="515" customFormat="1" ht="27" customHeight="1">
      <c r="A2619" s="331">
        <v>275</v>
      </c>
      <c r="B2619" s="506" t="s">
        <v>2714</v>
      </c>
      <c r="C2619" s="584" t="s">
        <v>2435</v>
      </c>
      <c r="D2619" s="1370">
        <v>3745</v>
      </c>
      <c r="E2619" s="475"/>
      <c r="F2619" s="1139"/>
      <c r="G2619" s="386"/>
      <c r="H2619" s="363"/>
      <c r="I2619" s="397"/>
      <c r="J2619" s="335"/>
      <c r="K2619" s="374">
        <f t="shared" ref="K2619:K2682" si="109">G2619*11.54/100</f>
        <v>0</v>
      </c>
      <c r="L2619" s="338">
        <f t="shared" si="108"/>
        <v>0</v>
      </c>
      <c r="M2619" s="338"/>
      <c r="N2619" s="335"/>
      <c r="O2619" s="335"/>
      <c r="P2619" s="335"/>
      <c r="Q2619" s="335"/>
      <c r="R2619" s="1158"/>
      <c r="S2619" s="291"/>
      <c r="T2619" s="291"/>
      <c r="U2619" s="291"/>
      <c r="V2619" s="291"/>
    </row>
    <row r="2620" spans="1:22" s="515" customFormat="1" ht="27" customHeight="1">
      <c r="A2620" s="331">
        <v>276</v>
      </c>
      <c r="B2620" s="506" t="s">
        <v>2154</v>
      </c>
      <c r="C2620" s="584" t="s">
        <v>2436</v>
      </c>
      <c r="D2620" s="1370">
        <v>1819</v>
      </c>
      <c r="E2620" s="475"/>
      <c r="F2620" s="1139"/>
      <c r="G2620" s="386"/>
      <c r="H2620" s="363"/>
      <c r="I2620" s="397"/>
      <c r="J2620" s="335"/>
      <c r="K2620" s="374">
        <f t="shared" si="109"/>
        <v>0</v>
      </c>
      <c r="L2620" s="338">
        <f t="shared" si="108"/>
        <v>0</v>
      </c>
      <c r="M2620" s="338"/>
      <c r="N2620" s="335"/>
      <c r="O2620" s="335"/>
      <c r="P2620" s="335"/>
      <c r="Q2620" s="335"/>
      <c r="R2620" s="1158"/>
      <c r="S2620" s="291"/>
      <c r="T2620" s="291"/>
      <c r="U2620" s="291"/>
      <c r="V2620" s="291"/>
    </row>
    <row r="2621" spans="1:22" s="515" customFormat="1" ht="27" customHeight="1">
      <c r="A2621" s="331">
        <v>277</v>
      </c>
      <c r="B2621" s="506" t="s">
        <v>2186</v>
      </c>
      <c r="C2621" s="584" t="s">
        <v>2437</v>
      </c>
      <c r="D2621" s="1372">
        <v>3745</v>
      </c>
      <c r="E2621" s="475"/>
      <c r="F2621" s="1139"/>
      <c r="G2621" s="386"/>
      <c r="H2621" s="363"/>
      <c r="I2621" s="397"/>
      <c r="J2621" s="335"/>
      <c r="K2621" s="374">
        <f t="shared" si="109"/>
        <v>0</v>
      </c>
      <c r="L2621" s="338">
        <f t="shared" si="108"/>
        <v>0</v>
      </c>
      <c r="M2621" s="338"/>
      <c r="N2621" s="335"/>
      <c r="O2621" s="335"/>
      <c r="P2621" s="335"/>
      <c r="Q2621" s="335"/>
      <c r="R2621" s="1158"/>
      <c r="S2621" s="291"/>
      <c r="T2621" s="291"/>
      <c r="U2621" s="291"/>
      <c r="V2621" s="291"/>
    </row>
    <row r="2622" spans="1:22" s="515" customFormat="1" ht="27" customHeight="1">
      <c r="A2622" s="331">
        <v>278</v>
      </c>
      <c r="B2622" s="506" t="s">
        <v>2186</v>
      </c>
      <c r="C2622" s="584" t="s">
        <v>2438</v>
      </c>
      <c r="D2622" s="1372">
        <v>3852</v>
      </c>
      <c r="E2622" s="475"/>
      <c r="F2622" s="1139"/>
      <c r="G2622" s="386"/>
      <c r="H2622" s="363"/>
      <c r="I2622" s="397"/>
      <c r="J2622" s="335"/>
      <c r="K2622" s="374">
        <f t="shared" si="109"/>
        <v>0</v>
      </c>
      <c r="L2622" s="338">
        <f t="shared" si="108"/>
        <v>0</v>
      </c>
      <c r="M2622" s="338"/>
      <c r="N2622" s="335"/>
      <c r="O2622" s="335"/>
      <c r="P2622" s="335"/>
      <c r="Q2622" s="335"/>
      <c r="R2622" s="1158"/>
      <c r="S2622" s="291"/>
      <c r="T2622" s="291"/>
      <c r="U2622" s="291"/>
      <c r="V2622" s="291"/>
    </row>
    <row r="2623" spans="1:22" s="515" customFormat="1" ht="27" customHeight="1">
      <c r="A2623" s="331">
        <v>279</v>
      </c>
      <c r="B2623" s="506" t="s">
        <v>2186</v>
      </c>
      <c r="C2623" s="584" t="s">
        <v>2439</v>
      </c>
      <c r="D2623" s="1370">
        <v>1819</v>
      </c>
      <c r="E2623" s="475"/>
      <c r="F2623" s="1139"/>
      <c r="G2623" s="386"/>
      <c r="H2623" s="363"/>
      <c r="I2623" s="397"/>
      <c r="J2623" s="335"/>
      <c r="K2623" s="374">
        <f t="shared" si="109"/>
        <v>0</v>
      </c>
      <c r="L2623" s="338">
        <f t="shared" si="108"/>
        <v>0</v>
      </c>
      <c r="M2623" s="338"/>
      <c r="N2623" s="335"/>
      <c r="O2623" s="335"/>
      <c r="P2623" s="335"/>
      <c r="Q2623" s="335"/>
      <c r="R2623" s="1158"/>
      <c r="S2623" s="291"/>
      <c r="T2623" s="291"/>
      <c r="U2623" s="291"/>
      <c r="V2623" s="291"/>
    </row>
    <row r="2624" spans="1:22" s="515" customFormat="1" ht="27" customHeight="1">
      <c r="A2624" s="331">
        <v>280</v>
      </c>
      <c r="B2624" s="506" t="s">
        <v>2186</v>
      </c>
      <c r="C2624" s="584" t="s">
        <v>2440</v>
      </c>
      <c r="D2624" s="1370">
        <v>1819</v>
      </c>
      <c r="E2624" s="475"/>
      <c r="F2624" s="1139"/>
      <c r="G2624" s="386"/>
      <c r="H2624" s="363"/>
      <c r="I2624" s="397"/>
      <c r="J2624" s="335"/>
      <c r="K2624" s="374">
        <f t="shared" si="109"/>
        <v>0</v>
      </c>
      <c r="L2624" s="338">
        <f t="shared" si="108"/>
        <v>0</v>
      </c>
      <c r="M2624" s="338"/>
      <c r="N2624" s="335"/>
      <c r="O2624" s="335"/>
      <c r="P2624" s="335"/>
      <c r="Q2624" s="335"/>
      <c r="R2624" s="1158"/>
      <c r="S2624" s="291"/>
      <c r="T2624" s="291"/>
      <c r="U2624" s="291"/>
      <c r="V2624" s="291"/>
    </row>
    <row r="2625" spans="1:22" s="515" customFormat="1" ht="27" customHeight="1">
      <c r="A2625" s="331">
        <v>281</v>
      </c>
      <c r="B2625" s="506" t="s">
        <v>2186</v>
      </c>
      <c r="C2625" s="584" t="s">
        <v>2441</v>
      </c>
      <c r="D2625" s="1370">
        <v>1819</v>
      </c>
      <c r="E2625" s="475"/>
      <c r="F2625" s="1139"/>
      <c r="G2625" s="386"/>
      <c r="H2625" s="363"/>
      <c r="I2625" s="397"/>
      <c r="J2625" s="335"/>
      <c r="K2625" s="374">
        <f t="shared" si="109"/>
        <v>0</v>
      </c>
      <c r="L2625" s="338">
        <f t="shared" si="108"/>
        <v>0</v>
      </c>
      <c r="M2625" s="338"/>
      <c r="N2625" s="335"/>
      <c r="O2625" s="335"/>
      <c r="P2625" s="335"/>
      <c r="Q2625" s="335"/>
      <c r="R2625" s="1158"/>
      <c r="S2625" s="291"/>
      <c r="T2625" s="291"/>
      <c r="U2625" s="291"/>
      <c r="V2625" s="291"/>
    </row>
    <row r="2626" spans="1:22" s="515" customFormat="1" ht="27" customHeight="1">
      <c r="A2626" s="331">
        <v>282</v>
      </c>
      <c r="B2626" s="506" t="s">
        <v>2185</v>
      </c>
      <c r="C2626" s="584" t="s">
        <v>3021</v>
      </c>
      <c r="D2626" s="1370">
        <v>535</v>
      </c>
      <c r="E2626" s="475"/>
      <c r="F2626" s="1139"/>
      <c r="G2626" s="386"/>
      <c r="H2626" s="363"/>
      <c r="I2626" s="397"/>
      <c r="J2626" s="335"/>
      <c r="K2626" s="374">
        <f t="shared" si="109"/>
        <v>0</v>
      </c>
      <c r="L2626" s="338">
        <f t="shared" si="108"/>
        <v>0</v>
      </c>
      <c r="M2626" s="338"/>
      <c r="N2626" s="335"/>
      <c r="O2626" s="335"/>
      <c r="P2626" s="335"/>
      <c r="Q2626" s="335"/>
      <c r="R2626" s="1158"/>
      <c r="S2626" s="291"/>
      <c r="T2626" s="291"/>
      <c r="U2626" s="291"/>
      <c r="V2626" s="291"/>
    </row>
    <row r="2627" spans="1:22" s="515" customFormat="1" ht="27" customHeight="1">
      <c r="A2627" s="331">
        <v>283</v>
      </c>
      <c r="B2627" s="506" t="s">
        <v>2185</v>
      </c>
      <c r="C2627" s="584" t="s">
        <v>3022</v>
      </c>
      <c r="D2627" s="1370">
        <v>535</v>
      </c>
      <c r="E2627" s="475"/>
      <c r="F2627" s="1139"/>
      <c r="G2627" s="386"/>
      <c r="H2627" s="363"/>
      <c r="I2627" s="397"/>
      <c r="J2627" s="335"/>
      <c r="K2627" s="374">
        <f t="shared" si="109"/>
        <v>0</v>
      </c>
      <c r="L2627" s="338">
        <f t="shared" si="108"/>
        <v>0</v>
      </c>
      <c r="M2627" s="338"/>
      <c r="N2627" s="335"/>
      <c r="O2627" s="335"/>
      <c r="P2627" s="335"/>
      <c r="Q2627" s="335"/>
      <c r="R2627" s="1158"/>
      <c r="S2627" s="291"/>
      <c r="T2627" s="291"/>
      <c r="U2627" s="291"/>
      <c r="V2627" s="291"/>
    </row>
    <row r="2628" spans="1:22" s="515" customFormat="1" ht="27" customHeight="1">
      <c r="A2628" s="331">
        <v>284</v>
      </c>
      <c r="B2628" s="506" t="s">
        <v>2185</v>
      </c>
      <c r="C2628" s="584" t="s">
        <v>3023</v>
      </c>
      <c r="D2628" s="1370">
        <v>535</v>
      </c>
      <c r="E2628" s="475"/>
      <c r="F2628" s="1139"/>
      <c r="G2628" s="386"/>
      <c r="H2628" s="363"/>
      <c r="I2628" s="397"/>
      <c r="J2628" s="335"/>
      <c r="K2628" s="374">
        <f t="shared" si="109"/>
        <v>0</v>
      </c>
      <c r="L2628" s="338">
        <f t="shared" si="108"/>
        <v>0</v>
      </c>
      <c r="M2628" s="338"/>
      <c r="N2628" s="335"/>
      <c r="O2628" s="335"/>
      <c r="P2628" s="335"/>
      <c r="Q2628" s="335"/>
      <c r="R2628" s="1158"/>
      <c r="S2628" s="291"/>
      <c r="T2628" s="291"/>
      <c r="U2628" s="291"/>
      <c r="V2628" s="291"/>
    </row>
    <row r="2629" spans="1:22" s="515" customFormat="1" ht="27" customHeight="1">
      <c r="A2629" s="331">
        <v>285</v>
      </c>
      <c r="B2629" s="506" t="s">
        <v>2185</v>
      </c>
      <c r="C2629" s="584" t="s">
        <v>3024</v>
      </c>
      <c r="D2629" s="1370">
        <v>535</v>
      </c>
      <c r="E2629" s="475"/>
      <c r="F2629" s="1139"/>
      <c r="G2629" s="386"/>
      <c r="H2629" s="363"/>
      <c r="I2629" s="397"/>
      <c r="J2629" s="335"/>
      <c r="K2629" s="374">
        <f t="shared" si="109"/>
        <v>0</v>
      </c>
      <c r="L2629" s="338">
        <f t="shared" si="108"/>
        <v>0</v>
      </c>
      <c r="M2629" s="338"/>
      <c r="N2629" s="335"/>
      <c r="O2629" s="335"/>
      <c r="P2629" s="335"/>
      <c r="Q2629" s="335"/>
      <c r="R2629" s="1158"/>
      <c r="S2629" s="291"/>
      <c r="T2629" s="291"/>
      <c r="U2629" s="291"/>
      <c r="V2629" s="291"/>
    </row>
    <row r="2630" spans="1:22" s="515" customFormat="1" ht="27" customHeight="1">
      <c r="A2630" s="331">
        <v>286</v>
      </c>
      <c r="B2630" s="506" t="s">
        <v>2187</v>
      </c>
      <c r="C2630" s="584" t="s">
        <v>3025</v>
      </c>
      <c r="D2630" s="1368">
        <v>535</v>
      </c>
      <c r="E2630" s="475"/>
      <c r="F2630" s="1139"/>
      <c r="G2630" s="386"/>
      <c r="H2630" s="363"/>
      <c r="I2630" s="397"/>
      <c r="J2630" s="335"/>
      <c r="K2630" s="374">
        <f t="shared" si="109"/>
        <v>0</v>
      </c>
      <c r="L2630" s="338">
        <f t="shared" si="108"/>
        <v>0</v>
      </c>
      <c r="M2630" s="338"/>
      <c r="N2630" s="335"/>
      <c r="O2630" s="335"/>
      <c r="P2630" s="335"/>
      <c r="Q2630" s="335"/>
      <c r="R2630" s="1158"/>
      <c r="S2630" s="291"/>
      <c r="T2630" s="291"/>
      <c r="U2630" s="291"/>
      <c r="V2630" s="291"/>
    </row>
    <row r="2631" spans="1:22" s="515" customFormat="1" ht="27" customHeight="1">
      <c r="A2631" s="331">
        <v>287</v>
      </c>
      <c r="B2631" s="506" t="s">
        <v>2254</v>
      </c>
      <c r="C2631" s="584" t="s">
        <v>2442</v>
      </c>
      <c r="D2631" s="1368">
        <v>1819</v>
      </c>
      <c r="E2631" s="475"/>
      <c r="F2631" s="1139"/>
      <c r="G2631" s="386"/>
      <c r="H2631" s="363"/>
      <c r="I2631" s="397"/>
      <c r="J2631" s="335"/>
      <c r="K2631" s="374">
        <f t="shared" si="109"/>
        <v>0</v>
      </c>
      <c r="L2631" s="338">
        <f t="shared" si="108"/>
        <v>0</v>
      </c>
      <c r="M2631" s="338"/>
      <c r="N2631" s="335"/>
      <c r="O2631" s="335"/>
      <c r="P2631" s="335"/>
      <c r="Q2631" s="335"/>
      <c r="R2631" s="1158"/>
      <c r="S2631" s="291"/>
      <c r="T2631" s="291"/>
      <c r="U2631" s="291"/>
      <c r="V2631" s="291"/>
    </row>
    <row r="2632" spans="1:22" s="515" customFormat="1" ht="27" customHeight="1">
      <c r="A2632" s="331">
        <v>288</v>
      </c>
      <c r="B2632" s="506" t="s">
        <v>2254</v>
      </c>
      <c r="C2632" s="584" t="s">
        <v>2443</v>
      </c>
      <c r="D2632" s="1370">
        <v>1819</v>
      </c>
      <c r="E2632" s="475"/>
      <c r="F2632" s="1139"/>
      <c r="G2632" s="386"/>
      <c r="H2632" s="363"/>
      <c r="I2632" s="397"/>
      <c r="J2632" s="335"/>
      <c r="K2632" s="374">
        <f t="shared" si="109"/>
        <v>0</v>
      </c>
      <c r="L2632" s="338">
        <f t="shared" si="108"/>
        <v>0</v>
      </c>
      <c r="M2632" s="338"/>
      <c r="N2632" s="335"/>
      <c r="O2632" s="335"/>
      <c r="P2632" s="335"/>
      <c r="Q2632" s="335"/>
      <c r="R2632" s="1158"/>
      <c r="S2632" s="291"/>
      <c r="T2632" s="291"/>
      <c r="U2632" s="291"/>
      <c r="V2632" s="291"/>
    </row>
    <row r="2633" spans="1:22" s="515" customFormat="1" ht="27" customHeight="1">
      <c r="A2633" s="331">
        <v>289</v>
      </c>
      <c r="B2633" s="506" t="s">
        <v>2254</v>
      </c>
      <c r="C2633" s="584" t="s">
        <v>2444</v>
      </c>
      <c r="D2633" s="1370">
        <v>3852</v>
      </c>
      <c r="E2633" s="475"/>
      <c r="F2633" s="1139"/>
      <c r="G2633" s="386"/>
      <c r="H2633" s="363"/>
      <c r="I2633" s="397"/>
      <c r="J2633" s="335"/>
      <c r="K2633" s="374">
        <f t="shared" si="109"/>
        <v>0</v>
      </c>
      <c r="L2633" s="338">
        <f t="shared" si="108"/>
        <v>0</v>
      </c>
      <c r="M2633" s="338"/>
      <c r="N2633" s="335"/>
      <c r="O2633" s="335"/>
      <c r="P2633" s="335"/>
      <c r="Q2633" s="335"/>
      <c r="R2633" s="1158"/>
      <c r="S2633" s="291"/>
      <c r="T2633" s="291"/>
      <c r="U2633" s="291"/>
      <c r="V2633" s="291"/>
    </row>
    <row r="2634" spans="1:22" s="515" customFormat="1" ht="27" customHeight="1">
      <c r="A2634" s="331">
        <v>290</v>
      </c>
      <c r="B2634" s="506" t="s">
        <v>2189</v>
      </c>
      <c r="C2634" s="584" t="s">
        <v>2445</v>
      </c>
      <c r="D2634" s="1368">
        <v>1849</v>
      </c>
      <c r="E2634" s="475"/>
      <c r="F2634" s="1139"/>
      <c r="G2634" s="386"/>
      <c r="H2634" s="363"/>
      <c r="I2634" s="397"/>
      <c r="J2634" s="335"/>
      <c r="K2634" s="374">
        <f t="shared" si="109"/>
        <v>0</v>
      </c>
      <c r="L2634" s="338">
        <f t="shared" si="108"/>
        <v>0</v>
      </c>
      <c r="M2634" s="338"/>
      <c r="N2634" s="335"/>
      <c r="O2634" s="335"/>
      <c r="P2634" s="335"/>
      <c r="Q2634" s="335"/>
      <c r="R2634" s="1158"/>
      <c r="S2634" s="291"/>
      <c r="T2634" s="291"/>
      <c r="U2634" s="291"/>
      <c r="V2634" s="291"/>
    </row>
    <row r="2635" spans="1:22" s="515" customFormat="1" ht="27" customHeight="1">
      <c r="A2635" s="331">
        <v>291</v>
      </c>
      <c r="B2635" s="506" t="s">
        <v>2189</v>
      </c>
      <c r="C2635" s="584" t="s">
        <v>2446</v>
      </c>
      <c r="D2635" s="1368">
        <v>1849</v>
      </c>
      <c r="E2635" s="475"/>
      <c r="F2635" s="1139"/>
      <c r="G2635" s="386"/>
      <c r="H2635" s="363"/>
      <c r="I2635" s="397"/>
      <c r="J2635" s="335"/>
      <c r="K2635" s="374">
        <f t="shared" si="109"/>
        <v>0</v>
      </c>
      <c r="L2635" s="338">
        <f t="shared" si="108"/>
        <v>0</v>
      </c>
      <c r="M2635" s="338"/>
      <c r="N2635" s="335"/>
      <c r="O2635" s="335"/>
      <c r="P2635" s="335"/>
      <c r="Q2635" s="335"/>
      <c r="R2635" s="1158"/>
      <c r="S2635" s="291"/>
      <c r="T2635" s="291"/>
      <c r="U2635" s="291"/>
      <c r="V2635" s="291"/>
    </row>
    <row r="2636" spans="1:22" s="515" customFormat="1" ht="27" customHeight="1">
      <c r="A2636" s="331">
        <v>292</v>
      </c>
      <c r="B2636" s="506" t="s">
        <v>2190</v>
      </c>
      <c r="C2636" s="584" t="s">
        <v>2447</v>
      </c>
      <c r="D2636" s="1370">
        <v>1819</v>
      </c>
      <c r="E2636" s="475"/>
      <c r="F2636" s="1139"/>
      <c r="G2636" s="386"/>
      <c r="H2636" s="363"/>
      <c r="I2636" s="397"/>
      <c r="J2636" s="335"/>
      <c r="K2636" s="374">
        <f t="shared" si="109"/>
        <v>0</v>
      </c>
      <c r="L2636" s="338">
        <f t="shared" si="108"/>
        <v>0</v>
      </c>
      <c r="M2636" s="338"/>
      <c r="N2636" s="335"/>
      <c r="O2636" s="335"/>
      <c r="P2636" s="335"/>
      <c r="Q2636" s="335"/>
      <c r="R2636" s="1158"/>
      <c r="S2636" s="291"/>
      <c r="T2636" s="291"/>
      <c r="U2636" s="291"/>
      <c r="V2636" s="291"/>
    </row>
    <row r="2637" spans="1:22" s="515" customFormat="1" ht="27" customHeight="1">
      <c r="A2637" s="331">
        <v>293</v>
      </c>
      <c r="B2637" s="506" t="s">
        <v>2190</v>
      </c>
      <c r="C2637" s="584" t="s">
        <v>2448</v>
      </c>
      <c r="D2637" s="1370">
        <v>1819</v>
      </c>
      <c r="E2637" s="475"/>
      <c r="F2637" s="1139"/>
      <c r="G2637" s="386"/>
      <c r="H2637" s="363"/>
      <c r="I2637" s="397"/>
      <c r="J2637" s="335"/>
      <c r="K2637" s="374">
        <f t="shared" si="109"/>
        <v>0</v>
      </c>
      <c r="L2637" s="338">
        <f t="shared" si="108"/>
        <v>0</v>
      </c>
      <c r="M2637" s="338"/>
      <c r="N2637" s="335"/>
      <c r="O2637" s="335"/>
      <c r="P2637" s="335"/>
      <c r="Q2637" s="335"/>
      <c r="R2637" s="1158"/>
      <c r="S2637" s="291"/>
      <c r="T2637" s="291"/>
      <c r="U2637" s="291"/>
      <c r="V2637" s="291"/>
    </row>
    <row r="2638" spans="1:22" s="515" customFormat="1" ht="27" customHeight="1">
      <c r="A2638" s="331">
        <v>294</v>
      </c>
      <c r="B2638" s="506" t="s">
        <v>2190</v>
      </c>
      <c r="C2638" s="584" t="s">
        <v>2449</v>
      </c>
      <c r="D2638" s="1370">
        <v>1819</v>
      </c>
      <c r="E2638" s="475"/>
      <c r="F2638" s="1139"/>
      <c r="G2638" s="386"/>
      <c r="H2638" s="363"/>
      <c r="I2638" s="397"/>
      <c r="J2638" s="335"/>
      <c r="K2638" s="374">
        <f t="shared" si="109"/>
        <v>0</v>
      </c>
      <c r="L2638" s="338">
        <f t="shared" si="108"/>
        <v>0</v>
      </c>
      <c r="M2638" s="338"/>
      <c r="N2638" s="335"/>
      <c r="O2638" s="335"/>
      <c r="P2638" s="335"/>
      <c r="Q2638" s="335"/>
      <c r="R2638" s="1158"/>
      <c r="S2638" s="291"/>
      <c r="T2638" s="291"/>
      <c r="U2638" s="291"/>
      <c r="V2638" s="291"/>
    </row>
    <row r="2639" spans="1:22" s="515" customFormat="1" ht="27" customHeight="1">
      <c r="A2639" s="331">
        <v>295</v>
      </c>
      <c r="B2639" s="506" t="s">
        <v>2190</v>
      </c>
      <c r="C2639" s="584" t="s">
        <v>2450</v>
      </c>
      <c r="D2639" s="1370">
        <v>1819</v>
      </c>
      <c r="E2639" s="475"/>
      <c r="F2639" s="1139"/>
      <c r="G2639" s="386"/>
      <c r="H2639" s="363"/>
      <c r="I2639" s="397"/>
      <c r="J2639" s="335"/>
      <c r="K2639" s="374">
        <f t="shared" si="109"/>
        <v>0</v>
      </c>
      <c r="L2639" s="338">
        <f t="shared" si="108"/>
        <v>0</v>
      </c>
      <c r="M2639" s="338"/>
      <c r="N2639" s="335"/>
      <c r="O2639" s="335"/>
      <c r="P2639" s="335"/>
      <c r="Q2639" s="335"/>
      <c r="R2639" s="1158"/>
      <c r="S2639" s="291"/>
      <c r="T2639" s="291"/>
      <c r="U2639" s="291"/>
      <c r="V2639" s="291"/>
    </row>
    <row r="2640" spans="1:22" s="515" customFormat="1" ht="27" customHeight="1">
      <c r="A2640" s="331">
        <v>296</v>
      </c>
      <c r="B2640" s="506" t="s">
        <v>2190</v>
      </c>
      <c r="C2640" s="584" t="s">
        <v>2451</v>
      </c>
      <c r="D2640" s="1370">
        <v>1819</v>
      </c>
      <c r="E2640" s="475"/>
      <c r="F2640" s="1139"/>
      <c r="G2640" s="386"/>
      <c r="H2640" s="363"/>
      <c r="I2640" s="397"/>
      <c r="J2640" s="335"/>
      <c r="K2640" s="374">
        <f t="shared" si="109"/>
        <v>0</v>
      </c>
      <c r="L2640" s="338">
        <f t="shared" si="108"/>
        <v>0</v>
      </c>
      <c r="M2640" s="338"/>
      <c r="N2640" s="335"/>
      <c r="O2640" s="335"/>
      <c r="P2640" s="335"/>
      <c r="Q2640" s="335"/>
      <c r="R2640" s="1158"/>
      <c r="S2640" s="291"/>
      <c r="T2640" s="291"/>
      <c r="U2640" s="291"/>
      <c r="V2640" s="291"/>
    </row>
    <row r="2641" spans="1:22" s="515" customFormat="1" ht="27" customHeight="1">
      <c r="A2641" s="331">
        <v>297</v>
      </c>
      <c r="B2641" s="506" t="s">
        <v>2265</v>
      </c>
      <c r="C2641" s="584" t="s">
        <v>2452</v>
      </c>
      <c r="D2641" s="1370">
        <v>1819</v>
      </c>
      <c r="E2641" s="475"/>
      <c r="F2641" s="1139"/>
      <c r="G2641" s="386"/>
      <c r="H2641" s="363"/>
      <c r="I2641" s="397"/>
      <c r="J2641" s="335"/>
      <c r="K2641" s="374">
        <f t="shared" si="109"/>
        <v>0</v>
      </c>
      <c r="L2641" s="338">
        <f t="shared" si="108"/>
        <v>0</v>
      </c>
      <c r="M2641" s="338"/>
      <c r="N2641" s="335"/>
      <c r="O2641" s="335"/>
      <c r="P2641" s="335"/>
      <c r="Q2641" s="335"/>
      <c r="R2641" s="1158"/>
      <c r="S2641" s="291"/>
      <c r="T2641" s="291"/>
      <c r="U2641" s="291"/>
      <c r="V2641" s="291"/>
    </row>
    <row r="2642" spans="1:22" s="515" customFormat="1" ht="27" customHeight="1">
      <c r="A2642" s="331">
        <v>298</v>
      </c>
      <c r="B2642" s="506" t="s">
        <v>2265</v>
      </c>
      <c r="C2642" s="584" t="s">
        <v>2453</v>
      </c>
      <c r="D2642" s="1370">
        <v>1819</v>
      </c>
      <c r="E2642" s="475"/>
      <c r="F2642" s="1139"/>
      <c r="G2642" s="386"/>
      <c r="H2642" s="363"/>
      <c r="I2642" s="397"/>
      <c r="J2642" s="335"/>
      <c r="K2642" s="374">
        <f t="shared" si="109"/>
        <v>0</v>
      </c>
      <c r="L2642" s="338">
        <f t="shared" si="108"/>
        <v>0</v>
      </c>
      <c r="M2642" s="338"/>
      <c r="N2642" s="335"/>
      <c r="O2642" s="335"/>
      <c r="P2642" s="335"/>
      <c r="Q2642" s="335"/>
      <c r="R2642" s="1158"/>
      <c r="S2642" s="291"/>
      <c r="T2642" s="291"/>
      <c r="U2642" s="291"/>
      <c r="V2642" s="291"/>
    </row>
    <row r="2643" spans="1:22" s="515" customFormat="1" ht="27" customHeight="1">
      <c r="A2643" s="331">
        <v>299</v>
      </c>
      <c r="B2643" s="506" t="s">
        <v>3026</v>
      </c>
      <c r="C2643" s="584" t="s">
        <v>3027</v>
      </c>
      <c r="D2643" s="1370">
        <v>535</v>
      </c>
      <c r="E2643" s="475"/>
      <c r="F2643" s="1139"/>
      <c r="G2643" s="386"/>
      <c r="H2643" s="363"/>
      <c r="I2643" s="397"/>
      <c r="J2643" s="335"/>
      <c r="K2643" s="374">
        <f t="shared" si="109"/>
        <v>0</v>
      </c>
      <c r="L2643" s="338">
        <f t="shared" si="108"/>
        <v>0</v>
      </c>
      <c r="M2643" s="338"/>
      <c r="N2643" s="335"/>
      <c r="O2643" s="335"/>
      <c r="P2643" s="335"/>
      <c r="Q2643" s="335"/>
      <c r="R2643" s="1158"/>
      <c r="S2643" s="291"/>
      <c r="T2643" s="291"/>
      <c r="U2643" s="291"/>
      <c r="V2643" s="291"/>
    </row>
    <row r="2644" spans="1:22" s="515" customFormat="1" ht="27" customHeight="1">
      <c r="A2644" s="331">
        <v>300</v>
      </c>
      <c r="B2644" s="506" t="s">
        <v>3026</v>
      </c>
      <c r="C2644" s="584" t="s">
        <v>3028</v>
      </c>
      <c r="D2644" s="1370">
        <v>535</v>
      </c>
      <c r="E2644" s="475"/>
      <c r="F2644" s="1139"/>
      <c r="G2644" s="386"/>
      <c r="H2644" s="363"/>
      <c r="I2644" s="397"/>
      <c r="J2644" s="335"/>
      <c r="K2644" s="374">
        <f t="shared" si="109"/>
        <v>0</v>
      </c>
      <c r="L2644" s="338">
        <f t="shared" si="108"/>
        <v>0</v>
      </c>
      <c r="M2644" s="338"/>
      <c r="N2644" s="335"/>
      <c r="O2644" s="335"/>
      <c r="P2644" s="335"/>
      <c r="Q2644" s="335"/>
      <c r="R2644" s="1158"/>
      <c r="S2644" s="291"/>
      <c r="T2644" s="291"/>
      <c r="U2644" s="291"/>
      <c r="V2644" s="291"/>
    </row>
    <row r="2645" spans="1:22" s="515" customFormat="1" ht="27" customHeight="1">
      <c r="A2645" s="331">
        <v>301</v>
      </c>
      <c r="B2645" s="506" t="s">
        <v>3026</v>
      </c>
      <c r="C2645" s="584" t="s">
        <v>3029</v>
      </c>
      <c r="D2645" s="1370">
        <v>535</v>
      </c>
      <c r="E2645" s="475"/>
      <c r="F2645" s="1139"/>
      <c r="G2645" s="386"/>
      <c r="H2645" s="363"/>
      <c r="I2645" s="397"/>
      <c r="J2645" s="335"/>
      <c r="K2645" s="374">
        <f t="shared" si="109"/>
        <v>0</v>
      </c>
      <c r="L2645" s="338">
        <f t="shared" si="108"/>
        <v>0</v>
      </c>
      <c r="M2645" s="338"/>
      <c r="N2645" s="335"/>
      <c r="O2645" s="335"/>
      <c r="P2645" s="335"/>
      <c r="Q2645" s="335"/>
      <c r="R2645" s="1158"/>
      <c r="S2645" s="291"/>
      <c r="T2645" s="291"/>
      <c r="U2645" s="291"/>
      <c r="V2645" s="291"/>
    </row>
    <row r="2646" spans="1:22" s="515" customFormat="1" ht="27" customHeight="1">
      <c r="A2646" s="331">
        <v>302</v>
      </c>
      <c r="B2646" s="506" t="s">
        <v>2191</v>
      </c>
      <c r="C2646" s="584" t="s">
        <v>2454</v>
      </c>
      <c r="D2646" s="1370">
        <v>3852</v>
      </c>
      <c r="E2646" s="475"/>
      <c r="F2646" s="1139"/>
      <c r="G2646" s="386"/>
      <c r="H2646" s="363"/>
      <c r="I2646" s="397"/>
      <c r="J2646" s="335"/>
      <c r="K2646" s="374">
        <f t="shared" si="109"/>
        <v>0</v>
      </c>
      <c r="L2646" s="338">
        <f t="shared" si="108"/>
        <v>0</v>
      </c>
      <c r="M2646" s="338"/>
      <c r="N2646" s="335"/>
      <c r="O2646" s="335"/>
      <c r="P2646" s="335"/>
      <c r="Q2646" s="335"/>
      <c r="R2646" s="1158"/>
      <c r="S2646" s="291"/>
      <c r="T2646" s="291"/>
      <c r="U2646" s="291"/>
      <c r="V2646" s="291"/>
    </row>
    <row r="2647" spans="1:22" s="515" customFormat="1" ht="27" customHeight="1">
      <c r="A2647" s="331">
        <v>303</v>
      </c>
      <c r="B2647" s="506" t="s">
        <v>2191</v>
      </c>
      <c r="C2647" s="584" t="s">
        <v>2455</v>
      </c>
      <c r="D2647" s="1370">
        <v>3852</v>
      </c>
      <c r="E2647" s="475"/>
      <c r="F2647" s="1139"/>
      <c r="G2647" s="386"/>
      <c r="H2647" s="363"/>
      <c r="I2647" s="397"/>
      <c r="J2647" s="335"/>
      <c r="K2647" s="374">
        <f t="shared" si="109"/>
        <v>0</v>
      </c>
      <c r="L2647" s="338">
        <f t="shared" si="108"/>
        <v>0</v>
      </c>
      <c r="M2647" s="338"/>
      <c r="N2647" s="335"/>
      <c r="O2647" s="335"/>
      <c r="P2647" s="335"/>
      <c r="Q2647" s="335"/>
      <c r="R2647" s="1158"/>
      <c r="S2647" s="291"/>
      <c r="T2647" s="291"/>
      <c r="U2647" s="291"/>
      <c r="V2647" s="291"/>
    </row>
    <row r="2648" spans="1:22" s="515" customFormat="1" ht="27" customHeight="1">
      <c r="A2648" s="331">
        <v>304</v>
      </c>
      <c r="B2648" s="506" t="s">
        <v>2192</v>
      </c>
      <c r="C2648" s="584" t="s">
        <v>2456</v>
      </c>
      <c r="D2648" s="1370">
        <v>1819</v>
      </c>
      <c r="E2648" s="475"/>
      <c r="F2648" s="1139"/>
      <c r="G2648" s="386"/>
      <c r="H2648" s="363"/>
      <c r="I2648" s="397"/>
      <c r="J2648" s="335"/>
      <c r="K2648" s="374">
        <f t="shared" si="109"/>
        <v>0</v>
      </c>
      <c r="L2648" s="338">
        <f t="shared" si="108"/>
        <v>0</v>
      </c>
      <c r="M2648" s="338"/>
      <c r="N2648" s="335"/>
      <c r="O2648" s="335"/>
      <c r="P2648" s="335"/>
      <c r="Q2648" s="335"/>
      <c r="R2648" s="1158"/>
      <c r="S2648" s="291"/>
      <c r="T2648" s="291"/>
      <c r="U2648" s="291"/>
      <c r="V2648" s="291"/>
    </row>
    <row r="2649" spans="1:22" s="515" customFormat="1" ht="27" customHeight="1">
      <c r="A2649" s="331">
        <v>305</v>
      </c>
      <c r="B2649" s="506" t="s">
        <v>2041</v>
      </c>
      <c r="C2649" s="584" t="s">
        <v>2457</v>
      </c>
      <c r="D2649" s="1370">
        <v>1819</v>
      </c>
      <c r="E2649" s="475"/>
      <c r="F2649" s="1139"/>
      <c r="G2649" s="386"/>
      <c r="H2649" s="363"/>
      <c r="I2649" s="397"/>
      <c r="J2649" s="335"/>
      <c r="K2649" s="374">
        <f t="shared" si="109"/>
        <v>0</v>
      </c>
      <c r="L2649" s="338">
        <f t="shared" si="108"/>
        <v>0</v>
      </c>
      <c r="M2649" s="338"/>
      <c r="N2649" s="335"/>
      <c r="O2649" s="335"/>
      <c r="P2649" s="335"/>
      <c r="Q2649" s="335"/>
      <c r="R2649" s="1158"/>
      <c r="S2649" s="291"/>
      <c r="T2649" s="291"/>
      <c r="U2649" s="291"/>
      <c r="V2649" s="291"/>
    </row>
    <row r="2650" spans="1:22" s="515" customFormat="1" ht="27" customHeight="1">
      <c r="A2650" s="331">
        <v>306</v>
      </c>
      <c r="B2650" s="506" t="s">
        <v>2041</v>
      </c>
      <c r="C2650" s="584" t="s">
        <v>2458</v>
      </c>
      <c r="D2650" s="1370">
        <v>1819</v>
      </c>
      <c r="E2650" s="475"/>
      <c r="F2650" s="1139"/>
      <c r="G2650" s="386"/>
      <c r="H2650" s="363"/>
      <c r="I2650" s="397"/>
      <c r="J2650" s="335"/>
      <c r="K2650" s="374">
        <f t="shared" si="109"/>
        <v>0</v>
      </c>
      <c r="L2650" s="338">
        <f t="shared" si="108"/>
        <v>0</v>
      </c>
      <c r="M2650" s="338"/>
      <c r="N2650" s="335"/>
      <c r="O2650" s="335"/>
      <c r="P2650" s="335"/>
      <c r="Q2650" s="335"/>
      <c r="R2650" s="1158"/>
      <c r="S2650" s="291"/>
      <c r="T2650" s="291"/>
      <c r="U2650" s="291"/>
      <c r="V2650" s="291"/>
    </row>
    <row r="2651" spans="1:22" s="515" customFormat="1" ht="27" customHeight="1">
      <c r="A2651" s="331">
        <v>307</v>
      </c>
      <c r="B2651" s="506" t="s">
        <v>3030</v>
      </c>
      <c r="C2651" s="584" t="s">
        <v>3031</v>
      </c>
      <c r="D2651" s="1370">
        <v>535</v>
      </c>
      <c r="E2651" s="475"/>
      <c r="F2651" s="1139"/>
      <c r="G2651" s="386"/>
      <c r="H2651" s="363"/>
      <c r="I2651" s="397"/>
      <c r="J2651" s="335"/>
      <c r="K2651" s="374">
        <f t="shared" si="109"/>
        <v>0</v>
      </c>
      <c r="L2651" s="338">
        <f t="shared" si="108"/>
        <v>0</v>
      </c>
      <c r="M2651" s="338"/>
      <c r="N2651" s="335"/>
      <c r="O2651" s="335"/>
      <c r="P2651" s="335"/>
      <c r="Q2651" s="335"/>
      <c r="R2651" s="1158"/>
      <c r="S2651" s="291"/>
      <c r="T2651" s="291"/>
      <c r="U2651" s="291"/>
      <c r="V2651" s="291"/>
    </row>
    <row r="2652" spans="1:22" s="515" customFormat="1" ht="27" customHeight="1">
      <c r="A2652" s="331">
        <v>308</v>
      </c>
      <c r="B2652" s="506" t="s">
        <v>3030</v>
      </c>
      <c r="C2652" s="584" t="s">
        <v>3032</v>
      </c>
      <c r="D2652" s="475">
        <v>535</v>
      </c>
      <c r="E2652" s="475"/>
      <c r="F2652" s="1139"/>
      <c r="G2652" s="386"/>
      <c r="H2652" s="363"/>
      <c r="I2652" s="397"/>
      <c r="J2652" s="335"/>
      <c r="K2652" s="374">
        <f t="shared" si="109"/>
        <v>0</v>
      </c>
      <c r="L2652" s="338">
        <f t="shared" si="108"/>
        <v>0</v>
      </c>
      <c r="M2652" s="338"/>
      <c r="N2652" s="335"/>
      <c r="O2652" s="335"/>
      <c r="P2652" s="335"/>
      <c r="Q2652" s="335"/>
      <c r="R2652" s="1158"/>
      <c r="S2652" s="291"/>
      <c r="T2652" s="291"/>
      <c r="U2652" s="291"/>
      <c r="V2652" s="291"/>
    </row>
    <row r="2653" spans="1:22" s="515" customFormat="1" ht="27" customHeight="1">
      <c r="A2653" s="331">
        <v>309</v>
      </c>
      <c r="B2653" s="506" t="s">
        <v>2193</v>
      </c>
      <c r="C2653" s="584" t="s">
        <v>2459</v>
      </c>
      <c r="D2653" s="475">
        <v>3852</v>
      </c>
      <c r="E2653" s="475"/>
      <c r="F2653" s="1139"/>
      <c r="G2653" s="386"/>
      <c r="H2653" s="363"/>
      <c r="I2653" s="397"/>
      <c r="J2653" s="335"/>
      <c r="K2653" s="374">
        <f t="shared" si="109"/>
        <v>0</v>
      </c>
      <c r="L2653" s="338">
        <f t="shared" si="108"/>
        <v>0</v>
      </c>
      <c r="M2653" s="338"/>
      <c r="N2653" s="335"/>
      <c r="O2653" s="335"/>
      <c r="P2653" s="335"/>
      <c r="Q2653" s="335"/>
      <c r="R2653" s="1158"/>
      <c r="S2653" s="291"/>
      <c r="T2653" s="291"/>
      <c r="U2653" s="291"/>
      <c r="V2653" s="291"/>
    </row>
    <row r="2654" spans="1:22" s="515" customFormat="1" ht="27" customHeight="1">
      <c r="A2654" s="331">
        <v>310</v>
      </c>
      <c r="B2654" s="506" t="s">
        <v>2193</v>
      </c>
      <c r="C2654" s="584" t="s">
        <v>2460</v>
      </c>
      <c r="D2654" s="475">
        <v>3852</v>
      </c>
      <c r="E2654" s="475"/>
      <c r="F2654" s="1139"/>
      <c r="G2654" s="386"/>
      <c r="H2654" s="363"/>
      <c r="I2654" s="397"/>
      <c r="J2654" s="335"/>
      <c r="K2654" s="374">
        <f t="shared" si="109"/>
        <v>0</v>
      </c>
      <c r="L2654" s="338">
        <f t="shared" si="108"/>
        <v>0</v>
      </c>
      <c r="M2654" s="338"/>
      <c r="N2654" s="335"/>
      <c r="O2654" s="335"/>
      <c r="P2654" s="335"/>
      <c r="Q2654" s="335"/>
      <c r="R2654" s="1158"/>
      <c r="S2654" s="291"/>
      <c r="T2654" s="291"/>
      <c r="U2654" s="291"/>
      <c r="V2654" s="291"/>
    </row>
    <row r="2655" spans="1:22" s="515" customFormat="1" ht="27" customHeight="1">
      <c r="A2655" s="331">
        <v>311</v>
      </c>
      <c r="B2655" s="506" t="s">
        <v>2309</v>
      </c>
      <c r="C2655" s="584" t="s">
        <v>2461</v>
      </c>
      <c r="D2655" s="382">
        <v>1819</v>
      </c>
      <c r="E2655" s="475"/>
      <c r="F2655" s="1139"/>
      <c r="G2655" s="386"/>
      <c r="H2655" s="363"/>
      <c r="I2655" s="397"/>
      <c r="J2655" s="335"/>
      <c r="K2655" s="374">
        <f t="shared" si="109"/>
        <v>0</v>
      </c>
      <c r="L2655" s="338">
        <f t="shared" si="108"/>
        <v>0</v>
      </c>
      <c r="M2655" s="338"/>
      <c r="N2655" s="335"/>
      <c r="O2655" s="335"/>
      <c r="P2655" s="335"/>
      <c r="Q2655" s="335"/>
      <c r="R2655" s="1158"/>
      <c r="S2655" s="291"/>
      <c r="T2655" s="291"/>
      <c r="U2655" s="291"/>
      <c r="V2655" s="291"/>
    </row>
    <row r="2656" spans="1:22" s="515" customFormat="1" ht="27" customHeight="1">
      <c r="A2656" s="331">
        <v>312</v>
      </c>
      <c r="B2656" s="506" t="s">
        <v>2462</v>
      </c>
      <c r="C2656" s="584" t="s">
        <v>2463</v>
      </c>
      <c r="D2656" s="382">
        <v>1819</v>
      </c>
      <c r="E2656" s="475"/>
      <c r="F2656" s="1139"/>
      <c r="G2656" s="386"/>
      <c r="H2656" s="363"/>
      <c r="I2656" s="397"/>
      <c r="J2656" s="335"/>
      <c r="K2656" s="374">
        <f t="shared" si="109"/>
        <v>0</v>
      </c>
      <c r="L2656" s="338">
        <f t="shared" si="108"/>
        <v>0</v>
      </c>
      <c r="M2656" s="338"/>
      <c r="N2656" s="335"/>
      <c r="O2656" s="335"/>
      <c r="P2656" s="335"/>
      <c r="Q2656" s="335"/>
      <c r="R2656" s="1158"/>
      <c r="S2656" s="291"/>
      <c r="T2656" s="291"/>
      <c r="U2656" s="291"/>
      <c r="V2656" s="291"/>
    </row>
    <row r="2657" spans="1:22" s="515" customFormat="1" ht="27" customHeight="1">
      <c r="A2657" s="331">
        <v>313</v>
      </c>
      <c r="B2657" s="506" t="s">
        <v>2194</v>
      </c>
      <c r="C2657" s="584" t="s">
        <v>2464</v>
      </c>
      <c r="D2657" s="382">
        <v>1819</v>
      </c>
      <c r="E2657" s="475"/>
      <c r="F2657" s="1139"/>
      <c r="G2657" s="386"/>
      <c r="H2657" s="363"/>
      <c r="I2657" s="397"/>
      <c r="J2657" s="335"/>
      <c r="K2657" s="374">
        <f t="shared" si="109"/>
        <v>0</v>
      </c>
      <c r="L2657" s="338">
        <f t="shared" si="108"/>
        <v>0</v>
      </c>
      <c r="M2657" s="338"/>
      <c r="N2657" s="335"/>
      <c r="O2657" s="335"/>
      <c r="P2657" s="335"/>
      <c r="Q2657" s="335"/>
      <c r="R2657" s="1158"/>
      <c r="S2657" s="291"/>
      <c r="T2657" s="291"/>
      <c r="U2657" s="291"/>
      <c r="V2657" s="291"/>
    </row>
    <row r="2658" spans="1:22" s="515" customFormat="1" ht="27" customHeight="1">
      <c r="A2658" s="331">
        <v>314</v>
      </c>
      <c r="B2658" s="506" t="s">
        <v>2462</v>
      </c>
      <c r="C2658" s="584" t="s">
        <v>2465</v>
      </c>
      <c r="D2658" s="475">
        <v>1819</v>
      </c>
      <c r="E2658" s="475"/>
      <c r="F2658" s="1139"/>
      <c r="G2658" s="386"/>
      <c r="H2658" s="363"/>
      <c r="I2658" s="397"/>
      <c r="J2658" s="335"/>
      <c r="K2658" s="374">
        <f t="shared" si="109"/>
        <v>0</v>
      </c>
      <c r="L2658" s="338">
        <f t="shared" si="108"/>
        <v>0</v>
      </c>
      <c r="M2658" s="338"/>
      <c r="N2658" s="335"/>
      <c r="O2658" s="335"/>
      <c r="P2658" s="335"/>
      <c r="Q2658" s="335"/>
      <c r="R2658" s="1158"/>
      <c r="S2658" s="291"/>
      <c r="T2658" s="291"/>
      <c r="U2658" s="291"/>
      <c r="V2658" s="291"/>
    </row>
    <row r="2659" spans="1:22" s="515" customFormat="1" ht="27" customHeight="1">
      <c r="A2659" s="331">
        <v>315</v>
      </c>
      <c r="B2659" s="506" t="s">
        <v>2194</v>
      </c>
      <c r="C2659" s="584" t="s">
        <v>2466</v>
      </c>
      <c r="D2659" s="475">
        <v>1819</v>
      </c>
      <c r="E2659" s="475"/>
      <c r="F2659" s="1139"/>
      <c r="G2659" s="386"/>
      <c r="H2659" s="363"/>
      <c r="I2659" s="397"/>
      <c r="J2659" s="335"/>
      <c r="K2659" s="374">
        <f t="shared" si="109"/>
        <v>0</v>
      </c>
      <c r="L2659" s="338">
        <f t="shared" si="108"/>
        <v>0</v>
      </c>
      <c r="M2659" s="338"/>
      <c r="N2659" s="335"/>
      <c r="O2659" s="335"/>
      <c r="P2659" s="335"/>
      <c r="Q2659" s="335"/>
      <c r="R2659" s="1158"/>
      <c r="S2659" s="291"/>
      <c r="T2659" s="291"/>
      <c r="U2659" s="291"/>
      <c r="V2659" s="291"/>
    </row>
    <row r="2660" spans="1:22" s="515" customFormat="1" ht="27" customHeight="1">
      <c r="A2660" s="331">
        <v>316</v>
      </c>
      <c r="B2660" s="506" t="s">
        <v>2195</v>
      </c>
      <c r="C2660" s="584" t="s">
        <v>2467</v>
      </c>
      <c r="D2660" s="475">
        <v>1819</v>
      </c>
      <c r="E2660" s="475"/>
      <c r="F2660" s="1139"/>
      <c r="G2660" s="386"/>
      <c r="H2660" s="363"/>
      <c r="I2660" s="397"/>
      <c r="J2660" s="335"/>
      <c r="K2660" s="374">
        <f t="shared" si="109"/>
        <v>0</v>
      </c>
      <c r="L2660" s="338">
        <f t="shared" si="108"/>
        <v>0</v>
      </c>
      <c r="M2660" s="338"/>
      <c r="N2660" s="335"/>
      <c r="O2660" s="335"/>
      <c r="P2660" s="335"/>
      <c r="Q2660" s="335"/>
      <c r="R2660" s="1158"/>
      <c r="S2660" s="291"/>
      <c r="T2660" s="291"/>
      <c r="U2660" s="291"/>
      <c r="V2660" s="291"/>
    </row>
    <row r="2661" spans="1:22" s="515" customFormat="1" ht="27" customHeight="1">
      <c r="A2661" s="331">
        <v>317</v>
      </c>
      <c r="B2661" s="506" t="s">
        <v>2197</v>
      </c>
      <c r="C2661" s="584" t="s">
        <v>2468</v>
      </c>
      <c r="D2661" s="475">
        <v>1819</v>
      </c>
      <c r="E2661" s="475"/>
      <c r="F2661" s="1139"/>
      <c r="G2661" s="386"/>
      <c r="H2661" s="363"/>
      <c r="I2661" s="397"/>
      <c r="J2661" s="335"/>
      <c r="K2661" s="374">
        <f t="shared" si="109"/>
        <v>0</v>
      </c>
      <c r="L2661" s="338">
        <f t="shared" si="108"/>
        <v>0</v>
      </c>
      <c r="M2661" s="338"/>
      <c r="N2661" s="335"/>
      <c r="O2661" s="335"/>
      <c r="P2661" s="335"/>
      <c r="Q2661" s="335"/>
      <c r="R2661" s="1158"/>
      <c r="S2661" s="291"/>
      <c r="T2661" s="291"/>
      <c r="U2661" s="291"/>
      <c r="V2661" s="291"/>
    </row>
    <row r="2662" spans="1:22" s="515" customFormat="1" ht="27" customHeight="1">
      <c r="A2662" s="331">
        <v>318</v>
      </c>
      <c r="B2662" s="506" t="s">
        <v>2255</v>
      </c>
      <c r="C2662" s="584" t="s">
        <v>2469</v>
      </c>
      <c r="D2662" s="475">
        <v>1819</v>
      </c>
      <c r="E2662" s="475"/>
      <c r="F2662" s="1139"/>
      <c r="G2662" s="386"/>
      <c r="H2662" s="363"/>
      <c r="I2662" s="397"/>
      <c r="J2662" s="335"/>
      <c r="K2662" s="374">
        <f t="shared" si="109"/>
        <v>0</v>
      </c>
      <c r="L2662" s="338">
        <f t="shared" si="108"/>
        <v>0</v>
      </c>
      <c r="M2662" s="338"/>
      <c r="N2662" s="335"/>
      <c r="O2662" s="335"/>
      <c r="P2662" s="335"/>
      <c r="Q2662" s="335"/>
      <c r="R2662" s="1158"/>
      <c r="S2662" s="291"/>
      <c r="T2662" s="291"/>
      <c r="U2662" s="291"/>
      <c r="V2662" s="291"/>
    </row>
    <row r="2663" spans="1:22" s="515" customFormat="1" ht="27" customHeight="1">
      <c r="A2663" s="331">
        <v>319</v>
      </c>
      <c r="B2663" s="506" t="s">
        <v>2198</v>
      </c>
      <c r="C2663" s="584" t="s">
        <v>2470</v>
      </c>
      <c r="D2663" s="475">
        <v>1819</v>
      </c>
      <c r="E2663" s="475"/>
      <c r="F2663" s="1139"/>
      <c r="G2663" s="386"/>
      <c r="H2663" s="363"/>
      <c r="I2663" s="397"/>
      <c r="J2663" s="335"/>
      <c r="K2663" s="374">
        <f t="shared" si="109"/>
        <v>0</v>
      </c>
      <c r="L2663" s="338">
        <f t="shared" si="108"/>
        <v>0</v>
      </c>
      <c r="M2663" s="338"/>
      <c r="N2663" s="335"/>
      <c r="O2663" s="335"/>
      <c r="P2663" s="335"/>
      <c r="Q2663" s="335"/>
      <c r="R2663" s="1158"/>
      <c r="S2663" s="291"/>
      <c r="T2663" s="291"/>
      <c r="U2663" s="291"/>
      <c r="V2663" s="291"/>
    </row>
    <row r="2664" spans="1:22" s="515" customFormat="1" ht="27" customHeight="1">
      <c r="A2664" s="331">
        <v>320</v>
      </c>
      <c r="B2664" s="506" t="s">
        <v>2199</v>
      </c>
      <c r="C2664" s="584" t="s">
        <v>2471</v>
      </c>
      <c r="D2664" s="335">
        <v>1819</v>
      </c>
      <c r="E2664" s="475"/>
      <c r="F2664" s="1139"/>
      <c r="G2664" s="386"/>
      <c r="H2664" s="363"/>
      <c r="I2664" s="397"/>
      <c r="J2664" s="335"/>
      <c r="K2664" s="374">
        <f t="shared" si="109"/>
        <v>0</v>
      </c>
      <c r="L2664" s="338">
        <f t="shared" si="108"/>
        <v>0</v>
      </c>
      <c r="M2664" s="338"/>
      <c r="N2664" s="335"/>
      <c r="O2664" s="335"/>
      <c r="P2664" s="335"/>
      <c r="Q2664" s="335"/>
      <c r="R2664" s="1158"/>
      <c r="S2664" s="291"/>
      <c r="T2664" s="291"/>
      <c r="U2664" s="291"/>
      <c r="V2664" s="291"/>
    </row>
    <row r="2665" spans="1:22" s="515" customFormat="1" ht="27" customHeight="1">
      <c r="A2665" s="331">
        <v>321</v>
      </c>
      <c r="B2665" s="506" t="s">
        <v>2198</v>
      </c>
      <c r="C2665" s="584" t="s">
        <v>2472</v>
      </c>
      <c r="D2665" s="475">
        <v>1819</v>
      </c>
      <c r="E2665" s="475"/>
      <c r="F2665" s="1139"/>
      <c r="G2665" s="386"/>
      <c r="H2665" s="363"/>
      <c r="I2665" s="397"/>
      <c r="J2665" s="335"/>
      <c r="K2665" s="374">
        <f t="shared" si="109"/>
        <v>0</v>
      </c>
      <c r="L2665" s="338">
        <f t="shared" si="108"/>
        <v>0</v>
      </c>
      <c r="M2665" s="338"/>
      <c r="N2665" s="335"/>
      <c r="O2665" s="335"/>
      <c r="P2665" s="335"/>
      <c r="Q2665" s="335"/>
      <c r="R2665" s="1158"/>
      <c r="S2665" s="291"/>
      <c r="T2665" s="291"/>
      <c r="U2665" s="291"/>
      <c r="V2665" s="291"/>
    </row>
    <row r="2666" spans="1:22" s="515" customFormat="1" ht="27" customHeight="1">
      <c r="A2666" s="331">
        <v>322</v>
      </c>
      <c r="B2666" s="506" t="s">
        <v>2199</v>
      </c>
      <c r="C2666" s="584" t="s">
        <v>2473</v>
      </c>
      <c r="D2666" s="475">
        <v>1819</v>
      </c>
      <c r="E2666" s="475"/>
      <c r="F2666" s="1139"/>
      <c r="G2666" s="386"/>
      <c r="H2666" s="363"/>
      <c r="I2666" s="397"/>
      <c r="J2666" s="335"/>
      <c r="K2666" s="374">
        <f t="shared" si="109"/>
        <v>0</v>
      </c>
      <c r="L2666" s="338">
        <f t="shared" si="108"/>
        <v>0</v>
      </c>
      <c r="M2666" s="338"/>
      <c r="N2666" s="335"/>
      <c r="O2666" s="335"/>
      <c r="P2666" s="335"/>
      <c r="Q2666" s="335"/>
      <c r="R2666" s="1158"/>
      <c r="S2666" s="291"/>
      <c r="T2666" s="291"/>
      <c r="U2666" s="291"/>
      <c r="V2666" s="291"/>
    </row>
    <row r="2667" spans="1:22" s="515" customFormat="1" ht="27" customHeight="1">
      <c r="A2667" s="331">
        <v>323</v>
      </c>
      <c r="B2667" s="506" t="s">
        <v>2266</v>
      </c>
      <c r="C2667" s="584" t="s">
        <v>2474</v>
      </c>
      <c r="D2667" s="475">
        <v>1819</v>
      </c>
      <c r="E2667" s="475"/>
      <c r="F2667" s="1139"/>
      <c r="G2667" s="386"/>
      <c r="H2667" s="363"/>
      <c r="I2667" s="397"/>
      <c r="J2667" s="335"/>
      <c r="K2667" s="374">
        <f t="shared" si="109"/>
        <v>0</v>
      </c>
      <c r="L2667" s="338">
        <f t="shared" ref="L2667:L2730" si="110">+J2667</f>
        <v>0</v>
      </c>
      <c r="M2667" s="338"/>
      <c r="N2667" s="335"/>
      <c r="O2667" s="335"/>
      <c r="P2667" s="335"/>
      <c r="Q2667" s="335"/>
      <c r="R2667" s="1158"/>
      <c r="S2667" s="291"/>
      <c r="T2667" s="291"/>
      <c r="U2667" s="291"/>
      <c r="V2667" s="291"/>
    </row>
    <row r="2668" spans="1:22" s="515" customFormat="1" ht="27" customHeight="1">
      <c r="A2668" s="331">
        <v>324</v>
      </c>
      <c r="B2668" s="506" t="s">
        <v>2601</v>
      </c>
      <c r="C2668" s="584" t="s">
        <v>2475</v>
      </c>
      <c r="D2668" s="475">
        <v>1819</v>
      </c>
      <c r="E2668" s="475"/>
      <c r="F2668" s="1139"/>
      <c r="G2668" s="386"/>
      <c r="H2668" s="363"/>
      <c r="I2668" s="397"/>
      <c r="J2668" s="335"/>
      <c r="K2668" s="374">
        <f t="shared" si="109"/>
        <v>0</v>
      </c>
      <c r="L2668" s="338">
        <f t="shared" si="110"/>
        <v>0</v>
      </c>
      <c r="M2668" s="338"/>
      <c r="N2668" s="335"/>
      <c r="O2668" s="335"/>
      <c r="P2668" s="335"/>
      <c r="Q2668" s="335"/>
      <c r="R2668" s="1158"/>
      <c r="S2668" s="291"/>
      <c r="T2668" s="291"/>
      <c r="U2668" s="291"/>
      <c r="V2668" s="291"/>
    </row>
    <row r="2669" spans="1:22" s="515" customFormat="1" ht="27" customHeight="1">
      <c r="A2669" s="331">
        <v>325</v>
      </c>
      <c r="B2669" s="506" t="s">
        <v>2200</v>
      </c>
      <c r="C2669" s="584" t="s">
        <v>2476</v>
      </c>
      <c r="D2669" s="475">
        <v>3424</v>
      </c>
      <c r="E2669" s="475"/>
      <c r="F2669" s="1139"/>
      <c r="G2669" s="386"/>
      <c r="H2669" s="363"/>
      <c r="I2669" s="397"/>
      <c r="J2669" s="335"/>
      <c r="K2669" s="374">
        <f t="shared" si="109"/>
        <v>0</v>
      </c>
      <c r="L2669" s="338">
        <f t="shared" si="110"/>
        <v>0</v>
      </c>
      <c r="M2669" s="338"/>
      <c r="N2669" s="335"/>
      <c r="O2669" s="335"/>
      <c r="P2669" s="335"/>
      <c r="Q2669" s="335"/>
      <c r="R2669" s="1158"/>
      <c r="S2669" s="291"/>
      <c r="T2669" s="291"/>
      <c r="U2669" s="291"/>
      <c r="V2669" s="291"/>
    </row>
    <row r="2670" spans="1:22" s="515" customFormat="1" ht="27" customHeight="1">
      <c r="A2670" s="331">
        <v>326</v>
      </c>
      <c r="B2670" s="506" t="s">
        <v>2201</v>
      </c>
      <c r="C2670" s="584" t="s">
        <v>2477</v>
      </c>
      <c r="D2670" s="475">
        <v>1819</v>
      </c>
      <c r="E2670" s="475"/>
      <c r="F2670" s="1139"/>
      <c r="G2670" s="386"/>
      <c r="H2670" s="363"/>
      <c r="I2670" s="397"/>
      <c r="J2670" s="335"/>
      <c r="K2670" s="374">
        <f t="shared" si="109"/>
        <v>0</v>
      </c>
      <c r="L2670" s="338">
        <f t="shared" si="110"/>
        <v>0</v>
      </c>
      <c r="M2670" s="338"/>
      <c r="N2670" s="335"/>
      <c r="O2670" s="335"/>
      <c r="P2670" s="335"/>
      <c r="Q2670" s="335"/>
      <c r="R2670" s="1158"/>
      <c r="S2670" s="291"/>
      <c r="T2670" s="291"/>
      <c r="U2670" s="291"/>
      <c r="V2670" s="291"/>
    </row>
    <row r="2671" spans="1:22" s="515" customFormat="1" ht="27" customHeight="1">
      <c r="A2671" s="331">
        <v>327</v>
      </c>
      <c r="B2671" s="506" t="s">
        <v>2202</v>
      </c>
      <c r="C2671" s="584" t="s">
        <v>2478</v>
      </c>
      <c r="D2671" s="475">
        <v>3424</v>
      </c>
      <c r="E2671" s="475"/>
      <c r="F2671" s="1139"/>
      <c r="G2671" s="386"/>
      <c r="H2671" s="363"/>
      <c r="I2671" s="397"/>
      <c r="J2671" s="335"/>
      <c r="K2671" s="374">
        <f t="shared" si="109"/>
        <v>0</v>
      </c>
      <c r="L2671" s="338">
        <f t="shared" si="110"/>
        <v>0</v>
      </c>
      <c r="M2671" s="338"/>
      <c r="N2671" s="335"/>
      <c r="O2671" s="335"/>
      <c r="P2671" s="335"/>
      <c r="Q2671" s="335"/>
      <c r="R2671" s="1158"/>
      <c r="S2671" s="291"/>
      <c r="T2671" s="291"/>
      <c r="U2671" s="291"/>
      <c r="V2671" s="291"/>
    </row>
    <row r="2672" spans="1:22" s="515" customFormat="1" ht="27" customHeight="1">
      <c r="A2672" s="331">
        <v>328</v>
      </c>
      <c r="B2672" s="506" t="s">
        <v>2203</v>
      </c>
      <c r="C2672" s="584" t="s">
        <v>2479</v>
      </c>
      <c r="D2672" s="475">
        <v>3424</v>
      </c>
      <c r="E2672" s="475"/>
      <c r="F2672" s="1139"/>
      <c r="G2672" s="386"/>
      <c r="H2672" s="363"/>
      <c r="I2672" s="397"/>
      <c r="J2672" s="335"/>
      <c r="K2672" s="374">
        <f t="shared" si="109"/>
        <v>0</v>
      </c>
      <c r="L2672" s="338">
        <f t="shared" si="110"/>
        <v>0</v>
      </c>
      <c r="M2672" s="338"/>
      <c r="N2672" s="335"/>
      <c r="O2672" s="335"/>
      <c r="P2672" s="335"/>
      <c r="Q2672" s="335"/>
      <c r="R2672" s="1158"/>
      <c r="S2672" s="291"/>
      <c r="T2672" s="291"/>
      <c r="U2672" s="291"/>
      <c r="V2672" s="291"/>
    </row>
    <row r="2673" spans="1:22" s="515" customFormat="1" ht="27" customHeight="1">
      <c r="A2673" s="331">
        <v>329</v>
      </c>
      <c r="B2673" s="506" t="s">
        <v>2480</v>
      </c>
      <c r="C2673" s="584" t="s">
        <v>2481</v>
      </c>
      <c r="D2673" s="335">
        <v>3424</v>
      </c>
      <c r="E2673" s="475"/>
      <c r="F2673" s="1139"/>
      <c r="G2673" s="386"/>
      <c r="H2673" s="363"/>
      <c r="I2673" s="397"/>
      <c r="J2673" s="335"/>
      <c r="K2673" s="374">
        <f t="shared" si="109"/>
        <v>0</v>
      </c>
      <c r="L2673" s="338">
        <f t="shared" si="110"/>
        <v>0</v>
      </c>
      <c r="M2673" s="338"/>
      <c r="N2673" s="335"/>
      <c r="O2673" s="335"/>
      <c r="P2673" s="335"/>
      <c r="Q2673" s="335"/>
      <c r="R2673" s="1158"/>
      <c r="S2673" s="291"/>
      <c r="T2673" s="291"/>
      <c r="U2673" s="291"/>
      <c r="V2673" s="291"/>
    </row>
    <row r="2674" spans="1:22" s="515" customFormat="1" ht="27" customHeight="1">
      <c r="A2674" s="331">
        <v>330</v>
      </c>
      <c r="B2674" s="506" t="s">
        <v>2480</v>
      </c>
      <c r="C2674" s="584" t="s">
        <v>2482</v>
      </c>
      <c r="D2674" s="335">
        <v>3424</v>
      </c>
      <c r="E2674" s="475"/>
      <c r="F2674" s="1139"/>
      <c r="G2674" s="386"/>
      <c r="H2674" s="363"/>
      <c r="I2674" s="397"/>
      <c r="J2674" s="335"/>
      <c r="K2674" s="374">
        <f t="shared" si="109"/>
        <v>0</v>
      </c>
      <c r="L2674" s="338">
        <f t="shared" si="110"/>
        <v>0</v>
      </c>
      <c r="M2674" s="338"/>
      <c r="N2674" s="335"/>
      <c r="O2674" s="335"/>
      <c r="P2674" s="335"/>
      <c r="Q2674" s="335"/>
      <c r="R2674" s="1158"/>
      <c r="S2674" s="291"/>
      <c r="T2674" s="291"/>
      <c r="U2674" s="291"/>
      <c r="V2674" s="291"/>
    </row>
    <row r="2675" spans="1:22" s="515" customFormat="1" ht="27" customHeight="1">
      <c r="A2675" s="331">
        <v>331</v>
      </c>
      <c r="B2675" s="506" t="s">
        <v>2182</v>
      </c>
      <c r="C2675" s="584" t="s">
        <v>2483</v>
      </c>
      <c r="D2675" s="335">
        <v>1819</v>
      </c>
      <c r="E2675" s="475"/>
      <c r="F2675" s="1139"/>
      <c r="G2675" s="386"/>
      <c r="H2675" s="363"/>
      <c r="I2675" s="397"/>
      <c r="J2675" s="335"/>
      <c r="K2675" s="374">
        <f t="shared" si="109"/>
        <v>0</v>
      </c>
      <c r="L2675" s="338">
        <f t="shared" si="110"/>
        <v>0</v>
      </c>
      <c r="M2675" s="338"/>
      <c r="N2675" s="335"/>
      <c r="O2675" s="335"/>
      <c r="P2675" s="335"/>
      <c r="Q2675" s="335"/>
      <c r="R2675" s="1158"/>
      <c r="S2675" s="291"/>
      <c r="T2675" s="291"/>
      <c r="U2675" s="291"/>
      <c r="V2675" s="291"/>
    </row>
    <row r="2676" spans="1:22" s="515" customFormat="1" ht="27" customHeight="1">
      <c r="A2676" s="331">
        <v>332</v>
      </c>
      <c r="B2676" s="506" t="s">
        <v>2204</v>
      </c>
      <c r="C2676" s="584" t="s">
        <v>2484</v>
      </c>
      <c r="D2676" s="335">
        <v>1819</v>
      </c>
      <c r="E2676" s="475"/>
      <c r="F2676" s="1139"/>
      <c r="G2676" s="386"/>
      <c r="H2676" s="363"/>
      <c r="I2676" s="397"/>
      <c r="J2676" s="335"/>
      <c r="K2676" s="374">
        <f t="shared" si="109"/>
        <v>0</v>
      </c>
      <c r="L2676" s="338">
        <f t="shared" si="110"/>
        <v>0</v>
      </c>
      <c r="M2676" s="338"/>
      <c r="N2676" s="335"/>
      <c r="O2676" s="335"/>
      <c r="P2676" s="335"/>
      <c r="Q2676" s="335"/>
      <c r="R2676" s="1158"/>
      <c r="S2676" s="291"/>
      <c r="T2676" s="291"/>
      <c r="U2676" s="291"/>
      <c r="V2676" s="291"/>
    </row>
    <row r="2677" spans="1:22" s="515" customFormat="1" ht="27" customHeight="1">
      <c r="A2677" s="331">
        <v>333</v>
      </c>
      <c r="B2677" s="506" t="s">
        <v>2206</v>
      </c>
      <c r="C2677" s="584" t="s">
        <v>2485</v>
      </c>
      <c r="D2677" s="335">
        <v>1819</v>
      </c>
      <c r="E2677" s="475"/>
      <c r="F2677" s="1139"/>
      <c r="G2677" s="386"/>
      <c r="H2677" s="363"/>
      <c r="I2677" s="397"/>
      <c r="J2677" s="335"/>
      <c r="K2677" s="374">
        <f t="shared" si="109"/>
        <v>0</v>
      </c>
      <c r="L2677" s="338">
        <f t="shared" si="110"/>
        <v>0</v>
      </c>
      <c r="M2677" s="338"/>
      <c r="N2677" s="335"/>
      <c r="O2677" s="335"/>
      <c r="P2677" s="335"/>
      <c r="Q2677" s="335"/>
      <c r="R2677" s="1158"/>
      <c r="S2677" s="291"/>
      <c r="T2677" s="291"/>
      <c r="U2677" s="291"/>
      <c r="V2677" s="291"/>
    </row>
    <row r="2678" spans="1:22" s="515" customFormat="1" ht="27" customHeight="1">
      <c r="A2678" s="331">
        <v>334</v>
      </c>
      <c r="B2678" s="506" t="s">
        <v>2126</v>
      </c>
      <c r="C2678" s="584" t="s">
        <v>2486</v>
      </c>
      <c r="D2678" s="335">
        <v>1819</v>
      </c>
      <c r="E2678" s="475"/>
      <c r="F2678" s="1139"/>
      <c r="G2678" s="386"/>
      <c r="H2678" s="363"/>
      <c r="I2678" s="397"/>
      <c r="J2678" s="335"/>
      <c r="K2678" s="374">
        <f t="shared" si="109"/>
        <v>0</v>
      </c>
      <c r="L2678" s="338">
        <f t="shared" si="110"/>
        <v>0</v>
      </c>
      <c r="M2678" s="338"/>
      <c r="N2678" s="335"/>
      <c r="O2678" s="335"/>
      <c r="P2678" s="335"/>
      <c r="Q2678" s="335"/>
      <c r="R2678" s="1158"/>
      <c r="S2678" s="291"/>
      <c r="T2678" s="291"/>
      <c r="U2678" s="291"/>
      <c r="V2678" s="291"/>
    </row>
    <row r="2679" spans="1:22" s="515" customFormat="1" ht="27" customHeight="1">
      <c r="A2679" s="331">
        <v>335</v>
      </c>
      <c r="B2679" s="506" t="s">
        <v>2126</v>
      </c>
      <c r="C2679" s="584" t="s">
        <v>2487</v>
      </c>
      <c r="D2679" s="335">
        <v>1819</v>
      </c>
      <c r="E2679" s="475"/>
      <c r="F2679" s="1139"/>
      <c r="G2679" s="386"/>
      <c r="H2679" s="363"/>
      <c r="I2679" s="397"/>
      <c r="J2679" s="335"/>
      <c r="K2679" s="374">
        <f t="shared" si="109"/>
        <v>0</v>
      </c>
      <c r="L2679" s="338">
        <f t="shared" si="110"/>
        <v>0</v>
      </c>
      <c r="M2679" s="338"/>
      <c r="N2679" s="335"/>
      <c r="O2679" s="335"/>
      <c r="P2679" s="335"/>
      <c r="Q2679" s="335"/>
      <c r="R2679" s="1158"/>
      <c r="S2679" s="291"/>
      <c r="T2679" s="291"/>
      <c r="U2679" s="291"/>
      <c r="V2679" s="291"/>
    </row>
    <row r="2680" spans="1:22" s="515" customFormat="1" ht="27" customHeight="1">
      <c r="A2680" s="331">
        <v>336</v>
      </c>
      <c r="B2680" s="506" t="s">
        <v>2602</v>
      </c>
      <c r="C2680" s="584" t="s">
        <v>2488</v>
      </c>
      <c r="D2680" s="335">
        <v>1819</v>
      </c>
      <c r="E2680" s="475"/>
      <c r="F2680" s="1139"/>
      <c r="G2680" s="386"/>
      <c r="H2680" s="363"/>
      <c r="I2680" s="397"/>
      <c r="J2680" s="335"/>
      <c r="K2680" s="374">
        <f t="shared" si="109"/>
        <v>0</v>
      </c>
      <c r="L2680" s="338">
        <f t="shared" si="110"/>
        <v>0</v>
      </c>
      <c r="M2680" s="338"/>
      <c r="N2680" s="335"/>
      <c r="O2680" s="335"/>
      <c r="P2680" s="335"/>
      <c r="Q2680" s="335"/>
      <c r="R2680" s="1158"/>
      <c r="S2680" s="291"/>
      <c r="T2680" s="291"/>
      <c r="U2680" s="291"/>
      <c r="V2680" s="291"/>
    </row>
    <row r="2681" spans="1:22" s="515" customFormat="1" ht="27" customHeight="1">
      <c r="A2681" s="331">
        <v>337</v>
      </c>
      <c r="B2681" s="506" t="s">
        <v>2602</v>
      </c>
      <c r="C2681" s="584" t="s">
        <v>2489</v>
      </c>
      <c r="D2681" s="335">
        <v>1819</v>
      </c>
      <c r="E2681" s="475"/>
      <c r="F2681" s="1139"/>
      <c r="G2681" s="386"/>
      <c r="H2681" s="363"/>
      <c r="I2681" s="397"/>
      <c r="J2681" s="335"/>
      <c r="K2681" s="374">
        <f t="shared" si="109"/>
        <v>0</v>
      </c>
      <c r="L2681" s="338">
        <f t="shared" si="110"/>
        <v>0</v>
      </c>
      <c r="M2681" s="338"/>
      <c r="N2681" s="335"/>
      <c r="O2681" s="335"/>
      <c r="P2681" s="335"/>
      <c r="Q2681" s="335"/>
      <c r="R2681" s="1158"/>
      <c r="S2681" s="291"/>
      <c r="T2681" s="291"/>
      <c r="U2681" s="291"/>
      <c r="V2681" s="291"/>
    </row>
    <row r="2682" spans="1:22" s="515" customFormat="1" ht="27" customHeight="1">
      <c r="A2682" s="331">
        <v>338</v>
      </c>
      <c r="B2682" s="506" t="s">
        <v>2208</v>
      </c>
      <c r="C2682" s="584" t="s">
        <v>2490</v>
      </c>
      <c r="D2682" s="335">
        <v>1819</v>
      </c>
      <c r="E2682" s="475"/>
      <c r="F2682" s="1139"/>
      <c r="G2682" s="386"/>
      <c r="H2682" s="363"/>
      <c r="I2682" s="397"/>
      <c r="J2682" s="335"/>
      <c r="K2682" s="374">
        <f t="shared" si="109"/>
        <v>0</v>
      </c>
      <c r="L2682" s="338">
        <f t="shared" si="110"/>
        <v>0</v>
      </c>
      <c r="M2682" s="338"/>
      <c r="N2682" s="335"/>
      <c r="O2682" s="335"/>
      <c r="P2682" s="335"/>
      <c r="Q2682" s="335"/>
      <c r="R2682" s="1158"/>
      <c r="S2682" s="291"/>
      <c r="T2682" s="291"/>
      <c r="U2682" s="291"/>
      <c r="V2682" s="291"/>
    </row>
    <row r="2683" spans="1:22" s="515" customFormat="1" ht="27" customHeight="1">
      <c r="A2683" s="331">
        <v>339</v>
      </c>
      <c r="B2683" s="506" t="s">
        <v>2208</v>
      </c>
      <c r="C2683" s="584" t="s">
        <v>2491</v>
      </c>
      <c r="D2683" s="335">
        <v>1819</v>
      </c>
      <c r="E2683" s="475"/>
      <c r="F2683" s="1139"/>
      <c r="G2683" s="386"/>
      <c r="H2683" s="363"/>
      <c r="I2683" s="397"/>
      <c r="J2683" s="335"/>
      <c r="K2683" s="374">
        <f t="shared" ref="K2683:K2746" si="111">G2683*11.54/100</f>
        <v>0</v>
      </c>
      <c r="L2683" s="338">
        <f t="shared" si="110"/>
        <v>0</v>
      </c>
      <c r="M2683" s="338"/>
      <c r="N2683" s="335"/>
      <c r="O2683" s="335"/>
      <c r="P2683" s="335"/>
      <c r="Q2683" s="335"/>
      <c r="R2683" s="1158"/>
      <c r="S2683" s="291"/>
      <c r="T2683" s="291"/>
      <c r="U2683" s="291"/>
      <c r="V2683" s="291"/>
    </row>
    <row r="2684" spans="1:22" s="515" customFormat="1" ht="27" customHeight="1">
      <c r="A2684" s="331">
        <v>340</v>
      </c>
      <c r="B2684" s="506" t="s">
        <v>2182</v>
      </c>
      <c r="C2684" s="584" t="s">
        <v>2492</v>
      </c>
      <c r="D2684" s="475">
        <v>1819</v>
      </c>
      <c r="E2684" s="475"/>
      <c r="F2684" s="1139"/>
      <c r="G2684" s="386"/>
      <c r="H2684" s="363"/>
      <c r="I2684" s="397"/>
      <c r="J2684" s="335"/>
      <c r="K2684" s="374">
        <f t="shared" si="111"/>
        <v>0</v>
      </c>
      <c r="L2684" s="338">
        <f t="shared" si="110"/>
        <v>0</v>
      </c>
      <c r="M2684" s="338"/>
      <c r="N2684" s="335"/>
      <c r="O2684" s="335"/>
      <c r="P2684" s="335"/>
      <c r="Q2684" s="335"/>
      <c r="R2684" s="1158"/>
      <c r="S2684" s="291"/>
      <c r="T2684" s="291"/>
      <c r="U2684" s="291"/>
      <c r="V2684" s="291"/>
    </row>
    <row r="2685" spans="1:22" s="515" customFormat="1" ht="27" customHeight="1">
      <c r="A2685" s="331">
        <v>341</v>
      </c>
      <c r="B2685" s="506" t="s">
        <v>2182</v>
      </c>
      <c r="C2685" s="584" t="s">
        <v>2493</v>
      </c>
      <c r="D2685" s="475">
        <v>1819</v>
      </c>
      <c r="E2685" s="475"/>
      <c r="F2685" s="1139"/>
      <c r="G2685" s="386"/>
      <c r="H2685" s="363"/>
      <c r="I2685" s="397"/>
      <c r="J2685" s="335"/>
      <c r="K2685" s="374">
        <f t="shared" si="111"/>
        <v>0</v>
      </c>
      <c r="L2685" s="338">
        <f t="shared" si="110"/>
        <v>0</v>
      </c>
      <c r="M2685" s="338"/>
      <c r="N2685" s="335"/>
      <c r="O2685" s="335"/>
      <c r="P2685" s="335"/>
      <c r="Q2685" s="335"/>
      <c r="R2685" s="1158"/>
      <c r="S2685" s="291"/>
      <c r="T2685" s="291"/>
      <c r="U2685" s="291"/>
      <c r="V2685" s="291"/>
    </row>
    <row r="2686" spans="1:22" s="515" customFormat="1" ht="27" customHeight="1">
      <c r="A2686" s="331">
        <v>342</v>
      </c>
      <c r="B2686" s="506" t="s">
        <v>2188</v>
      </c>
      <c r="C2686" s="584" t="s">
        <v>2494</v>
      </c>
      <c r="D2686" s="1365">
        <v>3852</v>
      </c>
      <c r="E2686" s="475"/>
      <c r="F2686" s="1139"/>
      <c r="G2686" s="386"/>
      <c r="H2686" s="363"/>
      <c r="I2686" s="397"/>
      <c r="J2686" s="335"/>
      <c r="K2686" s="374">
        <f t="shared" si="111"/>
        <v>0</v>
      </c>
      <c r="L2686" s="338">
        <f t="shared" si="110"/>
        <v>0</v>
      </c>
      <c r="M2686" s="338"/>
      <c r="N2686" s="335"/>
      <c r="O2686" s="335"/>
      <c r="P2686" s="335"/>
      <c r="Q2686" s="335"/>
      <c r="R2686" s="1158"/>
      <c r="S2686" s="291"/>
      <c r="T2686" s="291"/>
      <c r="U2686" s="291"/>
      <c r="V2686" s="291"/>
    </row>
    <row r="2687" spans="1:22" s="515" customFormat="1" ht="27" customHeight="1">
      <c r="A2687" s="331">
        <v>343</v>
      </c>
      <c r="B2687" s="506" t="s">
        <v>2182</v>
      </c>
      <c r="C2687" s="584" t="s">
        <v>2495</v>
      </c>
      <c r="D2687" s="1365">
        <v>1819</v>
      </c>
      <c r="E2687" s="475"/>
      <c r="F2687" s="1139"/>
      <c r="G2687" s="386"/>
      <c r="H2687" s="363"/>
      <c r="I2687" s="397"/>
      <c r="J2687" s="335"/>
      <c r="K2687" s="374">
        <f t="shared" si="111"/>
        <v>0</v>
      </c>
      <c r="L2687" s="338">
        <f t="shared" si="110"/>
        <v>0</v>
      </c>
      <c r="M2687" s="338"/>
      <c r="N2687" s="335"/>
      <c r="O2687" s="335"/>
      <c r="P2687" s="335"/>
      <c r="Q2687" s="335"/>
      <c r="R2687" s="1158"/>
      <c r="S2687" s="291"/>
      <c r="T2687" s="291"/>
      <c r="U2687" s="291"/>
      <c r="V2687" s="291"/>
    </row>
    <row r="2688" spans="1:22" s="515" customFormat="1" ht="27" customHeight="1">
      <c r="A2688" s="331">
        <v>344</v>
      </c>
      <c r="B2688" s="506" t="s">
        <v>2265</v>
      </c>
      <c r="C2688" s="584" t="s">
        <v>2497</v>
      </c>
      <c r="D2688" s="1365">
        <v>1819</v>
      </c>
      <c r="E2688" s="475"/>
      <c r="F2688" s="1139"/>
      <c r="G2688" s="386"/>
      <c r="H2688" s="363"/>
      <c r="I2688" s="397"/>
      <c r="J2688" s="335"/>
      <c r="K2688" s="374">
        <f t="shared" si="111"/>
        <v>0</v>
      </c>
      <c r="L2688" s="338">
        <f t="shared" si="110"/>
        <v>0</v>
      </c>
      <c r="M2688" s="338"/>
      <c r="N2688" s="335"/>
      <c r="O2688" s="335"/>
      <c r="P2688" s="335"/>
      <c r="Q2688" s="335"/>
      <c r="R2688" s="1158"/>
      <c r="S2688" s="291"/>
      <c r="T2688" s="291"/>
      <c r="U2688" s="291"/>
      <c r="V2688" s="291"/>
    </row>
    <row r="2689" spans="1:22" s="515" customFormat="1" ht="27" customHeight="1">
      <c r="A2689" s="331">
        <v>345</v>
      </c>
      <c r="B2689" s="506" t="s">
        <v>2182</v>
      </c>
      <c r="C2689" s="584" t="s">
        <v>2498</v>
      </c>
      <c r="D2689" s="1366">
        <v>1819</v>
      </c>
      <c r="E2689" s="475"/>
      <c r="F2689" s="1139"/>
      <c r="G2689" s="386"/>
      <c r="H2689" s="363"/>
      <c r="I2689" s="397"/>
      <c r="J2689" s="335"/>
      <c r="K2689" s="374">
        <f t="shared" si="111"/>
        <v>0</v>
      </c>
      <c r="L2689" s="338">
        <f t="shared" si="110"/>
        <v>0</v>
      </c>
      <c r="M2689" s="338"/>
      <c r="N2689" s="335"/>
      <c r="O2689" s="335"/>
      <c r="P2689" s="335"/>
      <c r="Q2689" s="335"/>
      <c r="R2689" s="1158"/>
      <c r="S2689" s="291"/>
      <c r="T2689" s="291"/>
      <c r="U2689" s="291"/>
      <c r="V2689" s="291"/>
    </row>
    <row r="2690" spans="1:22" s="515" customFormat="1" ht="27" customHeight="1">
      <c r="A2690" s="331">
        <v>346</v>
      </c>
      <c r="B2690" s="506" t="s">
        <v>2130</v>
      </c>
      <c r="C2690" s="584" t="s">
        <v>2499</v>
      </c>
      <c r="D2690" s="1367">
        <v>1819</v>
      </c>
      <c r="E2690" s="475"/>
      <c r="F2690" s="1139"/>
      <c r="G2690" s="386"/>
      <c r="H2690" s="363"/>
      <c r="I2690" s="397"/>
      <c r="J2690" s="335"/>
      <c r="K2690" s="374">
        <f t="shared" si="111"/>
        <v>0</v>
      </c>
      <c r="L2690" s="338">
        <f t="shared" si="110"/>
        <v>0</v>
      </c>
      <c r="M2690" s="338"/>
      <c r="N2690" s="335"/>
      <c r="O2690" s="335"/>
      <c r="P2690" s="335"/>
      <c r="Q2690" s="335"/>
      <c r="R2690" s="1158"/>
      <c r="S2690" s="291"/>
      <c r="T2690" s="291"/>
      <c r="U2690" s="291"/>
      <c r="V2690" s="291"/>
    </row>
    <row r="2691" spans="1:22" s="515" customFormat="1" ht="27" customHeight="1">
      <c r="A2691" s="331">
        <v>347</v>
      </c>
      <c r="B2691" s="506" t="s">
        <v>2130</v>
      </c>
      <c r="C2691" s="584" t="s">
        <v>2500</v>
      </c>
      <c r="D2691" s="1367">
        <v>1819</v>
      </c>
      <c r="E2691" s="475"/>
      <c r="F2691" s="1139"/>
      <c r="G2691" s="386"/>
      <c r="H2691" s="363"/>
      <c r="I2691" s="397"/>
      <c r="J2691" s="335"/>
      <c r="K2691" s="374">
        <f t="shared" si="111"/>
        <v>0</v>
      </c>
      <c r="L2691" s="338">
        <f t="shared" si="110"/>
        <v>0</v>
      </c>
      <c r="M2691" s="338"/>
      <c r="N2691" s="335"/>
      <c r="O2691" s="335"/>
      <c r="P2691" s="335"/>
      <c r="Q2691" s="335"/>
      <c r="R2691" s="1158"/>
      <c r="S2691" s="291"/>
      <c r="T2691" s="291"/>
      <c r="U2691" s="291"/>
      <c r="V2691" s="291"/>
    </row>
    <row r="2692" spans="1:22" s="515" customFormat="1" ht="27" customHeight="1">
      <c r="A2692" s="331">
        <v>348</v>
      </c>
      <c r="B2692" s="506" t="s">
        <v>2130</v>
      </c>
      <c r="C2692" s="584" t="s">
        <v>2501</v>
      </c>
      <c r="D2692" s="1367">
        <v>1819</v>
      </c>
      <c r="E2692" s="475"/>
      <c r="F2692" s="1139"/>
      <c r="G2692" s="386"/>
      <c r="H2692" s="363"/>
      <c r="I2692" s="397"/>
      <c r="J2692" s="335"/>
      <c r="K2692" s="374">
        <f t="shared" si="111"/>
        <v>0</v>
      </c>
      <c r="L2692" s="338">
        <f t="shared" si="110"/>
        <v>0</v>
      </c>
      <c r="M2692" s="338"/>
      <c r="N2692" s="335"/>
      <c r="O2692" s="335"/>
      <c r="P2692" s="335"/>
      <c r="Q2692" s="335"/>
      <c r="R2692" s="1158"/>
      <c r="S2692" s="291"/>
      <c r="T2692" s="291"/>
      <c r="U2692" s="291"/>
      <c r="V2692" s="291"/>
    </row>
    <row r="2693" spans="1:22" s="515" customFormat="1" ht="27" customHeight="1">
      <c r="A2693" s="331">
        <v>349</v>
      </c>
      <c r="B2693" s="506" t="s">
        <v>2603</v>
      </c>
      <c r="C2693" s="584" t="s">
        <v>2502</v>
      </c>
      <c r="D2693" s="1367">
        <v>1819</v>
      </c>
      <c r="E2693" s="475"/>
      <c r="F2693" s="1139"/>
      <c r="G2693" s="386"/>
      <c r="H2693" s="363"/>
      <c r="I2693" s="397"/>
      <c r="J2693" s="335"/>
      <c r="K2693" s="374">
        <f t="shared" si="111"/>
        <v>0</v>
      </c>
      <c r="L2693" s="338">
        <f t="shared" si="110"/>
        <v>0</v>
      </c>
      <c r="M2693" s="338"/>
      <c r="N2693" s="335"/>
      <c r="O2693" s="335"/>
      <c r="P2693" s="335"/>
      <c r="Q2693" s="335"/>
      <c r="R2693" s="1158"/>
      <c r="S2693" s="291"/>
      <c r="T2693" s="291"/>
      <c r="U2693" s="291"/>
      <c r="V2693" s="291"/>
    </row>
    <row r="2694" spans="1:22" s="515" customFormat="1" ht="27" customHeight="1">
      <c r="A2694" s="331">
        <v>350</v>
      </c>
      <c r="B2694" s="506" t="s">
        <v>2603</v>
      </c>
      <c r="C2694" s="584" t="s">
        <v>2503</v>
      </c>
      <c r="D2694" s="1367">
        <v>1819</v>
      </c>
      <c r="E2694" s="475"/>
      <c r="F2694" s="1139"/>
      <c r="G2694" s="386"/>
      <c r="H2694" s="363"/>
      <c r="I2694" s="397"/>
      <c r="J2694" s="335"/>
      <c r="K2694" s="374">
        <f t="shared" si="111"/>
        <v>0</v>
      </c>
      <c r="L2694" s="338">
        <f t="shared" si="110"/>
        <v>0</v>
      </c>
      <c r="M2694" s="338"/>
      <c r="N2694" s="335"/>
      <c r="O2694" s="335"/>
      <c r="P2694" s="335"/>
      <c r="Q2694" s="335"/>
      <c r="R2694" s="1158"/>
      <c r="S2694" s="291"/>
      <c r="T2694" s="291"/>
      <c r="U2694" s="291"/>
      <c r="V2694" s="291"/>
    </row>
    <row r="2695" spans="1:22" s="515" customFormat="1" ht="27" customHeight="1">
      <c r="A2695" s="331">
        <v>351</v>
      </c>
      <c r="B2695" s="506" t="s">
        <v>2603</v>
      </c>
      <c r="C2695" s="584" t="s">
        <v>2504</v>
      </c>
      <c r="D2695" s="1367">
        <v>1819</v>
      </c>
      <c r="E2695" s="475"/>
      <c r="F2695" s="1139"/>
      <c r="G2695" s="386"/>
      <c r="H2695" s="363"/>
      <c r="I2695" s="397"/>
      <c r="J2695" s="335"/>
      <c r="K2695" s="374">
        <f t="shared" si="111"/>
        <v>0</v>
      </c>
      <c r="L2695" s="338">
        <f t="shared" si="110"/>
        <v>0</v>
      </c>
      <c r="M2695" s="338"/>
      <c r="N2695" s="335"/>
      <c r="O2695" s="335"/>
      <c r="P2695" s="335"/>
      <c r="Q2695" s="335"/>
      <c r="R2695" s="1158"/>
      <c r="S2695" s="291"/>
      <c r="T2695" s="291"/>
      <c r="U2695" s="291"/>
      <c r="V2695" s="291"/>
    </row>
    <row r="2696" spans="1:22" s="515" customFormat="1" ht="27" customHeight="1">
      <c r="A2696" s="331">
        <v>352</v>
      </c>
      <c r="B2696" s="506" t="s">
        <v>2210</v>
      </c>
      <c r="C2696" s="584" t="s">
        <v>2505</v>
      </c>
      <c r="D2696" s="1367">
        <v>1819</v>
      </c>
      <c r="E2696" s="475"/>
      <c r="F2696" s="1139"/>
      <c r="G2696" s="386"/>
      <c r="H2696" s="363"/>
      <c r="I2696" s="397"/>
      <c r="J2696" s="335"/>
      <c r="K2696" s="374">
        <f t="shared" si="111"/>
        <v>0</v>
      </c>
      <c r="L2696" s="338">
        <f t="shared" si="110"/>
        <v>0</v>
      </c>
      <c r="M2696" s="338"/>
      <c r="N2696" s="335"/>
      <c r="O2696" s="335"/>
      <c r="P2696" s="335"/>
      <c r="Q2696" s="335"/>
      <c r="R2696" s="1158"/>
      <c r="S2696" s="291"/>
      <c r="T2696" s="291"/>
      <c r="U2696" s="291"/>
      <c r="V2696" s="291"/>
    </row>
    <row r="2697" spans="1:22" s="515" customFormat="1" ht="27" customHeight="1">
      <c r="A2697" s="331">
        <v>353</v>
      </c>
      <c r="B2697" s="506" t="s">
        <v>2603</v>
      </c>
      <c r="C2697" s="584" t="s">
        <v>2506</v>
      </c>
      <c r="D2697" s="1367">
        <v>1819</v>
      </c>
      <c r="E2697" s="475"/>
      <c r="F2697" s="1139"/>
      <c r="G2697" s="386"/>
      <c r="H2697" s="363"/>
      <c r="I2697" s="397"/>
      <c r="J2697" s="335"/>
      <c r="K2697" s="374">
        <f t="shared" si="111"/>
        <v>0</v>
      </c>
      <c r="L2697" s="338">
        <f t="shared" si="110"/>
        <v>0</v>
      </c>
      <c r="M2697" s="338"/>
      <c r="N2697" s="335"/>
      <c r="O2697" s="335"/>
      <c r="P2697" s="335"/>
      <c r="Q2697" s="335"/>
      <c r="R2697" s="1158"/>
      <c r="S2697" s="291"/>
      <c r="T2697" s="291"/>
      <c r="U2697" s="291"/>
      <c r="V2697" s="291"/>
    </row>
    <row r="2698" spans="1:22" s="515" customFormat="1" ht="27" customHeight="1">
      <c r="A2698" s="331">
        <v>354</v>
      </c>
      <c r="B2698" s="506" t="s">
        <v>2496</v>
      </c>
      <c r="C2698" s="584" t="s">
        <v>2507</v>
      </c>
      <c r="D2698" s="1482">
        <v>1819</v>
      </c>
      <c r="E2698" s="475"/>
      <c r="F2698" s="1139"/>
      <c r="G2698" s="386"/>
      <c r="H2698" s="363"/>
      <c r="I2698" s="397"/>
      <c r="J2698" s="335"/>
      <c r="K2698" s="374">
        <f t="shared" si="111"/>
        <v>0</v>
      </c>
      <c r="L2698" s="338">
        <f t="shared" si="110"/>
        <v>0</v>
      </c>
      <c r="M2698" s="338"/>
      <c r="N2698" s="335"/>
      <c r="O2698" s="335"/>
      <c r="P2698" s="335"/>
      <c r="Q2698" s="335"/>
      <c r="R2698" s="1158"/>
      <c r="S2698" s="291"/>
      <c r="T2698" s="291"/>
      <c r="U2698" s="291"/>
      <c r="V2698" s="291"/>
    </row>
    <row r="2699" spans="1:22" s="515" customFormat="1" ht="27" customHeight="1">
      <c r="A2699" s="331">
        <v>355</v>
      </c>
      <c r="B2699" s="506" t="s">
        <v>2267</v>
      </c>
      <c r="C2699" s="584" t="s">
        <v>2508</v>
      </c>
      <c r="D2699" s="1482">
        <v>856</v>
      </c>
      <c r="E2699" s="475"/>
      <c r="F2699" s="1139"/>
      <c r="G2699" s="386"/>
      <c r="H2699" s="363"/>
      <c r="I2699" s="397"/>
      <c r="J2699" s="335"/>
      <c r="K2699" s="374">
        <f t="shared" si="111"/>
        <v>0</v>
      </c>
      <c r="L2699" s="338">
        <f t="shared" si="110"/>
        <v>0</v>
      </c>
      <c r="M2699" s="338"/>
      <c r="N2699" s="335"/>
      <c r="O2699" s="335"/>
      <c r="P2699" s="335"/>
      <c r="Q2699" s="335"/>
      <c r="R2699" s="1158"/>
      <c r="S2699" s="291"/>
      <c r="T2699" s="291"/>
      <c r="U2699" s="291"/>
      <c r="V2699" s="291"/>
    </row>
    <row r="2700" spans="1:22" s="515" customFormat="1" ht="27" customHeight="1">
      <c r="A2700" s="331">
        <v>356</v>
      </c>
      <c r="B2700" s="506" t="s">
        <v>2209</v>
      </c>
      <c r="C2700" s="584" t="s">
        <v>2509</v>
      </c>
      <c r="D2700" s="1367">
        <v>1819</v>
      </c>
      <c r="E2700" s="475"/>
      <c r="F2700" s="1139"/>
      <c r="G2700" s="386"/>
      <c r="H2700" s="363"/>
      <c r="I2700" s="397"/>
      <c r="J2700" s="335"/>
      <c r="K2700" s="374">
        <f t="shared" si="111"/>
        <v>0</v>
      </c>
      <c r="L2700" s="338">
        <f t="shared" si="110"/>
        <v>0</v>
      </c>
      <c r="M2700" s="338"/>
      <c r="N2700" s="335"/>
      <c r="O2700" s="335"/>
      <c r="P2700" s="335"/>
      <c r="Q2700" s="335"/>
      <c r="R2700" s="1158"/>
      <c r="S2700" s="291"/>
      <c r="T2700" s="291"/>
      <c r="U2700" s="291"/>
      <c r="V2700" s="291"/>
    </row>
    <row r="2701" spans="1:22" s="515" customFormat="1" ht="27" customHeight="1">
      <c r="A2701" s="331">
        <v>357</v>
      </c>
      <c r="B2701" s="506" t="s">
        <v>2209</v>
      </c>
      <c r="C2701" s="584" t="s">
        <v>2510</v>
      </c>
      <c r="D2701" s="1368">
        <v>1819</v>
      </c>
      <c r="E2701" s="475"/>
      <c r="F2701" s="1139"/>
      <c r="G2701" s="386"/>
      <c r="H2701" s="363"/>
      <c r="I2701" s="397"/>
      <c r="J2701" s="335"/>
      <c r="K2701" s="374">
        <f t="shared" si="111"/>
        <v>0</v>
      </c>
      <c r="L2701" s="338">
        <f t="shared" si="110"/>
        <v>0</v>
      </c>
      <c r="M2701" s="338"/>
      <c r="N2701" s="335"/>
      <c r="O2701" s="335"/>
      <c r="P2701" s="335"/>
      <c r="Q2701" s="335"/>
      <c r="R2701" s="1158"/>
      <c r="S2701" s="291"/>
      <c r="T2701" s="291"/>
      <c r="U2701" s="291"/>
      <c r="V2701" s="291"/>
    </row>
    <row r="2702" spans="1:22" s="515" customFormat="1" ht="27" customHeight="1">
      <c r="A2702" s="331">
        <v>358</v>
      </c>
      <c r="B2702" s="506" t="s">
        <v>2604</v>
      </c>
      <c r="C2702" s="584" t="s">
        <v>2511</v>
      </c>
      <c r="D2702" s="1368">
        <v>1819</v>
      </c>
      <c r="E2702" s="475"/>
      <c r="F2702" s="1139"/>
      <c r="G2702" s="386"/>
      <c r="H2702" s="363"/>
      <c r="I2702" s="397"/>
      <c r="J2702" s="335"/>
      <c r="K2702" s="374">
        <f t="shared" si="111"/>
        <v>0</v>
      </c>
      <c r="L2702" s="338">
        <f t="shared" si="110"/>
        <v>0</v>
      </c>
      <c r="M2702" s="338"/>
      <c r="N2702" s="335"/>
      <c r="O2702" s="335"/>
      <c r="P2702" s="335"/>
      <c r="Q2702" s="335"/>
      <c r="R2702" s="1158"/>
      <c r="S2702" s="291"/>
      <c r="T2702" s="291"/>
      <c r="U2702" s="291"/>
      <c r="V2702" s="291"/>
    </row>
    <row r="2703" spans="1:22" s="515" customFormat="1" ht="27" customHeight="1">
      <c r="A2703" s="331">
        <v>359</v>
      </c>
      <c r="B2703" s="506" t="s">
        <v>2604</v>
      </c>
      <c r="C2703" s="584" t="s">
        <v>2512</v>
      </c>
      <c r="D2703" s="1368">
        <v>1819</v>
      </c>
      <c r="E2703" s="475"/>
      <c r="F2703" s="1139"/>
      <c r="G2703" s="386"/>
      <c r="H2703" s="363"/>
      <c r="I2703" s="397"/>
      <c r="J2703" s="335"/>
      <c r="K2703" s="374">
        <f t="shared" si="111"/>
        <v>0</v>
      </c>
      <c r="L2703" s="338">
        <f t="shared" si="110"/>
        <v>0</v>
      </c>
      <c r="M2703" s="338"/>
      <c r="N2703" s="335"/>
      <c r="O2703" s="335"/>
      <c r="P2703" s="335"/>
      <c r="Q2703" s="335"/>
      <c r="R2703" s="1158"/>
      <c r="S2703" s="291"/>
      <c r="T2703" s="291"/>
      <c r="U2703" s="291"/>
      <c r="V2703" s="291"/>
    </row>
    <row r="2704" spans="1:22" s="515" customFormat="1" ht="27" customHeight="1">
      <c r="A2704" s="331">
        <v>360</v>
      </c>
      <c r="B2704" s="506" t="s">
        <v>2604</v>
      </c>
      <c r="C2704" s="584" t="s">
        <v>2514</v>
      </c>
      <c r="D2704" s="1365">
        <v>1819</v>
      </c>
      <c r="E2704" s="475"/>
      <c r="F2704" s="1139"/>
      <c r="G2704" s="386"/>
      <c r="H2704" s="363"/>
      <c r="I2704" s="397"/>
      <c r="J2704" s="335"/>
      <c r="K2704" s="374">
        <f t="shared" si="111"/>
        <v>0</v>
      </c>
      <c r="L2704" s="338">
        <f t="shared" si="110"/>
        <v>0</v>
      </c>
      <c r="M2704" s="338"/>
      <c r="N2704" s="335"/>
      <c r="O2704" s="335"/>
      <c r="P2704" s="335"/>
      <c r="Q2704" s="335"/>
      <c r="R2704" s="1158"/>
      <c r="S2704" s="291"/>
      <c r="T2704" s="291"/>
      <c r="U2704" s="291"/>
      <c r="V2704" s="291"/>
    </row>
    <row r="2705" spans="1:22" s="515" customFormat="1" ht="27" customHeight="1">
      <c r="A2705" s="331">
        <v>361</v>
      </c>
      <c r="B2705" s="506" t="s">
        <v>2604</v>
      </c>
      <c r="C2705" s="584" t="s">
        <v>2515</v>
      </c>
      <c r="D2705" s="1365">
        <v>1819</v>
      </c>
      <c r="E2705" s="475"/>
      <c r="F2705" s="1139"/>
      <c r="G2705" s="386"/>
      <c r="H2705" s="363"/>
      <c r="I2705" s="397"/>
      <c r="J2705" s="335"/>
      <c r="K2705" s="374">
        <f t="shared" si="111"/>
        <v>0</v>
      </c>
      <c r="L2705" s="338">
        <f t="shared" si="110"/>
        <v>0</v>
      </c>
      <c r="M2705" s="338"/>
      <c r="N2705" s="335"/>
      <c r="O2705" s="335"/>
      <c r="P2705" s="335"/>
      <c r="Q2705" s="335"/>
      <c r="R2705" s="1158"/>
      <c r="S2705" s="291"/>
      <c r="T2705" s="291"/>
      <c r="U2705" s="291"/>
      <c r="V2705" s="291"/>
    </row>
    <row r="2706" spans="1:22" s="515" customFormat="1" ht="27" customHeight="1">
      <c r="A2706" s="331">
        <v>362</v>
      </c>
      <c r="B2706" s="506" t="s">
        <v>2210</v>
      </c>
      <c r="C2706" s="584" t="s">
        <v>2516</v>
      </c>
      <c r="D2706" s="1365">
        <v>1819</v>
      </c>
      <c r="E2706" s="475"/>
      <c r="F2706" s="1139"/>
      <c r="G2706" s="386"/>
      <c r="H2706" s="363"/>
      <c r="I2706" s="397"/>
      <c r="J2706" s="335"/>
      <c r="K2706" s="374">
        <f t="shared" si="111"/>
        <v>0</v>
      </c>
      <c r="L2706" s="338">
        <f t="shared" si="110"/>
        <v>0</v>
      </c>
      <c r="M2706" s="338"/>
      <c r="N2706" s="335"/>
      <c r="O2706" s="335"/>
      <c r="P2706" s="335"/>
      <c r="Q2706" s="335"/>
      <c r="R2706" s="1158"/>
      <c r="S2706" s="291"/>
      <c r="T2706" s="291"/>
      <c r="U2706" s="291"/>
      <c r="V2706" s="291"/>
    </row>
    <row r="2707" spans="1:22" s="515" customFormat="1" ht="27" customHeight="1">
      <c r="A2707" s="331">
        <v>363</v>
      </c>
      <c r="B2707" s="506" t="s">
        <v>2210</v>
      </c>
      <c r="C2707" s="584" t="s">
        <v>2517</v>
      </c>
      <c r="D2707" s="1365">
        <v>1819</v>
      </c>
      <c r="E2707" s="475"/>
      <c r="F2707" s="1139"/>
      <c r="G2707" s="386"/>
      <c r="H2707" s="363"/>
      <c r="I2707" s="397"/>
      <c r="J2707" s="335"/>
      <c r="K2707" s="374">
        <f t="shared" si="111"/>
        <v>0</v>
      </c>
      <c r="L2707" s="338">
        <f t="shared" si="110"/>
        <v>0</v>
      </c>
      <c r="M2707" s="338"/>
      <c r="N2707" s="335"/>
      <c r="O2707" s="335"/>
      <c r="P2707" s="335"/>
      <c r="Q2707" s="335"/>
      <c r="R2707" s="1158"/>
      <c r="S2707" s="291"/>
      <c r="T2707" s="291"/>
      <c r="U2707" s="291"/>
      <c r="V2707" s="291"/>
    </row>
    <row r="2708" spans="1:22" s="515" customFormat="1" ht="27" customHeight="1">
      <c r="A2708" s="331">
        <v>364</v>
      </c>
      <c r="B2708" s="506" t="s">
        <v>2210</v>
      </c>
      <c r="C2708" s="584" t="s">
        <v>2519</v>
      </c>
      <c r="D2708" s="1365">
        <v>1819</v>
      </c>
      <c r="E2708" s="475"/>
      <c r="F2708" s="1139"/>
      <c r="G2708" s="386"/>
      <c r="H2708" s="363"/>
      <c r="I2708" s="397"/>
      <c r="J2708" s="335"/>
      <c r="K2708" s="374">
        <f t="shared" si="111"/>
        <v>0</v>
      </c>
      <c r="L2708" s="338">
        <f t="shared" si="110"/>
        <v>0</v>
      </c>
      <c r="M2708" s="338"/>
      <c r="N2708" s="335"/>
      <c r="O2708" s="335"/>
      <c r="P2708" s="335"/>
      <c r="Q2708" s="335"/>
      <c r="R2708" s="1158"/>
      <c r="S2708" s="291"/>
      <c r="T2708" s="291"/>
      <c r="U2708" s="291"/>
      <c r="V2708" s="291"/>
    </row>
    <row r="2709" spans="1:22" s="515" customFormat="1" ht="27" customHeight="1">
      <c r="A2709" s="331">
        <v>365</v>
      </c>
      <c r="B2709" s="506" t="s">
        <v>2210</v>
      </c>
      <c r="C2709" s="584" t="s">
        <v>2520</v>
      </c>
      <c r="D2709" s="1365">
        <v>1819</v>
      </c>
      <c r="E2709" s="475"/>
      <c r="F2709" s="1139"/>
      <c r="G2709" s="386"/>
      <c r="H2709" s="363"/>
      <c r="I2709" s="397"/>
      <c r="J2709" s="335"/>
      <c r="K2709" s="374">
        <f t="shared" si="111"/>
        <v>0</v>
      </c>
      <c r="L2709" s="338">
        <f t="shared" si="110"/>
        <v>0</v>
      </c>
      <c r="M2709" s="338"/>
      <c r="N2709" s="335"/>
      <c r="O2709" s="335"/>
      <c r="P2709" s="335"/>
      <c r="Q2709" s="335"/>
      <c r="R2709" s="1158"/>
      <c r="S2709" s="291"/>
      <c r="T2709" s="291"/>
      <c r="U2709" s="291"/>
      <c r="V2709" s="291"/>
    </row>
    <row r="2710" spans="1:22" s="515" customFormat="1" ht="27" customHeight="1">
      <c r="A2710" s="331">
        <v>366</v>
      </c>
      <c r="B2710" s="506" t="s">
        <v>2798</v>
      </c>
      <c r="C2710" s="584" t="s">
        <v>2521</v>
      </c>
      <c r="D2710" s="1365">
        <v>1819</v>
      </c>
      <c r="E2710" s="475"/>
      <c r="F2710" s="1139"/>
      <c r="G2710" s="386"/>
      <c r="H2710" s="363"/>
      <c r="I2710" s="397"/>
      <c r="J2710" s="335"/>
      <c r="K2710" s="374">
        <f t="shared" si="111"/>
        <v>0</v>
      </c>
      <c r="L2710" s="338">
        <f t="shared" si="110"/>
        <v>0</v>
      </c>
      <c r="M2710" s="338"/>
      <c r="N2710" s="335"/>
      <c r="O2710" s="335"/>
      <c r="P2710" s="335"/>
      <c r="Q2710" s="335"/>
      <c r="R2710" s="1158"/>
      <c r="S2710" s="291"/>
      <c r="T2710" s="291"/>
      <c r="U2710" s="291"/>
      <c r="V2710" s="291"/>
    </row>
    <row r="2711" spans="1:22" s="515" customFormat="1" ht="27" customHeight="1">
      <c r="A2711" s="331">
        <v>367</v>
      </c>
      <c r="B2711" s="506" t="s">
        <v>2798</v>
      </c>
      <c r="C2711" s="584" t="s">
        <v>2522</v>
      </c>
      <c r="D2711" s="1365">
        <v>1819</v>
      </c>
      <c r="E2711" s="475"/>
      <c r="F2711" s="1139"/>
      <c r="G2711" s="386"/>
      <c r="H2711" s="363"/>
      <c r="I2711" s="397"/>
      <c r="J2711" s="335"/>
      <c r="K2711" s="374">
        <f t="shared" si="111"/>
        <v>0</v>
      </c>
      <c r="L2711" s="338">
        <f t="shared" si="110"/>
        <v>0</v>
      </c>
      <c r="M2711" s="338"/>
      <c r="N2711" s="335"/>
      <c r="O2711" s="335"/>
      <c r="P2711" s="335"/>
      <c r="Q2711" s="335"/>
      <c r="R2711" s="1158"/>
      <c r="S2711" s="291"/>
      <c r="T2711" s="291"/>
      <c r="U2711" s="291"/>
      <c r="V2711" s="291"/>
    </row>
    <row r="2712" spans="1:22" s="515" customFormat="1" ht="27" customHeight="1">
      <c r="A2712" s="331">
        <v>368</v>
      </c>
      <c r="B2712" s="506" t="s">
        <v>2798</v>
      </c>
      <c r="C2712" s="584" t="s">
        <v>2523</v>
      </c>
      <c r="D2712" s="1369">
        <v>1819</v>
      </c>
      <c r="E2712" s="475"/>
      <c r="F2712" s="1139"/>
      <c r="G2712" s="386"/>
      <c r="H2712" s="363"/>
      <c r="I2712" s="397"/>
      <c r="J2712" s="335"/>
      <c r="K2712" s="374">
        <f t="shared" si="111"/>
        <v>0</v>
      </c>
      <c r="L2712" s="338">
        <f t="shared" si="110"/>
        <v>0</v>
      </c>
      <c r="M2712" s="338"/>
      <c r="N2712" s="335"/>
      <c r="O2712" s="335"/>
      <c r="P2712" s="335"/>
      <c r="Q2712" s="335"/>
      <c r="R2712" s="1158"/>
      <c r="S2712" s="291"/>
      <c r="T2712" s="291"/>
      <c r="U2712" s="291"/>
      <c r="V2712" s="291"/>
    </row>
    <row r="2713" spans="1:22" s="515" customFormat="1" ht="27" customHeight="1">
      <c r="A2713" s="331">
        <v>369</v>
      </c>
      <c r="B2713" s="506" t="s">
        <v>2798</v>
      </c>
      <c r="C2713" s="584" t="s">
        <v>2524</v>
      </c>
      <c r="D2713" s="1370">
        <v>1819</v>
      </c>
      <c r="E2713" s="475"/>
      <c r="F2713" s="1139"/>
      <c r="G2713" s="386"/>
      <c r="H2713" s="363"/>
      <c r="I2713" s="397"/>
      <c r="J2713" s="335"/>
      <c r="K2713" s="374">
        <f t="shared" si="111"/>
        <v>0</v>
      </c>
      <c r="L2713" s="338">
        <f t="shared" si="110"/>
        <v>0</v>
      </c>
      <c r="M2713" s="338"/>
      <c r="N2713" s="335"/>
      <c r="O2713" s="335"/>
      <c r="P2713" s="335"/>
      <c r="Q2713" s="335"/>
      <c r="R2713" s="1158"/>
      <c r="S2713" s="291"/>
      <c r="T2713" s="291"/>
      <c r="U2713" s="291"/>
      <c r="V2713" s="291"/>
    </row>
    <row r="2714" spans="1:22" s="515" customFormat="1" ht="27" customHeight="1">
      <c r="A2714" s="331">
        <v>370</v>
      </c>
      <c r="B2714" s="506" t="s">
        <v>2513</v>
      </c>
      <c r="C2714" s="584" t="s">
        <v>2525</v>
      </c>
      <c r="D2714" s="1368">
        <v>1819</v>
      </c>
      <c r="E2714" s="475"/>
      <c r="F2714" s="1139"/>
      <c r="G2714" s="386"/>
      <c r="H2714" s="363"/>
      <c r="I2714" s="397"/>
      <c r="J2714" s="335"/>
      <c r="K2714" s="374">
        <f t="shared" si="111"/>
        <v>0</v>
      </c>
      <c r="L2714" s="338">
        <f t="shared" si="110"/>
        <v>0</v>
      </c>
      <c r="M2714" s="338"/>
      <c r="N2714" s="335"/>
      <c r="O2714" s="335"/>
      <c r="P2714" s="335"/>
      <c r="Q2714" s="335"/>
      <c r="R2714" s="1158"/>
      <c r="S2714" s="291"/>
      <c r="T2714" s="291"/>
      <c r="U2714" s="291"/>
      <c r="V2714" s="291"/>
    </row>
    <row r="2715" spans="1:22" s="515" customFormat="1" ht="27" customHeight="1">
      <c r="A2715" s="331">
        <v>371</v>
      </c>
      <c r="B2715" s="506" t="s">
        <v>2606</v>
      </c>
      <c r="C2715" s="584" t="s">
        <v>2526</v>
      </c>
      <c r="D2715" s="1368">
        <v>1819</v>
      </c>
      <c r="E2715" s="475"/>
      <c r="F2715" s="1139"/>
      <c r="G2715" s="386"/>
      <c r="H2715" s="363"/>
      <c r="I2715" s="397"/>
      <c r="J2715" s="335"/>
      <c r="K2715" s="374">
        <f t="shared" si="111"/>
        <v>0</v>
      </c>
      <c r="L2715" s="338">
        <f t="shared" si="110"/>
        <v>0</v>
      </c>
      <c r="M2715" s="338"/>
      <c r="N2715" s="335"/>
      <c r="O2715" s="335"/>
      <c r="P2715" s="335"/>
      <c r="Q2715" s="335"/>
      <c r="R2715" s="1158"/>
      <c r="S2715" s="291"/>
      <c r="T2715" s="291"/>
      <c r="U2715" s="291"/>
      <c r="V2715" s="291"/>
    </row>
    <row r="2716" spans="1:22" s="515" customFormat="1" ht="27" customHeight="1">
      <c r="A2716" s="331">
        <v>372</v>
      </c>
      <c r="B2716" s="506" t="s">
        <v>2605</v>
      </c>
      <c r="C2716" s="584" t="s">
        <v>2527</v>
      </c>
      <c r="D2716" s="1368">
        <v>4173</v>
      </c>
      <c r="E2716" s="475"/>
      <c r="F2716" s="1139"/>
      <c r="G2716" s="386"/>
      <c r="H2716" s="363"/>
      <c r="I2716" s="397"/>
      <c r="J2716" s="335"/>
      <c r="K2716" s="374">
        <f t="shared" si="111"/>
        <v>0</v>
      </c>
      <c r="L2716" s="338">
        <f t="shared" si="110"/>
        <v>0</v>
      </c>
      <c r="M2716" s="338"/>
      <c r="N2716" s="335"/>
      <c r="O2716" s="335"/>
      <c r="P2716" s="335"/>
      <c r="Q2716" s="335"/>
      <c r="R2716" s="1158"/>
      <c r="S2716" s="291"/>
      <c r="T2716" s="291"/>
      <c r="U2716" s="291"/>
      <c r="V2716" s="291"/>
    </row>
    <row r="2717" spans="1:22" s="515" customFormat="1" ht="27" customHeight="1">
      <c r="A2717" s="331">
        <v>373</v>
      </c>
      <c r="B2717" s="506" t="s">
        <v>2605</v>
      </c>
      <c r="C2717" s="584" t="s">
        <v>2528</v>
      </c>
      <c r="D2717" s="1370">
        <v>4173</v>
      </c>
      <c r="E2717" s="475"/>
      <c r="F2717" s="1139"/>
      <c r="G2717" s="386"/>
      <c r="H2717" s="363"/>
      <c r="I2717" s="397"/>
      <c r="J2717" s="335"/>
      <c r="K2717" s="374">
        <f t="shared" si="111"/>
        <v>0</v>
      </c>
      <c r="L2717" s="338">
        <f t="shared" si="110"/>
        <v>0</v>
      </c>
      <c r="M2717" s="338"/>
      <c r="N2717" s="335"/>
      <c r="O2717" s="335"/>
      <c r="P2717" s="335"/>
      <c r="Q2717" s="335"/>
      <c r="R2717" s="1158"/>
      <c r="S2717" s="291"/>
      <c r="T2717" s="291"/>
      <c r="U2717" s="291"/>
      <c r="V2717" s="291"/>
    </row>
    <row r="2718" spans="1:22" s="515" customFormat="1" ht="27" customHeight="1">
      <c r="A2718" s="331">
        <v>374</v>
      </c>
      <c r="B2718" s="506" t="s">
        <v>2518</v>
      </c>
      <c r="C2718" s="584" t="s">
        <v>2529</v>
      </c>
      <c r="D2718" s="1370">
        <v>3852</v>
      </c>
      <c r="E2718" s="475"/>
      <c r="F2718" s="1139"/>
      <c r="G2718" s="386"/>
      <c r="H2718" s="363"/>
      <c r="I2718" s="397"/>
      <c r="J2718" s="335"/>
      <c r="K2718" s="374">
        <f t="shared" si="111"/>
        <v>0</v>
      </c>
      <c r="L2718" s="338">
        <f t="shared" si="110"/>
        <v>0</v>
      </c>
      <c r="M2718" s="338"/>
      <c r="N2718" s="335"/>
      <c r="O2718" s="335"/>
      <c r="P2718" s="335"/>
      <c r="Q2718" s="335"/>
      <c r="R2718" s="1158"/>
      <c r="S2718" s="291"/>
      <c r="T2718" s="291"/>
      <c r="U2718" s="291"/>
      <c r="V2718" s="291"/>
    </row>
    <row r="2719" spans="1:22" s="515" customFormat="1" ht="27" customHeight="1">
      <c r="A2719" s="331">
        <v>375</v>
      </c>
      <c r="B2719" s="506" t="s">
        <v>2216</v>
      </c>
      <c r="C2719" s="584" t="s">
        <v>2530</v>
      </c>
      <c r="D2719" s="1370">
        <v>1819</v>
      </c>
      <c r="E2719" s="475"/>
      <c r="F2719" s="1139"/>
      <c r="G2719" s="386"/>
      <c r="H2719" s="363"/>
      <c r="I2719" s="397"/>
      <c r="J2719" s="335"/>
      <c r="K2719" s="374">
        <f t="shared" si="111"/>
        <v>0</v>
      </c>
      <c r="L2719" s="338">
        <f t="shared" si="110"/>
        <v>0</v>
      </c>
      <c r="M2719" s="338"/>
      <c r="N2719" s="335"/>
      <c r="O2719" s="335"/>
      <c r="P2719" s="335"/>
      <c r="Q2719" s="335"/>
      <c r="R2719" s="1158"/>
      <c r="S2719" s="291"/>
      <c r="T2719" s="291"/>
      <c r="U2719" s="291"/>
      <c r="V2719" s="291"/>
    </row>
    <row r="2720" spans="1:22" s="515" customFormat="1" ht="27" customHeight="1">
      <c r="A2720" s="331">
        <v>376</v>
      </c>
      <c r="B2720" s="506" t="s">
        <v>2220</v>
      </c>
      <c r="C2720" s="584" t="s">
        <v>2531</v>
      </c>
      <c r="D2720" s="1371">
        <v>1819</v>
      </c>
      <c r="E2720" s="475"/>
      <c r="F2720" s="1139"/>
      <c r="G2720" s="386"/>
      <c r="H2720" s="363"/>
      <c r="I2720" s="397"/>
      <c r="J2720" s="335"/>
      <c r="K2720" s="374">
        <f t="shared" si="111"/>
        <v>0</v>
      </c>
      <c r="L2720" s="338">
        <f t="shared" si="110"/>
        <v>0</v>
      </c>
      <c r="M2720" s="338"/>
      <c r="N2720" s="335"/>
      <c r="O2720" s="335"/>
      <c r="P2720" s="335"/>
      <c r="Q2720" s="335"/>
      <c r="R2720" s="1158"/>
      <c r="S2720" s="291"/>
      <c r="T2720" s="291"/>
      <c r="U2720" s="291"/>
      <c r="V2720" s="291"/>
    </row>
    <row r="2721" spans="1:22" s="515" customFormat="1" ht="27" customHeight="1">
      <c r="A2721" s="331">
        <v>377</v>
      </c>
      <c r="B2721" s="506" t="s">
        <v>2218</v>
      </c>
      <c r="C2721" s="584" t="s">
        <v>2532</v>
      </c>
      <c r="D2721" s="1370">
        <v>1819</v>
      </c>
      <c r="E2721" s="475"/>
      <c r="F2721" s="1139"/>
      <c r="G2721" s="386"/>
      <c r="H2721" s="363"/>
      <c r="I2721" s="397"/>
      <c r="J2721" s="335"/>
      <c r="K2721" s="374">
        <f t="shared" si="111"/>
        <v>0</v>
      </c>
      <c r="L2721" s="338">
        <f t="shared" si="110"/>
        <v>0</v>
      </c>
      <c r="M2721" s="338"/>
      <c r="N2721" s="335"/>
      <c r="O2721" s="335"/>
      <c r="P2721" s="335"/>
      <c r="Q2721" s="335"/>
      <c r="R2721" s="1158"/>
      <c r="S2721" s="291"/>
      <c r="T2721" s="291"/>
      <c r="U2721" s="291"/>
      <c r="V2721" s="291"/>
    </row>
    <row r="2722" spans="1:22" s="515" customFormat="1" ht="27" customHeight="1">
      <c r="A2722" s="331">
        <v>378</v>
      </c>
      <c r="B2722" s="506" t="s">
        <v>2217</v>
      </c>
      <c r="C2722" s="584" t="s">
        <v>2533</v>
      </c>
      <c r="D2722" s="1368">
        <v>1819</v>
      </c>
      <c r="E2722" s="475"/>
      <c r="F2722" s="1139"/>
      <c r="G2722" s="386"/>
      <c r="H2722" s="363"/>
      <c r="I2722" s="397"/>
      <c r="J2722" s="335"/>
      <c r="K2722" s="374">
        <f t="shared" si="111"/>
        <v>0</v>
      </c>
      <c r="L2722" s="338">
        <f t="shared" si="110"/>
        <v>0</v>
      </c>
      <c r="M2722" s="338"/>
      <c r="N2722" s="335"/>
      <c r="O2722" s="335"/>
      <c r="P2722" s="335"/>
      <c r="Q2722" s="335"/>
      <c r="R2722" s="1158"/>
      <c r="S2722" s="291"/>
      <c r="T2722" s="291"/>
      <c r="U2722" s="291"/>
      <c r="V2722" s="291"/>
    </row>
    <row r="2723" spans="1:22" s="515" customFormat="1" ht="27" customHeight="1">
      <c r="A2723" s="331">
        <v>379</v>
      </c>
      <c r="B2723" s="506" t="s">
        <v>2606</v>
      </c>
      <c r="C2723" s="584" t="s">
        <v>2534</v>
      </c>
      <c r="D2723" s="1498">
        <v>1819</v>
      </c>
      <c r="E2723" s="475"/>
      <c r="F2723" s="1139"/>
      <c r="G2723" s="386"/>
      <c r="H2723" s="363"/>
      <c r="I2723" s="397"/>
      <c r="J2723" s="335"/>
      <c r="K2723" s="374">
        <f t="shared" si="111"/>
        <v>0</v>
      </c>
      <c r="L2723" s="338">
        <f t="shared" si="110"/>
        <v>0</v>
      </c>
      <c r="M2723" s="338"/>
      <c r="N2723" s="335"/>
      <c r="O2723" s="335"/>
      <c r="P2723" s="335"/>
      <c r="Q2723" s="335"/>
      <c r="R2723" s="1158"/>
      <c r="S2723" s="291"/>
      <c r="T2723" s="291"/>
      <c r="U2723" s="291"/>
      <c r="V2723" s="291"/>
    </row>
    <row r="2724" spans="1:22" s="515" customFormat="1" ht="27" customHeight="1">
      <c r="A2724" s="331">
        <v>380</v>
      </c>
      <c r="B2724" s="506" t="s">
        <v>2218</v>
      </c>
      <c r="C2724" s="584" t="s">
        <v>2535</v>
      </c>
      <c r="D2724" s="1498">
        <v>1819</v>
      </c>
      <c r="E2724" s="475"/>
      <c r="F2724" s="1139"/>
      <c r="G2724" s="386"/>
      <c r="H2724" s="363"/>
      <c r="I2724" s="397"/>
      <c r="J2724" s="335"/>
      <c r="K2724" s="374">
        <f t="shared" si="111"/>
        <v>0</v>
      </c>
      <c r="L2724" s="338">
        <f t="shared" si="110"/>
        <v>0</v>
      </c>
      <c r="M2724" s="338"/>
      <c r="N2724" s="335"/>
      <c r="O2724" s="335"/>
      <c r="P2724" s="335"/>
      <c r="Q2724" s="335"/>
      <c r="R2724" s="1158"/>
      <c r="S2724" s="291"/>
      <c r="T2724" s="291"/>
      <c r="U2724" s="291"/>
      <c r="V2724" s="291"/>
    </row>
    <row r="2725" spans="1:22" s="515" customFormat="1" ht="27" customHeight="1">
      <c r="A2725" s="331">
        <v>381</v>
      </c>
      <c r="B2725" s="506" t="s">
        <v>2606</v>
      </c>
      <c r="C2725" s="584" t="s">
        <v>2536</v>
      </c>
      <c r="D2725" s="1370">
        <v>1819</v>
      </c>
      <c r="E2725" s="475"/>
      <c r="F2725" s="1139"/>
      <c r="G2725" s="386"/>
      <c r="H2725" s="363"/>
      <c r="I2725" s="397"/>
      <c r="J2725" s="335"/>
      <c r="K2725" s="374">
        <f t="shared" si="111"/>
        <v>0</v>
      </c>
      <c r="L2725" s="338">
        <f t="shared" si="110"/>
        <v>0</v>
      </c>
      <c r="M2725" s="338"/>
      <c r="N2725" s="335"/>
      <c r="O2725" s="335"/>
      <c r="P2725" s="335"/>
      <c r="Q2725" s="335"/>
      <c r="R2725" s="1158"/>
      <c r="S2725" s="291"/>
      <c r="T2725" s="291"/>
      <c r="U2725" s="291"/>
      <c r="V2725" s="291"/>
    </row>
    <row r="2726" spans="1:22" s="515" customFormat="1" ht="27" customHeight="1">
      <c r="A2726" s="331">
        <v>382</v>
      </c>
      <c r="B2726" s="506" t="s">
        <v>2174</v>
      </c>
      <c r="C2726" s="584" t="s">
        <v>2537</v>
      </c>
      <c r="D2726" s="1370">
        <v>1819</v>
      </c>
      <c r="E2726" s="475"/>
      <c r="F2726" s="1139"/>
      <c r="G2726" s="386"/>
      <c r="H2726" s="363"/>
      <c r="I2726" s="397"/>
      <c r="J2726" s="335"/>
      <c r="K2726" s="374">
        <f t="shared" si="111"/>
        <v>0</v>
      </c>
      <c r="L2726" s="338">
        <f t="shared" si="110"/>
        <v>0</v>
      </c>
      <c r="M2726" s="338"/>
      <c r="N2726" s="335"/>
      <c r="O2726" s="335"/>
      <c r="P2726" s="335"/>
      <c r="Q2726" s="335"/>
      <c r="R2726" s="1158"/>
      <c r="S2726" s="291"/>
      <c r="T2726" s="291"/>
      <c r="U2726" s="291"/>
      <c r="V2726" s="291"/>
    </row>
    <row r="2727" spans="1:22" s="515" customFormat="1" ht="27" customHeight="1">
      <c r="A2727" s="331">
        <v>383</v>
      </c>
      <c r="B2727" s="506" t="s">
        <v>2219</v>
      </c>
      <c r="C2727" s="584" t="s">
        <v>2538</v>
      </c>
      <c r="D2727" s="1370">
        <v>1819</v>
      </c>
      <c r="E2727" s="475"/>
      <c r="F2727" s="1139"/>
      <c r="G2727" s="386"/>
      <c r="H2727" s="363"/>
      <c r="I2727" s="397"/>
      <c r="J2727" s="335"/>
      <c r="K2727" s="374">
        <f t="shared" si="111"/>
        <v>0</v>
      </c>
      <c r="L2727" s="338">
        <f t="shared" si="110"/>
        <v>0</v>
      </c>
      <c r="M2727" s="338"/>
      <c r="N2727" s="335"/>
      <c r="O2727" s="335"/>
      <c r="P2727" s="335"/>
      <c r="Q2727" s="335"/>
      <c r="R2727" s="1158"/>
      <c r="S2727" s="291"/>
      <c r="T2727" s="291"/>
      <c r="U2727" s="291"/>
      <c r="V2727" s="291"/>
    </row>
    <row r="2728" spans="1:22" s="515" customFormat="1" ht="27" customHeight="1">
      <c r="A2728" s="331">
        <v>384</v>
      </c>
      <c r="B2728" s="506" t="s">
        <v>2174</v>
      </c>
      <c r="C2728" s="584" t="s">
        <v>2539</v>
      </c>
      <c r="D2728" s="1370">
        <v>1819</v>
      </c>
      <c r="E2728" s="475"/>
      <c r="F2728" s="1139"/>
      <c r="G2728" s="386"/>
      <c r="H2728" s="363"/>
      <c r="I2728" s="397"/>
      <c r="J2728" s="335"/>
      <c r="K2728" s="374">
        <f t="shared" si="111"/>
        <v>0</v>
      </c>
      <c r="L2728" s="338">
        <f t="shared" si="110"/>
        <v>0</v>
      </c>
      <c r="M2728" s="338"/>
      <c r="N2728" s="335"/>
      <c r="O2728" s="335"/>
      <c r="P2728" s="335"/>
      <c r="Q2728" s="335"/>
      <c r="R2728" s="1158"/>
      <c r="S2728" s="291"/>
      <c r="T2728" s="291"/>
      <c r="U2728" s="291"/>
      <c r="V2728" s="291"/>
    </row>
    <row r="2729" spans="1:22" s="515" customFormat="1" ht="27" customHeight="1">
      <c r="A2729" s="331">
        <v>385</v>
      </c>
      <c r="B2729" s="506" t="s">
        <v>2222</v>
      </c>
      <c r="C2729" s="584" t="s">
        <v>2540</v>
      </c>
      <c r="D2729" s="1370">
        <v>1819</v>
      </c>
      <c r="E2729" s="475"/>
      <c r="F2729" s="1139"/>
      <c r="G2729" s="386"/>
      <c r="H2729" s="363"/>
      <c r="I2729" s="397"/>
      <c r="J2729" s="335"/>
      <c r="K2729" s="374">
        <f t="shared" si="111"/>
        <v>0</v>
      </c>
      <c r="L2729" s="338">
        <f t="shared" si="110"/>
        <v>0</v>
      </c>
      <c r="M2729" s="338"/>
      <c r="N2729" s="335"/>
      <c r="O2729" s="335"/>
      <c r="P2729" s="335"/>
      <c r="Q2729" s="335"/>
      <c r="R2729" s="1158"/>
      <c r="S2729" s="291"/>
      <c r="T2729" s="291"/>
      <c r="U2729" s="291"/>
      <c r="V2729" s="291"/>
    </row>
    <row r="2730" spans="1:22" s="515" customFormat="1" ht="27" customHeight="1">
      <c r="A2730" s="331">
        <v>386</v>
      </c>
      <c r="B2730" s="506" t="s">
        <v>2188</v>
      </c>
      <c r="C2730" s="584" t="s">
        <v>2541</v>
      </c>
      <c r="D2730" s="1370">
        <v>1819</v>
      </c>
      <c r="E2730" s="475"/>
      <c r="F2730" s="1139"/>
      <c r="G2730" s="386"/>
      <c r="H2730" s="363"/>
      <c r="I2730" s="397"/>
      <c r="J2730" s="335"/>
      <c r="K2730" s="374">
        <f t="shared" si="111"/>
        <v>0</v>
      </c>
      <c r="L2730" s="338">
        <f t="shared" si="110"/>
        <v>0</v>
      </c>
      <c r="M2730" s="338"/>
      <c r="N2730" s="335"/>
      <c r="O2730" s="335"/>
      <c r="P2730" s="335"/>
      <c r="Q2730" s="335"/>
      <c r="R2730" s="1158"/>
      <c r="S2730" s="291"/>
      <c r="T2730" s="291"/>
      <c r="U2730" s="291"/>
      <c r="V2730" s="291"/>
    </row>
    <row r="2731" spans="1:22" s="515" customFormat="1" ht="27" customHeight="1">
      <c r="A2731" s="331">
        <v>387</v>
      </c>
      <c r="B2731" s="506" t="s">
        <v>2188</v>
      </c>
      <c r="C2731" s="584" t="s">
        <v>2542</v>
      </c>
      <c r="D2731" s="1370">
        <v>1819</v>
      </c>
      <c r="E2731" s="475"/>
      <c r="F2731" s="1139"/>
      <c r="G2731" s="386"/>
      <c r="H2731" s="363"/>
      <c r="I2731" s="397"/>
      <c r="J2731" s="335"/>
      <c r="K2731" s="374">
        <f t="shared" si="111"/>
        <v>0</v>
      </c>
      <c r="L2731" s="338">
        <f t="shared" ref="L2731:L2794" si="112">+J2731</f>
        <v>0</v>
      </c>
      <c r="M2731" s="338"/>
      <c r="N2731" s="335"/>
      <c r="O2731" s="335"/>
      <c r="P2731" s="335"/>
      <c r="Q2731" s="335"/>
      <c r="R2731" s="1158"/>
      <c r="S2731" s="291"/>
      <c r="T2731" s="291"/>
      <c r="U2731" s="291"/>
      <c r="V2731" s="291"/>
    </row>
    <row r="2732" spans="1:22" s="515" customFormat="1" ht="27" customHeight="1">
      <c r="A2732" s="331">
        <v>388</v>
      </c>
      <c r="B2732" s="506" t="s">
        <v>2124</v>
      </c>
      <c r="C2732" s="584" t="s">
        <v>2543</v>
      </c>
      <c r="D2732" s="1372">
        <v>1819</v>
      </c>
      <c r="E2732" s="475"/>
      <c r="F2732" s="1139"/>
      <c r="G2732" s="386"/>
      <c r="H2732" s="363"/>
      <c r="I2732" s="397"/>
      <c r="J2732" s="335"/>
      <c r="K2732" s="374">
        <f t="shared" si="111"/>
        <v>0</v>
      </c>
      <c r="L2732" s="338">
        <f t="shared" si="112"/>
        <v>0</v>
      </c>
      <c r="M2732" s="338"/>
      <c r="N2732" s="335"/>
      <c r="O2732" s="335"/>
      <c r="P2732" s="335"/>
      <c r="Q2732" s="335"/>
      <c r="R2732" s="1158"/>
      <c r="S2732" s="291"/>
      <c r="T2732" s="291"/>
      <c r="U2732" s="291"/>
      <c r="V2732" s="291"/>
    </row>
    <row r="2733" spans="1:22" s="515" customFormat="1" ht="27" customHeight="1">
      <c r="A2733" s="331">
        <v>389</v>
      </c>
      <c r="B2733" s="506" t="s">
        <v>2716</v>
      </c>
      <c r="C2733" s="584" t="s">
        <v>2544</v>
      </c>
      <c r="D2733" s="1372">
        <v>1819</v>
      </c>
      <c r="E2733" s="475"/>
      <c r="F2733" s="1139"/>
      <c r="G2733" s="386"/>
      <c r="H2733" s="363"/>
      <c r="I2733" s="397"/>
      <c r="J2733" s="335"/>
      <c r="K2733" s="374">
        <f t="shared" si="111"/>
        <v>0</v>
      </c>
      <c r="L2733" s="338">
        <f t="shared" si="112"/>
        <v>0</v>
      </c>
      <c r="M2733" s="338"/>
      <c r="N2733" s="335"/>
      <c r="O2733" s="335"/>
      <c r="P2733" s="335"/>
      <c r="Q2733" s="335"/>
      <c r="R2733" s="1158"/>
      <c r="S2733" s="291"/>
      <c r="T2733" s="291"/>
      <c r="U2733" s="291"/>
      <c r="V2733" s="291"/>
    </row>
    <row r="2734" spans="1:22" s="515" customFormat="1" ht="27" customHeight="1">
      <c r="A2734" s="331">
        <v>390</v>
      </c>
      <c r="B2734" s="506" t="s">
        <v>2715</v>
      </c>
      <c r="C2734" s="584" t="s">
        <v>2545</v>
      </c>
      <c r="D2734" s="1370">
        <v>1819</v>
      </c>
      <c r="E2734" s="475"/>
      <c r="F2734" s="1139"/>
      <c r="G2734" s="386"/>
      <c r="H2734" s="363"/>
      <c r="I2734" s="397"/>
      <c r="J2734" s="335"/>
      <c r="K2734" s="374">
        <f t="shared" si="111"/>
        <v>0</v>
      </c>
      <c r="L2734" s="338">
        <f t="shared" si="112"/>
        <v>0</v>
      </c>
      <c r="M2734" s="338"/>
      <c r="N2734" s="335"/>
      <c r="O2734" s="335"/>
      <c r="P2734" s="335"/>
      <c r="Q2734" s="335"/>
      <c r="R2734" s="1158"/>
      <c r="S2734" s="291"/>
      <c r="T2734" s="291"/>
      <c r="U2734" s="291"/>
      <c r="V2734" s="291"/>
    </row>
    <row r="2735" spans="1:22" s="515" customFormat="1" ht="27" customHeight="1">
      <c r="A2735" s="331">
        <v>391</v>
      </c>
      <c r="B2735" s="506" t="s">
        <v>2221</v>
      </c>
      <c r="C2735" s="584" t="s">
        <v>2546</v>
      </c>
      <c r="D2735" s="1370">
        <v>1819</v>
      </c>
      <c r="E2735" s="475"/>
      <c r="F2735" s="1139"/>
      <c r="G2735" s="386"/>
      <c r="H2735" s="363"/>
      <c r="I2735" s="397"/>
      <c r="J2735" s="335"/>
      <c r="K2735" s="374">
        <f t="shared" si="111"/>
        <v>0</v>
      </c>
      <c r="L2735" s="338">
        <f t="shared" si="112"/>
        <v>0</v>
      </c>
      <c r="M2735" s="338"/>
      <c r="N2735" s="335"/>
      <c r="O2735" s="335"/>
      <c r="P2735" s="335"/>
      <c r="Q2735" s="335"/>
      <c r="R2735" s="1158"/>
      <c r="S2735" s="291"/>
      <c r="T2735" s="291"/>
      <c r="U2735" s="291"/>
      <c r="V2735" s="291"/>
    </row>
    <row r="2736" spans="1:22" s="515" customFormat="1" ht="27" customHeight="1">
      <c r="A2736" s="331">
        <v>392</v>
      </c>
      <c r="B2736" s="506" t="s">
        <v>2124</v>
      </c>
      <c r="C2736" s="584" t="s">
        <v>2547</v>
      </c>
      <c r="D2736" s="1370">
        <v>1819</v>
      </c>
      <c r="E2736" s="475"/>
      <c r="F2736" s="1139"/>
      <c r="G2736" s="386"/>
      <c r="H2736" s="363"/>
      <c r="I2736" s="397"/>
      <c r="J2736" s="335"/>
      <c r="K2736" s="374">
        <f t="shared" si="111"/>
        <v>0</v>
      </c>
      <c r="L2736" s="338">
        <f t="shared" si="112"/>
        <v>0</v>
      </c>
      <c r="M2736" s="338"/>
      <c r="N2736" s="335"/>
      <c r="O2736" s="335"/>
      <c r="P2736" s="335"/>
      <c r="Q2736" s="335"/>
      <c r="R2736" s="1158"/>
      <c r="S2736" s="291"/>
      <c r="T2736" s="291"/>
      <c r="U2736" s="291"/>
      <c r="V2736" s="291"/>
    </row>
    <row r="2737" spans="1:22" s="515" customFormat="1" ht="27" customHeight="1">
      <c r="A2737" s="331">
        <v>393</v>
      </c>
      <c r="B2737" s="506" t="s">
        <v>2221</v>
      </c>
      <c r="C2737" s="584" t="s">
        <v>2548</v>
      </c>
      <c r="D2737" s="1370">
        <v>1819</v>
      </c>
      <c r="E2737" s="475"/>
      <c r="F2737" s="1139"/>
      <c r="G2737" s="386"/>
      <c r="H2737" s="363"/>
      <c r="I2737" s="397"/>
      <c r="J2737" s="335"/>
      <c r="K2737" s="374">
        <f t="shared" si="111"/>
        <v>0</v>
      </c>
      <c r="L2737" s="338">
        <f t="shared" si="112"/>
        <v>0</v>
      </c>
      <c r="M2737" s="338"/>
      <c r="N2737" s="335"/>
      <c r="O2737" s="335"/>
      <c r="P2737" s="335"/>
      <c r="Q2737" s="335"/>
      <c r="R2737" s="1158"/>
      <c r="S2737" s="291"/>
      <c r="T2737" s="291"/>
      <c r="U2737" s="291"/>
      <c r="V2737" s="291"/>
    </row>
    <row r="2738" spans="1:22" s="515" customFormat="1" ht="27" customHeight="1">
      <c r="A2738" s="331">
        <v>394</v>
      </c>
      <c r="B2738" s="506" t="s">
        <v>2124</v>
      </c>
      <c r="C2738" s="584" t="s">
        <v>2549</v>
      </c>
      <c r="D2738" s="1370">
        <v>1819</v>
      </c>
      <c r="E2738" s="475"/>
      <c r="F2738" s="1139"/>
      <c r="G2738" s="386"/>
      <c r="H2738" s="363"/>
      <c r="I2738" s="397"/>
      <c r="J2738" s="335"/>
      <c r="K2738" s="374">
        <f t="shared" si="111"/>
        <v>0</v>
      </c>
      <c r="L2738" s="338">
        <f t="shared" si="112"/>
        <v>0</v>
      </c>
      <c r="M2738" s="338"/>
      <c r="N2738" s="335"/>
      <c r="O2738" s="335"/>
      <c r="P2738" s="335"/>
      <c r="Q2738" s="335"/>
      <c r="R2738" s="1158"/>
      <c r="S2738" s="291"/>
      <c r="T2738" s="291"/>
      <c r="U2738" s="291"/>
      <c r="V2738" s="291"/>
    </row>
    <row r="2739" spans="1:22" s="515" customFormat="1" ht="27" customHeight="1">
      <c r="A2739" s="331">
        <v>395</v>
      </c>
      <c r="B2739" s="506" t="s">
        <v>2229</v>
      </c>
      <c r="C2739" s="584" t="s">
        <v>2550</v>
      </c>
      <c r="D2739" s="1370">
        <v>1819</v>
      </c>
      <c r="E2739" s="475"/>
      <c r="F2739" s="1139"/>
      <c r="G2739" s="386"/>
      <c r="H2739" s="363"/>
      <c r="I2739" s="397"/>
      <c r="J2739" s="335"/>
      <c r="K2739" s="374">
        <f t="shared" si="111"/>
        <v>0</v>
      </c>
      <c r="L2739" s="338">
        <f t="shared" si="112"/>
        <v>0</v>
      </c>
      <c r="M2739" s="338"/>
      <c r="N2739" s="335"/>
      <c r="O2739" s="335"/>
      <c r="P2739" s="335"/>
      <c r="Q2739" s="335"/>
      <c r="R2739" s="1158"/>
      <c r="S2739" s="291"/>
      <c r="T2739" s="291"/>
      <c r="U2739" s="291"/>
      <c r="V2739" s="291"/>
    </row>
    <row r="2740" spans="1:22" s="515" customFormat="1" ht="27" customHeight="1">
      <c r="A2740" s="331">
        <v>396</v>
      </c>
      <c r="B2740" s="506" t="s">
        <v>2229</v>
      </c>
      <c r="C2740" s="584" t="s">
        <v>2551</v>
      </c>
      <c r="D2740" s="1370">
        <v>1819</v>
      </c>
      <c r="E2740" s="475"/>
      <c r="F2740" s="1139"/>
      <c r="G2740" s="386"/>
      <c r="H2740" s="363"/>
      <c r="I2740" s="397"/>
      <c r="J2740" s="335"/>
      <c r="K2740" s="374">
        <f t="shared" si="111"/>
        <v>0</v>
      </c>
      <c r="L2740" s="338">
        <f t="shared" si="112"/>
        <v>0</v>
      </c>
      <c r="M2740" s="338"/>
      <c r="N2740" s="335"/>
      <c r="O2740" s="335"/>
      <c r="P2740" s="335"/>
      <c r="Q2740" s="335"/>
      <c r="R2740" s="1158"/>
      <c r="S2740" s="291"/>
      <c r="T2740" s="291"/>
      <c r="U2740" s="291"/>
      <c r="V2740" s="291"/>
    </row>
    <row r="2741" spans="1:22" s="515" customFormat="1" ht="27" customHeight="1">
      <c r="A2741" s="331">
        <v>397</v>
      </c>
      <c r="B2741" s="506" t="s">
        <v>2268</v>
      </c>
      <c r="C2741" s="584" t="s">
        <v>2552</v>
      </c>
      <c r="D2741" s="1368">
        <v>1819</v>
      </c>
      <c r="E2741" s="475"/>
      <c r="F2741" s="1139"/>
      <c r="G2741" s="386"/>
      <c r="H2741" s="363"/>
      <c r="I2741" s="397"/>
      <c r="J2741" s="335"/>
      <c r="K2741" s="374">
        <f t="shared" si="111"/>
        <v>0</v>
      </c>
      <c r="L2741" s="338">
        <f t="shared" si="112"/>
        <v>0</v>
      </c>
      <c r="M2741" s="338"/>
      <c r="N2741" s="335"/>
      <c r="O2741" s="335"/>
      <c r="P2741" s="335"/>
      <c r="Q2741" s="335"/>
      <c r="R2741" s="1158"/>
      <c r="S2741" s="291"/>
      <c r="T2741" s="291"/>
      <c r="U2741" s="291"/>
      <c r="V2741" s="291"/>
    </row>
    <row r="2742" spans="1:22" s="515" customFormat="1" ht="27" customHeight="1">
      <c r="A2742" s="331">
        <v>398</v>
      </c>
      <c r="B2742" s="506" t="s">
        <v>2124</v>
      </c>
      <c r="C2742" s="584" t="s">
        <v>2553</v>
      </c>
      <c r="D2742" s="1368">
        <v>1819</v>
      </c>
      <c r="E2742" s="475"/>
      <c r="F2742" s="1139"/>
      <c r="G2742" s="386"/>
      <c r="H2742" s="363"/>
      <c r="I2742" s="397"/>
      <c r="J2742" s="335"/>
      <c r="K2742" s="374">
        <f t="shared" si="111"/>
        <v>0</v>
      </c>
      <c r="L2742" s="338">
        <f t="shared" si="112"/>
        <v>0</v>
      </c>
      <c r="M2742" s="338"/>
      <c r="N2742" s="335"/>
      <c r="O2742" s="335"/>
      <c r="P2742" s="335"/>
      <c r="Q2742" s="335"/>
      <c r="R2742" s="1158"/>
      <c r="S2742" s="291"/>
      <c r="T2742" s="291"/>
      <c r="U2742" s="291"/>
      <c r="V2742" s="291"/>
    </row>
    <row r="2743" spans="1:22" s="515" customFormat="1" ht="27" customHeight="1">
      <c r="A2743" s="331">
        <v>399</v>
      </c>
      <c r="B2743" s="506" t="s">
        <v>2716</v>
      </c>
      <c r="C2743" s="584" t="s">
        <v>2607</v>
      </c>
      <c r="D2743" s="1370">
        <v>1819</v>
      </c>
      <c r="E2743" s="475"/>
      <c r="F2743" s="1139"/>
      <c r="G2743" s="386"/>
      <c r="H2743" s="363"/>
      <c r="I2743" s="397"/>
      <c r="J2743" s="335"/>
      <c r="K2743" s="374">
        <f t="shared" si="111"/>
        <v>0</v>
      </c>
      <c r="L2743" s="338">
        <f t="shared" si="112"/>
        <v>0</v>
      </c>
      <c r="M2743" s="338"/>
      <c r="N2743" s="335"/>
      <c r="O2743" s="335"/>
      <c r="P2743" s="335"/>
      <c r="Q2743" s="335"/>
      <c r="R2743" s="1158"/>
      <c r="S2743" s="291"/>
      <c r="T2743" s="291"/>
      <c r="U2743" s="291"/>
      <c r="V2743" s="291"/>
    </row>
    <row r="2744" spans="1:22" s="515" customFormat="1" ht="27" customHeight="1">
      <c r="A2744" s="331">
        <v>400</v>
      </c>
      <c r="B2744" s="506" t="s">
        <v>2124</v>
      </c>
      <c r="C2744" s="584" t="s">
        <v>2554</v>
      </c>
      <c r="D2744" s="1370">
        <v>1819</v>
      </c>
      <c r="E2744" s="475"/>
      <c r="F2744" s="1139"/>
      <c r="G2744" s="386"/>
      <c r="H2744" s="363"/>
      <c r="I2744" s="397"/>
      <c r="J2744" s="335"/>
      <c r="K2744" s="374">
        <f t="shared" si="111"/>
        <v>0</v>
      </c>
      <c r="L2744" s="338">
        <f t="shared" si="112"/>
        <v>0</v>
      </c>
      <c r="M2744" s="338"/>
      <c r="N2744" s="335"/>
      <c r="O2744" s="335"/>
      <c r="P2744" s="335"/>
      <c r="Q2744" s="335"/>
      <c r="R2744" s="1158"/>
      <c r="S2744" s="291"/>
      <c r="T2744" s="291"/>
      <c r="U2744" s="291"/>
      <c r="V2744" s="291"/>
    </row>
    <row r="2745" spans="1:22" s="515" customFormat="1" ht="27" customHeight="1">
      <c r="A2745" s="331">
        <v>401</v>
      </c>
      <c r="B2745" s="506" t="s">
        <v>2124</v>
      </c>
      <c r="C2745" s="584" t="s">
        <v>2556</v>
      </c>
      <c r="D2745" s="1368">
        <v>1819</v>
      </c>
      <c r="E2745" s="475"/>
      <c r="F2745" s="1139"/>
      <c r="G2745" s="386"/>
      <c r="H2745" s="363"/>
      <c r="I2745" s="397"/>
      <c r="J2745" s="335"/>
      <c r="K2745" s="374">
        <f t="shared" si="111"/>
        <v>0</v>
      </c>
      <c r="L2745" s="338">
        <f t="shared" si="112"/>
        <v>0</v>
      </c>
      <c r="M2745" s="338"/>
      <c r="N2745" s="335"/>
      <c r="O2745" s="335"/>
      <c r="P2745" s="335"/>
      <c r="Q2745" s="335"/>
      <c r="R2745" s="1158"/>
      <c r="S2745" s="291"/>
      <c r="T2745" s="291"/>
      <c r="U2745" s="291"/>
      <c r="V2745" s="291"/>
    </row>
    <row r="2746" spans="1:22" s="515" customFormat="1" ht="27" customHeight="1">
      <c r="A2746" s="331">
        <v>402</v>
      </c>
      <c r="B2746" s="506" t="s">
        <v>2124</v>
      </c>
      <c r="C2746" s="584" t="s">
        <v>2557</v>
      </c>
      <c r="D2746" s="1368">
        <v>1819</v>
      </c>
      <c r="E2746" s="475"/>
      <c r="F2746" s="1139"/>
      <c r="G2746" s="386"/>
      <c r="H2746" s="363"/>
      <c r="I2746" s="397"/>
      <c r="J2746" s="335"/>
      <c r="K2746" s="374">
        <f t="shared" si="111"/>
        <v>0</v>
      </c>
      <c r="L2746" s="338">
        <f t="shared" si="112"/>
        <v>0</v>
      </c>
      <c r="M2746" s="338"/>
      <c r="N2746" s="335"/>
      <c r="O2746" s="335"/>
      <c r="P2746" s="335"/>
      <c r="Q2746" s="335"/>
      <c r="R2746" s="1158"/>
      <c r="S2746" s="291"/>
      <c r="T2746" s="291"/>
      <c r="U2746" s="291"/>
      <c r="V2746" s="291"/>
    </row>
    <row r="2747" spans="1:22" s="515" customFormat="1" ht="27" customHeight="1">
      <c r="A2747" s="331">
        <v>403</v>
      </c>
      <c r="B2747" s="506" t="s">
        <v>2124</v>
      </c>
      <c r="C2747" s="584" t="s">
        <v>2558</v>
      </c>
      <c r="D2747" s="1370">
        <v>1819</v>
      </c>
      <c r="E2747" s="475"/>
      <c r="F2747" s="1139"/>
      <c r="G2747" s="386"/>
      <c r="H2747" s="363"/>
      <c r="I2747" s="397"/>
      <c r="J2747" s="335"/>
      <c r="K2747" s="374">
        <f t="shared" ref="K2747:K2810" si="113">G2747*11.54/100</f>
        <v>0</v>
      </c>
      <c r="L2747" s="338">
        <f t="shared" si="112"/>
        <v>0</v>
      </c>
      <c r="M2747" s="338"/>
      <c r="N2747" s="335"/>
      <c r="O2747" s="335"/>
      <c r="P2747" s="335"/>
      <c r="Q2747" s="335"/>
      <c r="R2747" s="1158"/>
      <c r="S2747" s="291"/>
      <c r="T2747" s="291"/>
      <c r="U2747" s="291"/>
      <c r="V2747" s="291"/>
    </row>
    <row r="2748" spans="1:22" s="515" customFormat="1" ht="27" customHeight="1">
      <c r="A2748" s="331">
        <v>404</v>
      </c>
      <c r="B2748" s="506" t="s">
        <v>2124</v>
      </c>
      <c r="C2748" s="584" t="s">
        <v>2559</v>
      </c>
      <c r="D2748" s="1370">
        <v>1819</v>
      </c>
      <c r="E2748" s="475"/>
      <c r="F2748" s="1139"/>
      <c r="G2748" s="386"/>
      <c r="H2748" s="363"/>
      <c r="I2748" s="397"/>
      <c r="J2748" s="335"/>
      <c r="K2748" s="374">
        <f t="shared" si="113"/>
        <v>0</v>
      </c>
      <c r="L2748" s="338">
        <f t="shared" si="112"/>
        <v>0</v>
      </c>
      <c r="M2748" s="338"/>
      <c r="N2748" s="335"/>
      <c r="O2748" s="335"/>
      <c r="P2748" s="335"/>
      <c r="Q2748" s="335"/>
      <c r="R2748" s="1158"/>
      <c r="S2748" s="291"/>
      <c r="T2748" s="291"/>
      <c r="U2748" s="291"/>
      <c r="V2748" s="291"/>
    </row>
    <row r="2749" spans="1:22" s="515" customFormat="1" ht="27" customHeight="1">
      <c r="A2749" s="331">
        <v>405</v>
      </c>
      <c r="B2749" s="506" t="s">
        <v>2229</v>
      </c>
      <c r="C2749" s="584" t="s">
        <v>2560</v>
      </c>
      <c r="D2749" s="1370">
        <v>1819</v>
      </c>
      <c r="E2749" s="475"/>
      <c r="F2749" s="1139"/>
      <c r="G2749" s="386"/>
      <c r="H2749" s="363"/>
      <c r="I2749" s="397"/>
      <c r="J2749" s="335"/>
      <c r="K2749" s="374">
        <f t="shared" si="113"/>
        <v>0</v>
      </c>
      <c r="L2749" s="338">
        <f t="shared" si="112"/>
        <v>0</v>
      </c>
      <c r="M2749" s="338"/>
      <c r="N2749" s="335"/>
      <c r="O2749" s="335"/>
      <c r="P2749" s="335"/>
      <c r="Q2749" s="335"/>
      <c r="R2749" s="1158"/>
      <c r="S2749" s="291"/>
      <c r="T2749" s="291"/>
      <c r="U2749" s="291"/>
      <c r="V2749" s="291"/>
    </row>
    <row r="2750" spans="1:22" s="515" customFormat="1" ht="27" customHeight="1">
      <c r="A2750" s="331">
        <v>406</v>
      </c>
      <c r="B2750" s="506" t="s">
        <v>2229</v>
      </c>
      <c r="C2750" s="584" t="s">
        <v>2561</v>
      </c>
      <c r="D2750" s="1370">
        <v>1819</v>
      </c>
      <c r="E2750" s="475"/>
      <c r="F2750" s="1139"/>
      <c r="G2750" s="386"/>
      <c r="H2750" s="363"/>
      <c r="I2750" s="397"/>
      <c r="J2750" s="335"/>
      <c r="K2750" s="374">
        <f t="shared" si="113"/>
        <v>0</v>
      </c>
      <c r="L2750" s="338">
        <f t="shared" si="112"/>
        <v>0</v>
      </c>
      <c r="M2750" s="338"/>
      <c r="N2750" s="335"/>
      <c r="O2750" s="335"/>
      <c r="P2750" s="335"/>
      <c r="Q2750" s="335"/>
      <c r="R2750" s="1158"/>
      <c r="S2750" s="291"/>
      <c r="T2750" s="291"/>
      <c r="U2750" s="291"/>
      <c r="V2750" s="291"/>
    </row>
    <row r="2751" spans="1:22" s="515" customFormat="1" ht="27" customHeight="1">
      <c r="A2751" s="331">
        <v>407</v>
      </c>
      <c r="B2751" s="506" t="s">
        <v>2268</v>
      </c>
      <c r="C2751" s="584" t="s">
        <v>3647</v>
      </c>
      <c r="D2751" s="1370">
        <v>535</v>
      </c>
      <c r="E2751" s="475"/>
      <c r="F2751" s="1139"/>
      <c r="G2751" s="386"/>
      <c r="H2751" s="363"/>
      <c r="I2751" s="397"/>
      <c r="J2751" s="335"/>
      <c r="K2751" s="374">
        <f t="shared" si="113"/>
        <v>0</v>
      </c>
      <c r="L2751" s="338">
        <f t="shared" si="112"/>
        <v>0</v>
      </c>
      <c r="M2751" s="338"/>
      <c r="N2751" s="335"/>
      <c r="O2751" s="335"/>
      <c r="P2751" s="335"/>
      <c r="Q2751" s="335"/>
      <c r="R2751" s="1158"/>
      <c r="S2751" s="291"/>
      <c r="T2751" s="291"/>
      <c r="U2751" s="291"/>
      <c r="V2751" s="291"/>
    </row>
    <row r="2752" spans="1:22" s="515" customFormat="1" ht="27" customHeight="1">
      <c r="A2752" s="331">
        <v>408</v>
      </c>
      <c r="B2752" s="506" t="s">
        <v>2268</v>
      </c>
      <c r="C2752" s="584" t="s">
        <v>3648</v>
      </c>
      <c r="D2752" s="1370">
        <v>535</v>
      </c>
      <c r="E2752" s="475"/>
      <c r="F2752" s="1139"/>
      <c r="G2752" s="386"/>
      <c r="H2752" s="363"/>
      <c r="I2752" s="397"/>
      <c r="J2752" s="335"/>
      <c r="K2752" s="374">
        <f t="shared" si="113"/>
        <v>0</v>
      </c>
      <c r="L2752" s="338">
        <f t="shared" si="112"/>
        <v>0</v>
      </c>
      <c r="M2752" s="338"/>
      <c r="N2752" s="335"/>
      <c r="O2752" s="335"/>
      <c r="P2752" s="335"/>
      <c r="Q2752" s="335"/>
      <c r="R2752" s="1158"/>
      <c r="S2752" s="291"/>
      <c r="T2752" s="291"/>
      <c r="U2752" s="291"/>
      <c r="V2752" s="291"/>
    </row>
    <row r="2753" spans="1:22" s="515" customFormat="1" ht="27" customHeight="1">
      <c r="A2753" s="331">
        <v>409</v>
      </c>
      <c r="B2753" s="506" t="s">
        <v>2230</v>
      </c>
      <c r="C2753" s="584" t="s">
        <v>2562</v>
      </c>
      <c r="D2753" s="1370">
        <v>1819</v>
      </c>
      <c r="E2753" s="475"/>
      <c r="F2753" s="1139"/>
      <c r="G2753" s="386"/>
      <c r="H2753" s="363"/>
      <c r="I2753" s="397"/>
      <c r="J2753" s="335"/>
      <c r="K2753" s="374">
        <f t="shared" si="113"/>
        <v>0</v>
      </c>
      <c r="L2753" s="338">
        <f t="shared" si="112"/>
        <v>0</v>
      </c>
      <c r="M2753" s="338"/>
      <c r="N2753" s="335"/>
      <c r="O2753" s="335"/>
      <c r="P2753" s="335"/>
      <c r="Q2753" s="335"/>
      <c r="R2753" s="1158"/>
      <c r="S2753" s="291"/>
      <c r="T2753" s="291"/>
      <c r="U2753" s="291"/>
      <c r="V2753" s="291"/>
    </row>
    <row r="2754" spans="1:22" s="515" customFormat="1" ht="27" customHeight="1">
      <c r="A2754" s="331">
        <v>410</v>
      </c>
      <c r="B2754" s="506" t="s">
        <v>2555</v>
      </c>
      <c r="C2754" s="584" t="s">
        <v>2563</v>
      </c>
      <c r="D2754" s="1370">
        <v>1819</v>
      </c>
      <c r="E2754" s="475"/>
      <c r="F2754" s="1139"/>
      <c r="G2754" s="386"/>
      <c r="H2754" s="363"/>
      <c r="I2754" s="397"/>
      <c r="J2754" s="335"/>
      <c r="K2754" s="374">
        <f t="shared" si="113"/>
        <v>0</v>
      </c>
      <c r="L2754" s="338">
        <f t="shared" si="112"/>
        <v>0</v>
      </c>
      <c r="M2754" s="338"/>
      <c r="N2754" s="335"/>
      <c r="O2754" s="335"/>
      <c r="P2754" s="335"/>
      <c r="Q2754" s="335"/>
      <c r="R2754" s="1158"/>
      <c r="S2754" s="291"/>
      <c r="T2754" s="291"/>
      <c r="U2754" s="291"/>
      <c r="V2754" s="291"/>
    </row>
    <row r="2755" spans="1:22" s="515" customFormat="1" ht="27" customHeight="1">
      <c r="A2755" s="331">
        <v>411</v>
      </c>
      <c r="B2755" s="506" t="s">
        <v>2231</v>
      </c>
      <c r="C2755" s="584" t="s">
        <v>2564</v>
      </c>
      <c r="D2755" s="1370">
        <v>1819</v>
      </c>
      <c r="E2755" s="475"/>
      <c r="F2755" s="1139"/>
      <c r="G2755" s="386"/>
      <c r="H2755" s="363"/>
      <c r="I2755" s="397"/>
      <c r="J2755" s="335"/>
      <c r="K2755" s="374">
        <f t="shared" si="113"/>
        <v>0</v>
      </c>
      <c r="L2755" s="338">
        <f t="shared" si="112"/>
        <v>0</v>
      </c>
      <c r="M2755" s="338"/>
      <c r="N2755" s="335"/>
      <c r="O2755" s="335"/>
      <c r="P2755" s="335"/>
      <c r="Q2755" s="335"/>
      <c r="R2755" s="1158"/>
      <c r="S2755" s="291"/>
      <c r="T2755" s="291"/>
      <c r="U2755" s="291"/>
      <c r="V2755" s="291"/>
    </row>
    <row r="2756" spans="1:22" s="515" customFormat="1" ht="27" customHeight="1">
      <c r="A2756" s="331">
        <v>412</v>
      </c>
      <c r="B2756" s="506" t="s">
        <v>2717</v>
      </c>
      <c r="C2756" s="584" t="s">
        <v>2565</v>
      </c>
      <c r="D2756" s="1370">
        <v>1819</v>
      </c>
      <c r="E2756" s="475"/>
      <c r="F2756" s="1139"/>
      <c r="G2756" s="386"/>
      <c r="H2756" s="363"/>
      <c r="I2756" s="397"/>
      <c r="J2756" s="335"/>
      <c r="K2756" s="374">
        <f t="shared" si="113"/>
        <v>0</v>
      </c>
      <c r="L2756" s="338">
        <f t="shared" si="112"/>
        <v>0</v>
      </c>
      <c r="M2756" s="338"/>
      <c r="N2756" s="335"/>
      <c r="O2756" s="335"/>
      <c r="P2756" s="335"/>
      <c r="Q2756" s="335"/>
      <c r="R2756" s="1158"/>
      <c r="S2756" s="291"/>
      <c r="T2756" s="291"/>
      <c r="U2756" s="291"/>
      <c r="V2756" s="291"/>
    </row>
    <row r="2757" spans="1:22" s="515" customFormat="1" ht="27" customHeight="1">
      <c r="A2757" s="331">
        <v>413</v>
      </c>
      <c r="B2757" s="506" t="s">
        <v>2717</v>
      </c>
      <c r="C2757" s="584" t="s">
        <v>2566</v>
      </c>
      <c r="D2757" s="1370">
        <v>1819</v>
      </c>
      <c r="E2757" s="475"/>
      <c r="F2757" s="1139"/>
      <c r="G2757" s="386"/>
      <c r="H2757" s="363"/>
      <c r="I2757" s="397"/>
      <c r="J2757" s="335"/>
      <c r="K2757" s="374">
        <f t="shared" si="113"/>
        <v>0</v>
      </c>
      <c r="L2757" s="338">
        <f t="shared" si="112"/>
        <v>0</v>
      </c>
      <c r="M2757" s="338"/>
      <c r="N2757" s="335"/>
      <c r="O2757" s="335"/>
      <c r="P2757" s="335"/>
      <c r="Q2757" s="335"/>
      <c r="R2757" s="1158"/>
      <c r="S2757" s="291"/>
      <c r="T2757" s="291"/>
      <c r="U2757" s="291"/>
      <c r="V2757" s="291"/>
    </row>
    <row r="2758" spans="1:22" s="515" customFormat="1" ht="27" customHeight="1">
      <c r="A2758" s="331">
        <v>414</v>
      </c>
      <c r="B2758" s="506" t="s">
        <v>2717</v>
      </c>
      <c r="C2758" s="584" t="s">
        <v>2567</v>
      </c>
      <c r="D2758" s="1370">
        <v>1819</v>
      </c>
      <c r="E2758" s="475"/>
      <c r="F2758" s="1139"/>
      <c r="G2758" s="386"/>
      <c r="H2758" s="363"/>
      <c r="I2758" s="397"/>
      <c r="J2758" s="335"/>
      <c r="K2758" s="374">
        <f t="shared" si="113"/>
        <v>0</v>
      </c>
      <c r="L2758" s="338">
        <f t="shared" si="112"/>
        <v>0</v>
      </c>
      <c r="M2758" s="338"/>
      <c r="N2758" s="335"/>
      <c r="O2758" s="335"/>
      <c r="P2758" s="335"/>
      <c r="Q2758" s="335"/>
      <c r="R2758" s="1158"/>
      <c r="S2758" s="291"/>
      <c r="T2758" s="291"/>
      <c r="U2758" s="291"/>
      <c r="V2758" s="291"/>
    </row>
    <row r="2759" spans="1:22" s="515" customFormat="1" ht="27" customHeight="1">
      <c r="A2759" s="331">
        <v>415</v>
      </c>
      <c r="B2759" s="506" t="s">
        <v>2237</v>
      </c>
      <c r="C2759" s="584" t="s">
        <v>2568</v>
      </c>
      <c r="D2759" s="1370">
        <v>1926</v>
      </c>
      <c r="E2759" s="475"/>
      <c r="F2759" s="1139"/>
      <c r="G2759" s="386"/>
      <c r="H2759" s="363"/>
      <c r="I2759" s="397"/>
      <c r="J2759" s="335"/>
      <c r="K2759" s="374">
        <f t="shared" si="113"/>
        <v>0</v>
      </c>
      <c r="L2759" s="338">
        <f t="shared" si="112"/>
        <v>0</v>
      </c>
      <c r="M2759" s="338"/>
      <c r="N2759" s="335"/>
      <c r="O2759" s="335"/>
      <c r="P2759" s="335"/>
      <c r="Q2759" s="335"/>
      <c r="R2759" s="1158"/>
      <c r="S2759" s="291"/>
      <c r="T2759" s="291"/>
      <c r="U2759" s="291"/>
      <c r="V2759" s="291"/>
    </row>
    <row r="2760" spans="1:22" s="515" customFormat="1" ht="27" customHeight="1">
      <c r="A2760" s="331">
        <v>416</v>
      </c>
      <c r="B2760" s="506" t="s">
        <v>2237</v>
      </c>
      <c r="C2760" s="584" t="s">
        <v>2569</v>
      </c>
      <c r="D2760" s="1370">
        <v>1819</v>
      </c>
      <c r="E2760" s="475"/>
      <c r="F2760" s="1139"/>
      <c r="G2760" s="386"/>
      <c r="H2760" s="363"/>
      <c r="I2760" s="397"/>
      <c r="J2760" s="335"/>
      <c r="K2760" s="374">
        <f t="shared" si="113"/>
        <v>0</v>
      </c>
      <c r="L2760" s="338">
        <f t="shared" si="112"/>
        <v>0</v>
      </c>
      <c r="M2760" s="338"/>
      <c r="N2760" s="335"/>
      <c r="O2760" s="335"/>
      <c r="P2760" s="335"/>
      <c r="Q2760" s="335"/>
      <c r="R2760" s="1158"/>
      <c r="S2760" s="291"/>
      <c r="T2760" s="291"/>
      <c r="U2760" s="291"/>
      <c r="V2760" s="291"/>
    </row>
    <row r="2761" spans="1:22" s="515" customFormat="1" ht="27" customHeight="1">
      <c r="A2761" s="331">
        <v>417</v>
      </c>
      <c r="B2761" s="506" t="s">
        <v>2237</v>
      </c>
      <c r="C2761" s="584" t="s">
        <v>2570</v>
      </c>
      <c r="D2761" s="1370">
        <v>1819</v>
      </c>
      <c r="E2761" s="475"/>
      <c r="F2761" s="1139"/>
      <c r="G2761" s="386"/>
      <c r="H2761" s="363"/>
      <c r="I2761" s="397"/>
      <c r="J2761" s="335"/>
      <c r="K2761" s="374">
        <f t="shared" si="113"/>
        <v>0</v>
      </c>
      <c r="L2761" s="338">
        <f t="shared" si="112"/>
        <v>0</v>
      </c>
      <c r="M2761" s="338"/>
      <c r="N2761" s="335"/>
      <c r="O2761" s="335"/>
      <c r="P2761" s="335"/>
      <c r="Q2761" s="335"/>
      <c r="R2761" s="1158"/>
      <c r="S2761" s="291"/>
      <c r="T2761" s="291"/>
      <c r="U2761" s="291"/>
      <c r="V2761" s="291"/>
    </row>
    <row r="2762" spans="1:22" s="515" customFormat="1" ht="27" customHeight="1">
      <c r="A2762" s="331">
        <v>418</v>
      </c>
      <c r="B2762" s="506" t="s">
        <v>2237</v>
      </c>
      <c r="C2762" s="584" t="s">
        <v>2571</v>
      </c>
      <c r="D2762" s="1370">
        <v>1819</v>
      </c>
      <c r="E2762" s="475"/>
      <c r="F2762" s="1139"/>
      <c r="G2762" s="386"/>
      <c r="H2762" s="363"/>
      <c r="I2762" s="397"/>
      <c r="J2762" s="335"/>
      <c r="K2762" s="374">
        <f t="shared" si="113"/>
        <v>0</v>
      </c>
      <c r="L2762" s="338">
        <f t="shared" si="112"/>
        <v>0</v>
      </c>
      <c r="M2762" s="338"/>
      <c r="N2762" s="335"/>
      <c r="O2762" s="335"/>
      <c r="P2762" s="335"/>
      <c r="Q2762" s="335"/>
      <c r="R2762" s="1158"/>
      <c r="S2762" s="291"/>
      <c r="T2762" s="291"/>
      <c r="U2762" s="291"/>
      <c r="V2762" s="291"/>
    </row>
    <row r="2763" spans="1:22" s="515" customFormat="1" ht="27" customHeight="1">
      <c r="A2763" s="331">
        <v>419</v>
      </c>
      <c r="B2763" s="506" t="s">
        <v>2239</v>
      </c>
      <c r="C2763" s="584" t="s">
        <v>2572</v>
      </c>
      <c r="D2763" s="1377">
        <v>1819</v>
      </c>
      <c r="E2763" s="475"/>
      <c r="F2763" s="1139"/>
      <c r="G2763" s="386"/>
      <c r="H2763" s="363"/>
      <c r="I2763" s="397"/>
      <c r="J2763" s="335"/>
      <c r="K2763" s="374">
        <f t="shared" si="113"/>
        <v>0</v>
      </c>
      <c r="L2763" s="338">
        <f t="shared" si="112"/>
        <v>0</v>
      </c>
      <c r="M2763" s="338"/>
      <c r="N2763" s="335"/>
      <c r="O2763" s="335"/>
      <c r="P2763" s="335"/>
      <c r="Q2763" s="335"/>
      <c r="R2763" s="1158"/>
      <c r="S2763" s="291"/>
      <c r="T2763" s="291"/>
      <c r="U2763" s="291"/>
      <c r="V2763" s="291"/>
    </row>
    <row r="2764" spans="1:22" s="515" customFormat="1" ht="27" customHeight="1">
      <c r="A2764" s="331">
        <v>420</v>
      </c>
      <c r="B2764" s="506" t="s">
        <v>2237</v>
      </c>
      <c r="C2764" s="584" t="s">
        <v>2573</v>
      </c>
      <c r="D2764" s="1377">
        <v>1819</v>
      </c>
      <c r="E2764" s="475"/>
      <c r="F2764" s="1139"/>
      <c r="G2764" s="386"/>
      <c r="H2764" s="363"/>
      <c r="I2764" s="397"/>
      <c r="J2764" s="335"/>
      <c r="K2764" s="374">
        <f t="shared" si="113"/>
        <v>0</v>
      </c>
      <c r="L2764" s="338">
        <f t="shared" si="112"/>
        <v>0</v>
      </c>
      <c r="M2764" s="338"/>
      <c r="N2764" s="335"/>
      <c r="O2764" s="335"/>
      <c r="P2764" s="335"/>
      <c r="Q2764" s="335"/>
      <c r="R2764" s="1158"/>
      <c r="S2764" s="291"/>
      <c r="T2764" s="291"/>
      <c r="U2764" s="291"/>
      <c r="V2764" s="291"/>
    </row>
    <row r="2765" spans="1:22" s="515" customFormat="1" ht="27" customHeight="1">
      <c r="A2765" s="331">
        <v>421</v>
      </c>
      <c r="B2765" s="506" t="s">
        <v>2238</v>
      </c>
      <c r="C2765" s="584" t="s">
        <v>2574</v>
      </c>
      <c r="D2765" s="1377">
        <v>1819</v>
      </c>
      <c r="E2765" s="475"/>
      <c r="F2765" s="1139"/>
      <c r="G2765" s="386"/>
      <c r="H2765" s="363"/>
      <c r="I2765" s="397"/>
      <c r="J2765" s="335"/>
      <c r="K2765" s="374">
        <f t="shared" si="113"/>
        <v>0</v>
      </c>
      <c r="L2765" s="338">
        <f t="shared" si="112"/>
        <v>0</v>
      </c>
      <c r="M2765" s="338"/>
      <c r="N2765" s="335"/>
      <c r="O2765" s="335"/>
      <c r="P2765" s="335"/>
      <c r="Q2765" s="335"/>
      <c r="R2765" s="1158"/>
      <c r="S2765" s="291"/>
      <c r="T2765" s="291"/>
      <c r="U2765" s="291"/>
      <c r="V2765" s="291"/>
    </row>
    <row r="2766" spans="1:22" s="515" customFormat="1" ht="27" customHeight="1">
      <c r="A2766" s="331">
        <v>422</v>
      </c>
      <c r="B2766" s="506" t="s">
        <v>2240</v>
      </c>
      <c r="C2766" s="584" t="s">
        <v>2575</v>
      </c>
      <c r="D2766" s="1377">
        <v>1819</v>
      </c>
      <c r="E2766" s="475"/>
      <c r="F2766" s="1139"/>
      <c r="G2766" s="386"/>
      <c r="H2766" s="363"/>
      <c r="I2766" s="397"/>
      <c r="J2766" s="335"/>
      <c r="K2766" s="374">
        <f t="shared" si="113"/>
        <v>0</v>
      </c>
      <c r="L2766" s="338">
        <f t="shared" si="112"/>
        <v>0</v>
      </c>
      <c r="M2766" s="338"/>
      <c r="N2766" s="335"/>
      <c r="O2766" s="335"/>
      <c r="P2766" s="335"/>
      <c r="Q2766" s="335"/>
      <c r="R2766" s="1158"/>
      <c r="S2766" s="291"/>
      <c r="T2766" s="291"/>
      <c r="U2766" s="291"/>
      <c r="V2766" s="291"/>
    </row>
    <row r="2767" spans="1:22" s="515" customFormat="1" ht="27" customHeight="1">
      <c r="A2767" s="331">
        <v>423</v>
      </c>
      <c r="B2767" s="506" t="s">
        <v>2232</v>
      </c>
      <c r="C2767" s="584" t="s">
        <v>2576</v>
      </c>
      <c r="D2767" s="1377">
        <v>1819</v>
      </c>
      <c r="E2767" s="475"/>
      <c r="F2767" s="1139"/>
      <c r="G2767" s="386"/>
      <c r="H2767" s="363"/>
      <c r="I2767" s="397"/>
      <c r="J2767" s="335"/>
      <c r="K2767" s="374">
        <f t="shared" si="113"/>
        <v>0</v>
      </c>
      <c r="L2767" s="338">
        <f t="shared" si="112"/>
        <v>0</v>
      </c>
      <c r="M2767" s="338"/>
      <c r="N2767" s="335"/>
      <c r="O2767" s="335"/>
      <c r="P2767" s="335"/>
      <c r="Q2767" s="335"/>
      <c r="R2767" s="1158"/>
      <c r="S2767" s="291"/>
      <c r="T2767" s="291"/>
      <c r="U2767" s="291"/>
      <c r="V2767" s="291"/>
    </row>
    <row r="2768" spans="1:22" s="515" customFormat="1" ht="27" customHeight="1">
      <c r="A2768" s="331">
        <v>424</v>
      </c>
      <c r="B2768" s="506" t="s">
        <v>1441</v>
      </c>
      <c r="C2768" s="584" t="s">
        <v>3033</v>
      </c>
      <c r="D2768" s="1377"/>
      <c r="E2768" s="475" t="s">
        <v>3441</v>
      </c>
      <c r="F2768" s="1139">
        <v>3</v>
      </c>
      <c r="G2768" s="386">
        <v>160.5</v>
      </c>
      <c r="H2768" s="363"/>
      <c r="I2768" s="397"/>
      <c r="J2768" s="335"/>
      <c r="K2768" s="374">
        <f t="shared" si="113"/>
        <v>18.521699999999999</v>
      </c>
      <c r="L2768" s="338">
        <f t="shared" si="112"/>
        <v>0</v>
      </c>
      <c r="M2768" s="338"/>
      <c r="N2768" s="335"/>
      <c r="O2768" s="335"/>
      <c r="P2768" s="335"/>
      <c r="Q2768" s="335"/>
      <c r="R2768" s="1158"/>
      <c r="S2768" s="291"/>
      <c r="T2768" s="291"/>
      <c r="U2768" s="291"/>
      <c r="V2768" s="291"/>
    </row>
    <row r="2769" spans="1:22" s="515" customFormat="1" ht="27" customHeight="1">
      <c r="A2769" s="331">
        <v>425</v>
      </c>
      <c r="B2769" s="506" t="s">
        <v>1288</v>
      </c>
      <c r="C2769" s="584" t="s">
        <v>2977</v>
      </c>
      <c r="D2769" s="1377"/>
      <c r="E2769" s="475" t="s">
        <v>3509</v>
      </c>
      <c r="F2769" s="1139">
        <v>5</v>
      </c>
      <c r="G2769" s="386">
        <v>267.5</v>
      </c>
      <c r="H2769" s="363"/>
      <c r="I2769" s="397"/>
      <c r="J2769" s="335"/>
      <c r="K2769" s="374">
        <f t="shared" si="113"/>
        <v>30.869499999999999</v>
      </c>
      <c r="L2769" s="338">
        <f t="shared" si="112"/>
        <v>0</v>
      </c>
      <c r="M2769" s="338"/>
      <c r="N2769" s="335"/>
      <c r="O2769" s="335"/>
      <c r="P2769" s="335"/>
      <c r="Q2769" s="335"/>
      <c r="R2769" s="1158"/>
      <c r="S2769" s="291"/>
      <c r="T2769" s="291"/>
      <c r="U2769" s="291"/>
      <c r="V2769" s="291"/>
    </row>
    <row r="2770" spans="1:22" s="515" customFormat="1" ht="27" customHeight="1">
      <c r="A2770" s="331">
        <v>426</v>
      </c>
      <c r="B2770" s="506" t="s">
        <v>1443</v>
      </c>
      <c r="C2770" s="584" t="s">
        <v>3081</v>
      </c>
      <c r="D2770" s="1377"/>
      <c r="E2770" s="475" t="s">
        <v>3437</v>
      </c>
      <c r="F2770" s="1139">
        <v>2</v>
      </c>
      <c r="G2770" s="386">
        <v>107</v>
      </c>
      <c r="H2770" s="363"/>
      <c r="I2770" s="397"/>
      <c r="J2770" s="335"/>
      <c r="K2770" s="374">
        <f t="shared" si="113"/>
        <v>12.347799999999999</v>
      </c>
      <c r="L2770" s="338">
        <f t="shared" si="112"/>
        <v>0</v>
      </c>
      <c r="M2770" s="338"/>
      <c r="N2770" s="335"/>
      <c r="O2770" s="335"/>
      <c r="P2770" s="335"/>
      <c r="Q2770" s="335"/>
      <c r="R2770" s="1158"/>
      <c r="S2770" s="291"/>
      <c r="T2770" s="291"/>
      <c r="U2770" s="291"/>
      <c r="V2770" s="291"/>
    </row>
    <row r="2771" spans="1:22" s="515" customFormat="1" ht="27" customHeight="1">
      <c r="A2771" s="331">
        <v>427</v>
      </c>
      <c r="B2771" s="506" t="s">
        <v>1502</v>
      </c>
      <c r="C2771" s="584" t="s">
        <v>3082</v>
      </c>
      <c r="D2771" s="1377"/>
      <c r="E2771" s="475" t="s">
        <v>3346</v>
      </c>
      <c r="F2771" s="1139">
        <v>3</v>
      </c>
      <c r="G2771" s="386">
        <v>160.5</v>
      </c>
      <c r="H2771" s="363"/>
      <c r="I2771" s="397"/>
      <c r="J2771" s="335"/>
      <c r="K2771" s="374">
        <f t="shared" si="113"/>
        <v>18.521699999999999</v>
      </c>
      <c r="L2771" s="338">
        <f t="shared" si="112"/>
        <v>0</v>
      </c>
      <c r="M2771" s="338"/>
      <c r="N2771" s="335"/>
      <c r="O2771" s="335"/>
      <c r="P2771" s="335"/>
      <c r="Q2771" s="335"/>
      <c r="R2771" s="1158"/>
      <c r="S2771" s="291"/>
      <c r="T2771" s="291"/>
      <c r="U2771" s="291"/>
      <c r="V2771" s="291"/>
    </row>
    <row r="2772" spans="1:22" s="515" customFormat="1" ht="27" customHeight="1">
      <c r="A2772" s="331">
        <v>428</v>
      </c>
      <c r="B2772" s="506" t="s">
        <v>3526</v>
      </c>
      <c r="C2772" s="584" t="s">
        <v>3649</v>
      </c>
      <c r="D2772" s="1377"/>
      <c r="E2772" s="475" t="s">
        <v>3416</v>
      </c>
      <c r="F2772" s="1139">
        <v>1</v>
      </c>
      <c r="G2772" s="386">
        <v>53.5</v>
      </c>
      <c r="H2772" s="363"/>
      <c r="I2772" s="397"/>
      <c r="J2772" s="335"/>
      <c r="K2772" s="374">
        <f t="shared" si="113"/>
        <v>6.1738999999999997</v>
      </c>
      <c r="L2772" s="338">
        <f t="shared" si="112"/>
        <v>0</v>
      </c>
      <c r="M2772" s="338"/>
      <c r="N2772" s="335"/>
      <c r="O2772" s="335"/>
      <c r="P2772" s="335"/>
      <c r="Q2772" s="335"/>
      <c r="R2772" s="1158"/>
      <c r="S2772" s="291"/>
      <c r="T2772" s="291"/>
      <c r="U2772" s="291"/>
      <c r="V2772" s="291"/>
    </row>
    <row r="2773" spans="1:22" s="515" customFormat="1" ht="27" customHeight="1">
      <c r="A2773" s="331">
        <v>429</v>
      </c>
      <c r="B2773" s="506" t="s">
        <v>3205</v>
      </c>
      <c r="C2773" s="584" t="s">
        <v>3219</v>
      </c>
      <c r="D2773" s="1377"/>
      <c r="E2773" s="475" t="s">
        <v>3437</v>
      </c>
      <c r="F2773" s="1139">
        <v>2</v>
      </c>
      <c r="G2773" s="386">
        <v>107</v>
      </c>
      <c r="H2773" s="363"/>
      <c r="I2773" s="397"/>
      <c r="J2773" s="335"/>
      <c r="K2773" s="374">
        <f t="shared" si="113"/>
        <v>12.347799999999999</v>
      </c>
      <c r="L2773" s="338">
        <f t="shared" si="112"/>
        <v>0</v>
      </c>
      <c r="M2773" s="338"/>
      <c r="N2773" s="335"/>
      <c r="O2773" s="335"/>
      <c r="P2773" s="335"/>
      <c r="Q2773" s="335"/>
      <c r="R2773" s="1158"/>
      <c r="S2773" s="291"/>
      <c r="T2773" s="291"/>
      <c r="U2773" s="291"/>
      <c r="V2773" s="291"/>
    </row>
    <row r="2774" spans="1:22" s="515" customFormat="1" ht="27" customHeight="1">
      <c r="A2774" s="331">
        <v>430</v>
      </c>
      <c r="B2774" s="506" t="s">
        <v>574</v>
      </c>
      <c r="C2774" s="584" t="s">
        <v>2577</v>
      </c>
      <c r="D2774" s="1377"/>
      <c r="E2774" s="475" t="s">
        <v>3437</v>
      </c>
      <c r="F2774" s="1139">
        <v>2</v>
      </c>
      <c r="G2774" s="386">
        <v>107</v>
      </c>
      <c r="H2774" s="363"/>
      <c r="I2774" s="397"/>
      <c r="J2774" s="335"/>
      <c r="K2774" s="374">
        <f t="shared" si="113"/>
        <v>12.347799999999999</v>
      </c>
      <c r="L2774" s="338">
        <f t="shared" si="112"/>
        <v>0</v>
      </c>
      <c r="M2774" s="338"/>
      <c r="N2774" s="335"/>
      <c r="O2774" s="335"/>
      <c r="P2774" s="335"/>
      <c r="Q2774" s="335"/>
      <c r="R2774" s="1158"/>
      <c r="S2774" s="291"/>
      <c r="T2774" s="291"/>
      <c r="U2774" s="291"/>
      <c r="V2774" s="291"/>
    </row>
    <row r="2775" spans="1:22" s="515" customFormat="1" ht="27" customHeight="1">
      <c r="A2775" s="331">
        <v>431</v>
      </c>
      <c r="B2775" s="506" t="s">
        <v>575</v>
      </c>
      <c r="C2775" s="584" t="s">
        <v>2578</v>
      </c>
      <c r="D2775" s="1377">
        <v>107</v>
      </c>
      <c r="E2775" s="475"/>
      <c r="F2775" s="1139"/>
      <c r="G2775" s="386"/>
      <c r="H2775" s="363"/>
      <c r="I2775" s="397"/>
      <c r="J2775" s="335"/>
      <c r="K2775" s="374">
        <f t="shared" si="113"/>
        <v>0</v>
      </c>
      <c r="L2775" s="338">
        <f t="shared" si="112"/>
        <v>0</v>
      </c>
      <c r="M2775" s="338"/>
      <c r="N2775" s="335"/>
      <c r="O2775" s="335"/>
      <c r="P2775" s="335"/>
      <c r="Q2775" s="335"/>
      <c r="R2775" s="1158"/>
      <c r="S2775" s="291"/>
      <c r="T2775" s="291"/>
      <c r="U2775" s="291"/>
      <c r="V2775" s="291"/>
    </row>
    <row r="2776" spans="1:22" s="515" customFormat="1" ht="27" customHeight="1">
      <c r="A2776" s="331">
        <v>432</v>
      </c>
      <c r="B2776" s="506" t="s">
        <v>2114</v>
      </c>
      <c r="C2776" s="584" t="s">
        <v>2978</v>
      </c>
      <c r="D2776" s="1377"/>
      <c r="E2776" s="475" t="s">
        <v>3509</v>
      </c>
      <c r="F2776" s="1139">
        <v>5</v>
      </c>
      <c r="G2776" s="386">
        <v>267.5</v>
      </c>
      <c r="H2776" s="363"/>
      <c r="I2776" s="397"/>
      <c r="J2776" s="335"/>
      <c r="K2776" s="374">
        <f t="shared" si="113"/>
        <v>30.869499999999999</v>
      </c>
      <c r="L2776" s="338">
        <f t="shared" si="112"/>
        <v>0</v>
      </c>
      <c r="M2776" s="338"/>
      <c r="N2776" s="335"/>
      <c r="O2776" s="335"/>
      <c r="P2776" s="335"/>
      <c r="Q2776" s="335"/>
      <c r="R2776" s="1158"/>
      <c r="S2776" s="291"/>
      <c r="T2776" s="291"/>
      <c r="U2776" s="291"/>
      <c r="V2776" s="291"/>
    </row>
    <row r="2777" spans="1:22" s="515" customFormat="1" ht="27" customHeight="1">
      <c r="A2777" s="331">
        <v>433</v>
      </c>
      <c r="B2777" s="506" t="s">
        <v>2115</v>
      </c>
      <c r="C2777" s="584" t="s">
        <v>2579</v>
      </c>
      <c r="D2777" s="1377"/>
      <c r="E2777" s="475" t="s">
        <v>3416</v>
      </c>
      <c r="F2777" s="1139">
        <v>1</v>
      </c>
      <c r="G2777" s="386">
        <v>53.5</v>
      </c>
      <c r="H2777" s="363"/>
      <c r="I2777" s="397"/>
      <c r="J2777" s="335"/>
      <c r="K2777" s="374">
        <f t="shared" si="113"/>
        <v>6.1738999999999997</v>
      </c>
      <c r="L2777" s="338">
        <f t="shared" si="112"/>
        <v>0</v>
      </c>
      <c r="M2777" s="338"/>
      <c r="N2777" s="335"/>
      <c r="O2777" s="335"/>
      <c r="P2777" s="335"/>
      <c r="Q2777" s="335"/>
      <c r="R2777" s="1158"/>
      <c r="S2777" s="291"/>
      <c r="T2777" s="291"/>
      <c r="U2777" s="291"/>
      <c r="V2777" s="291"/>
    </row>
    <row r="2778" spans="1:22" s="515" customFormat="1" ht="27" customHeight="1">
      <c r="A2778" s="331">
        <v>434</v>
      </c>
      <c r="B2778" s="506" t="s">
        <v>3528</v>
      </c>
      <c r="C2778" s="584" t="s">
        <v>3650</v>
      </c>
      <c r="D2778" s="1377"/>
      <c r="E2778" s="475" t="s">
        <v>3416</v>
      </c>
      <c r="F2778" s="1139">
        <v>1</v>
      </c>
      <c r="G2778" s="386">
        <v>160.5</v>
      </c>
      <c r="H2778" s="363"/>
      <c r="I2778" s="397"/>
      <c r="J2778" s="335"/>
      <c r="K2778" s="374">
        <f t="shared" si="113"/>
        <v>18.521699999999999</v>
      </c>
      <c r="L2778" s="338">
        <f t="shared" si="112"/>
        <v>0</v>
      </c>
      <c r="M2778" s="338"/>
      <c r="N2778" s="335"/>
      <c r="O2778" s="335"/>
      <c r="P2778" s="335"/>
      <c r="Q2778" s="335"/>
      <c r="R2778" s="1158"/>
      <c r="S2778" s="291"/>
      <c r="T2778" s="291"/>
      <c r="U2778" s="291"/>
      <c r="V2778" s="291"/>
    </row>
    <row r="2779" spans="1:22" s="515" customFormat="1" ht="27" customHeight="1">
      <c r="A2779" s="331">
        <v>435</v>
      </c>
      <c r="B2779" s="506" t="s">
        <v>1445</v>
      </c>
      <c r="C2779" s="584" t="s">
        <v>2979</v>
      </c>
      <c r="D2779" s="1377"/>
      <c r="E2779" s="475" t="s">
        <v>3416</v>
      </c>
      <c r="F2779" s="1139">
        <v>1</v>
      </c>
      <c r="G2779" s="386">
        <v>267.5</v>
      </c>
      <c r="H2779" s="363"/>
      <c r="I2779" s="397"/>
      <c r="J2779" s="335"/>
      <c r="K2779" s="374">
        <f t="shared" si="113"/>
        <v>30.869499999999999</v>
      </c>
      <c r="L2779" s="338">
        <f t="shared" si="112"/>
        <v>0</v>
      </c>
      <c r="M2779" s="338"/>
      <c r="N2779" s="335"/>
      <c r="O2779" s="335"/>
      <c r="P2779" s="335"/>
      <c r="Q2779" s="335"/>
      <c r="R2779" s="1158"/>
      <c r="S2779" s="291"/>
      <c r="T2779" s="291"/>
      <c r="U2779" s="291"/>
      <c r="V2779" s="291"/>
    </row>
    <row r="2780" spans="1:22" s="515" customFormat="1" ht="27" customHeight="1">
      <c r="A2780" s="331">
        <v>436</v>
      </c>
      <c r="B2780" s="506" t="s">
        <v>2116</v>
      </c>
      <c r="C2780" s="584" t="s">
        <v>3387</v>
      </c>
      <c r="D2780" s="1377"/>
      <c r="E2780" s="475" t="s">
        <v>3416</v>
      </c>
      <c r="F2780" s="1139">
        <v>1</v>
      </c>
      <c r="G2780" s="386">
        <v>107</v>
      </c>
      <c r="H2780" s="363"/>
      <c r="I2780" s="397"/>
      <c r="J2780" s="335"/>
      <c r="K2780" s="374">
        <f t="shared" si="113"/>
        <v>12.347799999999999</v>
      </c>
      <c r="L2780" s="338">
        <f t="shared" si="112"/>
        <v>0</v>
      </c>
      <c r="M2780" s="338"/>
      <c r="N2780" s="335"/>
      <c r="O2780" s="335"/>
      <c r="P2780" s="335"/>
      <c r="Q2780" s="335"/>
      <c r="R2780" s="1158"/>
      <c r="S2780" s="291"/>
      <c r="T2780" s="291"/>
      <c r="U2780" s="291"/>
      <c r="V2780" s="291"/>
    </row>
    <row r="2781" spans="1:22" s="515" customFormat="1" ht="27" customHeight="1">
      <c r="A2781" s="331">
        <v>437</v>
      </c>
      <c r="B2781" s="506" t="s">
        <v>3529</v>
      </c>
      <c r="C2781" s="584" t="s">
        <v>3651</v>
      </c>
      <c r="D2781" s="1377"/>
      <c r="E2781" s="475" t="s">
        <v>3416</v>
      </c>
      <c r="F2781" s="1139">
        <v>1</v>
      </c>
      <c r="G2781" s="386">
        <v>53.5</v>
      </c>
      <c r="H2781" s="363"/>
      <c r="I2781" s="397"/>
      <c r="J2781" s="335"/>
      <c r="K2781" s="374">
        <f t="shared" si="113"/>
        <v>6.1738999999999997</v>
      </c>
      <c r="L2781" s="338">
        <f t="shared" si="112"/>
        <v>0</v>
      </c>
      <c r="M2781" s="338"/>
      <c r="N2781" s="335"/>
      <c r="O2781" s="335"/>
      <c r="P2781" s="335"/>
      <c r="Q2781" s="335"/>
      <c r="R2781" s="1158"/>
      <c r="S2781" s="291"/>
      <c r="T2781" s="291"/>
      <c r="U2781" s="291"/>
      <c r="V2781" s="291"/>
    </row>
    <row r="2782" spans="1:22" s="515" customFormat="1" ht="27" customHeight="1">
      <c r="A2782" s="331">
        <v>438</v>
      </c>
      <c r="B2782" s="506" t="s">
        <v>3388</v>
      </c>
      <c r="C2782" s="584" t="s">
        <v>3389</v>
      </c>
      <c r="D2782" s="1377"/>
      <c r="E2782" s="475" t="s">
        <v>3437</v>
      </c>
      <c r="F2782" s="1139">
        <v>2</v>
      </c>
      <c r="G2782" s="386">
        <v>107</v>
      </c>
      <c r="H2782" s="363"/>
      <c r="I2782" s="397"/>
      <c r="J2782" s="335"/>
      <c r="K2782" s="374">
        <f t="shared" si="113"/>
        <v>12.347799999999999</v>
      </c>
      <c r="L2782" s="338">
        <f t="shared" si="112"/>
        <v>0</v>
      </c>
      <c r="M2782" s="338"/>
      <c r="N2782" s="335"/>
      <c r="O2782" s="335"/>
      <c r="P2782" s="335"/>
      <c r="Q2782" s="335"/>
      <c r="R2782" s="1158"/>
      <c r="S2782" s="291"/>
      <c r="T2782" s="291"/>
      <c r="U2782" s="291"/>
      <c r="V2782" s="291"/>
    </row>
    <row r="2783" spans="1:22" s="515" customFormat="1" ht="27" customHeight="1">
      <c r="A2783" s="331">
        <v>439</v>
      </c>
      <c r="B2783" s="506" t="s">
        <v>2803</v>
      </c>
      <c r="C2783" s="584" t="s">
        <v>2663</v>
      </c>
      <c r="D2783" s="1377"/>
      <c r="E2783" s="475"/>
      <c r="F2783" s="1139"/>
      <c r="G2783" s="386"/>
      <c r="H2783" s="363" t="s">
        <v>3652</v>
      </c>
      <c r="I2783" s="397">
        <v>16</v>
      </c>
      <c r="J2783" s="335">
        <v>856</v>
      </c>
      <c r="K2783" s="374">
        <f t="shared" si="113"/>
        <v>0</v>
      </c>
      <c r="L2783" s="338">
        <f t="shared" si="112"/>
        <v>856</v>
      </c>
      <c r="M2783" s="338"/>
      <c r="N2783" s="335"/>
      <c r="O2783" s="335"/>
      <c r="P2783" s="335"/>
      <c r="Q2783" s="335"/>
      <c r="R2783" s="1158"/>
      <c r="S2783" s="291"/>
      <c r="T2783" s="291"/>
      <c r="U2783" s="291"/>
      <c r="V2783" s="291"/>
    </row>
    <row r="2784" spans="1:22" s="515" customFormat="1" ht="27" customHeight="1">
      <c r="A2784" s="331">
        <v>440</v>
      </c>
      <c r="B2784" s="506" t="s">
        <v>2803</v>
      </c>
      <c r="C2784" s="584" t="s">
        <v>2664</v>
      </c>
      <c r="D2784" s="1377"/>
      <c r="E2784" s="475"/>
      <c r="F2784" s="1139"/>
      <c r="G2784" s="386"/>
      <c r="H2784" s="363" t="s">
        <v>3652</v>
      </c>
      <c r="I2784" s="397">
        <v>16</v>
      </c>
      <c r="J2784" s="335">
        <v>856</v>
      </c>
      <c r="K2784" s="374">
        <f t="shared" si="113"/>
        <v>0</v>
      </c>
      <c r="L2784" s="338">
        <f t="shared" si="112"/>
        <v>856</v>
      </c>
      <c r="M2784" s="338"/>
      <c r="N2784" s="335"/>
      <c r="O2784" s="335"/>
      <c r="P2784" s="335"/>
      <c r="Q2784" s="335"/>
      <c r="R2784" s="1158"/>
      <c r="S2784" s="291"/>
      <c r="T2784" s="291"/>
      <c r="U2784" s="291"/>
      <c r="V2784" s="291"/>
    </row>
    <row r="2785" spans="1:22" s="515" customFormat="1" ht="27" customHeight="1">
      <c r="A2785" s="331">
        <v>441</v>
      </c>
      <c r="B2785" s="506" t="s">
        <v>2803</v>
      </c>
      <c r="C2785" s="584" t="s">
        <v>2665</v>
      </c>
      <c r="D2785" s="1377"/>
      <c r="E2785" s="475"/>
      <c r="F2785" s="1139"/>
      <c r="G2785" s="386"/>
      <c r="H2785" s="363" t="s">
        <v>3652</v>
      </c>
      <c r="I2785" s="397">
        <v>16</v>
      </c>
      <c r="J2785" s="335">
        <v>856</v>
      </c>
      <c r="K2785" s="374">
        <f t="shared" si="113"/>
        <v>0</v>
      </c>
      <c r="L2785" s="338">
        <f t="shared" si="112"/>
        <v>856</v>
      </c>
      <c r="M2785" s="338"/>
      <c r="N2785" s="335"/>
      <c r="O2785" s="335"/>
      <c r="P2785" s="335"/>
      <c r="Q2785" s="335"/>
      <c r="R2785" s="1158"/>
      <c r="S2785" s="291"/>
      <c r="T2785" s="291"/>
      <c r="U2785" s="291"/>
      <c r="V2785" s="291"/>
    </row>
    <row r="2786" spans="1:22" s="515" customFormat="1" ht="27" customHeight="1">
      <c r="A2786" s="331">
        <v>442</v>
      </c>
      <c r="B2786" s="506" t="s">
        <v>2803</v>
      </c>
      <c r="C2786" s="584" t="s">
        <v>2666</v>
      </c>
      <c r="D2786" s="1377"/>
      <c r="E2786" s="475"/>
      <c r="F2786" s="1139"/>
      <c r="G2786" s="386"/>
      <c r="H2786" s="363" t="s">
        <v>3652</v>
      </c>
      <c r="I2786" s="397">
        <v>16</v>
      </c>
      <c r="J2786" s="335">
        <v>856</v>
      </c>
      <c r="K2786" s="374">
        <f t="shared" si="113"/>
        <v>0</v>
      </c>
      <c r="L2786" s="338">
        <f t="shared" si="112"/>
        <v>856</v>
      </c>
      <c r="M2786" s="338"/>
      <c r="N2786" s="335"/>
      <c r="O2786" s="335"/>
      <c r="P2786" s="335"/>
      <c r="Q2786" s="335"/>
      <c r="R2786" s="1158"/>
      <c r="S2786" s="291"/>
      <c r="T2786" s="291"/>
      <c r="U2786" s="291"/>
      <c r="V2786" s="291"/>
    </row>
    <row r="2787" spans="1:22" s="515" customFormat="1" ht="27" customHeight="1">
      <c r="A2787" s="331">
        <v>443</v>
      </c>
      <c r="B2787" s="506" t="s">
        <v>2797</v>
      </c>
      <c r="C2787" s="584" t="s">
        <v>3653</v>
      </c>
      <c r="D2787" s="1377"/>
      <c r="E2787" s="475" t="s">
        <v>3416</v>
      </c>
      <c r="F2787" s="1139">
        <v>1</v>
      </c>
      <c r="G2787" s="386">
        <v>53.5</v>
      </c>
      <c r="H2787" s="363"/>
      <c r="I2787" s="397"/>
      <c r="J2787" s="335"/>
      <c r="K2787" s="374">
        <f t="shared" si="113"/>
        <v>6.1738999999999997</v>
      </c>
      <c r="L2787" s="338">
        <f t="shared" si="112"/>
        <v>0</v>
      </c>
      <c r="M2787" s="338"/>
      <c r="N2787" s="335"/>
      <c r="O2787" s="335"/>
      <c r="P2787" s="335"/>
      <c r="Q2787" s="335"/>
      <c r="R2787" s="1158"/>
      <c r="S2787" s="291"/>
      <c r="T2787" s="291"/>
      <c r="U2787" s="291"/>
      <c r="V2787" s="291"/>
    </row>
    <row r="2788" spans="1:22" s="515" customFormat="1" ht="27" customHeight="1">
      <c r="A2788" s="331">
        <v>444</v>
      </c>
      <c r="B2788" s="506" t="s">
        <v>3362</v>
      </c>
      <c r="C2788" s="584" t="s">
        <v>3390</v>
      </c>
      <c r="D2788" s="1377"/>
      <c r="E2788" s="475" t="s">
        <v>3416</v>
      </c>
      <c r="F2788" s="1139">
        <v>1</v>
      </c>
      <c r="G2788" s="386">
        <v>107</v>
      </c>
      <c r="H2788" s="363"/>
      <c r="I2788" s="397"/>
      <c r="J2788" s="335"/>
      <c r="K2788" s="374">
        <f t="shared" si="113"/>
        <v>12.347799999999999</v>
      </c>
      <c r="L2788" s="338">
        <f t="shared" si="112"/>
        <v>0</v>
      </c>
      <c r="M2788" s="338"/>
      <c r="N2788" s="335"/>
      <c r="O2788" s="335"/>
      <c r="P2788" s="335"/>
      <c r="Q2788" s="335"/>
      <c r="R2788" s="1158"/>
      <c r="S2788" s="291"/>
      <c r="T2788" s="291"/>
      <c r="U2788" s="291"/>
      <c r="V2788" s="291"/>
    </row>
    <row r="2789" spans="1:22" s="515" customFormat="1" ht="27" customHeight="1">
      <c r="A2789" s="331">
        <v>445</v>
      </c>
      <c r="B2789" s="506" t="s">
        <v>3532</v>
      </c>
      <c r="C2789" s="584" t="s">
        <v>3654</v>
      </c>
      <c r="D2789" s="1377"/>
      <c r="E2789" s="475" t="s">
        <v>3416</v>
      </c>
      <c r="F2789" s="1139">
        <v>1</v>
      </c>
      <c r="G2789" s="386">
        <v>53.5</v>
      </c>
      <c r="H2789" s="363"/>
      <c r="I2789" s="397"/>
      <c r="J2789" s="335"/>
      <c r="K2789" s="374">
        <f t="shared" si="113"/>
        <v>6.1738999999999997</v>
      </c>
      <c r="L2789" s="338">
        <f t="shared" si="112"/>
        <v>0</v>
      </c>
      <c r="M2789" s="338"/>
      <c r="N2789" s="335"/>
      <c r="O2789" s="335"/>
      <c r="P2789" s="335"/>
      <c r="Q2789" s="335"/>
      <c r="R2789" s="1158"/>
      <c r="S2789" s="291"/>
      <c r="T2789" s="291"/>
      <c r="U2789" s="291"/>
      <c r="V2789" s="291"/>
    </row>
    <row r="2790" spans="1:22" s="515" customFormat="1" ht="27" customHeight="1">
      <c r="A2790" s="331">
        <v>446</v>
      </c>
      <c r="B2790" s="506" t="s">
        <v>3292</v>
      </c>
      <c r="C2790" s="584" t="s">
        <v>3304</v>
      </c>
      <c r="D2790" s="1377"/>
      <c r="E2790" s="475" t="s">
        <v>3416</v>
      </c>
      <c r="F2790" s="1139">
        <v>1</v>
      </c>
      <c r="G2790" s="386">
        <v>53.5</v>
      </c>
      <c r="H2790" s="363"/>
      <c r="I2790" s="397"/>
      <c r="J2790" s="335"/>
      <c r="K2790" s="374">
        <f t="shared" si="113"/>
        <v>6.1738999999999997</v>
      </c>
      <c r="L2790" s="338">
        <f t="shared" si="112"/>
        <v>0</v>
      </c>
      <c r="M2790" s="338"/>
      <c r="N2790" s="335"/>
      <c r="O2790" s="335"/>
      <c r="P2790" s="335"/>
      <c r="Q2790" s="335"/>
      <c r="R2790" s="1158"/>
      <c r="S2790" s="291"/>
      <c r="T2790" s="291"/>
      <c r="U2790" s="291"/>
      <c r="V2790" s="291"/>
    </row>
    <row r="2791" spans="1:22" s="515" customFormat="1" ht="27" customHeight="1">
      <c r="A2791" s="331">
        <v>447</v>
      </c>
      <c r="B2791" s="506" t="s">
        <v>3534</v>
      </c>
      <c r="C2791" s="584" t="s">
        <v>3655</v>
      </c>
      <c r="D2791" s="1377"/>
      <c r="E2791" s="475" t="s">
        <v>3416</v>
      </c>
      <c r="F2791" s="1139">
        <v>1</v>
      </c>
      <c r="G2791" s="386">
        <v>53.5</v>
      </c>
      <c r="H2791" s="363"/>
      <c r="I2791" s="397"/>
      <c r="J2791" s="335"/>
      <c r="K2791" s="374">
        <f t="shared" si="113"/>
        <v>6.1738999999999997</v>
      </c>
      <c r="L2791" s="338">
        <f t="shared" si="112"/>
        <v>0</v>
      </c>
      <c r="M2791" s="338"/>
      <c r="N2791" s="335"/>
      <c r="O2791" s="335"/>
      <c r="P2791" s="335"/>
      <c r="Q2791" s="335"/>
      <c r="R2791" s="1158"/>
      <c r="S2791" s="291"/>
      <c r="T2791" s="291"/>
      <c r="U2791" s="291"/>
      <c r="V2791" s="291"/>
    </row>
    <row r="2792" spans="1:22" s="515" customFormat="1" ht="27" customHeight="1">
      <c r="A2792" s="331">
        <v>448</v>
      </c>
      <c r="B2792" s="506" t="s">
        <v>1508</v>
      </c>
      <c r="C2792" s="584" t="s">
        <v>3656</v>
      </c>
      <c r="D2792" s="1377"/>
      <c r="E2792" s="475" t="s">
        <v>3416</v>
      </c>
      <c r="F2792" s="1139">
        <v>1</v>
      </c>
      <c r="G2792" s="386">
        <v>53.5</v>
      </c>
      <c r="H2792" s="363"/>
      <c r="I2792" s="397"/>
      <c r="J2792" s="335"/>
      <c r="K2792" s="374">
        <f t="shared" si="113"/>
        <v>6.1738999999999997</v>
      </c>
      <c r="L2792" s="338">
        <f t="shared" si="112"/>
        <v>0</v>
      </c>
      <c r="M2792" s="338"/>
      <c r="N2792" s="335"/>
      <c r="O2792" s="335"/>
      <c r="P2792" s="335"/>
      <c r="Q2792" s="335"/>
      <c r="R2792" s="1158"/>
      <c r="S2792" s="291"/>
      <c r="T2792" s="291"/>
      <c r="U2792" s="291"/>
      <c r="V2792" s="291"/>
    </row>
    <row r="2793" spans="1:22" s="515" customFormat="1" ht="27" customHeight="1">
      <c r="A2793" s="331">
        <v>449</v>
      </c>
      <c r="B2793" s="506" t="s">
        <v>2608</v>
      </c>
      <c r="C2793" s="584" t="s">
        <v>3220</v>
      </c>
      <c r="D2793" s="1377"/>
      <c r="E2793" s="475" t="s">
        <v>3346</v>
      </c>
      <c r="F2793" s="1139">
        <v>3</v>
      </c>
      <c r="G2793" s="386">
        <v>160.5</v>
      </c>
      <c r="H2793" s="363"/>
      <c r="I2793" s="397"/>
      <c r="J2793" s="335"/>
      <c r="K2793" s="374">
        <f t="shared" si="113"/>
        <v>18.521699999999999</v>
      </c>
      <c r="L2793" s="338">
        <f t="shared" si="112"/>
        <v>0</v>
      </c>
      <c r="M2793" s="338"/>
      <c r="N2793" s="335"/>
      <c r="O2793" s="335"/>
      <c r="P2793" s="335"/>
      <c r="Q2793" s="335"/>
      <c r="R2793" s="1158"/>
      <c r="S2793" s="291"/>
      <c r="T2793" s="291"/>
      <c r="U2793" s="291"/>
      <c r="V2793" s="291"/>
    </row>
    <row r="2794" spans="1:22" s="515" customFormat="1" ht="27" customHeight="1">
      <c r="A2794" s="331">
        <v>450</v>
      </c>
      <c r="B2794" s="506" t="s">
        <v>2118</v>
      </c>
      <c r="C2794" s="584" t="s">
        <v>3305</v>
      </c>
      <c r="D2794" s="1377"/>
      <c r="E2794" s="475" t="s">
        <v>3441</v>
      </c>
      <c r="F2794" s="1139">
        <v>3</v>
      </c>
      <c r="G2794" s="386">
        <v>160.5</v>
      </c>
      <c r="H2794" s="363"/>
      <c r="I2794" s="397"/>
      <c r="J2794" s="335"/>
      <c r="K2794" s="374">
        <f t="shared" si="113"/>
        <v>18.521699999999999</v>
      </c>
      <c r="L2794" s="338">
        <f t="shared" si="112"/>
        <v>0</v>
      </c>
      <c r="M2794" s="338"/>
      <c r="N2794" s="335"/>
      <c r="O2794" s="335"/>
      <c r="P2794" s="335"/>
      <c r="Q2794" s="335"/>
      <c r="R2794" s="1158"/>
      <c r="S2794" s="291"/>
      <c r="T2794" s="291"/>
      <c r="U2794" s="291"/>
      <c r="V2794" s="291"/>
    </row>
    <row r="2795" spans="1:22" s="515" customFormat="1" ht="27" customHeight="1">
      <c r="A2795" s="331">
        <v>451</v>
      </c>
      <c r="B2795" s="506" t="s">
        <v>2580</v>
      </c>
      <c r="C2795" s="584" t="s">
        <v>2581</v>
      </c>
      <c r="D2795" s="1377">
        <v>107</v>
      </c>
      <c r="E2795" s="475"/>
      <c r="F2795" s="1139"/>
      <c r="G2795" s="386"/>
      <c r="H2795" s="363"/>
      <c r="I2795" s="397"/>
      <c r="J2795" s="335"/>
      <c r="K2795" s="374">
        <f t="shared" si="113"/>
        <v>0</v>
      </c>
      <c r="L2795" s="338">
        <f t="shared" ref="L2795:L2849" si="114">+J2795</f>
        <v>0</v>
      </c>
      <c r="M2795" s="338"/>
      <c r="N2795" s="335"/>
      <c r="O2795" s="335"/>
      <c r="P2795" s="335"/>
      <c r="Q2795" s="335"/>
      <c r="R2795" s="1158"/>
      <c r="S2795" s="291"/>
      <c r="T2795" s="291"/>
      <c r="U2795" s="291"/>
      <c r="V2795" s="291"/>
    </row>
    <row r="2796" spans="1:22" s="515" customFormat="1" ht="27" customHeight="1">
      <c r="A2796" s="331">
        <v>452</v>
      </c>
      <c r="B2796" s="506" t="s">
        <v>3657</v>
      </c>
      <c r="C2796" s="584" t="s">
        <v>3658</v>
      </c>
      <c r="D2796" s="1377"/>
      <c r="E2796" s="475" t="s">
        <v>3416</v>
      </c>
      <c r="F2796" s="1139">
        <v>1</v>
      </c>
      <c r="G2796" s="386">
        <v>53.5</v>
      </c>
      <c r="H2796" s="363"/>
      <c r="I2796" s="397"/>
      <c r="J2796" s="335"/>
      <c r="K2796" s="374">
        <f t="shared" si="113"/>
        <v>6.1738999999999997</v>
      </c>
      <c r="L2796" s="338">
        <f t="shared" si="114"/>
        <v>0</v>
      </c>
      <c r="M2796" s="338"/>
      <c r="N2796" s="335"/>
      <c r="O2796" s="335"/>
      <c r="P2796" s="335"/>
      <c r="Q2796" s="335"/>
      <c r="R2796" s="1158"/>
      <c r="S2796" s="291"/>
      <c r="T2796" s="291"/>
      <c r="U2796" s="291"/>
      <c r="V2796" s="291"/>
    </row>
    <row r="2797" spans="1:22" s="515" customFormat="1" ht="27" customHeight="1">
      <c r="A2797" s="331">
        <v>453</v>
      </c>
      <c r="B2797" s="506" t="s">
        <v>2119</v>
      </c>
      <c r="C2797" s="584" t="s">
        <v>2582</v>
      </c>
      <c r="D2797" s="1377"/>
      <c r="E2797" s="475" t="s">
        <v>3416</v>
      </c>
      <c r="F2797" s="1139">
        <v>1</v>
      </c>
      <c r="G2797" s="386">
        <v>107</v>
      </c>
      <c r="H2797" s="363"/>
      <c r="I2797" s="397"/>
      <c r="J2797" s="335"/>
      <c r="K2797" s="374">
        <f t="shared" si="113"/>
        <v>12.347799999999999</v>
      </c>
      <c r="L2797" s="338">
        <f t="shared" si="114"/>
        <v>0</v>
      </c>
      <c r="M2797" s="338"/>
      <c r="N2797" s="335"/>
      <c r="O2797" s="335"/>
      <c r="P2797" s="335"/>
      <c r="Q2797" s="335"/>
      <c r="R2797" s="1158"/>
      <c r="S2797" s="291"/>
      <c r="T2797" s="291"/>
      <c r="U2797" s="291"/>
      <c r="V2797" s="291"/>
    </row>
    <row r="2798" spans="1:22" s="515" customFormat="1" ht="27" customHeight="1">
      <c r="A2798" s="331">
        <v>454</v>
      </c>
      <c r="B2798" s="506" t="s">
        <v>1513</v>
      </c>
      <c r="C2798" s="584" t="s">
        <v>2583</v>
      </c>
      <c r="D2798" s="1377">
        <v>53.5</v>
      </c>
      <c r="E2798" s="475"/>
      <c r="F2798" s="1139"/>
      <c r="G2798" s="386"/>
      <c r="H2798" s="363"/>
      <c r="I2798" s="397"/>
      <c r="J2798" s="335"/>
      <c r="K2798" s="374">
        <f t="shared" si="113"/>
        <v>0</v>
      </c>
      <c r="L2798" s="338">
        <f t="shared" si="114"/>
        <v>0</v>
      </c>
      <c r="M2798" s="338"/>
      <c r="N2798" s="335"/>
      <c r="O2798" s="335"/>
      <c r="P2798" s="335"/>
      <c r="Q2798" s="335"/>
      <c r="R2798" s="1158"/>
      <c r="S2798" s="291"/>
      <c r="T2798" s="291"/>
      <c r="U2798" s="291"/>
      <c r="V2798" s="291"/>
    </row>
    <row r="2799" spans="1:22" s="515" customFormat="1" ht="27" customHeight="1">
      <c r="A2799" s="331">
        <v>455</v>
      </c>
      <c r="B2799" s="506" t="s">
        <v>3517</v>
      </c>
      <c r="C2799" s="584" t="s">
        <v>3659</v>
      </c>
      <c r="D2799" s="1377"/>
      <c r="E2799" s="475" t="s">
        <v>3416</v>
      </c>
      <c r="F2799" s="1139">
        <v>1</v>
      </c>
      <c r="G2799" s="386">
        <v>107</v>
      </c>
      <c r="H2799" s="363"/>
      <c r="I2799" s="397"/>
      <c r="J2799" s="335"/>
      <c r="K2799" s="374">
        <f t="shared" si="113"/>
        <v>12.347799999999999</v>
      </c>
      <c r="L2799" s="338">
        <f t="shared" si="114"/>
        <v>0</v>
      </c>
      <c r="M2799" s="338"/>
      <c r="N2799" s="335"/>
      <c r="O2799" s="335"/>
      <c r="P2799" s="335"/>
      <c r="Q2799" s="335"/>
      <c r="R2799" s="1158"/>
      <c r="S2799" s="291"/>
      <c r="T2799" s="291"/>
      <c r="U2799" s="291"/>
      <c r="V2799" s="291"/>
    </row>
    <row r="2800" spans="1:22" s="515" customFormat="1" ht="27" customHeight="1">
      <c r="A2800" s="331">
        <v>456</v>
      </c>
      <c r="B2800" s="506" t="s">
        <v>1802</v>
      </c>
      <c r="C2800" s="584" t="s">
        <v>1804</v>
      </c>
      <c r="D2800" s="1377">
        <v>107</v>
      </c>
      <c r="E2800" s="475"/>
      <c r="F2800" s="1139"/>
      <c r="G2800" s="386"/>
      <c r="H2800" s="363"/>
      <c r="I2800" s="397"/>
      <c r="J2800" s="335"/>
      <c r="K2800" s="374">
        <f t="shared" si="113"/>
        <v>0</v>
      </c>
      <c r="L2800" s="338">
        <f t="shared" si="114"/>
        <v>0</v>
      </c>
      <c r="M2800" s="338"/>
      <c r="N2800" s="335"/>
      <c r="O2800" s="335"/>
      <c r="P2800" s="335"/>
      <c r="Q2800" s="335"/>
      <c r="R2800" s="1158"/>
      <c r="S2800" s="291"/>
      <c r="T2800" s="291"/>
      <c r="U2800" s="291"/>
      <c r="V2800" s="291"/>
    </row>
    <row r="2801" spans="1:22" s="515" customFormat="1" ht="27" customHeight="1">
      <c r="A2801" s="331">
        <v>457</v>
      </c>
      <c r="B2801" s="506" t="s">
        <v>2234</v>
      </c>
      <c r="C2801" s="584" t="s">
        <v>1303</v>
      </c>
      <c r="D2801" s="1377">
        <v>107</v>
      </c>
      <c r="E2801" s="475"/>
      <c r="F2801" s="1139"/>
      <c r="G2801" s="386"/>
      <c r="H2801" s="363"/>
      <c r="I2801" s="397"/>
      <c r="J2801" s="335"/>
      <c r="K2801" s="374">
        <f t="shared" si="113"/>
        <v>0</v>
      </c>
      <c r="L2801" s="338">
        <f t="shared" si="114"/>
        <v>0</v>
      </c>
      <c r="M2801" s="338"/>
      <c r="N2801" s="335"/>
      <c r="O2801" s="335"/>
      <c r="P2801" s="335"/>
      <c r="Q2801" s="335"/>
      <c r="R2801" s="1158"/>
      <c r="S2801" s="291"/>
      <c r="T2801" s="291"/>
      <c r="U2801" s="291"/>
      <c r="V2801" s="291"/>
    </row>
    <row r="2802" spans="1:22" s="515" customFormat="1" ht="27" customHeight="1">
      <c r="A2802" s="331">
        <v>458</v>
      </c>
      <c r="B2802" s="506" t="s">
        <v>2644</v>
      </c>
      <c r="C2802" s="584" t="s">
        <v>2667</v>
      </c>
      <c r="D2802" s="1377"/>
      <c r="E2802" s="475" t="s">
        <v>3437</v>
      </c>
      <c r="F2802" s="1139">
        <v>2</v>
      </c>
      <c r="G2802" s="386">
        <v>107</v>
      </c>
      <c r="H2802" s="363"/>
      <c r="I2802" s="397"/>
      <c r="J2802" s="335"/>
      <c r="K2802" s="374">
        <f t="shared" si="113"/>
        <v>12.347799999999999</v>
      </c>
      <c r="L2802" s="338">
        <f t="shared" si="114"/>
        <v>0</v>
      </c>
      <c r="M2802" s="338"/>
      <c r="N2802" s="335"/>
      <c r="O2802" s="335"/>
      <c r="P2802" s="335"/>
      <c r="Q2802" s="335"/>
      <c r="R2802" s="1158"/>
      <c r="S2802" s="291"/>
      <c r="T2802" s="291"/>
      <c r="U2802" s="291"/>
      <c r="V2802" s="291"/>
    </row>
    <row r="2803" spans="1:22" s="515" customFormat="1" ht="27" customHeight="1">
      <c r="A2803" s="331">
        <v>459</v>
      </c>
      <c r="B2803" s="506" t="s">
        <v>2808</v>
      </c>
      <c r="C2803" s="584" t="s">
        <v>2809</v>
      </c>
      <c r="D2803" s="1377">
        <v>642</v>
      </c>
      <c r="E2803" s="475"/>
      <c r="F2803" s="1139"/>
      <c r="G2803" s="386"/>
      <c r="H2803" s="363"/>
      <c r="I2803" s="397"/>
      <c r="J2803" s="335"/>
      <c r="K2803" s="374">
        <f t="shared" si="113"/>
        <v>0</v>
      </c>
      <c r="L2803" s="338">
        <f t="shared" si="114"/>
        <v>0</v>
      </c>
      <c r="M2803" s="338"/>
      <c r="N2803" s="335"/>
      <c r="O2803" s="335"/>
      <c r="P2803" s="335"/>
      <c r="Q2803" s="335"/>
      <c r="R2803" s="1158"/>
      <c r="S2803" s="291"/>
      <c r="T2803" s="291"/>
      <c r="U2803" s="291"/>
      <c r="V2803" s="291"/>
    </row>
    <row r="2804" spans="1:22" s="515" customFormat="1" ht="27" customHeight="1">
      <c r="A2804" s="331">
        <v>460</v>
      </c>
      <c r="B2804" s="506" t="s">
        <v>3568</v>
      </c>
      <c r="C2804" s="584" t="s">
        <v>3660</v>
      </c>
      <c r="D2804" s="1377">
        <v>53.5</v>
      </c>
      <c r="E2804" s="475"/>
      <c r="F2804" s="1139"/>
      <c r="G2804" s="386"/>
      <c r="H2804" s="363"/>
      <c r="I2804" s="397"/>
      <c r="J2804" s="335"/>
      <c r="K2804" s="374">
        <f t="shared" si="113"/>
        <v>0</v>
      </c>
      <c r="L2804" s="338">
        <f t="shared" si="114"/>
        <v>0</v>
      </c>
      <c r="M2804" s="338"/>
      <c r="N2804" s="335"/>
      <c r="O2804" s="335"/>
      <c r="P2804" s="335"/>
      <c r="Q2804" s="335"/>
      <c r="R2804" s="1158"/>
      <c r="S2804" s="291"/>
      <c r="T2804" s="291"/>
      <c r="U2804" s="291"/>
      <c r="V2804" s="291"/>
    </row>
    <row r="2805" spans="1:22" s="515" customFormat="1" ht="27" customHeight="1">
      <c r="A2805" s="331"/>
      <c r="B2805" s="506"/>
      <c r="C2805" s="584"/>
      <c r="D2805" s="1377"/>
      <c r="E2805" s="475"/>
      <c r="F2805" s="1139"/>
      <c r="G2805" s="386"/>
      <c r="H2805" s="363"/>
      <c r="I2805" s="397"/>
      <c r="J2805" s="335"/>
      <c r="K2805" s="374">
        <f t="shared" si="113"/>
        <v>0</v>
      </c>
      <c r="L2805" s="338">
        <f t="shared" si="114"/>
        <v>0</v>
      </c>
      <c r="M2805" s="338"/>
      <c r="N2805" s="335"/>
      <c r="O2805" s="335"/>
      <c r="P2805" s="335"/>
      <c r="Q2805" s="335"/>
      <c r="R2805" s="1158"/>
      <c r="S2805" s="291"/>
      <c r="T2805" s="291"/>
      <c r="U2805" s="291"/>
      <c r="V2805" s="291"/>
    </row>
    <row r="2806" spans="1:22" s="515" customFormat="1" ht="27.6" customHeight="1">
      <c r="A2806" s="331"/>
      <c r="B2806" s="506"/>
      <c r="C2806" s="584"/>
      <c r="D2806" s="475"/>
      <c r="E2806" s="475"/>
      <c r="F2806" s="1139"/>
      <c r="G2806" s="386"/>
      <c r="H2806" s="363"/>
      <c r="I2806" s="397"/>
      <c r="J2806" s="335"/>
      <c r="K2806" s="374">
        <f t="shared" si="113"/>
        <v>0</v>
      </c>
      <c r="L2806" s="338">
        <f t="shared" si="114"/>
        <v>0</v>
      </c>
      <c r="M2806" s="338"/>
      <c r="N2806" s="335"/>
      <c r="O2806" s="335"/>
      <c r="P2806" s="335"/>
      <c r="Q2806" s="335"/>
      <c r="R2806" s="1158"/>
      <c r="S2806" s="291"/>
      <c r="T2806" s="291"/>
      <c r="U2806" s="291"/>
      <c r="V2806" s="291"/>
    </row>
    <row r="2807" spans="1:22" s="515" customFormat="1" ht="27.6" customHeight="1">
      <c r="A2807" s="331"/>
      <c r="B2807" s="506" t="s">
        <v>1003</v>
      </c>
      <c r="C2807" s="584"/>
      <c r="D2807" s="475"/>
      <c r="E2807" s="475"/>
      <c r="F2807" s="1139"/>
      <c r="G2807" s="386"/>
      <c r="H2807" s="363"/>
      <c r="I2807" s="397"/>
      <c r="J2807" s="335"/>
      <c r="K2807" s="374">
        <f t="shared" si="113"/>
        <v>0</v>
      </c>
      <c r="L2807" s="338">
        <f t="shared" si="114"/>
        <v>0</v>
      </c>
      <c r="M2807" s="338"/>
      <c r="N2807" s="335"/>
      <c r="O2807" s="335"/>
      <c r="P2807" s="335"/>
      <c r="Q2807" s="335"/>
      <c r="R2807" s="1158"/>
      <c r="S2807" s="291"/>
      <c r="T2807" s="291"/>
      <c r="U2807" s="291"/>
      <c r="V2807" s="291"/>
    </row>
    <row r="2808" spans="1:22" s="515" customFormat="1" ht="27.75" customHeight="1">
      <c r="A2808" s="331">
        <v>1</v>
      </c>
      <c r="B2808" s="506" t="s">
        <v>233</v>
      </c>
      <c r="C2808" s="584" t="s">
        <v>784</v>
      </c>
      <c r="D2808" s="382"/>
      <c r="E2808" s="475"/>
      <c r="F2808" s="1139"/>
      <c r="G2808" s="386"/>
      <c r="H2808" s="363" t="s">
        <v>831</v>
      </c>
      <c r="I2808" s="397">
        <v>13</v>
      </c>
      <c r="J2808" s="335">
        <v>417.3</v>
      </c>
      <c r="K2808" s="374">
        <f t="shared" si="113"/>
        <v>0</v>
      </c>
      <c r="L2808" s="338">
        <f t="shared" si="114"/>
        <v>417.3</v>
      </c>
      <c r="M2808" s="338"/>
      <c r="N2808" s="335"/>
      <c r="O2808" s="335"/>
      <c r="P2808" s="335"/>
      <c r="Q2808" s="335"/>
      <c r="R2808" s="1158"/>
      <c r="S2808" s="291"/>
      <c r="T2808" s="291"/>
      <c r="U2808" s="291"/>
      <c r="V2808" s="291"/>
    </row>
    <row r="2809" spans="1:22" s="515" customFormat="1" ht="27.75" customHeight="1">
      <c r="A2809" s="331"/>
      <c r="B2809" s="506" t="s">
        <v>1529</v>
      </c>
      <c r="C2809" s="584"/>
      <c r="D2809" s="382"/>
      <c r="E2809" s="475"/>
      <c r="F2809" s="1139"/>
      <c r="G2809" s="386"/>
      <c r="H2809" s="363" t="s">
        <v>833</v>
      </c>
      <c r="I2809" s="397">
        <v>10</v>
      </c>
      <c r="J2809" s="335">
        <v>321</v>
      </c>
      <c r="K2809" s="374">
        <f t="shared" si="113"/>
        <v>0</v>
      </c>
      <c r="L2809" s="338">
        <f t="shared" si="114"/>
        <v>321</v>
      </c>
      <c r="M2809" s="338"/>
      <c r="N2809" s="335"/>
      <c r="O2809" s="335"/>
      <c r="P2809" s="335"/>
      <c r="Q2809" s="335"/>
      <c r="R2809" s="1158"/>
      <c r="S2809" s="291"/>
      <c r="T2809" s="291"/>
      <c r="U2809" s="291"/>
      <c r="V2809" s="291"/>
    </row>
    <row r="2810" spans="1:22" s="515" customFormat="1" ht="27.75" customHeight="1">
      <c r="A2810" s="331">
        <v>2</v>
      </c>
      <c r="B2810" s="506" t="s">
        <v>234</v>
      </c>
      <c r="C2810" s="584" t="s">
        <v>785</v>
      </c>
      <c r="D2810" s="382"/>
      <c r="E2810" s="475"/>
      <c r="F2810" s="1139"/>
      <c r="G2810" s="386"/>
      <c r="H2810" s="363" t="s">
        <v>831</v>
      </c>
      <c r="I2810" s="397">
        <v>13</v>
      </c>
      <c r="J2810" s="335">
        <v>417.3</v>
      </c>
      <c r="K2810" s="374">
        <f t="shared" si="113"/>
        <v>0</v>
      </c>
      <c r="L2810" s="338">
        <f t="shared" si="114"/>
        <v>417.3</v>
      </c>
      <c r="M2810" s="338"/>
      <c r="N2810" s="335"/>
      <c r="O2810" s="335"/>
      <c r="P2810" s="335"/>
      <c r="Q2810" s="335"/>
      <c r="R2810" s="1158"/>
      <c r="S2810" s="291"/>
      <c r="T2810" s="291"/>
      <c r="U2810" s="291"/>
      <c r="V2810" s="291"/>
    </row>
    <row r="2811" spans="1:22" s="515" customFormat="1" ht="27.75" customHeight="1">
      <c r="A2811" s="331"/>
      <c r="B2811" s="506" t="s">
        <v>1799</v>
      </c>
      <c r="C2811" s="584"/>
      <c r="D2811" s="475"/>
      <c r="E2811" s="475"/>
      <c r="F2811" s="1139"/>
      <c r="G2811" s="386"/>
      <c r="H2811" s="363" t="s">
        <v>834</v>
      </c>
      <c r="I2811" s="397">
        <v>9</v>
      </c>
      <c r="J2811" s="335">
        <v>288.89999999999992</v>
      </c>
      <c r="K2811" s="374">
        <f t="shared" ref="K2811:K2849" si="115">G2811*11.54/100</f>
        <v>0</v>
      </c>
      <c r="L2811" s="338">
        <f t="shared" si="114"/>
        <v>288.89999999999992</v>
      </c>
      <c r="M2811" s="338"/>
      <c r="N2811" s="335"/>
      <c r="O2811" s="335"/>
      <c r="P2811" s="335"/>
      <c r="Q2811" s="335"/>
      <c r="R2811" s="1158"/>
      <c r="S2811" s="291"/>
      <c r="T2811" s="291"/>
      <c r="U2811" s="291"/>
      <c r="V2811" s="291"/>
    </row>
    <row r="2812" spans="1:22" s="515" customFormat="1" ht="27.75" customHeight="1">
      <c r="A2812" s="331">
        <v>3</v>
      </c>
      <c r="B2812" s="506" t="s">
        <v>235</v>
      </c>
      <c r="C2812" s="584" t="s">
        <v>776</v>
      </c>
      <c r="D2812" s="475"/>
      <c r="E2812" s="475"/>
      <c r="F2812" s="1139"/>
      <c r="G2812" s="386"/>
      <c r="H2812" s="363" t="s">
        <v>1115</v>
      </c>
      <c r="I2812" s="397">
        <v>23</v>
      </c>
      <c r="J2812" s="335">
        <v>738.3</v>
      </c>
      <c r="K2812" s="374">
        <f t="shared" si="115"/>
        <v>0</v>
      </c>
      <c r="L2812" s="338">
        <f t="shared" si="114"/>
        <v>738.3</v>
      </c>
      <c r="M2812" s="338"/>
      <c r="N2812" s="335"/>
      <c r="O2812" s="335"/>
      <c r="P2812" s="335"/>
      <c r="Q2812" s="335"/>
      <c r="R2812" s="1158"/>
      <c r="S2812" s="291"/>
      <c r="T2812" s="291"/>
      <c r="U2812" s="291"/>
      <c r="V2812" s="291"/>
    </row>
    <row r="2813" spans="1:22" s="515" customFormat="1" ht="27.75" customHeight="1">
      <c r="A2813" s="331"/>
      <c r="B2813" s="506" t="s">
        <v>235</v>
      </c>
      <c r="C2813" s="584" t="s">
        <v>823</v>
      </c>
      <c r="D2813" s="475"/>
      <c r="E2813" s="475"/>
      <c r="F2813" s="1139"/>
      <c r="G2813" s="386"/>
      <c r="H2813" s="363" t="s">
        <v>821</v>
      </c>
      <c r="I2813" s="397">
        <v>7</v>
      </c>
      <c r="J2813" s="335">
        <v>224.7</v>
      </c>
      <c r="K2813" s="374">
        <f t="shared" si="115"/>
        <v>0</v>
      </c>
      <c r="L2813" s="338">
        <f t="shared" si="114"/>
        <v>224.7</v>
      </c>
      <c r="M2813" s="338"/>
      <c r="N2813" s="335"/>
      <c r="O2813" s="335"/>
      <c r="P2813" s="335"/>
      <c r="Q2813" s="335"/>
      <c r="R2813" s="1158"/>
      <c r="S2813" s="291"/>
      <c r="T2813" s="291"/>
      <c r="U2813" s="291"/>
      <c r="V2813" s="291"/>
    </row>
    <row r="2814" spans="1:22" s="515" customFormat="1" ht="27.75" customHeight="1">
      <c r="A2814" s="331">
        <v>4</v>
      </c>
      <c r="B2814" s="506" t="s">
        <v>1244</v>
      </c>
      <c r="C2814" s="584" t="s">
        <v>1302</v>
      </c>
      <c r="D2814" s="475"/>
      <c r="E2814" s="475"/>
      <c r="F2814" s="1139"/>
      <c r="G2814" s="386"/>
      <c r="H2814" s="363" t="s">
        <v>2671</v>
      </c>
      <c r="I2814" s="397">
        <v>8</v>
      </c>
      <c r="J2814" s="335">
        <v>428</v>
      </c>
      <c r="K2814" s="374">
        <f t="shared" si="115"/>
        <v>0</v>
      </c>
      <c r="L2814" s="338">
        <f t="shared" si="114"/>
        <v>428</v>
      </c>
      <c r="M2814" s="338"/>
      <c r="N2814" s="335"/>
      <c r="O2814" s="335"/>
      <c r="P2814" s="335"/>
      <c r="Q2814" s="335"/>
      <c r="R2814" s="1158"/>
      <c r="S2814" s="291"/>
      <c r="T2814" s="291"/>
      <c r="U2814" s="291"/>
      <c r="V2814" s="291"/>
    </row>
    <row r="2815" spans="1:22" s="515" customFormat="1" ht="27.75" customHeight="1">
      <c r="A2815" s="331"/>
      <c r="B2815" s="506" t="s">
        <v>2229</v>
      </c>
      <c r="C2815" s="584" t="s">
        <v>2934</v>
      </c>
      <c r="D2815" s="475"/>
      <c r="E2815" s="475"/>
      <c r="F2815" s="1139"/>
      <c r="G2815" s="386"/>
      <c r="H2815" s="363" t="s">
        <v>3301</v>
      </c>
      <c r="I2815" s="397">
        <v>8</v>
      </c>
      <c r="J2815" s="335">
        <v>428</v>
      </c>
      <c r="K2815" s="374">
        <f t="shared" si="115"/>
        <v>0</v>
      </c>
      <c r="L2815" s="338">
        <f t="shared" si="114"/>
        <v>428</v>
      </c>
      <c r="M2815" s="338"/>
      <c r="N2815" s="335"/>
      <c r="O2815" s="335"/>
      <c r="P2815" s="335"/>
      <c r="Q2815" s="335"/>
      <c r="R2815" s="1158"/>
      <c r="S2815" s="291"/>
      <c r="T2815" s="291"/>
      <c r="U2815" s="291"/>
      <c r="V2815" s="291"/>
    </row>
    <row r="2816" spans="1:22" s="515" customFormat="1" ht="27.75" customHeight="1">
      <c r="A2816" s="331"/>
      <c r="B2816" s="506" t="s">
        <v>2229</v>
      </c>
      <c r="C2816" s="584" t="s">
        <v>2935</v>
      </c>
      <c r="D2816" s="475"/>
      <c r="E2816" s="475"/>
      <c r="F2816" s="1139"/>
      <c r="G2816" s="386"/>
      <c r="H2816" s="363" t="s">
        <v>3301</v>
      </c>
      <c r="I2816" s="397">
        <v>8</v>
      </c>
      <c r="J2816" s="335">
        <v>428</v>
      </c>
      <c r="K2816" s="374">
        <f t="shared" si="115"/>
        <v>0</v>
      </c>
      <c r="L2816" s="338">
        <f t="shared" si="114"/>
        <v>428</v>
      </c>
      <c r="M2816" s="338"/>
      <c r="N2816" s="335"/>
      <c r="O2816" s="335"/>
      <c r="P2816" s="335"/>
      <c r="Q2816" s="335"/>
      <c r="R2816" s="1158"/>
      <c r="S2816" s="291"/>
      <c r="T2816" s="291"/>
      <c r="U2816" s="291"/>
      <c r="V2816" s="291"/>
    </row>
    <row r="2817" spans="1:22" s="515" customFormat="1" ht="27.75" customHeight="1">
      <c r="A2817" s="331"/>
      <c r="B2817" s="506" t="s">
        <v>1244</v>
      </c>
      <c r="C2817" s="584" t="s">
        <v>1259</v>
      </c>
      <c r="D2817" s="475"/>
      <c r="E2817" s="475"/>
      <c r="F2817" s="1139"/>
      <c r="G2817" s="386"/>
      <c r="H2817" s="363" t="s">
        <v>3351</v>
      </c>
      <c r="I2817" s="397">
        <v>21</v>
      </c>
      <c r="J2817" s="335">
        <v>2247</v>
      </c>
      <c r="K2817" s="374">
        <f t="shared" si="115"/>
        <v>0</v>
      </c>
      <c r="L2817" s="338">
        <f t="shared" si="114"/>
        <v>2247</v>
      </c>
      <c r="M2817" s="338"/>
      <c r="N2817" s="335"/>
      <c r="O2817" s="335"/>
      <c r="P2817" s="335"/>
      <c r="Q2817" s="335"/>
      <c r="R2817" s="1158"/>
      <c r="S2817" s="291"/>
      <c r="T2817" s="291"/>
      <c r="U2817" s="291"/>
      <c r="V2817" s="291"/>
    </row>
    <row r="2818" spans="1:22" s="515" customFormat="1" ht="27.75" customHeight="1">
      <c r="A2818" s="331">
        <v>5</v>
      </c>
      <c r="B2818" s="506" t="s">
        <v>2109</v>
      </c>
      <c r="C2818" s="584" t="s">
        <v>3666</v>
      </c>
      <c r="D2818" s="475"/>
      <c r="E2818" s="475"/>
      <c r="F2818" s="1139"/>
      <c r="G2818" s="386"/>
      <c r="H2818" s="363" t="s">
        <v>3351</v>
      </c>
      <c r="I2818" s="397">
        <v>21</v>
      </c>
      <c r="J2818" s="335">
        <v>1123.5</v>
      </c>
      <c r="K2818" s="374">
        <f t="shared" si="115"/>
        <v>0</v>
      </c>
      <c r="L2818" s="338">
        <f t="shared" si="114"/>
        <v>1123.5</v>
      </c>
      <c r="M2818" s="338"/>
      <c r="N2818" s="335"/>
      <c r="O2818" s="335"/>
      <c r="P2818" s="335"/>
      <c r="Q2818" s="335"/>
      <c r="R2818" s="1158"/>
      <c r="S2818" s="291"/>
      <c r="T2818" s="291"/>
      <c r="U2818" s="291"/>
      <c r="V2818" s="291"/>
    </row>
    <row r="2819" spans="1:22" s="515" customFormat="1" ht="27.75" customHeight="1" thickBot="1">
      <c r="A2819" s="331"/>
      <c r="B2819" s="506"/>
      <c r="C2819" s="584"/>
      <c r="D2819" s="335"/>
      <c r="E2819" s="475"/>
      <c r="F2819" s="1139"/>
      <c r="G2819" s="386"/>
      <c r="H2819" s="363"/>
      <c r="I2819" s="397"/>
      <c r="J2819" s="335"/>
      <c r="K2819" s="374">
        <f t="shared" si="115"/>
        <v>0</v>
      </c>
      <c r="L2819" s="338">
        <f t="shared" si="114"/>
        <v>0</v>
      </c>
      <c r="M2819" s="338"/>
      <c r="N2819" s="335"/>
      <c r="O2819" s="335"/>
      <c r="P2819" s="335"/>
      <c r="Q2819" s="335"/>
      <c r="R2819" s="1158"/>
      <c r="S2819" s="291"/>
      <c r="T2819" s="291"/>
      <c r="U2819" s="291"/>
      <c r="V2819" s="291"/>
    </row>
    <row r="2820" spans="1:22" s="924" customFormat="1" ht="27.75" customHeight="1" thickTop="1" thickBot="1">
      <c r="A2820" s="891"/>
      <c r="B2820" s="592"/>
      <c r="C2820" s="1160"/>
      <c r="D2820" s="475"/>
      <c r="E2820" s="590"/>
      <c r="F2820" s="1161"/>
      <c r="G2820" s="1162"/>
      <c r="H2820" s="1160"/>
      <c r="I2820" s="593"/>
      <c r="J2820" s="590"/>
      <c r="K2820" s="374">
        <f t="shared" si="115"/>
        <v>0</v>
      </c>
      <c r="L2820" s="338">
        <f t="shared" si="114"/>
        <v>0</v>
      </c>
      <c r="M2820" s="446"/>
      <c r="N2820" s="453">
        <f>SUM(G2344:G2820)</f>
        <v>9769.1</v>
      </c>
      <c r="O2820" s="453">
        <f>SUM(J2344:J2820)</f>
        <v>37557</v>
      </c>
      <c r="P2820" s="453">
        <f>SUM(N2820:O2820)</f>
        <v>47326.1</v>
      </c>
      <c r="Q2820" s="452">
        <f>SUM(D2344:D2820)</f>
        <v>690809.2</v>
      </c>
      <c r="R2820" s="1153" t="s">
        <v>73</v>
      </c>
      <c r="S2820" s="452"/>
      <c r="T2820" s="452"/>
      <c r="U2820" s="452"/>
      <c r="V2820" s="452"/>
    </row>
    <row r="2821" spans="1:22" s="515" customFormat="1" ht="27.75" customHeight="1" thickTop="1">
      <c r="A2821" s="541"/>
      <c r="B2821" s="290" t="s">
        <v>216</v>
      </c>
      <c r="C2821" s="1163"/>
      <c r="D2821" s="475"/>
      <c r="E2821" s="289"/>
      <c r="F2821" s="1164"/>
      <c r="G2821" s="1158"/>
      <c r="H2821" s="1163"/>
      <c r="I2821" s="284"/>
      <c r="J2821" s="289"/>
      <c r="K2821" s="374">
        <f t="shared" si="115"/>
        <v>0</v>
      </c>
      <c r="L2821" s="338">
        <f t="shared" si="114"/>
        <v>0</v>
      </c>
      <c r="M2821" s="330"/>
      <c r="N2821" s="289"/>
      <c r="O2821" s="289"/>
      <c r="P2821" s="289"/>
      <c r="Q2821" s="289"/>
      <c r="R2821" s="1159"/>
      <c r="S2821" s="289"/>
      <c r="T2821" s="289"/>
      <c r="U2821" s="289"/>
      <c r="V2821" s="289"/>
    </row>
    <row r="2822" spans="1:22" s="515" customFormat="1" ht="27.75" customHeight="1">
      <c r="A2822" s="541">
        <v>1</v>
      </c>
      <c r="B2822" s="290" t="s">
        <v>2100</v>
      </c>
      <c r="C2822" s="1163" t="s">
        <v>3084</v>
      </c>
      <c r="D2822" s="475">
        <v>706</v>
      </c>
      <c r="E2822" s="289"/>
      <c r="F2822" s="1164"/>
      <c r="G2822" s="1158"/>
      <c r="H2822" s="1163"/>
      <c r="I2822" s="284"/>
      <c r="J2822" s="289"/>
      <c r="K2822" s="374">
        <f t="shared" si="115"/>
        <v>0</v>
      </c>
      <c r="L2822" s="338">
        <f t="shared" si="114"/>
        <v>0</v>
      </c>
      <c r="M2822" s="330"/>
      <c r="N2822" s="289"/>
      <c r="O2822" s="289"/>
      <c r="P2822" s="289"/>
      <c r="Q2822" s="289"/>
      <c r="R2822" s="1159"/>
      <c r="S2822" s="289"/>
      <c r="T2822" s="289"/>
      <c r="U2822" s="289"/>
      <c r="V2822" s="289"/>
    </row>
    <row r="2823" spans="1:22" s="515" customFormat="1" ht="27.75" customHeight="1">
      <c r="A2823" s="541">
        <v>2</v>
      </c>
      <c r="B2823" s="290" t="s">
        <v>2999</v>
      </c>
      <c r="C2823" s="1163" t="s">
        <v>3085</v>
      </c>
      <c r="D2823" s="475"/>
      <c r="E2823" s="289"/>
      <c r="F2823" s="1164"/>
      <c r="G2823" s="1158"/>
      <c r="H2823" s="1163" t="s">
        <v>3083</v>
      </c>
      <c r="I2823" s="284" t="s">
        <v>1822</v>
      </c>
      <c r="J2823" s="289">
        <v>882</v>
      </c>
      <c r="K2823" s="374">
        <f t="shared" si="115"/>
        <v>0</v>
      </c>
      <c r="L2823" s="338">
        <f t="shared" si="114"/>
        <v>882</v>
      </c>
      <c r="M2823" s="330"/>
      <c r="N2823" s="289"/>
      <c r="O2823" s="289"/>
      <c r="P2823" s="289"/>
      <c r="Q2823" s="289"/>
      <c r="R2823" s="1159"/>
      <c r="S2823" s="289"/>
      <c r="T2823" s="289"/>
      <c r="U2823" s="289"/>
      <c r="V2823" s="289"/>
    </row>
    <row r="2824" spans="1:22" s="515" customFormat="1" ht="27.75" customHeight="1">
      <c r="A2824" s="541">
        <v>3</v>
      </c>
      <c r="B2824" s="290" t="s">
        <v>2999</v>
      </c>
      <c r="C2824" s="1163" t="s">
        <v>3086</v>
      </c>
      <c r="D2824" s="475"/>
      <c r="E2824" s="289"/>
      <c r="F2824" s="1164"/>
      <c r="G2824" s="1158"/>
      <c r="H2824" s="1163" t="s">
        <v>3083</v>
      </c>
      <c r="I2824" s="284" t="s">
        <v>1822</v>
      </c>
      <c r="J2824" s="289">
        <v>882</v>
      </c>
      <c r="K2824" s="374">
        <f t="shared" si="115"/>
        <v>0</v>
      </c>
      <c r="L2824" s="338">
        <f t="shared" si="114"/>
        <v>882</v>
      </c>
      <c r="M2824" s="330"/>
      <c r="N2824" s="289"/>
      <c r="O2824" s="289"/>
      <c r="P2824" s="289"/>
      <c r="Q2824" s="289"/>
      <c r="R2824" s="1159"/>
      <c r="S2824" s="289"/>
      <c r="T2824" s="289"/>
      <c r="U2824" s="289"/>
      <c r="V2824" s="289"/>
    </row>
    <row r="2825" spans="1:22" s="515" customFormat="1" ht="27.75" customHeight="1">
      <c r="A2825" s="541">
        <v>4</v>
      </c>
      <c r="B2825" s="290" t="s">
        <v>1242</v>
      </c>
      <c r="C2825" s="1163" t="s">
        <v>3087</v>
      </c>
      <c r="D2825" s="475"/>
      <c r="E2825" s="289"/>
      <c r="F2825" s="1164"/>
      <c r="G2825" s="1158"/>
      <c r="H2825" s="1163" t="s">
        <v>3083</v>
      </c>
      <c r="I2825" s="284" t="s">
        <v>1822</v>
      </c>
      <c r="J2825" s="289">
        <v>100</v>
      </c>
      <c r="K2825" s="374">
        <f t="shared" si="115"/>
        <v>0</v>
      </c>
      <c r="L2825" s="338">
        <f t="shared" si="114"/>
        <v>100</v>
      </c>
      <c r="M2825" s="330"/>
      <c r="N2825" s="289"/>
      <c r="O2825" s="289"/>
      <c r="P2825" s="289"/>
      <c r="Q2825" s="289"/>
      <c r="R2825" s="1159"/>
      <c r="S2825" s="289"/>
      <c r="T2825" s="289"/>
      <c r="U2825" s="289"/>
      <c r="V2825" s="289"/>
    </row>
    <row r="2826" spans="1:22" s="515" customFormat="1" ht="27.75" customHeight="1">
      <c r="A2826" s="541">
        <v>5</v>
      </c>
      <c r="B2826" s="290" t="s">
        <v>2656</v>
      </c>
      <c r="C2826" s="1163" t="s">
        <v>3088</v>
      </c>
      <c r="D2826" s="475">
        <v>95</v>
      </c>
      <c r="E2826" s="289"/>
      <c r="F2826" s="1164"/>
      <c r="G2826" s="1158"/>
      <c r="H2826" s="1163"/>
      <c r="I2826" s="284"/>
      <c r="J2826" s="289"/>
      <c r="K2826" s="374">
        <f t="shared" si="115"/>
        <v>0</v>
      </c>
      <c r="L2826" s="338">
        <f t="shared" si="114"/>
        <v>0</v>
      </c>
      <c r="M2826" s="330"/>
      <c r="N2826" s="289"/>
      <c r="O2826" s="289"/>
      <c r="P2826" s="289"/>
      <c r="Q2826" s="289"/>
      <c r="R2826" s="1159"/>
      <c r="S2826" s="289"/>
      <c r="T2826" s="289"/>
      <c r="U2826" s="289"/>
      <c r="V2826" s="289"/>
    </row>
    <row r="2827" spans="1:22" s="515" customFormat="1" ht="27.75" customHeight="1">
      <c r="A2827" s="541">
        <v>6</v>
      </c>
      <c r="B2827" s="290" t="s">
        <v>3089</v>
      </c>
      <c r="C2827" s="1163" t="s">
        <v>3090</v>
      </c>
      <c r="D2827" s="475">
        <v>190</v>
      </c>
      <c r="E2827" s="289"/>
      <c r="F2827" s="1164"/>
      <c r="G2827" s="1158"/>
      <c r="H2827" s="1163"/>
      <c r="I2827" s="284"/>
      <c r="J2827" s="289"/>
      <c r="K2827" s="374">
        <f t="shared" si="115"/>
        <v>0</v>
      </c>
      <c r="L2827" s="338">
        <f t="shared" si="114"/>
        <v>0</v>
      </c>
      <c r="M2827" s="330"/>
      <c r="N2827" s="289"/>
      <c r="O2827" s="289"/>
      <c r="P2827" s="289"/>
      <c r="Q2827" s="289"/>
      <c r="R2827" s="1159"/>
      <c r="S2827" s="289"/>
      <c r="T2827" s="289"/>
      <c r="U2827" s="289"/>
      <c r="V2827" s="289"/>
    </row>
    <row r="2828" spans="1:22" s="515" customFormat="1" ht="27.75" customHeight="1">
      <c r="A2828" s="541">
        <v>7</v>
      </c>
      <c r="B2828" s="290" t="s">
        <v>1714</v>
      </c>
      <c r="C2828" s="1163" t="s">
        <v>3091</v>
      </c>
      <c r="D2828" s="335">
        <v>95</v>
      </c>
      <c r="E2828" s="289"/>
      <c r="F2828" s="1164"/>
      <c r="G2828" s="1158"/>
      <c r="H2828" s="1163"/>
      <c r="I2828" s="284"/>
      <c r="J2828" s="289"/>
      <c r="K2828" s="374">
        <f t="shared" si="115"/>
        <v>0</v>
      </c>
      <c r="L2828" s="338">
        <f t="shared" si="114"/>
        <v>0</v>
      </c>
      <c r="M2828" s="330"/>
      <c r="N2828" s="289"/>
      <c r="O2828" s="289"/>
      <c r="P2828" s="289"/>
      <c r="Q2828" s="289"/>
      <c r="R2828" s="1159"/>
      <c r="S2828" s="289"/>
      <c r="T2828" s="289"/>
      <c r="U2828" s="289"/>
      <c r="V2828" s="289"/>
    </row>
    <row r="2829" spans="1:22" s="515" customFormat="1" ht="27.75" customHeight="1">
      <c r="A2829" s="541">
        <v>8</v>
      </c>
      <c r="B2829" s="290" t="s">
        <v>2899</v>
      </c>
      <c r="C2829" s="1163" t="s">
        <v>3092</v>
      </c>
      <c r="D2829" s="335">
        <v>95</v>
      </c>
      <c r="E2829" s="289"/>
      <c r="F2829" s="1164"/>
      <c r="G2829" s="1158"/>
      <c r="H2829" s="1163"/>
      <c r="I2829" s="284"/>
      <c r="J2829" s="289"/>
      <c r="K2829" s="374">
        <f t="shared" si="115"/>
        <v>0</v>
      </c>
      <c r="L2829" s="338">
        <f t="shared" si="114"/>
        <v>0</v>
      </c>
      <c r="M2829" s="330"/>
      <c r="N2829" s="289"/>
      <c r="O2829" s="289"/>
      <c r="P2829" s="289"/>
      <c r="Q2829" s="289"/>
      <c r="R2829" s="1159"/>
      <c r="S2829" s="289"/>
      <c r="T2829" s="289"/>
      <c r="U2829" s="289"/>
      <c r="V2829" s="289"/>
    </row>
    <row r="2830" spans="1:22" s="515" customFormat="1" ht="27.75" customHeight="1">
      <c r="A2830" s="541">
        <v>9</v>
      </c>
      <c r="B2830" s="290" t="s">
        <v>3000</v>
      </c>
      <c r="C2830" s="1163" t="s">
        <v>3093</v>
      </c>
      <c r="D2830" s="335">
        <v>285</v>
      </c>
      <c r="E2830" s="289"/>
      <c r="F2830" s="1164"/>
      <c r="G2830" s="1158"/>
      <c r="H2830" s="1163"/>
      <c r="I2830" s="284"/>
      <c r="J2830" s="289"/>
      <c r="K2830" s="374">
        <f t="shared" si="115"/>
        <v>0</v>
      </c>
      <c r="L2830" s="338">
        <f t="shared" si="114"/>
        <v>0</v>
      </c>
      <c r="M2830" s="330"/>
      <c r="N2830" s="289"/>
      <c r="O2830" s="289"/>
      <c r="P2830" s="289"/>
      <c r="Q2830" s="289"/>
      <c r="R2830" s="1159"/>
      <c r="S2830" s="289"/>
      <c r="T2830" s="289"/>
      <c r="U2830" s="289"/>
      <c r="V2830" s="289"/>
    </row>
    <row r="2831" spans="1:22" s="515" customFormat="1" ht="27.75" customHeight="1">
      <c r="A2831" s="541">
        <v>10</v>
      </c>
      <c r="B2831" s="290" t="s">
        <v>3094</v>
      </c>
      <c r="C2831" s="1163" t="s">
        <v>3095</v>
      </c>
      <c r="D2831" s="335">
        <v>190</v>
      </c>
      <c r="E2831" s="289"/>
      <c r="F2831" s="1164"/>
      <c r="G2831" s="1158"/>
      <c r="H2831" s="1163"/>
      <c r="I2831" s="284"/>
      <c r="J2831" s="289"/>
      <c r="K2831" s="374">
        <f t="shared" si="115"/>
        <v>0</v>
      </c>
      <c r="L2831" s="338">
        <f t="shared" si="114"/>
        <v>0</v>
      </c>
      <c r="M2831" s="330"/>
      <c r="N2831" s="289"/>
      <c r="O2831" s="289"/>
      <c r="P2831" s="289"/>
      <c r="Q2831" s="289"/>
      <c r="R2831" s="1159"/>
      <c r="S2831" s="289"/>
      <c r="T2831" s="289"/>
      <c r="U2831" s="289"/>
      <c r="V2831" s="289"/>
    </row>
    <row r="2832" spans="1:22" s="515" customFormat="1" ht="27.75" customHeight="1">
      <c r="A2832" s="541">
        <v>11</v>
      </c>
      <c r="B2832" s="290" t="s">
        <v>3096</v>
      </c>
      <c r="C2832" s="1163" t="s">
        <v>3097</v>
      </c>
      <c r="D2832" s="335">
        <v>95</v>
      </c>
      <c r="E2832" s="289"/>
      <c r="F2832" s="1164"/>
      <c r="G2832" s="1158"/>
      <c r="H2832" s="1163"/>
      <c r="I2832" s="284"/>
      <c r="J2832" s="289"/>
      <c r="K2832" s="374">
        <f t="shared" si="115"/>
        <v>0</v>
      </c>
      <c r="L2832" s="338">
        <f t="shared" si="114"/>
        <v>0</v>
      </c>
      <c r="M2832" s="330"/>
      <c r="N2832" s="289"/>
      <c r="O2832" s="289"/>
      <c r="P2832" s="289"/>
      <c r="Q2832" s="289"/>
      <c r="R2832" s="1159"/>
      <c r="S2832" s="289"/>
      <c r="T2832" s="289"/>
      <c r="U2832" s="289"/>
      <c r="V2832" s="289"/>
    </row>
    <row r="2833" spans="1:22" s="515" customFormat="1" ht="27.75" customHeight="1">
      <c r="A2833" s="541">
        <v>12</v>
      </c>
      <c r="B2833" s="290" t="s">
        <v>2107</v>
      </c>
      <c r="C2833" s="1163" t="s">
        <v>3098</v>
      </c>
      <c r="D2833" s="335">
        <v>190</v>
      </c>
      <c r="E2833" s="289"/>
      <c r="F2833" s="1164"/>
      <c r="G2833" s="1158"/>
      <c r="H2833" s="1163"/>
      <c r="I2833" s="284"/>
      <c r="J2833" s="289"/>
      <c r="K2833" s="374">
        <f t="shared" si="115"/>
        <v>0</v>
      </c>
      <c r="L2833" s="338">
        <f t="shared" si="114"/>
        <v>0</v>
      </c>
      <c r="M2833" s="330"/>
      <c r="N2833" s="289"/>
      <c r="O2833" s="289"/>
      <c r="P2833" s="289"/>
      <c r="Q2833" s="289"/>
      <c r="R2833" s="1159"/>
      <c r="S2833" s="289"/>
      <c r="T2833" s="289"/>
      <c r="U2833" s="289"/>
      <c r="V2833" s="289"/>
    </row>
    <row r="2834" spans="1:22" s="515" customFormat="1" ht="27.75" customHeight="1">
      <c r="A2834" s="541">
        <v>13</v>
      </c>
      <c r="B2834" s="290" t="s">
        <v>2720</v>
      </c>
      <c r="C2834" s="1163" t="s">
        <v>3099</v>
      </c>
      <c r="D2834" s="335">
        <v>95</v>
      </c>
      <c r="E2834" s="289"/>
      <c r="F2834" s="1164"/>
      <c r="G2834" s="1158"/>
      <c r="H2834" s="1163"/>
      <c r="I2834" s="284"/>
      <c r="J2834" s="289"/>
      <c r="K2834" s="374">
        <f t="shared" si="115"/>
        <v>0</v>
      </c>
      <c r="L2834" s="338">
        <f t="shared" si="114"/>
        <v>0</v>
      </c>
      <c r="M2834" s="330"/>
      <c r="N2834" s="289"/>
      <c r="O2834" s="289"/>
      <c r="P2834" s="289"/>
      <c r="Q2834" s="289"/>
      <c r="R2834" s="1159"/>
      <c r="S2834" s="289"/>
      <c r="T2834" s="289"/>
      <c r="U2834" s="289"/>
      <c r="V2834" s="289"/>
    </row>
    <row r="2835" spans="1:22" s="515" customFormat="1" ht="27.75" customHeight="1">
      <c r="A2835" s="541">
        <v>14</v>
      </c>
      <c r="B2835" s="290" t="s">
        <v>3100</v>
      </c>
      <c r="C2835" s="1163" t="s">
        <v>3101</v>
      </c>
      <c r="D2835" s="335">
        <v>95</v>
      </c>
      <c r="E2835" s="289"/>
      <c r="F2835" s="1164"/>
      <c r="G2835" s="1158"/>
      <c r="H2835" s="1163"/>
      <c r="I2835" s="284"/>
      <c r="J2835" s="289"/>
      <c r="K2835" s="374">
        <f t="shared" si="115"/>
        <v>0</v>
      </c>
      <c r="L2835" s="338">
        <f t="shared" si="114"/>
        <v>0</v>
      </c>
      <c r="M2835" s="330"/>
      <c r="N2835" s="289"/>
      <c r="O2835" s="289"/>
      <c r="P2835" s="289"/>
      <c r="Q2835" s="289"/>
      <c r="R2835" s="1159"/>
      <c r="S2835" s="289"/>
      <c r="T2835" s="289"/>
      <c r="U2835" s="289"/>
      <c r="V2835" s="289"/>
    </row>
    <row r="2836" spans="1:22" s="515" customFormat="1" ht="27.75" customHeight="1">
      <c r="A2836" s="541">
        <v>15</v>
      </c>
      <c r="B2836" s="290" t="s">
        <v>1292</v>
      </c>
      <c r="C2836" s="1163" t="s">
        <v>3102</v>
      </c>
      <c r="D2836" s="335">
        <v>95</v>
      </c>
      <c r="E2836" s="289"/>
      <c r="F2836" s="1164"/>
      <c r="G2836" s="1158"/>
      <c r="H2836" s="1163"/>
      <c r="I2836" s="284"/>
      <c r="J2836" s="289"/>
      <c r="K2836" s="374">
        <f t="shared" si="115"/>
        <v>0</v>
      </c>
      <c r="L2836" s="338">
        <f t="shared" si="114"/>
        <v>0</v>
      </c>
      <c r="M2836" s="330"/>
      <c r="N2836" s="289"/>
      <c r="O2836" s="289"/>
      <c r="P2836" s="289"/>
      <c r="Q2836" s="289"/>
      <c r="R2836" s="1159"/>
      <c r="S2836" s="289"/>
      <c r="T2836" s="289"/>
      <c r="U2836" s="289"/>
      <c r="V2836" s="289"/>
    </row>
    <row r="2837" spans="1:22" s="515" customFormat="1" ht="27.75" customHeight="1">
      <c r="A2837" s="541">
        <v>16</v>
      </c>
      <c r="B2837" s="290" t="s">
        <v>3103</v>
      </c>
      <c r="C2837" s="1163" t="s">
        <v>3104</v>
      </c>
      <c r="D2837" s="335">
        <v>95</v>
      </c>
      <c r="E2837" s="289"/>
      <c r="F2837" s="1164"/>
      <c r="G2837" s="1158"/>
      <c r="H2837" s="1163"/>
      <c r="I2837" s="284"/>
      <c r="J2837" s="289"/>
      <c r="K2837" s="374">
        <f t="shared" si="115"/>
        <v>0</v>
      </c>
      <c r="L2837" s="338">
        <f t="shared" si="114"/>
        <v>0</v>
      </c>
      <c r="M2837" s="330"/>
      <c r="N2837" s="289"/>
      <c r="O2837" s="289"/>
      <c r="P2837" s="289"/>
      <c r="Q2837" s="289"/>
      <c r="R2837" s="1159"/>
      <c r="S2837" s="289"/>
      <c r="T2837" s="289"/>
      <c r="U2837" s="289"/>
      <c r="V2837" s="289"/>
    </row>
    <row r="2838" spans="1:22" s="515" customFormat="1" ht="27.75" customHeight="1">
      <c r="A2838" s="541">
        <v>17</v>
      </c>
      <c r="B2838" s="290" t="s">
        <v>3105</v>
      </c>
      <c r="C2838" s="1163" t="s">
        <v>3106</v>
      </c>
      <c r="D2838" s="335">
        <v>95</v>
      </c>
      <c r="E2838" s="289"/>
      <c r="F2838" s="1164"/>
      <c r="G2838" s="1158"/>
      <c r="H2838" s="1163"/>
      <c r="I2838" s="284"/>
      <c r="J2838" s="289"/>
      <c r="K2838" s="374">
        <f t="shared" si="115"/>
        <v>0</v>
      </c>
      <c r="L2838" s="338">
        <f t="shared" si="114"/>
        <v>0</v>
      </c>
      <c r="M2838" s="330"/>
      <c r="N2838" s="289"/>
      <c r="O2838" s="289"/>
      <c r="P2838" s="289"/>
      <c r="Q2838" s="289"/>
      <c r="R2838" s="1159"/>
      <c r="S2838" s="289"/>
      <c r="T2838" s="289"/>
      <c r="U2838" s="289"/>
      <c r="V2838" s="289"/>
    </row>
    <row r="2839" spans="1:22" s="515" customFormat="1" ht="27.75" customHeight="1">
      <c r="A2839" s="541">
        <v>18</v>
      </c>
      <c r="B2839" s="290" t="s">
        <v>2304</v>
      </c>
      <c r="C2839" s="1163" t="s">
        <v>3107</v>
      </c>
      <c r="D2839" s="475">
        <v>95</v>
      </c>
      <c r="E2839" s="289"/>
      <c r="F2839" s="1164"/>
      <c r="G2839" s="1158"/>
      <c r="H2839" s="1163"/>
      <c r="I2839" s="284"/>
      <c r="J2839" s="289"/>
      <c r="K2839" s="374">
        <f t="shared" si="115"/>
        <v>0</v>
      </c>
      <c r="L2839" s="338">
        <f t="shared" si="114"/>
        <v>0</v>
      </c>
      <c r="M2839" s="330"/>
      <c r="N2839" s="289"/>
      <c r="O2839" s="289"/>
      <c r="P2839" s="289"/>
      <c r="Q2839" s="289"/>
      <c r="R2839" s="1159"/>
      <c r="S2839" s="289"/>
      <c r="T2839" s="289"/>
      <c r="U2839" s="289"/>
      <c r="V2839" s="289"/>
    </row>
    <row r="2840" spans="1:22" s="515" customFormat="1" ht="27.75" customHeight="1">
      <c r="A2840" s="541">
        <v>19</v>
      </c>
      <c r="B2840" s="290" t="s">
        <v>1710</v>
      </c>
      <c r="C2840" s="1163" t="s">
        <v>3109</v>
      </c>
      <c r="D2840" s="475"/>
      <c r="E2840" s="289"/>
      <c r="F2840" s="1164"/>
      <c r="G2840" s="1158"/>
      <c r="H2840" s="1163" t="s">
        <v>2721</v>
      </c>
      <c r="I2840" s="284" t="s">
        <v>1822</v>
      </c>
      <c r="J2840" s="289">
        <v>696</v>
      </c>
      <c r="K2840" s="374">
        <f t="shared" si="115"/>
        <v>0</v>
      </c>
      <c r="L2840" s="338">
        <f t="shared" si="114"/>
        <v>696</v>
      </c>
      <c r="M2840" s="330"/>
      <c r="N2840" s="289"/>
      <c r="O2840" s="289"/>
      <c r="P2840" s="289"/>
      <c r="Q2840" s="289"/>
      <c r="R2840" s="1159"/>
      <c r="S2840" s="289"/>
      <c r="T2840" s="289"/>
      <c r="U2840" s="289"/>
      <c r="V2840" s="289"/>
    </row>
    <row r="2841" spans="1:22" s="515" customFormat="1" ht="27.75" customHeight="1">
      <c r="A2841" s="541">
        <v>20</v>
      </c>
      <c r="B2841" s="290" t="s">
        <v>1244</v>
      </c>
      <c r="C2841" s="1163" t="s">
        <v>3661</v>
      </c>
      <c r="D2841" s="1365"/>
      <c r="E2841" s="289"/>
      <c r="F2841" s="1164"/>
      <c r="G2841" s="1158"/>
      <c r="H2841" s="1163" t="s">
        <v>2627</v>
      </c>
      <c r="I2841" s="284" t="s">
        <v>1822</v>
      </c>
      <c r="J2841" s="289">
        <v>356.66</v>
      </c>
      <c r="K2841" s="374">
        <f t="shared" si="115"/>
        <v>0</v>
      </c>
      <c r="L2841" s="338">
        <f t="shared" si="114"/>
        <v>356.66</v>
      </c>
      <c r="M2841" s="330"/>
      <c r="N2841" s="289"/>
      <c r="O2841" s="289"/>
      <c r="P2841" s="289"/>
      <c r="Q2841" s="289"/>
      <c r="R2841" s="1159"/>
      <c r="S2841" s="289"/>
      <c r="T2841" s="289"/>
      <c r="U2841" s="289"/>
      <c r="V2841" s="289"/>
    </row>
    <row r="2842" spans="1:22" s="515" customFormat="1" ht="27.75" customHeight="1">
      <c r="A2842" s="541">
        <v>21</v>
      </c>
      <c r="B2842" s="290" t="s">
        <v>2109</v>
      </c>
      <c r="C2842" s="1163" t="s">
        <v>3108</v>
      </c>
      <c r="D2842" s="1365"/>
      <c r="E2842" s="289"/>
      <c r="F2842" s="1164"/>
      <c r="G2842" s="1158"/>
      <c r="H2842" s="1163" t="s">
        <v>3083</v>
      </c>
      <c r="I2842" s="284" t="s">
        <v>1822</v>
      </c>
      <c r="J2842" s="289">
        <v>17</v>
      </c>
      <c r="K2842" s="374">
        <f t="shared" si="115"/>
        <v>0</v>
      </c>
      <c r="L2842" s="338">
        <f t="shared" si="114"/>
        <v>17</v>
      </c>
      <c r="M2842" s="330"/>
      <c r="N2842" s="289"/>
      <c r="O2842" s="289"/>
      <c r="P2842" s="289"/>
      <c r="Q2842" s="289"/>
      <c r="R2842" s="1159"/>
      <c r="S2842" s="289"/>
      <c r="T2842" s="289"/>
      <c r="U2842" s="289"/>
      <c r="V2842" s="289"/>
    </row>
    <row r="2843" spans="1:22" s="1174" customFormat="1" ht="27.75" customHeight="1">
      <c r="A2843" s="1165"/>
      <c r="B2843" s="1166"/>
      <c r="C2843" s="1167"/>
      <c r="D2843" s="1366"/>
      <c r="E2843" s="1168"/>
      <c r="F2843" s="1169"/>
      <c r="G2843" s="1170"/>
      <c r="H2843" s="1167"/>
      <c r="I2843" s="1171"/>
      <c r="J2843" s="1168"/>
      <c r="K2843" s="374">
        <f t="shared" si="115"/>
        <v>0</v>
      </c>
      <c r="L2843" s="338">
        <f t="shared" si="114"/>
        <v>0</v>
      </c>
      <c r="M2843" s="1172"/>
      <c r="N2843" s="1168">
        <f>SUM(G2821:G2842)</f>
        <v>0</v>
      </c>
      <c r="O2843" s="1168">
        <f>SUM(J2821:J2842)</f>
        <v>2933.66</v>
      </c>
      <c r="P2843" s="1168">
        <f>SUM(N2843:O2843)</f>
        <v>2933.66</v>
      </c>
      <c r="Q2843" s="1168">
        <f>SUM(D2821:D2842)</f>
        <v>2511</v>
      </c>
      <c r="R2843" s="1173" t="s">
        <v>216</v>
      </c>
      <c r="S2843" s="1168"/>
      <c r="T2843" s="1168"/>
      <c r="U2843" s="1168"/>
      <c r="V2843" s="1168"/>
    </row>
    <row r="2844" spans="1:22" s="515" customFormat="1" ht="27.75" customHeight="1">
      <c r="A2844" s="541"/>
      <c r="B2844" s="290" t="s">
        <v>2732</v>
      </c>
      <c r="C2844" s="1163"/>
      <c r="D2844" s="1367"/>
      <c r="E2844" s="289"/>
      <c r="F2844" s="1164"/>
      <c r="G2844" s="1158"/>
      <c r="H2844" s="1163"/>
      <c r="I2844" s="284"/>
      <c r="J2844" s="289"/>
      <c r="K2844" s="374">
        <f t="shared" si="115"/>
        <v>0</v>
      </c>
      <c r="L2844" s="338">
        <f t="shared" si="114"/>
        <v>0</v>
      </c>
      <c r="M2844" s="330"/>
      <c r="N2844" s="289"/>
      <c r="O2844" s="289"/>
      <c r="P2844" s="289"/>
      <c r="Q2844" s="289"/>
      <c r="R2844" s="1159"/>
      <c r="S2844" s="289"/>
      <c r="T2844" s="289"/>
      <c r="U2844" s="289"/>
      <c r="V2844" s="289"/>
    </row>
    <row r="2845" spans="1:22" s="515" customFormat="1" ht="27.75" customHeight="1">
      <c r="A2845" s="541">
        <v>1</v>
      </c>
      <c r="B2845" s="290" t="s">
        <v>1244</v>
      </c>
      <c r="C2845" s="1163" t="s">
        <v>2727</v>
      </c>
      <c r="D2845" s="1367"/>
      <c r="E2845" s="289"/>
      <c r="F2845" s="1164"/>
      <c r="G2845" s="1158"/>
      <c r="H2845" s="1163" t="s">
        <v>2627</v>
      </c>
      <c r="I2845" s="284" t="s">
        <v>1822</v>
      </c>
      <c r="J2845" s="289">
        <v>197</v>
      </c>
      <c r="K2845" s="374">
        <f t="shared" si="115"/>
        <v>0</v>
      </c>
      <c r="L2845" s="338">
        <f t="shared" si="114"/>
        <v>197</v>
      </c>
      <c r="M2845" s="330"/>
      <c r="N2845" s="289"/>
      <c r="O2845" s="289"/>
      <c r="P2845" s="289"/>
      <c r="Q2845" s="289"/>
      <c r="R2845" s="1159"/>
      <c r="S2845" s="289"/>
      <c r="T2845" s="289"/>
      <c r="U2845" s="289"/>
      <c r="V2845" s="289"/>
    </row>
    <row r="2846" spans="1:22" s="515" customFormat="1" ht="27.75" customHeight="1">
      <c r="A2846" s="541"/>
      <c r="B2846" s="290" t="s">
        <v>1244</v>
      </c>
      <c r="C2846" s="1163" t="s">
        <v>2728</v>
      </c>
      <c r="D2846" s="1367"/>
      <c r="E2846" s="289"/>
      <c r="F2846" s="1164"/>
      <c r="G2846" s="1158"/>
      <c r="H2846" s="1163" t="s">
        <v>2627</v>
      </c>
      <c r="I2846" s="284" t="s">
        <v>1822</v>
      </c>
      <c r="J2846" s="289">
        <v>197</v>
      </c>
      <c r="K2846" s="374">
        <f t="shared" si="115"/>
        <v>0</v>
      </c>
      <c r="L2846" s="338">
        <f t="shared" si="114"/>
        <v>197</v>
      </c>
      <c r="M2846" s="330"/>
      <c r="N2846" s="289"/>
      <c r="O2846" s="289"/>
      <c r="P2846" s="289"/>
      <c r="Q2846" s="289"/>
      <c r="R2846" s="1159"/>
      <c r="S2846" s="289"/>
      <c r="T2846" s="289"/>
      <c r="U2846" s="289"/>
      <c r="V2846" s="289"/>
    </row>
    <row r="2847" spans="1:22" s="515" customFormat="1" ht="27.75" customHeight="1">
      <c r="A2847" s="541"/>
      <c r="B2847" s="290" t="s">
        <v>1244</v>
      </c>
      <c r="C2847" s="1163" t="s">
        <v>2730</v>
      </c>
      <c r="D2847" s="1367"/>
      <c r="E2847" s="289"/>
      <c r="F2847" s="1164"/>
      <c r="G2847" s="1158"/>
      <c r="H2847" s="1163" t="s">
        <v>2627</v>
      </c>
      <c r="I2847" s="284" t="s">
        <v>1822</v>
      </c>
      <c r="J2847" s="289">
        <v>285</v>
      </c>
      <c r="K2847" s="374">
        <f t="shared" si="115"/>
        <v>0</v>
      </c>
      <c r="L2847" s="338">
        <f t="shared" si="114"/>
        <v>285</v>
      </c>
      <c r="M2847" s="330"/>
      <c r="N2847" s="289"/>
      <c r="O2847" s="289"/>
      <c r="P2847" s="289"/>
      <c r="Q2847" s="289"/>
      <c r="R2847" s="1159"/>
      <c r="S2847" s="289"/>
      <c r="T2847" s="289"/>
      <c r="U2847" s="289"/>
      <c r="V2847" s="289"/>
    </row>
    <row r="2848" spans="1:22" s="515" customFormat="1" ht="27.75" customHeight="1">
      <c r="A2848" s="541"/>
      <c r="B2848" s="290" t="s">
        <v>1244</v>
      </c>
      <c r="C2848" s="1163" t="s">
        <v>2729</v>
      </c>
      <c r="D2848" s="1367"/>
      <c r="E2848" s="289"/>
      <c r="F2848" s="1164"/>
      <c r="G2848" s="1158"/>
      <c r="H2848" s="1163" t="s">
        <v>2627</v>
      </c>
      <c r="I2848" s="284" t="s">
        <v>1822</v>
      </c>
      <c r="J2848" s="289">
        <v>570</v>
      </c>
      <c r="K2848" s="374">
        <f t="shared" si="115"/>
        <v>0</v>
      </c>
      <c r="L2848" s="338">
        <f t="shared" si="114"/>
        <v>570</v>
      </c>
      <c r="M2848" s="330"/>
      <c r="N2848" s="289"/>
      <c r="O2848" s="289"/>
      <c r="P2848" s="289"/>
      <c r="Q2848" s="289"/>
      <c r="R2848" s="1159"/>
      <c r="S2848" s="289"/>
      <c r="T2848" s="289"/>
      <c r="U2848" s="289"/>
      <c r="V2848" s="289"/>
    </row>
    <row r="2849" spans="1:22" s="515" customFormat="1" ht="27.75" customHeight="1">
      <c r="A2849" s="541"/>
      <c r="B2849" s="290"/>
      <c r="C2849" s="1163"/>
      <c r="D2849" s="1367"/>
      <c r="E2849" s="289"/>
      <c r="F2849" s="1164"/>
      <c r="G2849" s="1158"/>
      <c r="H2849" s="1163"/>
      <c r="I2849" s="284"/>
      <c r="J2849" s="289"/>
      <c r="K2849" s="374">
        <f t="shared" si="115"/>
        <v>0</v>
      </c>
      <c r="L2849" s="338">
        <f t="shared" si="114"/>
        <v>0</v>
      </c>
      <c r="M2849" s="330"/>
      <c r="N2849" s="289"/>
      <c r="O2849" s="289"/>
      <c r="P2849" s="289"/>
      <c r="Q2849" s="289"/>
      <c r="R2849" s="1159"/>
      <c r="S2849" s="289"/>
      <c r="T2849" s="289"/>
      <c r="U2849" s="289"/>
      <c r="V2849" s="289"/>
    </row>
    <row r="2850" spans="1:22" s="1174" customFormat="1" ht="27.75" customHeight="1">
      <c r="A2850" s="1165"/>
      <c r="B2850" s="1166"/>
      <c r="C2850" s="1167"/>
      <c r="D2850" s="1367"/>
      <c r="E2850" s="1168"/>
      <c r="F2850" s="1169"/>
      <c r="G2850" s="1170"/>
      <c r="H2850" s="1167"/>
      <c r="I2850" s="1171"/>
      <c r="J2850" s="1168"/>
      <c r="K2850" s="1175"/>
      <c r="L2850" s="1175">
        <f>+J2850</f>
        <v>0</v>
      </c>
      <c r="M2850" s="1172"/>
      <c r="N2850" s="1168">
        <f>SUM(G2845:G2848)</f>
        <v>0</v>
      </c>
      <c r="O2850" s="1168">
        <f>SUM(J2844:J2848)</f>
        <v>1249</v>
      </c>
      <c r="P2850" s="1168">
        <f>SUM(N2850:O2850)</f>
        <v>1249</v>
      </c>
      <c r="Q2850" s="1168">
        <f>SUM(D2844:D2848)</f>
        <v>0</v>
      </c>
      <c r="R2850" s="1173" t="s">
        <v>2732</v>
      </c>
      <c r="S2850" s="1168"/>
      <c r="T2850" s="1168"/>
      <c r="U2850" s="1168"/>
      <c r="V2850" s="1168"/>
    </row>
    <row r="2851" spans="1:22" ht="27.75" customHeight="1" thickBot="1">
      <c r="A2851" s="321"/>
      <c r="B2851" s="1176"/>
      <c r="C2851" s="596" t="s">
        <v>26</v>
      </c>
      <c r="D2851" s="533"/>
      <c r="E2851" s="533"/>
      <c r="F2851" s="758"/>
      <c r="G2851" s="533">
        <f>SUM(G1946:G2848)</f>
        <v>537723.22869999998</v>
      </c>
      <c r="H2851" s="533"/>
      <c r="I2851" s="758"/>
      <c r="J2851" s="533">
        <f>SUM(J1948:J2850)</f>
        <v>1658078.5199999993</v>
      </c>
      <c r="K2851" s="374">
        <f>SUM(K1948:K2848)</f>
        <v>62053.260591980274</v>
      </c>
      <c r="L2851" s="533">
        <f>SUM(L1948:L2848)</f>
        <v>1658078.5199999993</v>
      </c>
      <c r="M2851" s="1084">
        <f>SUM(M2027:M2262)</f>
        <v>0</v>
      </c>
      <c r="N2851" s="599">
        <f>SUM(N1948:N2850)</f>
        <v>537723.22869999998</v>
      </c>
      <c r="O2851" s="599">
        <f>SUM(O1948:O2850)</f>
        <v>1658078.5199999993</v>
      </c>
      <c r="P2851" s="599">
        <f>SUM(P1948:P2850)</f>
        <v>2195801.7486999994</v>
      </c>
      <c r="Q2851" s="349">
        <f>SUM(D1948:D2850)</f>
        <v>771731.2</v>
      </c>
    </row>
    <row r="2852" spans="1:22" ht="27.75" customHeight="1" thickTop="1">
      <c r="A2852" s="343"/>
      <c r="B2852" s="1177"/>
      <c r="C2852" s="1129"/>
      <c r="D2852" s="289"/>
      <c r="E2852" s="478"/>
      <c r="F2852" s="541"/>
      <c r="G2852" s="1178"/>
      <c r="H2852" s="601"/>
      <c r="I2852" s="541"/>
      <c r="J2852" s="330">
        <f>+G2851+J2851</f>
        <v>2195801.7486999994</v>
      </c>
      <c r="K2852" s="374">
        <f t="shared" ref="K2852:K2914" si="116">G2852*11.54/100</f>
        <v>0</v>
      </c>
      <c r="L2852" s="1000">
        <f>+K2851+L2851</f>
        <v>1720131.7805919796</v>
      </c>
      <c r="M2852" s="488"/>
      <c r="N2852" s="995">
        <f>+G2851+J2851</f>
        <v>2195801.7486999994</v>
      </c>
      <c r="O2852" s="603">
        <f>P2852-N2852</f>
        <v>0</v>
      </c>
      <c r="P2852" s="410">
        <v>2195801.7486999994</v>
      </c>
      <c r="R2852" s="484">
        <f>+Q2851-'รับล่วงหน้า บช.'!E108</f>
        <v>0</v>
      </c>
    </row>
    <row r="2853" spans="1:22" s="436" customFormat="1" ht="27.75" customHeight="1">
      <c r="A2853" s="425"/>
      <c r="B2853" s="547" t="s">
        <v>142</v>
      </c>
      <c r="C2853" s="548"/>
      <c r="D2853" s="429"/>
      <c r="E2853" s="429"/>
      <c r="F2853" s="430"/>
      <c r="G2853" s="431"/>
      <c r="H2853" s="427"/>
      <c r="I2853" s="430"/>
      <c r="J2853" s="429"/>
      <c r="K2853" s="374">
        <f t="shared" si="116"/>
        <v>0</v>
      </c>
      <c r="L2853" s="427"/>
      <c r="M2853" s="360"/>
      <c r="N2853" s="357"/>
      <c r="O2853" s="358"/>
      <c r="P2853" s="410"/>
      <c r="Q2853" s="410"/>
      <c r="R2853" s="411"/>
      <c r="S2853" s="358"/>
      <c r="T2853" s="358"/>
      <c r="U2853" s="358"/>
      <c r="V2853" s="358"/>
    </row>
    <row r="2854" spans="1:22" ht="27.75" customHeight="1">
      <c r="B2854" s="373" t="s">
        <v>66</v>
      </c>
      <c r="C2854" s="393"/>
      <c r="D2854" s="365"/>
      <c r="E2854" s="365"/>
      <c r="F2854" s="366"/>
      <c r="G2854" s="367"/>
      <c r="H2854" s="368"/>
      <c r="I2854" s="366"/>
      <c r="J2854" s="365"/>
      <c r="K2854" s="374">
        <f t="shared" si="116"/>
        <v>0</v>
      </c>
      <c r="L2854" s="368"/>
      <c r="M2854" s="371"/>
      <c r="N2854" s="370"/>
      <c r="P2854" s="370"/>
      <c r="Q2854" s="370"/>
      <c r="R2854" s="371"/>
      <c r="S2854" s="289"/>
      <c r="T2854" s="289"/>
      <c r="U2854" s="289"/>
      <c r="V2854" s="289"/>
    </row>
    <row r="2855" spans="1:22" ht="27.6" customHeight="1">
      <c r="A2855" s="331">
        <v>1</v>
      </c>
      <c r="B2855" s="373" t="s">
        <v>155</v>
      </c>
      <c r="C2855" s="393" t="s">
        <v>145</v>
      </c>
      <c r="D2855" s="335"/>
      <c r="H2855" s="580" t="s">
        <v>955</v>
      </c>
      <c r="I2855" s="331">
        <v>13</v>
      </c>
      <c r="J2855" s="338">
        <v>15000</v>
      </c>
      <c r="K2855" s="374">
        <f t="shared" si="116"/>
        <v>0</v>
      </c>
      <c r="L2855" s="374">
        <f t="shared" ref="L2855:L2881" si="117">J2855</f>
        <v>15000</v>
      </c>
      <c r="M2855" s="488"/>
      <c r="N2855" s="287"/>
      <c r="P2855" s="1179"/>
      <c r="R2855" s="484"/>
    </row>
    <row r="2856" spans="1:22" ht="27.75" customHeight="1">
      <c r="A2856" s="331">
        <v>2</v>
      </c>
      <c r="B2856" s="373" t="s">
        <v>140</v>
      </c>
      <c r="C2856" s="393" t="s">
        <v>19</v>
      </c>
      <c r="D2856" s="335"/>
      <c r="H2856" s="580" t="s">
        <v>212</v>
      </c>
      <c r="I2856" s="331">
        <v>29</v>
      </c>
      <c r="J2856" s="338">
        <v>28000</v>
      </c>
      <c r="K2856" s="374">
        <f t="shared" si="116"/>
        <v>0</v>
      </c>
      <c r="L2856" s="374">
        <f t="shared" si="117"/>
        <v>28000</v>
      </c>
      <c r="M2856" s="488"/>
      <c r="N2856" s="287"/>
      <c r="P2856" s="1179"/>
      <c r="R2856" s="484"/>
    </row>
    <row r="2857" spans="1:22" ht="27.75" customHeight="1">
      <c r="A2857" s="331">
        <v>3</v>
      </c>
      <c r="B2857" s="373" t="s">
        <v>14</v>
      </c>
      <c r="C2857" s="393" t="s">
        <v>11</v>
      </c>
      <c r="D2857" s="335"/>
      <c r="H2857" s="580" t="s">
        <v>954</v>
      </c>
      <c r="I2857" s="331">
        <v>66</v>
      </c>
      <c r="J2857" s="338">
        <v>46500</v>
      </c>
      <c r="K2857" s="374">
        <f t="shared" si="116"/>
        <v>0</v>
      </c>
      <c r="L2857" s="374">
        <f t="shared" si="117"/>
        <v>46500</v>
      </c>
      <c r="M2857" s="488"/>
      <c r="N2857" s="287"/>
      <c r="P2857" s="1179"/>
      <c r="R2857" s="484"/>
    </row>
    <row r="2858" spans="1:22" ht="27.75" customHeight="1">
      <c r="A2858" s="331">
        <v>4</v>
      </c>
      <c r="B2858" s="373" t="s">
        <v>13</v>
      </c>
      <c r="C2858" s="393" t="s">
        <v>10</v>
      </c>
      <c r="D2858" s="335"/>
      <c r="H2858" s="335" t="s">
        <v>953</v>
      </c>
      <c r="I2858" s="331">
        <v>68</v>
      </c>
      <c r="J2858" s="336">
        <v>48500</v>
      </c>
      <c r="K2858" s="374">
        <f t="shared" si="116"/>
        <v>0</v>
      </c>
      <c r="L2858" s="374">
        <f t="shared" si="117"/>
        <v>48500</v>
      </c>
      <c r="M2858" s="488"/>
      <c r="N2858" s="287"/>
      <c r="P2858" s="1179"/>
      <c r="R2858" s="484"/>
    </row>
    <row r="2859" spans="1:22" ht="27.75" customHeight="1">
      <c r="A2859" s="331">
        <v>5</v>
      </c>
      <c r="B2859" s="373" t="s">
        <v>12</v>
      </c>
      <c r="C2859" s="393" t="s">
        <v>1314</v>
      </c>
      <c r="D2859" s="335"/>
      <c r="H2859" s="580" t="s">
        <v>213</v>
      </c>
      <c r="I2859" s="331">
        <v>16</v>
      </c>
      <c r="J2859" s="338">
        <v>37600</v>
      </c>
      <c r="K2859" s="374">
        <f t="shared" si="116"/>
        <v>0</v>
      </c>
      <c r="L2859" s="338">
        <f t="shared" si="117"/>
        <v>37600</v>
      </c>
      <c r="M2859" s="488"/>
      <c r="N2859" s="287"/>
      <c r="R2859" s="484"/>
      <c r="S2859" s="289"/>
      <c r="T2859" s="289"/>
      <c r="U2859" s="289"/>
      <c r="V2859" s="289"/>
    </row>
    <row r="2860" spans="1:22" ht="27.75" customHeight="1">
      <c r="B2860" s="373"/>
      <c r="C2860" s="393"/>
      <c r="D2860" s="335"/>
      <c r="H2860" s="393"/>
      <c r="J2860" s="374"/>
      <c r="K2860" s="374"/>
      <c r="L2860" s="374"/>
      <c r="M2860" s="488"/>
      <c r="N2860" s="287"/>
      <c r="P2860" s="1179"/>
      <c r="R2860" s="484"/>
    </row>
    <row r="2861" spans="1:22" ht="27.75" customHeight="1">
      <c r="B2861" s="373" t="s">
        <v>2735</v>
      </c>
      <c r="C2861" s="393"/>
      <c r="D2861" s="335"/>
      <c r="K2861" s="374"/>
      <c r="L2861" s="374"/>
      <c r="M2861" s="488"/>
      <c r="N2861" s="287"/>
      <c r="P2861" s="1179"/>
      <c r="R2861" s="484"/>
    </row>
    <row r="2862" spans="1:22" ht="27.75" customHeight="1">
      <c r="A2862" s="331">
        <v>1</v>
      </c>
      <c r="B2862" s="373" t="s">
        <v>34</v>
      </c>
      <c r="C2862" s="393" t="s">
        <v>1315</v>
      </c>
      <c r="D2862" s="335"/>
      <c r="H2862" s="477" t="s">
        <v>1261</v>
      </c>
      <c r="I2862" s="331">
        <v>39</v>
      </c>
      <c r="J2862" s="374">
        <v>39100</v>
      </c>
      <c r="K2862" s="374">
        <f t="shared" si="116"/>
        <v>0</v>
      </c>
      <c r="L2862" s="374">
        <f t="shared" si="117"/>
        <v>39100</v>
      </c>
      <c r="M2862" s="488"/>
      <c r="N2862" s="287"/>
      <c r="P2862" s="1179"/>
      <c r="R2862" s="484"/>
    </row>
    <row r="2863" spans="1:22" ht="27.75" customHeight="1">
      <c r="B2863" s="506"/>
      <c r="C2863" s="1114"/>
      <c r="D2863" s="475"/>
      <c r="H2863" s="477"/>
      <c r="J2863" s="374"/>
      <c r="K2863" s="374">
        <f t="shared" si="116"/>
        <v>0</v>
      </c>
      <c r="L2863" s="374">
        <f t="shared" si="117"/>
        <v>0</v>
      </c>
      <c r="M2863" s="488"/>
      <c r="N2863" s="287"/>
      <c r="P2863" s="930"/>
      <c r="R2863" s="484"/>
      <c r="T2863" s="291">
        <f>+L2863</f>
        <v>0</v>
      </c>
    </row>
    <row r="2864" spans="1:22" ht="27.6" customHeight="1">
      <c r="B2864" s="506" t="s">
        <v>2245</v>
      </c>
      <c r="C2864" s="1114"/>
      <c r="D2864" s="475"/>
      <c r="H2864" s="477"/>
      <c r="J2864" s="374"/>
      <c r="K2864" s="374">
        <f t="shared" si="116"/>
        <v>0</v>
      </c>
      <c r="L2864" s="374">
        <f t="shared" si="117"/>
        <v>0</v>
      </c>
      <c r="M2864" s="488"/>
      <c r="N2864" s="287"/>
      <c r="P2864" s="930"/>
      <c r="R2864" s="484"/>
    </row>
    <row r="2865" spans="1:18" ht="27.6" customHeight="1">
      <c r="A2865" s="331">
        <v>1</v>
      </c>
      <c r="B2865" s="506" t="s">
        <v>139</v>
      </c>
      <c r="C2865" s="1114" t="s">
        <v>114</v>
      </c>
      <c r="D2865" s="475"/>
      <c r="H2865" s="477" t="s">
        <v>3169</v>
      </c>
      <c r="I2865" s="331">
        <v>43</v>
      </c>
      <c r="J2865" s="374">
        <v>83300</v>
      </c>
      <c r="K2865" s="374">
        <f t="shared" si="116"/>
        <v>0</v>
      </c>
      <c r="L2865" s="374">
        <f t="shared" si="117"/>
        <v>83300</v>
      </c>
      <c r="M2865" s="488"/>
      <c r="N2865" s="287"/>
      <c r="P2865" s="930"/>
      <c r="R2865" s="484"/>
    </row>
    <row r="2866" spans="1:18" ht="27.6" customHeight="1">
      <c r="A2866" s="331">
        <v>2</v>
      </c>
      <c r="B2866" s="506" t="s">
        <v>1316</v>
      </c>
      <c r="C2866" s="1114" t="s">
        <v>190</v>
      </c>
      <c r="D2866" s="475"/>
      <c r="H2866" s="477" t="s">
        <v>202</v>
      </c>
      <c r="I2866" s="331">
        <v>24</v>
      </c>
      <c r="J2866" s="374">
        <v>14000</v>
      </c>
      <c r="K2866" s="374">
        <f t="shared" si="116"/>
        <v>0</v>
      </c>
      <c r="L2866" s="374">
        <f t="shared" si="117"/>
        <v>14000</v>
      </c>
      <c r="M2866" s="488"/>
      <c r="N2866" s="287"/>
      <c r="P2866" s="930"/>
      <c r="R2866" s="484"/>
    </row>
    <row r="2867" spans="1:18" ht="27.75" customHeight="1">
      <c r="A2867" s="331">
        <v>3</v>
      </c>
      <c r="B2867" s="506" t="s">
        <v>859</v>
      </c>
      <c r="C2867" s="1114" t="s">
        <v>164</v>
      </c>
      <c r="D2867" s="475"/>
      <c r="H2867" s="477" t="s">
        <v>952</v>
      </c>
      <c r="I2867" s="331">
        <v>34</v>
      </c>
      <c r="J2867" s="374">
        <v>3500</v>
      </c>
      <c r="K2867" s="374">
        <f t="shared" si="116"/>
        <v>0</v>
      </c>
      <c r="L2867" s="374">
        <f t="shared" si="117"/>
        <v>3500</v>
      </c>
      <c r="M2867" s="488"/>
      <c r="N2867" s="287"/>
      <c r="P2867" s="930"/>
      <c r="R2867" s="484"/>
    </row>
    <row r="2868" spans="1:18" ht="27.75" customHeight="1">
      <c r="B2868" s="506"/>
      <c r="C2868" s="1114"/>
      <c r="D2868" s="475"/>
      <c r="H2868" s="477"/>
      <c r="J2868" s="374"/>
      <c r="K2868" s="374"/>
      <c r="L2868" s="374"/>
      <c r="M2868" s="488"/>
      <c r="N2868" s="287"/>
      <c r="P2868" s="930"/>
      <c r="R2868" s="484"/>
    </row>
    <row r="2869" spans="1:18" ht="27.75" customHeight="1">
      <c r="B2869" s="506"/>
      <c r="C2869" s="1114"/>
      <c r="D2869" s="475"/>
      <c r="H2869" s="477"/>
      <c r="J2869" s="374"/>
      <c r="K2869" s="374"/>
      <c r="L2869" s="374"/>
      <c r="M2869" s="488"/>
      <c r="N2869" s="287"/>
      <c r="P2869" s="930"/>
      <c r="R2869" s="484"/>
    </row>
    <row r="2870" spans="1:18" ht="27.75" customHeight="1">
      <c r="B2870" s="1180" t="s">
        <v>1003</v>
      </c>
      <c r="C2870" s="1181"/>
      <c r="D2870" s="335"/>
      <c r="H2870" s="477"/>
      <c r="J2870" s="374"/>
      <c r="K2870" s="374">
        <f t="shared" si="116"/>
        <v>0</v>
      </c>
      <c r="L2870" s="374">
        <f t="shared" si="117"/>
        <v>0</v>
      </c>
      <c r="M2870" s="488"/>
      <c r="N2870" s="287"/>
      <c r="P2870" s="930"/>
      <c r="R2870" s="484"/>
    </row>
    <row r="2871" spans="1:18" ht="27.75" customHeight="1">
      <c r="A2871" s="331">
        <v>1</v>
      </c>
      <c r="B2871" s="506" t="s">
        <v>1262</v>
      </c>
      <c r="C2871" s="1181" t="s">
        <v>1263</v>
      </c>
      <c r="D2871" s="335"/>
      <c r="H2871" s="477" t="s">
        <v>1311</v>
      </c>
      <c r="I2871" s="331">
        <v>2</v>
      </c>
      <c r="J2871" s="374">
        <v>11000</v>
      </c>
      <c r="K2871" s="374">
        <f t="shared" si="116"/>
        <v>0</v>
      </c>
      <c r="L2871" s="374">
        <f t="shared" si="117"/>
        <v>11000</v>
      </c>
      <c r="M2871" s="488"/>
      <c r="N2871" s="287"/>
      <c r="P2871" s="930"/>
      <c r="R2871" s="484"/>
    </row>
    <row r="2872" spans="1:18" ht="27.75" customHeight="1">
      <c r="A2872" s="331">
        <v>2</v>
      </c>
      <c r="B2872" s="506" t="s">
        <v>965</v>
      </c>
      <c r="C2872" s="1181" t="s">
        <v>20</v>
      </c>
      <c r="D2872" s="335"/>
      <c r="H2872" s="477" t="s">
        <v>1310</v>
      </c>
      <c r="I2872" s="331">
        <v>3</v>
      </c>
      <c r="J2872" s="374">
        <v>6000</v>
      </c>
      <c r="K2872" s="374">
        <f t="shared" si="116"/>
        <v>0</v>
      </c>
      <c r="L2872" s="374">
        <f t="shared" si="117"/>
        <v>6000</v>
      </c>
      <c r="M2872" s="488"/>
      <c r="N2872" s="287"/>
      <c r="P2872" s="930"/>
      <c r="R2872" s="484"/>
    </row>
    <row r="2873" spans="1:18" ht="27.75" customHeight="1">
      <c r="A2873" s="331">
        <v>3</v>
      </c>
      <c r="B2873" s="506" t="s">
        <v>1312</v>
      </c>
      <c r="C2873" s="1181" t="s">
        <v>1313</v>
      </c>
      <c r="D2873" s="335"/>
      <c r="H2873" s="477" t="s">
        <v>227</v>
      </c>
      <c r="I2873" s="331">
        <v>37</v>
      </c>
      <c r="J2873" s="374">
        <v>22300</v>
      </c>
      <c r="K2873" s="374">
        <f t="shared" si="116"/>
        <v>0</v>
      </c>
      <c r="L2873" s="374">
        <f t="shared" si="117"/>
        <v>22300</v>
      </c>
      <c r="M2873" s="488"/>
      <c r="N2873" s="287"/>
      <c r="P2873" s="930"/>
      <c r="R2873" s="484"/>
    </row>
    <row r="2874" spans="1:18" ht="27.75" customHeight="1">
      <c r="A2874" s="331">
        <v>4</v>
      </c>
      <c r="B2874" s="506" t="s">
        <v>1318</v>
      </c>
      <c r="C2874" s="1181" t="s">
        <v>956</v>
      </c>
      <c r="D2874" s="335"/>
      <c r="H2874" s="477" t="s">
        <v>203</v>
      </c>
      <c r="I2874" s="331">
        <v>23</v>
      </c>
      <c r="J2874" s="374">
        <v>50000</v>
      </c>
      <c r="K2874" s="374">
        <f t="shared" si="116"/>
        <v>0</v>
      </c>
      <c r="L2874" s="374">
        <f t="shared" si="117"/>
        <v>50000</v>
      </c>
      <c r="M2874" s="488"/>
      <c r="N2874" s="287"/>
      <c r="P2874" s="930"/>
      <c r="R2874" s="484"/>
    </row>
    <row r="2875" spans="1:18" ht="27.75" customHeight="1">
      <c r="A2875" s="331">
        <v>5</v>
      </c>
      <c r="B2875" s="506" t="s">
        <v>71</v>
      </c>
      <c r="C2875" s="1181" t="s">
        <v>72</v>
      </c>
      <c r="D2875" s="335"/>
      <c r="H2875" s="477" t="s">
        <v>183</v>
      </c>
      <c r="I2875" s="331">
        <v>40</v>
      </c>
      <c r="J2875" s="374">
        <v>79500</v>
      </c>
      <c r="K2875" s="374">
        <f t="shared" si="116"/>
        <v>0</v>
      </c>
      <c r="L2875" s="374">
        <f t="shared" si="117"/>
        <v>79500</v>
      </c>
      <c r="M2875" s="488"/>
      <c r="N2875" s="287"/>
      <c r="P2875" s="930"/>
      <c r="R2875" s="484"/>
    </row>
    <row r="2876" spans="1:18" ht="27.75" customHeight="1">
      <c r="A2876" s="331">
        <v>6</v>
      </c>
      <c r="B2876" s="506" t="s">
        <v>1317</v>
      </c>
      <c r="C2876" s="1181" t="s">
        <v>933</v>
      </c>
      <c r="D2876" s="335"/>
      <c r="H2876" s="477" t="s">
        <v>201</v>
      </c>
      <c r="I2876" s="331">
        <v>42</v>
      </c>
      <c r="J2876" s="374">
        <v>41000</v>
      </c>
      <c r="K2876" s="374">
        <f t="shared" si="116"/>
        <v>0</v>
      </c>
      <c r="L2876" s="374">
        <f t="shared" si="117"/>
        <v>41000</v>
      </c>
      <c r="M2876" s="488"/>
      <c r="N2876" s="287"/>
      <c r="P2876" s="930"/>
      <c r="R2876" s="484"/>
    </row>
    <row r="2877" spans="1:18" ht="27.75" customHeight="1">
      <c r="A2877" s="331">
        <v>7</v>
      </c>
      <c r="B2877" s="506" t="s">
        <v>37</v>
      </c>
      <c r="C2877" s="1181" t="s">
        <v>38</v>
      </c>
      <c r="D2877" s="335"/>
      <c r="H2877" s="477" t="s">
        <v>182</v>
      </c>
      <c r="I2877" s="331">
        <v>49</v>
      </c>
      <c r="J2877" s="374">
        <v>92000</v>
      </c>
      <c r="K2877" s="374">
        <f t="shared" si="116"/>
        <v>0</v>
      </c>
      <c r="L2877" s="374">
        <f t="shared" si="117"/>
        <v>92000</v>
      </c>
      <c r="M2877" s="488"/>
      <c r="N2877" s="287"/>
      <c r="P2877" s="930"/>
      <c r="R2877" s="484"/>
    </row>
    <row r="2878" spans="1:18" ht="27.75" customHeight="1">
      <c r="A2878" s="331">
        <v>8</v>
      </c>
      <c r="B2878" s="506" t="s">
        <v>74</v>
      </c>
      <c r="C2878" s="1181" t="s">
        <v>75</v>
      </c>
      <c r="D2878" s="335"/>
      <c r="H2878" s="477" t="s">
        <v>181</v>
      </c>
      <c r="I2878" s="331">
        <v>41</v>
      </c>
      <c r="J2878" s="374">
        <v>41000</v>
      </c>
      <c r="K2878" s="374">
        <f t="shared" si="116"/>
        <v>0</v>
      </c>
      <c r="L2878" s="374">
        <f t="shared" si="117"/>
        <v>41000</v>
      </c>
      <c r="M2878" s="488"/>
      <c r="N2878" s="287"/>
      <c r="P2878" s="930"/>
      <c r="R2878" s="484"/>
    </row>
    <row r="2879" spans="1:18" ht="27.75" customHeight="1">
      <c r="A2879" s="331">
        <v>9</v>
      </c>
      <c r="B2879" s="506" t="s">
        <v>966</v>
      </c>
      <c r="C2879" s="1181" t="s">
        <v>825</v>
      </c>
      <c r="D2879" s="335"/>
      <c r="H2879" s="477" t="s">
        <v>967</v>
      </c>
      <c r="I2879" s="331">
        <v>4</v>
      </c>
      <c r="J2879" s="374">
        <v>5000</v>
      </c>
      <c r="K2879" s="374">
        <f t="shared" si="116"/>
        <v>0</v>
      </c>
      <c r="L2879" s="374">
        <f t="shared" si="117"/>
        <v>5000</v>
      </c>
      <c r="M2879" s="488"/>
      <c r="N2879" s="287"/>
      <c r="P2879" s="930"/>
      <c r="R2879" s="484"/>
    </row>
    <row r="2880" spans="1:18" ht="27.75" customHeight="1" thickBot="1">
      <c r="B2880" s="1180"/>
      <c r="C2880" s="1114"/>
      <c r="D2880" s="335"/>
      <c r="H2880" s="577"/>
      <c r="I2880" s="647"/>
      <c r="J2880" s="409"/>
      <c r="K2880" s="374"/>
      <c r="L2880" s="374"/>
      <c r="M2880" s="488"/>
      <c r="N2880" s="287"/>
      <c r="P2880" s="930"/>
      <c r="R2880" s="484"/>
    </row>
    <row r="2881" spans="1:22" s="570" customFormat="1" ht="27.75" customHeight="1" thickTop="1" thickBot="1">
      <c r="A2881" s="558"/>
      <c r="B2881" s="1011"/>
      <c r="C2881" s="1025"/>
      <c r="D2881" s="561"/>
      <c r="E2881" s="561"/>
      <c r="F2881" s="558"/>
      <c r="G2881" s="1005"/>
      <c r="H2881" s="1182"/>
      <c r="I2881" s="558"/>
      <c r="J2881" s="561"/>
      <c r="K2881" s="374">
        <f t="shared" si="116"/>
        <v>0</v>
      </c>
      <c r="L2881" s="374">
        <f t="shared" si="117"/>
        <v>0</v>
      </c>
      <c r="M2881" s="1183"/>
      <c r="N2881" s="566">
        <f>SUM(G2855:G2881)</f>
        <v>0</v>
      </c>
      <c r="O2881" s="566">
        <f>SUM(J2855:J2881)</f>
        <v>663300</v>
      </c>
      <c r="P2881" s="566">
        <f>+N2881+O2881</f>
        <v>663300</v>
      </c>
      <c r="Q2881" s="567">
        <f>SUM(D2855:D2881)</f>
        <v>0</v>
      </c>
      <c r="R2881" s="568" t="s">
        <v>356</v>
      </c>
      <c r="S2881" s="569"/>
      <c r="T2881" s="566">
        <f>+L2881</f>
        <v>0</v>
      </c>
      <c r="U2881" s="566"/>
      <c r="V2881" s="566"/>
    </row>
    <row r="2882" spans="1:22" ht="27.75" customHeight="1" thickTop="1">
      <c r="B2882" s="580" t="s">
        <v>68</v>
      </c>
      <c r="C2882" s="373"/>
      <c r="D2882" s="335"/>
      <c r="G2882" s="386"/>
      <c r="H2882" s="1184"/>
      <c r="J2882" s="335"/>
      <c r="K2882" s="374">
        <f t="shared" si="116"/>
        <v>0</v>
      </c>
      <c r="L2882" s="338"/>
      <c r="M2882" s="369"/>
      <c r="Q2882" s="478"/>
      <c r="R2882" s="479"/>
      <c r="S2882" s="287"/>
      <c r="T2882" s="289"/>
      <c r="U2882" s="289"/>
      <c r="V2882" s="289"/>
    </row>
    <row r="2883" spans="1:22" s="385" customFormat="1" ht="27.6" customHeight="1" thickBot="1">
      <c r="A2883" s="331">
        <v>1</v>
      </c>
      <c r="B2883" s="1013" t="s">
        <v>46</v>
      </c>
      <c r="C2883" s="395" t="s">
        <v>68</v>
      </c>
      <c r="D2883" s="382"/>
      <c r="E2883" s="382"/>
      <c r="F2883" s="379"/>
      <c r="G2883" s="386"/>
      <c r="H2883" s="1507" t="s">
        <v>7</v>
      </c>
      <c r="I2883" s="379">
        <v>7</v>
      </c>
      <c r="J2883" s="382">
        <v>20000</v>
      </c>
      <c r="K2883" s="374">
        <f t="shared" si="116"/>
        <v>0</v>
      </c>
      <c r="L2883" s="374">
        <f t="shared" ref="L2883:L2893" si="118">+J2883</f>
        <v>20000</v>
      </c>
      <c r="M2883" s="369"/>
      <c r="N2883" s="288"/>
      <c r="O2883" s="288"/>
      <c r="P2883" s="288"/>
      <c r="Q2883" s="288"/>
      <c r="R2883" s="587"/>
      <c r="S2883" s="291"/>
      <c r="T2883" s="291">
        <f>+L2883</f>
        <v>20000</v>
      </c>
      <c r="U2883" s="291"/>
      <c r="V2883" s="291"/>
    </row>
    <row r="2884" spans="1:22" s="570" customFormat="1" ht="27.75" customHeight="1" thickTop="1" thickBot="1">
      <c r="A2884" s="558"/>
      <c r="B2884" s="562"/>
      <c r="C2884" s="559"/>
      <c r="D2884" s="561"/>
      <c r="E2884" s="561"/>
      <c r="F2884" s="558"/>
      <c r="G2884" s="1005"/>
      <c r="H2884" s="1182"/>
      <c r="I2884" s="1185"/>
      <c r="J2884" s="561"/>
      <c r="K2884" s="374">
        <f t="shared" si="116"/>
        <v>0</v>
      </c>
      <c r="L2884" s="374">
        <f t="shared" si="118"/>
        <v>0</v>
      </c>
      <c r="M2884" s="1183"/>
      <c r="N2884" s="566">
        <f>SUM(G2883:G2884)</f>
        <v>0</v>
      </c>
      <c r="O2884" s="566">
        <f>SUM(J2883:J2884)</f>
        <v>20000</v>
      </c>
      <c r="P2884" s="566">
        <f>+N2884+O2884</f>
        <v>20000</v>
      </c>
      <c r="Q2884" s="567">
        <f>SUM(D2883:D2884)</f>
        <v>0</v>
      </c>
      <c r="R2884" s="1186" t="s">
        <v>36</v>
      </c>
      <c r="S2884" s="569"/>
      <c r="T2884" s="566">
        <f>+L2884</f>
        <v>0</v>
      </c>
      <c r="U2884" s="566"/>
      <c r="V2884" s="566"/>
    </row>
    <row r="2885" spans="1:22" ht="27.75" customHeight="1" thickTop="1" thickBot="1">
      <c r="B2885" s="332" t="s">
        <v>77</v>
      </c>
      <c r="C2885" s="393"/>
      <c r="D2885" s="335"/>
      <c r="G2885" s="386"/>
      <c r="H2885" s="1184"/>
      <c r="I2885" s="1187"/>
      <c r="J2885" s="335"/>
      <c r="K2885" s="374">
        <f t="shared" si="116"/>
        <v>0</v>
      </c>
      <c r="L2885" s="374">
        <f t="shared" si="118"/>
        <v>0</v>
      </c>
      <c r="M2885" s="369"/>
      <c r="Q2885" s="478"/>
      <c r="R2885" s="1188"/>
      <c r="S2885" s="287"/>
      <c r="T2885" s="289"/>
      <c r="U2885" s="289"/>
      <c r="V2885" s="289"/>
    </row>
    <row r="2886" spans="1:22" ht="27.75" customHeight="1" thickTop="1" thickBot="1">
      <c r="B2886" s="580"/>
      <c r="C2886" s="393"/>
      <c r="D2886" s="335"/>
      <c r="G2886" s="386"/>
      <c r="H2886" s="1184"/>
      <c r="I2886" s="1187"/>
      <c r="J2886" s="335"/>
      <c r="K2886" s="374">
        <f t="shared" si="116"/>
        <v>0</v>
      </c>
      <c r="L2886" s="374">
        <f t="shared" si="118"/>
        <v>0</v>
      </c>
      <c r="M2886" s="369"/>
      <c r="Q2886" s="478"/>
      <c r="R2886" s="1188"/>
      <c r="S2886" s="287"/>
      <c r="T2886" s="289"/>
      <c r="U2886" s="289"/>
      <c r="V2886" s="289"/>
    </row>
    <row r="2887" spans="1:22" s="570" customFormat="1" ht="27.75" customHeight="1" thickTop="1" thickBot="1">
      <c r="A2887" s="558"/>
      <c r="B2887" s="1011"/>
      <c r="C2887" s="559"/>
      <c r="D2887" s="561"/>
      <c r="E2887" s="561"/>
      <c r="F2887" s="558"/>
      <c r="G2887" s="1005"/>
      <c r="H2887" s="1182"/>
      <c r="I2887" s="558"/>
      <c r="J2887" s="561"/>
      <c r="K2887" s="374">
        <f t="shared" si="116"/>
        <v>0</v>
      </c>
      <c r="L2887" s="374">
        <f t="shared" si="118"/>
        <v>0</v>
      </c>
      <c r="M2887" s="1183"/>
      <c r="N2887" s="566">
        <f t="array" ref="N2887:N2888">+G2886:G2887</f>
        <v>0</v>
      </c>
      <c r="O2887" s="566">
        <f t="array" ref="O2887:O2888">+J2886:J2887</f>
        <v>0</v>
      </c>
      <c r="P2887" s="566">
        <f>+N2887+O2887</f>
        <v>0</v>
      </c>
      <c r="Q2887" s="567">
        <f>SUM(D2887)</f>
        <v>0</v>
      </c>
      <c r="R2887" s="1186" t="s">
        <v>32</v>
      </c>
      <c r="S2887" s="569"/>
      <c r="T2887" s="566">
        <f>+L2887</f>
        <v>0</v>
      </c>
      <c r="U2887" s="566"/>
      <c r="V2887" s="566"/>
    </row>
    <row r="2888" spans="1:22" ht="27.75" customHeight="1" thickTop="1" thickBot="1">
      <c r="B2888" s="580" t="s">
        <v>76</v>
      </c>
      <c r="C2888" s="393"/>
      <c r="D2888" s="335"/>
      <c r="G2888" s="386"/>
      <c r="H2888" s="1184"/>
      <c r="J2888" s="335"/>
      <c r="K2888" s="374">
        <f t="shared" si="116"/>
        <v>0</v>
      </c>
      <c r="L2888" s="374">
        <f t="shared" si="118"/>
        <v>0</v>
      </c>
      <c r="M2888" s="369"/>
      <c r="N2888" s="289">
        <v>0</v>
      </c>
      <c r="O2888" s="289">
        <v>0</v>
      </c>
      <c r="Q2888" s="478"/>
      <c r="R2888" s="1188"/>
      <c r="S2888" s="287"/>
      <c r="T2888" s="289"/>
      <c r="U2888" s="289"/>
      <c r="V2888" s="289"/>
    </row>
    <row r="2889" spans="1:22" ht="27.75" customHeight="1" thickTop="1" thickBot="1">
      <c r="B2889" s="580"/>
      <c r="C2889" s="393"/>
      <c r="D2889" s="335"/>
      <c r="G2889" s="386"/>
      <c r="H2889" s="1184"/>
      <c r="J2889" s="335"/>
      <c r="K2889" s="374">
        <f t="shared" si="116"/>
        <v>0</v>
      </c>
      <c r="L2889" s="374">
        <f t="shared" si="118"/>
        <v>0</v>
      </c>
      <c r="M2889" s="369"/>
      <c r="Q2889" s="478"/>
      <c r="R2889" s="1188"/>
      <c r="S2889" s="287"/>
      <c r="T2889" s="289"/>
      <c r="U2889" s="289"/>
      <c r="V2889" s="289"/>
    </row>
    <row r="2890" spans="1:22" s="570" customFormat="1" ht="27.75" customHeight="1" thickTop="1" thickBot="1">
      <c r="A2890" s="558"/>
      <c r="B2890" s="562"/>
      <c r="C2890" s="559"/>
      <c r="D2890" s="561"/>
      <c r="E2890" s="561"/>
      <c r="F2890" s="558"/>
      <c r="G2890" s="1005"/>
      <c r="H2890" s="1182"/>
      <c r="I2890" s="558"/>
      <c r="J2890" s="561"/>
      <c r="K2890" s="374">
        <f t="shared" si="116"/>
        <v>0</v>
      </c>
      <c r="L2890" s="374">
        <f t="shared" si="118"/>
        <v>0</v>
      </c>
      <c r="M2890" s="1183"/>
      <c r="N2890" s="566">
        <f t="array" ref="N2890:N2891">+G2889:G2890</f>
        <v>0</v>
      </c>
      <c r="O2890" s="566">
        <f t="array" ref="O2890:O2891">+J2889:J2890</f>
        <v>0</v>
      </c>
      <c r="P2890" s="566">
        <f>+N2890+O2890</f>
        <v>0</v>
      </c>
      <c r="Q2890" s="567">
        <f>SUM(D2890)</f>
        <v>0</v>
      </c>
      <c r="R2890" s="568" t="s">
        <v>31</v>
      </c>
      <c r="S2890" s="569"/>
      <c r="T2890" s="566">
        <f>+L2890</f>
        <v>0</v>
      </c>
      <c r="U2890" s="566"/>
      <c r="V2890" s="566"/>
    </row>
    <row r="2891" spans="1:22" ht="27.75" customHeight="1" thickTop="1">
      <c r="A2891" s="647"/>
      <c r="B2891" s="387" t="s">
        <v>220</v>
      </c>
      <c r="C2891" s="395"/>
      <c r="D2891" s="335"/>
      <c r="G2891" s="386"/>
      <c r="H2891" s="1184"/>
      <c r="I2891" s="1187"/>
      <c r="J2891" s="335"/>
      <c r="K2891" s="374">
        <f t="shared" si="116"/>
        <v>0</v>
      </c>
      <c r="L2891" s="374">
        <f t="shared" si="118"/>
        <v>0</v>
      </c>
      <c r="M2891" s="369"/>
      <c r="N2891" s="289">
        <v>0</v>
      </c>
      <c r="O2891" s="289">
        <v>0</v>
      </c>
      <c r="T2891" s="291">
        <f>+L2891</f>
        <v>0</v>
      </c>
    </row>
    <row r="2892" spans="1:22" ht="27.75" customHeight="1" thickBot="1">
      <c r="B2892" s="332"/>
      <c r="C2892" s="393"/>
      <c r="D2892" s="335"/>
      <c r="G2892" s="386"/>
      <c r="H2892" s="1184"/>
      <c r="I2892" s="1187"/>
      <c r="J2892" s="335"/>
      <c r="K2892" s="374">
        <f t="shared" si="116"/>
        <v>0</v>
      </c>
      <c r="L2892" s="374">
        <f t="shared" si="118"/>
        <v>0</v>
      </c>
      <c r="M2892" s="369"/>
      <c r="Q2892" s="478"/>
      <c r="R2892" s="479"/>
      <c r="S2892" s="287"/>
      <c r="T2892" s="289"/>
      <c r="U2892" s="289"/>
      <c r="V2892" s="289"/>
    </row>
    <row r="2893" spans="1:22" s="570" customFormat="1" ht="27.75" customHeight="1" thickTop="1" thickBot="1">
      <c r="A2893" s="1189"/>
      <c r="B2893" s="1190"/>
      <c r="C2893" s="1191"/>
      <c r="D2893" s="1192"/>
      <c r="E2893" s="1192"/>
      <c r="F2893" s="1189"/>
      <c r="G2893" s="1193"/>
      <c r="H2893" s="1194"/>
      <c r="I2893" s="1195"/>
      <c r="J2893" s="1192"/>
      <c r="K2893" s="374">
        <f t="shared" si="116"/>
        <v>0</v>
      </c>
      <c r="L2893" s="1196">
        <f t="shared" si="118"/>
        <v>0</v>
      </c>
      <c r="M2893" s="1183"/>
      <c r="N2893" s="566">
        <f>SUM(G2892:G2893)</f>
        <v>0</v>
      </c>
      <c r="O2893" s="566">
        <f>SUM(J2892:J2893)</f>
        <v>0</v>
      </c>
      <c r="P2893" s="566">
        <f>+N2893+O2893</f>
        <v>0</v>
      </c>
      <c r="Q2893" s="567"/>
      <c r="R2893" s="568" t="s">
        <v>220</v>
      </c>
      <c r="S2893" s="569"/>
      <c r="T2893" s="566">
        <f>+L2893</f>
        <v>0</v>
      </c>
      <c r="U2893" s="566"/>
      <c r="V2893" s="566"/>
    </row>
    <row r="2894" spans="1:22" ht="27.75" customHeight="1" thickTop="1" thickBot="1">
      <c r="A2894" s="321"/>
      <c r="B2894" s="1197"/>
      <c r="C2894" s="596" t="s">
        <v>26</v>
      </c>
      <c r="D2894" s="533">
        <f>SUM(D2853:D2893)</f>
        <v>0</v>
      </c>
      <c r="E2894" s="534"/>
      <c r="F2894" s="535"/>
      <c r="G2894" s="536">
        <f>SUM(G2855:G2893)</f>
        <v>0</v>
      </c>
      <c r="H2894" s="597"/>
      <c r="I2894" s="535"/>
      <c r="J2894" s="533">
        <f>SUM(J2855:J2893)</f>
        <v>683300</v>
      </c>
      <c r="K2894" s="374">
        <f t="shared" si="116"/>
        <v>0</v>
      </c>
      <c r="L2894" s="329">
        <f>SUM(L2855:L2893)</f>
        <v>683300</v>
      </c>
      <c r="M2894" s="539"/>
      <c r="N2894" s="599">
        <f>SUM(N2855:N2893)</f>
        <v>0</v>
      </c>
      <c r="O2894" s="599">
        <f>SUM(O2855:O2893)</f>
        <v>683300</v>
      </c>
      <c r="P2894" s="599">
        <f>SUM(P2855:P2893)</f>
        <v>683300</v>
      </c>
      <c r="Q2894" s="349">
        <f>SUM(Q2855:Q2893)</f>
        <v>0</v>
      </c>
      <c r="S2894" s="1084">
        <f>SUM(S2881:S2893)</f>
        <v>0</v>
      </c>
      <c r="T2894" s="1084">
        <f>SUM(T2881:T2893)</f>
        <v>20000</v>
      </c>
      <c r="U2894" s="1084">
        <f>SUM(U2881:U2893)</f>
        <v>0</v>
      </c>
      <c r="V2894" s="1084">
        <f>SUM(V2881:V2893)</f>
        <v>0</v>
      </c>
    </row>
    <row r="2895" spans="1:22" ht="27.75" customHeight="1" thickTop="1" thickBot="1">
      <c r="B2895" s="1123"/>
      <c r="C2895" s="689"/>
      <c r="D2895" s="325"/>
      <c r="E2895" s="325"/>
      <c r="F2895" s="321"/>
      <c r="G2895" s="326"/>
      <c r="H2895" s="994"/>
      <c r="I2895" s="321"/>
      <c r="J2895" s="328">
        <f>+J2894+G2894</f>
        <v>683300</v>
      </c>
      <c r="K2895" s="374">
        <f t="shared" si="116"/>
        <v>0</v>
      </c>
      <c r="L2895" s="760">
        <f>+L2894+K2894</f>
        <v>683300</v>
      </c>
      <c r="M2895" s="488"/>
      <c r="N2895" s="1198">
        <f>+G2894+J2894</f>
        <v>683300</v>
      </c>
      <c r="O2895" s="603">
        <f>N2895-P2895</f>
        <v>0</v>
      </c>
      <c r="P2895" s="1373">
        <v>683300</v>
      </c>
      <c r="Q2895" s="289">
        <v>0</v>
      </c>
    </row>
    <row r="2896" spans="1:22" s="436" customFormat="1" ht="27.75" customHeight="1">
      <c r="A2896" s="692"/>
      <c r="B2896" s="763" t="s">
        <v>107</v>
      </c>
      <c r="C2896" s="694"/>
      <c r="D2896" s="357"/>
      <c r="E2896" s="357"/>
      <c r="F2896" s="354"/>
      <c r="G2896" s="829"/>
      <c r="H2896" s="360"/>
      <c r="I2896" s="354"/>
      <c r="J2896" s="357"/>
      <c r="K2896" s="374">
        <f t="shared" si="116"/>
        <v>0</v>
      </c>
      <c r="L2896" s="360"/>
      <c r="M2896" s="360"/>
      <c r="N2896" s="358"/>
      <c r="O2896" s="358"/>
      <c r="P2896" s="1199"/>
      <c r="Q2896" s="357"/>
      <c r="S2896" s="358"/>
      <c r="T2896" s="358"/>
      <c r="U2896" s="358"/>
      <c r="V2896" s="358"/>
    </row>
    <row r="2897" spans="1:22" ht="27.75" customHeight="1">
      <c r="B2897" s="373" t="s">
        <v>66</v>
      </c>
      <c r="C2897" s="393"/>
      <c r="D2897" s="365"/>
      <c r="E2897" s="365"/>
      <c r="F2897" s="366"/>
      <c r="G2897" s="367"/>
      <c r="H2897" s="368"/>
      <c r="I2897" s="366"/>
      <c r="J2897" s="365"/>
      <c r="K2897" s="374">
        <f t="shared" si="116"/>
        <v>0</v>
      </c>
      <c r="L2897" s="368"/>
      <c r="M2897" s="371"/>
      <c r="P2897" s="1200"/>
      <c r="Q2897" s="370"/>
      <c r="S2897" s="289"/>
      <c r="T2897" s="289"/>
      <c r="U2897" s="289"/>
      <c r="V2897" s="289"/>
    </row>
    <row r="2898" spans="1:22" s="385" customFormat="1" ht="27.75" customHeight="1">
      <c r="A2898" s="379">
        <v>1</v>
      </c>
      <c r="B2898" s="387" t="s">
        <v>108</v>
      </c>
      <c r="C2898" s="524" t="s">
        <v>150</v>
      </c>
      <c r="D2898" s="382"/>
      <c r="E2898" s="475"/>
      <c r="F2898" s="1201"/>
      <c r="G2898" s="336"/>
      <c r="H2898" s="1013" t="s">
        <v>123</v>
      </c>
      <c r="I2898" s="379" t="s">
        <v>17</v>
      </c>
      <c r="J2898" s="374">
        <v>889780.34</v>
      </c>
      <c r="K2898" s="374">
        <f t="shared" si="116"/>
        <v>0</v>
      </c>
      <c r="L2898" s="374">
        <f t="shared" ref="L2898:L2978" si="119">+J2898</f>
        <v>889780.34</v>
      </c>
      <c r="M2898" s="1202"/>
      <c r="N2898" s="288"/>
      <c r="O2898" s="288"/>
      <c r="P2898" s="1203"/>
      <c r="Q2898" s="288"/>
      <c r="S2898" s="288"/>
      <c r="T2898" s="288"/>
      <c r="U2898" s="288"/>
      <c r="V2898" s="288"/>
    </row>
    <row r="2899" spans="1:22" s="385" customFormat="1" ht="27.75" customHeight="1">
      <c r="A2899" s="379"/>
      <c r="B2899" s="387" t="s">
        <v>309</v>
      </c>
      <c r="C2899" s="524"/>
      <c r="D2899" s="382"/>
      <c r="E2899" s="475"/>
      <c r="F2899" s="1201"/>
      <c r="G2899" s="336"/>
      <c r="H2899" s="1013"/>
      <c r="I2899" s="379"/>
      <c r="J2899" s="374"/>
      <c r="K2899" s="374">
        <f t="shared" si="116"/>
        <v>0</v>
      </c>
      <c r="L2899" s="374">
        <f t="shared" si="119"/>
        <v>0</v>
      </c>
      <c r="M2899" s="1202"/>
      <c r="N2899" s="288"/>
      <c r="O2899" s="288"/>
      <c r="P2899" s="1203"/>
      <c r="Q2899" s="288"/>
      <c r="S2899" s="288"/>
      <c r="T2899" s="288"/>
      <c r="U2899" s="288"/>
      <c r="V2899" s="288"/>
    </row>
    <row r="2900" spans="1:22" s="385" customFormat="1" ht="27.75" customHeight="1">
      <c r="A2900" s="379">
        <v>2</v>
      </c>
      <c r="B2900" s="387" t="s">
        <v>276</v>
      </c>
      <c r="C2900" s="524" t="s">
        <v>788</v>
      </c>
      <c r="D2900" s="382"/>
      <c r="E2900" s="475"/>
      <c r="F2900" s="1201"/>
      <c r="G2900" s="367"/>
      <c r="H2900" s="1004"/>
      <c r="I2900" s="1204"/>
      <c r="J2900" s="409">
        <v>325409.68</v>
      </c>
      <c r="K2900" s="374">
        <f t="shared" si="116"/>
        <v>0</v>
      </c>
      <c r="L2900" s="374">
        <f t="shared" si="119"/>
        <v>325409.68</v>
      </c>
      <c r="M2900" s="1202"/>
      <c r="N2900" s="288"/>
      <c r="O2900" s="288"/>
      <c r="P2900" s="1203"/>
      <c r="Q2900" s="288"/>
      <c r="S2900" s="288"/>
      <c r="T2900" s="288"/>
      <c r="U2900" s="288"/>
      <c r="V2900" s="288"/>
    </row>
    <row r="2901" spans="1:22" s="385" customFormat="1" ht="27.75" customHeight="1">
      <c r="A2901" s="379"/>
      <c r="B2901" s="387" t="s">
        <v>3126</v>
      </c>
      <c r="C2901" s="524"/>
      <c r="D2901" s="382"/>
      <c r="E2901" s="475"/>
      <c r="F2901" s="1201"/>
      <c r="G2901" s="367"/>
      <c r="H2901" s="1004"/>
      <c r="I2901" s="1204"/>
      <c r="J2901" s="374"/>
      <c r="K2901" s="374">
        <f t="shared" si="116"/>
        <v>0</v>
      </c>
      <c r="L2901" s="374">
        <f t="shared" si="119"/>
        <v>0</v>
      </c>
      <c r="M2901" s="1202"/>
      <c r="N2901" s="288"/>
      <c r="O2901" s="288"/>
      <c r="P2901" s="1203"/>
      <c r="Q2901" s="288"/>
      <c r="S2901" s="288"/>
      <c r="T2901" s="288"/>
      <c r="U2901" s="288"/>
      <c r="V2901" s="288"/>
    </row>
    <row r="2902" spans="1:22" s="385" customFormat="1" ht="27.75" customHeight="1">
      <c r="A2902" s="379"/>
      <c r="B2902" s="387" t="s">
        <v>3127</v>
      </c>
      <c r="C2902" s="524"/>
      <c r="D2902" s="382" t="s">
        <v>1816</v>
      </c>
      <c r="E2902" s="475"/>
      <c r="F2902" s="1201"/>
      <c r="G2902" s="367"/>
      <c r="H2902" s="1004"/>
      <c r="I2902" s="1204"/>
      <c r="J2902" s="374"/>
      <c r="K2902" s="374"/>
      <c r="L2902" s="374"/>
      <c r="M2902" s="1202"/>
      <c r="N2902" s="288"/>
      <c r="O2902" s="288"/>
      <c r="P2902" s="1203"/>
      <c r="Q2902" s="553"/>
      <c r="R2902" s="525"/>
      <c r="S2902" s="554"/>
      <c r="T2902" s="288"/>
      <c r="U2902" s="288"/>
      <c r="V2902" s="288"/>
    </row>
    <row r="2903" spans="1:22" s="385" customFormat="1" ht="27.6" customHeight="1">
      <c r="A2903" s="379">
        <v>3</v>
      </c>
      <c r="B2903" s="387" t="s">
        <v>3067</v>
      </c>
      <c r="C2903" s="524" t="s">
        <v>3068</v>
      </c>
      <c r="D2903" s="382"/>
      <c r="E2903" s="502" t="s">
        <v>3425</v>
      </c>
      <c r="F2903" s="1201" t="s">
        <v>1492</v>
      </c>
      <c r="G2903" s="367">
        <v>31500</v>
      </c>
      <c r="H2903" s="1004"/>
      <c r="I2903" s="1204"/>
      <c r="J2903" s="374"/>
      <c r="K2903" s="374">
        <f t="shared" si="116"/>
        <v>3635.1</v>
      </c>
      <c r="L2903" s="374">
        <f t="shared" si="119"/>
        <v>0</v>
      </c>
      <c r="M2903" s="1202"/>
      <c r="N2903" s="288"/>
      <c r="O2903" s="288"/>
      <c r="P2903" s="1203"/>
      <c r="Q2903" s="553"/>
      <c r="R2903" s="525"/>
      <c r="S2903" s="554"/>
      <c r="T2903" s="288"/>
      <c r="U2903" s="288"/>
      <c r="V2903" s="288"/>
    </row>
    <row r="2904" spans="1:22" s="385" customFormat="1" ht="27.75" customHeight="1">
      <c r="A2904" s="379">
        <v>4</v>
      </c>
      <c r="B2904" s="387" t="s">
        <v>3067</v>
      </c>
      <c r="C2904" s="524" t="s">
        <v>3069</v>
      </c>
      <c r="D2904" s="382"/>
      <c r="E2904" s="502" t="s">
        <v>3425</v>
      </c>
      <c r="F2904" s="1201" t="s">
        <v>1492</v>
      </c>
      <c r="G2904" s="367">
        <v>12600</v>
      </c>
      <c r="H2904" s="1004"/>
      <c r="I2904" s="1204"/>
      <c r="J2904" s="374"/>
      <c r="K2904" s="374">
        <f t="shared" si="116"/>
        <v>1454.04</v>
      </c>
      <c r="L2904" s="374">
        <f t="shared" si="119"/>
        <v>0</v>
      </c>
      <c r="M2904" s="1202"/>
      <c r="N2904" s="288"/>
      <c r="O2904" s="288"/>
      <c r="P2904" s="1203"/>
      <c r="Q2904" s="553"/>
      <c r="R2904" s="525"/>
      <c r="S2904" s="554"/>
      <c r="T2904" s="288"/>
      <c r="U2904" s="288"/>
      <c r="V2904" s="288"/>
    </row>
    <row r="2905" spans="1:22" s="385" customFormat="1" ht="27.75" customHeight="1">
      <c r="A2905" s="379">
        <v>5</v>
      </c>
      <c r="B2905" s="387" t="s">
        <v>968</v>
      </c>
      <c r="C2905" s="524" t="s">
        <v>969</v>
      </c>
      <c r="D2905" s="382"/>
      <c r="E2905" s="502" t="s">
        <v>3420</v>
      </c>
      <c r="F2905" s="1201" t="s">
        <v>239</v>
      </c>
      <c r="G2905" s="367">
        <v>6300</v>
      </c>
      <c r="H2905" s="1004"/>
      <c r="I2905" s="1204"/>
      <c r="J2905" s="374"/>
      <c r="K2905" s="374">
        <f t="shared" si="116"/>
        <v>727.02</v>
      </c>
      <c r="L2905" s="374">
        <f t="shared" si="119"/>
        <v>0</v>
      </c>
      <c r="M2905" s="1202"/>
      <c r="N2905" s="288"/>
      <c r="O2905" s="288"/>
      <c r="P2905" s="1203"/>
      <c r="Q2905" s="553"/>
      <c r="R2905" s="525"/>
      <c r="S2905" s="554"/>
      <c r="T2905" s="288"/>
      <c r="U2905" s="288"/>
      <c r="V2905" s="288"/>
    </row>
    <row r="2906" spans="1:22" s="385" customFormat="1" ht="27.75" customHeight="1">
      <c r="A2906" s="379">
        <v>6</v>
      </c>
      <c r="B2906" s="387" t="s">
        <v>1488</v>
      </c>
      <c r="C2906" s="524" t="s">
        <v>1489</v>
      </c>
      <c r="D2906" s="382"/>
      <c r="E2906" s="502" t="s">
        <v>3420</v>
      </c>
      <c r="F2906" s="1201" t="s">
        <v>239</v>
      </c>
      <c r="G2906" s="367">
        <v>5600</v>
      </c>
      <c r="H2906" s="1004"/>
      <c r="I2906" s="1204"/>
      <c r="J2906" s="374"/>
      <c r="K2906" s="374">
        <f t="shared" si="116"/>
        <v>646.2399999999999</v>
      </c>
      <c r="L2906" s="374">
        <f t="shared" si="119"/>
        <v>0</v>
      </c>
      <c r="M2906" s="1202"/>
      <c r="N2906" s="288"/>
      <c r="O2906" s="288"/>
      <c r="P2906" s="1203"/>
      <c r="Q2906" s="553"/>
      <c r="R2906" s="525"/>
      <c r="S2906" s="554"/>
      <c r="T2906" s="288"/>
      <c r="U2906" s="288"/>
      <c r="V2906" s="288"/>
    </row>
    <row r="2907" spans="1:22" s="385" customFormat="1" ht="27.75" customHeight="1">
      <c r="A2907" s="379">
        <v>7</v>
      </c>
      <c r="B2907" s="387" t="s">
        <v>3454</v>
      </c>
      <c r="C2907" s="524" t="s">
        <v>3455</v>
      </c>
      <c r="D2907" s="382"/>
      <c r="E2907" s="502" t="s">
        <v>3420</v>
      </c>
      <c r="F2907" s="1201" t="s">
        <v>239</v>
      </c>
      <c r="G2907" s="367">
        <v>5600</v>
      </c>
      <c r="H2907" s="1004"/>
      <c r="I2907" s="1204"/>
      <c r="J2907" s="374"/>
      <c r="K2907" s="374">
        <f t="shared" si="116"/>
        <v>646.2399999999999</v>
      </c>
      <c r="L2907" s="374">
        <f t="shared" si="119"/>
        <v>0</v>
      </c>
      <c r="M2907" s="1202"/>
      <c r="N2907" s="288"/>
      <c r="O2907" s="288"/>
      <c r="P2907" s="1203"/>
      <c r="Q2907" s="553"/>
      <c r="R2907" s="525"/>
      <c r="S2907" s="554"/>
      <c r="T2907" s="288"/>
      <c r="U2907" s="288"/>
      <c r="V2907" s="288"/>
    </row>
    <row r="2908" spans="1:22" s="385" customFormat="1" ht="27.75" customHeight="1">
      <c r="A2908" s="379">
        <v>8</v>
      </c>
      <c r="B2908" s="387" t="s">
        <v>3170</v>
      </c>
      <c r="C2908" s="524" t="s">
        <v>3171</v>
      </c>
      <c r="D2908" s="382"/>
      <c r="E2908" s="502" t="s">
        <v>3420</v>
      </c>
      <c r="F2908" s="1201" t="s">
        <v>239</v>
      </c>
      <c r="G2908" s="367">
        <v>5600</v>
      </c>
      <c r="H2908" s="1004"/>
      <c r="I2908" s="1204"/>
      <c r="J2908" s="374"/>
      <c r="K2908" s="374">
        <f t="shared" si="116"/>
        <v>646.2399999999999</v>
      </c>
      <c r="L2908" s="374">
        <f t="shared" si="119"/>
        <v>0</v>
      </c>
      <c r="M2908" s="1202"/>
      <c r="N2908" s="288"/>
      <c r="O2908" s="288"/>
      <c r="P2908" s="1203"/>
      <c r="Q2908" s="553"/>
      <c r="R2908" s="525"/>
      <c r="S2908" s="554"/>
      <c r="T2908" s="288"/>
      <c r="U2908" s="288"/>
      <c r="V2908" s="288"/>
    </row>
    <row r="2909" spans="1:22" s="385" customFormat="1" ht="27.75" customHeight="1">
      <c r="A2909" s="379">
        <v>9</v>
      </c>
      <c r="B2909" s="387" t="s">
        <v>3249</v>
      </c>
      <c r="C2909" s="524" t="s">
        <v>3250</v>
      </c>
      <c r="D2909" s="382"/>
      <c r="E2909" s="502" t="s">
        <v>3420</v>
      </c>
      <c r="F2909" s="1201" t="s">
        <v>239</v>
      </c>
      <c r="G2909" s="367">
        <v>2800</v>
      </c>
      <c r="H2909" s="1004"/>
      <c r="I2909" s="1204"/>
      <c r="J2909" s="374"/>
      <c r="K2909" s="374">
        <f t="shared" si="116"/>
        <v>323.11999999999995</v>
      </c>
      <c r="L2909" s="374">
        <f t="shared" si="119"/>
        <v>0</v>
      </c>
      <c r="M2909" s="1202"/>
      <c r="N2909" s="288"/>
      <c r="O2909" s="288"/>
      <c r="P2909" s="1203"/>
      <c r="Q2909" s="553"/>
      <c r="R2909" s="525"/>
      <c r="S2909" s="554"/>
      <c r="T2909" s="288"/>
      <c r="U2909" s="288"/>
      <c r="V2909" s="288"/>
    </row>
    <row r="2910" spans="1:22" s="385" customFormat="1" ht="27.75" customHeight="1">
      <c r="A2910" s="379">
        <v>10</v>
      </c>
      <c r="B2910" s="387" t="s">
        <v>3456</v>
      </c>
      <c r="C2910" s="524" t="s">
        <v>3457</v>
      </c>
      <c r="D2910" s="382"/>
      <c r="E2910" s="502" t="s">
        <v>3420</v>
      </c>
      <c r="F2910" s="1201" t="s">
        <v>239</v>
      </c>
      <c r="G2910" s="367">
        <v>5600</v>
      </c>
      <c r="H2910" s="1004"/>
      <c r="I2910" s="1204"/>
      <c r="J2910" s="374"/>
      <c r="K2910" s="374">
        <f t="shared" si="116"/>
        <v>646.2399999999999</v>
      </c>
      <c r="L2910" s="374">
        <f t="shared" si="119"/>
        <v>0</v>
      </c>
      <c r="M2910" s="1202"/>
      <c r="N2910" s="288"/>
      <c r="O2910" s="288"/>
      <c r="P2910" s="1203"/>
      <c r="Q2910" s="553"/>
      <c r="R2910" s="525"/>
      <c r="S2910" s="554"/>
      <c r="T2910" s="288"/>
      <c r="U2910" s="288"/>
      <c r="V2910" s="288"/>
    </row>
    <row r="2911" spans="1:22" s="385" customFormat="1" ht="27.75" customHeight="1">
      <c r="A2911" s="379">
        <v>11</v>
      </c>
      <c r="B2911" s="387" t="s">
        <v>1490</v>
      </c>
      <c r="C2911" s="524" t="s">
        <v>1491</v>
      </c>
      <c r="D2911" s="382">
        <v>11200</v>
      </c>
      <c r="E2911" s="475"/>
      <c r="F2911" s="1201"/>
      <c r="G2911" s="367"/>
      <c r="H2911" s="1004"/>
      <c r="I2911" s="1204"/>
      <c r="J2911" s="374"/>
      <c r="K2911" s="374">
        <f t="shared" si="116"/>
        <v>0</v>
      </c>
      <c r="L2911" s="374">
        <f t="shared" si="119"/>
        <v>0</v>
      </c>
      <c r="M2911" s="1202"/>
      <c r="N2911" s="288"/>
      <c r="O2911" s="288"/>
      <c r="P2911" s="1203"/>
      <c r="Q2911" s="553"/>
      <c r="R2911" s="525"/>
      <c r="S2911" s="554"/>
      <c r="T2911" s="288"/>
      <c r="U2911" s="288"/>
      <c r="V2911" s="288"/>
    </row>
    <row r="2912" spans="1:22" s="385" customFormat="1" ht="27.75" customHeight="1">
      <c r="A2912" s="379">
        <v>12</v>
      </c>
      <c r="B2912" s="387" t="s">
        <v>2697</v>
      </c>
      <c r="C2912" s="524" t="s">
        <v>602</v>
      </c>
      <c r="D2912" s="382"/>
      <c r="E2912" s="475" t="s">
        <v>3420</v>
      </c>
      <c r="F2912" s="1201" t="s">
        <v>239</v>
      </c>
      <c r="G2912" s="367">
        <v>9810</v>
      </c>
      <c r="H2912" s="1004"/>
      <c r="I2912" s="1204"/>
      <c r="J2912" s="374"/>
      <c r="K2912" s="374">
        <f t="shared" si="116"/>
        <v>1132.0739999999998</v>
      </c>
      <c r="L2912" s="374">
        <f t="shared" si="119"/>
        <v>0</v>
      </c>
      <c r="M2912" s="1202"/>
      <c r="N2912" s="288"/>
      <c r="O2912" s="288"/>
      <c r="P2912" s="1203"/>
      <c r="Q2912" s="553"/>
      <c r="R2912" s="525"/>
      <c r="S2912" s="554"/>
      <c r="T2912" s="288"/>
      <c r="U2912" s="288"/>
      <c r="V2912" s="288"/>
    </row>
    <row r="2913" spans="1:22" s="385" customFormat="1" ht="27.75" customHeight="1" thickBot="1">
      <c r="A2913" s="379"/>
      <c r="B2913" s="387"/>
      <c r="C2913" s="524"/>
      <c r="D2913" s="382"/>
      <c r="E2913" s="475"/>
      <c r="F2913" s="1201"/>
      <c r="G2913" s="367"/>
      <c r="H2913" s="1004"/>
      <c r="I2913" s="1204"/>
      <c r="J2913" s="374"/>
      <c r="K2913" s="374">
        <f t="shared" si="116"/>
        <v>0</v>
      </c>
      <c r="L2913" s="374">
        <f t="shared" si="119"/>
        <v>0</v>
      </c>
      <c r="M2913" s="1202"/>
      <c r="N2913" s="288"/>
      <c r="O2913" s="288"/>
      <c r="P2913" s="1203"/>
      <c r="Q2913" s="553"/>
      <c r="R2913" s="525"/>
      <c r="S2913" s="554"/>
      <c r="T2913" s="288"/>
      <c r="U2913" s="288"/>
      <c r="V2913" s="288"/>
    </row>
    <row r="2914" spans="1:22" s="455" customFormat="1" ht="27.75" customHeight="1" thickTop="1" thickBot="1">
      <c r="A2914" s="450"/>
      <c r="B2914" s="457"/>
      <c r="C2914" s="457"/>
      <c r="D2914" s="446"/>
      <c r="E2914" s="453"/>
      <c r="F2914" s="450"/>
      <c r="G2914" s="499"/>
      <c r="H2914" s="458"/>
      <c r="I2914" s="458"/>
      <c r="J2914" s="453"/>
      <c r="K2914" s="374">
        <f t="shared" si="116"/>
        <v>0</v>
      </c>
      <c r="L2914" s="446">
        <f>+J2914</f>
        <v>0</v>
      </c>
      <c r="M2914" s="1205"/>
      <c r="N2914" s="452">
        <f>SUM(G2898:G2914)</f>
        <v>85410</v>
      </c>
      <c r="O2914" s="452">
        <f>SUM(J2898:J2914)</f>
        <v>1215190.02</v>
      </c>
      <c r="P2914" s="452">
        <f>+N2914+O2914</f>
        <v>1300600.02</v>
      </c>
      <c r="Q2914" s="481">
        <f>SUM(D2898:D2914)</f>
        <v>11200</v>
      </c>
      <c r="R2914" s="552" t="s">
        <v>66</v>
      </c>
      <c r="S2914" s="483"/>
      <c r="T2914" s="452"/>
      <c r="U2914" s="452"/>
      <c r="V2914" s="452"/>
    </row>
    <row r="2915" spans="1:22" s="309" customFormat="1" ht="27.75" customHeight="1" thickTop="1">
      <c r="A2915" s="331"/>
      <c r="B2915" s="387" t="s">
        <v>981</v>
      </c>
      <c r="C2915" s="387"/>
      <c r="D2915" s="338"/>
      <c r="E2915" s="335"/>
      <c r="F2915" s="397"/>
      <c r="G2915" s="386"/>
      <c r="H2915" s="332"/>
      <c r="I2915" s="397"/>
      <c r="J2915" s="374"/>
      <c r="K2915" s="374">
        <f>G2915*11.54/100</f>
        <v>0</v>
      </c>
      <c r="L2915" s="374">
        <f t="shared" si="119"/>
        <v>0</v>
      </c>
      <c r="M2915" s="369"/>
      <c r="N2915" s="289"/>
      <c r="O2915" s="289"/>
      <c r="P2915" s="289"/>
      <c r="Q2915" s="478"/>
      <c r="R2915" s="479"/>
      <c r="S2915" s="287"/>
      <c r="T2915" s="289"/>
      <c r="U2915" s="288"/>
      <c r="V2915" s="306"/>
    </row>
    <row r="2916" spans="1:22" ht="27.75" customHeight="1">
      <c r="A2916" s="331">
        <v>1</v>
      </c>
      <c r="B2916" s="332" t="s">
        <v>853</v>
      </c>
      <c r="C2916" s="332" t="s">
        <v>214</v>
      </c>
      <c r="D2916" s="338"/>
      <c r="F2916" s="397"/>
      <c r="G2916" s="386"/>
      <c r="H2916" s="332"/>
      <c r="I2916" s="397"/>
      <c r="J2916" s="365">
        <v>108369.18</v>
      </c>
      <c r="K2916" s="374">
        <f t="shared" ref="K2916:K2985" si="120">G2916*11.54/100</f>
        <v>0</v>
      </c>
      <c r="L2916" s="374">
        <f t="shared" si="119"/>
        <v>108369.18</v>
      </c>
      <c r="M2916" s="369"/>
      <c r="Q2916" s="478"/>
      <c r="R2916" s="479"/>
      <c r="S2916" s="287"/>
      <c r="T2916" s="289"/>
      <c r="U2916" s="289"/>
      <c r="V2916" s="289"/>
    </row>
    <row r="2917" spans="1:22" ht="27.75" customHeight="1">
      <c r="B2917" s="332" t="s">
        <v>3135</v>
      </c>
      <c r="C2917" s="332"/>
      <c r="D2917" s="338"/>
      <c r="F2917" s="397"/>
      <c r="G2917" s="386"/>
      <c r="H2917" s="332"/>
      <c r="I2917" s="397"/>
      <c r="J2917" s="365"/>
      <c r="K2917" s="374"/>
      <c r="L2917" s="374"/>
      <c r="M2917" s="488"/>
      <c r="N2917" s="489"/>
      <c r="P2917" s="489"/>
      <c r="Q2917" s="489"/>
      <c r="R2917" s="479"/>
      <c r="S2917" s="287"/>
      <c r="T2917" s="289"/>
      <c r="U2917" s="289"/>
      <c r="V2917" s="289"/>
    </row>
    <row r="2918" spans="1:22" ht="27.75" customHeight="1">
      <c r="B2918" s="332" t="s">
        <v>3130</v>
      </c>
      <c r="C2918" s="332"/>
      <c r="D2918" s="338"/>
      <c r="F2918" s="397"/>
      <c r="G2918" s="386"/>
      <c r="H2918" s="332"/>
      <c r="I2918" s="397"/>
      <c r="J2918" s="365"/>
      <c r="K2918" s="374"/>
      <c r="L2918" s="374"/>
      <c r="M2918" s="488"/>
      <c r="N2918" s="489"/>
      <c r="P2918" s="489"/>
      <c r="Q2918" s="489"/>
      <c r="R2918" s="479"/>
      <c r="S2918" s="287"/>
      <c r="T2918" s="289"/>
      <c r="U2918" s="289"/>
      <c r="V2918" s="289"/>
    </row>
    <row r="2919" spans="1:22" ht="27.75" customHeight="1">
      <c r="B2919" s="332" t="s">
        <v>3136</v>
      </c>
      <c r="C2919" s="332"/>
      <c r="D2919" s="338"/>
      <c r="F2919" s="397"/>
      <c r="G2919" s="386"/>
      <c r="H2919" s="332"/>
      <c r="I2919" s="397"/>
      <c r="J2919" s="365"/>
      <c r="K2919" s="374"/>
      <c r="L2919" s="374"/>
      <c r="M2919" s="488"/>
      <c r="N2919" s="489"/>
      <c r="P2919" s="489"/>
      <c r="Q2919" s="489"/>
      <c r="R2919" s="479"/>
      <c r="S2919" s="287"/>
      <c r="T2919" s="289"/>
      <c r="U2919" s="289"/>
      <c r="V2919" s="289"/>
    </row>
    <row r="2920" spans="1:22" s="385" customFormat="1" ht="27.75" customHeight="1">
      <c r="A2920" s="362">
        <v>2</v>
      </c>
      <c r="B2920" s="387" t="s">
        <v>943</v>
      </c>
      <c r="C2920" s="524" t="s">
        <v>408</v>
      </c>
      <c r="D2920" s="382"/>
      <c r="E2920" s="475"/>
      <c r="F2920" s="362"/>
      <c r="G2920" s="367"/>
      <c r="H2920" s="364" t="s">
        <v>787</v>
      </c>
      <c r="I2920" s="362" t="s">
        <v>860</v>
      </c>
      <c r="J2920" s="409">
        <v>39949.17</v>
      </c>
      <c r="K2920" s="374">
        <f t="shared" si="120"/>
        <v>0</v>
      </c>
      <c r="L2920" s="374">
        <f>+J2920</f>
        <v>39949.17</v>
      </c>
      <c r="M2920" s="411"/>
      <c r="N2920" s="410"/>
      <c r="O2920" s="288"/>
      <c r="P2920" s="410"/>
      <c r="Q2920" s="410"/>
      <c r="S2920" s="288"/>
      <c r="T2920" s="288"/>
      <c r="U2920" s="288"/>
      <c r="V2920" s="288"/>
    </row>
    <row r="2921" spans="1:22" s="385" customFormat="1" ht="27.75" customHeight="1">
      <c r="A2921" s="362"/>
      <c r="B2921" s="387" t="s">
        <v>3128</v>
      </c>
      <c r="C2921" s="524"/>
      <c r="D2921" s="382"/>
      <c r="E2921" s="475"/>
      <c r="F2921" s="362"/>
      <c r="G2921" s="367"/>
      <c r="H2921" s="364"/>
      <c r="I2921" s="362"/>
      <c r="J2921" s="409"/>
      <c r="K2921" s="374"/>
      <c r="L2921" s="374"/>
      <c r="M2921" s="411"/>
      <c r="N2921" s="410"/>
      <c r="O2921" s="288"/>
      <c r="P2921" s="410"/>
      <c r="Q2921" s="410"/>
      <c r="R2921" s="525"/>
      <c r="S2921" s="554"/>
      <c r="T2921" s="288"/>
      <c r="U2921" s="288"/>
      <c r="V2921" s="288"/>
    </row>
    <row r="2922" spans="1:22" s="385" customFormat="1" ht="27.75" customHeight="1">
      <c r="A2922" s="362"/>
      <c r="B2922" s="387" t="s">
        <v>3129</v>
      </c>
      <c r="C2922" s="524"/>
      <c r="D2922" s="382"/>
      <c r="E2922" s="475"/>
      <c r="F2922" s="362"/>
      <c r="G2922" s="367"/>
      <c r="H2922" s="364"/>
      <c r="I2922" s="362"/>
      <c r="J2922" s="409"/>
      <c r="K2922" s="374"/>
      <c r="L2922" s="374"/>
      <c r="M2922" s="411"/>
      <c r="N2922" s="410"/>
      <c r="O2922" s="288"/>
      <c r="P2922" s="410"/>
      <c r="Q2922" s="410"/>
      <c r="R2922" s="525"/>
      <c r="S2922" s="554"/>
      <c r="T2922" s="288"/>
      <c r="U2922" s="288"/>
      <c r="V2922" s="288"/>
    </row>
    <row r="2923" spans="1:22" s="385" customFormat="1" ht="27.75" customHeight="1">
      <c r="A2923" s="362"/>
      <c r="B2923" s="332"/>
      <c r="C2923" s="363"/>
      <c r="D2923" s="335"/>
      <c r="E2923" s="505"/>
      <c r="F2923" s="366"/>
      <c r="G2923" s="367"/>
      <c r="H2923" s="364"/>
      <c r="I2923" s="362"/>
      <c r="J2923" s="409"/>
      <c r="K2923" s="374"/>
      <c r="L2923" s="374"/>
      <c r="M2923" s="411"/>
      <c r="N2923" s="410"/>
      <c r="O2923" s="288"/>
      <c r="P2923" s="410"/>
      <c r="Q2923" s="410"/>
      <c r="R2923" s="525"/>
      <c r="S2923" s="554"/>
      <c r="T2923" s="288"/>
      <c r="U2923" s="288"/>
      <c r="V2923" s="288"/>
    </row>
    <row r="2924" spans="1:22" s="385" customFormat="1" ht="27.75" customHeight="1" thickBot="1">
      <c r="A2924" s="362"/>
      <c r="B2924" s="387"/>
      <c r="C2924" s="524"/>
      <c r="D2924" s="382"/>
      <c r="E2924" s="475"/>
      <c r="F2924" s="362"/>
      <c r="G2924" s="367"/>
      <c r="H2924" s="364"/>
      <c r="I2924" s="362"/>
      <c r="J2924" s="409"/>
      <c r="K2924" s="374">
        <f t="shared" si="120"/>
        <v>0</v>
      </c>
      <c r="L2924" s="374">
        <f t="shared" ref="L2924:L2929" si="121">+J2924</f>
        <v>0</v>
      </c>
      <c r="M2924" s="411"/>
      <c r="N2924" s="410"/>
      <c r="O2924" s="288"/>
      <c r="P2924" s="410"/>
      <c r="Q2924" s="410"/>
      <c r="R2924" s="525"/>
      <c r="S2924" s="554"/>
      <c r="T2924" s="288"/>
      <c r="U2924" s="288"/>
      <c r="V2924" s="288"/>
    </row>
    <row r="2925" spans="1:22" s="455" customFormat="1" ht="27.75" customHeight="1" thickTop="1" thickBot="1">
      <c r="A2925" s="1206"/>
      <c r="B2925" s="457"/>
      <c r="C2925" s="457"/>
      <c r="D2925" s="446"/>
      <c r="E2925" s="453"/>
      <c r="F2925" s="458"/>
      <c r="G2925" s="499"/>
      <c r="H2925" s="444"/>
      <c r="I2925" s="458"/>
      <c r="J2925" s="453"/>
      <c r="K2925" s="374">
        <f t="shared" si="120"/>
        <v>0</v>
      </c>
      <c r="L2925" s="446">
        <f t="shared" si="121"/>
        <v>0</v>
      </c>
      <c r="M2925" s="451"/>
      <c r="N2925" s="452">
        <f>SUM(G2915:G2925)</f>
        <v>0</v>
      </c>
      <c r="O2925" s="452">
        <f>SUM(J2915:J2925)</f>
        <v>148318.34999999998</v>
      </c>
      <c r="P2925" s="452">
        <f>+N2925+O2925</f>
        <v>148318.34999999998</v>
      </c>
      <c r="Q2925" s="481">
        <f>SUM(D2915:D2925)</f>
        <v>0</v>
      </c>
      <c r="R2925" s="552" t="s">
        <v>163</v>
      </c>
      <c r="S2925" s="483"/>
      <c r="T2925" s="452"/>
      <c r="U2925" s="452"/>
      <c r="V2925" s="452"/>
    </row>
    <row r="2926" spans="1:22" ht="27.75" customHeight="1" thickTop="1">
      <c r="A2926" s="1207"/>
      <c r="B2926" s="393" t="s">
        <v>2001</v>
      </c>
      <c r="C2926" s="393"/>
      <c r="D2926" s="338"/>
      <c r="F2926" s="397"/>
      <c r="G2926" s="386"/>
      <c r="H2926" s="332"/>
      <c r="I2926" s="397"/>
      <c r="J2926" s="335"/>
      <c r="K2926" s="374">
        <f t="shared" si="120"/>
        <v>0</v>
      </c>
      <c r="L2926" s="374">
        <f t="shared" si="121"/>
        <v>0</v>
      </c>
      <c r="M2926" s="369"/>
      <c r="Q2926" s="478"/>
      <c r="R2926" s="479"/>
      <c r="S2926" s="287"/>
      <c r="T2926" s="289"/>
      <c r="U2926" s="289"/>
      <c r="V2926" s="289"/>
    </row>
    <row r="2927" spans="1:22" ht="27.75" customHeight="1">
      <c r="A2927" s="1207"/>
      <c r="B2927" s="393"/>
      <c r="C2927" s="393"/>
      <c r="D2927" s="338"/>
      <c r="F2927" s="397"/>
      <c r="G2927" s="386"/>
      <c r="H2927" s="332"/>
      <c r="I2927" s="397"/>
      <c r="J2927" s="335"/>
      <c r="K2927" s="374">
        <f t="shared" si="120"/>
        <v>0</v>
      </c>
      <c r="L2927" s="374">
        <f t="shared" si="121"/>
        <v>0</v>
      </c>
      <c r="M2927" s="369"/>
      <c r="Q2927" s="478"/>
      <c r="R2927" s="479"/>
      <c r="S2927" s="287"/>
      <c r="T2927" s="289"/>
      <c r="U2927" s="289"/>
      <c r="V2927" s="289"/>
    </row>
    <row r="2928" spans="1:22" s="385" customFormat="1" ht="27.75" customHeight="1" thickBot="1">
      <c r="A2928" s="1208"/>
      <c r="B2928" s="395"/>
      <c r="C2928" s="395"/>
      <c r="D2928" s="374"/>
      <c r="E2928" s="382"/>
      <c r="F2928" s="388"/>
      <c r="G2928" s="386"/>
      <c r="H2928" s="387"/>
      <c r="I2928" s="388"/>
      <c r="J2928" s="382"/>
      <c r="K2928" s="374">
        <f t="shared" si="120"/>
        <v>0</v>
      </c>
      <c r="L2928" s="374">
        <f t="shared" si="121"/>
        <v>0</v>
      </c>
      <c r="M2928" s="384"/>
      <c r="N2928" s="288"/>
      <c r="O2928" s="288"/>
      <c r="P2928" s="288"/>
      <c r="Q2928" s="288"/>
      <c r="S2928" s="288"/>
      <c r="T2928" s="288"/>
      <c r="U2928" s="288"/>
      <c r="V2928" s="288"/>
    </row>
    <row r="2929" spans="1:22" s="455" customFormat="1" ht="27.75" customHeight="1" thickTop="1" thickBot="1">
      <c r="A2929" s="1206"/>
      <c r="B2929" s="444"/>
      <c r="C2929" s="550"/>
      <c r="D2929" s="453"/>
      <c r="E2929" s="453"/>
      <c r="F2929" s="621"/>
      <c r="G2929" s="499"/>
      <c r="H2929" s="444"/>
      <c r="I2929" s="450"/>
      <c r="J2929" s="453"/>
      <c r="K2929" s="374">
        <f t="shared" si="120"/>
        <v>0</v>
      </c>
      <c r="L2929" s="446">
        <f t="shared" si="121"/>
        <v>0</v>
      </c>
      <c r="M2929" s="451"/>
      <c r="N2929" s="452">
        <f>SUM(G2927:G2929)</f>
        <v>0</v>
      </c>
      <c r="O2929" s="452">
        <f>SUM(J2927:J2929)</f>
        <v>0</v>
      </c>
      <c r="P2929" s="452">
        <f>+N2929+O2929</f>
        <v>0</v>
      </c>
      <c r="Q2929" s="481">
        <f>SUM(D2926:D2929)</f>
        <v>0</v>
      </c>
      <c r="R2929" s="552" t="s">
        <v>2002</v>
      </c>
      <c r="S2929" s="483"/>
      <c r="T2929" s="452"/>
      <c r="U2929" s="452"/>
      <c r="V2929" s="452"/>
    </row>
    <row r="2930" spans="1:22" ht="27.75" customHeight="1" thickTop="1">
      <c r="A2930" s="1207"/>
      <c r="B2930" s="332"/>
      <c r="C2930" s="363"/>
      <c r="D2930" s="335"/>
      <c r="F2930" s="724"/>
      <c r="G2930" s="386"/>
      <c r="H2930" s="332"/>
      <c r="J2930" s="335"/>
      <c r="K2930" s="374">
        <f t="shared" si="120"/>
        <v>0</v>
      </c>
      <c r="L2930" s="374">
        <f t="shared" si="119"/>
        <v>0</v>
      </c>
      <c r="M2930" s="369"/>
      <c r="Q2930" s="478"/>
      <c r="R2930" s="479"/>
      <c r="S2930" s="287"/>
      <c r="T2930" s="289"/>
      <c r="U2930" s="289"/>
      <c r="V2930" s="289"/>
    </row>
    <row r="2931" spans="1:22" ht="27.75" customHeight="1">
      <c r="A2931" s="1207"/>
      <c r="B2931" s="332" t="s">
        <v>70</v>
      </c>
      <c r="C2931" s="363"/>
      <c r="D2931" s="335"/>
      <c r="F2931" s="724"/>
      <c r="G2931" s="386"/>
      <c r="H2931" s="332"/>
      <c r="J2931" s="335"/>
      <c r="K2931" s="374">
        <f t="shared" si="120"/>
        <v>0</v>
      </c>
      <c r="L2931" s="374">
        <f t="shared" si="119"/>
        <v>0</v>
      </c>
      <c r="M2931" s="369"/>
      <c r="Q2931" s="478"/>
      <c r="R2931" s="479"/>
      <c r="S2931" s="287"/>
      <c r="T2931" s="289"/>
      <c r="U2931" s="289"/>
      <c r="V2931" s="289"/>
    </row>
    <row r="2932" spans="1:22" ht="27.75" customHeight="1" thickBot="1">
      <c r="A2932" s="1207"/>
      <c r="B2932" s="332"/>
      <c r="C2932" s="477"/>
      <c r="D2932" s="335"/>
      <c r="G2932" s="386"/>
      <c r="H2932" s="388"/>
      <c r="I2932" s="1201"/>
      <c r="J2932" s="382"/>
      <c r="K2932" s="374"/>
      <c r="L2932" s="374"/>
      <c r="M2932" s="369"/>
      <c r="Q2932" s="478"/>
      <c r="R2932" s="479"/>
      <c r="S2932" s="297"/>
    </row>
    <row r="2933" spans="1:22" s="455" customFormat="1" ht="27.75" customHeight="1" thickTop="1" thickBot="1">
      <c r="A2933" s="1206"/>
      <c r="B2933" s="444"/>
      <c r="C2933" s="555"/>
      <c r="D2933" s="453"/>
      <c r="E2933" s="453"/>
      <c r="F2933" s="450"/>
      <c r="G2933" s="499"/>
      <c r="H2933" s="444"/>
      <c r="I2933" s="458"/>
      <c r="J2933" s="453"/>
      <c r="K2933" s="374">
        <f t="shared" si="120"/>
        <v>0</v>
      </c>
      <c r="L2933" s="446">
        <f t="shared" si="119"/>
        <v>0</v>
      </c>
      <c r="M2933" s="451"/>
      <c r="N2933" s="452">
        <f>SUM(G2932:G2933)</f>
        <v>0</v>
      </c>
      <c r="O2933" s="452">
        <f>SUM(J2932:J2933)</f>
        <v>0</v>
      </c>
      <c r="P2933" s="452">
        <f>+N2933+O2933</f>
        <v>0</v>
      </c>
      <c r="Q2933" s="481">
        <f>SUM(E2932:E2933)</f>
        <v>0</v>
      </c>
      <c r="R2933" s="552" t="s">
        <v>70</v>
      </c>
      <c r="S2933" s="483"/>
      <c r="T2933" s="452"/>
      <c r="U2933" s="452"/>
      <c r="V2933" s="452"/>
    </row>
    <row r="2934" spans="1:22" ht="27.75" customHeight="1" thickTop="1">
      <c r="A2934" s="1207"/>
      <c r="B2934" s="332" t="s">
        <v>52</v>
      </c>
      <c r="C2934" s="477"/>
      <c r="D2934" s="335"/>
      <c r="G2934" s="386"/>
      <c r="H2934" s="332"/>
      <c r="I2934" s="397"/>
      <c r="J2934" s="335"/>
      <c r="K2934" s="374">
        <f t="shared" si="120"/>
        <v>0</v>
      </c>
      <c r="L2934" s="374">
        <f t="shared" si="119"/>
        <v>0</v>
      </c>
      <c r="M2934" s="369"/>
      <c r="Q2934" s="478"/>
      <c r="R2934" s="479"/>
      <c r="S2934" s="287"/>
      <c r="T2934" s="289"/>
      <c r="U2934" s="289"/>
      <c r="V2934" s="289"/>
    </row>
    <row r="2935" spans="1:22" ht="27.75" customHeight="1">
      <c r="A2935" s="1207">
        <v>1</v>
      </c>
      <c r="B2935" s="395" t="s">
        <v>1120</v>
      </c>
      <c r="C2935" s="477" t="s">
        <v>1121</v>
      </c>
      <c r="D2935" s="374"/>
      <c r="E2935" s="475" t="s">
        <v>3420</v>
      </c>
      <c r="F2935" s="1201" t="s">
        <v>239</v>
      </c>
      <c r="G2935" s="386">
        <v>619.9775999999988</v>
      </c>
      <c r="H2935" s="335"/>
      <c r="I2935" s="397"/>
      <c r="J2935" s="335"/>
      <c r="K2935" s="374">
        <f t="shared" si="120"/>
        <v>71.545415039999853</v>
      </c>
      <c r="L2935" s="374">
        <f t="shared" si="119"/>
        <v>0</v>
      </c>
      <c r="M2935" s="369"/>
    </row>
    <row r="2936" spans="1:22" ht="27.75" customHeight="1">
      <c r="A2936" s="1207"/>
      <c r="B2936" s="395"/>
      <c r="C2936" s="395"/>
      <c r="D2936" s="338"/>
      <c r="G2936" s="386"/>
      <c r="H2936" s="335"/>
      <c r="I2936" s="397"/>
      <c r="J2936" s="335"/>
      <c r="K2936" s="374">
        <f t="shared" si="120"/>
        <v>0</v>
      </c>
      <c r="L2936" s="374">
        <f t="shared" si="119"/>
        <v>0</v>
      </c>
      <c r="M2936" s="369"/>
      <c r="Q2936" s="478"/>
      <c r="R2936" s="479"/>
      <c r="S2936" s="287"/>
      <c r="T2936" s="289"/>
      <c r="U2936" s="289"/>
      <c r="V2936" s="289"/>
    </row>
    <row r="2937" spans="1:22" ht="27.75" customHeight="1" thickBot="1">
      <c r="A2937" s="1207"/>
      <c r="B2937" s="395"/>
      <c r="C2937" s="395"/>
      <c r="D2937" s="338"/>
      <c r="G2937" s="386"/>
      <c r="H2937" s="335"/>
      <c r="I2937" s="397"/>
      <c r="J2937" s="335"/>
      <c r="K2937" s="374">
        <f t="shared" si="120"/>
        <v>0</v>
      </c>
      <c r="L2937" s="374">
        <f t="shared" si="119"/>
        <v>0</v>
      </c>
      <c r="M2937" s="369"/>
      <c r="Q2937" s="478"/>
      <c r="R2937" s="479"/>
      <c r="S2937" s="287"/>
      <c r="T2937" s="289"/>
      <c r="U2937" s="289"/>
      <c r="V2937" s="289"/>
    </row>
    <row r="2938" spans="1:22" s="570" customFormat="1" ht="27.75" customHeight="1" thickTop="1" thickBot="1">
      <c r="A2938" s="1209"/>
      <c r="B2938" s="559"/>
      <c r="C2938" s="560"/>
      <c r="D2938" s="564"/>
      <c r="E2938" s="561"/>
      <c r="F2938" s="558"/>
      <c r="G2938" s="1005"/>
      <c r="H2938" s="562"/>
      <c r="I2938" s="563"/>
      <c r="J2938" s="561"/>
      <c r="K2938" s="374">
        <f t="shared" si="120"/>
        <v>0</v>
      </c>
      <c r="L2938" s="564">
        <f t="shared" si="119"/>
        <v>0</v>
      </c>
      <c r="M2938" s="1183"/>
      <c r="N2938" s="566">
        <f>SUM(G2935:G2938)</f>
        <v>619.9775999999988</v>
      </c>
      <c r="O2938" s="566">
        <f>SUM(J2935:J2938)</f>
        <v>0</v>
      </c>
      <c r="P2938" s="566">
        <f>+N2938+O2938</f>
        <v>619.9775999999988</v>
      </c>
      <c r="Q2938" s="567">
        <f>SUM(D2935:D2938)</f>
        <v>0</v>
      </c>
      <c r="R2938" s="568" t="s">
        <v>31</v>
      </c>
      <c r="S2938" s="1035"/>
    </row>
    <row r="2939" spans="1:22" ht="27.75" customHeight="1" thickTop="1">
      <c r="A2939" s="1207"/>
      <c r="B2939" s="395" t="s">
        <v>32</v>
      </c>
      <c r="C2939" s="395"/>
      <c r="D2939" s="338"/>
      <c r="G2939" s="386"/>
      <c r="H2939" s="332"/>
      <c r="I2939" s="397"/>
      <c r="J2939" s="335"/>
      <c r="K2939" s="374">
        <f t="shared" si="120"/>
        <v>0</v>
      </c>
      <c r="L2939" s="374">
        <f t="shared" si="119"/>
        <v>0</v>
      </c>
      <c r="M2939" s="369"/>
      <c r="S2939" s="290"/>
      <c r="T2939" s="290"/>
      <c r="U2939" s="290"/>
      <c r="V2939" s="290"/>
    </row>
    <row r="2940" spans="1:22" ht="28.8" customHeight="1">
      <c r="A2940" s="1207">
        <v>1</v>
      </c>
      <c r="B2940" s="1210" t="s">
        <v>2270</v>
      </c>
      <c r="C2940" s="1211" t="s">
        <v>1122</v>
      </c>
      <c r="D2940" s="1212"/>
      <c r="E2940" s="1213" t="s">
        <v>3420</v>
      </c>
      <c r="F2940" s="1214" t="s">
        <v>239</v>
      </c>
      <c r="G2940" s="1215">
        <v>1829.6999999999998</v>
      </c>
      <c r="H2940" s="332"/>
      <c r="I2940" s="397"/>
      <c r="J2940" s="335"/>
      <c r="K2940" s="374">
        <f t="shared" si="120"/>
        <v>211.14737999999997</v>
      </c>
      <c r="L2940" s="374">
        <f t="shared" si="119"/>
        <v>0</v>
      </c>
      <c r="M2940" s="369"/>
      <c r="S2940" s="290"/>
      <c r="T2940" s="290"/>
      <c r="U2940" s="290"/>
      <c r="V2940" s="290"/>
    </row>
    <row r="2941" spans="1:22" ht="28.8" customHeight="1">
      <c r="A2941" s="1207">
        <v>2</v>
      </c>
      <c r="B2941" s="1210" t="s">
        <v>3444</v>
      </c>
      <c r="C2941" s="1211" t="s">
        <v>1123</v>
      </c>
      <c r="D2941" s="1212"/>
      <c r="E2941" s="1213" t="s">
        <v>3420</v>
      </c>
      <c r="F2941" s="1214" t="s">
        <v>239</v>
      </c>
      <c r="G2941" s="1215">
        <v>3226.0499999999993</v>
      </c>
      <c r="H2941" s="332"/>
      <c r="I2941" s="397"/>
      <c r="J2941" s="335"/>
      <c r="K2941" s="374">
        <f t="shared" si="120"/>
        <v>372.28616999999991</v>
      </c>
      <c r="L2941" s="374">
        <f t="shared" si="119"/>
        <v>0</v>
      </c>
      <c r="M2941" s="369"/>
      <c r="Q2941" s="478"/>
      <c r="R2941" s="479"/>
      <c r="S2941" s="658"/>
      <c r="T2941" s="290"/>
      <c r="U2941" s="290"/>
      <c r="V2941" s="290"/>
    </row>
    <row r="2942" spans="1:22" ht="28.8" customHeight="1">
      <c r="A2942" s="1207">
        <v>3</v>
      </c>
      <c r="B2942" s="1210" t="s">
        <v>3445</v>
      </c>
      <c r="C2942" s="1211" t="s">
        <v>1124</v>
      </c>
      <c r="D2942" s="1212"/>
      <c r="E2942" s="1213" t="s">
        <v>3420</v>
      </c>
      <c r="F2942" s="1214" t="s">
        <v>239</v>
      </c>
      <c r="G2942" s="1215">
        <v>4285.350000000004</v>
      </c>
      <c r="H2942" s="332"/>
      <c r="I2942" s="397"/>
      <c r="J2942" s="335"/>
      <c r="K2942" s="374">
        <f t="shared" si="120"/>
        <v>494.52939000000043</v>
      </c>
      <c r="L2942" s="374">
        <f t="shared" si="119"/>
        <v>0</v>
      </c>
      <c r="M2942" s="369"/>
      <c r="Q2942" s="478"/>
      <c r="R2942" s="479"/>
      <c r="S2942" s="658"/>
      <c r="T2942" s="290"/>
      <c r="U2942" s="290"/>
      <c r="V2942" s="290"/>
    </row>
    <row r="2943" spans="1:22" ht="28.8" customHeight="1">
      <c r="A2943" s="1207">
        <v>4</v>
      </c>
      <c r="B2943" s="1210" t="s">
        <v>1125</v>
      </c>
      <c r="C2943" s="1211" t="s">
        <v>1126</v>
      </c>
      <c r="D2943" s="1212"/>
      <c r="E2943" s="1213" t="s">
        <v>3446</v>
      </c>
      <c r="F2943" s="1214" t="s">
        <v>239</v>
      </c>
      <c r="G2943" s="1215">
        <v>89.399999999999864</v>
      </c>
      <c r="H2943" s="332"/>
      <c r="I2943" s="397"/>
      <c r="J2943" s="335"/>
      <c r="K2943" s="374">
        <f t="shared" si="120"/>
        <v>10.316759999999983</v>
      </c>
      <c r="L2943" s="374">
        <f t="shared" si="119"/>
        <v>0</v>
      </c>
      <c r="M2943" s="369"/>
      <c r="Q2943" s="478"/>
      <c r="R2943" s="479"/>
      <c r="S2943" s="658"/>
      <c r="T2943" s="290"/>
      <c r="U2943" s="290"/>
      <c r="V2943" s="290"/>
    </row>
    <row r="2944" spans="1:22" ht="28.8" customHeight="1">
      <c r="A2944" s="1207">
        <v>5</v>
      </c>
      <c r="B2944" s="1210" t="s">
        <v>1308</v>
      </c>
      <c r="C2944" s="1211" t="s">
        <v>1309</v>
      </c>
      <c r="D2944" s="1212"/>
      <c r="E2944" s="1213" t="s">
        <v>3420</v>
      </c>
      <c r="F2944" s="1214" t="s">
        <v>239</v>
      </c>
      <c r="G2944" s="1215">
        <v>337.05</v>
      </c>
      <c r="H2944" s="332"/>
      <c r="I2944" s="397"/>
      <c r="J2944" s="335"/>
      <c r="K2944" s="374">
        <f t="shared" si="120"/>
        <v>38.895569999999999</v>
      </c>
      <c r="L2944" s="374">
        <f t="shared" si="119"/>
        <v>0</v>
      </c>
      <c r="M2944" s="369"/>
      <c r="Q2944" s="478"/>
      <c r="R2944" s="479"/>
      <c r="S2944" s="658"/>
      <c r="T2944" s="290"/>
      <c r="U2944" s="290"/>
      <c r="V2944" s="290"/>
    </row>
    <row r="2945" spans="1:22" ht="27.75" customHeight="1" thickBot="1">
      <c r="A2945" s="1207"/>
      <c r="B2945" s="1210"/>
      <c r="C2945" s="1216"/>
      <c r="D2945" s="1217"/>
      <c r="E2945" s="1218"/>
      <c r="F2945" s="1214"/>
      <c r="G2945" s="1219"/>
      <c r="H2945" s="332"/>
      <c r="I2945" s="397"/>
      <c r="J2945" s="335"/>
      <c r="K2945" s="374">
        <f t="shared" si="120"/>
        <v>0</v>
      </c>
      <c r="L2945" s="374">
        <f t="shared" si="119"/>
        <v>0</v>
      </c>
      <c r="M2945" s="369"/>
      <c r="Q2945" s="478"/>
      <c r="R2945" s="479"/>
      <c r="S2945" s="658"/>
      <c r="T2945" s="290"/>
      <c r="U2945" s="290"/>
      <c r="V2945" s="290"/>
    </row>
    <row r="2946" spans="1:22" s="570" customFormat="1" ht="27.75" customHeight="1" thickTop="1" thickBot="1">
      <c r="A2946" s="1209"/>
      <c r="B2946" s="562"/>
      <c r="C2946" s="559"/>
      <c r="D2946" s="564"/>
      <c r="E2946" s="561"/>
      <c r="F2946" s="1220"/>
      <c r="G2946" s="1005"/>
      <c r="H2946" s="562"/>
      <c r="I2946" s="563"/>
      <c r="J2946" s="561"/>
      <c r="K2946" s="374">
        <f t="shared" si="120"/>
        <v>0</v>
      </c>
      <c r="L2946" s="374">
        <f t="shared" si="119"/>
        <v>0</v>
      </c>
      <c r="M2946" s="1183"/>
      <c r="N2946" s="452">
        <f>SUM(G2940:G2946)</f>
        <v>9767.5500000000011</v>
      </c>
      <c r="O2946" s="452">
        <f>SUM(J2945:J2946)</f>
        <v>0</v>
      </c>
      <c r="P2946" s="566">
        <f>+N2946+O2946</f>
        <v>9767.5500000000011</v>
      </c>
      <c r="Q2946" s="567">
        <f>SUM(D2940:D2946)</f>
        <v>0</v>
      </c>
      <c r="R2946" s="568" t="s">
        <v>32</v>
      </c>
      <c r="S2946" s="1035"/>
    </row>
    <row r="2947" spans="1:22" ht="27.75" customHeight="1" thickTop="1">
      <c r="A2947" s="1207"/>
      <c r="B2947" s="332" t="s">
        <v>68</v>
      </c>
      <c r="C2947" s="393"/>
      <c r="D2947" s="338"/>
      <c r="F2947" s="1221"/>
      <c r="G2947" s="386"/>
      <c r="H2947" s="332"/>
      <c r="I2947" s="397"/>
      <c r="J2947" s="335"/>
      <c r="K2947" s="374">
        <f t="shared" si="120"/>
        <v>0</v>
      </c>
      <c r="L2947" s="374">
        <f t="shared" si="119"/>
        <v>0</v>
      </c>
      <c r="M2947" s="369"/>
      <c r="Q2947" s="478"/>
      <c r="R2947" s="479"/>
      <c r="S2947" s="658"/>
      <c r="T2947" s="290"/>
      <c r="U2947" s="290"/>
      <c r="V2947" s="290"/>
    </row>
    <row r="2948" spans="1:22" ht="27.75" customHeight="1">
      <c r="A2948" s="1207">
        <v>1</v>
      </c>
      <c r="B2948" s="506" t="s">
        <v>601</v>
      </c>
      <c r="C2948" s="395" t="s">
        <v>68</v>
      </c>
      <c r="D2948" s="374"/>
      <c r="E2948" s="409"/>
      <c r="F2948" s="362"/>
      <c r="G2948" s="367"/>
      <c r="H2948" s="387" t="s">
        <v>809</v>
      </c>
      <c r="I2948" s="362" t="s">
        <v>1493</v>
      </c>
      <c r="J2948" s="409">
        <v>10500</v>
      </c>
      <c r="K2948" s="374">
        <f t="shared" si="120"/>
        <v>0</v>
      </c>
      <c r="L2948" s="374">
        <v>10500</v>
      </c>
      <c r="M2948" s="369"/>
    </row>
    <row r="2949" spans="1:22" ht="27.75" customHeight="1">
      <c r="A2949" s="1207">
        <v>2</v>
      </c>
      <c r="B2949" s="1210" t="s">
        <v>3239</v>
      </c>
      <c r="C2949" s="1211" t="s">
        <v>3240</v>
      </c>
      <c r="D2949" s="1212"/>
      <c r="E2949" s="1213" t="s">
        <v>3420</v>
      </c>
      <c r="F2949" s="1214" t="s">
        <v>239</v>
      </c>
      <c r="G2949" s="1215">
        <v>5467.7000000000007</v>
      </c>
      <c r="H2949" s="387"/>
      <c r="I2949" s="362"/>
      <c r="J2949" s="409"/>
      <c r="K2949" s="374">
        <f t="shared" si="120"/>
        <v>630.97257999999999</v>
      </c>
      <c r="L2949" s="374">
        <f t="shared" si="119"/>
        <v>0</v>
      </c>
      <c r="M2949" s="369"/>
      <c r="Q2949" s="478"/>
      <c r="R2949" s="479"/>
      <c r="S2949" s="297"/>
    </row>
    <row r="2950" spans="1:22" ht="27.75" customHeight="1">
      <c r="A2950" s="1207">
        <v>3</v>
      </c>
      <c r="B2950" s="1210" t="s">
        <v>3447</v>
      </c>
      <c r="C2950" s="1211" t="s">
        <v>3448</v>
      </c>
      <c r="D2950" s="1212"/>
      <c r="E2950" s="1213" t="s">
        <v>3420</v>
      </c>
      <c r="F2950" s="1214" t="s">
        <v>239</v>
      </c>
      <c r="G2950" s="1215">
        <v>6912.2</v>
      </c>
      <c r="H2950" s="387"/>
      <c r="I2950" s="362"/>
      <c r="J2950" s="409"/>
      <c r="K2950" s="374">
        <f t="shared" si="120"/>
        <v>797.66787999999985</v>
      </c>
      <c r="L2950" s="374">
        <f t="shared" si="119"/>
        <v>0</v>
      </c>
      <c r="M2950" s="369"/>
      <c r="Q2950" s="478"/>
      <c r="R2950" s="479"/>
      <c r="S2950" s="297"/>
    </row>
    <row r="2951" spans="1:22" ht="27.75" customHeight="1">
      <c r="A2951" s="1207">
        <v>4</v>
      </c>
      <c r="B2951" s="1210" t="s">
        <v>3447</v>
      </c>
      <c r="C2951" s="1211" t="s">
        <v>3449</v>
      </c>
      <c r="D2951" s="1212"/>
      <c r="E2951" s="1213" t="s">
        <v>3420</v>
      </c>
      <c r="F2951" s="1214" t="s">
        <v>239</v>
      </c>
      <c r="G2951" s="1215">
        <v>16274.700000000004</v>
      </c>
      <c r="H2951" s="387"/>
      <c r="I2951" s="362"/>
      <c r="J2951" s="409"/>
      <c r="K2951" s="374">
        <f t="shared" si="120"/>
        <v>1878.1003800000003</v>
      </c>
      <c r="L2951" s="374">
        <f t="shared" si="119"/>
        <v>0</v>
      </c>
      <c r="M2951" s="369"/>
      <c r="Q2951" s="478"/>
      <c r="R2951" s="479"/>
      <c r="S2951" s="297"/>
    </row>
    <row r="2952" spans="1:22" ht="27.75" customHeight="1">
      <c r="A2952" s="1207">
        <v>5</v>
      </c>
      <c r="B2952" s="1210" t="s">
        <v>3450</v>
      </c>
      <c r="C2952" s="1211" t="s">
        <v>2777</v>
      </c>
      <c r="D2952" s="1212"/>
      <c r="E2952" s="1213" t="s">
        <v>3420</v>
      </c>
      <c r="F2952" s="1214" t="s">
        <v>239</v>
      </c>
      <c r="G2952" s="1215">
        <v>13128.900000000007</v>
      </c>
      <c r="H2952" s="387"/>
      <c r="I2952" s="362"/>
      <c r="J2952" s="409"/>
      <c r="K2952" s="374">
        <f t="shared" si="120"/>
        <v>1515.0750600000008</v>
      </c>
      <c r="L2952" s="374">
        <f t="shared" si="119"/>
        <v>0</v>
      </c>
      <c r="M2952" s="369"/>
      <c r="Q2952" s="478"/>
      <c r="R2952" s="479"/>
      <c r="S2952" s="297"/>
    </row>
    <row r="2953" spans="1:22" ht="27.75" customHeight="1">
      <c r="A2953" s="1207">
        <v>6</v>
      </c>
      <c r="B2953" s="1210" t="s">
        <v>1484</v>
      </c>
      <c r="C2953" s="1211" t="s">
        <v>3241</v>
      </c>
      <c r="D2953" s="1212"/>
      <c r="E2953" s="1213" t="s">
        <v>3420</v>
      </c>
      <c r="F2953" s="1214" t="s">
        <v>239</v>
      </c>
      <c r="G2953" s="1215">
        <v>1048.6000000000017</v>
      </c>
      <c r="H2953" s="387"/>
      <c r="I2953" s="362"/>
      <c r="J2953" s="409"/>
      <c r="K2953" s="374">
        <f t="shared" si="120"/>
        <v>121.00844000000019</v>
      </c>
      <c r="L2953" s="374">
        <f t="shared" si="119"/>
        <v>0</v>
      </c>
      <c r="M2953" s="369"/>
      <c r="Q2953" s="478"/>
      <c r="R2953" s="479"/>
      <c r="S2953" s="297"/>
    </row>
    <row r="2954" spans="1:22" ht="27.75" customHeight="1">
      <c r="A2954" s="1207">
        <v>7</v>
      </c>
      <c r="B2954" s="1210" t="s">
        <v>3242</v>
      </c>
      <c r="C2954" s="1211" t="s">
        <v>3243</v>
      </c>
      <c r="D2954" s="1212"/>
      <c r="E2954" s="1213" t="s">
        <v>3420</v>
      </c>
      <c r="F2954" s="1214" t="s">
        <v>239</v>
      </c>
      <c r="G2954" s="1215">
        <v>3638</v>
      </c>
      <c r="H2954" s="387"/>
      <c r="I2954" s="362"/>
      <c r="J2954" s="409"/>
      <c r="K2954" s="374">
        <f t="shared" si="120"/>
        <v>419.8252</v>
      </c>
      <c r="L2954" s="374">
        <f t="shared" si="119"/>
        <v>0</v>
      </c>
      <c r="M2954" s="369"/>
      <c r="Q2954" s="478"/>
      <c r="R2954" s="479"/>
      <c r="S2954" s="297"/>
    </row>
    <row r="2955" spans="1:22" ht="27.75" customHeight="1">
      <c r="A2955" s="1207">
        <v>8</v>
      </c>
      <c r="B2955" s="1210" t="s">
        <v>3451</v>
      </c>
      <c r="C2955" s="1211" t="s">
        <v>2777</v>
      </c>
      <c r="D2955" s="1212"/>
      <c r="E2955" s="1213" t="s">
        <v>3420</v>
      </c>
      <c r="F2955" s="1214" t="s">
        <v>239</v>
      </c>
      <c r="G2955" s="1215">
        <v>8634.9</v>
      </c>
      <c r="H2955" s="387"/>
      <c r="I2955" s="362"/>
      <c r="J2955" s="409"/>
      <c r="K2955" s="374">
        <f t="shared" si="120"/>
        <v>996.46745999999985</v>
      </c>
      <c r="L2955" s="374">
        <f t="shared" si="119"/>
        <v>0</v>
      </c>
      <c r="M2955" s="369"/>
      <c r="Q2955" s="478"/>
      <c r="R2955" s="479"/>
      <c r="S2955" s="297"/>
    </row>
    <row r="2956" spans="1:22" ht="27.75" customHeight="1">
      <c r="A2956" s="1207">
        <v>9</v>
      </c>
      <c r="B2956" s="1210" t="s">
        <v>3244</v>
      </c>
      <c r="C2956" s="1211" t="s">
        <v>2777</v>
      </c>
      <c r="D2956" s="1212"/>
      <c r="E2956" s="1213" t="s">
        <v>3420</v>
      </c>
      <c r="F2956" s="1214" t="s">
        <v>239</v>
      </c>
      <c r="G2956" s="1215">
        <v>7190.3999999999942</v>
      </c>
      <c r="H2956" s="387"/>
      <c r="I2956" s="362"/>
      <c r="J2956" s="409"/>
      <c r="K2956" s="374">
        <f t="shared" si="120"/>
        <v>829.7721599999993</v>
      </c>
      <c r="L2956" s="374">
        <f t="shared" si="119"/>
        <v>0</v>
      </c>
      <c r="M2956" s="369"/>
      <c r="Q2956" s="478"/>
      <c r="R2956" s="479"/>
      <c r="S2956" s="297"/>
    </row>
    <row r="2957" spans="1:22" ht="27.75" customHeight="1">
      <c r="A2957" s="1207">
        <v>10</v>
      </c>
      <c r="B2957" s="1210" t="s">
        <v>1485</v>
      </c>
      <c r="C2957" s="1211" t="s">
        <v>3245</v>
      </c>
      <c r="D2957" s="1212"/>
      <c r="E2957" s="1213" t="s">
        <v>3420</v>
      </c>
      <c r="F2957" s="1214" t="s">
        <v>239</v>
      </c>
      <c r="G2957" s="1215">
        <v>18628.699999999993</v>
      </c>
      <c r="H2957" s="387"/>
      <c r="I2957" s="362"/>
      <c r="J2957" s="409"/>
      <c r="K2957" s="374">
        <f t="shared" si="120"/>
        <v>2149.7519799999991</v>
      </c>
      <c r="L2957" s="374">
        <f t="shared" si="119"/>
        <v>0</v>
      </c>
      <c r="M2957" s="369"/>
      <c r="Q2957" s="478"/>
      <c r="R2957" s="479"/>
      <c r="S2957" s="297"/>
    </row>
    <row r="2958" spans="1:22" ht="27.75" customHeight="1">
      <c r="A2958" s="1207">
        <v>11</v>
      </c>
      <c r="B2958" s="1210" t="s">
        <v>3452</v>
      </c>
      <c r="C2958" s="1211" t="s">
        <v>2777</v>
      </c>
      <c r="D2958" s="1212"/>
      <c r="E2958" s="1213" t="s">
        <v>3420</v>
      </c>
      <c r="F2958" s="1214" t="s">
        <v>239</v>
      </c>
      <c r="G2958" s="1215">
        <v>4579.6000000000004</v>
      </c>
      <c r="H2958" s="387"/>
      <c r="I2958" s="362"/>
      <c r="J2958" s="409"/>
      <c r="K2958" s="374">
        <f t="shared" si="120"/>
        <v>528.48584000000005</v>
      </c>
      <c r="L2958" s="374">
        <f t="shared" si="119"/>
        <v>0</v>
      </c>
      <c r="M2958" s="369"/>
      <c r="Q2958" s="478"/>
      <c r="R2958" s="479"/>
      <c r="S2958" s="297"/>
    </row>
    <row r="2959" spans="1:22" ht="27.75" customHeight="1">
      <c r="A2959" s="1207">
        <v>12</v>
      </c>
      <c r="B2959" s="1210" t="s">
        <v>3246</v>
      </c>
      <c r="C2959" s="1211" t="s">
        <v>3241</v>
      </c>
      <c r="D2959" s="1212"/>
      <c r="E2959" s="1213" t="s">
        <v>3420</v>
      </c>
      <c r="F2959" s="1214" t="s">
        <v>239</v>
      </c>
      <c r="G2959" s="1215">
        <v>2953.2000000000025</v>
      </c>
      <c r="H2959" s="387"/>
      <c r="I2959" s="362"/>
      <c r="J2959" s="409"/>
      <c r="K2959" s="374">
        <f t="shared" si="120"/>
        <v>340.79928000000029</v>
      </c>
      <c r="L2959" s="374">
        <f t="shared" si="119"/>
        <v>0</v>
      </c>
      <c r="M2959" s="369"/>
      <c r="Q2959" s="478"/>
      <c r="R2959" s="479"/>
      <c r="S2959" s="297"/>
    </row>
    <row r="2960" spans="1:22" ht="27.75" customHeight="1">
      <c r="A2960" s="1207">
        <v>13</v>
      </c>
      <c r="B2960" s="1210" t="s">
        <v>3453</v>
      </c>
      <c r="C2960" s="1211" t="s">
        <v>2777</v>
      </c>
      <c r="D2960" s="1212"/>
      <c r="E2960" s="1213" t="s">
        <v>3420</v>
      </c>
      <c r="F2960" s="1214" t="s">
        <v>239</v>
      </c>
      <c r="G2960" s="1215">
        <v>609.9</v>
      </c>
      <c r="H2960" s="387"/>
      <c r="I2960" s="362"/>
      <c r="J2960" s="409"/>
      <c r="K2960" s="374">
        <f t="shared" si="120"/>
        <v>70.382459999999995</v>
      </c>
      <c r="L2960" s="374">
        <f t="shared" si="119"/>
        <v>0</v>
      </c>
      <c r="M2960" s="369"/>
      <c r="Q2960" s="478"/>
      <c r="R2960" s="479"/>
      <c r="S2960" s="297"/>
    </row>
    <row r="2961" spans="1:22" ht="27.75" customHeight="1">
      <c r="A2961" s="1207">
        <v>14</v>
      </c>
      <c r="B2961" s="1210" t="s">
        <v>1486</v>
      </c>
      <c r="C2961" s="1211" t="s">
        <v>2777</v>
      </c>
      <c r="D2961" s="1212"/>
      <c r="E2961" s="1213" t="s">
        <v>3420</v>
      </c>
      <c r="F2961" s="1214" t="s">
        <v>239</v>
      </c>
      <c r="G2961" s="1215">
        <v>2418.1999999999998</v>
      </c>
      <c r="H2961" s="387"/>
      <c r="I2961" s="362"/>
      <c r="J2961" s="409"/>
      <c r="K2961" s="374">
        <f t="shared" si="120"/>
        <v>279.06027999999992</v>
      </c>
      <c r="L2961" s="374">
        <f t="shared" si="119"/>
        <v>0</v>
      </c>
      <c r="M2961" s="369"/>
      <c r="Q2961" s="478"/>
      <c r="R2961" s="479"/>
      <c r="S2961" s="297"/>
    </row>
    <row r="2962" spans="1:22" ht="27.75" customHeight="1">
      <c r="A2962" s="1207">
        <v>15</v>
      </c>
      <c r="B2962" s="1210" t="s">
        <v>3247</v>
      </c>
      <c r="C2962" s="1211" t="s">
        <v>3243</v>
      </c>
      <c r="D2962" s="1212"/>
      <c r="E2962" s="1213" t="s">
        <v>3420</v>
      </c>
      <c r="F2962" s="1214" t="s">
        <v>239</v>
      </c>
      <c r="G2962" s="1215">
        <v>13128.900000000007</v>
      </c>
      <c r="H2962" s="387"/>
      <c r="I2962" s="362"/>
      <c r="J2962" s="409"/>
      <c r="K2962" s="374">
        <f t="shared" si="120"/>
        <v>1515.0750600000008</v>
      </c>
      <c r="L2962" s="374">
        <f t="shared" si="119"/>
        <v>0</v>
      </c>
      <c r="M2962" s="369"/>
      <c r="Q2962" s="478"/>
      <c r="R2962" s="479"/>
      <c r="S2962" s="297"/>
    </row>
    <row r="2963" spans="1:22" ht="27.75" customHeight="1">
      <c r="A2963" s="1207">
        <v>16</v>
      </c>
      <c r="B2963" s="1210" t="s">
        <v>3333</v>
      </c>
      <c r="C2963" s="1211" t="s">
        <v>2777</v>
      </c>
      <c r="D2963" s="1212"/>
      <c r="E2963" s="1213" t="s">
        <v>3420</v>
      </c>
      <c r="F2963" s="1214" t="s">
        <v>239</v>
      </c>
      <c r="G2963" s="1508">
        <v>1444.5000000000005</v>
      </c>
      <c r="H2963" s="387"/>
      <c r="I2963" s="362"/>
      <c r="J2963" s="409"/>
      <c r="K2963" s="374">
        <f t="shared" si="120"/>
        <v>166.69530000000003</v>
      </c>
      <c r="L2963" s="374">
        <f t="shared" si="119"/>
        <v>0</v>
      </c>
      <c r="M2963" s="369"/>
      <c r="Q2963" s="478"/>
      <c r="R2963" s="479"/>
      <c r="S2963" s="297"/>
    </row>
    <row r="2964" spans="1:22" ht="27.75" customHeight="1">
      <c r="A2964" s="1207">
        <v>17</v>
      </c>
      <c r="B2964" s="1509" t="s">
        <v>3248</v>
      </c>
      <c r="C2964" s="1216" t="s">
        <v>2777</v>
      </c>
      <c r="D2964" s="1217"/>
      <c r="E2964" s="1213" t="s">
        <v>3420</v>
      </c>
      <c r="F2964" s="1214" t="s">
        <v>239</v>
      </c>
      <c r="G2964" s="1215">
        <v>1369.5999999999995</v>
      </c>
      <c r="H2964" s="387"/>
      <c r="I2964" s="362"/>
      <c r="J2964" s="409"/>
      <c r="K2964" s="374">
        <f t="shared" si="120"/>
        <v>158.05183999999991</v>
      </c>
      <c r="L2964" s="374">
        <f t="shared" si="119"/>
        <v>0</v>
      </c>
      <c r="M2964" s="369"/>
      <c r="Q2964" s="478"/>
      <c r="R2964" s="479"/>
      <c r="S2964" s="297"/>
    </row>
    <row r="2965" spans="1:22" ht="27.75" customHeight="1">
      <c r="A2965" s="1207">
        <v>18</v>
      </c>
      <c r="B2965" s="1509" t="s">
        <v>1487</v>
      </c>
      <c r="C2965" s="1216" t="s">
        <v>2777</v>
      </c>
      <c r="D2965" s="1217"/>
      <c r="E2965" s="1213" t="s">
        <v>3172</v>
      </c>
      <c r="F2965" s="1214" t="s">
        <v>239</v>
      </c>
      <c r="G2965" s="1215">
        <v>12519</v>
      </c>
      <c r="H2965" s="387"/>
      <c r="I2965" s="362"/>
      <c r="J2965" s="409"/>
      <c r="K2965" s="374">
        <f t="shared" si="120"/>
        <v>1444.6925999999999</v>
      </c>
      <c r="L2965" s="374">
        <f t="shared" si="119"/>
        <v>0</v>
      </c>
      <c r="M2965" s="369"/>
      <c r="Q2965" s="478"/>
      <c r="R2965" s="479"/>
      <c r="S2965" s="297"/>
    </row>
    <row r="2966" spans="1:22" ht="27.75" customHeight="1">
      <c r="A2966" s="1207">
        <v>19</v>
      </c>
      <c r="B2966" s="1509" t="s">
        <v>2778</v>
      </c>
      <c r="C2966" s="1216" t="s">
        <v>2777</v>
      </c>
      <c r="D2966" s="1217"/>
      <c r="E2966" s="1213" t="s">
        <v>3420</v>
      </c>
      <c r="F2966" s="1214" t="s">
        <v>239</v>
      </c>
      <c r="G2966" s="1215">
        <v>5981.3000000000011</v>
      </c>
      <c r="H2966" s="387"/>
      <c r="I2966" s="362"/>
      <c r="J2966" s="409"/>
      <c r="K2966" s="374">
        <f t="shared" si="120"/>
        <v>690.24202000000002</v>
      </c>
      <c r="L2966" s="374">
        <f t="shared" si="119"/>
        <v>0</v>
      </c>
      <c r="M2966" s="369"/>
      <c r="Q2966" s="478"/>
      <c r="R2966" s="479"/>
      <c r="S2966" s="297"/>
    </row>
    <row r="2967" spans="1:22" ht="27.75" customHeight="1">
      <c r="A2967" s="1207">
        <v>20</v>
      </c>
      <c r="B2967" s="1509" t="s">
        <v>3066</v>
      </c>
      <c r="C2967" s="1216" t="s">
        <v>2777</v>
      </c>
      <c r="D2967" s="1217"/>
      <c r="E2967" s="1213" t="s">
        <v>3425</v>
      </c>
      <c r="F2967" s="1214" t="s">
        <v>1492</v>
      </c>
      <c r="G2967" s="1215">
        <v>930.90000000000032</v>
      </c>
      <c r="H2967" s="387"/>
      <c r="I2967" s="362"/>
      <c r="J2967" s="409"/>
      <c r="K2967" s="374">
        <f t="shared" si="120"/>
        <v>107.42586000000003</v>
      </c>
      <c r="L2967" s="374">
        <f t="shared" si="119"/>
        <v>0</v>
      </c>
      <c r="M2967" s="369"/>
      <c r="Q2967" s="478"/>
      <c r="R2967" s="479"/>
      <c r="S2967" s="297"/>
    </row>
    <row r="2968" spans="1:22" ht="27.75" customHeight="1">
      <c r="A2968" s="1207">
        <v>21</v>
      </c>
      <c r="B2968" s="1509" t="s">
        <v>2641</v>
      </c>
      <c r="C2968" s="1216" t="s">
        <v>2777</v>
      </c>
      <c r="D2968" s="1217"/>
      <c r="E2968" s="1213" t="s">
        <v>3420</v>
      </c>
      <c r="F2968" s="1214" t="s">
        <v>239</v>
      </c>
      <c r="G2968" s="1215">
        <v>2033.0000000000032</v>
      </c>
      <c r="H2968" s="387"/>
      <c r="I2968" s="362"/>
      <c r="J2968" s="409"/>
      <c r="K2968" s="374">
        <f t="shared" si="120"/>
        <v>234.60820000000035</v>
      </c>
      <c r="L2968" s="374">
        <f t="shared" si="119"/>
        <v>0</v>
      </c>
      <c r="M2968" s="369"/>
      <c r="Q2968" s="478"/>
      <c r="R2968" s="479"/>
      <c r="S2968" s="297"/>
    </row>
    <row r="2969" spans="1:22" ht="27.75" customHeight="1">
      <c r="A2969" s="1207">
        <v>22</v>
      </c>
      <c r="B2969" s="1509" t="s">
        <v>3173</v>
      </c>
      <c r="C2969" s="1216" t="s">
        <v>2777</v>
      </c>
      <c r="D2969" s="1217"/>
      <c r="E2969" s="1213" t="s">
        <v>3420</v>
      </c>
      <c r="F2969" s="1214" t="s">
        <v>239</v>
      </c>
      <c r="G2969" s="1215">
        <v>11609.499999999998</v>
      </c>
      <c r="H2969" s="387"/>
      <c r="I2969" s="362"/>
      <c r="J2969" s="409"/>
      <c r="K2969" s="374">
        <f t="shared" si="120"/>
        <v>1339.7362999999998</v>
      </c>
      <c r="L2969" s="374">
        <f t="shared" si="119"/>
        <v>0</v>
      </c>
      <c r="M2969" s="369"/>
      <c r="Q2969" s="478"/>
      <c r="R2969" s="479"/>
      <c r="S2969" s="297"/>
    </row>
    <row r="2970" spans="1:22" ht="27.75" customHeight="1" thickBot="1">
      <c r="A2970" s="1207"/>
      <c r="B2970" s="506"/>
      <c r="C2970" s="395"/>
      <c r="D2970" s="374"/>
      <c r="E2970" s="1213"/>
      <c r="F2970" s="362"/>
      <c r="G2970" s="367"/>
      <c r="H2970" s="387"/>
      <c r="I2970" s="362"/>
      <c r="J2970" s="409"/>
      <c r="K2970" s="374">
        <f t="shared" si="120"/>
        <v>0</v>
      </c>
      <c r="L2970" s="374">
        <f t="shared" si="119"/>
        <v>0</v>
      </c>
      <c r="M2970" s="369"/>
      <c r="Q2970" s="478"/>
      <c r="R2970" s="479"/>
      <c r="S2970" s="297"/>
    </row>
    <row r="2971" spans="1:22" s="455" customFormat="1" ht="27.75" customHeight="1" thickTop="1" thickBot="1">
      <c r="A2971" s="1206" t="s">
        <v>1815</v>
      </c>
      <c r="B2971" s="550"/>
      <c r="C2971" s="457"/>
      <c r="D2971" s="446"/>
      <c r="E2971" s="1222"/>
      <c r="F2971" s="450"/>
      <c r="G2971" s="336"/>
      <c r="H2971" s="444"/>
      <c r="I2971" s="458"/>
      <c r="J2971" s="453"/>
      <c r="K2971" s="374">
        <f t="shared" si="120"/>
        <v>0</v>
      </c>
      <c r="L2971" s="446">
        <f t="shared" si="119"/>
        <v>0</v>
      </c>
      <c r="M2971" s="451"/>
      <c r="N2971" s="452">
        <f>SUM(G2948:G2971)</f>
        <v>140501.70000000001</v>
      </c>
      <c r="O2971" s="452">
        <f>SUM(J2948:J2971)</f>
        <v>10500</v>
      </c>
      <c r="P2971" s="452">
        <f>+O2971+N2971</f>
        <v>151001.70000000001</v>
      </c>
      <c r="Q2971" s="481">
        <f>SUM(D2948:D2971)</f>
        <v>0</v>
      </c>
      <c r="R2971" s="552" t="s">
        <v>36</v>
      </c>
      <c r="S2971" s="483"/>
      <c r="T2971" s="452"/>
      <c r="U2971" s="452"/>
      <c r="V2971" s="452"/>
    </row>
    <row r="2972" spans="1:22" ht="27.75" customHeight="1" thickTop="1">
      <c r="A2972" s="1207"/>
      <c r="B2972" s="363" t="s">
        <v>600</v>
      </c>
      <c r="C2972" s="393"/>
      <c r="D2972" s="338"/>
      <c r="E2972" s="1213"/>
      <c r="H2972" s="332"/>
      <c r="I2972" s="397"/>
      <c r="J2972" s="335"/>
      <c r="K2972" s="374">
        <f t="shared" si="120"/>
        <v>0</v>
      </c>
      <c r="L2972" s="338">
        <v>0</v>
      </c>
      <c r="M2972" s="369"/>
      <c r="Q2972" s="478"/>
      <c r="R2972" s="479"/>
      <c r="S2972" s="287"/>
      <c r="T2972" s="289"/>
      <c r="U2972" s="289"/>
      <c r="V2972" s="289"/>
    </row>
    <row r="2973" spans="1:22" s="385" customFormat="1" ht="27.75" customHeight="1">
      <c r="A2973" s="1207"/>
      <c r="B2973" s="492"/>
      <c r="C2973" s="1216"/>
      <c r="D2973" s="1217"/>
      <c r="E2973" s="1374"/>
      <c r="F2973" s="1375"/>
      <c r="G2973" s="1376"/>
      <c r="H2973" s="332"/>
      <c r="I2973" s="397"/>
      <c r="J2973" s="335"/>
      <c r="K2973" s="374"/>
      <c r="L2973" s="338"/>
      <c r="M2973" s="369"/>
      <c r="N2973" s="288"/>
      <c r="O2973" s="288"/>
      <c r="P2973" s="288"/>
      <c r="Q2973" s="288"/>
      <c r="S2973" s="291"/>
      <c r="T2973" s="291"/>
      <c r="U2973" s="291"/>
      <c r="V2973" s="291"/>
    </row>
    <row r="2974" spans="1:22" s="385" customFormat="1" ht="27.75" customHeight="1" thickBot="1">
      <c r="A2974" s="1207"/>
      <c r="B2974" s="332"/>
      <c r="C2974" s="477"/>
      <c r="D2974" s="365"/>
      <c r="E2974" s="1223"/>
      <c r="F2974" s="331"/>
      <c r="G2974" s="367"/>
      <c r="H2974" s="332"/>
      <c r="I2974" s="397"/>
      <c r="J2974" s="335"/>
      <c r="K2974" s="374">
        <f t="shared" si="120"/>
        <v>0</v>
      </c>
      <c r="L2974" s="338">
        <v>0</v>
      </c>
      <c r="M2974" s="369"/>
      <c r="N2974" s="288"/>
      <c r="O2974" s="288"/>
      <c r="P2974" s="288"/>
      <c r="Q2974" s="553"/>
      <c r="R2974" s="525"/>
      <c r="S2974" s="297"/>
      <c r="T2974" s="291"/>
      <c r="U2974" s="291"/>
      <c r="V2974" s="291"/>
    </row>
    <row r="2975" spans="1:22" s="455" customFormat="1" ht="27.75" customHeight="1" thickTop="1" thickBot="1">
      <c r="A2975" s="1206"/>
      <c r="B2975" s="444"/>
      <c r="C2975" s="555"/>
      <c r="D2975" s="447"/>
      <c r="E2975" s="1222"/>
      <c r="F2975" s="450"/>
      <c r="G2975" s="499"/>
      <c r="H2975" s="444"/>
      <c r="I2975" s="450"/>
      <c r="J2975" s="453"/>
      <c r="K2975" s="374">
        <f t="shared" si="120"/>
        <v>0</v>
      </c>
      <c r="L2975" s="446">
        <f>+J2975</f>
        <v>0</v>
      </c>
      <c r="M2975" s="451"/>
      <c r="N2975" s="452">
        <f>SUM(G2973:G2975)</f>
        <v>0</v>
      </c>
      <c r="O2975" s="452">
        <f>SUM(J2973:J2975)</f>
        <v>0</v>
      </c>
      <c r="P2975" s="452">
        <f>+N2975+O2975</f>
        <v>0</v>
      </c>
      <c r="Q2975" s="481">
        <f>SUM(D2973:D2975)</f>
        <v>0</v>
      </c>
      <c r="R2975" s="552" t="s">
        <v>600</v>
      </c>
      <c r="S2975" s="483"/>
      <c r="T2975" s="452"/>
      <c r="U2975" s="452"/>
      <c r="V2975" s="452"/>
    </row>
    <row r="2976" spans="1:22" ht="27.75" customHeight="1" thickTop="1">
      <c r="A2976" s="1207"/>
      <c r="B2976" s="580" t="s">
        <v>35</v>
      </c>
      <c r="C2976" s="477"/>
      <c r="D2976" s="335"/>
      <c r="E2976" s="1213"/>
      <c r="G2976" s="386"/>
      <c r="H2976" s="332"/>
      <c r="I2976" s="397"/>
      <c r="J2976" s="335"/>
      <c r="K2976" s="374">
        <f t="shared" si="120"/>
        <v>0</v>
      </c>
      <c r="L2976" s="374">
        <f t="shared" si="119"/>
        <v>0</v>
      </c>
      <c r="M2976" s="369"/>
    </row>
    <row r="2977" spans="1:22" ht="27.75" customHeight="1" thickBot="1">
      <c r="A2977" s="1207"/>
      <c r="B2977" s="580"/>
      <c r="C2977" s="477"/>
      <c r="D2977" s="335"/>
      <c r="E2977" s="1213"/>
      <c r="G2977" s="386"/>
      <c r="H2977" s="332"/>
      <c r="I2977" s="397"/>
      <c r="J2977" s="335"/>
      <c r="K2977" s="374">
        <f t="shared" si="120"/>
        <v>0</v>
      </c>
      <c r="L2977" s="374">
        <f t="shared" si="119"/>
        <v>0</v>
      </c>
      <c r="M2977" s="369"/>
    </row>
    <row r="2978" spans="1:22" s="455" customFormat="1" ht="27.75" customHeight="1" thickTop="1" thickBot="1">
      <c r="A2978" s="1206"/>
      <c r="B2978" s="1224"/>
      <c r="C2978" s="457"/>
      <c r="D2978" s="453"/>
      <c r="E2978" s="1222"/>
      <c r="F2978" s="1053"/>
      <c r="G2978" s="522"/>
      <c r="H2978" s="444"/>
      <c r="I2978" s="458"/>
      <c r="J2978" s="453"/>
      <c r="K2978" s="374">
        <f t="shared" si="120"/>
        <v>0</v>
      </c>
      <c r="L2978" s="446">
        <f t="shared" si="119"/>
        <v>0</v>
      </c>
      <c r="M2978" s="451"/>
      <c r="N2978" s="452">
        <f>SUM(G2976:G2978)</f>
        <v>0</v>
      </c>
      <c r="O2978" s="452">
        <f>SUM(J2976:J2978)</f>
        <v>0</v>
      </c>
      <c r="P2978" s="452">
        <f>+N2978+O2978</f>
        <v>0</v>
      </c>
      <c r="Q2978" s="481">
        <f>SUM(D2977:D2978)</f>
        <v>0</v>
      </c>
      <c r="R2978" s="552" t="s">
        <v>35</v>
      </c>
      <c r="S2978" s="483"/>
      <c r="T2978" s="452"/>
      <c r="U2978" s="452"/>
      <c r="V2978" s="452"/>
    </row>
    <row r="2979" spans="1:22" ht="27.6" customHeight="1" thickTop="1">
      <c r="A2979" s="1207"/>
      <c r="B2979" s="580" t="s">
        <v>88</v>
      </c>
      <c r="C2979" s="393"/>
      <c r="D2979" s="335"/>
      <c r="E2979" s="1213"/>
      <c r="F2979" s="1043"/>
      <c r="H2979" s="332"/>
      <c r="I2979" s="397"/>
      <c r="J2979" s="335"/>
      <c r="K2979" s="374">
        <f t="shared" si="120"/>
        <v>0</v>
      </c>
      <c r="L2979" s="338"/>
      <c r="M2979" s="369"/>
      <c r="Q2979" s="478"/>
      <c r="R2979" s="479"/>
      <c r="S2979" s="287"/>
      <c r="T2979" s="289"/>
      <c r="U2979" s="289"/>
      <c r="V2979" s="289"/>
    </row>
    <row r="2980" spans="1:22" s="385" customFormat="1" ht="27.75" customHeight="1">
      <c r="A2980" s="1207"/>
      <c r="B2980" s="1210"/>
      <c r="C2980" s="1211"/>
      <c r="D2980" s="1212"/>
      <c r="E2980" s="1213"/>
      <c r="F2980" s="1214"/>
      <c r="G2980" s="1215"/>
      <c r="H2980" s="1225"/>
      <c r="I2980" s="1226"/>
      <c r="J2980" s="374"/>
      <c r="K2980" s="374">
        <f t="shared" si="120"/>
        <v>0</v>
      </c>
      <c r="L2980" s="374">
        <f>+J2980</f>
        <v>0</v>
      </c>
      <c r="M2980" s="369"/>
      <c r="N2980" s="288"/>
      <c r="O2980" s="288"/>
      <c r="P2980" s="288"/>
      <c r="Q2980" s="288"/>
      <c r="S2980" s="291"/>
      <c r="T2980" s="291"/>
      <c r="U2980" s="291"/>
      <c r="V2980" s="291"/>
    </row>
    <row r="2981" spans="1:22" s="385" customFormat="1" ht="27.75" customHeight="1" thickBot="1">
      <c r="A2981" s="1207"/>
      <c r="B2981" s="364"/>
      <c r="C2981" s="477"/>
      <c r="D2981" s="365"/>
      <c r="E2981" s="1213"/>
      <c r="F2981" s="1201"/>
      <c r="G2981" s="386"/>
      <c r="H2981" s="1225"/>
      <c r="I2981" s="1226"/>
      <c r="J2981" s="374"/>
      <c r="K2981" s="374">
        <f t="shared" si="120"/>
        <v>0</v>
      </c>
      <c r="L2981" s="374"/>
      <c r="M2981" s="369"/>
      <c r="N2981" s="288"/>
      <c r="O2981" s="288"/>
      <c r="P2981" s="288"/>
      <c r="Q2981" s="553"/>
      <c r="R2981" s="525"/>
      <c r="S2981" s="297"/>
      <c r="T2981" s="291"/>
      <c r="U2981" s="291"/>
      <c r="V2981" s="291"/>
    </row>
    <row r="2982" spans="1:22" s="455" customFormat="1" ht="27.75" customHeight="1" thickTop="1" thickBot="1">
      <c r="A2982" s="1206"/>
      <c r="B2982" s="444"/>
      <c r="C2982" s="555"/>
      <c r="D2982" s="447"/>
      <c r="E2982" s="1222"/>
      <c r="F2982" s="621"/>
      <c r="G2982" s="499"/>
      <c r="H2982" s="444"/>
      <c r="I2982" s="458"/>
      <c r="J2982" s="453"/>
      <c r="K2982" s="374">
        <f t="shared" si="120"/>
        <v>0</v>
      </c>
      <c r="L2982" s="446">
        <f t="shared" ref="L2982:L2987" si="122">+J2982</f>
        <v>0</v>
      </c>
      <c r="M2982" s="451"/>
      <c r="N2982" s="452">
        <f>SUM(G2980:G2982)</f>
        <v>0</v>
      </c>
      <c r="O2982" s="452">
        <f>SUM(J2980:J2982)</f>
        <v>0</v>
      </c>
      <c r="P2982" s="452">
        <f>+N2982+O2982</f>
        <v>0</v>
      </c>
      <c r="Q2982" s="481">
        <f>SUM(D2980:D2982)</f>
        <v>0</v>
      </c>
      <c r="R2982" s="1151" t="s">
        <v>88</v>
      </c>
      <c r="S2982" s="483"/>
      <c r="T2982" s="452"/>
      <c r="U2982" s="452"/>
      <c r="V2982" s="452"/>
    </row>
    <row r="2983" spans="1:22" ht="27.75" customHeight="1" thickTop="1" thickBot="1">
      <c r="A2983" s="1207"/>
      <c r="B2983" s="395"/>
      <c r="C2983" s="333"/>
      <c r="D2983" s="382"/>
      <c r="E2983" s="1223"/>
      <c r="F2983" s="379"/>
      <c r="G2983" s="386"/>
      <c r="H2983" s="332"/>
      <c r="I2983" s="397"/>
      <c r="J2983" s="335"/>
      <c r="K2983" s="374">
        <f t="shared" si="120"/>
        <v>0</v>
      </c>
      <c r="L2983" s="374">
        <f t="shared" si="122"/>
        <v>0</v>
      </c>
      <c r="M2983" s="287"/>
      <c r="R2983" s="515"/>
    </row>
    <row r="2984" spans="1:22" s="455" customFormat="1" ht="27.75" customHeight="1" thickTop="1" thickBot="1">
      <c r="A2984" s="1206"/>
      <c r="B2984" s="550"/>
      <c r="C2984" s="457"/>
      <c r="D2984" s="576"/>
      <c r="E2984" s="1222"/>
      <c r="F2984" s="1227"/>
      <c r="G2984" s="707"/>
      <c r="H2984" s="1228"/>
      <c r="I2984" s="1227"/>
      <c r="J2984" s="576"/>
      <c r="K2984" s="374">
        <f t="shared" si="120"/>
        <v>0</v>
      </c>
      <c r="L2984" s="446">
        <f t="shared" si="122"/>
        <v>0</v>
      </c>
      <c r="M2984" s="1229"/>
      <c r="N2984" s="581">
        <f>SUM(G2983:G2983)</f>
        <v>0</v>
      </c>
      <c r="O2984" s="581">
        <f>SUM(J2983:J2983)</f>
        <v>0</v>
      </c>
      <c r="P2984" s="582">
        <f>+N2984+O2984</f>
        <v>0</v>
      </c>
      <c r="Q2984" s="521">
        <f>SUM(D2983:D2984)</f>
        <v>0</v>
      </c>
      <c r="R2984" s="1230" t="s">
        <v>165</v>
      </c>
      <c r="S2984" s="452"/>
      <c r="T2984" s="452"/>
      <c r="U2984" s="452"/>
      <c r="V2984" s="452"/>
    </row>
    <row r="2985" spans="1:22" ht="27.75" customHeight="1" thickTop="1">
      <c r="A2985" s="1207"/>
      <c r="B2985" s="363" t="s">
        <v>464</v>
      </c>
      <c r="C2985" s="393"/>
      <c r="D2985" s="505"/>
      <c r="E2985" s="1213"/>
      <c r="F2985" s="1231"/>
      <c r="G2985" s="586"/>
      <c r="H2985" s="1232"/>
      <c r="I2985" s="1231"/>
      <c r="J2985" s="505"/>
      <c r="K2985" s="374">
        <f t="shared" si="120"/>
        <v>0</v>
      </c>
      <c r="L2985" s="338">
        <f t="shared" si="122"/>
        <v>0</v>
      </c>
      <c r="M2985" s="1233"/>
      <c r="P2985" s="478"/>
      <c r="Q2985" s="489"/>
      <c r="R2985" s="1234"/>
      <c r="S2985" s="289"/>
      <c r="T2985" s="289"/>
      <c r="U2985" s="289"/>
      <c r="V2985" s="289"/>
    </row>
    <row r="2986" spans="1:22" ht="27.75" customHeight="1">
      <c r="A2986" s="1207"/>
      <c r="B2986" s="363"/>
      <c r="C2986" s="393"/>
      <c r="D2986" s="505"/>
      <c r="E2986" s="1213"/>
      <c r="F2986" s="1231"/>
      <c r="G2986" s="586"/>
      <c r="H2986" s="1232"/>
      <c r="I2986" s="1231"/>
      <c r="J2986" s="505"/>
      <c r="K2986" s="374"/>
      <c r="L2986" s="338"/>
      <c r="M2986" s="1233"/>
      <c r="P2986" s="478"/>
      <c r="Q2986" s="489"/>
      <c r="R2986" s="1234"/>
      <c r="S2986" s="289"/>
      <c r="T2986" s="289"/>
      <c r="U2986" s="289"/>
      <c r="V2986" s="289"/>
    </row>
    <row r="2987" spans="1:22" s="385" customFormat="1" ht="27.75" customHeight="1" thickBot="1">
      <c r="A2987" s="1208"/>
      <c r="B2987" s="1235"/>
      <c r="C2987" s="1236"/>
      <c r="D2987" s="1204"/>
      <c r="E2987" s="1223"/>
      <c r="F2987" s="1237"/>
      <c r="G2987" s="386"/>
      <c r="H2987" s="1238"/>
      <c r="I2987" s="1237"/>
      <c r="J2987" s="1204"/>
      <c r="K2987" s="374">
        <f t="shared" ref="K2987:K3066" si="123">G2987*11.54/100</f>
        <v>0</v>
      </c>
      <c r="L2987" s="374">
        <f t="shared" si="122"/>
        <v>0</v>
      </c>
      <c r="M2987" s="1239"/>
      <c r="N2987" s="288"/>
      <c r="O2987" s="288"/>
      <c r="P2987" s="288"/>
      <c r="Q2987" s="288"/>
      <c r="R2987" s="516"/>
      <c r="S2987" s="288"/>
      <c r="T2987" s="288"/>
      <c r="U2987" s="288"/>
      <c r="V2987" s="288"/>
    </row>
    <row r="2988" spans="1:22" s="411" customFormat="1" ht="27.75" customHeight="1" thickTop="1" thickBot="1">
      <c r="A2988" s="1206"/>
      <c r="B2988" s="550"/>
      <c r="C2988" s="457"/>
      <c r="D2988" s="576"/>
      <c r="E2988" s="1222"/>
      <c r="F2988" s="1227"/>
      <c r="G2988" s="707"/>
      <c r="H2988" s="1228"/>
      <c r="I2988" s="1227"/>
      <c r="J2988" s="576"/>
      <c r="K2988" s="374">
        <f t="shared" si="123"/>
        <v>0</v>
      </c>
      <c r="L2988" s="446">
        <f>+J2988</f>
        <v>0</v>
      </c>
      <c r="M2988" s="1229"/>
      <c r="N2988" s="452">
        <f>SUM(G2986:G2988)</f>
        <v>0</v>
      </c>
      <c r="O2988" s="452">
        <f>SUM(H2986:H2988)</f>
        <v>0</v>
      </c>
      <c r="P2988" s="452">
        <f>+N2988+O2988</f>
        <v>0</v>
      </c>
      <c r="Q2988" s="521">
        <f>SUM(D2986:D2988)</f>
        <v>0</v>
      </c>
      <c r="R2988" s="1230" t="s">
        <v>220</v>
      </c>
      <c r="S2988" s="452"/>
      <c r="T2988" s="452"/>
      <c r="U2988" s="452"/>
      <c r="V2988" s="452"/>
    </row>
    <row r="2989" spans="1:22" ht="27.75" customHeight="1" thickTop="1">
      <c r="A2989" s="1207"/>
      <c r="B2989" s="364" t="s">
        <v>219</v>
      </c>
      <c r="C2989" s="364"/>
      <c r="D2989" s="505"/>
      <c r="E2989" s="1213"/>
      <c r="F2989" s="362"/>
      <c r="G2989" s="586"/>
      <c r="H2989" s="364"/>
      <c r="I2989" s="362"/>
      <c r="J2989" s="505"/>
      <c r="K2989" s="374">
        <f t="shared" si="123"/>
        <v>0</v>
      </c>
      <c r="L2989" s="338"/>
      <c r="M2989" s="1233"/>
      <c r="P2989" s="478"/>
      <c r="Q2989" s="489"/>
      <c r="R2989" s="1234"/>
      <c r="S2989" s="289"/>
      <c r="T2989" s="289"/>
      <c r="U2989" s="289"/>
      <c r="V2989" s="289"/>
    </row>
    <row r="2990" spans="1:22" ht="27.75" customHeight="1">
      <c r="A2990" s="1207">
        <v>1</v>
      </c>
      <c r="B2990" s="364" t="s">
        <v>2698</v>
      </c>
      <c r="C2990" s="364" t="s">
        <v>2699</v>
      </c>
      <c r="D2990" s="505"/>
      <c r="E2990" s="409"/>
      <c r="F2990" s="362"/>
      <c r="G2990" s="586"/>
      <c r="H2990" s="364" t="s">
        <v>2627</v>
      </c>
      <c r="I2990" s="362"/>
      <c r="J2990" s="505">
        <v>20595.900000000001</v>
      </c>
      <c r="K2990" s="374">
        <f t="shared" si="123"/>
        <v>0</v>
      </c>
      <c r="L2990" s="338">
        <f>+J2990</f>
        <v>20595.900000000001</v>
      </c>
      <c r="M2990" s="1233"/>
      <c r="P2990" s="478"/>
      <c r="Q2990" s="489"/>
      <c r="R2990" s="1234"/>
      <c r="S2990" s="289"/>
      <c r="T2990" s="289"/>
      <c r="U2990" s="289"/>
      <c r="V2990" s="289"/>
    </row>
    <row r="2991" spans="1:22" ht="27.75" customHeight="1">
      <c r="A2991" s="1207">
        <v>2</v>
      </c>
      <c r="B2991" s="364" t="s">
        <v>1483</v>
      </c>
      <c r="C2991" s="364" t="s">
        <v>3458</v>
      </c>
      <c r="D2991" s="505"/>
      <c r="E2991" s="409" t="s">
        <v>3459</v>
      </c>
      <c r="F2991" s="362"/>
      <c r="G2991" s="586">
        <v>7025.04</v>
      </c>
      <c r="H2991" s="364"/>
      <c r="I2991" s="362"/>
      <c r="J2991" s="505"/>
      <c r="K2991" s="374">
        <f t="shared" si="123"/>
        <v>810.689616</v>
      </c>
      <c r="L2991" s="338">
        <f t="shared" ref="L2991:L3006" si="124">+J2991</f>
        <v>0</v>
      </c>
      <c r="M2991" s="1233"/>
      <c r="P2991" s="478"/>
      <c r="Q2991" s="489"/>
      <c r="R2991" s="1234"/>
      <c r="S2991" s="289"/>
      <c r="T2991" s="289"/>
      <c r="U2991" s="289"/>
      <c r="V2991" s="289"/>
    </row>
    <row r="2992" spans="1:22" ht="27.75" customHeight="1">
      <c r="A2992" s="1207">
        <v>3</v>
      </c>
      <c r="B2992" s="364" t="s">
        <v>3460</v>
      </c>
      <c r="C2992" s="364" t="s">
        <v>3461</v>
      </c>
      <c r="D2992" s="505"/>
      <c r="E2992" s="409" t="s">
        <v>3459</v>
      </c>
      <c r="F2992" s="362"/>
      <c r="G2992" s="586">
        <v>44657.8</v>
      </c>
      <c r="H2992" s="364"/>
      <c r="I2992" s="362"/>
      <c r="J2992" s="505"/>
      <c r="K2992" s="374">
        <f t="shared" si="123"/>
        <v>5153.5101199999999</v>
      </c>
      <c r="L2992" s="338">
        <f t="shared" si="124"/>
        <v>0</v>
      </c>
      <c r="M2992" s="1233"/>
      <c r="P2992" s="478"/>
      <c r="Q2992" s="489"/>
      <c r="R2992" s="1234"/>
      <c r="S2992" s="289"/>
      <c r="T2992" s="289"/>
      <c r="U2992" s="289"/>
      <c r="V2992" s="289"/>
    </row>
    <row r="2993" spans="1:22" ht="27.75" customHeight="1">
      <c r="A2993" s="1207">
        <v>4</v>
      </c>
      <c r="B2993" s="364" t="s">
        <v>3462</v>
      </c>
      <c r="C2993" s="364"/>
      <c r="D2993" s="505"/>
      <c r="E2993" s="409" t="s">
        <v>3459</v>
      </c>
      <c r="F2993" s="362"/>
      <c r="G2993" s="586">
        <v>1216.8599999999999</v>
      </c>
      <c r="H2993" s="364"/>
      <c r="I2993" s="362"/>
      <c r="J2993" s="505"/>
      <c r="K2993" s="374">
        <f t="shared" si="123"/>
        <v>140.42564399999998</v>
      </c>
      <c r="L2993" s="338">
        <f t="shared" si="124"/>
        <v>0</v>
      </c>
      <c r="M2993" s="1233"/>
      <c r="P2993" s="478"/>
      <c r="Q2993" s="489"/>
      <c r="R2993" s="1234"/>
      <c r="S2993" s="289"/>
      <c r="T2993" s="289"/>
      <c r="U2993" s="289"/>
      <c r="V2993" s="289"/>
    </row>
    <row r="2994" spans="1:22" ht="27.75" customHeight="1">
      <c r="A2994" s="1207">
        <v>5</v>
      </c>
      <c r="B2994" s="364" t="s">
        <v>3463</v>
      </c>
      <c r="C2994" s="364"/>
      <c r="D2994" s="505"/>
      <c r="E2994" s="409" t="s">
        <v>3459</v>
      </c>
      <c r="F2994" s="362"/>
      <c r="G2994" s="586">
        <v>3400.74</v>
      </c>
      <c r="H2994" s="364"/>
      <c r="I2994" s="362"/>
      <c r="J2994" s="505"/>
      <c r="K2994" s="374">
        <f t="shared" si="123"/>
        <v>392.44539599999996</v>
      </c>
      <c r="L2994" s="338">
        <f t="shared" si="124"/>
        <v>0</v>
      </c>
      <c r="M2994" s="1233"/>
      <c r="P2994" s="478"/>
      <c r="Q2994" s="489"/>
      <c r="R2994" s="1234"/>
      <c r="S2994" s="289"/>
      <c r="T2994" s="289"/>
      <c r="U2994" s="289"/>
      <c r="V2994" s="289"/>
    </row>
    <row r="2995" spans="1:22" ht="27.75" customHeight="1">
      <c r="A2995" s="1207">
        <v>6</v>
      </c>
      <c r="B2995" s="364" t="s">
        <v>3464</v>
      </c>
      <c r="C2995" s="364"/>
      <c r="D2995" s="505"/>
      <c r="E2995" s="409" t="s">
        <v>3459</v>
      </c>
      <c r="F2995" s="362"/>
      <c r="G2995" s="586">
        <v>1173.43</v>
      </c>
      <c r="H2995" s="364"/>
      <c r="I2995" s="362"/>
      <c r="J2995" s="505"/>
      <c r="K2995" s="374">
        <f t="shared" si="123"/>
        <v>135.41382200000001</v>
      </c>
      <c r="L2995" s="338">
        <f t="shared" si="124"/>
        <v>0</v>
      </c>
      <c r="M2995" s="1233"/>
      <c r="P2995" s="478"/>
      <c r="Q2995" s="489"/>
      <c r="R2995" s="1234"/>
      <c r="S2995" s="289"/>
      <c r="T2995" s="289"/>
      <c r="U2995" s="289"/>
      <c r="V2995" s="289"/>
    </row>
    <row r="2996" spans="1:22" ht="27.75" customHeight="1">
      <c r="A2996" s="1207">
        <v>7</v>
      </c>
      <c r="B2996" s="364" t="s">
        <v>3465</v>
      </c>
      <c r="C2996" s="364"/>
      <c r="D2996" s="505"/>
      <c r="E2996" s="409" t="s">
        <v>3459</v>
      </c>
      <c r="F2996" s="362"/>
      <c r="G2996" s="586">
        <v>9371.15</v>
      </c>
      <c r="H2996" s="364"/>
      <c r="I2996" s="362"/>
      <c r="J2996" s="505"/>
      <c r="K2996" s="374">
        <f t="shared" si="123"/>
        <v>1081.4307099999999</v>
      </c>
      <c r="L2996" s="338">
        <f t="shared" si="124"/>
        <v>0</v>
      </c>
      <c r="M2996" s="1233"/>
      <c r="P2996" s="478"/>
      <c r="Q2996" s="489"/>
      <c r="R2996" s="1234"/>
      <c r="S2996" s="289"/>
      <c r="T2996" s="289"/>
      <c r="U2996" s="289"/>
      <c r="V2996" s="289"/>
    </row>
    <row r="2997" spans="1:22" ht="27.75" customHeight="1">
      <c r="A2997" s="1207">
        <v>8</v>
      </c>
      <c r="B2997" s="364" t="s">
        <v>2697</v>
      </c>
      <c r="C2997" s="364"/>
      <c r="D2997" s="505"/>
      <c r="E2997" s="409" t="s">
        <v>3459</v>
      </c>
      <c r="F2997" s="362"/>
      <c r="G2997" s="586">
        <v>12495.89</v>
      </c>
      <c r="H2997" s="364"/>
      <c r="I2997" s="362"/>
      <c r="J2997" s="505"/>
      <c r="K2997" s="374">
        <f t="shared" si="123"/>
        <v>1442.0257059999997</v>
      </c>
      <c r="L2997" s="338">
        <f t="shared" si="124"/>
        <v>0</v>
      </c>
      <c r="M2997" s="1233"/>
      <c r="P2997" s="478"/>
      <c r="Q2997" s="489"/>
      <c r="R2997" s="1234"/>
      <c r="S2997" s="289"/>
      <c r="T2997" s="289"/>
      <c r="U2997" s="289"/>
      <c r="V2997" s="289"/>
    </row>
    <row r="2998" spans="1:22" ht="27.75" customHeight="1">
      <c r="A2998" s="1207">
        <v>9</v>
      </c>
      <c r="B2998" s="364" t="s">
        <v>3466</v>
      </c>
      <c r="C2998" s="364"/>
      <c r="D2998" s="505"/>
      <c r="E2998" s="409" t="s">
        <v>3459</v>
      </c>
      <c r="F2998" s="362"/>
      <c r="G2998" s="586">
        <v>14574.079999999998</v>
      </c>
      <c r="H2998" s="364"/>
      <c r="I2998" s="362"/>
      <c r="J2998" s="505"/>
      <c r="K2998" s="374">
        <f t="shared" si="123"/>
        <v>1681.8488319999994</v>
      </c>
      <c r="L2998" s="338">
        <f t="shared" si="124"/>
        <v>0</v>
      </c>
      <c r="M2998" s="1233"/>
      <c r="P2998" s="478"/>
      <c r="Q2998" s="489"/>
      <c r="R2998" s="1234"/>
      <c r="S2998" s="289"/>
      <c r="T2998" s="289"/>
      <c r="U2998" s="289"/>
      <c r="V2998" s="289"/>
    </row>
    <row r="2999" spans="1:22" ht="27.75" customHeight="1">
      <c r="A2999" s="1207">
        <v>10</v>
      </c>
      <c r="B2999" s="364" t="s">
        <v>3467</v>
      </c>
      <c r="C2999" s="364"/>
      <c r="D2999" s="505"/>
      <c r="E2999" s="409" t="s">
        <v>3459</v>
      </c>
      <c r="F2999" s="362"/>
      <c r="G2999" s="586">
        <v>3444.18</v>
      </c>
      <c r="H2999" s="364"/>
      <c r="I2999" s="362"/>
      <c r="J2999" s="505"/>
      <c r="K2999" s="374">
        <f t="shared" si="123"/>
        <v>397.45837199999994</v>
      </c>
      <c r="L2999" s="338">
        <f t="shared" si="124"/>
        <v>0</v>
      </c>
      <c r="M2999" s="1233"/>
      <c r="P2999" s="478"/>
      <c r="Q2999" s="489"/>
      <c r="R2999" s="1234"/>
      <c r="S2999" s="289"/>
      <c r="T2999" s="289"/>
      <c r="U2999" s="289"/>
      <c r="V2999" s="289"/>
    </row>
    <row r="3000" spans="1:22" ht="27.75" customHeight="1">
      <c r="A3000" s="1207">
        <v>11</v>
      </c>
      <c r="B3000" s="364" t="s">
        <v>3468</v>
      </c>
      <c r="C3000" s="364"/>
      <c r="D3000" s="505"/>
      <c r="E3000" s="409" t="s">
        <v>3459</v>
      </c>
      <c r="F3000" s="362"/>
      <c r="G3000" s="586">
        <v>677.38</v>
      </c>
      <c r="H3000" s="364"/>
      <c r="I3000" s="362"/>
      <c r="J3000" s="505"/>
      <c r="K3000" s="374">
        <f t="shared" si="123"/>
        <v>78.169651999999999</v>
      </c>
      <c r="L3000" s="338">
        <f>+J3000</f>
        <v>0</v>
      </c>
      <c r="M3000" s="1233"/>
      <c r="P3000" s="478"/>
      <c r="Q3000" s="489"/>
      <c r="R3000" s="1234"/>
      <c r="S3000" s="289"/>
      <c r="T3000" s="289"/>
      <c r="U3000" s="289"/>
      <c r="V3000" s="289"/>
    </row>
    <row r="3001" spans="1:22" ht="27.75" customHeight="1">
      <c r="A3001" s="1207">
        <v>12</v>
      </c>
      <c r="B3001" s="364" t="s">
        <v>1127</v>
      </c>
      <c r="C3001" s="364"/>
      <c r="D3001" s="505"/>
      <c r="E3001" s="409" t="s">
        <v>3459</v>
      </c>
      <c r="F3001" s="362"/>
      <c r="G3001" s="586">
        <v>1064.44</v>
      </c>
      <c r="H3001" s="364"/>
      <c r="I3001" s="362"/>
      <c r="J3001" s="505"/>
      <c r="K3001" s="374">
        <f t="shared" si="123"/>
        <v>122.836376</v>
      </c>
      <c r="L3001" s="338">
        <f t="shared" si="124"/>
        <v>0</v>
      </c>
      <c r="M3001" s="1233"/>
      <c r="P3001" s="478"/>
      <c r="Q3001" s="489"/>
      <c r="R3001" s="1234"/>
      <c r="S3001" s="289"/>
      <c r="T3001" s="289"/>
      <c r="U3001" s="289"/>
      <c r="V3001" s="289"/>
    </row>
    <row r="3002" spans="1:22" ht="27.75" customHeight="1">
      <c r="A3002" s="1207">
        <v>13</v>
      </c>
      <c r="B3002" s="364" t="s">
        <v>3469</v>
      </c>
      <c r="C3002" s="364"/>
      <c r="D3002" s="505"/>
      <c r="E3002" s="409" t="s">
        <v>3459</v>
      </c>
      <c r="F3002" s="362"/>
      <c r="G3002" s="586">
        <v>2128.88</v>
      </c>
      <c r="H3002" s="364"/>
      <c r="I3002" s="362"/>
      <c r="J3002" s="505"/>
      <c r="K3002" s="374">
        <f t="shared" si="123"/>
        <v>245.672752</v>
      </c>
      <c r="L3002" s="338">
        <f t="shared" si="124"/>
        <v>0</v>
      </c>
      <c r="M3002" s="1233"/>
      <c r="P3002" s="478"/>
      <c r="Q3002" s="489"/>
      <c r="R3002" s="1234"/>
      <c r="S3002" s="289"/>
      <c r="T3002" s="289"/>
      <c r="U3002" s="289"/>
      <c r="V3002" s="289"/>
    </row>
    <row r="3003" spans="1:22" ht="27.75" customHeight="1">
      <c r="A3003" s="1207">
        <v>14</v>
      </c>
      <c r="B3003" s="364" t="s">
        <v>3470</v>
      </c>
      <c r="C3003" s="364"/>
      <c r="D3003" s="505"/>
      <c r="E3003" s="409" t="s">
        <v>3459</v>
      </c>
      <c r="F3003" s="362"/>
      <c r="G3003" s="586">
        <v>435.46</v>
      </c>
      <c r="H3003" s="364"/>
      <c r="I3003" s="362"/>
      <c r="J3003" s="505"/>
      <c r="K3003" s="374">
        <f t="shared" si="123"/>
        <v>50.252083999999996</v>
      </c>
      <c r="L3003" s="338">
        <f t="shared" si="124"/>
        <v>0</v>
      </c>
      <c r="M3003" s="1233"/>
      <c r="P3003" s="478"/>
      <c r="Q3003" s="489"/>
      <c r="R3003" s="1234"/>
      <c r="S3003" s="289"/>
      <c r="T3003" s="289"/>
      <c r="U3003" s="289"/>
      <c r="V3003" s="289"/>
    </row>
    <row r="3004" spans="1:22" ht="27.75" customHeight="1">
      <c r="A3004" s="1207">
        <v>15</v>
      </c>
      <c r="B3004" s="364" t="s">
        <v>3471</v>
      </c>
      <c r="C3004" s="364"/>
      <c r="D3004" s="505"/>
      <c r="E3004" s="409" t="s">
        <v>3459</v>
      </c>
      <c r="F3004" s="362"/>
      <c r="G3004" s="586">
        <v>435.46</v>
      </c>
      <c r="H3004" s="364"/>
      <c r="I3004" s="362"/>
      <c r="J3004" s="505"/>
      <c r="K3004" s="374">
        <f t="shared" si="123"/>
        <v>50.252083999999996</v>
      </c>
      <c r="L3004" s="338">
        <f t="shared" si="124"/>
        <v>0</v>
      </c>
      <c r="M3004" s="1233"/>
      <c r="P3004" s="478"/>
      <c r="Q3004" s="489"/>
      <c r="R3004" s="1234"/>
      <c r="S3004" s="289"/>
      <c r="T3004" s="289"/>
      <c r="U3004" s="289"/>
      <c r="V3004" s="289"/>
    </row>
    <row r="3005" spans="1:22" ht="27.75" customHeight="1">
      <c r="A3005" s="1207">
        <v>16</v>
      </c>
      <c r="B3005" s="364" t="s">
        <v>3472</v>
      </c>
      <c r="C3005" s="364"/>
      <c r="D3005" s="505"/>
      <c r="E3005" s="409" t="s">
        <v>3459</v>
      </c>
      <c r="F3005" s="362"/>
      <c r="G3005" s="586">
        <v>1064.44</v>
      </c>
      <c r="H3005" s="364"/>
      <c r="I3005" s="362"/>
      <c r="J3005" s="505"/>
      <c r="K3005" s="374">
        <f t="shared" si="123"/>
        <v>122.836376</v>
      </c>
      <c r="L3005" s="338">
        <f t="shared" si="124"/>
        <v>0</v>
      </c>
      <c r="M3005" s="1233"/>
      <c r="P3005" s="478"/>
      <c r="Q3005" s="489"/>
      <c r="R3005" s="1234"/>
      <c r="S3005" s="289"/>
      <c r="T3005" s="289"/>
      <c r="U3005" s="289"/>
      <c r="V3005" s="289"/>
    </row>
    <row r="3006" spans="1:22" ht="27.75" customHeight="1">
      <c r="A3006" s="1207">
        <v>17</v>
      </c>
      <c r="B3006" s="364" t="s">
        <v>3249</v>
      </c>
      <c r="C3006" s="364"/>
      <c r="D3006" s="505"/>
      <c r="E3006" s="1213" t="s">
        <v>3459</v>
      </c>
      <c r="F3006" s="362"/>
      <c r="G3006" s="586">
        <v>532.22</v>
      </c>
      <c r="H3006" s="364"/>
      <c r="I3006" s="362"/>
      <c r="J3006" s="505"/>
      <c r="K3006" s="374">
        <f t="shared" si="123"/>
        <v>61.418188000000001</v>
      </c>
      <c r="L3006" s="338">
        <f t="shared" si="124"/>
        <v>0</v>
      </c>
      <c r="M3006" s="1233"/>
      <c r="P3006" s="478"/>
      <c r="Q3006" s="489"/>
      <c r="R3006" s="1234"/>
      <c r="S3006" s="289"/>
      <c r="T3006" s="289"/>
      <c r="U3006" s="289"/>
      <c r="V3006" s="289"/>
    </row>
    <row r="3007" spans="1:22" s="570" customFormat="1" ht="27.75" customHeight="1">
      <c r="A3007" s="1240"/>
      <c r="B3007" s="1241"/>
      <c r="C3007" s="1191"/>
      <c r="D3007" s="1242"/>
      <c r="E3007" s="1243"/>
      <c r="F3007" s="1244"/>
      <c r="G3007" s="1245"/>
      <c r="H3007" s="1246"/>
      <c r="I3007" s="1244"/>
      <c r="J3007" s="1242"/>
      <c r="K3007" s="374">
        <f t="shared" si="123"/>
        <v>0</v>
      </c>
      <c r="L3007" s="1196"/>
      <c r="M3007" s="1247"/>
      <c r="N3007" s="566">
        <f>SUM(G2990:G3007)</f>
        <v>103697.45000000003</v>
      </c>
      <c r="O3007" s="566">
        <f>SUM(J2990:J3007)</f>
        <v>20595.900000000001</v>
      </c>
      <c r="P3007" s="567">
        <f>+N3007+O3007</f>
        <v>124293.35000000003</v>
      </c>
      <c r="Q3007" s="1248">
        <f>SUM(D2990:D3007)</f>
        <v>0</v>
      </c>
      <c r="R3007" s="1249" t="s">
        <v>219</v>
      </c>
      <c r="S3007" s="566"/>
      <c r="T3007" s="566"/>
      <c r="U3007" s="566"/>
      <c r="V3007" s="566"/>
    </row>
    <row r="3008" spans="1:22" ht="27.75" customHeight="1" thickBot="1">
      <c r="A3008" s="321"/>
      <c r="B3008" s="537"/>
      <c r="C3008" s="1250"/>
      <c r="D3008" s="538"/>
      <c r="E3008" s="1251"/>
      <c r="F3008" s="535"/>
      <c r="G3008" s="536">
        <f>SUM(G2898:G3007)</f>
        <v>339996.67760000005</v>
      </c>
      <c r="H3008" s="597"/>
      <c r="I3008" s="535"/>
      <c r="J3008" s="533">
        <f>SUM(J2898:J3006)</f>
        <v>1394604.2699999998</v>
      </c>
      <c r="K3008" s="374">
        <f t="shared" si="123"/>
        <v>39235.616595040003</v>
      </c>
      <c r="L3008" s="533">
        <f>SUM(L2898:L3007)</f>
        <v>1394604.2699999998</v>
      </c>
      <c r="M3008" s="533"/>
      <c r="N3008" s="598">
        <f>SUM(N2898:N3007)</f>
        <v>339996.67760000005</v>
      </c>
      <c r="O3008" s="598">
        <f>SUM(O2897:O3007)</f>
        <v>1394604.27</v>
      </c>
      <c r="P3008" s="598">
        <f>SUM(P2898:P3007)</f>
        <v>1734600.9476000003</v>
      </c>
      <c r="Q3008" s="1252">
        <f>SUM(Q2898:Q3006)</f>
        <v>11200</v>
      </c>
    </row>
    <row r="3009" spans="1:22" ht="27.75" customHeight="1" thickTop="1">
      <c r="B3009" s="516"/>
      <c r="C3009" s="1253"/>
      <c r="D3009" s="330"/>
      <c r="E3009" s="1254"/>
      <c r="F3009" s="541"/>
      <c r="G3009" s="544"/>
      <c r="H3009" s="601"/>
      <c r="I3009" s="541"/>
      <c r="J3009" s="330">
        <f>+J3008+G3008</f>
        <v>1734600.9475999998</v>
      </c>
      <c r="K3009" s="374">
        <f t="shared" si="123"/>
        <v>0</v>
      </c>
      <c r="L3009" s="330">
        <f>+L3008+K3008</f>
        <v>1433839.8865950399</v>
      </c>
      <c r="M3009" s="488"/>
      <c r="N3009" s="995">
        <f>G3008+J3008</f>
        <v>1734600.9475999998</v>
      </c>
      <c r="O3009" s="603">
        <f>+N3009-P3009</f>
        <v>2.3000000510364771E-3</v>
      </c>
      <c r="P3009" s="1255">
        <v>1734600.9452999998</v>
      </c>
      <c r="Q3009" s="330"/>
    </row>
    <row r="3010" spans="1:22" s="436" customFormat="1" ht="27.75" customHeight="1">
      <c r="A3010" s="692"/>
      <c r="B3010" s="763" t="s">
        <v>42</v>
      </c>
      <c r="C3010" s="764"/>
      <c r="D3010" s="357"/>
      <c r="E3010" s="1256"/>
      <c r="F3010" s="354"/>
      <c r="G3010" s="829"/>
      <c r="H3010" s="360"/>
      <c r="I3010" s="354"/>
      <c r="J3010" s="357"/>
      <c r="K3010" s="374">
        <f t="shared" si="123"/>
        <v>0</v>
      </c>
      <c r="L3010" s="361"/>
      <c r="M3010" s="360"/>
      <c r="N3010" s="1257"/>
      <c r="O3010" s="358"/>
      <c r="P3010" s="358"/>
      <c r="Q3010" s="357"/>
      <c r="S3010" s="358"/>
      <c r="T3010" s="358"/>
      <c r="U3010" s="358"/>
      <c r="V3010" s="358"/>
    </row>
    <row r="3011" spans="1:22" ht="27.6" customHeight="1">
      <c r="B3011" s="373" t="s">
        <v>66</v>
      </c>
      <c r="C3011" s="393"/>
      <c r="D3011" s="365"/>
      <c r="E3011" s="1213"/>
      <c r="F3011" s="366"/>
      <c r="G3011" s="367"/>
      <c r="H3011" s="368"/>
      <c r="I3011" s="366"/>
      <c r="J3011" s="365"/>
      <c r="K3011" s="374">
        <f t="shared" si="123"/>
        <v>0</v>
      </c>
      <c r="L3011" s="374">
        <f t="shared" ref="L3011:L3028" si="125">+J3011</f>
        <v>0</v>
      </c>
      <c r="M3011" s="371"/>
      <c r="N3011" s="287"/>
      <c r="Q3011" s="370"/>
      <c r="S3011" s="289"/>
      <c r="T3011" s="289"/>
      <c r="U3011" s="289"/>
      <c r="V3011" s="289"/>
    </row>
    <row r="3012" spans="1:22" ht="26.4" customHeight="1">
      <c r="A3012" s="331">
        <v>1</v>
      </c>
      <c r="B3012" s="506" t="s">
        <v>824</v>
      </c>
      <c r="C3012" s="579">
        <v>268</v>
      </c>
      <c r="D3012" s="475"/>
      <c r="E3012" s="1213"/>
      <c r="F3012" s="579"/>
      <c r="G3012" s="386"/>
      <c r="H3012" s="506" t="s">
        <v>3052</v>
      </c>
      <c r="I3012" s="579" t="s">
        <v>17</v>
      </c>
      <c r="J3012" s="475">
        <v>133752.76</v>
      </c>
      <c r="K3012" s="374">
        <f t="shared" si="123"/>
        <v>0</v>
      </c>
      <c r="L3012" s="374">
        <f t="shared" si="125"/>
        <v>133752.76</v>
      </c>
      <c r="S3012" s="289"/>
      <c r="T3012" s="289"/>
      <c r="U3012" s="289"/>
      <c r="V3012" s="289"/>
    </row>
    <row r="3013" spans="1:22" ht="26.4" customHeight="1">
      <c r="B3013" s="506" t="s">
        <v>3050</v>
      </c>
      <c r="C3013" s="579"/>
      <c r="D3013" s="475"/>
      <c r="E3013" s="1213"/>
      <c r="F3013" s="579"/>
      <c r="G3013" s="386"/>
      <c r="H3013" s="506"/>
      <c r="I3013" s="579"/>
      <c r="J3013" s="475"/>
      <c r="K3013" s="374"/>
      <c r="L3013" s="374"/>
      <c r="S3013" s="289"/>
      <c r="T3013" s="289"/>
      <c r="U3013" s="289"/>
      <c r="V3013" s="289"/>
    </row>
    <row r="3014" spans="1:22" ht="26.4" customHeight="1">
      <c r="B3014" s="506" t="s">
        <v>3051</v>
      </c>
      <c r="C3014" s="579"/>
      <c r="D3014" s="475"/>
      <c r="E3014" s="1213"/>
      <c r="F3014" s="579"/>
      <c r="G3014" s="386"/>
      <c r="H3014" s="506"/>
      <c r="I3014" s="579"/>
      <c r="J3014" s="475"/>
      <c r="K3014" s="374"/>
      <c r="L3014" s="374"/>
      <c r="S3014" s="289"/>
      <c r="T3014" s="289"/>
      <c r="U3014" s="289"/>
      <c r="V3014" s="289"/>
    </row>
    <row r="3015" spans="1:22" ht="27.75" customHeight="1">
      <c r="A3015" s="331">
        <v>2</v>
      </c>
      <c r="B3015" s="387" t="s">
        <v>222</v>
      </c>
      <c r="C3015" s="395" t="s">
        <v>249</v>
      </c>
      <c r="D3015" s="335"/>
      <c r="E3015" s="1213"/>
      <c r="H3015" s="1258" t="s">
        <v>273</v>
      </c>
      <c r="I3015" s="331" t="s">
        <v>17</v>
      </c>
      <c r="J3015" s="475">
        <v>133707.98000000001</v>
      </c>
      <c r="K3015" s="374">
        <f t="shared" si="123"/>
        <v>0</v>
      </c>
      <c r="L3015" s="374">
        <f t="shared" si="125"/>
        <v>133707.98000000001</v>
      </c>
      <c r="S3015" s="290"/>
      <c r="T3015" s="290"/>
      <c r="U3015" s="290"/>
      <c r="V3015" s="290"/>
    </row>
    <row r="3016" spans="1:22" ht="27.75" customHeight="1">
      <c r="B3016" s="387" t="s">
        <v>274</v>
      </c>
      <c r="C3016" s="395"/>
      <c r="D3016" s="335"/>
      <c r="E3016" s="1213"/>
      <c r="H3016" s="1258"/>
      <c r="K3016" s="374">
        <f t="shared" si="123"/>
        <v>0</v>
      </c>
      <c r="L3016" s="374">
        <f t="shared" si="125"/>
        <v>0</v>
      </c>
      <c r="S3016" s="290"/>
      <c r="T3016" s="290"/>
      <c r="U3016" s="290"/>
      <c r="V3016" s="290"/>
    </row>
    <row r="3017" spans="1:22" ht="27.75" customHeight="1">
      <c r="B3017" s="332" t="s">
        <v>275</v>
      </c>
      <c r="C3017" s="393"/>
      <c r="D3017" s="335"/>
      <c r="E3017" s="1213"/>
      <c r="H3017" s="1258"/>
      <c r="K3017" s="374">
        <f t="shared" si="123"/>
        <v>0</v>
      </c>
      <c r="L3017" s="374">
        <f t="shared" si="125"/>
        <v>0</v>
      </c>
      <c r="S3017" s="290"/>
      <c r="T3017" s="290"/>
      <c r="U3017" s="290"/>
      <c r="V3017" s="290"/>
    </row>
    <row r="3018" spans="1:22" ht="27.75" customHeight="1">
      <c r="A3018" s="331">
        <v>3</v>
      </c>
      <c r="B3018" s="332" t="s">
        <v>3053</v>
      </c>
      <c r="C3018" s="393"/>
      <c r="D3018" s="335"/>
      <c r="E3018" s="1213"/>
      <c r="H3018" s="1258" t="s">
        <v>3052</v>
      </c>
      <c r="I3018" s="331" t="s">
        <v>17</v>
      </c>
      <c r="J3018" s="338">
        <v>304935.7</v>
      </c>
      <c r="K3018" s="374">
        <f t="shared" si="123"/>
        <v>0</v>
      </c>
      <c r="L3018" s="374">
        <f t="shared" si="125"/>
        <v>304935.7</v>
      </c>
      <c r="S3018" s="290"/>
      <c r="T3018" s="290"/>
      <c r="U3018" s="290"/>
      <c r="V3018" s="290"/>
    </row>
    <row r="3019" spans="1:22" ht="27.75" customHeight="1">
      <c r="B3019" s="332" t="s">
        <v>3054</v>
      </c>
      <c r="C3019" s="393"/>
      <c r="D3019" s="335"/>
      <c r="E3019" s="1213"/>
      <c r="H3019" s="1258"/>
      <c r="K3019" s="374"/>
      <c r="L3019" s="374"/>
      <c r="S3019" s="290"/>
      <c r="T3019" s="290"/>
      <c r="U3019" s="290"/>
      <c r="V3019" s="290"/>
    </row>
    <row r="3020" spans="1:22" ht="27.75" customHeight="1">
      <c r="B3020" s="332" t="s">
        <v>3055</v>
      </c>
      <c r="C3020" s="393"/>
      <c r="D3020" s="335"/>
      <c r="E3020" s="1213"/>
      <c r="H3020" s="1258"/>
      <c r="K3020" s="374"/>
      <c r="L3020" s="374"/>
      <c r="S3020" s="290"/>
      <c r="T3020" s="290"/>
      <c r="U3020" s="290"/>
      <c r="V3020" s="290"/>
    </row>
    <row r="3021" spans="1:22" ht="27.75" customHeight="1">
      <c r="A3021" s="331">
        <v>4</v>
      </c>
      <c r="B3021" s="332" t="s">
        <v>818</v>
      </c>
      <c r="C3021" s="393" t="s">
        <v>603</v>
      </c>
      <c r="D3021" s="335"/>
      <c r="E3021" s="1213"/>
      <c r="H3021" s="1258" t="s">
        <v>786</v>
      </c>
      <c r="I3021" s="331">
        <v>7</v>
      </c>
      <c r="J3021" s="338">
        <v>30800</v>
      </c>
      <c r="K3021" s="374">
        <v>0</v>
      </c>
      <c r="L3021" s="374">
        <f t="shared" si="125"/>
        <v>30800</v>
      </c>
      <c r="S3021" s="290"/>
      <c r="T3021" s="290"/>
      <c r="U3021" s="290"/>
      <c r="V3021" s="290"/>
    </row>
    <row r="3022" spans="1:22" ht="27.75" customHeight="1">
      <c r="A3022" s="331">
        <v>5</v>
      </c>
      <c r="B3022" s="332" t="s">
        <v>1654</v>
      </c>
      <c r="C3022" s="393" t="s">
        <v>2695</v>
      </c>
      <c r="D3022" s="335"/>
      <c r="E3022" s="1259" t="s">
        <v>2632</v>
      </c>
      <c r="F3022" s="331">
        <v>4</v>
      </c>
      <c r="G3022" s="336">
        <v>18600</v>
      </c>
      <c r="H3022" s="1258"/>
      <c r="K3022" s="374">
        <v>0</v>
      </c>
      <c r="L3022" s="374">
        <f t="shared" si="125"/>
        <v>0</v>
      </c>
      <c r="S3022" s="290"/>
      <c r="T3022" s="290"/>
      <c r="U3022" s="290"/>
      <c r="V3022" s="290"/>
    </row>
    <row r="3023" spans="1:22" ht="27.75" customHeight="1">
      <c r="A3023" s="331">
        <v>6</v>
      </c>
      <c r="B3023" s="332" t="s">
        <v>2047</v>
      </c>
      <c r="C3023" s="393" t="s">
        <v>2695</v>
      </c>
      <c r="D3023" s="335"/>
      <c r="E3023" s="1259" t="s">
        <v>2633</v>
      </c>
      <c r="F3023" s="331">
        <v>4</v>
      </c>
      <c r="G3023" s="336">
        <v>23000</v>
      </c>
      <c r="H3023" s="1258"/>
      <c r="K3023" s="374">
        <v>0</v>
      </c>
      <c r="L3023" s="374">
        <f t="shared" si="125"/>
        <v>0</v>
      </c>
      <c r="S3023" s="290"/>
      <c r="T3023" s="290"/>
      <c r="U3023" s="290"/>
      <c r="V3023" s="290"/>
    </row>
    <row r="3024" spans="1:22" ht="27.75" customHeight="1">
      <c r="A3024" s="331">
        <v>7</v>
      </c>
      <c r="B3024" s="1510" t="s">
        <v>2893</v>
      </c>
      <c r="C3024" s="1511">
        <v>84282</v>
      </c>
      <c r="D3024" s="1512"/>
      <c r="E3024" s="1513" t="s">
        <v>3487</v>
      </c>
      <c r="F3024" s="1514">
        <v>4</v>
      </c>
      <c r="G3024" s="1512">
        <v>9720</v>
      </c>
      <c r="H3024" s="1258"/>
      <c r="K3024" s="374">
        <v>0</v>
      </c>
      <c r="L3024" s="374">
        <f t="shared" si="125"/>
        <v>0</v>
      </c>
      <c r="S3024" s="290"/>
      <c r="T3024" s="290"/>
      <c r="U3024" s="290"/>
      <c r="V3024" s="290"/>
    </row>
    <row r="3025" spans="1:22" ht="27.75" customHeight="1">
      <c r="A3025" s="331">
        <v>8</v>
      </c>
      <c r="B3025" s="332" t="s">
        <v>2981</v>
      </c>
      <c r="C3025" s="393"/>
      <c r="D3025" s="335"/>
      <c r="E3025" s="505" t="s">
        <v>3435</v>
      </c>
      <c r="F3025" s="331">
        <v>2</v>
      </c>
      <c r="G3025" s="336">
        <v>10000</v>
      </c>
      <c r="H3025" s="1258"/>
      <c r="K3025" s="374">
        <v>0</v>
      </c>
      <c r="L3025" s="374">
        <f t="shared" si="125"/>
        <v>0</v>
      </c>
      <c r="S3025" s="290"/>
      <c r="T3025" s="290"/>
      <c r="U3025" s="290"/>
      <c r="V3025" s="290"/>
    </row>
    <row r="3026" spans="1:22" ht="27.75" customHeight="1">
      <c r="A3026" s="331">
        <v>9</v>
      </c>
      <c r="B3026" s="332" t="s">
        <v>2981</v>
      </c>
      <c r="C3026" s="393"/>
      <c r="D3026" s="335"/>
      <c r="E3026" s="505" t="s">
        <v>3435</v>
      </c>
      <c r="F3026" s="331">
        <v>2</v>
      </c>
      <c r="G3026" s="336">
        <v>9300</v>
      </c>
      <c r="H3026" s="1258"/>
      <c r="K3026" s="374">
        <v>0</v>
      </c>
      <c r="L3026" s="374">
        <f t="shared" si="125"/>
        <v>0</v>
      </c>
      <c r="S3026" s="290"/>
      <c r="T3026" s="290"/>
      <c r="U3026" s="290"/>
      <c r="V3026" s="290"/>
    </row>
    <row r="3027" spans="1:22" ht="27.75" customHeight="1">
      <c r="B3027" s="332"/>
      <c r="C3027" s="393"/>
      <c r="D3027" s="335"/>
      <c r="E3027" s="1213"/>
      <c r="H3027" s="1258"/>
      <c r="K3027" s="374">
        <v>0</v>
      </c>
      <c r="L3027" s="374">
        <f t="shared" si="125"/>
        <v>0</v>
      </c>
      <c r="S3027" s="290"/>
      <c r="T3027" s="290"/>
      <c r="U3027" s="290"/>
      <c r="V3027" s="290"/>
    </row>
    <row r="3028" spans="1:22" ht="27.75" customHeight="1" thickBot="1">
      <c r="B3028" s="332"/>
      <c r="C3028" s="393"/>
      <c r="D3028" s="335"/>
      <c r="E3028" s="335" t="s">
        <v>1816</v>
      </c>
      <c r="H3028" s="1258"/>
      <c r="K3028" s="374">
        <f t="shared" si="123"/>
        <v>0</v>
      </c>
      <c r="L3028" s="374">
        <f t="shared" si="125"/>
        <v>0</v>
      </c>
      <c r="Q3028" s="478"/>
      <c r="R3028" s="479"/>
      <c r="S3028" s="658"/>
      <c r="T3028" s="290"/>
      <c r="U3028" s="290"/>
      <c r="V3028" s="290"/>
    </row>
    <row r="3029" spans="1:22" s="570" customFormat="1" ht="27.75" customHeight="1" thickTop="1" thickBot="1">
      <c r="A3029" s="558"/>
      <c r="B3029" s="562"/>
      <c r="C3029" s="559"/>
      <c r="D3029" s="561"/>
      <c r="E3029" s="1260"/>
      <c r="F3029" s="558"/>
      <c r="G3029" s="336"/>
      <c r="H3029" s="1042"/>
      <c r="I3029" s="558"/>
      <c r="J3029" s="564"/>
      <c r="K3029" s="374">
        <f t="shared" si="123"/>
        <v>0</v>
      </c>
      <c r="L3029" s="564">
        <f>+J3029</f>
        <v>0</v>
      </c>
      <c r="M3029" s="565"/>
      <c r="N3029" s="566">
        <f>SUM(G3011:G3029)</f>
        <v>70620</v>
      </c>
      <c r="O3029" s="566">
        <f>SUM(J3012:J3029)</f>
        <v>603196.43999999994</v>
      </c>
      <c r="P3029" s="566">
        <f>+N3029+O3029</f>
        <v>673816.44</v>
      </c>
      <c r="Q3029" s="567">
        <f>SUM(D3012:D3028)</f>
        <v>0</v>
      </c>
      <c r="R3029" s="568" t="s">
        <v>310</v>
      </c>
      <c r="S3029" s="1035"/>
    </row>
    <row r="3030" spans="1:22" ht="27.75" customHeight="1" thickTop="1">
      <c r="B3030" s="506" t="s">
        <v>981</v>
      </c>
      <c r="C3030" s="584"/>
      <c r="D3030" s="1008"/>
      <c r="E3030" s="1213"/>
      <c r="F3030" s="579"/>
      <c r="G3030" s="386"/>
      <c r="H3030" s="584"/>
      <c r="I3030" s="579"/>
      <c r="J3030" s="1008"/>
      <c r="K3030" s="374">
        <f t="shared" si="123"/>
        <v>0</v>
      </c>
      <c r="L3030" s="374">
        <f>+J3030</f>
        <v>0</v>
      </c>
      <c r="S3030" s="290"/>
      <c r="T3030" s="290"/>
      <c r="U3030" s="290"/>
      <c r="V3030" s="290"/>
    </row>
    <row r="3031" spans="1:22" ht="27.75" customHeight="1">
      <c r="B3031" s="506"/>
      <c r="C3031" s="584"/>
      <c r="D3031" s="1008"/>
      <c r="E3031" s="475"/>
      <c r="F3031" s="579"/>
      <c r="G3031" s="386"/>
      <c r="H3031" s="584"/>
      <c r="I3031" s="579"/>
      <c r="J3031" s="1008"/>
      <c r="K3031" s="374"/>
      <c r="L3031" s="374"/>
      <c r="S3031" s="290"/>
      <c r="T3031" s="290"/>
      <c r="U3031" s="290"/>
      <c r="V3031" s="290"/>
    </row>
    <row r="3032" spans="1:22" ht="27.75" customHeight="1">
      <c r="B3032" s="506"/>
      <c r="C3032" s="584"/>
      <c r="D3032" s="1008"/>
      <c r="E3032" s="475"/>
      <c r="F3032" s="579"/>
      <c r="G3032" s="386"/>
      <c r="H3032" s="1258"/>
      <c r="K3032" s="374"/>
      <c r="L3032" s="374"/>
      <c r="S3032" s="290"/>
      <c r="T3032" s="290"/>
      <c r="U3032" s="290"/>
      <c r="V3032" s="290"/>
    </row>
    <row r="3033" spans="1:22" ht="27.75" customHeight="1" thickBot="1">
      <c r="B3033" s="506"/>
      <c r="C3033" s="584"/>
      <c r="D3033" s="1008"/>
      <c r="E3033" s="1213"/>
      <c r="F3033" s="579"/>
      <c r="G3033" s="386"/>
      <c r="H3033" s="1258"/>
      <c r="K3033" s="374">
        <f t="shared" si="123"/>
        <v>0</v>
      </c>
      <c r="L3033" s="374"/>
      <c r="Q3033" s="478"/>
      <c r="R3033" s="479"/>
      <c r="S3033" s="658"/>
      <c r="T3033" s="290"/>
      <c r="U3033" s="290"/>
      <c r="V3033" s="290"/>
    </row>
    <row r="3034" spans="1:22" s="570" customFormat="1" ht="27.75" customHeight="1" thickTop="1" thickBot="1">
      <c r="A3034" s="558"/>
      <c r="B3034" s="1010"/>
      <c r="C3034" s="1010"/>
      <c r="D3034" s="1026"/>
      <c r="E3034" s="1260"/>
      <c r="F3034" s="563"/>
      <c r="G3034" s="1261"/>
      <c r="H3034" s="1042"/>
      <c r="I3034" s="558"/>
      <c r="J3034" s="564"/>
      <c r="K3034" s="374">
        <f t="shared" si="123"/>
        <v>0</v>
      </c>
      <c r="L3034" s="564">
        <f t="shared" ref="L3034:L3044" si="126">+J3034</f>
        <v>0</v>
      </c>
      <c r="M3034" s="565"/>
      <c r="N3034" s="566">
        <f>SUM(G3031:G3034)</f>
        <v>0</v>
      </c>
      <c r="O3034" s="566">
        <f>SUM(J3032:J3034)</f>
        <v>0</v>
      </c>
      <c r="P3034" s="566">
        <f>+N3034+O3034</f>
        <v>0</v>
      </c>
      <c r="Q3034" s="567">
        <f>SUM(D3032:D3033)</f>
        <v>0</v>
      </c>
      <c r="R3034" s="568" t="s">
        <v>256</v>
      </c>
      <c r="S3034" s="569"/>
      <c r="T3034" s="566"/>
      <c r="U3034" s="566"/>
      <c r="V3034" s="566"/>
    </row>
    <row r="3035" spans="1:22" s="385" customFormat="1" ht="27.75" customHeight="1" thickTop="1" thickBot="1">
      <c r="A3035" s="331"/>
      <c r="B3035" s="584"/>
      <c r="C3035" s="584"/>
      <c r="D3035" s="1008"/>
      <c r="E3035" s="1213"/>
      <c r="F3035" s="579"/>
      <c r="G3035" s="1262"/>
      <c r="H3035" s="1258"/>
      <c r="I3035" s="331"/>
      <c r="J3035" s="338"/>
      <c r="K3035" s="374">
        <f t="shared" si="123"/>
        <v>0</v>
      </c>
      <c r="L3035" s="374">
        <f t="shared" si="126"/>
        <v>0</v>
      </c>
      <c r="M3035" s="330"/>
      <c r="N3035" s="289"/>
      <c r="O3035" s="289"/>
      <c r="P3035" s="289"/>
      <c r="Q3035" s="289" t="s">
        <v>961</v>
      </c>
      <c r="S3035" s="291"/>
      <c r="T3035" s="291"/>
      <c r="U3035" s="291"/>
      <c r="V3035" s="291"/>
    </row>
    <row r="3036" spans="1:22" s="570" customFormat="1" ht="27.75" customHeight="1" thickTop="1" thickBot="1">
      <c r="A3036" s="558"/>
      <c r="B3036" s="562" t="s">
        <v>54</v>
      </c>
      <c r="C3036" s="1010"/>
      <c r="D3036" s="1026"/>
      <c r="E3036" s="1260"/>
      <c r="F3036" s="563"/>
      <c r="G3036" s="1261"/>
      <c r="H3036" s="562"/>
      <c r="I3036" s="563"/>
      <c r="J3036" s="561"/>
      <c r="K3036" s="374">
        <f t="shared" si="123"/>
        <v>0</v>
      </c>
      <c r="L3036" s="564">
        <f t="shared" si="126"/>
        <v>0</v>
      </c>
      <c r="M3036" s="565"/>
      <c r="N3036" s="566"/>
      <c r="O3036" s="566">
        <f t="shared" ref="O3036:O3042" si="127">SUM(J3036)</f>
        <v>0</v>
      </c>
      <c r="P3036" s="566">
        <f>+N3042+O3036</f>
        <v>0</v>
      </c>
      <c r="Q3036" s="567">
        <f>SUM(D3036)</f>
        <v>0</v>
      </c>
      <c r="R3036" s="568" t="s">
        <v>54</v>
      </c>
      <c r="S3036" s="569"/>
      <c r="T3036" s="566"/>
      <c r="U3036" s="566"/>
      <c r="V3036" s="566"/>
    </row>
    <row r="3037" spans="1:22" s="570" customFormat="1" ht="27.75" customHeight="1" thickTop="1" thickBot="1">
      <c r="A3037" s="558"/>
      <c r="B3037" s="1263" t="s">
        <v>36</v>
      </c>
      <c r="C3037" s="1263"/>
      <c r="D3037" s="1264"/>
      <c r="E3037" s="1260"/>
      <c r="F3037" s="563"/>
      <c r="G3037" s="1005"/>
      <c r="H3037" s="562"/>
      <c r="I3037" s="563"/>
      <c r="J3037" s="561"/>
      <c r="K3037" s="374">
        <f t="shared" si="123"/>
        <v>0</v>
      </c>
      <c r="L3037" s="564">
        <f t="shared" si="126"/>
        <v>0</v>
      </c>
      <c r="M3037" s="565"/>
      <c r="N3037" s="566">
        <f>SUM(G3037)</f>
        <v>0</v>
      </c>
      <c r="O3037" s="566">
        <f t="shared" si="127"/>
        <v>0</v>
      </c>
      <c r="P3037" s="566">
        <f>+N3037+O3037</f>
        <v>0</v>
      </c>
      <c r="Q3037" s="567"/>
      <c r="R3037" s="568" t="s">
        <v>33</v>
      </c>
      <c r="S3037" s="569"/>
      <c r="T3037" s="566"/>
      <c r="U3037" s="566"/>
      <c r="V3037" s="566"/>
    </row>
    <row r="3038" spans="1:22" s="570" customFormat="1" ht="27.75" customHeight="1" thickTop="1" thickBot="1">
      <c r="A3038" s="558"/>
      <c r="B3038" s="1010" t="s">
        <v>112</v>
      </c>
      <c r="C3038" s="560"/>
      <c r="D3038" s="564"/>
      <c r="E3038" s="1260"/>
      <c r="F3038" s="558"/>
      <c r="G3038" s="1005"/>
      <c r="H3038" s="562"/>
      <c r="I3038" s="563"/>
      <c r="J3038" s="561"/>
      <c r="K3038" s="374">
        <f t="shared" si="123"/>
        <v>0</v>
      </c>
      <c r="L3038" s="564">
        <f t="shared" si="126"/>
        <v>0</v>
      </c>
      <c r="M3038" s="565"/>
      <c r="N3038" s="566">
        <f>G3038</f>
        <v>0</v>
      </c>
      <c r="O3038" s="566">
        <f t="shared" si="127"/>
        <v>0</v>
      </c>
      <c r="P3038" s="566">
        <f>N3038+O3038</f>
        <v>0</v>
      </c>
      <c r="Q3038" s="567"/>
      <c r="R3038" s="568" t="s">
        <v>112</v>
      </c>
      <c r="S3038" s="569"/>
      <c r="T3038" s="566"/>
      <c r="U3038" s="566"/>
      <c r="V3038" s="566"/>
    </row>
    <row r="3039" spans="1:22" ht="27.75" customHeight="1" thickTop="1">
      <c r="B3039" s="363"/>
      <c r="C3039" s="477"/>
      <c r="D3039" s="338"/>
      <c r="E3039" s="1213"/>
      <c r="G3039" s="386"/>
      <c r="H3039" s="332"/>
      <c r="I3039" s="397"/>
      <c r="J3039" s="335"/>
      <c r="K3039" s="374">
        <f t="shared" si="123"/>
        <v>0</v>
      </c>
      <c r="L3039" s="374">
        <f t="shared" si="126"/>
        <v>0</v>
      </c>
      <c r="Q3039" s="478"/>
      <c r="R3039" s="479"/>
      <c r="S3039" s="287"/>
      <c r="T3039" s="289"/>
      <c r="U3039" s="289"/>
      <c r="V3039" s="289"/>
    </row>
    <row r="3040" spans="1:22" s="385" customFormat="1" ht="27.75" customHeight="1">
      <c r="A3040" s="331"/>
      <c r="B3040" s="395" t="s">
        <v>52</v>
      </c>
      <c r="C3040" s="395"/>
      <c r="D3040" s="382"/>
      <c r="E3040" s="1223"/>
      <c r="F3040" s="379"/>
      <c r="G3040" s="586"/>
      <c r="H3040" s="387"/>
      <c r="I3040" s="388"/>
      <c r="J3040" s="335"/>
      <c r="K3040" s="374">
        <f t="shared" si="123"/>
        <v>0</v>
      </c>
      <c r="L3040" s="374">
        <f t="shared" si="126"/>
        <v>0</v>
      </c>
      <c r="M3040" s="330"/>
      <c r="N3040" s="288"/>
      <c r="O3040" s="288">
        <f t="shared" si="127"/>
        <v>0</v>
      </c>
      <c r="P3040" s="288"/>
      <c r="Q3040" s="288"/>
      <c r="S3040" s="291"/>
      <c r="T3040" s="291"/>
      <c r="U3040" s="291"/>
      <c r="V3040" s="291"/>
    </row>
    <row r="3041" spans="1:22" s="385" customFormat="1" ht="27.75" customHeight="1">
      <c r="A3041" s="331"/>
      <c r="B3041" s="395"/>
      <c r="C3041" s="395"/>
      <c r="D3041" s="382"/>
      <c r="E3041" s="1223"/>
      <c r="F3041" s="379"/>
      <c r="G3041" s="586"/>
      <c r="H3041" s="387"/>
      <c r="I3041" s="388"/>
      <c r="J3041" s="335"/>
      <c r="K3041" s="374">
        <f t="shared" si="123"/>
        <v>0</v>
      </c>
      <c r="L3041" s="374">
        <f t="shared" si="126"/>
        <v>0</v>
      </c>
      <c r="M3041" s="330"/>
      <c r="N3041" s="288"/>
      <c r="O3041" s="288"/>
      <c r="P3041" s="288"/>
      <c r="Q3041" s="288"/>
      <c r="S3041" s="291"/>
      <c r="T3041" s="291"/>
      <c r="U3041" s="291"/>
      <c r="V3041" s="291"/>
    </row>
    <row r="3042" spans="1:22" s="385" customFormat="1" ht="27.75" customHeight="1">
      <c r="A3042" s="331"/>
      <c r="B3042" s="364"/>
      <c r="C3042" s="364"/>
      <c r="D3042" s="409"/>
      <c r="E3042" s="1213"/>
      <c r="F3042" s="362"/>
      <c r="G3042" s="367"/>
      <c r="H3042" s="387"/>
      <c r="I3042" s="388"/>
      <c r="J3042" s="335"/>
      <c r="K3042" s="374">
        <f t="shared" si="123"/>
        <v>0</v>
      </c>
      <c r="L3042" s="374">
        <f t="shared" si="126"/>
        <v>0</v>
      </c>
      <c r="M3042" s="330"/>
      <c r="N3042" s="288">
        <f>SUM(G3036)</f>
        <v>0</v>
      </c>
      <c r="O3042" s="288">
        <f t="shared" si="127"/>
        <v>0</v>
      </c>
      <c r="P3042" s="288"/>
      <c r="Q3042" s="288"/>
      <c r="S3042" s="291"/>
      <c r="T3042" s="291"/>
      <c r="U3042" s="291"/>
      <c r="V3042" s="291"/>
    </row>
    <row r="3043" spans="1:22" s="570" customFormat="1" ht="27.75" customHeight="1">
      <c r="A3043" s="558"/>
      <c r="B3043" s="559"/>
      <c r="C3043" s="559"/>
      <c r="D3043" s="564"/>
      <c r="E3043" s="1260"/>
      <c r="F3043" s="558"/>
      <c r="G3043" s="1005"/>
      <c r="H3043" s="562"/>
      <c r="I3043" s="563"/>
      <c r="J3043" s="561"/>
      <c r="K3043" s="374">
        <f t="shared" si="123"/>
        <v>0</v>
      </c>
      <c r="L3043" s="564">
        <f t="shared" si="126"/>
        <v>0</v>
      </c>
      <c r="M3043" s="565"/>
      <c r="N3043" s="566">
        <f>SUM(G3040:G3043)</f>
        <v>0</v>
      </c>
      <c r="O3043" s="566">
        <f>SUM(J3040:J3043)</f>
        <v>0</v>
      </c>
      <c r="P3043" s="566">
        <f>N3043+O3043</f>
        <v>0</v>
      </c>
      <c r="Q3043" s="567">
        <f>SUM(D3040:D3043)</f>
        <v>0</v>
      </c>
      <c r="R3043" s="411" t="s">
        <v>51</v>
      </c>
      <c r="S3043" s="569"/>
      <c r="T3043" s="566"/>
      <c r="U3043" s="566"/>
      <c r="V3043" s="566"/>
    </row>
    <row r="3044" spans="1:22" ht="27.75" customHeight="1">
      <c r="B3044" s="395"/>
      <c r="C3044" s="395"/>
      <c r="D3044" s="338"/>
      <c r="E3044" s="1213"/>
      <c r="G3044" s="386"/>
      <c r="H3044" s="332"/>
      <c r="I3044" s="397"/>
      <c r="J3044" s="335"/>
      <c r="K3044" s="374">
        <f t="shared" si="123"/>
        <v>0</v>
      </c>
      <c r="L3044" s="564">
        <f t="shared" si="126"/>
        <v>0</v>
      </c>
      <c r="N3044" s="288"/>
      <c r="O3044" s="288"/>
      <c r="P3044" s="288"/>
    </row>
    <row r="3045" spans="1:22" s="570" customFormat="1" ht="27.75" customHeight="1">
      <c r="A3045" s="558"/>
      <c r="B3045" s="560" t="s">
        <v>32</v>
      </c>
      <c r="C3045" s="560"/>
      <c r="D3045" s="561"/>
      <c r="E3045" s="1260"/>
      <c r="F3045" s="558"/>
      <c r="G3045" s="1005"/>
      <c r="H3045" s="562"/>
      <c r="I3045" s="563"/>
      <c r="J3045" s="561"/>
      <c r="K3045" s="374">
        <f t="shared" si="123"/>
        <v>0</v>
      </c>
      <c r="L3045" s="564">
        <f>+J3045</f>
        <v>0</v>
      </c>
      <c r="M3045" s="565"/>
      <c r="N3045" s="566"/>
      <c r="O3045" s="566"/>
      <c r="P3045" s="566"/>
      <c r="Q3045" s="567">
        <f>SUM(E3045)</f>
        <v>0</v>
      </c>
      <c r="R3045" s="411" t="s">
        <v>53</v>
      </c>
      <c r="S3045" s="569"/>
      <c r="T3045" s="566"/>
      <c r="U3045" s="566"/>
      <c r="V3045" s="566"/>
    </row>
    <row r="3046" spans="1:22" ht="27.75" customHeight="1">
      <c r="B3046" s="364"/>
      <c r="C3046" s="364"/>
      <c r="D3046" s="335"/>
      <c r="E3046" s="1213"/>
      <c r="G3046" s="386"/>
      <c r="H3046" s="332"/>
      <c r="I3046" s="397"/>
      <c r="J3046" s="335"/>
      <c r="K3046" s="374">
        <f t="shared" si="123"/>
        <v>0</v>
      </c>
      <c r="L3046" s="374">
        <f>+J3046</f>
        <v>0</v>
      </c>
      <c r="Q3046" s="478"/>
      <c r="R3046" s="479"/>
      <c r="S3046" s="287"/>
      <c r="T3046" s="289"/>
      <c r="U3046" s="289"/>
      <c r="V3046" s="289"/>
    </row>
    <row r="3047" spans="1:22" ht="27.75" customHeight="1">
      <c r="B3047" s="364" t="s">
        <v>70</v>
      </c>
      <c r="C3047" s="364"/>
      <c r="D3047" s="335"/>
      <c r="E3047" s="1213"/>
      <c r="G3047" s="386"/>
      <c r="H3047" s="332"/>
      <c r="I3047" s="397"/>
      <c r="J3047" s="335"/>
      <c r="K3047" s="374">
        <f t="shared" si="123"/>
        <v>0</v>
      </c>
      <c r="L3047" s="374">
        <f>+J3047</f>
        <v>0</v>
      </c>
      <c r="Q3047" s="478"/>
      <c r="R3047" s="479"/>
      <c r="S3047" s="287"/>
      <c r="T3047" s="289"/>
      <c r="U3047" s="289"/>
      <c r="V3047" s="289"/>
    </row>
    <row r="3048" spans="1:22" ht="27.75" customHeight="1">
      <c r="B3048" s="1265"/>
      <c r="C3048" s="364"/>
      <c r="D3048" s="335"/>
      <c r="E3048" s="1213"/>
      <c r="G3048" s="386"/>
      <c r="H3048" s="332"/>
      <c r="I3048" s="397"/>
      <c r="J3048" s="335"/>
      <c r="K3048" s="374"/>
      <c r="L3048" s="374"/>
      <c r="Q3048" s="478"/>
      <c r="R3048" s="479"/>
      <c r="S3048" s="287"/>
      <c r="T3048" s="289"/>
      <c r="U3048" s="289"/>
      <c r="V3048" s="289"/>
    </row>
    <row r="3049" spans="1:22" ht="27.75" customHeight="1">
      <c r="B3049" s="1265"/>
      <c r="C3049" s="364"/>
      <c r="D3049" s="335"/>
      <c r="E3049" s="1213"/>
      <c r="G3049" s="386"/>
      <c r="H3049" s="332"/>
      <c r="I3049" s="397"/>
      <c r="J3049" s="335"/>
      <c r="K3049" s="374">
        <f t="shared" si="123"/>
        <v>0</v>
      </c>
      <c r="L3049" s="374">
        <f>+J3049</f>
        <v>0</v>
      </c>
      <c r="Q3049" s="478"/>
      <c r="R3049" s="479"/>
      <c r="S3049" s="287"/>
      <c r="T3049" s="289"/>
      <c r="U3049" s="289"/>
      <c r="V3049" s="289"/>
    </row>
    <row r="3050" spans="1:22" ht="27.75" customHeight="1">
      <c r="B3050" s="506"/>
      <c r="C3050" s="506"/>
      <c r="D3050" s="475"/>
      <c r="E3050" s="1213"/>
      <c r="F3050" s="579"/>
      <c r="G3050" s="386"/>
      <c r="H3050" s="332"/>
      <c r="I3050" s="397"/>
      <c r="J3050" s="382"/>
      <c r="K3050" s="374">
        <f t="shared" si="123"/>
        <v>0</v>
      </c>
      <c r="L3050" s="374">
        <f t="shared" ref="L3050:L3059" si="128">+J3050</f>
        <v>0</v>
      </c>
      <c r="N3050" s="288"/>
    </row>
    <row r="3051" spans="1:22" s="570" customFormat="1" ht="27.75" customHeight="1">
      <c r="A3051" s="558"/>
      <c r="B3051" s="562"/>
      <c r="C3051" s="562"/>
      <c r="D3051" s="561"/>
      <c r="E3051" s="1260"/>
      <c r="F3051" s="563"/>
      <c r="G3051" s="1005"/>
      <c r="H3051" s="562"/>
      <c r="I3051" s="563"/>
      <c r="J3051" s="561"/>
      <c r="K3051" s="374">
        <f t="shared" si="123"/>
        <v>0</v>
      </c>
      <c r="L3051" s="564">
        <f t="shared" si="128"/>
        <v>0</v>
      </c>
      <c r="M3051" s="565"/>
      <c r="N3051" s="1059">
        <f>SUM(G3047:G3051)</f>
        <v>0</v>
      </c>
      <c r="O3051" s="1059">
        <f>SUM(J3050:J3051)</f>
        <v>0</v>
      </c>
      <c r="P3051" s="1059">
        <f>+N3051+O3051</f>
        <v>0</v>
      </c>
      <c r="Q3051" s="1080">
        <f>SUM(D3050:D3051)</f>
        <v>0</v>
      </c>
      <c r="R3051" s="411" t="s">
        <v>254</v>
      </c>
      <c r="S3051" s="569"/>
      <c r="T3051" s="566"/>
      <c r="U3051" s="566"/>
      <c r="V3051" s="566"/>
    </row>
    <row r="3052" spans="1:22" s="385" customFormat="1" ht="27.75" customHeight="1">
      <c r="A3052" s="331"/>
      <c r="B3052" s="364" t="s">
        <v>982</v>
      </c>
      <c r="C3052" s="333"/>
      <c r="D3052" s="374"/>
      <c r="E3052" s="1223"/>
      <c r="F3052" s="379"/>
      <c r="G3052" s="336"/>
      <c r="H3052" s="387"/>
      <c r="I3052" s="388"/>
      <c r="J3052" s="382"/>
      <c r="K3052" s="374">
        <f t="shared" si="123"/>
        <v>0</v>
      </c>
      <c r="L3052" s="374">
        <f t="shared" si="128"/>
        <v>0</v>
      </c>
      <c r="M3052" s="330"/>
      <c r="N3052" s="288"/>
      <c r="O3052" s="288"/>
      <c r="P3052" s="288"/>
      <c r="Q3052" s="288"/>
      <c r="S3052" s="291"/>
      <c r="T3052" s="291"/>
      <c r="U3052" s="291"/>
      <c r="V3052" s="291"/>
    </row>
    <row r="3053" spans="1:22" ht="27.75" customHeight="1">
      <c r="A3053" s="331">
        <f>+A3051+1</f>
        <v>1</v>
      </c>
      <c r="B3053" s="393" t="s">
        <v>222</v>
      </c>
      <c r="C3053" s="477" t="s">
        <v>353</v>
      </c>
      <c r="D3053" s="338"/>
      <c r="E3053" s="1213"/>
      <c r="H3053" s="364" t="s">
        <v>273</v>
      </c>
      <c r="I3053" s="331" t="s">
        <v>17</v>
      </c>
      <c r="J3053" s="338">
        <v>73800</v>
      </c>
      <c r="K3053" s="374">
        <f t="shared" si="123"/>
        <v>0</v>
      </c>
      <c r="L3053" s="374">
        <f t="shared" si="128"/>
        <v>73800</v>
      </c>
    </row>
    <row r="3054" spans="1:22" ht="27.75" customHeight="1">
      <c r="B3054" s="332" t="s">
        <v>274</v>
      </c>
      <c r="C3054" s="477"/>
      <c r="D3054" s="338"/>
      <c r="E3054" s="1213"/>
      <c r="H3054" s="1258"/>
      <c r="K3054" s="374">
        <f t="shared" si="123"/>
        <v>0</v>
      </c>
      <c r="L3054" s="374">
        <f t="shared" si="128"/>
        <v>0</v>
      </c>
    </row>
    <row r="3055" spans="1:22" ht="27.75" customHeight="1">
      <c r="B3055" s="332" t="s">
        <v>275</v>
      </c>
      <c r="C3055" s="477"/>
      <c r="D3055" s="338"/>
      <c r="E3055" s="1213"/>
      <c r="H3055" s="1258"/>
      <c r="K3055" s="374">
        <f t="shared" si="123"/>
        <v>0</v>
      </c>
      <c r="L3055" s="374">
        <f t="shared" si="128"/>
        <v>0</v>
      </c>
      <c r="Q3055" s="478"/>
      <c r="R3055" s="479"/>
      <c r="S3055" s="297"/>
    </row>
    <row r="3056" spans="1:22" ht="27.75" customHeight="1">
      <c r="A3056" s="331">
        <f>+A3053+1</f>
        <v>2</v>
      </c>
      <c r="B3056" s="332" t="s">
        <v>824</v>
      </c>
      <c r="C3056" s="364" t="s">
        <v>962</v>
      </c>
      <c r="D3056" s="338"/>
      <c r="E3056" s="1213"/>
      <c r="H3056" s="1258"/>
      <c r="J3056" s="338">
        <v>59100</v>
      </c>
      <c r="K3056" s="374">
        <f t="shared" si="123"/>
        <v>0</v>
      </c>
      <c r="L3056" s="374">
        <f t="shared" si="128"/>
        <v>59100</v>
      </c>
      <c r="Q3056" s="478"/>
      <c r="R3056" s="479"/>
      <c r="S3056" s="297"/>
    </row>
    <row r="3057" spans="1:22" ht="27.75" customHeight="1">
      <c r="A3057" s="331">
        <v>3</v>
      </c>
      <c r="B3057" s="364" t="s">
        <v>818</v>
      </c>
      <c r="C3057" s="364" t="s">
        <v>962</v>
      </c>
      <c r="D3057" s="338"/>
      <c r="E3057" s="1213"/>
      <c r="H3057" s="1258"/>
      <c r="J3057" s="409">
        <v>64400</v>
      </c>
      <c r="K3057" s="374">
        <f t="shared" si="123"/>
        <v>0</v>
      </c>
      <c r="L3057" s="374">
        <f t="shared" si="128"/>
        <v>64400</v>
      </c>
      <c r="Q3057" s="478"/>
      <c r="R3057" s="479"/>
      <c r="S3057" s="297"/>
    </row>
    <row r="3058" spans="1:22" ht="27.75" customHeight="1">
      <c r="B3058" s="364"/>
      <c r="C3058" s="364"/>
      <c r="D3058" s="338"/>
      <c r="E3058" s="1213"/>
      <c r="H3058" s="1258"/>
      <c r="J3058" s="409"/>
      <c r="K3058" s="374">
        <f t="shared" si="123"/>
        <v>0</v>
      </c>
      <c r="L3058" s="374">
        <f t="shared" si="128"/>
        <v>0</v>
      </c>
      <c r="Q3058" s="478"/>
      <c r="R3058" s="479"/>
      <c r="S3058" s="297"/>
    </row>
    <row r="3059" spans="1:22" ht="27.75" customHeight="1" thickBot="1">
      <c r="B3059" s="364"/>
      <c r="C3059" s="364"/>
      <c r="D3059" s="338"/>
      <c r="E3059" s="1213"/>
      <c r="H3059" s="1258"/>
      <c r="J3059" s="409"/>
      <c r="K3059" s="374">
        <f t="shared" si="123"/>
        <v>0</v>
      </c>
      <c r="L3059" s="374">
        <f t="shared" si="128"/>
        <v>0</v>
      </c>
      <c r="Q3059" s="478"/>
      <c r="R3059" s="479"/>
      <c r="S3059" s="297"/>
    </row>
    <row r="3060" spans="1:22" s="570" customFormat="1" ht="27.75" customHeight="1" thickTop="1" thickBot="1">
      <c r="A3060" s="558"/>
      <c r="B3060" s="562"/>
      <c r="C3060" s="560"/>
      <c r="D3060" s="564"/>
      <c r="E3060" s="1260"/>
      <c r="F3060" s="558"/>
      <c r="G3060" s="1028"/>
      <c r="H3060" s="1042"/>
      <c r="I3060" s="558"/>
      <c r="J3060" s="564"/>
      <c r="K3060" s="374">
        <f t="shared" si="123"/>
        <v>0</v>
      </c>
      <c r="L3060" s="564">
        <f>+J3060</f>
        <v>0</v>
      </c>
      <c r="M3060" s="565"/>
      <c r="N3060" s="1059">
        <f>SUM(G3053:G3059)</f>
        <v>0</v>
      </c>
      <c r="O3060" s="1059">
        <f>SUM(J3053:J3060)</f>
        <v>197300</v>
      </c>
      <c r="P3060" s="1059">
        <f>+N3060+O3060</f>
        <v>197300</v>
      </c>
      <c r="Q3060" s="1080">
        <f>SUM(D3053:D3060)</f>
        <v>0</v>
      </c>
      <c r="R3060" s="568" t="s">
        <v>151</v>
      </c>
      <c r="S3060" s="569"/>
      <c r="T3060" s="566"/>
      <c r="U3060" s="566"/>
      <c r="V3060" s="566"/>
    </row>
    <row r="3061" spans="1:22" ht="27.6" customHeight="1" thickTop="1">
      <c r="B3061" s="393" t="s">
        <v>220</v>
      </c>
      <c r="C3061" s="477"/>
      <c r="D3061" s="338"/>
      <c r="E3061" s="1213"/>
      <c r="H3061" s="332"/>
      <c r="I3061" s="397"/>
      <c r="J3061" s="335"/>
      <c r="K3061" s="374">
        <f t="shared" si="123"/>
        <v>0</v>
      </c>
      <c r="L3061" s="374">
        <f>+J3061</f>
        <v>0</v>
      </c>
    </row>
    <row r="3062" spans="1:22" ht="27.75" customHeight="1" thickBot="1">
      <c r="A3062" s="331">
        <v>1</v>
      </c>
      <c r="B3062" s="393" t="s">
        <v>222</v>
      </c>
      <c r="C3062" s="477" t="s">
        <v>220</v>
      </c>
      <c r="D3062" s="557"/>
      <c r="E3062" s="1213"/>
      <c r="F3062" s="647"/>
      <c r="H3062" s="364" t="s">
        <v>273</v>
      </c>
      <c r="I3062" s="647" t="s">
        <v>17</v>
      </c>
      <c r="J3062" s="475">
        <v>7596.82</v>
      </c>
      <c r="K3062" s="374">
        <f t="shared" si="123"/>
        <v>0</v>
      </c>
      <c r="L3062" s="374">
        <f>+J3062</f>
        <v>7596.82</v>
      </c>
    </row>
    <row r="3063" spans="1:22" s="570" customFormat="1" ht="27.75" customHeight="1" thickTop="1" thickBot="1">
      <c r="A3063" s="1189"/>
      <c r="B3063" s="1190"/>
      <c r="C3063" s="1266"/>
      <c r="D3063" s="1196"/>
      <c r="E3063" s="1243"/>
      <c r="F3063" s="1189"/>
      <c r="G3063" s="1193"/>
      <c r="H3063" s="1190"/>
      <c r="I3063" s="1267"/>
      <c r="J3063" s="1192"/>
      <c r="K3063" s="374">
        <f t="shared" si="123"/>
        <v>0</v>
      </c>
      <c r="L3063" s="1196">
        <f>+J3063</f>
        <v>0</v>
      </c>
      <c r="M3063" s="566"/>
      <c r="N3063" s="1059">
        <f>SUM(G3062)</f>
        <v>0</v>
      </c>
      <c r="O3063" s="1059">
        <f>SUM(J3062:J3063)</f>
        <v>7596.82</v>
      </c>
      <c r="P3063" s="1059">
        <f>+O3063+N3063</f>
        <v>7596.82</v>
      </c>
      <c r="Q3063" s="567">
        <f>SUM(D3011:D3063)</f>
        <v>0</v>
      </c>
      <c r="R3063" s="568" t="s">
        <v>220</v>
      </c>
      <c r="S3063" s="569"/>
      <c r="T3063" s="566"/>
      <c r="U3063" s="566"/>
      <c r="V3063" s="566"/>
    </row>
    <row r="3064" spans="1:22" ht="27.75" customHeight="1" thickTop="1" thickBot="1">
      <c r="A3064" s="321"/>
      <c r="B3064" s="1197"/>
      <c r="C3064" s="596"/>
      <c r="D3064" s="533"/>
      <c r="E3064" s="1251"/>
      <c r="F3064" s="758"/>
      <c r="G3064" s="536">
        <f>SUM(G3012:G3063)</f>
        <v>70620</v>
      </c>
      <c r="H3064" s="533"/>
      <c r="I3064" s="758"/>
      <c r="J3064" s="533">
        <f>SUM(J3012:J3063)</f>
        <v>808093.25999999989</v>
      </c>
      <c r="K3064" s="374">
        <f t="shared" si="123"/>
        <v>8149.5479999999989</v>
      </c>
      <c r="L3064" s="330">
        <f>SUM(L3012:L3063)</f>
        <v>808093.25999999989</v>
      </c>
      <c r="M3064" s="539">
        <f>SUM(M3012:M3063)</f>
        <v>0</v>
      </c>
      <c r="N3064" s="598">
        <f>SUM(N3012:N3063)</f>
        <v>70620</v>
      </c>
      <c r="O3064" s="598">
        <f>SUM(O3012:O3063)</f>
        <v>808093.25999999989</v>
      </c>
      <c r="P3064" s="598">
        <f>SUM(P3012:P3063)</f>
        <v>878713.25999999989</v>
      </c>
      <c r="Q3064" s="828">
        <f>SUM(Q259+Q353+Q417+Q1588+Q1598+Q1602+Q1648+Q1658+Q1675+Q1707+Q1712+Q1861+Q1944+Q2851+Q2894+Q3008+Q3063)</f>
        <v>1394738.75</v>
      </c>
    </row>
    <row r="3065" spans="1:22" ht="27.75" customHeight="1" thickTop="1" thickBot="1">
      <c r="A3065" s="343"/>
      <c r="B3065" s="411"/>
      <c r="D3065" s="330"/>
      <c r="E3065" s="1268"/>
      <c r="F3065" s="541"/>
      <c r="G3065" s="544"/>
      <c r="H3065" s="411"/>
      <c r="I3065" s="1269"/>
      <c r="J3065" s="330">
        <f>+J3064</f>
        <v>808093.25999999989</v>
      </c>
      <c r="K3065" s="374">
        <f t="shared" si="123"/>
        <v>0</v>
      </c>
      <c r="L3065" s="410">
        <f>+K3064+L3064</f>
        <v>816242.80799999984</v>
      </c>
      <c r="M3065" s="533"/>
      <c r="N3065" s="1124">
        <f>G3064+J3064</f>
        <v>878713.25999999989</v>
      </c>
      <c r="O3065" s="1124">
        <f>+N3065-P3065</f>
        <v>0</v>
      </c>
      <c r="P3065" s="1270">
        <v>878713.26</v>
      </c>
      <c r="Q3065" s="410"/>
    </row>
    <row r="3066" spans="1:22" ht="27.75" customHeight="1" thickTop="1">
      <c r="A3066" s="343"/>
      <c r="B3066" s="1271"/>
      <c r="C3066" s="1271"/>
      <c r="D3066" s="346"/>
      <c r="E3066" s="1272"/>
      <c r="F3066" s="343"/>
      <c r="G3066" s="344"/>
      <c r="H3066" s="1271"/>
      <c r="I3066" s="1273"/>
      <c r="J3066" s="346"/>
      <c r="K3066" s="374">
        <f t="shared" si="123"/>
        <v>0</v>
      </c>
      <c r="L3066" s="1271"/>
      <c r="N3066" s="287"/>
      <c r="P3066" s="410"/>
      <c r="Q3066" s="330"/>
    </row>
    <row r="3067" spans="1:22" ht="27.75" customHeight="1">
      <c r="A3067" s="1274"/>
      <c r="B3067" s="1265" t="s">
        <v>26</v>
      </c>
      <c r="C3067" s="1265"/>
      <c r="D3067" s="900">
        <f>SUM(D11:D3064)</f>
        <v>1394738.75</v>
      </c>
      <c r="E3067" s="1275"/>
      <c r="F3067" s="1274"/>
      <c r="G3067" s="1276">
        <f>+G259+G353+G373+G417+G1588+G1598+G1602+G1648+G1658+G1675+G1707+G1712+G1861+G1944+G2851+G2894+G3008+G3064</f>
        <v>5145545.1280102804</v>
      </c>
      <c r="H3067" s="1276">
        <f>+H259+H353+H373+H417+H1588+H1598+H1602+H1648+H1658+H1675+H1707+H1712+H1861+H1944+H2851+H2894+H3008+H3064</f>
        <v>0</v>
      </c>
      <c r="I3067" s="1277">
        <f>+I259+I353+I373+I417+I1588+I1598+I1602+I1648+I1658+I1675+I1707+I1712+I1861+I1944+I2851+I2894+I3008+I3064</f>
        <v>0</v>
      </c>
      <c r="J3067" s="1276">
        <f>+J259+J353+J373+J417+J1588+J1598+J1602+J1648+J1658+J1675+J1707+J1712+J1861+J1944+J2851+J2894+J3008+J3064</f>
        <v>61624632.11999999</v>
      </c>
      <c r="K3067" s="1276">
        <f>+K259+K353+K373+K417+K1588+K1602+K1648+K1658+K1675+K1707+K1712+K1861+K1944+K2851+K2894+K3008+K3064+K1598</f>
        <v>593795.90777238656</v>
      </c>
      <c r="L3067" s="1276">
        <f>+L259+L353+L373+L417+L1588+L1602+L1648+L1658+L1675+L1707+L1712+L1861+L1944+L2851+L2894+L3008+L3064+L1598</f>
        <v>61624632.11999999</v>
      </c>
      <c r="M3067" s="330" t="e">
        <f>+M261+M355+M375+M419+#REF!+M1600+M1604+M1650+M1660+M1677+M1709+M1714+M1863+M1946+M2853+M2896+M3010+M3066</f>
        <v>#REF!</v>
      </c>
      <c r="N3067" s="287"/>
      <c r="P3067" s="410"/>
      <c r="Q3067" s="330"/>
    </row>
    <row r="3068" spans="1:22" ht="27.75" customHeight="1">
      <c r="A3068" s="1274"/>
      <c r="B3068" s="1278" t="s">
        <v>1001</v>
      </c>
      <c r="C3068" s="1278"/>
      <c r="D3068" s="1279"/>
      <c r="E3068" s="1280"/>
      <c r="F3068" s="1281"/>
      <c r="G3068" s="1282"/>
      <c r="H3068" s="1283"/>
      <c r="I3068" s="1281"/>
      <c r="J3068" s="900">
        <f>+G3067+J3067</f>
        <v>66770177.24801027</v>
      </c>
      <c r="K3068" s="1276">
        <f>+K260+K354+K374+K418+K1589+K1603+K1649+K1659+K1676+K1708+K1713+K1862+K1945+K2852+K2895+K3009+K3065+K1599</f>
        <v>0</v>
      </c>
      <c r="L3068" s="1284"/>
      <c r="Q3068" s="289">
        <v>6493532.2800000003</v>
      </c>
    </row>
    <row r="3069" spans="1:22" ht="27.75" customHeight="1">
      <c r="A3069" s="1269"/>
      <c r="B3069" s="411" t="s">
        <v>1149</v>
      </c>
      <c r="E3069" s="1268"/>
      <c r="F3069" s="1269"/>
      <c r="G3069" s="359"/>
      <c r="H3069" s="411" t="s">
        <v>30</v>
      </c>
      <c r="I3069" s="1269"/>
      <c r="J3069" s="411"/>
      <c r="K3069" s="411">
        <f>+G3065*20.85/100</f>
        <v>0</v>
      </c>
      <c r="L3069" s="1285">
        <f>+K3067+L3067</f>
        <v>62218428.027772374</v>
      </c>
      <c r="M3069" s="1202"/>
      <c r="N3069" s="287"/>
      <c r="P3069" s="410"/>
      <c r="Q3069" s="289">
        <v>6492740.4800000004</v>
      </c>
    </row>
    <row r="3070" spans="1:22" ht="27.75" customHeight="1">
      <c r="A3070" s="1269"/>
      <c r="B3070" s="479"/>
      <c r="E3070" s="1286"/>
      <c r="F3070" s="1287"/>
      <c r="G3070" s="1288"/>
      <c r="H3070" s="411"/>
      <c r="I3070" s="1287"/>
      <c r="J3070" s="1202"/>
      <c r="K3070" s="1202"/>
      <c r="L3070" s="1202"/>
      <c r="M3070" s="1202"/>
      <c r="N3070" s="410"/>
      <c r="O3070" s="410"/>
      <c r="P3070" s="410"/>
      <c r="Q3070" s="410">
        <f>+Q3068-Q3069</f>
        <v>791.79999999981374</v>
      </c>
    </row>
    <row r="3071" spans="1:22" ht="27.75" customHeight="1">
      <c r="A3071" s="1269"/>
      <c r="B3071" s="479"/>
      <c r="E3071" s="463"/>
      <c r="F3071" s="1287"/>
      <c r="G3071" s="1288"/>
      <c r="H3071" s="411"/>
      <c r="I3071" s="1269"/>
      <c r="J3071" s="289"/>
      <c r="K3071" s="411"/>
      <c r="L3071" s="1202"/>
      <c r="M3071" s="1202"/>
      <c r="N3071" s="410"/>
      <c r="O3071" s="410"/>
      <c r="P3071" s="410"/>
      <c r="T3071" s="290"/>
      <c r="U3071" s="290"/>
      <c r="V3071" s="290"/>
    </row>
    <row r="3072" spans="1:22" ht="27.75" customHeight="1">
      <c r="A3072" s="284"/>
      <c r="B3072" s="290"/>
      <c r="C3072" s="290"/>
      <c r="D3072" s="289"/>
      <c r="H3072" s="290"/>
      <c r="I3072" s="284"/>
      <c r="J3072" s="289"/>
      <c r="K3072" s="374"/>
      <c r="L3072" s="288"/>
      <c r="M3072" s="289"/>
      <c r="O3072" s="289">
        <v>2897.6</v>
      </c>
      <c r="S3072" s="290"/>
      <c r="T3072" s="290"/>
      <c r="U3072" s="290"/>
      <c r="V3072" s="290"/>
    </row>
    <row r="3073" spans="1:22" ht="27.75" customHeight="1">
      <c r="A3073" s="284"/>
      <c r="B3073" s="290"/>
      <c r="C3073" s="290"/>
      <c r="D3073" s="289"/>
      <c r="H3073" s="290"/>
      <c r="I3073" s="284"/>
      <c r="J3073" s="289"/>
      <c r="K3073" s="374"/>
      <c r="L3073" s="288"/>
      <c r="M3073" s="289"/>
      <c r="O3073" s="289">
        <v>2105.8000000000002</v>
      </c>
      <c r="S3073" s="290"/>
      <c r="T3073" s="290"/>
      <c r="U3073" s="290"/>
      <c r="V3073" s="290"/>
    </row>
    <row r="3074" spans="1:22" ht="27.75" customHeight="1">
      <c r="A3074" s="284"/>
      <c r="B3074" s="290"/>
      <c r="C3074" s="290"/>
      <c r="D3074" s="289"/>
      <c r="H3074" s="290"/>
      <c r="I3074" s="284"/>
      <c r="J3074" s="289"/>
      <c r="K3074" s="374"/>
      <c r="L3074" s="288"/>
      <c r="M3074" s="289"/>
      <c r="O3074" s="289">
        <f>+O3072-O3073</f>
        <v>791.79999999999973</v>
      </c>
      <c r="S3074" s="290"/>
      <c r="T3074" s="290"/>
      <c r="U3074" s="290"/>
      <c r="V3074" s="290"/>
    </row>
    <row r="3075" spans="1:22" ht="27.75" customHeight="1">
      <c r="A3075" s="284"/>
      <c r="B3075" s="290"/>
      <c r="C3075" s="290"/>
      <c r="D3075" s="289"/>
      <c r="E3075" s="289"/>
      <c r="F3075" s="541"/>
      <c r="G3075" s="1158"/>
      <c r="H3075" s="290"/>
      <c r="I3075" s="284"/>
      <c r="J3075" s="289"/>
      <c r="K3075" s="374"/>
      <c r="L3075" s="288">
        <f>65779487.95-65783512.95</f>
        <v>-4025</v>
      </c>
      <c r="M3075" s="289"/>
      <c r="S3075" s="290"/>
      <c r="T3075" s="290"/>
      <c r="U3075" s="290"/>
      <c r="V3075" s="290"/>
    </row>
    <row r="3076" spans="1:22" ht="27.75" customHeight="1">
      <c r="A3076" s="284"/>
      <c r="B3076" s="290"/>
      <c r="C3076" s="290"/>
      <c r="D3076" s="289"/>
      <c r="E3076" s="289"/>
      <c r="F3076" s="541"/>
      <c r="G3076" s="1158"/>
      <c r="H3076" s="290"/>
      <c r="I3076" s="284"/>
      <c r="J3076" s="289"/>
      <c r="K3076" s="374"/>
      <c r="L3076" s="288"/>
      <c r="M3076" s="289"/>
      <c r="S3076" s="290"/>
      <c r="T3076" s="290"/>
      <c r="U3076" s="290"/>
      <c r="V3076" s="290"/>
    </row>
    <row r="3077" spans="1:22" ht="27.75" customHeight="1">
      <c r="A3077" s="284"/>
      <c r="B3077" s="290"/>
      <c r="C3077" s="290"/>
      <c r="D3077" s="289"/>
      <c r="E3077" s="289"/>
      <c r="F3077" s="541"/>
      <c r="G3077" s="1158"/>
      <c r="H3077" s="290"/>
      <c r="I3077" s="284"/>
      <c r="J3077" s="289"/>
      <c r="K3077" s="374"/>
      <c r="L3077" s="288"/>
      <c r="M3077" s="289"/>
      <c r="S3077" s="290"/>
      <c r="T3077" s="290"/>
      <c r="U3077" s="290"/>
      <c r="V3077" s="290"/>
    </row>
    <row r="3078" spans="1:22" ht="27.75" customHeight="1">
      <c r="A3078" s="284"/>
      <c r="B3078" s="290"/>
      <c r="C3078" s="290"/>
      <c r="D3078" s="289"/>
      <c r="E3078" s="289"/>
      <c r="F3078" s="541"/>
      <c r="G3078" s="1158"/>
      <c r="H3078" s="290"/>
      <c r="I3078" s="284"/>
      <c r="J3078" s="289"/>
      <c r="K3078" s="374"/>
      <c r="L3078" s="288"/>
      <c r="M3078" s="289"/>
      <c r="S3078" s="290"/>
      <c r="T3078" s="290"/>
      <c r="U3078" s="290"/>
      <c r="V3078" s="290"/>
    </row>
    <row r="3079" spans="1:22" ht="27.75" customHeight="1">
      <c r="K3079" s="374"/>
    </row>
    <row r="3080" spans="1:22" ht="27.75" customHeight="1">
      <c r="K3080" s="374"/>
    </row>
    <row r="3081" spans="1:22" ht="27.75" customHeight="1">
      <c r="K3081" s="374"/>
    </row>
    <row r="3082" spans="1:22" ht="27.75" customHeight="1">
      <c r="K3082" s="374"/>
    </row>
    <row r="3083" spans="1:22" ht="27.75" customHeight="1">
      <c r="K3083" s="374"/>
    </row>
    <row r="3084" spans="1:22" ht="27.75" customHeight="1">
      <c r="K3084" s="374"/>
    </row>
    <row r="3085" spans="1:22" ht="27.75" customHeight="1">
      <c r="K3085" s="374"/>
    </row>
    <row r="3086" spans="1:22" ht="27.75" customHeight="1">
      <c r="A3086" s="284"/>
      <c r="B3086" s="290"/>
      <c r="C3086" s="1129"/>
      <c r="D3086" s="289"/>
      <c r="E3086" s="289"/>
      <c r="F3086" s="284"/>
      <c r="G3086" s="1158"/>
      <c r="H3086" s="290"/>
      <c r="I3086" s="284"/>
      <c r="J3086" s="289"/>
      <c r="K3086" s="374">
        <f t="shared" ref="K3086:K3119" si="129">G3086*20.85/100</f>
        <v>0</v>
      </c>
      <c r="L3086" s="385"/>
      <c r="M3086" s="290"/>
      <c r="S3086" s="290"/>
      <c r="T3086" s="290"/>
      <c r="U3086" s="290"/>
      <c r="V3086" s="290"/>
    </row>
    <row r="3087" spans="1:22" ht="27.75" customHeight="1">
      <c r="K3087" s="374">
        <f t="shared" si="129"/>
        <v>0</v>
      </c>
    </row>
    <row r="3088" spans="1:22" ht="27.75" customHeight="1">
      <c r="K3088" s="374">
        <f t="shared" si="129"/>
        <v>0</v>
      </c>
    </row>
    <row r="3089" spans="1:11" ht="27.75" customHeight="1">
      <c r="A3089" s="331" t="s">
        <v>1816</v>
      </c>
      <c r="K3089" s="374">
        <f t="shared" si="129"/>
        <v>0</v>
      </c>
    </row>
    <row r="3090" spans="1:11" ht="27.75" customHeight="1">
      <c r="K3090" s="374">
        <f t="shared" si="129"/>
        <v>0</v>
      </c>
    </row>
    <row r="3091" spans="1:11" ht="27.75" customHeight="1">
      <c r="K3091" s="374">
        <f t="shared" si="129"/>
        <v>0</v>
      </c>
    </row>
    <row r="3092" spans="1:11" ht="27.75" customHeight="1">
      <c r="K3092" s="374">
        <f t="shared" si="129"/>
        <v>0</v>
      </c>
    </row>
    <row r="3093" spans="1:11" ht="27.75" customHeight="1">
      <c r="K3093" s="374">
        <f t="shared" si="129"/>
        <v>0</v>
      </c>
    </row>
    <row r="3094" spans="1:11" ht="27.75" customHeight="1">
      <c r="K3094" s="374">
        <f t="shared" si="129"/>
        <v>0</v>
      </c>
    </row>
    <row r="3095" spans="1:11" ht="27.75" customHeight="1">
      <c r="K3095" s="374">
        <f t="shared" si="129"/>
        <v>0</v>
      </c>
    </row>
    <row r="3096" spans="1:11" ht="27.75" customHeight="1">
      <c r="K3096" s="374">
        <f t="shared" si="129"/>
        <v>0</v>
      </c>
    </row>
    <row r="3097" spans="1:11" ht="27.75" customHeight="1">
      <c r="K3097" s="374">
        <f t="shared" si="129"/>
        <v>0</v>
      </c>
    </row>
    <row r="3098" spans="1:11" ht="27.75" customHeight="1">
      <c r="K3098" s="374">
        <f t="shared" si="129"/>
        <v>0</v>
      </c>
    </row>
    <row r="3099" spans="1:11" ht="27.75" customHeight="1">
      <c r="K3099" s="374">
        <f t="shared" si="129"/>
        <v>0</v>
      </c>
    </row>
    <row r="3100" spans="1:11" ht="27.75" customHeight="1">
      <c r="K3100" s="374">
        <f t="shared" si="129"/>
        <v>0</v>
      </c>
    </row>
    <row r="3101" spans="1:11" ht="27.75" customHeight="1">
      <c r="K3101" s="374">
        <f t="shared" si="129"/>
        <v>0</v>
      </c>
    </row>
    <row r="3102" spans="1:11" ht="27.75" customHeight="1">
      <c r="K3102" s="374">
        <f t="shared" si="129"/>
        <v>0</v>
      </c>
    </row>
    <row r="3103" spans="1:11" ht="27.75" customHeight="1">
      <c r="K3103" s="374">
        <f t="shared" si="129"/>
        <v>0</v>
      </c>
    </row>
    <row r="3104" spans="1:11" ht="27.75" customHeight="1">
      <c r="K3104" s="374">
        <f t="shared" si="129"/>
        <v>0</v>
      </c>
    </row>
    <row r="3105" spans="11:11" ht="27.75" customHeight="1">
      <c r="K3105" s="374">
        <f t="shared" si="129"/>
        <v>0</v>
      </c>
    </row>
    <row r="3106" spans="11:11" ht="27.75" customHeight="1">
      <c r="K3106" s="374">
        <f t="shared" si="129"/>
        <v>0</v>
      </c>
    </row>
    <row r="3107" spans="11:11" ht="27.75" customHeight="1">
      <c r="K3107" s="374">
        <f t="shared" si="129"/>
        <v>0</v>
      </c>
    </row>
    <row r="3108" spans="11:11" ht="27.75" customHeight="1">
      <c r="K3108" s="374">
        <f t="shared" si="129"/>
        <v>0</v>
      </c>
    </row>
    <row r="3109" spans="11:11" ht="27.75" customHeight="1">
      <c r="K3109" s="374">
        <f t="shared" si="129"/>
        <v>0</v>
      </c>
    </row>
    <row r="3110" spans="11:11" ht="27.75" customHeight="1">
      <c r="K3110" s="374">
        <f t="shared" si="129"/>
        <v>0</v>
      </c>
    </row>
    <row r="3111" spans="11:11" ht="27.75" customHeight="1">
      <c r="K3111" s="374">
        <f t="shared" si="129"/>
        <v>0</v>
      </c>
    </row>
    <row r="3112" spans="11:11" ht="27.75" customHeight="1">
      <c r="K3112" s="374">
        <f t="shared" si="129"/>
        <v>0</v>
      </c>
    </row>
    <row r="3113" spans="11:11" ht="27.75" customHeight="1">
      <c r="K3113" s="374">
        <f t="shared" si="129"/>
        <v>0</v>
      </c>
    </row>
    <row r="3114" spans="11:11" ht="27.75" customHeight="1">
      <c r="K3114" s="374">
        <f t="shared" si="129"/>
        <v>0</v>
      </c>
    </row>
    <row r="3115" spans="11:11" ht="27.75" customHeight="1">
      <c r="K3115" s="374">
        <f t="shared" si="129"/>
        <v>0</v>
      </c>
    </row>
    <row r="3116" spans="11:11" ht="27.75" customHeight="1">
      <c r="K3116" s="374">
        <f t="shared" si="129"/>
        <v>0</v>
      </c>
    </row>
    <row r="3117" spans="11:11" ht="27.75" customHeight="1">
      <c r="K3117" s="374">
        <f t="shared" si="129"/>
        <v>0</v>
      </c>
    </row>
    <row r="3118" spans="11:11" ht="27.75" customHeight="1">
      <c r="K3118" s="374">
        <f t="shared" si="129"/>
        <v>0</v>
      </c>
    </row>
    <row r="3119" spans="11:11" ht="27.75" customHeight="1">
      <c r="K3119" s="374">
        <f t="shared" si="129"/>
        <v>0</v>
      </c>
    </row>
    <row r="3120" spans="11:11" ht="27.75" customHeight="1">
      <c r="K3120" s="374">
        <f t="shared" ref="K3120:K3151" si="130">G3120*20.85/100</f>
        <v>0</v>
      </c>
    </row>
    <row r="3121" spans="11:11" ht="27.75" customHeight="1">
      <c r="K3121" s="374">
        <f t="shared" si="130"/>
        <v>0</v>
      </c>
    </row>
    <row r="3122" spans="11:11" ht="27.75" customHeight="1">
      <c r="K3122" s="374">
        <f t="shared" si="130"/>
        <v>0</v>
      </c>
    </row>
    <row r="3123" spans="11:11" ht="27.75" customHeight="1">
      <c r="K3123" s="374">
        <f t="shared" si="130"/>
        <v>0</v>
      </c>
    </row>
    <row r="3124" spans="11:11" ht="27.75" customHeight="1">
      <c r="K3124" s="374">
        <f t="shared" si="130"/>
        <v>0</v>
      </c>
    </row>
    <row r="3125" spans="11:11" ht="27.75" customHeight="1">
      <c r="K3125" s="374">
        <f t="shared" si="130"/>
        <v>0</v>
      </c>
    </row>
    <row r="3126" spans="11:11" ht="27.75" customHeight="1">
      <c r="K3126" s="374">
        <f t="shared" si="130"/>
        <v>0</v>
      </c>
    </row>
    <row r="3127" spans="11:11" ht="27.75" customHeight="1">
      <c r="K3127" s="374">
        <f t="shared" si="130"/>
        <v>0</v>
      </c>
    </row>
    <row r="3128" spans="11:11" ht="27.75" customHeight="1">
      <c r="K3128" s="374">
        <f t="shared" si="130"/>
        <v>0</v>
      </c>
    </row>
    <row r="3129" spans="11:11" ht="27.75" customHeight="1">
      <c r="K3129" s="374">
        <f t="shared" si="130"/>
        <v>0</v>
      </c>
    </row>
    <row r="3130" spans="11:11" ht="27.75" customHeight="1">
      <c r="K3130" s="374">
        <f t="shared" si="130"/>
        <v>0</v>
      </c>
    </row>
    <row r="3131" spans="11:11" ht="27.75" customHeight="1">
      <c r="K3131" s="374">
        <f t="shared" si="130"/>
        <v>0</v>
      </c>
    </row>
    <row r="3132" spans="11:11" ht="27.75" customHeight="1">
      <c r="K3132" s="374">
        <f t="shared" si="130"/>
        <v>0</v>
      </c>
    </row>
    <row r="3133" spans="11:11" ht="27.75" customHeight="1">
      <c r="K3133" s="374">
        <f t="shared" si="130"/>
        <v>0</v>
      </c>
    </row>
    <row r="3134" spans="11:11" ht="27.75" customHeight="1">
      <c r="K3134" s="374">
        <f t="shared" si="130"/>
        <v>0</v>
      </c>
    </row>
    <row r="3135" spans="11:11" ht="27.75" customHeight="1">
      <c r="K3135" s="374">
        <f t="shared" si="130"/>
        <v>0</v>
      </c>
    </row>
    <row r="3136" spans="11:11" ht="27.75" customHeight="1">
      <c r="K3136" s="374">
        <f t="shared" si="130"/>
        <v>0</v>
      </c>
    </row>
    <row r="3137" spans="11:11" ht="27.75" customHeight="1">
      <c r="K3137" s="374">
        <f t="shared" si="130"/>
        <v>0</v>
      </c>
    </row>
    <row r="3138" spans="11:11" ht="27.75" customHeight="1">
      <c r="K3138" s="374">
        <f t="shared" si="130"/>
        <v>0</v>
      </c>
    </row>
    <row r="3139" spans="11:11" ht="27.75" customHeight="1">
      <c r="K3139" s="374">
        <f t="shared" si="130"/>
        <v>0</v>
      </c>
    </row>
    <row r="3140" spans="11:11" ht="27.75" customHeight="1">
      <c r="K3140" s="374">
        <f t="shared" si="130"/>
        <v>0</v>
      </c>
    </row>
    <row r="3141" spans="11:11" ht="27.75" customHeight="1">
      <c r="K3141" s="374">
        <f t="shared" si="130"/>
        <v>0</v>
      </c>
    </row>
    <row r="3142" spans="11:11" ht="27.75" customHeight="1">
      <c r="K3142" s="374">
        <f t="shared" si="130"/>
        <v>0</v>
      </c>
    </row>
    <row r="3143" spans="11:11" ht="27.75" customHeight="1">
      <c r="K3143" s="374">
        <f t="shared" si="130"/>
        <v>0</v>
      </c>
    </row>
    <row r="3144" spans="11:11" ht="27.75" customHeight="1">
      <c r="K3144" s="374">
        <f t="shared" si="130"/>
        <v>0</v>
      </c>
    </row>
    <row r="3145" spans="11:11" ht="27.75" customHeight="1">
      <c r="K3145" s="374">
        <f t="shared" si="130"/>
        <v>0</v>
      </c>
    </row>
    <row r="3146" spans="11:11" ht="27.75" customHeight="1">
      <c r="K3146" s="374">
        <f t="shared" si="130"/>
        <v>0</v>
      </c>
    </row>
    <row r="3147" spans="11:11" ht="27.75" customHeight="1">
      <c r="K3147" s="374">
        <f t="shared" si="130"/>
        <v>0</v>
      </c>
    </row>
    <row r="3148" spans="11:11" ht="27.75" customHeight="1">
      <c r="K3148" s="374">
        <f t="shared" si="130"/>
        <v>0</v>
      </c>
    </row>
    <row r="3149" spans="11:11" ht="27.75" customHeight="1">
      <c r="K3149" s="374">
        <f t="shared" si="130"/>
        <v>0</v>
      </c>
    </row>
    <row r="3150" spans="11:11" ht="27.75" customHeight="1">
      <c r="K3150" s="374">
        <f t="shared" si="130"/>
        <v>0</v>
      </c>
    </row>
    <row r="3151" spans="11:11" ht="27.75" customHeight="1">
      <c r="K3151" s="374">
        <f t="shared" si="130"/>
        <v>0</v>
      </c>
    </row>
  </sheetData>
  <mergeCells count="7">
    <mergeCell ref="S2:T2"/>
    <mergeCell ref="A1:J1"/>
    <mergeCell ref="A2:J2"/>
    <mergeCell ref="A3:J3"/>
    <mergeCell ref="K4:L4"/>
    <mergeCell ref="Q4:Q5"/>
    <mergeCell ref="H4:J4"/>
  </mergeCells>
  <phoneticPr fontId="3" type="noConversion"/>
  <pageMargins left="0.44" right="0" top="0.12" bottom="0.12" header="0.118110236220472" footer="0"/>
  <pageSetup paperSize="9" scale="50" orientation="portrait" r:id="rId1"/>
  <headerFooter alignWithMargins="0">
    <oddHeader>&amp;Rหน้า &amp;P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E9DC-E2B3-4A75-885F-529716D63360}">
  <sheetPr>
    <tabColor rgb="FFFFC000"/>
  </sheetPr>
  <dimension ref="A1:AH49"/>
  <sheetViews>
    <sheetView workbookViewId="0">
      <selection activeCell="E12" sqref="E12"/>
    </sheetView>
  </sheetViews>
  <sheetFormatPr defaultColWidth="9.44140625" defaultRowHeight="20.25" customHeight="1"/>
  <cols>
    <col min="1" max="1" width="35.6640625" style="64" customWidth="1"/>
    <col min="2" max="2" width="17.6640625" style="40" customWidth="1"/>
    <col min="3" max="3" width="19.21875" style="64" customWidth="1"/>
    <col min="4" max="4" width="18" style="250" customWidth="1"/>
    <col min="5" max="5" width="11" style="250" customWidth="1"/>
    <col min="6" max="6" width="16.44140625" style="251" customWidth="1"/>
    <col min="7" max="7" width="15.33203125" style="63" customWidth="1"/>
    <col min="8" max="8" width="9" style="41" customWidth="1"/>
    <col min="9" max="25" width="18.5546875" style="63" customWidth="1"/>
    <col min="26" max="30" width="18.5546875" style="63" hidden="1" customWidth="1"/>
    <col min="31" max="32" width="22.44140625" style="63" hidden="1" customWidth="1"/>
    <col min="33" max="33" width="17.33203125" style="252" customWidth="1"/>
    <col min="34" max="34" width="17" style="64" customWidth="1"/>
    <col min="35" max="16384" width="9.44140625" style="64"/>
  </cols>
  <sheetData>
    <row r="1" spans="1:33" ht="20.25" customHeight="1" thickBot="1">
      <c r="A1" s="1539" t="s">
        <v>230</v>
      </c>
      <c r="B1" s="1540"/>
      <c r="C1" s="1540"/>
      <c r="D1" s="1540"/>
    </row>
    <row r="2" spans="1:33" ht="20.25" customHeight="1">
      <c r="A2" s="1519" t="str">
        <f>+'agingปัจจุบันส่ง(ส่งบัญชี)'!A3</f>
        <v>ณ วันที่ 31 กรกฎาคม 2569</v>
      </c>
      <c r="B2" s="1520"/>
      <c r="C2" s="1520"/>
      <c r="D2" s="1520"/>
      <c r="E2" s="253"/>
      <c r="F2" s="254"/>
      <c r="H2" s="255" t="s">
        <v>404</v>
      </c>
      <c r="I2" s="243" t="s">
        <v>509</v>
      </c>
      <c r="J2" s="243" t="s">
        <v>509</v>
      </c>
      <c r="K2" s="243" t="s">
        <v>509</v>
      </c>
      <c r="L2" s="243" t="s">
        <v>509</v>
      </c>
      <c r="M2" s="243" t="s">
        <v>509</v>
      </c>
      <c r="N2" s="243" t="s">
        <v>509</v>
      </c>
      <c r="O2" s="243" t="s">
        <v>509</v>
      </c>
      <c r="P2" s="243" t="s">
        <v>509</v>
      </c>
      <c r="Q2" s="243" t="s">
        <v>509</v>
      </c>
      <c r="R2" s="243" t="s">
        <v>509</v>
      </c>
      <c r="S2" s="243" t="s">
        <v>509</v>
      </c>
      <c r="T2" s="243" t="s">
        <v>509</v>
      </c>
      <c r="U2" s="243" t="s">
        <v>509</v>
      </c>
      <c r="V2" s="244"/>
      <c r="W2" s="244"/>
      <c r="X2" s="244"/>
      <c r="Y2" s="244"/>
      <c r="Z2" s="244"/>
      <c r="AA2" s="244"/>
      <c r="AB2" s="244"/>
      <c r="AC2" s="244"/>
      <c r="AD2" s="244"/>
      <c r="AE2" s="245"/>
      <c r="AF2" s="246"/>
      <c r="AG2" s="1541" t="s">
        <v>405</v>
      </c>
    </row>
    <row r="3" spans="1:33" ht="20.25" customHeight="1" thickBot="1">
      <c r="A3" s="256" t="s">
        <v>153</v>
      </c>
      <c r="B3" s="257" t="s">
        <v>3409</v>
      </c>
      <c r="C3" s="258" t="s">
        <v>3327</v>
      </c>
      <c r="D3" s="259" t="s">
        <v>187</v>
      </c>
      <c r="E3" s="259" t="s">
        <v>466</v>
      </c>
      <c r="F3" s="260" t="s">
        <v>111</v>
      </c>
      <c r="H3" s="261" t="s">
        <v>436</v>
      </c>
      <c r="I3" s="247" t="s">
        <v>634</v>
      </c>
      <c r="J3" s="247" t="s">
        <v>932</v>
      </c>
      <c r="K3" s="247" t="s">
        <v>923</v>
      </c>
      <c r="L3" s="247" t="s">
        <v>812</v>
      </c>
      <c r="M3" s="247" t="s">
        <v>811</v>
      </c>
      <c r="N3" s="247" t="s">
        <v>790</v>
      </c>
      <c r="O3" s="247" t="s">
        <v>789</v>
      </c>
      <c r="P3" s="247" t="s">
        <v>593</v>
      </c>
      <c r="Q3" s="247" t="s">
        <v>560</v>
      </c>
      <c r="R3" s="247" t="s">
        <v>554</v>
      </c>
      <c r="S3" s="247" t="s">
        <v>542</v>
      </c>
      <c r="T3" s="247" t="s">
        <v>528</v>
      </c>
      <c r="U3" s="247" t="s">
        <v>511</v>
      </c>
      <c r="V3" s="247" t="s">
        <v>493</v>
      </c>
      <c r="W3" s="247" t="s">
        <v>479</v>
      </c>
      <c r="X3" s="247" t="s">
        <v>467</v>
      </c>
      <c r="Y3" s="247" t="s">
        <v>451</v>
      </c>
      <c r="Z3" s="247" t="s">
        <v>447</v>
      </c>
      <c r="AA3" s="247" t="s">
        <v>441</v>
      </c>
      <c r="AB3" s="247" t="s">
        <v>435</v>
      </c>
      <c r="AC3" s="247" t="s">
        <v>410</v>
      </c>
      <c r="AD3" s="247" t="s">
        <v>406</v>
      </c>
      <c r="AE3" s="247" t="s">
        <v>373</v>
      </c>
      <c r="AF3" s="262" t="s">
        <v>355</v>
      </c>
      <c r="AG3" s="1542"/>
    </row>
    <row r="4" spans="1:33" s="40" customFormat="1" ht="20.25" customHeight="1">
      <c r="A4" s="1297" t="s">
        <v>576</v>
      </c>
      <c r="B4" s="1298">
        <f>+'ปะหน้าAgingรายงานหนี้ค้าง บช.'!E23</f>
        <v>28997041.156999994</v>
      </c>
      <c r="C4" s="1298">
        <v>28420143.096999999</v>
      </c>
      <c r="D4" s="1299">
        <f>+B4-C4</f>
        <v>576898.05999999493</v>
      </c>
      <c r="E4" s="1300">
        <f>D4/C4*100</f>
        <v>2.0298914682836053</v>
      </c>
      <c r="F4" s="1301" t="s">
        <v>947</v>
      </c>
      <c r="G4" s="206"/>
      <c r="H4" s="1302"/>
      <c r="I4" s="1303">
        <f>+'agingปัจจุบันส่ง(ส่งบัญชี)'!L259+'agingปัจจุบันส่ง(ส่งบัญชี)'!K259</f>
        <v>25778592.611337796</v>
      </c>
      <c r="J4" s="1303">
        <v>25520136.433714002</v>
      </c>
      <c r="K4" s="1303">
        <v>25076103.60915</v>
      </c>
      <c r="L4" s="1303"/>
      <c r="M4" s="1303">
        <v>25253110.492323004</v>
      </c>
      <c r="N4" s="1303">
        <v>25155468.865479004</v>
      </c>
      <c r="O4" s="1303">
        <v>25133750.469653003</v>
      </c>
      <c r="P4" s="1303">
        <v>25161765.648815002</v>
      </c>
      <c r="Q4" s="1303">
        <v>25668618.221556004</v>
      </c>
      <c r="R4" s="1303">
        <v>25052414.761944</v>
      </c>
      <c r="S4" s="1303">
        <v>25056139.920468003</v>
      </c>
      <c r="T4" s="1303">
        <v>25077273.017432</v>
      </c>
      <c r="U4" s="1303">
        <v>25088841.370042</v>
      </c>
      <c r="V4" s="1303">
        <v>25091318.510000002</v>
      </c>
      <c r="W4" s="1303">
        <v>25149822.150000002</v>
      </c>
      <c r="X4" s="1303">
        <v>24985521.560000002</v>
      </c>
      <c r="Y4" s="1303">
        <v>25024207.699999999</v>
      </c>
      <c r="Z4" s="1303"/>
      <c r="AA4" s="1303">
        <v>24729770.940000001</v>
      </c>
      <c r="AB4" s="1303">
        <v>24575727.520000003</v>
      </c>
      <c r="AC4" s="1303">
        <v>24359216.640000001</v>
      </c>
      <c r="AD4" s="1303">
        <v>24160370.960000001</v>
      </c>
      <c r="AE4" s="1303">
        <v>24014138.699999999</v>
      </c>
      <c r="AF4" s="41">
        <v>23596172.07</v>
      </c>
      <c r="AG4" s="1304">
        <f t="shared" ref="AG4:AG21" si="0">+I4-AE4</f>
        <v>1764453.9113377966</v>
      </c>
    </row>
    <row r="5" spans="1:33" s="40" customFormat="1" ht="20.25" customHeight="1">
      <c r="A5" s="1317" t="s">
        <v>577</v>
      </c>
      <c r="B5" s="1298">
        <f>+'ปะหน้าAgingรายงานหนี้ค้าง บช.'!E37</f>
        <v>1098270.4500000002</v>
      </c>
      <c r="C5" s="1378">
        <v>1162690.5900000003</v>
      </c>
      <c r="D5" s="1318">
        <f t="shared" ref="D5:D20" si="1">+B5-C5</f>
        <v>-64420.14000000013</v>
      </c>
      <c r="E5" s="1300">
        <f>D5/C5*100</f>
        <v>-5.5406090454383143</v>
      </c>
      <c r="F5" s="1319"/>
      <c r="G5" s="206"/>
      <c r="H5" s="1302"/>
      <c r="I5" s="1378">
        <f>+'agingปัจจุบันส่ง(ส่งบัญชี)'!L353+'agingปัจจุบันส่ง(ส่งบัญชี)'!K353</f>
        <v>1011139.2430440001</v>
      </c>
      <c r="J5" s="1378">
        <v>1059951.8837300001</v>
      </c>
      <c r="K5" s="1378">
        <v>1015197.75777</v>
      </c>
      <c r="L5" s="1378"/>
      <c r="M5" s="1378">
        <v>1002126.8653500001</v>
      </c>
      <c r="N5" s="1378">
        <v>1003543.1873900001</v>
      </c>
      <c r="O5" s="1378">
        <v>1001473.24294</v>
      </c>
      <c r="P5" s="1378">
        <v>1001246.6220000001</v>
      </c>
      <c r="Q5" s="1378">
        <v>1001246.6220000001</v>
      </c>
      <c r="R5" s="1378">
        <v>1006565.1596300001</v>
      </c>
      <c r="S5" s="1378">
        <v>1009315.5688330001</v>
      </c>
      <c r="T5" s="1378">
        <v>1007275.243263</v>
      </c>
      <c r="U5" s="1378">
        <v>1005601.9861950001</v>
      </c>
      <c r="V5" s="1378">
        <v>999772.59000000008</v>
      </c>
      <c r="W5" s="1378">
        <v>999772.59000000008</v>
      </c>
      <c r="X5" s="1378">
        <v>999772.59000000008</v>
      </c>
      <c r="Y5" s="1378">
        <v>999772.59000000008</v>
      </c>
      <c r="Z5" s="1378"/>
      <c r="AA5" s="1378">
        <v>999772.59000000008</v>
      </c>
      <c r="AB5" s="1378">
        <v>999772.59000000008</v>
      </c>
      <c r="AC5" s="1378">
        <v>999772.59000000008</v>
      </c>
      <c r="AD5" s="1378">
        <v>999772.59000000008</v>
      </c>
      <c r="AE5" s="1378">
        <v>999772.59000000008</v>
      </c>
      <c r="AF5" s="41">
        <v>999772.59000000008</v>
      </c>
      <c r="AG5" s="1320">
        <f t="shared" si="0"/>
        <v>11366.653044000035</v>
      </c>
    </row>
    <row r="6" spans="1:33" ht="20.25" customHeight="1">
      <c r="A6" s="1321" t="s">
        <v>578</v>
      </c>
      <c r="B6" s="1298">
        <f>+'ปะหน้าAgingรายงานหนี้ค้าง บช.'!E46</f>
        <v>0</v>
      </c>
      <c r="C6" s="1322">
        <v>0</v>
      </c>
      <c r="D6" s="1318">
        <f t="shared" si="1"/>
        <v>0</v>
      </c>
      <c r="E6" s="1300">
        <v>0</v>
      </c>
      <c r="F6" s="1319"/>
      <c r="G6" s="206"/>
      <c r="H6" s="1302"/>
      <c r="I6" s="1322">
        <f>+'agingปัจจุบันส่ง(ส่งบัญชี)'!J373+'agingปัจจุบันส่ง(ส่งบัญชี)'!K373</f>
        <v>0</v>
      </c>
      <c r="J6" s="1322">
        <v>0</v>
      </c>
      <c r="K6" s="1322">
        <v>0</v>
      </c>
      <c r="L6" s="1322"/>
      <c r="M6" s="1322">
        <v>0</v>
      </c>
      <c r="N6" s="1322">
        <v>0</v>
      </c>
      <c r="O6" s="1322">
        <v>0</v>
      </c>
      <c r="P6" s="1322">
        <v>0</v>
      </c>
      <c r="Q6" s="1322">
        <v>0</v>
      </c>
      <c r="R6" s="1322">
        <v>0</v>
      </c>
      <c r="S6" s="1322">
        <v>0</v>
      </c>
      <c r="T6" s="1322">
        <v>0</v>
      </c>
      <c r="U6" s="1322">
        <v>0</v>
      </c>
      <c r="V6" s="1322">
        <v>0</v>
      </c>
      <c r="W6" s="1322">
        <v>0</v>
      </c>
      <c r="X6" s="1322">
        <v>0</v>
      </c>
      <c r="Y6" s="1322">
        <v>0</v>
      </c>
      <c r="Z6" s="1322"/>
      <c r="AA6" s="1322">
        <v>0</v>
      </c>
      <c r="AB6" s="1322">
        <v>0</v>
      </c>
      <c r="AC6" s="1322">
        <v>0</v>
      </c>
      <c r="AD6" s="1322">
        <v>0</v>
      </c>
      <c r="AE6" s="1322">
        <v>0</v>
      </c>
      <c r="AF6" s="63">
        <v>0</v>
      </c>
      <c r="AG6" s="1320">
        <f t="shared" si="0"/>
        <v>0</v>
      </c>
    </row>
    <row r="7" spans="1:33" ht="20.25" customHeight="1">
      <c r="A7" s="1321" t="s">
        <v>579</v>
      </c>
      <c r="B7" s="1298">
        <f>+'ปะหน้าAgingรายงานหนี้ค้าง บช.'!E57</f>
        <v>3327.7</v>
      </c>
      <c r="C7" s="1322">
        <v>3306.3000000000006</v>
      </c>
      <c r="D7" s="1318">
        <f t="shared" si="1"/>
        <v>21.399999999999181</v>
      </c>
      <c r="E7" s="1300">
        <f>D7/C7*100</f>
        <v>0.64724919093848643</v>
      </c>
      <c r="F7" s="1319"/>
      <c r="G7" s="206"/>
      <c r="H7" s="1302"/>
      <c r="I7" s="1322">
        <f>+'agingปัจจุบันส่ง(ส่งบัญชี)'!J417+'agingปัจจุบันส่ง(ส่งบัญชี)'!K417</f>
        <v>384.01657999999998</v>
      </c>
      <c r="J7" s="1322">
        <v>0</v>
      </c>
      <c r="K7" s="1322">
        <v>0</v>
      </c>
      <c r="L7" s="1322"/>
      <c r="M7" s="1322">
        <v>0</v>
      </c>
      <c r="N7" s="1322">
        <v>0</v>
      </c>
      <c r="O7" s="1322">
        <v>0</v>
      </c>
      <c r="P7" s="1322">
        <v>0</v>
      </c>
      <c r="Q7" s="1322">
        <v>0</v>
      </c>
      <c r="R7" s="1322">
        <v>0</v>
      </c>
      <c r="S7" s="1322">
        <v>401.8</v>
      </c>
      <c r="T7" s="1322">
        <v>49.651000000000003</v>
      </c>
      <c r="U7" s="1322">
        <v>464.59559999999999</v>
      </c>
      <c r="V7" s="1322">
        <v>0</v>
      </c>
      <c r="W7" s="1322">
        <v>0</v>
      </c>
      <c r="X7" s="1322">
        <v>0</v>
      </c>
      <c r="Y7" s="1322">
        <v>0</v>
      </c>
      <c r="Z7" s="1322"/>
      <c r="AA7" s="1322">
        <v>0</v>
      </c>
      <c r="AB7" s="1322">
        <v>0</v>
      </c>
      <c r="AC7" s="1322">
        <v>0</v>
      </c>
      <c r="AD7" s="1322">
        <v>0</v>
      </c>
      <c r="AE7" s="1322">
        <v>0</v>
      </c>
      <c r="AF7" s="63">
        <v>0</v>
      </c>
      <c r="AG7" s="1320">
        <f t="shared" si="0"/>
        <v>384.01657999999998</v>
      </c>
    </row>
    <row r="8" spans="1:33" s="40" customFormat="1" ht="20.25" customHeight="1">
      <c r="A8" s="1317" t="s">
        <v>580</v>
      </c>
      <c r="B8" s="1298">
        <f>+'ปะหน้าAgingรายงานหนี้ค้าง บช.'!E68</f>
        <v>15361561.741999997</v>
      </c>
      <c r="C8" s="1378">
        <v>15320592.539999999</v>
      </c>
      <c r="D8" s="1318">
        <f t="shared" si="1"/>
        <v>40969.20199999772</v>
      </c>
      <c r="E8" s="1300">
        <f>D8/C8*100</f>
        <v>0.26741264669125991</v>
      </c>
      <c r="F8" s="1319"/>
      <c r="G8" s="206"/>
      <c r="H8" s="1379"/>
      <c r="I8" s="1378">
        <f>+'agingปัจจุบันส่ง(ส่งบัญชี)'!J418+'agingปัจจุบันส่ง(ส่งบัญชี)'!K418</f>
        <v>0</v>
      </c>
      <c r="J8" s="1378">
        <v>1564415.0790300018</v>
      </c>
      <c r="K8" s="1378">
        <v>1311154.8888000026</v>
      </c>
      <c r="L8" s="1378"/>
      <c r="M8" s="1378">
        <v>139403.95713999917</v>
      </c>
      <c r="N8" s="1378">
        <v>124383.00748999904</v>
      </c>
      <c r="O8" s="1378">
        <v>109742.95667999868</v>
      </c>
      <c r="P8" s="1378">
        <v>89727.177749998882</v>
      </c>
      <c r="Q8" s="1378">
        <v>80254.734139998909</v>
      </c>
      <c r="R8" s="1378">
        <v>78288.350769998811</v>
      </c>
      <c r="S8" s="1378">
        <v>64697.764250000066</v>
      </c>
      <c r="T8" s="1378">
        <v>51201.953739999954</v>
      </c>
      <c r="U8" s="1378">
        <v>35801.097499999931</v>
      </c>
      <c r="V8" s="1378">
        <v>0</v>
      </c>
      <c r="W8" s="1378">
        <v>0</v>
      </c>
      <c r="X8" s="1378">
        <v>0</v>
      </c>
      <c r="Y8" s="1378">
        <v>0</v>
      </c>
      <c r="Z8" s="1378"/>
      <c r="AA8" s="1378">
        <v>0</v>
      </c>
      <c r="AB8" s="1378">
        <v>0</v>
      </c>
      <c r="AC8" s="1378">
        <v>0</v>
      </c>
      <c r="AD8" s="1378">
        <v>0</v>
      </c>
      <c r="AE8" s="1378">
        <v>0</v>
      </c>
      <c r="AF8" s="41">
        <v>0</v>
      </c>
      <c r="AG8" s="1320">
        <f t="shared" si="0"/>
        <v>0</v>
      </c>
    </row>
    <row r="9" spans="1:33" ht="20.25" customHeight="1">
      <c r="A9" s="1321" t="s">
        <v>581</v>
      </c>
      <c r="B9" s="1298">
        <f>+'ปะหน้าAgingรายงานหนี้ค้าง บช.'!E77</f>
        <v>0</v>
      </c>
      <c r="C9" s="1322">
        <v>0</v>
      </c>
      <c r="D9" s="1318">
        <f t="shared" si="1"/>
        <v>0</v>
      </c>
      <c r="E9" s="1323">
        <v>0</v>
      </c>
      <c r="F9" s="1319" t="s">
        <v>948</v>
      </c>
      <c r="G9" s="206"/>
      <c r="H9" s="1302"/>
      <c r="I9" s="1322">
        <f>+'agingปัจจุบันส่ง(ส่งบัญชี)'!L1588+'agingปัจจุบันส่ง(ส่งบัญชี)'!K1588</f>
        <v>15214322.724030796</v>
      </c>
      <c r="J9" s="1322">
        <v>62673.63</v>
      </c>
      <c r="K9" s="1322">
        <v>62673.63</v>
      </c>
      <c r="L9" s="1322"/>
      <c r="M9" s="1322">
        <v>62673.63</v>
      </c>
      <c r="N9" s="1322">
        <v>62673.63</v>
      </c>
      <c r="O9" s="1322">
        <v>62673.63</v>
      </c>
      <c r="P9" s="1322">
        <v>62673.63</v>
      </c>
      <c r="Q9" s="1322">
        <v>62673.63</v>
      </c>
      <c r="R9" s="1322">
        <v>62673.63</v>
      </c>
      <c r="S9" s="1322">
        <v>62673.63</v>
      </c>
      <c r="T9" s="1322">
        <v>62673.63</v>
      </c>
      <c r="U9" s="1322">
        <v>654273.63</v>
      </c>
      <c r="V9" s="1322">
        <v>654273.63</v>
      </c>
      <c r="W9" s="1322">
        <v>654273.63</v>
      </c>
      <c r="X9" s="1322">
        <v>654273.63</v>
      </c>
      <c r="Y9" s="1322">
        <v>654273.63</v>
      </c>
      <c r="Z9" s="1322"/>
      <c r="AA9" s="1322">
        <v>654273.63</v>
      </c>
      <c r="AB9" s="1322">
        <v>654273.63</v>
      </c>
      <c r="AC9" s="1322">
        <v>658335.02</v>
      </c>
      <c r="AD9" s="1322">
        <v>6358735.0199999996</v>
      </c>
      <c r="AE9" s="1322">
        <v>6362735.0199999996</v>
      </c>
      <c r="AF9" s="63">
        <v>6366735.0199999996</v>
      </c>
      <c r="AG9" s="1320">
        <f t="shared" si="0"/>
        <v>8851587.7040307969</v>
      </c>
    </row>
    <row r="10" spans="1:33" ht="20.25" customHeight="1">
      <c r="A10" s="1321" t="s">
        <v>582</v>
      </c>
      <c r="B10" s="1298">
        <f>+'ปะหน้าAgingรายงานหนี้ค้าง บช.'!E94</f>
        <v>541726.78</v>
      </c>
      <c r="C10" s="1322">
        <v>545219.24</v>
      </c>
      <c r="D10" s="1318">
        <f t="shared" si="1"/>
        <v>-3492.4599999999627</v>
      </c>
      <c r="E10" s="1323">
        <f t="shared" ref="E10:E20" si="2">D10/C10*100</f>
        <v>-0.64056066693463765</v>
      </c>
      <c r="F10" s="1319"/>
      <c r="G10" s="206"/>
      <c r="H10" s="1302"/>
      <c r="I10" s="1322">
        <f>+'agingปัจจุบันส่ง(ส่งบัญชี)'!L1648+'agingปัจจุบันส่ง(ส่งบัญชี)'!K1648</f>
        <v>435681.56891199999</v>
      </c>
      <c r="J10" s="1322">
        <v>193299.242195</v>
      </c>
      <c r="K10" s="1322">
        <v>174046.35845</v>
      </c>
      <c r="L10" s="1322"/>
      <c r="M10" s="1322">
        <v>74289.964223999996</v>
      </c>
      <c r="N10" s="1322">
        <v>75541.653306000007</v>
      </c>
      <c r="O10" s="1322">
        <v>65695.240844</v>
      </c>
      <c r="P10" s="1322">
        <v>61043.095369000002</v>
      </c>
      <c r="Q10" s="1322">
        <v>38136.873192999999</v>
      </c>
      <c r="R10" s="1322">
        <v>95369.177633999992</v>
      </c>
      <c r="S10" s="1322">
        <v>78956.436927999996</v>
      </c>
      <c r="T10" s="1322">
        <v>91138.496218</v>
      </c>
      <c r="U10" s="1322">
        <v>117675.598317</v>
      </c>
      <c r="V10" s="1322">
        <v>171380</v>
      </c>
      <c r="W10" s="1322">
        <v>194880</v>
      </c>
      <c r="X10" s="1322">
        <v>163320</v>
      </c>
      <c r="Y10" s="1322">
        <v>154450</v>
      </c>
      <c r="Z10" s="1322"/>
      <c r="AA10" s="1322">
        <v>89260</v>
      </c>
      <c r="AB10" s="1322">
        <v>57600</v>
      </c>
      <c r="AC10" s="1322">
        <v>28500</v>
      </c>
      <c r="AD10" s="1322">
        <v>23400</v>
      </c>
      <c r="AE10" s="1322">
        <v>18300</v>
      </c>
      <c r="AF10" s="63">
        <v>11040</v>
      </c>
      <c r="AG10" s="1320">
        <f t="shared" si="0"/>
        <v>417381.56891199999</v>
      </c>
    </row>
    <row r="11" spans="1:33" ht="20.25" customHeight="1">
      <c r="A11" s="1321" t="s">
        <v>583</v>
      </c>
      <c r="B11" s="1298">
        <f>+'ปะหน้าAgingรายงานหนี้ค้าง บช.'!E100</f>
        <v>0</v>
      </c>
      <c r="C11" s="1322">
        <v>0</v>
      </c>
      <c r="D11" s="1318">
        <f t="shared" si="1"/>
        <v>0</v>
      </c>
      <c r="E11" s="1323">
        <v>0</v>
      </c>
      <c r="F11" s="1319"/>
      <c r="G11" s="206"/>
      <c r="H11" s="1302"/>
      <c r="I11" s="1322">
        <f>+'agingปัจจุบันส่ง(ส่งบัญชี)'!L1658+'agingปัจจุบันส่ง(ส่งบัญชี)'!K1658</f>
        <v>0</v>
      </c>
      <c r="J11" s="1322">
        <v>288906.02</v>
      </c>
      <c r="K11" s="1322">
        <v>288906.02</v>
      </c>
      <c r="L11" s="1322"/>
      <c r="M11" s="1322">
        <v>288906.02</v>
      </c>
      <c r="N11" s="1322">
        <v>288906.02</v>
      </c>
      <c r="O11" s="1322">
        <v>288906.02</v>
      </c>
      <c r="P11" s="1322">
        <v>288906.02</v>
      </c>
      <c r="Q11" s="1322">
        <v>289173.95602500002</v>
      </c>
      <c r="R11" s="1322">
        <v>288921.37450000003</v>
      </c>
      <c r="S11" s="1322">
        <v>288906.02</v>
      </c>
      <c r="T11" s="1322">
        <v>289138.64067500003</v>
      </c>
      <c r="U11" s="1322">
        <v>288906.02</v>
      </c>
      <c r="V11" s="1322">
        <v>288906.02</v>
      </c>
      <c r="W11" s="1322">
        <v>288906.02</v>
      </c>
      <c r="X11" s="1322">
        <v>288906.02</v>
      </c>
      <c r="Y11" s="1322">
        <v>288906.02</v>
      </c>
      <c r="Z11" s="1322"/>
      <c r="AA11" s="1322">
        <v>288906.02</v>
      </c>
      <c r="AB11" s="1322">
        <v>288906.02</v>
      </c>
      <c r="AC11" s="1322">
        <v>288906.02</v>
      </c>
      <c r="AD11" s="1322">
        <v>288906.02</v>
      </c>
      <c r="AE11" s="1322">
        <v>288906.02</v>
      </c>
      <c r="AF11" s="63">
        <v>288906.02</v>
      </c>
      <c r="AG11" s="1320">
        <f t="shared" si="0"/>
        <v>-288906.02</v>
      </c>
    </row>
    <row r="12" spans="1:33" ht="20.25" customHeight="1">
      <c r="A12" s="1321" t="s">
        <v>584</v>
      </c>
      <c r="B12" s="1298">
        <f>+'ปะหน้าAgingรายงานหนี้ค้าง บช.'!E110</f>
        <v>5530855.9100000001</v>
      </c>
      <c r="C12" s="1322">
        <v>5530855.9100000001</v>
      </c>
      <c r="D12" s="1318">
        <f t="shared" si="1"/>
        <v>0</v>
      </c>
      <c r="E12" s="1323">
        <f t="shared" si="2"/>
        <v>0</v>
      </c>
      <c r="F12" s="1319"/>
      <c r="G12" s="206"/>
      <c r="H12" s="1302"/>
      <c r="I12" s="1322">
        <f>+'agingปัจจุบันส่ง(ส่งบัญชี)'!L1675+'agingปัจจุบันส่ง(ส่งบัญชี)'!K1675</f>
        <v>5530855.9100000001</v>
      </c>
      <c r="J12" s="1322">
        <v>5531153.3394200001</v>
      </c>
      <c r="K12" s="1322">
        <v>5531153.3394200001</v>
      </c>
      <c r="L12" s="1322"/>
      <c r="M12" s="1322">
        <v>5530855.9100000001</v>
      </c>
      <c r="N12" s="1322">
        <v>5531077.4478830006</v>
      </c>
      <c r="O12" s="1322">
        <v>5531313.5969360005</v>
      </c>
      <c r="P12" s="1322">
        <v>5530888.2772860005</v>
      </c>
      <c r="Q12" s="1322">
        <v>5531061.7857189998</v>
      </c>
      <c r="R12" s="1322">
        <v>5531196.2917130003</v>
      </c>
      <c r="S12" s="1322">
        <v>5531336.6413139999</v>
      </c>
      <c r="T12" s="1322">
        <v>5531879.5132940002</v>
      </c>
      <c r="U12" s="1322">
        <v>5531711.65503</v>
      </c>
      <c r="V12" s="1322">
        <v>5530855.9100000001</v>
      </c>
      <c r="W12" s="1322">
        <v>5530855.9100000001</v>
      </c>
      <c r="X12" s="1322">
        <v>5530855.9100000001</v>
      </c>
      <c r="Y12" s="1322">
        <v>5530855.9100000001</v>
      </c>
      <c r="Z12" s="1322"/>
      <c r="AA12" s="1322">
        <v>5530855.9100000001</v>
      </c>
      <c r="AB12" s="1322">
        <v>5530855.9100000001</v>
      </c>
      <c r="AC12" s="1322">
        <v>5530855.9100000001</v>
      </c>
      <c r="AD12" s="1322">
        <v>5530855.9100000001</v>
      </c>
      <c r="AE12" s="1322">
        <v>5530855.9100000001</v>
      </c>
      <c r="AF12" s="63">
        <v>5530855.9100000001</v>
      </c>
      <c r="AG12" s="1320">
        <f t="shared" si="0"/>
        <v>0</v>
      </c>
    </row>
    <row r="13" spans="1:33" ht="20.25" customHeight="1">
      <c r="A13" s="1317" t="s">
        <v>585</v>
      </c>
      <c r="B13" s="1298">
        <f>+'ปะหน้าAgingรายงานหนี้ค้าง บช.'!E119</f>
        <v>13895.52</v>
      </c>
      <c r="C13" s="1322">
        <v>13125.95</v>
      </c>
      <c r="D13" s="1318">
        <f t="shared" si="1"/>
        <v>769.56999999999971</v>
      </c>
      <c r="E13" s="1323">
        <f t="shared" si="2"/>
        <v>5.8629661091197178</v>
      </c>
      <c r="F13" s="1319"/>
      <c r="G13" s="206"/>
      <c r="H13" s="1302"/>
      <c r="I13" s="1322">
        <f>+'agingปัจจุบันส่ง(ส่งบัญชี)'!L1707+'agingปัจจุบันส่ง(ส่งบัญชี)'!K1707</f>
        <v>10810.902108</v>
      </c>
      <c r="J13" s="1322">
        <v>3249.1097100000002</v>
      </c>
      <c r="K13" s="1322">
        <v>12365.084585000001</v>
      </c>
      <c r="L13" s="1322"/>
      <c r="M13" s="1322">
        <v>11751.927287</v>
      </c>
      <c r="N13" s="1322">
        <v>11741.200661999999</v>
      </c>
      <c r="O13" s="1322">
        <v>12012.975312</v>
      </c>
      <c r="P13" s="1322">
        <v>11741.753424</v>
      </c>
      <c r="Q13" s="1322">
        <v>11716.662162000001</v>
      </c>
      <c r="R13" s="1322">
        <v>12015.986564000001</v>
      </c>
      <c r="S13" s="1322">
        <v>12018.750373999999</v>
      </c>
      <c r="T13" s="1322">
        <v>12052.714528</v>
      </c>
      <c r="U13" s="1322">
        <v>12046.903351999999</v>
      </c>
      <c r="V13" s="1322">
        <v>11988.5</v>
      </c>
      <c r="W13" s="1322">
        <v>11988.5</v>
      </c>
      <c r="X13" s="1322">
        <v>11988.5</v>
      </c>
      <c r="Y13" s="1322">
        <v>12488.4</v>
      </c>
      <c r="Z13" s="1322"/>
      <c r="AA13" s="1322">
        <v>10452.5</v>
      </c>
      <c r="AB13" s="1322">
        <v>10452.5</v>
      </c>
      <c r="AC13" s="1322">
        <v>10452.5</v>
      </c>
      <c r="AD13" s="1322">
        <v>10452.5</v>
      </c>
      <c r="AE13" s="1322">
        <v>10452.5</v>
      </c>
      <c r="AF13" s="63">
        <v>10452.5</v>
      </c>
      <c r="AG13" s="1320">
        <f t="shared" si="0"/>
        <v>358.40210800000023</v>
      </c>
    </row>
    <row r="14" spans="1:33" ht="19.2" customHeight="1">
      <c r="A14" s="1321" t="s">
        <v>586</v>
      </c>
      <c r="B14" s="1298">
        <f>+'ปะหน้าAgingรายงานหนี้ค้าง บช.'!E123</f>
        <v>0</v>
      </c>
      <c r="C14" s="1322">
        <v>0</v>
      </c>
      <c r="D14" s="1318">
        <f t="shared" si="1"/>
        <v>0</v>
      </c>
      <c r="E14" s="1323">
        <v>0</v>
      </c>
      <c r="F14" s="1319"/>
      <c r="G14" s="206"/>
      <c r="H14" s="1302"/>
      <c r="I14" s="1322">
        <f>+'agingปัจจุบันส่ง(ส่งบัญชี)'!J1712</f>
        <v>0</v>
      </c>
      <c r="J14" s="1322">
        <v>0</v>
      </c>
      <c r="K14" s="1322">
        <v>0</v>
      </c>
      <c r="L14" s="1322"/>
      <c r="M14" s="1322">
        <v>0</v>
      </c>
      <c r="N14" s="1322">
        <v>0</v>
      </c>
      <c r="O14" s="1322">
        <v>0</v>
      </c>
      <c r="P14" s="1322">
        <v>0</v>
      </c>
      <c r="Q14" s="1322">
        <v>0</v>
      </c>
      <c r="R14" s="1322">
        <v>0</v>
      </c>
      <c r="S14" s="1322">
        <v>0</v>
      </c>
      <c r="T14" s="1322">
        <v>0</v>
      </c>
      <c r="U14" s="1322">
        <v>0</v>
      </c>
      <c r="V14" s="1322">
        <v>0</v>
      </c>
      <c r="W14" s="1322">
        <v>0</v>
      </c>
      <c r="X14" s="1322">
        <v>0</v>
      </c>
      <c r="Y14" s="1322">
        <v>0</v>
      </c>
      <c r="Z14" s="1322"/>
      <c r="AA14" s="1322">
        <v>0</v>
      </c>
      <c r="AB14" s="1322">
        <v>0</v>
      </c>
      <c r="AC14" s="1322">
        <v>0</v>
      </c>
      <c r="AD14" s="1322">
        <v>0</v>
      </c>
      <c r="AE14" s="1322">
        <v>0</v>
      </c>
      <c r="AF14" s="63">
        <v>0</v>
      </c>
      <c r="AG14" s="1320">
        <f t="shared" si="0"/>
        <v>0</v>
      </c>
    </row>
    <row r="15" spans="1:33" ht="21.75" customHeight="1">
      <c r="A15" s="1321" t="s">
        <v>587</v>
      </c>
      <c r="B15" s="1298">
        <f>+'ปะหน้าAgingรายงานหนี้ค้าง บช.'!E140</f>
        <v>659103.3400000002</v>
      </c>
      <c r="C15" s="1322">
        <v>737830.6</v>
      </c>
      <c r="D15" s="1318">
        <f t="shared" si="1"/>
        <v>-78727.259999999776</v>
      </c>
      <c r="E15" s="1323">
        <f t="shared" si="2"/>
        <v>-10.670099613651125</v>
      </c>
      <c r="F15" s="1319"/>
      <c r="G15" s="206"/>
      <c r="H15" s="1302"/>
      <c r="I15" s="1322">
        <f>+'agingปัจจุบันส่ง(ส่งบัญชี)'!L1861+'agingปัจจุบันส่ง(ส่งบัญชี)'!K1861</f>
        <v>535605.05937199993</v>
      </c>
      <c r="J15" s="1322">
        <v>506382.22864954645</v>
      </c>
      <c r="K15" s="1322">
        <v>574924.29951979627</v>
      </c>
      <c r="L15" s="1322"/>
      <c r="M15" s="1322">
        <v>552560.18182937067</v>
      </c>
      <c r="N15" s="1322">
        <v>555218.15688882058</v>
      </c>
      <c r="O15" s="1322">
        <v>555471.59325932059</v>
      </c>
      <c r="P15" s="1322">
        <v>578591.94699497067</v>
      </c>
      <c r="Q15" s="1322">
        <v>572696.38934014982</v>
      </c>
      <c r="R15" s="1322">
        <v>577067.49499060703</v>
      </c>
      <c r="S15" s="1322">
        <v>583888.12614696648</v>
      </c>
      <c r="T15" s="1322">
        <v>581019.9524095197</v>
      </c>
      <c r="U15" s="1322">
        <v>585600.49976066605</v>
      </c>
      <c r="V15" s="1322">
        <v>581053.68999999994</v>
      </c>
      <c r="W15" s="1322">
        <v>584545.14999999991</v>
      </c>
      <c r="X15" s="1322">
        <v>637374.44999999995</v>
      </c>
      <c r="Y15" s="1322">
        <v>649449.22999999975</v>
      </c>
      <c r="Z15" s="1322"/>
      <c r="AA15" s="1322">
        <v>656117.77999999968</v>
      </c>
      <c r="AB15" s="1322">
        <v>659754.82999999973</v>
      </c>
      <c r="AC15" s="1322">
        <v>662923.37999999977</v>
      </c>
      <c r="AD15" s="1322">
        <v>674982.09999999986</v>
      </c>
      <c r="AE15" s="1322">
        <v>681341.24999999977</v>
      </c>
      <c r="AF15" s="63">
        <v>684370.14999999979</v>
      </c>
      <c r="AG15" s="1320">
        <f t="shared" si="0"/>
        <v>-145736.19062799984</v>
      </c>
    </row>
    <row r="16" spans="1:33" ht="20.25" customHeight="1">
      <c r="A16" s="1321" t="s">
        <v>592</v>
      </c>
      <c r="B16" s="1298">
        <f>+'ปะหน้าAgingรายงานหนี้ค้าง บช.'!E154</f>
        <v>9071978.6927102804</v>
      </c>
      <c r="C16" s="1322">
        <v>9089040.2745794393</v>
      </c>
      <c r="D16" s="1318">
        <f>+B16-C16</f>
        <v>-17061.581869158894</v>
      </c>
      <c r="E16" s="1323">
        <f t="shared" si="2"/>
        <v>-0.18771598929842298</v>
      </c>
      <c r="F16" s="1319"/>
      <c r="G16" s="206"/>
      <c r="H16" s="238"/>
      <c r="I16" s="1322">
        <f>+'agingปัจจุบันส่ง(ส่งบัญชี)'!J1944+'agingปัจจุบันส่ง(ส่งบัญชี)'!K1944</f>
        <v>9047521.5172007661</v>
      </c>
      <c r="J16" s="1322">
        <v>8724187.3295911681</v>
      </c>
      <c r="K16" s="1322">
        <v>8681045.7529526632</v>
      </c>
      <c r="L16" s="1322"/>
      <c r="M16" s="1322">
        <v>8653076.1699102893</v>
      </c>
      <c r="N16" s="1322">
        <v>8652004.1531066447</v>
      </c>
      <c r="O16" s="1322">
        <v>8647785.6577766445</v>
      </c>
      <c r="P16" s="1322">
        <v>8651431.0186449997</v>
      </c>
      <c r="Q16" s="1322">
        <v>8647758.5744959246</v>
      </c>
      <c r="R16" s="1322">
        <v>8647950.2169702798</v>
      </c>
      <c r="S16" s="1322">
        <v>8649178.0948022325</v>
      </c>
      <c r="T16" s="1322">
        <v>8648563.6847435702</v>
      </c>
      <c r="U16" s="1322">
        <v>8654352.4243629985</v>
      </c>
      <c r="V16" s="1322">
        <v>8647209.8699999992</v>
      </c>
      <c r="W16" s="1322">
        <v>8647209.8699999992</v>
      </c>
      <c r="X16" s="1322">
        <v>8654084.6199999992</v>
      </c>
      <c r="Y16" s="1322">
        <v>8656973.6199999992</v>
      </c>
      <c r="Z16" s="1322"/>
      <c r="AA16" s="1322">
        <v>8656973.6199999992</v>
      </c>
      <c r="AB16" s="1322">
        <v>8656973.6199999992</v>
      </c>
      <c r="AC16" s="1322">
        <v>8656973.6199999992</v>
      </c>
      <c r="AD16" s="1322">
        <v>8656224.6199999992</v>
      </c>
      <c r="AE16" s="1322">
        <v>8640651.5</v>
      </c>
      <c r="AF16" s="63">
        <v>8613470.8699999992</v>
      </c>
      <c r="AG16" s="1320">
        <f t="shared" si="0"/>
        <v>406870.01720076613</v>
      </c>
    </row>
    <row r="17" spans="1:34" ht="20.25" customHeight="1">
      <c r="A17" s="1317" t="s">
        <v>588</v>
      </c>
      <c r="B17" s="1298">
        <f>+'ปะหน้าAgingรายงานหนี้ค้าง บช.'!E169</f>
        <v>2195801.7486999994</v>
      </c>
      <c r="C17" s="1322">
        <v>2538148.7986999992</v>
      </c>
      <c r="D17" s="1318">
        <f t="shared" si="1"/>
        <v>-342347.04999999981</v>
      </c>
      <c r="E17" s="1323">
        <f t="shared" si="2"/>
        <v>-13.488060675376664</v>
      </c>
      <c r="F17" s="1319"/>
      <c r="G17" s="206"/>
      <c r="H17" s="238"/>
      <c r="I17" s="1322">
        <f>+'agingปัจจุบันส่ง(ส่งบัญชี)'!L2851+'agingปัจจุบันส่ง(ส่งบัญชี)'!L2820</f>
        <v>1658078.5199999993</v>
      </c>
      <c r="J17" s="1322">
        <v>707065.50279154791</v>
      </c>
      <c r="K17" s="1322">
        <v>853966.20740166516</v>
      </c>
      <c r="L17" s="1322"/>
      <c r="M17" s="1322">
        <v>666673.17571062932</v>
      </c>
      <c r="N17" s="1322">
        <v>668858.59145928919</v>
      </c>
      <c r="O17" s="1322">
        <v>628962.69682555704</v>
      </c>
      <c r="P17" s="1322">
        <v>707284.30097133759</v>
      </c>
      <c r="Q17" s="1322">
        <v>843090.69527250004</v>
      </c>
      <c r="R17" s="1322">
        <v>862864.59733450005</v>
      </c>
      <c r="S17" s="1322">
        <v>667954.91732649994</v>
      </c>
      <c r="T17" s="1322">
        <v>643237.05339050002</v>
      </c>
      <c r="U17" s="1322">
        <v>729917.89068700012</v>
      </c>
      <c r="V17" s="1322">
        <v>642686.30999999994</v>
      </c>
      <c r="W17" s="1322">
        <v>607134.84</v>
      </c>
      <c r="X17" s="1322">
        <v>313964.94999999995</v>
      </c>
      <c r="Y17" s="1322">
        <v>222374.09</v>
      </c>
      <c r="Z17" s="1322"/>
      <c r="AA17" s="1322">
        <v>177269.62000000002</v>
      </c>
      <c r="AB17" s="1322">
        <v>157157</v>
      </c>
      <c r="AC17" s="1322">
        <v>126105</v>
      </c>
      <c r="AD17" s="1322">
        <v>116665</v>
      </c>
      <c r="AE17" s="1322">
        <v>97975</v>
      </c>
      <c r="AF17" s="63">
        <v>83845</v>
      </c>
      <c r="AG17" s="1320">
        <f t="shared" si="0"/>
        <v>1560103.5199999993</v>
      </c>
    </row>
    <row r="18" spans="1:34" s="40" customFormat="1" ht="20.25" customHeight="1">
      <c r="A18" s="1317" t="s">
        <v>591</v>
      </c>
      <c r="B18" s="1298">
        <f>+'ปะหน้าAgingรายงานหนี้ค้าง บช.'!E176</f>
        <v>683300</v>
      </c>
      <c r="C18" s="1378">
        <v>685500</v>
      </c>
      <c r="D18" s="1318">
        <f t="shared" si="1"/>
        <v>-2200</v>
      </c>
      <c r="E18" s="1323">
        <f t="shared" si="2"/>
        <v>-0.32093362509117435</v>
      </c>
      <c r="F18" s="1319"/>
      <c r="G18" s="206"/>
      <c r="H18" s="238"/>
      <c r="I18" s="1378">
        <f>+'agingปัจจุบันส่ง(ส่งบัญชี)'!L2894+'agingปัจจุบันส่ง(ส่งบัญชี)'!K2894</f>
        <v>683300</v>
      </c>
      <c r="J18" s="1378">
        <v>914946.35</v>
      </c>
      <c r="K18" s="1378">
        <v>916946.35</v>
      </c>
      <c r="L18" s="1378"/>
      <c r="M18" s="1378">
        <v>938888.97</v>
      </c>
      <c r="N18" s="1378">
        <v>938888.97</v>
      </c>
      <c r="O18" s="1378">
        <v>938888.97</v>
      </c>
      <c r="P18" s="1378">
        <v>938888.97</v>
      </c>
      <c r="Q18" s="1378">
        <v>939388.97</v>
      </c>
      <c r="R18" s="1378">
        <v>939888.97</v>
      </c>
      <c r="S18" s="1378">
        <v>940388.97</v>
      </c>
      <c r="T18" s="1378">
        <v>940888.97</v>
      </c>
      <c r="U18" s="1378">
        <v>942206.19</v>
      </c>
      <c r="V18" s="1378">
        <v>942300</v>
      </c>
      <c r="W18" s="1378">
        <v>932900</v>
      </c>
      <c r="X18" s="1378">
        <v>913000</v>
      </c>
      <c r="Y18" s="1378">
        <v>908400</v>
      </c>
      <c r="Z18" s="1378"/>
      <c r="AA18" s="1378">
        <v>899400</v>
      </c>
      <c r="AB18" s="1378">
        <v>892100</v>
      </c>
      <c r="AC18" s="1378">
        <v>890500</v>
      </c>
      <c r="AD18" s="1378">
        <v>883400</v>
      </c>
      <c r="AE18" s="1378">
        <v>881900</v>
      </c>
      <c r="AF18" s="41">
        <v>875100</v>
      </c>
      <c r="AG18" s="1320">
        <f t="shared" si="0"/>
        <v>-198600</v>
      </c>
    </row>
    <row r="19" spans="1:34" ht="20.25" customHeight="1">
      <c r="A19" s="1321" t="s">
        <v>589</v>
      </c>
      <c r="B19" s="1298">
        <f>+'ปะหน้าAgingรายงานหนี้ค้าง บช.'!E193</f>
        <v>1734600.9476000003</v>
      </c>
      <c r="C19" s="1322">
        <v>1689069.37</v>
      </c>
      <c r="D19" s="1318">
        <f>+B19-C19</f>
        <v>45531.577600000193</v>
      </c>
      <c r="E19" s="1323">
        <f t="shared" si="2"/>
        <v>2.6956606051058865</v>
      </c>
      <c r="F19" s="1319"/>
      <c r="G19" s="206"/>
      <c r="H19" s="238"/>
      <c r="I19" s="1322">
        <f>+'agingปัจจุบันส่ง(ส่งบัญชี)'!L3008+'agingปัจจุบันส่ง(ส่งบัญชี)'!K3008</f>
        <v>1433839.8865950399</v>
      </c>
      <c r="J19" s="1322">
        <v>4981697.32746635</v>
      </c>
      <c r="K19" s="1322">
        <v>5010377.5064967992</v>
      </c>
      <c r="L19" s="1322"/>
      <c r="M19" s="1322">
        <v>4791644.4548084997</v>
      </c>
      <c r="N19" s="1322">
        <v>4588744.7677572705</v>
      </c>
      <c r="O19" s="1322">
        <v>4598698.9021223094</v>
      </c>
      <c r="P19" s="1322">
        <v>4618591.7877193503</v>
      </c>
      <c r="Q19" s="1322">
        <v>4652815.4034569999</v>
      </c>
      <c r="R19" s="1322">
        <v>4615611.370445</v>
      </c>
      <c r="S19" s="1322">
        <v>4698608.4975359999</v>
      </c>
      <c r="T19" s="1322">
        <v>4591700.0220550001</v>
      </c>
      <c r="U19" s="1322">
        <v>4584198.0440759994</v>
      </c>
      <c r="V19" s="1322">
        <v>3950544.6399999997</v>
      </c>
      <c r="W19" s="1322">
        <v>3861576.7399999998</v>
      </c>
      <c r="X19" s="1322">
        <v>2969356.7399999998</v>
      </c>
      <c r="Y19" s="1322">
        <v>2866695.1599999997</v>
      </c>
      <c r="Z19" s="1322"/>
      <c r="AA19" s="1322">
        <v>2694442.4</v>
      </c>
      <c r="AB19" s="1322">
        <v>2617941.6999999997</v>
      </c>
      <c r="AC19" s="1322">
        <v>2506912.5799999996</v>
      </c>
      <c r="AD19" s="1322">
        <v>2298704.54</v>
      </c>
      <c r="AE19" s="1322">
        <v>2189618.1399999997</v>
      </c>
      <c r="AF19" s="63">
        <v>2073703.14</v>
      </c>
      <c r="AG19" s="1320">
        <f t="shared" si="0"/>
        <v>-755778.2534049598</v>
      </c>
    </row>
    <row r="20" spans="1:34" s="40" customFormat="1" ht="20.25" customHeight="1">
      <c r="A20" s="1380" t="s">
        <v>590</v>
      </c>
      <c r="B20" s="1381">
        <f>+'ปะหน้าAgingรายงานหนี้ค้าง บช.'!E205</f>
        <v>878713.25999999989</v>
      </c>
      <c r="C20" s="1382">
        <v>866633.25999999989</v>
      </c>
      <c r="D20" s="1383">
        <f t="shared" si="1"/>
        <v>12080</v>
      </c>
      <c r="E20" s="1323">
        <f t="shared" si="2"/>
        <v>1.3938998833255027</v>
      </c>
      <c r="F20" s="1384" t="s">
        <v>949</v>
      </c>
      <c r="G20" s="206"/>
      <c r="H20" s="238"/>
      <c r="I20" s="1385">
        <f>+'agingปัจจุบันส่ง(ส่งบัญชี)'!L3064+'agingปัจจุบันส่ง(ส่งบัญชี)'!K3064</f>
        <v>816242.80799999984</v>
      </c>
      <c r="J20" s="1385">
        <v>470030.89575000003</v>
      </c>
      <c r="K20" s="1385">
        <v>483479.56949999998</v>
      </c>
      <c r="L20" s="1385"/>
      <c r="M20" s="1385">
        <v>458433.59414999996</v>
      </c>
      <c r="N20" s="1385">
        <v>455097.36040000001</v>
      </c>
      <c r="O20" s="1385">
        <v>453223.39240000001</v>
      </c>
      <c r="P20" s="1385">
        <v>452818.42105</v>
      </c>
      <c r="Q20" s="1385">
        <v>453184.69439999998</v>
      </c>
      <c r="R20" s="1385">
        <v>454894.07415</v>
      </c>
      <c r="S20" s="1385">
        <v>455777.09989999997</v>
      </c>
      <c r="T20" s="1385">
        <v>452501.71714999998</v>
      </c>
      <c r="U20" s="1385">
        <v>452220.03289999999</v>
      </c>
      <c r="V20" s="1385">
        <v>450554.8</v>
      </c>
      <c r="W20" s="1385">
        <v>449054.8</v>
      </c>
      <c r="X20" s="1385">
        <v>735369.79999999993</v>
      </c>
      <c r="Y20" s="1385">
        <v>744154.79999999993</v>
      </c>
      <c r="Z20" s="1385"/>
      <c r="AA20" s="1385">
        <v>738349.79999999993</v>
      </c>
      <c r="AB20" s="1385">
        <v>746149.79999999993</v>
      </c>
      <c r="AC20" s="1385">
        <v>743314.79999999993</v>
      </c>
      <c r="AD20" s="1385">
        <v>663879.79999999993</v>
      </c>
      <c r="AE20" s="1385">
        <v>661044.79999999993</v>
      </c>
      <c r="AF20" s="41">
        <v>663444.79999999993</v>
      </c>
      <c r="AG20" s="1386">
        <f t="shared" si="0"/>
        <v>155198.00799999991</v>
      </c>
    </row>
    <row r="21" spans="1:34" ht="20.25" customHeight="1" thickBot="1">
      <c r="A21" s="67" t="s">
        <v>131</v>
      </c>
      <c r="B21" s="263">
        <f>SUM(B4:B20)</f>
        <v>66770177.248010278</v>
      </c>
      <c r="C21" s="68">
        <f>SUM(C4:C20)</f>
        <v>66602155.930279441</v>
      </c>
      <c r="D21" s="264">
        <f>SUM(D4:D20)</f>
        <v>168021.31773083424</v>
      </c>
      <c r="E21" s="264">
        <f>+D21/C21*100</f>
        <v>0.25227609434553822</v>
      </c>
      <c r="F21" s="265"/>
      <c r="G21" s="206"/>
      <c r="H21" s="237">
        <f t="shared" ref="H21:AF21" si="3">SUM(H4:H20)</f>
        <v>0</v>
      </c>
      <c r="I21" s="236">
        <f>SUM(I4:I20)</f>
        <v>62156374.767180391</v>
      </c>
      <c r="J21" s="236">
        <f>SUM(J4:J20)</f>
        <v>50528094.372047618</v>
      </c>
      <c r="K21" s="236">
        <f t="shared" si="3"/>
        <v>49992340.374045931</v>
      </c>
      <c r="L21" s="236"/>
      <c r="M21" s="236">
        <f t="shared" si="3"/>
        <v>48424395.312732778</v>
      </c>
      <c r="N21" s="236">
        <f t="shared" si="3"/>
        <v>48112147.011822022</v>
      </c>
      <c r="O21" s="236">
        <f t="shared" si="3"/>
        <v>48028599.344748825</v>
      </c>
      <c r="P21" s="236">
        <f t="shared" si="3"/>
        <v>48155598.670024648</v>
      </c>
      <c r="Q21" s="236">
        <f t="shared" si="3"/>
        <v>48791817.211760573</v>
      </c>
      <c r="R21" s="236">
        <f>SUM(R4:R20)</f>
        <v>48225721.456645384</v>
      </c>
      <c r="S21" s="236">
        <f t="shared" si="3"/>
        <v>48100242.237878703</v>
      </c>
      <c r="T21" s="236">
        <f t="shared" si="3"/>
        <v>47980594.259898596</v>
      </c>
      <c r="U21" s="236">
        <f>SUM(U4:U20)</f>
        <v>48683817.937822662</v>
      </c>
      <c r="V21" s="236">
        <v>47962844.469999999</v>
      </c>
      <c r="W21" s="236">
        <f t="shared" si="3"/>
        <v>47912920.200000003</v>
      </c>
      <c r="X21" s="236">
        <f t="shared" si="3"/>
        <v>46857788.770000003</v>
      </c>
      <c r="Y21" s="236">
        <f t="shared" si="3"/>
        <v>46713001.149999991</v>
      </c>
      <c r="Z21" s="236">
        <f t="shared" si="3"/>
        <v>0</v>
      </c>
      <c r="AA21" s="236">
        <f t="shared" si="3"/>
        <v>46125844.809999995</v>
      </c>
      <c r="AB21" s="236">
        <f t="shared" si="3"/>
        <v>45847665.119999997</v>
      </c>
      <c r="AC21" s="236">
        <f t="shared" si="3"/>
        <v>45462768.059999995</v>
      </c>
      <c r="AD21" s="236">
        <f t="shared" si="3"/>
        <v>50666349.059999995</v>
      </c>
      <c r="AE21" s="236">
        <f t="shared" si="3"/>
        <v>50377691.429999992</v>
      </c>
      <c r="AF21" s="236">
        <f t="shared" si="3"/>
        <v>49797868.069999993</v>
      </c>
      <c r="AG21" s="266">
        <f t="shared" si="0"/>
        <v>11778683.337180398</v>
      </c>
    </row>
    <row r="22" spans="1:34" ht="32.25" hidden="1" customHeight="1" thickTop="1">
      <c r="A22" s="267" t="s">
        <v>2046</v>
      </c>
      <c r="B22" s="41"/>
      <c r="C22" s="70"/>
      <c r="E22" s="264" t="e">
        <f t="shared" ref="E22:E34" si="4">+D22/C22*100</f>
        <v>#DIV/0!</v>
      </c>
      <c r="H22" s="238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</row>
    <row r="23" spans="1:34" ht="31.5" hidden="1" customHeight="1">
      <c r="A23" s="20" t="s">
        <v>255</v>
      </c>
      <c r="B23" s="248"/>
      <c r="C23" s="268"/>
      <c r="E23" s="264" t="e">
        <f t="shared" si="4"/>
        <v>#DIV/0!</v>
      </c>
      <c r="G23" s="72"/>
      <c r="I23" s="41">
        <f>+'agingปัจจุบันส่ง(ส่งบัญชี)'!L3069</f>
        <v>62218428.027772374</v>
      </c>
      <c r="J23" s="41"/>
      <c r="K23" s="41"/>
      <c r="L23" s="41"/>
      <c r="M23" s="41">
        <f>+M21-N21</f>
        <v>312248.30091075599</v>
      </c>
      <c r="N23" s="41">
        <f>+N21-O21</f>
        <v>83547.667073197663</v>
      </c>
      <c r="O23" s="41"/>
      <c r="P23" s="41"/>
      <c r="Q23" s="41"/>
      <c r="R23" s="41"/>
      <c r="S23" s="41"/>
      <c r="T23" s="41">
        <f>+I21-T21</f>
        <v>14175780.507281795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34" ht="20.25" hidden="1" customHeight="1">
      <c r="A24" s="20" t="s">
        <v>1154</v>
      </c>
      <c r="B24" s="248"/>
      <c r="C24" s="269"/>
      <c r="D24" s="250" t="e">
        <f>+'agingปัจจุบันส่ง(ส่งบัญชี)'!#REF!</f>
        <v>#REF!</v>
      </c>
      <c r="E24" s="264" t="e">
        <f t="shared" si="4"/>
        <v>#REF!</v>
      </c>
      <c r="I24" s="41">
        <f>+I21-M21</f>
        <v>13731979.454447612</v>
      </c>
      <c r="J24" s="41"/>
      <c r="K24" s="41"/>
      <c r="L24" s="41"/>
      <c r="M24" s="41"/>
      <c r="N24" s="41"/>
      <c r="O24" s="41"/>
      <c r="P24" s="41"/>
      <c r="Q24" s="41">
        <v>48225721.456645384</v>
      </c>
      <c r="R24" s="41"/>
      <c r="S24" s="41"/>
      <c r="T24" s="41"/>
      <c r="U24" s="41"/>
      <c r="V24" s="41"/>
      <c r="W24" s="41">
        <f>+I21-W21</f>
        <v>14243454.567180388</v>
      </c>
      <c r="X24" s="41"/>
      <c r="Y24" s="41"/>
      <c r="Z24" s="41"/>
      <c r="AA24" s="41"/>
      <c r="AB24" s="41"/>
      <c r="AC24" s="41"/>
      <c r="AD24" s="41"/>
    </row>
    <row r="25" spans="1:34" ht="24" hidden="1" customHeight="1">
      <c r="A25" s="20" t="s">
        <v>2964</v>
      </c>
      <c r="B25" s="239"/>
      <c r="C25" s="20"/>
      <c r="D25" s="270"/>
      <c r="E25" s="264" t="e">
        <f t="shared" si="4"/>
        <v>#DIV/0!</v>
      </c>
      <c r="G25" s="184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185"/>
      <c r="AF25" s="185"/>
    </row>
    <row r="26" spans="1:34" ht="20.25" hidden="1" customHeight="1">
      <c r="A26" s="209"/>
      <c r="B26" s="248">
        <f>+'agingปัจจุบันส่ง(ส่งบัญชี)'!J3068-B21</f>
        <v>0</v>
      </c>
      <c r="C26" s="269">
        <v>0</v>
      </c>
      <c r="E26" s="264" t="e">
        <f t="shared" si="4"/>
        <v>#DIV/0!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4" ht="20.25" hidden="1" customHeight="1">
      <c r="A27" s="40" t="s">
        <v>354</v>
      </c>
      <c r="B27" s="271"/>
      <c r="C27" s="267"/>
      <c r="D27" s="253"/>
      <c r="E27" s="264" t="e">
        <f t="shared" si="4"/>
        <v>#DIV/0!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H27" s="73"/>
    </row>
    <row r="28" spans="1:34" ht="20.25" hidden="1" customHeight="1">
      <c r="A28" s="40"/>
      <c r="B28" s="241"/>
      <c r="C28" s="269"/>
      <c r="E28" s="264" t="e">
        <f t="shared" si="4"/>
        <v>#DIV/0!</v>
      </c>
      <c r="AH28" s="242"/>
    </row>
    <row r="29" spans="1:34" ht="20.25" hidden="1" customHeight="1">
      <c r="B29" s="248"/>
      <c r="C29" s="269"/>
      <c r="E29" s="264" t="e">
        <f t="shared" si="4"/>
        <v>#DIV/0!</v>
      </c>
    </row>
    <row r="30" spans="1:34" ht="20.25" hidden="1" customHeight="1">
      <c r="B30" s="1543"/>
      <c r="C30" s="1543"/>
      <c r="D30" s="272"/>
      <c r="E30" s="264" t="e">
        <f t="shared" si="4"/>
        <v>#DIV/0!</v>
      </c>
      <c r="G30" s="64" t="s">
        <v>271</v>
      </c>
    </row>
    <row r="31" spans="1:34" ht="20.25" hidden="1" customHeight="1">
      <c r="B31" s="1543"/>
      <c r="C31" s="1543"/>
      <c r="D31" s="273"/>
      <c r="E31" s="264" t="e">
        <f t="shared" si="4"/>
        <v>#DIV/0!</v>
      </c>
      <c r="G31" s="64"/>
    </row>
    <row r="32" spans="1:34" ht="20.25" hidden="1" customHeight="1">
      <c r="C32" s="269"/>
      <c r="E32" s="264" t="e">
        <f t="shared" si="4"/>
        <v>#DIV/0!</v>
      </c>
      <c r="G32" s="188">
        <f>+C21-B21</f>
        <v>-168021.31773083657</v>
      </c>
    </row>
    <row r="33" spans="2:7" ht="20.25" hidden="1" customHeight="1">
      <c r="C33" s="269"/>
      <c r="E33" s="264" t="e">
        <f t="shared" si="4"/>
        <v>#DIV/0!</v>
      </c>
      <c r="G33" s="188">
        <f>+G32*100/C21</f>
        <v>-0.25227609434554171</v>
      </c>
    </row>
    <row r="34" spans="2:7" ht="20.25" hidden="1" customHeight="1">
      <c r="C34" s="269"/>
      <c r="E34" s="264" t="e">
        <f t="shared" si="4"/>
        <v>#DIV/0!</v>
      </c>
    </row>
    <row r="35" spans="2:7" ht="20.25" customHeight="1" thickTop="1">
      <c r="B35" s="249"/>
      <c r="C35" s="274"/>
      <c r="E35" s="264"/>
    </row>
    <row r="36" spans="2:7" ht="20.25" customHeight="1">
      <c r="B36" s="249"/>
      <c r="C36" s="274"/>
    </row>
    <row r="37" spans="2:7" ht="20.25" customHeight="1">
      <c r="B37" s="249"/>
      <c r="C37" s="274"/>
      <c r="E37" s="275"/>
      <c r="F37" s="276"/>
    </row>
    <row r="38" spans="2:7" ht="20.25" customHeight="1">
      <c r="B38" s="249"/>
      <c r="C38" s="277"/>
      <c r="E38" s="275"/>
      <c r="F38" s="276"/>
    </row>
    <row r="39" spans="2:7" ht="20.25" customHeight="1">
      <c r="B39" s="249"/>
      <c r="C39" s="277"/>
      <c r="E39" s="275"/>
      <c r="F39" s="276"/>
    </row>
    <row r="40" spans="2:7" ht="20.25" customHeight="1">
      <c r="B40" s="249"/>
      <c r="C40" s="277"/>
      <c r="E40" s="275"/>
      <c r="F40" s="276"/>
    </row>
    <row r="41" spans="2:7" ht="20.25" customHeight="1">
      <c r="B41" s="249"/>
      <c r="C41" s="274"/>
      <c r="E41" s="275"/>
      <c r="F41" s="276"/>
    </row>
    <row r="42" spans="2:7" ht="20.25" customHeight="1">
      <c r="B42" s="249"/>
      <c r="C42" s="274"/>
      <c r="E42" s="275"/>
      <c r="F42" s="276"/>
    </row>
    <row r="43" spans="2:7" ht="20.25" customHeight="1">
      <c r="B43" s="249"/>
      <c r="C43" s="274"/>
      <c r="E43" s="275"/>
      <c r="F43" s="276"/>
    </row>
    <row r="44" spans="2:7" ht="20.25" customHeight="1">
      <c r="B44" s="249"/>
      <c r="C44" s="274"/>
      <c r="E44" s="275"/>
      <c r="F44" s="276"/>
    </row>
    <row r="45" spans="2:7" ht="20.25" customHeight="1">
      <c r="B45" s="249"/>
      <c r="C45" s="274"/>
      <c r="E45" s="275"/>
      <c r="F45" s="276"/>
    </row>
    <row r="46" spans="2:7" ht="20.25" customHeight="1">
      <c r="B46" s="249"/>
      <c r="C46" s="274"/>
    </row>
    <row r="47" spans="2:7" ht="20.25" customHeight="1">
      <c r="B47" s="249"/>
      <c r="C47" s="274"/>
    </row>
    <row r="48" spans="2:7" ht="20.25" customHeight="1">
      <c r="B48" s="249"/>
      <c r="C48" s="274"/>
    </row>
    <row r="49" spans="2:3" ht="20.25" customHeight="1">
      <c r="B49" s="249"/>
      <c r="C49" s="240"/>
    </row>
  </sheetData>
  <mergeCells count="5">
    <mergeCell ref="A1:D1"/>
    <mergeCell ref="A2:D2"/>
    <mergeCell ref="AG2:AG3"/>
    <mergeCell ref="B30:C30"/>
    <mergeCell ref="B31:C31"/>
  </mergeCells>
  <printOptions horizontalCentered="1"/>
  <pageMargins left="0" right="0" top="0.74803149606299202" bottom="0.74803149606299202" header="0.31496062992126" footer="0.31496062992126"/>
  <pageSetup paperSize="9" orientation="portrait" r:id="rId1"/>
  <headerFoot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59B6-5330-4022-BE71-B43DF27E5FD6}">
  <sheetPr>
    <tabColor rgb="FFFFC000"/>
  </sheetPr>
  <dimension ref="A1:K31"/>
  <sheetViews>
    <sheetView workbookViewId="0">
      <selection activeCell="G17" sqref="G17"/>
    </sheetView>
  </sheetViews>
  <sheetFormatPr defaultColWidth="8.33203125" defaultRowHeight="20.25" customHeight="1"/>
  <cols>
    <col min="1" max="1" width="36.88671875" style="64" customWidth="1"/>
    <col min="2" max="2" width="25.33203125" style="73" customWidth="1"/>
    <col min="3" max="3" width="24.109375" style="64" customWidth="1"/>
    <col min="4" max="4" width="22.33203125" style="71" customWidth="1"/>
    <col min="5" max="5" width="25.6640625" style="63" customWidth="1"/>
    <col min="6" max="6" width="20.33203125" style="64" customWidth="1"/>
    <col min="7" max="7" width="23.44140625" style="64" customWidth="1"/>
    <col min="8" max="10" width="8.33203125" style="64"/>
    <col min="11" max="11" width="18.44140625" style="63" customWidth="1"/>
    <col min="12" max="16384" width="8.33203125" style="64"/>
  </cols>
  <sheetData>
    <row r="1" spans="1:11" ht="20.25" customHeight="1">
      <c r="A1" s="1539" t="s">
        <v>1721</v>
      </c>
      <c r="B1" s="1539"/>
      <c r="C1" s="1539"/>
      <c r="D1" s="1539"/>
      <c r="E1" s="1539"/>
    </row>
    <row r="2" spans="1:11" ht="20.25" customHeight="1">
      <c r="A2" s="1519" t="s">
        <v>3410</v>
      </c>
      <c r="B2" s="1519"/>
      <c r="C2" s="1519"/>
      <c r="D2" s="1519"/>
      <c r="E2" s="1519"/>
    </row>
    <row r="3" spans="1:11" ht="20.25" customHeight="1">
      <c r="A3" s="1544" t="s">
        <v>153</v>
      </c>
      <c r="B3" s="1546" t="s">
        <v>1199</v>
      </c>
      <c r="C3" s="1548" t="s">
        <v>1200</v>
      </c>
      <c r="D3" s="1549"/>
      <c r="E3" s="1550"/>
      <c r="F3" s="63"/>
      <c r="G3" s="63"/>
    </row>
    <row r="4" spans="1:11" ht="20.25" customHeight="1">
      <c r="A4" s="1545"/>
      <c r="B4" s="1547"/>
      <c r="C4" s="65" t="s">
        <v>1201</v>
      </c>
      <c r="D4" s="65" t="s">
        <v>1202</v>
      </c>
      <c r="E4" s="66" t="s">
        <v>1203</v>
      </c>
      <c r="F4" s="63"/>
      <c r="G4" s="63"/>
    </row>
    <row r="5" spans="1:11" ht="20.25" customHeight="1">
      <c r="A5" s="1305" t="s">
        <v>2291</v>
      </c>
      <c r="B5" s="1306">
        <f>+'5.เปรียบเทียบลูกหนี้การค้า  ใหม'!B4</f>
        <v>28997041.156999994</v>
      </c>
      <c r="C5" s="1307">
        <f>+'agingปัจจุบันส่ง(ส่งบัญชี)'!K259</f>
        <v>419860.91133780003</v>
      </c>
      <c r="D5" s="1308">
        <f>+'agingปัจจุบันส่ง(ส่งบัญชี)'!L259</f>
        <v>25358731.699999996</v>
      </c>
      <c r="E5" s="1309">
        <f>+D5+C5</f>
        <v>25778592.611337796</v>
      </c>
      <c r="F5" s="63">
        <f>+(B5-D5)*11.54/100</f>
        <v>419860.9113377998</v>
      </c>
      <c r="G5" s="63">
        <f>+C5-F5</f>
        <v>0</v>
      </c>
    </row>
    <row r="6" spans="1:11" ht="20.25" customHeight="1">
      <c r="A6" s="1321" t="s">
        <v>2293</v>
      </c>
      <c r="B6" s="1306">
        <f>+'5.เปรียบเทียบลูกหนี้การค้า  ใหม'!B5</f>
        <v>1098270.4500000002</v>
      </c>
      <c r="C6" s="1307">
        <f>+'agingปัจจุบันส่ง(ส่งบัญชี)'!K353</f>
        <v>11366.653043999999</v>
      </c>
      <c r="D6" s="1308">
        <f>+'agingปัจจุบันส่ง(ส่งบัญชี)'!L353</f>
        <v>999772.59000000008</v>
      </c>
      <c r="E6" s="1324">
        <f t="shared" ref="E6:E21" si="0">+D6+C6</f>
        <v>1011139.2430440001</v>
      </c>
      <c r="F6" s="63">
        <f t="shared" ref="F6:F21" si="1">+(B6-D6)*11.54/100</f>
        <v>11366.653044000012</v>
      </c>
      <c r="G6" s="63">
        <f t="shared" ref="G6:G22" si="2">+C6-F6</f>
        <v>0</v>
      </c>
    </row>
    <row r="7" spans="1:11" ht="20.25" customHeight="1">
      <c r="A7" s="1321" t="s">
        <v>2292</v>
      </c>
      <c r="B7" s="1306">
        <f>+'5.เปรียบเทียบลูกหนี้การค้า  ใหม'!B6</f>
        <v>0</v>
      </c>
      <c r="C7" s="1325">
        <f>+'agingปัจจุบันส่ง(ส่งบัญชี)'!K373</f>
        <v>0</v>
      </c>
      <c r="D7" s="1387">
        <f>+'agingปัจจุบันส่ง(ส่งบัญชี)'!L373</f>
        <v>0</v>
      </c>
      <c r="E7" s="1324">
        <f t="shared" si="0"/>
        <v>0</v>
      </c>
      <c r="F7" s="63">
        <f t="shared" si="1"/>
        <v>0</v>
      </c>
      <c r="G7" s="63">
        <f t="shared" si="2"/>
        <v>0</v>
      </c>
    </row>
    <row r="8" spans="1:11" ht="20.25" customHeight="1">
      <c r="A8" s="1321" t="s">
        <v>2290</v>
      </c>
      <c r="B8" s="1306">
        <f>+'5.เปรียบเทียบลูกหนี้การค้า  ใหม'!B7</f>
        <v>3327.7</v>
      </c>
      <c r="C8" s="1325">
        <f>+'agingปัจจุบันส่ง(ส่งบัญชี)'!K417</f>
        <v>384.01657999999998</v>
      </c>
      <c r="D8" s="1387">
        <f>+'agingปัจจุบันส่ง(ส่งบัญชี)'!L417</f>
        <v>0</v>
      </c>
      <c r="E8" s="1324">
        <f t="shared" si="0"/>
        <v>384.01657999999998</v>
      </c>
      <c r="F8" s="63">
        <f t="shared" si="1"/>
        <v>384.01657999999998</v>
      </c>
      <c r="G8" s="63">
        <f t="shared" si="2"/>
        <v>0</v>
      </c>
    </row>
    <row r="9" spans="1:11" ht="20.25" customHeight="1">
      <c r="A9" s="1321" t="s">
        <v>2294</v>
      </c>
      <c r="B9" s="1306">
        <f>+'5.เปรียบเทียบลูกหนี้การค้า  ใหม'!B8</f>
        <v>15361561.741999997</v>
      </c>
      <c r="C9" s="1388">
        <f>+'agingปัจจุบันส่ง(ส่งบัญชี)'!K1588</f>
        <v>19207.984030800009</v>
      </c>
      <c r="D9" s="1326">
        <f>+'agingปัจจุบันส่ง(ส่งบัญชี)'!L1588</f>
        <v>15195114.739999996</v>
      </c>
      <c r="E9" s="1324">
        <f>+D9+C9</f>
        <v>15214322.724030796</v>
      </c>
      <c r="F9" s="63">
        <f t="shared" si="1"/>
        <v>19207.984030800035</v>
      </c>
      <c r="G9" s="63">
        <f t="shared" si="2"/>
        <v>0</v>
      </c>
    </row>
    <row r="10" spans="1:11" ht="20.25" customHeight="1">
      <c r="A10" s="1321" t="s">
        <v>2296</v>
      </c>
      <c r="B10" s="1306">
        <f>+'5.เปรียบเทียบลูกหนี้การค้า  ใหม'!B9</f>
        <v>0</v>
      </c>
      <c r="C10" s="1325">
        <f>+'agingปัจจุบันส่ง(ส่งบัญชี)'!K1598</f>
        <v>0</v>
      </c>
      <c r="D10" s="1326">
        <f>+'agingปัจจุบันส่ง(ส่งบัญชี)'!L1598</f>
        <v>0</v>
      </c>
      <c r="E10" s="1324">
        <f t="shared" si="0"/>
        <v>0</v>
      </c>
      <c r="F10" s="63">
        <f t="shared" si="1"/>
        <v>0</v>
      </c>
      <c r="G10" s="63">
        <f t="shared" si="2"/>
        <v>0</v>
      </c>
    </row>
    <row r="11" spans="1:11" ht="20.25" customHeight="1">
      <c r="A11" s="1321" t="s">
        <v>2295</v>
      </c>
      <c r="B11" s="1306">
        <f>+'5.เปรียบเทียบลูกหนี้การค้า  ใหม'!B10</f>
        <v>541726.78</v>
      </c>
      <c r="C11" s="1325">
        <f>+'agingปัจจุบันส่ง(ส่งบัญชี)'!K1648</f>
        <v>13834.068911999999</v>
      </c>
      <c r="D11" s="1326">
        <f>+'agingปัจจุบันส่ง(ส่งบัญชี)'!L1648</f>
        <v>421847.5</v>
      </c>
      <c r="E11" s="1324">
        <f t="shared" si="0"/>
        <v>435681.56891199999</v>
      </c>
      <c r="F11" s="63">
        <f t="shared" si="1"/>
        <v>13834.068912000002</v>
      </c>
      <c r="G11" s="63">
        <f t="shared" si="2"/>
        <v>0</v>
      </c>
      <c r="K11" s="63">
        <v>60641835.609999999</v>
      </c>
    </row>
    <row r="12" spans="1:11" ht="19.95" customHeight="1">
      <c r="A12" s="1321" t="s">
        <v>2297</v>
      </c>
      <c r="B12" s="1306">
        <f>+'5.เปรียบเทียบลูกหนี้การค้า  ใหม'!B11</f>
        <v>0</v>
      </c>
      <c r="C12" s="1325">
        <f>+'agingปัจจุบันส่ง(ส่งบัญชี)'!K1658</f>
        <v>0</v>
      </c>
      <c r="D12" s="1326">
        <f>+'agingปัจจุบันส่ง(ส่งบัญชี)'!L1658</f>
        <v>0</v>
      </c>
      <c r="E12" s="1324">
        <f t="shared" si="0"/>
        <v>0</v>
      </c>
      <c r="F12" s="63">
        <f t="shared" si="1"/>
        <v>0</v>
      </c>
      <c r="G12" s="63">
        <f t="shared" si="2"/>
        <v>0</v>
      </c>
      <c r="K12" s="63">
        <v>56713050.32</v>
      </c>
    </row>
    <row r="13" spans="1:11" ht="20.25" customHeight="1">
      <c r="A13" s="1321" t="s">
        <v>2298</v>
      </c>
      <c r="B13" s="1306">
        <f>+'5.เปรียบเทียบลูกหนี้การค้า  ใหม'!B12</f>
        <v>5530855.9100000001</v>
      </c>
      <c r="C13" s="1325">
        <f>+'agingปัจจุบันส่ง(ส่งบัญชี)'!K1675</f>
        <v>0</v>
      </c>
      <c r="D13" s="1326">
        <f>+'agingปัจจุบันส่ง(ส่งบัญชี)'!L1675</f>
        <v>5530855.9100000001</v>
      </c>
      <c r="E13" s="1324">
        <f t="shared" si="0"/>
        <v>5530855.9100000001</v>
      </c>
      <c r="F13" s="63">
        <f t="shared" si="1"/>
        <v>0</v>
      </c>
      <c r="G13" s="63">
        <f t="shared" si="2"/>
        <v>0</v>
      </c>
    </row>
    <row r="14" spans="1:11" ht="20.25" customHeight="1">
      <c r="A14" s="1321" t="s">
        <v>585</v>
      </c>
      <c r="B14" s="1306">
        <f>+'5.เปรียบเทียบลูกหนี้การค้า  ใหม'!B13</f>
        <v>13895.52</v>
      </c>
      <c r="C14" s="1325">
        <f>+'agingปัจจุบันส่ง(ส่งบัญชี)'!K1707</f>
        <v>402.40210799999994</v>
      </c>
      <c r="D14" s="1326">
        <f>+'agingปัจจุบันส่ง(ส่งบัญชี)'!L1707</f>
        <v>10408.5</v>
      </c>
      <c r="E14" s="1324">
        <f t="shared" si="0"/>
        <v>10810.902108</v>
      </c>
      <c r="F14" s="63">
        <f t="shared" si="1"/>
        <v>402.402108</v>
      </c>
      <c r="G14" s="63">
        <f t="shared" si="2"/>
        <v>0</v>
      </c>
      <c r="K14" s="63">
        <f>SUM(K11-K12)</f>
        <v>3928785.2899999991</v>
      </c>
    </row>
    <row r="15" spans="1:11" ht="21" customHeight="1">
      <c r="A15" s="1321" t="s">
        <v>586</v>
      </c>
      <c r="B15" s="1306">
        <f>+'5.เปรียบเทียบลูกหนี้การค้า  ใหม'!B14</f>
        <v>0</v>
      </c>
      <c r="C15" s="1325">
        <f>+'agingปัจจุบันส่ง(ส่งบัญชี)'!K1712</f>
        <v>0</v>
      </c>
      <c r="D15" s="1326">
        <f>+'agingปัจจุบันส่ง(ส่งบัญชี)'!L1712</f>
        <v>0</v>
      </c>
      <c r="E15" s="1324">
        <f t="shared" si="0"/>
        <v>0</v>
      </c>
      <c r="F15" s="63">
        <f t="shared" si="1"/>
        <v>0</v>
      </c>
      <c r="G15" s="63">
        <f t="shared" si="2"/>
        <v>0</v>
      </c>
    </row>
    <row r="16" spans="1:11" ht="20.25" customHeight="1">
      <c r="A16" s="1321" t="s">
        <v>587</v>
      </c>
      <c r="B16" s="1306">
        <f>+'5.เปรียบเทียบลูกหนี้การค้า  ใหม'!B15</f>
        <v>659103.3400000002</v>
      </c>
      <c r="C16" s="1325">
        <f>+'agingปัจจุบันส่ง(ส่งบัญชี)'!K1861</f>
        <v>16110.899372</v>
      </c>
      <c r="D16" s="1326">
        <f>+'agingปัจจุบันส่ง(ส่งบัญชี)'!L1861</f>
        <v>519494.16</v>
      </c>
      <c r="E16" s="1324">
        <f t="shared" si="0"/>
        <v>535605.05937199993</v>
      </c>
      <c r="F16" s="63">
        <f t="shared" si="1"/>
        <v>16110.899372000024</v>
      </c>
      <c r="G16" s="63">
        <f t="shared" si="2"/>
        <v>-2.3646862246096134E-11</v>
      </c>
    </row>
    <row r="17" spans="1:11" ht="18.75" customHeight="1">
      <c r="A17" s="1321" t="s">
        <v>2299</v>
      </c>
      <c r="B17" s="1306">
        <f>+'5.เปรียบเทียบลูกหนี้การค้า  ใหม'!B16</f>
        <v>9071978.6927102804</v>
      </c>
      <c r="C17" s="1325">
        <f>+'agingปัจจุบันส่ง(ส่งบัญชี)'!K1944</f>
        <v>3190.5472007663548</v>
      </c>
      <c r="D17" s="1326">
        <f>+'agingปัจจุบันส่ง(ส่งบัญชี)'!L1944</f>
        <v>9044330.9700000007</v>
      </c>
      <c r="E17" s="1324">
        <f t="shared" si="0"/>
        <v>9047521.5172007661</v>
      </c>
      <c r="F17" s="63">
        <f t="shared" si="1"/>
        <v>3190.5472007662825</v>
      </c>
      <c r="G17" s="63">
        <f t="shared" si="2"/>
        <v>7.2304828790947795E-11</v>
      </c>
    </row>
    <row r="18" spans="1:11" ht="20.25" customHeight="1">
      <c r="A18" s="1321" t="s">
        <v>588</v>
      </c>
      <c r="B18" s="1306">
        <f>+'5.เปรียบเทียบลูกหนี้การค้า  ใหม'!B17</f>
        <v>2195801.7486999994</v>
      </c>
      <c r="C18" s="1325">
        <f>+'agingปัจจุบันส่ง(ส่งบัญชี)'!K2851</f>
        <v>62053.260591980274</v>
      </c>
      <c r="D18" s="1326">
        <f>+'agingปัจจุบันส่ง(ส่งบัญชี)'!L2851</f>
        <v>1658078.5199999993</v>
      </c>
      <c r="E18" s="1324">
        <f t="shared" si="0"/>
        <v>1720131.7805919796</v>
      </c>
      <c r="F18" s="63">
        <f t="shared" si="1"/>
        <v>62053.260591980004</v>
      </c>
      <c r="G18" s="63">
        <f t="shared" si="2"/>
        <v>2.6921043172478676E-10</v>
      </c>
    </row>
    <row r="19" spans="1:11" ht="20.25" customHeight="1">
      <c r="A19" s="1321" t="s">
        <v>591</v>
      </c>
      <c r="B19" s="1306">
        <f>+'5.เปรียบเทียบลูกหนี้การค้า  ใหม'!B18</f>
        <v>683300</v>
      </c>
      <c r="C19" s="1388">
        <f>+'agingปัจจุบันส่ง(ส่งบัญชี)'!K2894</f>
        <v>0</v>
      </c>
      <c r="D19" s="1326">
        <f>+'agingปัจจุบันส่ง(ส่งบัญชี)'!L2894</f>
        <v>683300</v>
      </c>
      <c r="E19" s="1324">
        <f t="shared" si="0"/>
        <v>683300</v>
      </c>
      <c r="F19" s="63">
        <f t="shared" si="1"/>
        <v>0</v>
      </c>
      <c r="G19" s="63">
        <f t="shared" si="2"/>
        <v>0</v>
      </c>
    </row>
    <row r="20" spans="1:11" ht="20.25" customHeight="1">
      <c r="A20" s="1321" t="s">
        <v>589</v>
      </c>
      <c r="B20" s="1306">
        <f>+'5.เปรียบเทียบลูกหนี้การค้า  ใหม'!B19</f>
        <v>1734600.9476000003</v>
      </c>
      <c r="C20" s="1325">
        <f>+'agingปัจจุบันส่ง(ส่งบัญชี)'!K3008</f>
        <v>39235.616595040003</v>
      </c>
      <c r="D20" s="1326">
        <f>+'agingปัจจุบันส่ง(ส่งบัญชี)'!L3008</f>
        <v>1394604.2699999998</v>
      </c>
      <c r="E20" s="1324">
        <f t="shared" si="0"/>
        <v>1433839.8865950399</v>
      </c>
      <c r="F20" s="63">
        <f t="shared" si="1"/>
        <v>39235.616595040054</v>
      </c>
      <c r="G20" s="63">
        <f t="shared" si="2"/>
        <v>0</v>
      </c>
    </row>
    <row r="21" spans="1:11" ht="20.25" customHeight="1">
      <c r="A21" s="1389" t="s">
        <v>590</v>
      </c>
      <c r="B21" s="1306">
        <f>+'5.เปรียบเทียบลูกหนี้การค้า  ใหม'!B20</f>
        <v>878713.25999999989</v>
      </c>
      <c r="C21" s="1390">
        <f>+'agingปัจจุบันส่ง(ส่งบัญชี)'!K3064</f>
        <v>8149.5479999999989</v>
      </c>
      <c r="D21" s="1326">
        <f>+'agingปัจจุบันส่ง(ส่งบัญชี)'!L3064</f>
        <v>808093.25999999989</v>
      </c>
      <c r="E21" s="1391">
        <f t="shared" si="0"/>
        <v>816242.80799999984</v>
      </c>
      <c r="F21" s="63">
        <f t="shared" si="1"/>
        <v>8149.5479999999989</v>
      </c>
      <c r="G21" s="63">
        <f t="shared" si="2"/>
        <v>0</v>
      </c>
    </row>
    <row r="22" spans="1:11" ht="20.25" customHeight="1">
      <c r="A22" s="67" t="s">
        <v>131</v>
      </c>
      <c r="B22" s="76">
        <f>SUM(B5:B21)</f>
        <v>66770177.248010278</v>
      </c>
      <c r="C22" s="68">
        <f>SUM(C5:C21)</f>
        <v>593795.90777238656</v>
      </c>
      <c r="D22" s="75">
        <f>SUM(D5:D21)</f>
        <v>61624632.11999999</v>
      </c>
      <c r="E22" s="75">
        <f>SUM(E5:E21)</f>
        <v>62218428.027772374</v>
      </c>
      <c r="F22" s="63"/>
      <c r="G22" s="63">
        <f t="shared" si="2"/>
        <v>593795.90777238656</v>
      </c>
    </row>
    <row r="23" spans="1:11" ht="32.25" hidden="1" customHeight="1">
      <c r="A23" s="69" t="s">
        <v>2046</v>
      </c>
      <c r="B23" s="77"/>
      <c r="C23" s="70"/>
      <c r="D23" s="78"/>
      <c r="E23" s="77"/>
    </row>
    <row r="24" spans="1:11" ht="20.25" hidden="1" customHeight="1">
      <c r="A24" s="64" t="s">
        <v>1204</v>
      </c>
      <c r="B24" s="79"/>
      <c r="C24" s="80"/>
      <c r="D24" s="78"/>
      <c r="E24" s="72"/>
    </row>
    <row r="25" spans="1:11" ht="20.25" hidden="1" customHeight="1">
      <c r="A25" s="64" t="s">
        <v>1205</v>
      </c>
      <c r="B25" s="70"/>
      <c r="C25" s="81"/>
      <c r="D25" s="78"/>
      <c r="E25" s="77"/>
    </row>
    <row r="26" spans="1:11" ht="20.25" hidden="1" customHeight="1">
      <c r="A26" s="64" t="s">
        <v>1206</v>
      </c>
      <c r="B26" s="70"/>
      <c r="C26" s="81"/>
      <c r="D26" s="78"/>
      <c r="E26" s="77"/>
    </row>
    <row r="27" spans="1:11" ht="20.25" customHeight="1">
      <c r="B27" s="70"/>
      <c r="C27" s="81"/>
      <c r="D27" s="78"/>
      <c r="E27" s="77"/>
    </row>
    <row r="28" spans="1:11" ht="20.25" customHeight="1">
      <c r="A28" s="40"/>
      <c r="B28" s="83" t="s">
        <v>3411</v>
      </c>
      <c r="C28" s="82"/>
      <c r="D28" s="41">
        <f>E22</f>
        <v>62218428.027772374</v>
      </c>
      <c r="E28" s="82"/>
    </row>
    <row r="29" spans="1:11" ht="20.25" customHeight="1">
      <c r="A29" s="40"/>
      <c r="B29" s="82" t="s">
        <v>3326</v>
      </c>
      <c r="C29" s="82"/>
      <c r="D29" s="84">
        <v>62582276.614636272</v>
      </c>
      <c r="E29" s="82"/>
      <c r="G29" s="63"/>
    </row>
    <row r="30" spans="1:11" ht="20.25" customHeight="1">
      <c r="A30" s="40"/>
      <c r="B30" s="74"/>
      <c r="C30" s="82" t="s">
        <v>2585</v>
      </c>
      <c r="D30" s="41">
        <f>D28-D29</f>
        <v>-363848.58686389774</v>
      </c>
      <c r="E30" s="82"/>
      <c r="K30" s="63">
        <f>62083792.14-61815214.91</f>
        <v>268577.23000000417</v>
      </c>
    </row>
    <row r="31" spans="1:11" ht="20.25" customHeight="1">
      <c r="G31" s="63">
        <f>61591852.89-61402730.75</f>
        <v>189122.1400000006</v>
      </c>
    </row>
  </sheetData>
  <mergeCells count="5">
    <mergeCell ref="A1:E1"/>
    <mergeCell ref="A2:E2"/>
    <mergeCell ref="A3:A4"/>
    <mergeCell ref="B3:B4"/>
    <mergeCell ref="C3:E3"/>
  </mergeCells>
  <printOptions horizontalCentered="1"/>
  <pageMargins left="0" right="0" top="0.74803149606299202" bottom="0.74803149606299202" header="0.31496062992126" footer="0.31496062992126"/>
  <pageSetup paperSize="9" scale="70" orientation="portrait" r:id="rId1"/>
  <headerFoot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187F-27A5-473D-B044-2C28F44A407A}">
  <sheetPr>
    <tabColor rgb="FFFFC000"/>
  </sheetPr>
  <dimension ref="A1:AF60"/>
  <sheetViews>
    <sheetView topLeftCell="J2" zoomScale="110" zoomScaleNormal="110" workbookViewId="0">
      <selection activeCell="M30" sqref="M30"/>
    </sheetView>
  </sheetViews>
  <sheetFormatPr defaultColWidth="9.44140625" defaultRowHeight="15.6"/>
  <cols>
    <col min="1" max="1" width="27.6640625" style="86" customWidth="1"/>
    <col min="2" max="2" width="7.77734375" style="87" customWidth="1"/>
    <col min="3" max="3" width="7.5546875" style="87" customWidth="1"/>
    <col min="4" max="5" width="9.44140625" style="87" customWidth="1"/>
    <col min="6" max="6" width="8.33203125" style="87" customWidth="1"/>
    <col min="7" max="7" width="8.5546875" style="87" customWidth="1"/>
    <col min="8" max="8" width="9.44140625" style="87" customWidth="1"/>
    <col min="9" max="9" width="7.77734375" style="87" customWidth="1"/>
    <col min="10" max="10" width="7.44140625" style="87" customWidth="1"/>
    <col min="11" max="11" width="9.88671875" style="87" customWidth="1"/>
    <col min="12" max="15" width="9.44140625" style="87" customWidth="1"/>
    <col min="16" max="16" width="10.33203125" style="87" customWidth="1"/>
    <col min="17" max="17" width="8.77734375" style="87" customWidth="1"/>
    <col min="18" max="18" width="8.6640625" style="87" customWidth="1"/>
    <col min="19" max="20" width="9.44140625" style="87" customWidth="1"/>
    <col min="21" max="21" width="9.109375" style="87" customWidth="1"/>
    <col min="22" max="22" width="4.6640625" style="87" customWidth="1"/>
    <col min="23" max="23" width="9.44140625" style="87" customWidth="1"/>
    <col min="24" max="24" width="8.44140625" style="87" customWidth="1"/>
    <col min="25" max="26" width="10.44140625" style="87" customWidth="1"/>
    <col min="27" max="27" width="10.88671875" style="88" customWidth="1"/>
    <col min="28" max="28" width="9.44140625" style="85" customWidth="1"/>
    <col min="29" max="16384" width="9.44140625" style="86"/>
  </cols>
  <sheetData>
    <row r="1" spans="1:32" ht="20.399999999999999" hidden="1" customHeight="1">
      <c r="A1" s="1554" t="s">
        <v>2672</v>
      </c>
      <c r="B1" s="1554"/>
      <c r="C1" s="1554"/>
      <c r="D1" s="1554"/>
      <c r="E1" s="1554"/>
      <c r="F1" s="1554"/>
      <c r="G1" s="1554"/>
      <c r="H1" s="1554"/>
      <c r="I1" s="1554"/>
      <c r="J1" s="1554"/>
      <c r="K1" s="1554"/>
      <c r="L1" s="1554"/>
      <c r="M1" s="1554"/>
      <c r="N1" s="1554"/>
      <c r="O1" s="1554"/>
      <c r="P1" s="1554"/>
      <c r="Q1" s="1554"/>
      <c r="R1" s="1554"/>
      <c r="S1" s="1554"/>
      <c r="T1" s="1554"/>
      <c r="U1" s="1554"/>
      <c r="V1" s="1554"/>
      <c r="W1" s="1554"/>
      <c r="X1" s="1554"/>
      <c r="Y1" s="1554"/>
      <c r="Z1" s="1554"/>
      <c r="AA1" s="1554"/>
    </row>
    <row r="2" spans="1:32">
      <c r="Y2" s="1569" t="s">
        <v>1153</v>
      </c>
      <c r="Z2" s="1569"/>
    </row>
    <row r="3" spans="1:32">
      <c r="A3" s="1557" t="s">
        <v>78</v>
      </c>
      <c r="B3" s="1555" t="s">
        <v>908</v>
      </c>
      <c r="C3" s="1556"/>
      <c r="D3" s="1556"/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89"/>
      <c r="AA3" s="90" t="s">
        <v>921</v>
      </c>
      <c r="AB3" s="91" t="s">
        <v>1761</v>
      </c>
    </row>
    <row r="4" spans="1:32" ht="20.399999999999999" customHeight="1">
      <c r="A4" s="1558"/>
      <c r="B4" s="1560" t="s">
        <v>928</v>
      </c>
      <c r="C4" s="92" t="s">
        <v>929</v>
      </c>
      <c r="D4" s="92" t="s">
        <v>929</v>
      </c>
      <c r="E4" s="92" t="s">
        <v>929</v>
      </c>
      <c r="F4" s="92" t="s">
        <v>929</v>
      </c>
      <c r="G4" s="92" t="s">
        <v>929</v>
      </c>
      <c r="H4" s="92" t="s">
        <v>929</v>
      </c>
      <c r="I4" s="92" t="s">
        <v>929</v>
      </c>
      <c r="J4" s="92" t="s">
        <v>909</v>
      </c>
      <c r="K4" s="92" t="s">
        <v>310</v>
      </c>
      <c r="L4" s="92" t="s">
        <v>49</v>
      </c>
      <c r="M4" s="92" t="s">
        <v>73</v>
      </c>
      <c r="N4" s="92" t="s">
        <v>911</v>
      </c>
      <c r="O4" s="92" t="s">
        <v>911</v>
      </c>
      <c r="P4" s="92" t="s">
        <v>914</v>
      </c>
      <c r="Q4" s="93" t="s">
        <v>924</v>
      </c>
      <c r="R4" s="1566" t="s">
        <v>2096</v>
      </c>
      <c r="S4" s="1563" t="s">
        <v>166</v>
      </c>
      <c r="T4" s="1564"/>
      <c r="U4" s="1564"/>
      <c r="V4" s="1565"/>
      <c r="W4" s="94" t="s">
        <v>1002</v>
      </c>
      <c r="X4" s="94" t="s">
        <v>1003</v>
      </c>
      <c r="Y4" s="92" t="s">
        <v>920</v>
      </c>
      <c r="Z4" s="1551" t="s">
        <v>131</v>
      </c>
      <c r="AA4" s="95" t="s">
        <v>3412</v>
      </c>
      <c r="AB4" s="96"/>
      <c r="AD4" s="86" t="s">
        <v>964</v>
      </c>
      <c r="AE4" s="86">
        <v>7</v>
      </c>
      <c r="AF4" s="86">
        <v>12500</v>
      </c>
    </row>
    <row r="5" spans="1:32" s="100" customFormat="1">
      <c r="A5" s="1558"/>
      <c r="B5" s="1561"/>
      <c r="C5" s="97" t="s">
        <v>52</v>
      </c>
      <c r="D5" s="97" t="s">
        <v>53</v>
      </c>
      <c r="E5" s="97" t="s">
        <v>54</v>
      </c>
      <c r="F5" s="97" t="s">
        <v>55</v>
      </c>
      <c r="G5" s="97" t="s">
        <v>56</v>
      </c>
      <c r="H5" s="97" t="s">
        <v>44</v>
      </c>
      <c r="I5" s="97" t="s">
        <v>57</v>
      </c>
      <c r="J5" s="97" t="s">
        <v>917</v>
      </c>
      <c r="K5" s="97" t="s">
        <v>910</v>
      </c>
      <c r="L5" s="97" t="s">
        <v>191</v>
      </c>
      <c r="M5" s="97"/>
      <c r="N5" s="97" t="s">
        <v>912</v>
      </c>
      <c r="O5" s="97" t="s">
        <v>913</v>
      </c>
      <c r="P5" s="97" t="s">
        <v>915</v>
      </c>
      <c r="Q5" s="97" t="s">
        <v>925</v>
      </c>
      <c r="R5" s="1567"/>
      <c r="S5" s="92" t="s">
        <v>219</v>
      </c>
      <c r="T5" s="98" t="s">
        <v>919</v>
      </c>
      <c r="U5" s="92" t="s">
        <v>926</v>
      </c>
      <c r="V5" s="92" t="s">
        <v>57</v>
      </c>
      <c r="W5" s="97"/>
      <c r="X5" s="97"/>
      <c r="Y5" s="97" t="s">
        <v>815</v>
      </c>
      <c r="Z5" s="1552"/>
      <c r="AA5" s="99" t="s">
        <v>922</v>
      </c>
      <c r="AB5" s="96"/>
      <c r="AD5" s="100" t="s">
        <v>964</v>
      </c>
      <c r="AE5" s="100">
        <v>7</v>
      </c>
      <c r="AF5" s="100">
        <v>23000</v>
      </c>
    </row>
    <row r="6" spans="1:32">
      <c r="A6" s="1559"/>
      <c r="B6" s="1562"/>
      <c r="C6" s="101"/>
      <c r="D6" s="101"/>
      <c r="E6" s="101"/>
      <c r="F6" s="101"/>
      <c r="G6" s="101"/>
      <c r="H6" s="101"/>
      <c r="I6" s="101"/>
      <c r="J6" s="101" t="s">
        <v>918</v>
      </c>
      <c r="K6" s="101"/>
      <c r="L6" s="101"/>
      <c r="M6" s="101"/>
      <c r="N6" s="101"/>
      <c r="O6" s="101"/>
      <c r="P6" s="101" t="s">
        <v>916</v>
      </c>
      <c r="Q6" s="101" t="s">
        <v>156</v>
      </c>
      <c r="R6" s="1568"/>
      <c r="S6" s="102"/>
      <c r="T6" s="103"/>
      <c r="U6" s="101" t="s">
        <v>927</v>
      </c>
      <c r="V6" s="101"/>
      <c r="W6" s="101"/>
      <c r="X6" s="101"/>
      <c r="Y6" s="101"/>
      <c r="Z6" s="1553"/>
      <c r="AA6" s="104"/>
      <c r="AB6" s="105"/>
      <c r="AD6" s="86" t="s">
        <v>937</v>
      </c>
      <c r="AE6" s="86">
        <v>7</v>
      </c>
      <c r="AF6" s="86">
        <v>22500</v>
      </c>
    </row>
    <row r="7" spans="1:32" s="88" customFormat="1">
      <c r="A7" s="1289" t="s">
        <v>576</v>
      </c>
      <c r="B7" s="1290"/>
      <c r="C7" s="1290"/>
      <c r="D7" s="1290"/>
      <c r="E7" s="1291"/>
      <c r="F7" s="1290"/>
      <c r="G7" s="1290"/>
      <c r="H7" s="1290"/>
      <c r="I7" s="1290"/>
      <c r="J7" s="1290"/>
      <c r="K7" s="1290">
        <v>586483</v>
      </c>
      <c r="L7" s="1290">
        <v>50500</v>
      </c>
      <c r="M7" s="1290"/>
      <c r="N7" s="1290">
        <v>15580.199999999999</v>
      </c>
      <c r="O7" s="1290">
        <v>31915.960000000003</v>
      </c>
      <c r="P7" s="1290">
        <v>30191</v>
      </c>
      <c r="Q7" s="1290"/>
      <c r="R7" s="1290"/>
      <c r="S7" s="1290"/>
      <c r="T7" s="1290"/>
      <c r="U7" s="1290"/>
      <c r="V7" s="1290"/>
      <c r="W7" s="1290">
        <v>2000</v>
      </c>
      <c r="X7" s="1290"/>
      <c r="Y7" s="1290">
        <v>9558.39</v>
      </c>
      <c r="Z7" s="282">
        <f>SUM(B7:Y7)</f>
        <v>726228.54999999993</v>
      </c>
      <c r="AA7" s="1292">
        <v>1114630.57</v>
      </c>
      <c r="AB7" s="1293"/>
    </row>
    <row r="8" spans="1:32" s="1330" customFormat="1">
      <c r="A8" s="1327" t="s">
        <v>577</v>
      </c>
      <c r="B8" s="1328"/>
      <c r="C8" s="1328"/>
      <c r="D8" s="1328">
        <v>33308</v>
      </c>
      <c r="E8" s="1328">
        <v>2140</v>
      </c>
      <c r="F8" s="1328"/>
      <c r="G8" s="1328"/>
      <c r="H8" s="1328">
        <v>149465</v>
      </c>
      <c r="I8" s="1328"/>
      <c r="J8" s="1328"/>
      <c r="K8" s="1328">
        <v>202456.81</v>
      </c>
      <c r="L8" s="1328"/>
      <c r="M8" s="1392">
        <v>10914</v>
      </c>
      <c r="N8" s="1328">
        <v>15021.23</v>
      </c>
      <c r="O8" s="1328">
        <v>66384.22</v>
      </c>
      <c r="P8" s="1328">
        <v>3840</v>
      </c>
      <c r="Q8" s="1328"/>
      <c r="R8" s="1328"/>
      <c r="S8" s="1328">
        <v>16513.32</v>
      </c>
      <c r="T8" s="1328"/>
      <c r="U8" s="1328"/>
      <c r="V8" s="1328"/>
      <c r="W8" s="1328"/>
      <c r="X8" s="1328"/>
      <c r="Y8" s="1328"/>
      <c r="Z8" s="282">
        <f>SUM(B8:Y8)</f>
        <v>500042.58</v>
      </c>
      <c r="AA8" s="1329">
        <v>528948.17000000004</v>
      </c>
      <c r="AB8" s="1329"/>
    </row>
    <row r="9" spans="1:32" s="1330" customFormat="1" ht="22.5" customHeight="1" thickBot="1">
      <c r="A9" s="1327" t="s">
        <v>578</v>
      </c>
      <c r="B9" s="1328"/>
      <c r="C9" s="1328"/>
      <c r="D9" s="1393">
        <v>1819</v>
      </c>
      <c r="E9" s="1328"/>
      <c r="F9" s="1328"/>
      <c r="G9" s="1328"/>
      <c r="H9" s="1328"/>
      <c r="I9" s="1328"/>
      <c r="J9" s="1328"/>
      <c r="K9" s="1328"/>
      <c r="L9" s="1328">
        <v>27808.18</v>
      </c>
      <c r="M9" s="1331"/>
      <c r="N9" s="1328">
        <v>4622.3999999999996</v>
      </c>
      <c r="O9" s="1328">
        <v>11198.62</v>
      </c>
      <c r="P9" s="1328"/>
      <c r="Q9" s="1328"/>
      <c r="R9" s="1328"/>
      <c r="S9" s="1328"/>
      <c r="T9" s="1328"/>
      <c r="U9" s="1328"/>
      <c r="V9" s="1328"/>
      <c r="W9" s="1328"/>
      <c r="X9" s="1328"/>
      <c r="Y9" s="1328"/>
      <c r="Z9" s="282">
        <f t="shared" ref="Z9:Z22" si="0">SUM(B9:Y9)</f>
        <v>45448.200000000004</v>
      </c>
      <c r="AA9" s="1329">
        <v>48044.02</v>
      </c>
      <c r="AB9" s="1329"/>
    </row>
    <row r="10" spans="1:32" s="1330" customFormat="1" ht="16.2" thickTop="1">
      <c r="A10" s="1327" t="s">
        <v>2694</v>
      </c>
      <c r="B10" s="1328"/>
      <c r="C10" s="1328">
        <v>3137.24</v>
      </c>
      <c r="D10" s="1328">
        <v>1110</v>
      </c>
      <c r="E10" s="1328"/>
      <c r="F10" s="1328"/>
      <c r="G10" s="1328"/>
      <c r="H10" s="1328">
        <v>3852</v>
      </c>
      <c r="I10" s="1328"/>
      <c r="J10" s="1328"/>
      <c r="K10" s="1328">
        <v>108020.6</v>
      </c>
      <c r="L10" s="1328">
        <v>16165</v>
      </c>
      <c r="M10" s="1328"/>
      <c r="N10" s="1328"/>
      <c r="O10" s="1328">
        <v>26247.100000000002</v>
      </c>
      <c r="P10" s="1328"/>
      <c r="Q10" s="1328"/>
      <c r="R10" s="1328"/>
      <c r="S10" s="1328">
        <v>9630</v>
      </c>
      <c r="T10" s="1328"/>
      <c r="U10" s="1328"/>
      <c r="V10" s="1328"/>
      <c r="W10" s="1328"/>
      <c r="X10" s="1328"/>
      <c r="Y10" s="1328"/>
      <c r="Z10" s="282">
        <f t="shared" si="0"/>
        <v>168161.94000000003</v>
      </c>
      <c r="AA10" s="1329">
        <v>182573.06</v>
      </c>
      <c r="AB10" s="1329"/>
    </row>
    <row r="11" spans="1:32" s="1330" customFormat="1">
      <c r="A11" s="1327" t="s">
        <v>580</v>
      </c>
      <c r="B11" s="1328"/>
      <c r="C11" s="1328"/>
      <c r="D11" s="1328"/>
      <c r="E11" s="1328">
        <v>39006.85</v>
      </c>
      <c r="F11" s="1328"/>
      <c r="G11" s="1328"/>
      <c r="H11" s="1328">
        <v>60000</v>
      </c>
      <c r="I11" s="1328"/>
      <c r="J11" s="1328"/>
      <c r="K11" s="1328">
        <v>440300</v>
      </c>
      <c r="L11" s="1328"/>
      <c r="M11" s="1328"/>
      <c r="N11" s="1328">
        <v>44041.200000000026</v>
      </c>
      <c r="O11" s="1328">
        <v>26685.8</v>
      </c>
      <c r="P11" s="1328"/>
      <c r="Q11" s="1328"/>
      <c r="R11" s="1328">
        <v>51949.4</v>
      </c>
      <c r="S11" s="1328"/>
      <c r="T11" s="1328"/>
      <c r="U11" s="1328">
        <v>8153.3999999999851</v>
      </c>
      <c r="V11" s="1328"/>
      <c r="W11" s="1328">
        <v>12959</v>
      </c>
      <c r="X11" s="1328"/>
      <c r="Y11" s="1328"/>
      <c r="Z11" s="282">
        <f t="shared" si="0"/>
        <v>683095.65000000014</v>
      </c>
      <c r="AA11" s="1329">
        <v>701382.7</v>
      </c>
      <c r="AB11" s="1329"/>
    </row>
    <row r="12" spans="1:32" s="1330" customFormat="1">
      <c r="A12" s="1327" t="s">
        <v>581</v>
      </c>
      <c r="B12" s="1328"/>
      <c r="C12" s="1328"/>
      <c r="D12" s="1328"/>
      <c r="E12" s="1328"/>
      <c r="F12" s="1328"/>
      <c r="G12" s="1328"/>
      <c r="H12" s="1394">
        <v>81700</v>
      </c>
      <c r="I12" s="1328">
        <v>3210</v>
      </c>
      <c r="J12" s="1328"/>
      <c r="K12" s="1328"/>
      <c r="L12" s="1328"/>
      <c r="M12" s="1328"/>
      <c r="N12" s="1328">
        <v>2000</v>
      </c>
      <c r="O12" s="1328">
        <v>17612.2</v>
      </c>
      <c r="P12" s="1328"/>
      <c r="Q12" s="1328"/>
      <c r="R12" s="1328"/>
      <c r="S12" s="1328"/>
      <c r="T12" s="1328"/>
      <c r="U12" s="1328"/>
      <c r="V12" s="1328"/>
      <c r="W12" s="1328"/>
      <c r="X12" s="1328"/>
      <c r="Y12" s="1328"/>
      <c r="Z12" s="282">
        <f>SUM(B12:Y12)</f>
        <v>104522.2</v>
      </c>
      <c r="AA12" s="1329">
        <v>88732</v>
      </c>
      <c r="AB12" s="1329"/>
    </row>
    <row r="13" spans="1:32" s="88" customFormat="1">
      <c r="A13" s="1327" t="s">
        <v>582</v>
      </c>
      <c r="B13" s="1328"/>
      <c r="C13" s="1328">
        <v>62374.080000000002</v>
      </c>
      <c r="D13" s="1328">
        <v>4301.3999999999996</v>
      </c>
      <c r="E13" s="1328"/>
      <c r="F13" s="1328">
        <v>1177</v>
      </c>
      <c r="G13" s="1328"/>
      <c r="H13" s="1331">
        <v>24503.000000000004</v>
      </c>
      <c r="I13" s="1328"/>
      <c r="J13" s="1328"/>
      <c r="K13" s="1328"/>
      <c r="L13" s="1328"/>
      <c r="M13" s="1328"/>
      <c r="N13" s="1328">
        <v>42372</v>
      </c>
      <c r="O13" s="1328">
        <v>20197.320000000003</v>
      </c>
      <c r="P13" s="1328"/>
      <c r="Q13" s="1328"/>
      <c r="R13" s="1328"/>
      <c r="S13" s="1328"/>
      <c r="T13" s="1328"/>
      <c r="U13" s="1328"/>
      <c r="V13" s="1328"/>
      <c r="W13" s="1328"/>
      <c r="X13" s="1328"/>
      <c r="Y13" s="1328"/>
      <c r="Z13" s="282">
        <f t="shared" si="0"/>
        <v>154924.79999999999</v>
      </c>
      <c r="AA13" s="1293">
        <v>182501.06</v>
      </c>
      <c r="AB13" s="1293"/>
    </row>
    <row r="14" spans="1:32" s="88" customFormat="1">
      <c r="A14" s="1327" t="s">
        <v>583</v>
      </c>
      <c r="B14" s="1328"/>
      <c r="D14" s="1328"/>
      <c r="E14" s="1328">
        <v>4601</v>
      </c>
      <c r="F14" s="1328"/>
      <c r="G14" s="1328"/>
      <c r="H14" s="1328"/>
      <c r="I14" s="1328"/>
      <c r="J14" s="1328">
        <v>4630</v>
      </c>
      <c r="K14" s="1328">
        <v>23640</v>
      </c>
      <c r="L14" s="1328"/>
      <c r="M14" s="1328"/>
      <c r="N14" s="1328"/>
      <c r="O14" s="1328"/>
      <c r="P14" s="1328"/>
      <c r="Q14" s="1328"/>
      <c r="R14" s="1328"/>
      <c r="S14" s="1328"/>
      <c r="T14" s="1328"/>
      <c r="U14" s="1328"/>
      <c r="V14" s="1328"/>
      <c r="W14" s="1328"/>
      <c r="X14" s="1328"/>
      <c r="Y14" s="1328"/>
      <c r="Z14" s="282">
        <f t="shared" si="0"/>
        <v>32871</v>
      </c>
      <c r="AA14" s="1293">
        <v>39436</v>
      </c>
      <c r="AB14" s="1293"/>
    </row>
    <row r="15" spans="1:32" s="88" customFormat="1">
      <c r="A15" s="1327" t="s">
        <v>584</v>
      </c>
      <c r="B15" s="1328"/>
      <c r="C15" s="1328"/>
      <c r="D15" s="1328"/>
      <c r="E15" s="1395"/>
      <c r="F15" s="1328"/>
      <c r="G15" s="1328"/>
      <c r="H15" s="1328"/>
      <c r="I15" s="1328"/>
      <c r="J15" s="1328"/>
      <c r="K15" s="1328"/>
      <c r="L15" s="1328"/>
      <c r="M15" s="1328"/>
      <c r="N15" s="1328"/>
      <c r="O15" s="1328"/>
      <c r="P15" s="1328"/>
      <c r="Q15" s="1328"/>
      <c r="R15" s="1328"/>
      <c r="S15" s="1328"/>
      <c r="T15" s="1328"/>
      <c r="U15" s="1328"/>
      <c r="V15" s="1328"/>
      <c r="W15" s="1328"/>
      <c r="X15" s="1328"/>
      <c r="Y15" s="1328"/>
      <c r="Z15" s="282">
        <f t="shared" si="0"/>
        <v>0</v>
      </c>
      <c r="AA15" s="1293">
        <v>0</v>
      </c>
      <c r="AB15" s="1293"/>
    </row>
    <row r="16" spans="1:32" s="88" customFormat="1">
      <c r="A16" s="1327" t="s">
        <v>585</v>
      </c>
      <c r="B16" s="1328"/>
      <c r="C16" s="1328"/>
      <c r="D16" s="1396"/>
      <c r="E16" s="1397">
        <v>1348.2</v>
      </c>
      <c r="F16" s="1398"/>
      <c r="G16" s="1328"/>
      <c r="H16" s="1328"/>
      <c r="I16" s="1328"/>
      <c r="J16" s="1328"/>
      <c r="K16" s="1328">
        <v>18842</v>
      </c>
      <c r="L16" s="1328"/>
      <c r="M16" s="1328">
        <v>50</v>
      </c>
      <c r="N16" s="1328">
        <v>299.60000000000002</v>
      </c>
      <c r="O16" s="1328">
        <v>13661.759999999998</v>
      </c>
      <c r="P16" s="1328"/>
      <c r="Q16" s="1328"/>
      <c r="R16" s="1328"/>
      <c r="S16" s="1328"/>
      <c r="T16" s="1328"/>
      <c r="U16" s="1328"/>
      <c r="V16" s="1328"/>
      <c r="W16" s="1328"/>
      <c r="X16" s="1328"/>
      <c r="Y16" s="1328"/>
      <c r="Z16" s="282">
        <f t="shared" si="0"/>
        <v>34201.56</v>
      </c>
      <c r="AA16" s="1293">
        <v>34024.33</v>
      </c>
      <c r="AB16" s="1293"/>
    </row>
    <row r="17" spans="1:31" s="1330" customFormat="1">
      <c r="A17" s="1327" t="s">
        <v>586</v>
      </c>
      <c r="B17" s="1328"/>
      <c r="C17" s="1328"/>
      <c r="D17" s="1328"/>
      <c r="E17" s="1399"/>
      <c r="F17" s="1328"/>
      <c r="G17" s="1328"/>
      <c r="H17" s="1328"/>
      <c r="I17" s="1328"/>
      <c r="J17" s="1328"/>
      <c r="K17" s="1400">
        <v>228132</v>
      </c>
      <c r="L17" s="1328"/>
      <c r="M17" s="1328"/>
      <c r="N17" s="1328"/>
      <c r="O17" s="1328"/>
      <c r="P17" s="1328">
        <v>11900</v>
      </c>
      <c r="Q17" s="1328"/>
      <c r="R17" s="1328"/>
      <c r="S17" s="1328"/>
      <c r="T17" s="1328"/>
      <c r="U17" s="1328"/>
      <c r="V17" s="1328"/>
      <c r="W17" s="1328"/>
      <c r="X17" s="1328"/>
      <c r="Y17" s="1328"/>
      <c r="Z17" s="282">
        <f>SUM(B17:Y17)</f>
        <v>240032</v>
      </c>
      <c r="AA17" s="1329">
        <v>240032</v>
      </c>
      <c r="AB17" s="1329"/>
    </row>
    <row r="18" spans="1:31" s="1330" customFormat="1">
      <c r="A18" s="1327" t="s">
        <v>587</v>
      </c>
      <c r="B18" s="1328"/>
      <c r="C18" s="1328">
        <v>45113.34</v>
      </c>
      <c r="D18" s="1328">
        <v>10443.200000000001</v>
      </c>
      <c r="E18" s="1331">
        <v>75405.33</v>
      </c>
      <c r="F18" s="1328"/>
      <c r="G18" s="1328">
        <v>9022.67</v>
      </c>
      <c r="H18" s="1328">
        <v>19107.5</v>
      </c>
      <c r="I18" s="1328"/>
      <c r="J18" s="1328"/>
      <c r="K18" s="1328">
        <v>152860.5</v>
      </c>
      <c r="L18" s="1328">
        <v>24845</v>
      </c>
      <c r="M18" s="1328">
        <v>2750</v>
      </c>
      <c r="N18" s="1328">
        <v>177611.60000000003</v>
      </c>
      <c r="O18" s="1328">
        <v>286750.40000000002</v>
      </c>
      <c r="P18" s="1328"/>
      <c r="Q18" s="1328"/>
      <c r="R18" s="1328"/>
      <c r="S18" s="1328"/>
      <c r="T18" s="1328"/>
      <c r="U18" s="1328"/>
      <c r="V18" s="1328"/>
      <c r="W18" s="1328">
        <v>100</v>
      </c>
      <c r="X18" s="1328"/>
      <c r="Y18" s="1328"/>
      <c r="Z18" s="282">
        <f t="shared" si="0"/>
        <v>804009.54</v>
      </c>
      <c r="AA18" s="1329">
        <v>622299.92000000004</v>
      </c>
      <c r="AB18" s="1329"/>
    </row>
    <row r="19" spans="1:31" s="1330" customFormat="1">
      <c r="A19" s="1327" t="s">
        <v>592</v>
      </c>
      <c r="B19" s="1328"/>
      <c r="C19" s="1328">
        <v>94374.209999999992</v>
      </c>
      <c r="D19" s="1328">
        <v>10753.5</v>
      </c>
      <c r="E19" s="1328">
        <v>12037.5</v>
      </c>
      <c r="F19" s="1328">
        <v>2140</v>
      </c>
      <c r="G19" s="1401"/>
      <c r="H19" s="1328">
        <v>521090</v>
      </c>
      <c r="I19" s="1328"/>
      <c r="J19" s="1328"/>
      <c r="K19" s="1328">
        <v>201033.75</v>
      </c>
      <c r="L19" s="1328">
        <v>1500</v>
      </c>
      <c r="M19" s="1328"/>
      <c r="N19" s="1328"/>
      <c r="O19" s="1328">
        <v>513.6</v>
      </c>
      <c r="P19" s="1328"/>
      <c r="Q19" s="1328">
        <v>66660</v>
      </c>
      <c r="R19" s="1328"/>
      <c r="S19" s="1328"/>
      <c r="T19" s="1328"/>
      <c r="U19" s="1328"/>
      <c r="V19" s="1328"/>
      <c r="W19" s="1328"/>
      <c r="X19" s="1328"/>
      <c r="Y19" s="1328"/>
      <c r="Z19" s="282">
        <f>SUM(B19:Y19)</f>
        <v>910102.55999999994</v>
      </c>
      <c r="AA19" s="1329">
        <v>861444.20000000007</v>
      </c>
      <c r="AB19" s="1329"/>
    </row>
    <row r="20" spans="1:31" s="1330" customFormat="1">
      <c r="A20" s="1327" t="s">
        <v>588</v>
      </c>
      <c r="B20" s="1328"/>
      <c r="C20" s="1328"/>
      <c r="D20" s="1328">
        <v>5564</v>
      </c>
      <c r="E20" s="1328">
        <v>48150</v>
      </c>
      <c r="F20" s="1328"/>
      <c r="G20" s="1328"/>
      <c r="H20" s="1328">
        <v>183507.53</v>
      </c>
      <c r="I20" s="1328"/>
      <c r="J20" s="1328">
        <v>42244.05</v>
      </c>
      <c r="K20" s="1328">
        <v>574720.22</v>
      </c>
      <c r="L20" s="1328">
        <v>241930</v>
      </c>
      <c r="M20" s="1328">
        <v>56838.400000000001</v>
      </c>
      <c r="N20" s="1328">
        <v>46630.6</v>
      </c>
      <c r="O20" s="1328">
        <v>6955</v>
      </c>
      <c r="P20" s="1328">
        <v>218800</v>
      </c>
      <c r="Q20" s="1328"/>
      <c r="R20" s="1328"/>
      <c r="S20" s="1328"/>
      <c r="T20" s="1328"/>
      <c r="U20" s="1328"/>
      <c r="V20" s="1328"/>
      <c r="W20" s="1328"/>
      <c r="X20" s="1328">
        <v>2076</v>
      </c>
      <c r="Y20" s="1328"/>
      <c r="Z20" s="282">
        <f t="shared" si="0"/>
        <v>1427415.8</v>
      </c>
      <c r="AA20" s="1329">
        <v>1431912.84</v>
      </c>
      <c r="AB20" s="1329"/>
    </row>
    <row r="21" spans="1:31" s="1330" customFormat="1">
      <c r="A21" s="1327" t="s">
        <v>591</v>
      </c>
      <c r="B21" s="1328"/>
      <c r="C21" s="1328"/>
      <c r="D21" s="1328"/>
      <c r="E21" s="1328"/>
      <c r="F21" s="1328"/>
      <c r="G21" s="1328"/>
      <c r="H21" s="1328"/>
      <c r="I21" s="1328"/>
      <c r="J21" s="1328"/>
      <c r="K21" s="1328"/>
      <c r="L21" s="1328"/>
      <c r="M21" s="1328"/>
      <c r="N21" s="1328"/>
      <c r="O21" s="1328"/>
      <c r="P21" s="1328"/>
      <c r="Q21" s="1328"/>
      <c r="R21" s="1328"/>
      <c r="S21" s="1328"/>
      <c r="T21" s="1328"/>
      <c r="U21" s="1328"/>
      <c r="V21" s="1328"/>
      <c r="W21" s="1328">
        <v>2200</v>
      </c>
      <c r="X21" s="1328"/>
      <c r="Y21" s="1328"/>
      <c r="Z21" s="282">
        <f t="shared" si="0"/>
        <v>2200</v>
      </c>
      <c r="AA21" s="1329">
        <v>800</v>
      </c>
      <c r="AB21" s="1329"/>
    </row>
    <row r="22" spans="1:31" s="1330" customFormat="1">
      <c r="A22" s="1327" t="s">
        <v>589</v>
      </c>
      <c r="B22" s="1328"/>
      <c r="C22" s="1328">
        <v>1958.1</v>
      </c>
      <c r="D22" s="1328">
        <v>84355</v>
      </c>
      <c r="E22" s="1328">
        <v>19332.23</v>
      </c>
      <c r="F22" s="1328">
        <v>16050</v>
      </c>
      <c r="G22" s="1328"/>
      <c r="H22" s="1328">
        <v>28355</v>
      </c>
      <c r="I22" s="1328"/>
      <c r="J22" s="1328"/>
      <c r="K22" s="1328">
        <v>752476.01</v>
      </c>
      <c r="L22" s="1328">
        <v>3150</v>
      </c>
      <c r="M22" s="1328"/>
      <c r="N22" s="1328">
        <v>4221.1499999999996</v>
      </c>
      <c r="O22" s="1328">
        <v>291040.00000000006</v>
      </c>
      <c r="P22" s="1328"/>
      <c r="Q22" s="1328"/>
      <c r="R22" s="1328">
        <v>8400</v>
      </c>
      <c r="S22" s="1328">
        <v>293959.46999999991</v>
      </c>
      <c r="T22" s="1328"/>
      <c r="U22" s="1328"/>
      <c r="V22" s="1328"/>
      <c r="W22" s="1328"/>
      <c r="X22" s="1328"/>
      <c r="Y22" s="1328"/>
      <c r="Z22" s="282">
        <f t="shared" si="0"/>
        <v>1503296.9600000002</v>
      </c>
      <c r="AA22" s="1329">
        <v>1284238.7200000002</v>
      </c>
      <c r="AB22" s="1329"/>
    </row>
    <row r="23" spans="1:31" s="88" customFormat="1">
      <c r="A23" s="1402" t="s">
        <v>590</v>
      </c>
      <c r="B23" s="1403"/>
      <c r="C23" s="1403"/>
      <c r="D23" s="1403"/>
      <c r="E23" s="1403"/>
      <c r="F23" s="1403"/>
      <c r="G23" s="1403"/>
      <c r="H23" s="1403">
        <v>2140</v>
      </c>
      <c r="I23" s="1403"/>
      <c r="J23" s="1403"/>
      <c r="K23" s="1403">
        <v>18740</v>
      </c>
      <c r="L23" s="1403">
        <v>14900</v>
      </c>
      <c r="M23" s="1403"/>
      <c r="N23" s="1403"/>
      <c r="O23" s="1403"/>
      <c r="P23" s="1403"/>
      <c r="Q23" s="1403">
        <v>0</v>
      </c>
      <c r="R23" s="1403"/>
      <c r="S23" s="1403"/>
      <c r="T23" s="1403"/>
      <c r="U23" s="1403"/>
      <c r="V23" s="1403"/>
      <c r="W23" s="1403"/>
      <c r="X23" s="1403"/>
      <c r="Y23" s="1403"/>
      <c r="Z23" s="282">
        <f>SUM(B23:Y23)</f>
        <v>35780</v>
      </c>
      <c r="AA23" s="1404">
        <v>49225</v>
      </c>
      <c r="AB23" s="1404"/>
    </row>
    <row r="24" spans="1:31" s="88" customFormat="1">
      <c r="A24" s="106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8">
        <f>SUM(Z7:Z23)</f>
        <v>7372333.3399999999</v>
      </c>
      <c r="AA24" s="108">
        <f>SUM(AA7:AA23)</f>
        <v>7410224.5899999999</v>
      </c>
      <c r="AB24" s="108"/>
    </row>
    <row r="25" spans="1:31" s="112" customFormat="1">
      <c r="A25" s="109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1"/>
      <c r="AA25" s="108"/>
      <c r="AB25" s="111"/>
      <c r="AE25" s="112">
        <v>1287080.4600000002</v>
      </c>
    </row>
    <row r="26" spans="1:31">
      <c r="T26" s="87" t="s">
        <v>3413</v>
      </c>
      <c r="V26" s="113"/>
      <c r="W26" s="113"/>
      <c r="X26" s="113">
        <f>+Z24</f>
        <v>7372333.3399999999</v>
      </c>
      <c r="Y26" s="113">
        <f>Z24</f>
        <v>7372333.3399999999</v>
      </c>
      <c r="Z26" s="114" t="s">
        <v>930</v>
      </c>
      <c r="AA26" s="115"/>
    </row>
    <row r="27" spans="1:31">
      <c r="T27" s="87" t="s">
        <v>3414</v>
      </c>
      <c r="V27" s="116"/>
      <c r="W27" s="116"/>
      <c r="X27" s="116">
        <f>+AA24</f>
        <v>7410224.5899999999</v>
      </c>
      <c r="Y27" s="116">
        <f>+AA24</f>
        <v>7410224.5899999999</v>
      </c>
      <c r="Z27" s="114" t="s">
        <v>930</v>
      </c>
      <c r="AA27" s="117"/>
      <c r="AC27" s="87"/>
    </row>
    <row r="28" spans="1:31" ht="16.2" thickBot="1">
      <c r="T28" s="87" t="s">
        <v>931</v>
      </c>
      <c r="V28" s="118"/>
      <c r="W28" s="118"/>
      <c r="X28" s="118">
        <f>SUM(X26-X27)</f>
        <v>-37891.25</v>
      </c>
      <c r="Y28" s="118">
        <f>SUM(Y26-Y27)</f>
        <v>-37891.25</v>
      </c>
      <c r="Z28" s="114" t="s">
        <v>930</v>
      </c>
      <c r="AA28" s="119"/>
    </row>
    <row r="29" spans="1:31" ht="16.2" thickTop="1">
      <c r="AC29" s="87">
        <f>+Z24-AA24</f>
        <v>-37891.25</v>
      </c>
    </row>
    <row r="31" spans="1:31">
      <c r="N31" s="87" t="s">
        <v>3404</v>
      </c>
    </row>
    <row r="34" spans="3:3">
      <c r="C34" s="87" t="s">
        <v>3184</v>
      </c>
    </row>
    <row r="60" spans="3:3">
      <c r="C60" s="87" t="s">
        <v>1816</v>
      </c>
    </row>
  </sheetData>
  <mergeCells count="8">
    <mergeCell ref="Z4:Z6"/>
    <mergeCell ref="A1:AA1"/>
    <mergeCell ref="B3:Y3"/>
    <mergeCell ref="A3:A6"/>
    <mergeCell ref="B4:B6"/>
    <mergeCell ref="S4:V4"/>
    <mergeCell ref="R4:R6"/>
    <mergeCell ref="Y2:Z2"/>
  </mergeCells>
  <pageMargins left="0.38" right="0.12" top="0.68" bottom="0.75" header="0.25" footer="0.3"/>
  <pageSetup paperSize="9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71C4-405C-417B-B5F0-11ADB06EADFF}">
  <sheetPr>
    <tabColor theme="6" tint="-0.499984740745262"/>
  </sheetPr>
  <dimension ref="B1:S31"/>
  <sheetViews>
    <sheetView tabSelected="1" topLeftCell="B1" zoomScaleNormal="100" workbookViewId="0">
      <selection activeCell="J13" sqref="J13"/>
    </sheetView>
  </sheetViews>
  <sheetFormatPr defaultColWidth="13.109375" defaultRowHeight="21" customHeight="1"/>
  <cols>
    <col min="1" max="1" width="0" style="40" hidden="1" customWidth="1"/>
    <col min="2" max="2" width="1.6640625" style="40" customWidth="1"/>
    <col min="3" max="3" width="5.5546875" style="40" customWidth="1"/>
    <col min="4" max="4" width="34.33203125" style="40" customWidth="1"/>
    <col min="5" max="5" width="11.44140625" style="279" customWidth="1"/>
    <col min="6" max="6" width="22.33203125" style="278" customWidth="1"/>
    <col min="7" max="7" width="12.5546875" style="280" customWidth="1"/>
    <col min="8" max="8" width="22.44140625" style="41" customWidth="1"/>
    <col min="9" max="9" width="10.88671875" style="281" customWidth="1"/>
    <col min="10" max="10" width="19.109375" style="41" customWidth="1"/>
    <col min="11" max="11" width="13.77734375" style="41" customWidth="1"/>
    <col min="12" max="12" width="13.33203125" style="40" bestFit="1" customWidth="1"/>
    <col min="13" max="13" width="19.5546875" style="40" customWidth="1"/>
    <col min="14" max="14" width="22.5546875" style="40" customWidth="1"/>
    <col min="15" max="16384" width="13.109375" style="40"/>
  </cols>
  <sheetData>
    <row r="1" spans="2:14" ht="26.25" customHeight="1">
      <c r="B1" s="1570" t="s">
        <v>305</v>
      </c>
      <c r="C1" s="1570"/>
      <c r="D1" s="1570"/>
      <c r="E1" s="1570"/>
      <c r="F1" s="1570"/>
      <c r="G1" s="1570"/>
      <c r="H1" s="1570"/>
      <c r="I1" s="1570"/>
      <c r="J1" s="1570"/>
      <c r="K1" s="1570"/>
    </row>
    <row r="2" spans="2:14" ht="26.25" customHeight="1">
      <c r="B2" s="1570" t="s">
        <v>3415</v>
      </c>
      <c r="C2" s="1570"/>
      <c r="D2" s="1570"/>
      <c r="E2" s="1570"/>
      <c r="F2" s="1570"/>
      <c r="G2" s="1570"/>
      <c r="H2" s="1570"/>
      <c r="I2" s="1570"/>
      <c r="J2" s="1570"/>
      <c r="K2" s="1570"/>
    </row>
    <row r="3" spans="2:14" ht="12.75" hidden="1" customHeight="1">
      <c r="C3" s="1"/>
      <c r="D3" s="1"/>
      <c r="E3" s="2"/>
      <c r="F3" s="53"/>
      <c r="G3" s="4"/>
      <c r="H3" s="3"/>
      <c r="I3" s="5"/>
      <c r="J3" s="3"/>
      <c r="K3" s="3"/>
    </row>
    <row r="4" spans="2:14" ht="21" customHeight="1">
      <c r="C4" s="6"/>
      <c r="D4" s="6"/>
      <c r="E4" s="1574" t="s">
        <v>3415</v>
      </c>
      <c r="F4" s="1575"/>
      <c r="G4" s="1574" t="s">
        <v>3405</v>
      </c>
      <c r="H4" s="1575"/>
      <c r="I4" s="1571" t="s">
        <v>450</v>
      </c>
      <c r="J4" s="1572"/>
      <c r="K4" s="1573"/>
    </row>
    <row r="5" spans="2:14" ht="46.5" customHeight="1">
      <c r="C5" s="7" t="s">
        <v>127</v>
      </c>
      <c r="D5" s="27" t="s">
        <v>110</v>
      </c>
      <c r="E5" s="8" t="s">
        <v>307</v>
      </c>
      <c r="F5" s="54" t="s">
        <v>95</v>
      </c>
      <c r="G5" s="8" t="s">
        <v>307</v>
      </c>
      <c r="H5" s="54" t="s">
        <v>95</v>
      </c>
      <c r="I5" s="10" t="s">
        <v>307</v>
      </c>
      <c r="J5" s="11" t="s">
        <v>95</v>
      </c>
      <c r="K5" s="9" t="s">
        <v>478</v>
      </c>
    </row>
    <row r="6" spans="2:14" ht="26.25" customHeight="1">
      <c r="C6" s="6">
        <v>1</v>
      </c>
      <c r="D6" s="12" t="s">
        <v>3230</v>
      </c>
      <c r="E6" s="13"/>
      <c r="F6" s="55"/>
      <c r="G6" s="13"/>
      <c r="H6" s="55"/>
      <c r="I6" s="15"/>
      <c r="J6" s="14"/>
      <c r="K6" s="14"/>
    </row>
    <row r="7" spans="2:14" ht="26.25" customHeight="1">
      <c r="C7" s="22"/>
      <c r="D7" s="23" t="s">
        <v>1474</v>
      </c>
      <c r="E7" s="24">
        <v>419</v>
      </c>
      <c r="F7" s="56">
        <v>904641.85931028053</v>
      </c>
      <c r="G7" s="24">
        <v>359</v>
      </c>
      <c r="H7" s="56">
        <v>983968.0315794393</v>
      </c>
      <c r="I7" s="26">
        <f t="shared" ref="I7:J12" si="0">E7-G7</f>
        <v>60</v>
      </c>
      <c r="J7" s="25">
        <f>F7-H7</f>
        <v>-79326.172269158764</v>
      </c>
      <c r="K7" s="25">
        <f t="shared" ref="K7:K12" si="1">J7/H7*100</f>
        <v>-8.061864788617827</v>
      </c>
      <c r="L7" s="41"/>
      <c r="M7" s="41"/>
      <c r="N7" s="41"/>
    </row>
    <row r="8" spans="2:14" ht="26.25" customHeight="1">
      <c r="C8" s="22"/>
      <c r="D8" s="23" t="s">
        <v>1475</v>
      </c>
      <c r="E8" s="24">
        <v>56</v>
      </c>
      <c r="F8" s="56">
        <v>434649.48000000004</v>
      </c>
      <c r="G8" s="24">
        <v>72</v>
      </c>
      <c r="H8" s="56">
        <v>380362.03999999992</v>
      </c>
      <c r="I8" s="26">
        <f t="shared" si="0"/>
        <v>-16</v>
      </c>
      <c r="J8" s="25">
        <f>F8-H8</f>
        <v>54287.440000000119</v>
      </c>
      <c r="K8" s="25">
        <f t="shared" si="1"/>
        <v>14.272570417384481</v>
      </c>
      <c r="L8" s="41"/>
      <c r="M8" s="41"/>
      <c r="N8" s="41"/>
    </row>
    <row r="9" spans="2:14" ht="26.25" customHeight="1">
      <c r="C9" s="22"/>
      <c r="D9" s="23" t="s">
        <v>549</v>
      </c>
      <c r="E9" s="24">
        <v>55</v>
      </c>
      <c r="F9" s="56">
        <v>530911.65000000014</v>
      </c>
      <c r="G9" s="24">
        <v>46</v>
      </c>
      <c r="H9" s="56">
        <v>2531381.9899999998</v>
      </c>
      <c r="I9" s="26">
        <f t="shared" si="0"/>
        <v>9</v>
      </c>
      <c r="J9" s="25">
        <f t="shared" si="0"/>
        <v>-2000470.3399999996</v>
      </c>
      <c r="K9" s="25">
        <f t="shared" si="1"/>
        <v>-79.026806222951748</v>
      </c>
      <c r="L9" s="41"/>
      <c r="M9" s="41"/>
      <c r="N9" s="41"/>
    </row>
    <row r="10" spans="2:14" ht="26.25" customHeight="1">
      <c r="C10" s="22"/>
      <c r="D10" s="23" t="s">
        <v>550</v>
      </c>
      <c r="E10" s="24">
        <v>29</v>
      </c>
      <c r="F10" s="56">
        <v>166919.97000000003</v>
      </c>
      <c r="G10" s="24">
        <v>22</v>
      </c>
      <c r="H10" s="56">
        <v>83092.898699999991</v>
      </c>
      <c r="I10" s="26">
        <f t="shared" si="0"/>
        <v>7</v>
      </c>
      <c r="J10" s="25">
        <f t="shared" si="0"/>
        <v>83827.07130000004</v>
      </c>
      <c r="K10" s="25">
        <f t="shared" si="1"/>
        <v>100.88355637062408</v>
      </c>
      <c r="L10" s="41"/>
      <c r="M10" s="41"/>
      <c r="N10" s="41"/>
    </row>
    <row r="11" spans="2:14" ht="26.25" customHeight="1">
      <c r="C11" s="27"/>
      <c r="D11" s="28" t="s">
        <v>635</v>
      </c>
      <c r="E11" s="42">
        <f>SUM(E7:E10)</f>
        <v>559</v>
      </c>
      <c r="F11" s="57">
        <f>SUM(F7:F10)</f>
        <v>2037122.9593102806</v>
      </c>
      <c r="G11" s="42">
        <v>499</v>
      </c>
      <c r="H11" s="57">
        <v>3978804.9602794386</v>
      </c>
      <c r="I11" s="30">
        <f>E11-G11</f>
        <v>60</v>
      </c>
      <c r="J11" s="31">
        <f>F11-H11</f>
        <v>-1941682.000969158</v>
      </c>
      <c r="K11" s="31">
        <f t="shared" si="1"/>
        <v>-48.800632862204694</v>
      </c>
      <c r="L11" s="41"/>
      <c r="M11" s="41"/>
      <c r="N11" s="41"/>
    </row>
    <row r="12" spans="2:14" ht="26.25" customHeight="1">
      <c r="C12" s="22"/>
      <c r="D12" s="23" t="s">
        <v>551</v>
      </c>
      <c r="E12" s="24">
        <v>95</v>
      </c>
      <c r="F12" s="56">
        <v>1703561.4542999999</v>
      </c>
      <c r="G12" s="24">
        <v>136</v>
      </c>
      <c r="H12" s="56">
        <v>2148781.8955999999</v>
      </c>
      <c r="I12" s="26">
        <f t="shared" si="0"/>
        <v>-41</v>
      </c>
      <c r="J12" s="25">
        <f t="shared" si="0"/>
        <v>-445220.44130000006</v>
      </c>
      <c r="K12" s="31">
        <f t="shared" si="1"/>
        <v>-20.719666440398878</v>
      </c>
      <c r="L12" s="41"/>
      <c r="M12" s="41"/>
      <c r="N12" s="41"/>
    </row>
    <row r="13" spans="2:14" s="20" customFormat="1" ht="26.25" customHeight="1">
      <c r="C13" s="6"/>
      <c r="D13" s="16" t="s">
        <v>636</v>
      </c>
      <c r="E13" s="17">
        <f>+E11+E12</f>
        <v>654</v>
      </c>
      <c r="F13" s="55">
        <f>+F12+F11</f>
        <v>3740684.4136102805</v>
      </c>
      <c r="G13" s="17">
        <v>635</v>
      </c>
      <c r="H13" s="55">
        <v>6127586.855879439</v>
      </c>
      <c r="I13" s="18">
        <f>+E13-G13</f>
        <v>19</v>
      </c>
      <c r="J13" s="14">
        <f>+F13-H13</f>
        <v>-2386902.4422691585</v>
      </c>
      <c r="K13" s="14">
        <f>+J13/H13*100</f>
        <v>-38.95338407123382</v>
      </c>
      <c r="L13" s="19"/>
      <c r="M13" s="19"/>
      <c r="N13" s="19"/>
    </row>
    <row r="14" spans="2:14" s="20" customFormat="1" ht="22.5" customHeight="1">
      <c r="C14" s="6">
        <v>2</v>
      </c>
      <c r="D14" s="21" t="s">
        <v>539</v>
      </c>
      <c r="E14" s="17"/>
      <c r="F14" s="55"/>
      <c r="G14" s="17"/>
      <c r="H14" s="55"/>
      <c r="I14" s="18"/>
      <c r="J14" s="14"/>
      <c r="K14" s="14"/>
      <c r="L14" s="19"/>
      <c r="M14" s="19"/>
      <c r="N14" s="19"/>
    </row>
    <row r="15" spans="2:14" s="20" customFormat="1" ht="26.25" customHeight="1">
      <c r="C15" s="7"/>
      <c r="D15" s="32" t="s">
        <v>552</v>
      </c>
      <c r="E15" s="43">
        <v>14</v>
      </c>
      <c r="F15" s="58">
        <v>3451894.94</v>
      </c>
      <c r="G15" s="43">
        <v>12</v>
      </c>
      <c r="H15" s="58">
        <v>969903.94</v>
      </c>
      <c r="I15" s="26">
        <f>E15-G15</f>
        <v>2</v>
      </c>
      <c r="J15" s="25">
        <f>F15-H15</f>
        <v>2481991</v>
      </c>
      <c r="K15" s="25">
        <f>+J15/H15*100</f>
        <v>255.90070290878498</v>
      </c>
      <c r="L15" s="19"/>
      <c r="M15" s="19"/>
      <c r="N15" s="19"/>
    </row>
    <row r="16" spans="2:14" s="20" customFormat="1" ht="26.25" customHeight="1">
      <c r="C16" s="27"/>
      <c r="D16" s="28" t="s">
        <v>131</v>
      </c>
      <c r="E16" s="42">
        <f>SUM(E15)</f>
        <v>14</v>
      </c>
      <c r="F16" s="57">
        <f>SUM(F15)</f>
        <v>3451894.94</v>
      </c>
      <c r="G16" s="42">
        <v>12</v>
      </c>
      <c r="H16" s="57">
        <v>969903.94</v>
      </c>
      <c r="I16" s="30">
        <f>E16-G16</f>
        <v>2</v>
      </c>
      <c r="J16" s="31">
        <f>F16-H16</f>
        <v>2481991</v>
      </c>
      <c r="K16" s="31">
        <f>+J16/H16*100</f>
        <v>255.90070290878498</v>
      </c>
      <c r="L16" s="19"/>
      <c r="M16" s="19"/>
      <c r="N16" s="19"/>
    </row>
    <row r="17" spans="3:19" s="20" customFormat="1" ht="24" customHeight="1">
      <c r="C17" s="44">
        <v>3</v>
      </c>
      <c r="D17" s="38" t="s">
        <v>1003</v>
      </c>
      <c r="E17" s="45"/>
      <c r="F17" s="59"/>
      <c r="G17" s="45"/>
      <c r="H17" s="59"/>
      <c r="I17" s="47"/>
      <c r="J17" s="46"/>
      <c r="K17" s="46"/>
      <c r="L17" s="19"/>
      <c r="M17" s="19"/>
      <c r="N17" s="19"/>
    </row>
    <row r="18" spans="3:19" s="20" customFormat="1" ht="26.25" customHeight="1">
      <c r="C18" s="48"/>
      <c r="D18" s="39" t="s">
        <v>1652</v>
      </c>
      <c r="E18" s="49">
        <v>604</v>
      </c>
      <c r="F18" s="60">
        <v>12230457.119999999</v>
      </c>
      <c r="G18" s="49">
        <v>602</v>
      </c>
      <c r="H18" s="60">
        <v>12238113.559999997</v>
      </c>
      <c r="I18" s="51">
        <f>E18-G18</f>
        <v>2</v>
      </c>
      <c r="J18" s="50">
        <f>F18-H18</f>
        <v>-7656.4399999976158</v>
      </c>
      <c r="K18" s="50">
        <f>+J18/H18*100</f>
        <v>-6.2562256531288621E-2</v>
      </c>
      <c r="L18" s="19"/>
      <c r="M18" s="19"/>
      <c r="N18" s="19"/>
    </row>
    <row r="19" spans="3:19" s="20" customFormat="1" ht="24" customHeight="1">
      <c r="C19" s="27"/>
      <c r="D19" s="28" t="s">
        <v>131</v>
      </c>
      <c r="E19" s="42">
        <f>SUM(E18)</f>
        <v>604</v>
      </c>
      <c r="F19" s="57">
        <f>SUM(F18)</f>
        <v>12230457.119999999</v>
      </c>
      <c r="G19" s="42">
        <v>602</v>
      </c>
      <c r="H19" s="57">
        <v>12238113.559999997</v>
      </c>
      <c r="I19" s="30">
        <f>E19-G19</f>
        <v>2</v>
      </c>
      <c r="J19" s="31">
        <f>F19-H19</f>
        <v>-7656.4399999976158</v>
      </c>
      <c r="K19" s="31">
        <f>+J19/H19*100</f>
        <v>-6.2562256531288621E-2</v>
      </c>
      <c r="L19" s="19"/>
      <c r="M19" s="19"/>
      <c r="N19" s="19"/>
    </row>
    <row r="20" spans="3:19" ht="20.25" customHeight="1">
      <c r="C20" s="22">
        <v>4</v>
      </c>
      <c r="D20" s="23" t="s">
        <v>306</v>
      </c>
      <c r="E20" s="24"/>
      <c r="F20" s="56"/>
      <c r="G20" s="24"/>
      <c r="H20" s="56"/>
      <c r="I20" s="26"/>
      <c r="J20" s="25"/>
      <c r="K20" s="25"/>
      <c r="L20" s="41"/>
      <c r="M20" s="41"/>
      <c r="N20" s="41"/>
    </row>
    <row r="21" spans="3:19" ht="26.25" customHeight="1">
      <c r="C21" s="22"/>
      <c r="D21" s="23" t="s">
        <v>553</v>
      </c>
      <c r="E21" s="24">
        <v>130</v>
      </c>
      <c r="F21" s="56">
        <v>6311433.8099999996</v>
      </c>
      <c r="G21" s="24">
        <v>127</v>
      </c>
      <c r="H21" s="56">
        <v>6226286.21</v>
      </c>
      <c r="I21" s="26">
        <f>E21-G21</f>
        <v>3</v>
      </c>
      <c r="J21" s="25">
        <f>F21-H21</f>
        <v>85147.599999999627</v>
      </c>
      <c r="K21" s="25">
        <f>J21/H21*100</f>
        <v>1.3675503683599477</v>
      </c>
      <c r="L21" s="41"/>
      <c r="M21" s="41"/>
      <c r="N21" s="41"/>
    </row>
    <row r="22" spans="3:19" ht="26.25" customHeight="1">
      <c r="C22" s="22"/>
      <c r="D22" s="23" t="s">
        <v>2866</v>
      </c>
      <c r="E22" s="24">
        <v>54</v>
      </c>
      <c r="F22" s="56">
        <v>41035706.959999986</v>
      </c>
      <c r="G22" s="24">
        <v>54</v>
      </c>
      <c r="H22" s="56">
        <v>41040265.359999992</v>
      </c>
      <c r="I22" s="26">
        <f>E22-G22</f>
        <v>0</v>
      </c>
      <c r="J22" s="25">
        <f>F22-H22</f>
        <v>-4558.4000000059605</v>
      </c>
      <c r="K22" s="25">
        <f>J22/H22*100</f>
        <v>-1.1107140658132337E-2</v>
      </c>
      <c r="L22" s="41"/>
      <c r="M22" s="41"/>
      <c r="N22" s="41"/>
    </row>
    <row r="23" spans="3:19" ht="24" customHeight="1">
      <c r="C23" s="27"/>
      <c r="D23" s="28" t="s">
        <v>131</v>
      </c>
      <c r="E23" s="42">
        <f>+E21+E22</f>
        <v>184</v>
      </c>
      <c r="F23" s="57">
        <f>+F21+F22</f>
        <v>47347140.769999988</v>
      </c>
      <c r="G23" s="42">
        <v>181</v>
      </c>
      <c r="H23" s="57">
        <v>47266551.569999993</v>
      </c>
      <c r="I23" s="30">
        <f>+E23-G23</f>
        <v>3</v>
      </c>
      <c r="J23" s="31">
        <f>+F23-H23</f>
        <v>80589.19999999553</v>
      </c>
      <c r="K23" s="31">
        <f>J23/H23*100</f>
        <v>0.17049942786844929</v>
      </c>
      <c r="L23" s="41"/>
      <c r="M23" s="41"/>
      <c r="N23" s="41"/>
    </row>
    <row r="24" spans="3:19" ht="26.25" customHeight="1">
      <c r="C24" s="27"/>
      <c r="D24" s="28" t="s">
        <v>510</v>
      </c>
      <c r="E24" s="29">
        <f>+E13+E16+E19+E23</f>
        <v>1456</v>
      </c>
      <c r="F24" s="61">
        <f>+F13+F16+F19+F23+0.01</f>
        <v>66770177.253610268</v>
      </c>
      <c r="G24" s="29">
        <v>1430</v>
      </c>
      <c r="H24" s="61">
        <v>66602155.925879426</v>
      </c>
      <c r="I24" s="30">
        <f>E24-G24</f>
        <v>26</v>
      </c>
      <c r="J24" s="31">
        <f>F24-H24</f>
        <v>168021.32773084193</v>
      </c>
      <c r="K24" s="31">
        <f>J24/H24*100</f>
        <v>0.25227610937674516</v>
      </c>
      <c r="L24" s="41"/>
      <c r="M24" s="41"/>
      <c r="N24" s="41"/>
    </row>
    <row r="25" spans="3:19" ht="26.25" customHeight="1">
      <c r="C25" s="27">
        <v>6</v>
      </c>
      <c r="D25" s="32" t="s">
        <v>308</v>
      </c>
      <c r="E25" s="33"/>
      <c r="F25" s="58">
        <f>+'4.สำรองหนี้สูญ'!E22</f>
        <v>62218428.027772374</v>
      </c>
      <c r="G25" s="33"/>
      <c r="H25" s="58">
        <v>62582276.614636272</v>
      </c>
      <c r="I25" s="34"/>
      <c r="J25" s="31">
        <f>F25-H25</f>
        <v>-363848.58686389774</v>
      </c>
      <c r="K25" s="31">
        <f>+J25/H25*100</f>
        <v>-0.58139237903467955</v>
      </c>
      <c r="L25" s="41"/>
      <c r="M25" s="41"/>
      <c r="N25" s="41"/>
    </row>
    <row r="26" spans="3:19" ht="26.25" customHeight="1">
      <c r="C26" s="27"/>
      <c r="D26" s="28" t="s">
        <v>541</v>
      </c>
      <c r="E26" s="29"/>
      <c r="F26" s="61">
        <f>+F24-F25</f>
        <v>4551749.2258378938</v>
      </c>
      <c r="G26" s="29"/>
      <c r="H26" s="61">
        <v>4019879.3112431541</v>
      </c>
      <c r="I26" s="30"/>
      <c r="J26" s="31">
        <f>F26-H26</f>
        <v>531869.91459473968</v>
      </c>
      <c r="K26" s="31">
        <f>J26/H26*100</f>
        <v>13.230992112304438</v>
      </c>
      <c r="L26" s="41"/>
      <c r="M26" s="41"/>
      <c r="N26" s="41"/>
    </row>
    <row r="27" spans="3:19" ht="26.25" customHeight="1">
      <c r="C27" s="6">
        <v>5</v>
      </c>
      <c r="D27" s="21" t="s">
        <v>446</v>
      </c>
      <c r="E27" s="13"/>
      <c r="F27" s="55">
        <f>+'6.รับชำระประจำเดือน'!Z24</f>
        <v>7372333.3399999999</v>
      </c>
      <c r="G27" s="13"/>
      <c r="H27" s="55">
        <v>7410224.5899999999</v>
      </c>
      <c r="I27" s="15"/>
      <c r="J27" s="31">
        <f>F27-H27</f>
        <v>-37891.25</v>
      </c>
      <c r="K27" s="31">
        <f>J27/H27*100</f>
        <v>-0.5113374033377307</v>
      </c>
      <c r="L27" s="41"/>
      <c r="M27" s="41"/>
      <c r="N27" s="41"/>
      <c r="S27" s="248"/>
    </row>
    <row r="28" spans="3:19" ht="26.25" customHeight="1">
      <c r="C28" s="27"/>
      <c r="D28" s="28" t="s">
        <v>540</v>
      </c>
      <c r="E28" s="52"/>
      <c r="F28" s="57">
        <f>+'6.รับชำระประจำเดือน'!Z24</f>
        <v>7372333.3399999999</v>
      </c>
      <c r="G28" s="52"/>
      <c r="H28" s="57">
        <v>7410224.5899999999</v>
      </c>
      <c r="I28" s="30"/>
      <c r="J28" s="31">
        <f>F28-H28</f>
        <v>-37891.25</v>
      </c>
      <c r="K28" s="31">
        <f>J28/H28*100</f>
        <v>-0.5113374033377307</v>
      </c>
      <c r="L28" s="41"/>
      <c r="M28" s="41"/>
      <c r="N28" s="41"/>
    </row>
    <row r="29" spans="3:19" ht="15" customHeight="1">
      <c r="C29" s="1"/>
      <c r="D29" s="35"/>
      <c r="E29" s="36"/>
      <c r="G29" s="4"/>
      <c r="H29" s="37"/>
      <c r="I29" s="5"/>
      <c r="J29" s="37"/>
      <c r="K29" s="37"/>
    </row>
    <row r="30" spans="3:19" ht="21" customHeight="1">
      <c r="F30" s="62"/>
    </row>
    <row r="31" spans="3:19" ht="12" customHeight="1"/>
  </sheetData>
  <mergeCells count="5">
    <mergeCell ref="B1:K1"/>
    <mergeCell ref="B2:K2"/>
    <mergeCell ref="I4:K4"/>
    <mergeCell ref="G4:H4"/>
    <mergeCell ref="E4:F4"/>
  </mergeCells>
  <phoneticPr fontId="30" type="noConversion"/>
  <printOptions horizontalCentered="1"/>
  <pageMargins left="0.11811023622047245" right="0" top="0.98425196850393704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ปะหน้าAgingรายงานหนี้ค้าง บช.</vt:lpstr>
      <vt:lpstr>รับล่วงหน้า บช.</vt:lpstr>
      <vt:lpstr>agingปัจจุบันส่ง(ส่งบัญชี)</vt:lpstr>
      <vt:lpstr>5.เปรียบเทียบลูกหนี้การค้า  ใหม</vt:lpstr>
      <vt:lpstr>4.สำรองหนี้สูญ</vt:lpstr>
      <vt:lpstr>6.รับชำระประจำเดือน</vt:lpstr>
      <vt:lpstr>ส่งวาระ คตส.+ปะหน้า</vt:lpstr>
      <vt:lpstr>'5.เปรียบเทียบลูกหนี้การค้า  ใหม'!Print_Area</vt:lpstr>
      <vt:lpstr>'agingปัจจุบันส่ง(ส่งบัญชี)'!Print_Area</vt:lpstr>
      <vt:lpstr>'ปะหน้าAgingรายงานหนี้ค้าง บช.'!Print_Area</vt:lpstr>
      <vt:lpstr>'รับล่วงหน้า บช.'!Print_Area</vt:lpstr>
      <vt:lpstr>'agingปัจจุบันส่ง(ส่งบัญชี)'!Print_Titles</vt:lpstr>
      <vt:lpstr>'ปะหน้าAgingรายงานหนี้ค้าง บช.'!Print_Titles</vt:lpstr>
      <vt:lpstr>'รับล่วงหน้า บช.'!Print_Titles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สนง.เทคโนโลยีสารสนเทศ</cp:lastModifiedBy>
  <cp:lastPrinted>2026-08-05T08:18:09Z</cp:lastPrinted>
  <dcterms:created xsi:type="dcterms:W3CDTF">2007-06-26T08:15:28Z</dcterms:created>
  <dcterms:modified xsi:type="dcterms:W3CDTF">2026-08-13T14:07:18Z</dcterms:modified>
</cp:coreProperties>
</file>