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811E58AE-66F2-4F1B-B603-9F6735F3983B}" xr6:coauthVersionLast="47" xr6:coauthVersionMax="47" xr10:uidLastSave="{00000000-0000-0000-0000-000000000000}"/>
  <bookViews>
    <workbookView xWindow="-108" yWindow="-108" windowWidth="23256" windowHeight="12456" xr2:uid="{AF739688-7550-40BE-ACB4-54CA590C25DC}"/>
  </bookViews>
  <sheets>
    <sheet name="1_ข้อมูลลูกหนี้ สป.สป. (0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36" i="1" l="1"/>
  <c r="I436" i="1"/>
  <c r="H436" i="1"/>
  <c r="I435" i="1"/>
  <c r="J435" i="1" s="1"/>
  <c r="H435" i="1"/>
  <c r="J434" i="1"/>
  <c r="I434" i="1"/>
  <c r="H434" i="1"/>
  <c r="I433" i="1"/>
  <c r="J433" i="1" s="1"/>
  <c r="H433" i="1"/>
  <c r="J432" i="1"/>
  <c r="I432" i="1"/>
  <c r="H432" i="1"/>
  <c r="J431" i="1"/>
  <c r="I431" i="1"/>
  <c r="H431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H120" i="1"/>
  <c r="I120" i="1" s="1"/>
  <c r="J120" i="1" s="1"/>
  <c r="J117" i="1"/>
  <c r="I117" i="1"/>
  <c r="H117" i="1"/>
  <c r="H116" i="1"/>
  <c r="I116" i="1" s="1"/>
  <c r="J116" i="1" s="1"/>
  <c r="H115" i="1"/>
  <c r="I115" i="1" s="1"/>
  <c r="J115" i="1" s="1"/>
  <c r="J113" i="1"/>
  <c r="I113" i="1"/>
  <c r="H113" i="1"/>
  <c r="H112" i="1"/>
  <c r="I112" i="1" s="1"/>
  <c r="J112" i="1" s="1"/>
  <c r="H111" i="1"/>
  <c r="I111" i="1" s="1"/>
  <c r="J111" i="1" s="1"/>
  <c r="J109" i="1"/>
  <c r="I109" i="1"/>
  <c r="H109" i="1"/>
  <c r="H108" i="1"/>
  <c r="I108" i="1" s="1"/>
  <c r="J108" i="1" s="1"/>
  <c r="H107" i="1"/>
  <c r="I107" i="1" s="1"/>
  <c r="J107" i="1" s="1"/>
  <c r="J105" i="1"/>
  <c r="I105" i="1"/>
  <c r="H105" i="1"/>
  <c r="H104" i="1"/>
  <c r="I104" i="1" s="1"/>
  <c r="J104" i="1" s="1"/>
  <c r="H103" i="1"/>
  <c r="I103" i="1" s="1"/>
  <c r="J103" i="1" s="1"/>
  <c r="J101" i="1"/>
  <c r="I101" i="1"/>
  <c r="H101" i="1"/>
  <c r="H100" i="1"/>
  <c r="I100" i="1" s="1"/>
  <c r="J100" i="1" s="1"/>
  <c r="H99" i="1"/>
  <c r="I99" i="1" s="1"/>
  <c r="J99" i="1" s="1"/>
  <c r="J97" i="1"/>
  <c r="I97" i="1"/>
  <c r="H97" i="1"/>
  <c r="H96" i="1"/>
  <c r="I96" i="1" s="1"/>
  <c r="J96" i="1" s="1"/>
  <c r="H95" i="1"/>
  <c r="I95" i="1" s="1"/>
  <c r="J95" i="1" s="1"/>
  <c r="J93" i="1"/>
  <c r="I93" i="1"/>
  <c r="H93" i="1"/>
  <c r="H92" i="1"/>
  <c r="I92" i="1" s="1"/>
  <c r="J92" i="1" s="1"/>
  <c r="H91" i="1"/>
  <c r="I91" i="1" s="1"/>
  <c r="J91" i="1" s="1"/>
  <c r="J89" i="1"/>
  <c r="I89" i="1"/>
  <c r="H89" i="1"/>
  <c r="H88" i="1"/>
  <c r="I88" i="1" s="1"/>
  <c r="J88" i="1" s="1"/>
  <c r="H87" i="1"/>
  <c r="I87" i="1" s="1"/>
  <c r="J87" i="1" s="1"/>
  <c r="J85" i="1"/>
  <c r="I85" i="1"/>
  <c r="H85" i="1"/>
  <c r="H84" i="1"/>
  <c r="I84" i="1" s="1"/>
  <c r="J84" i="1" s="1"/>
  <c r="H83" i="1"/>
  <c r="I83" i="1" s="1"/>
  <c r="J83" i="1" s="1"/>
  <c r="J81" i="1"/>
  <c r="I81" i="1"/>
  <c r="H81" i="1"/>
  <c r="H80" i="1"/>
  <c r="I80" i="1" s="1"/>
  <c r="J80" i="1" s="1"/>
  <c r="H79" i="1"/>
  <c r="I79" i="1" s="1"/>
  <c r="J79" i="1" s="1"/>
  <c r="J77" i="1"/>
  <c r="I77" i="1"/>
  <c r="H77" i="1"/>
  <c r="H76" i="1"/>
  <c r="I76" i="1" s="1"/>
  <c r="J76" i="1" s="1"/>
  <c r="H75" i="1"/>
  <c r="I75" i="1" s="1"/>
  <c r="J75" i="1" s="1"/>
  <c r="J73" i="1"/>
  <c r="I73" i="1"/>
  <c r="H73" i="1"/>
  <c r="H72" i="1"/>
  <c r="I72" i="1" s="1"/>
  <c r="J72" i="1" s="1"/>
  <c r="H71" i="1"/>
  <c r="I71" i="1" s="1"/>
  <c r="J71" i="1" s="1"/>
  <c r="J69" i="1"/>
  <c r="I69" i="1"/>
  <c r="H69" i="1"/>
  <c r="H68" i="1"/>
  <c r="I68" i="1" s="1"/>
  <c r="J68" i="1" s="1"/>
  <c r="H67" i="1"/>
  <c r="I67" i="1" s="1"/>
  <c r="J67" i="1" s="1"/>
  <c r="J65" i="1"/>
  <c r="I65" i="1"/>
  <c r="H65" i="1"/>
  <c r="H64" i="1"/>
  <c r="I64" i="1" s="1"/>
  <c r="J64" i="1" s="1"/>
  <c r="H63" i="1"/>
  <c r="I63" i="1" s="1"/>
  <c r="J63" i="1" s="1"/>
  <c r="J61" i="1"/>
  <c r="I61" i="1"/>
  <c r="H61" i="1"/>
  <c r="H60" i="1"/>
  <c r="I60" i="1" s="1"/>
  <c r="J60" i="1" s="1"/>
  <c r="H59" i="1"/>
  <c r="I59" i="1" s="1"/>
  <c r="J59" i="1" s="1"/>
  <c r="J57" i="1"/>
  <c r="I57" i="1"/>
  <c r="H57" i="1"/>
  <c r="H56" i="1"/>
  <c r="I56" i="1" s="1"/>
  <c r="J56" i="1" s="1"/>
  <c r="H55" i="1"/>
  <c r="I55" i="1" s="1"/>
  <c r="J55" i="1" s="1"/>
  <c r="J53" i="1"/>
  <c r="I53" i="1"/>
  <c r="H53" i="1"/>
  <c r="H52" i="1"/>
  <c r="I52" i="1" s="1"/>
  <c r="J52" i="1" s="1"/>
  <c r="H51" i="1"/>
  <c r="I51" i="1" s="1"/>
  <c r="J51" i="1" s="1"/>
  <c r="J49" i="1"/>
  <c r="I49" i="1"/>
  <c r="H49" i="1"/>
  <c r="H48" i="1"/>
  <c r="I48" i="1" s="1"/>
  <c r="J48" i="1" s="1"/>
  <c r="H47" i="1"/>
  <c r="I47" i="1" s="1"/>
  <c r="J47" i="1" s="1"/>
  <c r="J45" i="1"/>
  <c r="I45" i="1"/>
  <c r="H45" i="1"/>
  <c r="H44" i="1"/>
  <c r="I44" i="1" s="1"/>
  <c r="J44" i="1" s="1"/>
  <c r="H43" i="1"/>
  <c r="I43" i="1" s="1"/>
  <c r="J43" i="1" s="1"/>
  <c r="J41" i="1"/>
  <c r="I41" i="1"/>
  <c r="H41" i="1"/>
  <c r="H40" i="1"/>
  <c r="I40" i="1" s="1"/>
  <c r="J40" i="1" s="1"/>
  <c r="H39" i="1"/>
  <c r="I39" i="1" s="1"/>
  <c r="J39" i="1" s="1"/>
  <c r="J37" i="1"/>
  <c r="I37" i="1"/>
  <c r="H37" i="1"/>
  <c r="H36" i="1"/>
  <c r="I36" i="1" s="1"/>
  <c r="J36" i="1" s="1"/>
  <c r="H35" i="1"/>
  <c r="I35" i="1" s="1"/>
  <c r="J35" i="1" s="1"/>
  <c r="J33" i="1"/>
  <c r="I33" i="1"/>
  <c r="H33" i="1"/>
  <c r="H32" i="1"/>
  <c r="I32" i="1" s="1"/>
  <c r="J32" i="1" s="1"/>
  <c r="H31" i="1"/>
  <c r="I31" i="1" s="1"/>
  <c r="J31" i="1" s="1"/>
  <c r="J29" i="1"/>
  <c r="I29" i="1"/>
  <c r="H29" i="1"/>
  <c r="H28" i="1"/>
  <c r="I28" i="1" s="1"/>
  <c r="J28" i="1" s="1"/>
  <c r="H27" i="1"/>
  <c r="I27" i="1" s="1"/>
  <c r="J27" i="1" s="1"/>
  <c r="J25" i="1"/>
  <c r="I25" i="1"/>
  <c r="H25" i="1"/>
  <c r="H24" i="1"/>
  <c r="I24" i="1" s="1"/>
  <c r="J24" i="1" s="1"/>
  <c r="H23" i="1"/>
  <c r="I23" i="1" s="1"/>
  <c r="J23" i="1" s="1"/>
  <c r="J21" i="1"/>
  <c r="I21" i="1"/>
  <c r="H21" i="1"/>
  <c r="H20" i="1"/>
  <c r="I20" i="1" s="1"/>
  <c r="J20" i="1" s="1"/>
  <c r="H19" i="1"/>
  <c r="I19" i="1" s="1"/>
  <c r="J19" i="1" s="1"/>
  <c r="J17" i="1"/>
  <c r="I17" i="1"/>
  <c r="H17" i="1"/>
  <c r="H16" i="1"/>
  <c r="I16" i="1" s="1"/>
  <c r="J16" i="1" s="1"/>
  <c r="H15" i="1"/>
  <c r="I15" i="1" s="1"/>
  <c r="J15" i="1" s="1"/>
  <c r="J13" i="1"/>
  <c r="I13" i="1"/>
  <c r="H13" i="1"/>
  <c r="H12" i="1"/>
  <c r="I12" i="1" s="1"/>
  <c r="J12" i="1" s="1"/>
  <c r="H11" i="1"/>
  <c r="I11" i="1" s="1"/>
  <c r="J11" i="1" s="1"/>
  <c r="J9" i="1"/>
  <c r="I9" i="1"/>
  <c r="H9" i="1"/>
  <c r="H8" i="1"/>
  <c r="I8" i="1" s="1"/>
  <c r="J8" i="1" s="1"/>
  <c r="F5" i="1"/>
  <c r="H119" i="1" s="1"/>
  <c r="I119" i="1" s="1"/>
  <c r="J119" i="1" s="1"/>
  <c r="H10" i="1" l="1"/>
  <c r="I10" i="1" s="1"/>
  <c r="J10" i="1" s="1"/>
  <c r="H14" i="1"/>
  <c r="I14" i="1" s="1"/>
  <c r="J14" i="1" s="1"/>
  <c r="H18" i="1"/>
  <c r="I18" i="1" s="1"/>
  <c r="J18" i="1" s="1"/>
  <c r="H22" i="1"/>
  <c r="I22" i="1" s="1"/>
  <c r="J22" i="1" s="1"/>
  <c r="H26" i="1"/>
  <c r="I26" i="1" s="1"/>
  <c r="J26" i="1" s="1"/>
  <c r="H30" i="1"/>
  <c r="I30" i="1" s="1"/>
  <c r="J30" i="1" s="1"/>
  <c r="H34" i="1"/>
  <c r="I34" i="1" s="1"/>
  <c r="J34" i="1" s="1"/>
  <c r="H38" i="1"/>
  <c r="I38" i="1" s="1"/>
  <c r="J38" i="1" s="1"/>
  <c r="H42" i="1"/>
  <c r="I42" i="1" s="1"/>
  <c r="J42" i="1" s="1"/>
  <c r="H46" i="1"/>
  <c r="I46" i="1" s="1"/>
  <c r="J46" i="1" s="1"/>
  <c r="H50" i="1"/>
  <c r="I50" i="1" s="1"/>
  <c r="J50" i="1" s="1"/>
  <c r="H54" i="1"/>
  <c r="I54" i="1" s="1"/>
  <c r="J54" i="1" s="1"/>
  <c r="H58" i="1"/>
  <c r="I58" i="1" s="1"/>
  <c r="J58" i="1" s="1"/>
  <c r="H62" i="1"/>
  <c r="I62" i="1" s="1"/>
  <c r="J62" i="1" s="1"/>
  <c r="H66" i="1"/>
  <c r="I66" i="1" s="1"/>
  <c r="J66" i="1" s="1"/>
  <c r="H70" i="1"/>
  <c r="I70" i="1" s="1"/>
  <c r="J70" i="1" s="1"/>
  <c r="H74" i="1"/>
  <c r="I74" i="1" s="1"/>
  <c r="J74" i="1" s="1"/>
  <c r="H78" i="1"/>
  <c r="I78" i="1" s="1"/>
  <c r="J78" i="1" s="1"/>
  <c r="H82" i="1"/>
  <c r="I82" i="1" s="1"/>
  <c r="J82" i="1" s="1"/>
  <c r="H86" i="1"/>
  <c r="I86" i="1" s="1"/>
  <c r="J86" i="1" s="1"/>
  <c r="H90" i="1"/>
  <c r="I90" i="1" s="1"/>
  <c r="J90" i="1" s="1"/>
  <c r="H94" i="1"/>
  <c r="I94" i="1" s="1"/>
  <c r="J94" i="1" s="1"/>
  <c r="H98" i="1"/>
  <c r="I98" i="1" s="1"/>
  <c r="J98" i="1" s="1"/>
  <c r="H102" i="1"/>
  <c r="I102" i="1" s="1"/>
  <c r="J102" i="1" s="1"/>
  <c r="H106" i="1"/>
  <c r="I106" i="1" s="1"/>
  <c r="J106" i="1" s="1"/>
  <c r="H110" i="1"/>
  <c r="I110" i="1" s="1"/>
  <c r="J110" i="1" s="1"/>
  <c r="H114" i="1"/>
  <c r="I114" i="1" s="1"/>
  <c r="J114" i="1" s="1"/>
  <c r="H118" i="1"/>
  <c r="I118" i="1" s="1"/>
  <c r="J118" i="1" s="1"/>
</calcChain>
</file>

<file path=xl/sharedStrings.xml><?xml version="1.0" encoding="utf-8"?>
<sst xmlns="http://schemas.openxmlformats.org/spreadsheetml/2006/main" count="361" uniqueCount="327">
  <si>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</si>
  <si>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</si>
  <si>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</si>
  <si>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</si>
  <si>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</si>
  <si>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</si>
  <si>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</si>
  <si>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</si>
  <si>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</si>
  <si>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</si>
  <si>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</si>
  <si>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</si>
  <si>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</si>
  <si>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</si>
  <si>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</si>
  <si>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C-03-06-0001</t>
  </si>
  <si>
    <t xml:space="preserve">นางรำพึง  แจ้งกระจ่าง </t>
  </si>
  <si>
    <t>ตลาดปลาน้ำจืด</t>
  </si>
  <si>
    <t>ยังไม่ครบกำหนด</t>
  </si>
  <si>
    <t>C-03-06-0002</t>
  </si>
  <si>
    <t>บ.เลนโซ่เทอร์มินอล</t>
  </si>
  <si>
    <t xml:space="preserve">ค่าใช้เส้นทาง </t>
  </si>
  <si>
    <t>1–30 วัน</t>
  </si>
  <si>
    <t>C-03-06-0003</t>
  </si>
  <si>
    <t>บ.ศรีพิทักษ์ โฟเซ็นฟู้ด</t>
  </si>
  <si>
    <t>31–60 วัน</t>
  </si>
  <si>
    <t>C-03-06-0004</t>
  </si>
  <si>
    <t>บ.รวมไทยบรรจุภัณฑ์ จก.</t>
  </si>
  <si>
    <t>61–90 วัน</t>
  </si>
  <si>
    <t>C-03-06-0005</t>
  </si>
  <si>
    <t>บ.รถเอสทรานสปอร์ต</t>
  </si>
  <si>
    <t>ค่ารถผ่านทาง</t>
  </si>
  <si>
    <t>91–180 วัน</t>
  </si>
  <si>
    <t>C-03-06-0006</t>
  </si>
  <si>
    <t>บ.โฟไทยเอ็นเนอยี่ จก</t>
  </si>
  <si>
    <t>181–365 วัน</t>
  </si>
  <si>
    <t>C-03-06-0007</t>
  </si>
  <si>
    <t>วิจิตร เพชรสว่าง</t>
  </si>
  <si>
    <t>รถวิน #5</t>
  </si>
  <si>
    <t>เกิน 365 วัน</t>
  </si>
  <si>
    <t>C-03-06-0008</t>
  </si>
  <si>
    <t>นายอุทัย ทองจันทร์</t>
  </si>
  <si>
    <t>รถวิน #11</t>
  </si>
  <si>
    <t>C-03-06-0009</t>
  </si>
  <si>
    <t>สมคิด มาเพชร</t>
  </si>
  <si>
    <t>รถวิน #21</t>
  </si>
  <si>
    <t>C-03-06-0010</t>
  </si>
  <si>
    <t>นายอุเทน์ เลี้ยวเรียนรู้</t>
  </si>
  <si>
    <t>รถวิน #22</t>
  </si>
  <si>
    <t>C-03-06-0011</t>
  </si>
  <si>
    <t>นายอนุชิต  ทองคำ (เริ่มเช่า มค.69)</t>
  </si>
  <si>
    <t>ต่อเติม 340/58</t>
  </si>
  <si>
    <t>C-03-06-0012</t>
  </si>
  <si>
    <t>น.ส.รัศมี  อรัญชราธร</t>
  </si>
  <si>
    <t>ต่อเติม340/93-94</t>
  </si>
  <si>
    <t>C-03-06-0013</t>
  </si>
  <si>
    <t>นายณัฐพงศ์  อรัญชราธร</t>
  </si>
  <si>
    <t>ต่อเติม340/59-60</t>
  </si>
  <si>
    <t>C-03-06-0014</t>
  </si>
  <si>
    <t>นางบานชื่น สวัสดี</t>
  </si>
  <si>
    <t>340/19</t>
  </si>
  <si>
    <t>C-03-06-0015</t>
  </si>
  <si>
    <t>นายทรงพล เกตุแก้ว</t>
  </si>
  <si>
    <t>340/3</t>
  </si>
  <si>
    <t>C-03-06-0016</t>
  </si>
  <si>
    <t>บ.โฟไทยเอ็นเนอยี่ จก.</t>
  </si>
  <si>
    <t>ค่าใช้พื้นที่ทางเข้าคลัง</t>
  </si>
  <si>
    <t>C-03-06-0017</t>
  </si>
  <si>
    <t>นางหนูแดง แซ่อึ้ง</t>
  </si>
  <si>
    <t>ค่าใช้สถานที่ 25 ตรม.</t>
  </si>
  <si>
    <t>C-03-06-0018</t>
  </si>
  <si>
    <t>นางมณี กล้าหาญ</t>
  </si>
  <si>
    <t>C-03-06-0019</t>
  </si>
  <si>
    <t>นายสยาม ชัยวิเชียร</t>
  </si>
  <si>
    <t>ค่าวางเครน</t>
  </si>
  <si>
    <t>C-03-06-0020</t>
  </si>
  <si>
    <t>นางอริยา พลอาษา</t>
  </si>
  <si>
    <t>จอดรถบ่อบำบัด(1)</t>
  </si>
  <si>
    <t>C-03-06-0021</t>
  </si>
  <si>
    <t>จอดรถบ่อบำบัด (2)</t>
  </si>
  <si>
    <t>C-03-06-0022</t>
  </si>
  <si>
    <t>นายสุรชัย ผลเวช</t>
  </si>
  <si>
    <t xml:space="preserve">จอดรถบ่อบำบัด </t>
  </si>
  <si>
    <t>C-03-06-0023</t>
  </si>
  <si>
    <t>ค่าใช้เส้นผ่านเข้า-ออก (อย)</t>
  </si>
  <si>
    <t>C-03-06-0024</t>
  </si>
  <si>
    <t>นางณัชญ์สนัน พรยุทธชาติ</t>
  </si>
  <si>
    <t>C-03-06-0025</t>
  </si>
  <si>
    <t>นายวาทิตย์ วรทัศน์</t>
  </si>
  <si>
    <t>จอดรถเครน</t>
  </si>
  <si>
    <t>C-03-06-0026</t>
  </si>
  <si>
    <t>นายคทาธิป วงษ์จัน</t>
  </si>
  <si>
    <t>จอดรถ</t>
  </si>
  <si>
    <t>C-03-06-0027</t>
  </si>
  <si>
    <t>นายอนุชิต  ทองคำ</t>
  </si>
  <si>
    <t>C-03-06-0028</t>
  </si>
  <si>
    <t>นายพงษ์ภรณ์  บำรุงธรรม</t>
  </si>
  <si>
    <t>ใช้สถานที่จอดรถ</t>
  </si>
  <si>
    <t>C-03-06-0029</t>
  </si>
  <si>
    <t>นางสมส่วน  วัชรสา</t>
  </si>
  <si>
    <t>C-03-06-0030</t>
  </si>
  <si>
    <t>นางสาวชาลินีย์ ท้วมเหลือ</t>
  </si>
  <si>
    <t>ใช้สถานที่จอดรถตลาดปลาน้ำจืด</t>
  </si>
  <si>
    <t>C-03-06-0031</t>
  </si>
  <si>
    <t>นายธนธโรจน์ ฤทธิรณ</t>
  </si>
  <si>
    <t>ต่อเติม 340/23</t>
  </si>
  <si>
    <t>C-03-06-0032</t>
  </si>
  <si>
    <t>เรือ ศรีนพรัตน์ 15 (เกรียงศักดิ์ เกษมธีรสมบูรณ์)</t>
  </si>
  <si>
    <t>จอดเรือ</t>
  </si>
  <si>
    <t>C-03-06-0033</t>
  </si>
  <si>
    <t>เรือ ฮ.เจริญสมุทร 23(นายพงษ์ธร เตรณานนท์)</t>
  </si>
  <si>
    <t>C-03-06-0034</t>
  </si>
  <si>
    <t>เรือสุวรรณนำโชค (นายประพจน์ เรืองแจ่ม)</t>
  </si>
  <si>
    <t>C-03-06-0035</t>
  </si>
  <si>
    <t>เรือโชคพูลผล (นายบุญช่วย พึ่งเจริญ)</t>
  </si>
  <si>
    <t>C-03-06-0036</t>
  </si>
  <si>
    <t>เรือน้ำมันอินเตอร์(นายธนัทดสฎฐ์</t>
  </si>
  <si>
    <t>C-03-06-0037</t>
  </si>
  <si>
    <t>เรือชัยประเสริฐ์(นายวิเชียร สินศักดิ์จรุงเดช)</t>
  </si>
  <si>
    <t>C-03-06-0038</t>
  </si>
  <si>
    <t>นายวิวัฒน์ หมื่นสกุล</t>
  </si>
  <si>
    <t>วางถังดองปลา</t>
  </si>
  <si>
    <t>C-03-06-0039</t>
  </si>
  <si>
    <t>นายไพบูลย์ เกษมธีรสมบูรณ์</t>
  </si>
  <si>
    <t>C-03-06-0040</t>
  </si>
  <si>
    <t>นายสุรัตน์ เกษมธีรสมบูรณ์</t>
  </si>
  <si>
    <t>C-03-06-0041</t>
  </si>
  <si>
    <t>วางอวน</t>
  </si>
  <si>
    <t>C-03-06-0042</t>
  </si>
  <si>
    <t>นายพุฒิพงษ์ ไชยวิเศษสกุล</t>
  </si>
  <si>
    <t>C-03-06-0043</t>
  </si>
  <si>
    <t>บจก.สกาย มารีน</t>
  </si>
  <si>
    <t>วางของ</t>
  </si>
  <si>
    <t>C-03-06-0044</t>
  </si>
  <si>
    <t>นายธนะพัมน์ จิระตระกูลรัตน์</t>
  </si>
  <si>
    <t>วางตู้คอนเทรนเนอร์</t>
  </si>
  <si>
    <t>C-03-06-0045</t>
  </si>
  <si>
    <t>นายสุริยา สุขศิริ</t>
  </si>
  <si>
    <t>น้ำจืดล็อค 2</t>
  </si>
  <si>
    <t>C-03-06-0046</t>
  </si>
  <si>
    <t>นางมนูญ แซ่อึ่ง</t>
  </si>
  <si>
    <t>น้ำจืดล็อค 3</t>
  </si>
  <si>
    <t>C-03-06-0047</t>
  </si>
  <si>
    <t>น้ำจืดล็อค 4</t>
  </si>
  <si>
    <t>C-03-06-0048</t>
  </si>
  <si>
    <t>น้ำจืดล็อค 5</t>
  </si>
  <si>
    <t>C-03-06-0049</t>
  </si>
  <si>
    <t>นายโอภาส พุ่มนิคม</t>
  </si>
  <si>
    <t>น้ำจืดล็อค 8</t>
  </si>
  <si>
    <t>C-03-06-0050</t>
  </si>
  <si>
    <t>นางสาวนฤมล พุ่มนิคม</t>
  </si>
  <si>
    <t>น้ำจืดล็อค 9</t>
  </si>
  <si>
    <t>C-03-06-0051</t>
  </si>
  <si>
    <t>นางรำพึง แจ้งกระจ่าง</t>
  </si>
  <si>
    <t>น้ำจืดล็อค 12-13</t>
  </si>
  <si>
    <t>C-03-06-0052</t>
  </si>
  <si>
    <t>นางบุญโฮม สดไธสง</t>
  </si>
  <si>
    <t>น้ำจืดล็อค 14</t>
  </si>
  <si>
    <t>C-03-06-0053</t>
  </si>
  <si>
    <t>นายพงษ์เจริญ สดไธง</t>
  </si>
  <si>
    <t>น้ำจืดล็อค 15</t>
  </si>
  <si>
    <t>C-03-06-0054</t>
  </si>
  <si>
    <t>นายวัลลภ สร้อยบุ/น.สวันเพ็ญ งามขำ</t>
  </si>
  <si>
    <t>น้ำจืดล็อค 16</t>
  </si>
  <si>
    <t>C-03-06-0055</t>
  </si>
  <si>
    <t>นายสมพล พลหินกอง</t>
  </si>
  <si>
    <t>น้ำจืดล็อค 17</t>
  </si>
  <si>
    <t>C-03-06-0056</t>
  </si>
  <si>
    <t>นางสาวพัชระภรณ์ บุญบารมี</t>
  </si>
  <si>
    <t>น้ำจืดล็อค 18-19</t>
  </si>
  <si>
    <t>C-03-06-0057</t>
  </si>
  <si>
    <t>นายธนะโรจน์ ฤทธิรณ</t>
  </si>
  <si>
    <t>340/23-24</t>
  </si>
  <si>
    <t>C-03-06-0058</t>
  </si>
  <si>
    <t>340/25-26</t>
  </si>
  <si>
    <t>C-03-06-0059</t>
  </si>
  <si>
    <t>นายธนกฤต  ปิยสิรินันท์</t>
  </si>
  <si>
    <t>340/27</t>
  </si>
  <si>
    <t>C-03-06-0060</t>
  </si>
  <si>
    <t>นางสาวณัฐธนา แนบทางดี</t>
  </si>
  <si>
    <t>340/28-29</t>
  </si>
  <si>
    <t>C-03-06-0061</t>
  </si>
  <si>
    <t>นางสาวรุ่งนภา พรมชินวงศ์</t>
  </si>
  <si>
    <t>340/33</t>
  </si>
  <si>
    <t>C-03-06-0062</t>
  </si>
  <si>
    <t>บ.ปิติห้องเย็น จก.</t>
  </si>
  <si>
    <t>340/34-35</t>
  </si>
  <si>
    <t>C-03-06-0063</t>
  </si>
  <si>
    <t>นายมานิตย์ แซ่ลี้</t>
  </si>
  <si>
    <t>340/36</t>
  </si>
  <si>
    <t>C-03-06-0064</t>
  </si>
  <si>
    <t>นางประไพ  เดชประเสริฐ</t>
  </si>
  <si>
    <t>340/37-38</t>
  </si>
  <si>
    <t>C-03-06-0065</t>
  </si>
  <si>
    <t>340/39</t>
  </si>
  <si>
    <t>C-03-06-0066</t>
  </si>
  <si>
    <t>340/40</t>
  </si>
  <si>
    <t>C-03-06-0067</t>
  </si>
  <si>
    <t>นายธนทรัพย์  มีทรัพย์วัฒนา</t>
  </si>
  <si>
    <t>340/41-42</t>
  </si>
  <si>
    <t>C-03-06-0068</t>
  </si>
  <si>
    <t>นางสุดสงวน  อุดมสินธุ์สาคร</t>
  </si>
  <si>
    <t>340/43</t>
  </si>
  <si>
    <t>C-03-06-0069</t>
  </si>
  <si>
    <t>340/44</t>
  </si>
  <si>
    <t>C-03-06-0070</t>
  </si>
  <si>
    <t>บริษัท สุรพล ฟู้ดส์</t>
  </si>
  <si>
    <t>340/45</t>
  </si>
  <si>
    <t>C-03-06-0071</t>
  </si>
  <si>
    <t>นายนิพนธ์ รุ่งศรีบรรณ</t>
  </si>
  <si>
    <t>340/47</t>
  </si>
  <si>
    <t>C-03-06-0072</t>
  </si>
  <si>
    <t>340/48-49</t>
  </si>
  <si>
    <t>C-03-06-0073</t>
  </si>
  <si>
    <t>คุณศราวุธ สิขรินทร์ภักดีกุล</t>
  </si>
  <si>
    <t>340/50-51</t>
  </si>
  <si>
    <t>C-03-06-0074</t>
  </si>
  <si>
    <t>นายมณูศักดิ์ สายกี่เส็ง</t>
  </si>
  <si>
    <t>340/52</t>
  </si>
  <si>
    <t>C-03-06-0075</t>
  </si>
  <si>
    <t>นายอนุชิต ทองคำ (เริ่มเช่า มค.69)</t>
  </si>
  <si>
    <t>340/53</t>
  </si>
  <si>
    <t>C-03-06-0076</t>
  </si>
  <si>
    <t>นายอนุรักษ์ โชคมงคล</t>
  </si>
  <si>
    <t>340/55</t>
  </si>
  <si>
    <t>C-03-06-0077</t>
  </si>
  <si>
    <t>นายพุทธินันท์ จรรยหาญ</t>
  </si>
  <si>
    <t>340/57</t>
  </si>
  <si>
    <t>C-03-06-0078</t>
  </si>
  <si>
    <t>340/58</t>
  </si>
  <si>
    <t>C-03-06-0079</t>
  </si>
  <si>
    <t>340/59-60</t>
  </si>
  <si>
    <t>C-03-06-0080</t>
  </si>
  <si>
    <t>นางรัศมี  อรัญชราธร</t>
  </si>
  <si>
    <t>340/61-63</t>
  </si>
  <si>
    <t>C-03-06-0081</t>
  </si>
  <si>
    <t>นางสาวรุ่งนภา  พรมชินวงศ์</t>
  </si>
  <si>
    <t>340/64</t>
  </si>
  <si>
    <t>C-03-06-0082</t>
  </si>
  <si>
    <t>นางสมส่วน วัชรสา</t>
  </si>
  <si>
    <t>340/65</t>
  </si>
  <si>
    <t>C-03-06-0083</t>
  </si>
  <si>
    <t>นางสาวมาลี  อาจชาวนา</t>
  </si>
  <si>
    <t>340/66</t>
  </si>
  <si>
    <t>C-03-06-0084</t>
  </si>
  <si>
    <t>นายสมพร  อาบสุวรรณ</t>
  </si>
  <si>
    <t>340/67</t>
  </si>
  <si>
    <t>C-03-06-0085</t>
  </si>
  <si>
    <t>340/68</t>
  </si>
  <si>
    <t>C-03-06-0086</t>
  </si>
  <si>
    <t>นางสาววรรณนิภา ทับทิมทอง</t>
  </si>
  <si>
    <t>340/69</t>
  </si>
  <si>
    <t>C-03-06-0087</t>
  </si>
  <si>
    <t>นายคทาธิป  วงษ์จัน</t>
  </si>
  <si>
    <t>340/70</t>
  </si>
  <si>
    <t>C-03-06-0088</t>
  </si>
  <si>
    <t>340/71</t>
  </si>
  <si>
    <t>C-03-06-0089</t>
  </si>
  <si>
    <t>นางสาวิรดา วัชรสา</t>
  </si>
  <si>
    <t>340/72</t>
  </si>
  <si>
    <t>C-03-06-0090</t>
  </si>
  <si>
    <t>นายภาศุ  พูลดี</t>
  </si>
  <si>
    <t>340/73</t>
  </si>
  <si>
    <t>C-03-06-0091</t>
  </si>
  <si>
    <t>นายทัศไนย  กุญรักษ์</t>
  </si>
  <si>
    <t>340/74</t>
  </si>
  <si>
    <t>C-03-06-0092</t>
  </si>
  <si>
    <t>นางสาวคมขำ  ดรุณพันธ์</t>
  </si>
  <si>
    <t>340/75-76</t>
  </si>
  <si>
    <t>C-03-06-0093</t>
  </si>
  <si>
    <t>นายอนุรักษ์  โชคมงคล</t>
  </si>
  <si>
    <t>340/77-78</t>
  </si>
  <si>
    <t>C-03-06-0094</t>
  </si>
  <si>
    <t>340/79</t>
  </si>
  <si>
    <t>C-03-06-0095</t>
  </si>
  <si>
    <t>นางสาวทองพูน แก้วทรัพย์</t>
  </si>
  <si>
    <t>340/80</t>
  </si>
  <si>
    <t>C-03-06-0096</t>
  </si>
  <si>
    <t>นางณัฐนันท์  รัตนนันวาที</t>
  </si>
  <si>
    <t>340/81</t>
  </si>
  <si>
    <t>C-03-06-0097</t>
  </si>
  <si>
    <t>นางสาวอังคณา กวินปกรณ์รัตน์</t>
  </si>
  <si>
    <t>340/82-83</t>
  </si>
  <si>
    <t>C-03-06-0098</t>
  </si>
  <si>
    <t>นายชูเกียรติ  เดชประเสริฐ</t>
  </si>
  <si>
    <t>340/84</t>
  </si>
  <si>
    <t>C-03-06-0099</t>
  </si>
  <si>
    <t>นายณัฐสม ศิลปไพรสณฑ์</t>
  </si>
  <si>
    <t>340/85-86</t>
  </si>
  <si>
    <t>C-03-06-0100</t>
  </si>
  <si>
    <t>นายสุพีภัทร บุษยะพันธ์</t>
  </si>
  <si>
    <t>340/87-88</t>
  </si>
  <si>
    <t>C-03-06-0101</t>
  </si>
  <si>
    <t>นายอานันท์ อรัญชราธร</t>
  </si>
  <si>
    <t>340/89-90</t>
  </si>
  <si>
    <t>C-03-06-0102</t>
  </si>
  <si>
    <t>นายอานันท์  อรัญชราธร</t>
  </si>
  <si>
    <t>340/91-92</t>
  </si>
  <si>
    <t>C-03-06-0103</t>
  </si>
  <si>
    <t>340/93-94</t>
  </si>
  <si>
    <t>C-03-06-0104</t>
  </si>
  <si>
    <t>ตลาดรายย่อย 1-2</t>
  </si>
  <si>
    <t>C-03-06-0105</t>
  </si>
  <si>
    <t>นายเลิศ แซ่หุ่น</t>
  </si>
  <si>
    <t>ตลาดรายย่อย4-5</t>
  </si>
  <si>
    <t>C-03-06-0106</t>
  </si>
  <si>
    <t>น.ส.คมขำ  ดรุณพันธ์</t>
  </si>
  <si>
    <t>ตลาดรายย่อย 7</t>
  </si>
  <si>
    <t>C-03-06-0107</t>
  </si>
  <si>
    <t>นายมนตรี  จงกมลวิวัฒน์</t>
  </si>
  <si>
    <t>ตลาดรายย่อย 9</t>
  </si>
  <si>
    <t>C-03-06-0108</t>
  </si>
  <si>
    <t>บ. มารีน เซอวิเทค จำกัด</t>
  </si>
  <si>
    <t>ตลาดรายย่อย 10</t>
  </si>
  <si>
    <t>C-03-06-0109</t>
  </si>
  <si>
    <t>น.ส.วราภรณ์  จำเริญจิตสกุล</t>
  </si>
  <si>
    <t>ตลาดรายย่อย 11</t>
  </si>
  <si>
    <t>C-03-06-0110</t>
  </si>
  <si>
    <t>นายนพดล  แซ่อึ้ง</t>
  </si>
  <si>
    <t>ตลาด ย่อย 12-13</t>
  </si>
  <si>
    <t>C-03-06-0111</t>
  </si>
  <si>
    <t>บริษัทสร้อยสุดา แลนด์ จำกัด</t>
  </si>
  <si>
    <t>ตลาดปลาน้ำเค็ม1-12</t>
  </si>
  <si>
    <t>C-03-06-0112</t>
  </si>
  <si>
    <t>ต่อเติมห้องน้ำ ห้องครัว</t>
  </si>
  <si>
    <t>C-03-06-0113</t>
  </si>
  <si>
    <t>ตลาดปลาน้ำเค็ม13-24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</si>
</sst>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1" applyFont="1" applyFill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164" fontId="10" fillId="0" borderId="1" xfId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164" fontId="11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3242-847F-4EC0-A0E2-091E44601712}">
  <sheetPr>
    <tabColor rgb="FFFFC000"/>
  </sheetPr>
  <dimension ref="B2:M1385"/>
  <sheetViews>
    <sheetView showGridLines="0" tabSelected="1" topLeftCell="A107" zoomScale="130" zoomScaleNormal="130" workbookViewId="0">
      <selection activeCell="F131" sqref="F131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4" width="26" customWidth="1"/>
    <col min="5" max="5" width="13.77734375" style="2" customWidth="1"/>
    <col min="6" max="6" width="16" style="2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3" t="s">
        <v>1</v>
      </c>
    </row>
    <row r="5" spans="2:13" ht="16.2" x14ac:dyDescent="0.45">
      <c r="B5" s="4" t="s">
        <v>2</v>
      </c>
      <c r="F5" s="5">
        <f>DATE(2026,6,30)</f>
        <v>46203</v>
      </c>
      <c r="G5" s="6" t="s">
        <v>3</v>
      </c>
    </row>
    <row r="7" spans="2:13" ht="21.75" customHeight="1" x14ac:dyDescent="0.35">
      <c r="B7" s="7" t="s">
        <v>4</v>
      </c>
      <c r="C7" s="7" t="s">
        <v>5</v>
      </c>
      <c r="D7" s="8" t="s">
        <v>6</v>
      </c>
      <c r="E7" s="9" t="s">
        <v>7</v>
      </c>
      <c r="F7" s="10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L7" s="11" t="s">
        <v>13</v>
      </c>
      <c r="M7" s="11" t="s">
        <v>14</v>
      </c>
    </row>
    <row r="8" spans="2:13" x14ac:dyDescent="0.35">
      <c r="B8" s="12" t="s">
        <v>15</v>
      </c>
      <c r="C8" s="13" t="s">
        <v>16</v>
      </c>
      <c r="D8" s="13" t="s">
        <v>17</v>
      </c>
      <c r="E8" s="14">
        <v>5350</v>
      </c>
      <c r="F8" s="15">
        <v>5350</v>
      </c>
      <c r="G8" s="16">
        <v>46178</v>
      </c>
      <c r="H8" s="17">
        <f t="shared" ref="H8:H262" si="0">IF(G8="","",$F$5-G8)</f>
        <v>25</v>
      </c>
      <c r="I8" s="17">
        <f t="shared" ref="I8:I263" si="1">IF(G8="","",IF(H8&lt;=0,0,IF(H8&lt;=30,1,IF(H8&lt;=60,2,IF(H8&lt;=90,3,IF(H8&lt;=180,4,IF(H8&lt;=365,5,6)))))))</f>
        <v>1</v>
      </c>
      <c r="J8" s="18" t="str">
        <f t="shared" ref="J8:J262" si="2">IF(I8="","",INDEX($M$8:$M$14,MATCH(I8,$L$8:$L$14,0)))</f>
        <v>1–30 วัน</v>
      </c>
      <c r="L8" s="19">
        <v>0</v>
      </c>
      <c r="M8" s="19" t="s">
        <v>18</v>
      </c>
    </row>
    <row r="9" spans="2:13" x14ac:dyDescent="0.35">
      <c r="B9" s="12" t="s">
        <v>19</v>
      </c>
      <c r="C9" s="13" t="s">
        <v>20</v>
      </c>
      <c r="D9" s="13" t="s">
        <v>21</v>
      </c>
      <c r="E9" s="14">
        <v>10700</v>
      </c>
      <c r="F9" s="15"/>
      <c r="G9" s="16">
        <v>46178</v>
      </c>
      <c r="H9" s="17">
        <f t="shared" si="0"/>
        <v>25</v>
      </c>
      <c r="I9" s="17">
        <f t="shared" si="1"/>
        <v>1</v>
      </c>
      <c r="J9" s="18" t="str">
        <f t="shared" si="2"/>
        <v>1–30 วัน</v>
      </c>
      <c r="L9" s="19">
        <v>1</v>
      </c>
      <c r="M9" s="19" t="s">
        <v>22</v>
      </c>
    </row>
    <row r="10" spans="2:13" x14ac:dyDescent="0.35">
      <c r="B10" s="12" t="s">
        <v>23</v>
      </c>
      <c r="C10" s="13" t="s">
        <v>24</v>
      </c>
      <c r="D10" s="13" t="s">
        <v>21</v>
      </c>
      <c r="E10" s="14">
        <v>5350</v>
      </c>
      <c r="F10" s="15"/>
      <c r="G10" s="16">
        <v>46178</v>
      </c>
      <c r="H10" s="17">
        <f t="shared" si="0"/>
        <v>25</v>
      </c>
      <c r="I10" s="17">
        <f>IF(G10="","",IF(H10&lt;=0,0,IF(H10&lt;=30,1,IF(H10&lt;=60,2,IF(H10&lt;=90,3,IF(H10&lt;=180,4,IF(H10&lt;=365,5,6)))))))</f>
        <v>1</v>
      </c>
      <c r="J10" s="18" t="str">
        <f t="shared" si="2"/>
        <v>1–30 วัน</v>
      </c>
      <c r="L10" s="19">
        <v>2</v>
      </c>
      <c r="M10" s="19" t="s">
        <v>25</v>
      </c>
    </row>
    <row r="11" spans="2:13" x14ac:dyDescent="0.35">
      <c r="B11" s="12" t="s">
        <v>26</v>
      </c>
      <c r="C11" s="13" t="s">
        <v>27</v>
      </c>
      <c r="D11" s="13" t="s">
        <v>21</v>
      </c>
      <c r="E11" s="14">
        <v>5350</v>
      </c>
      <c r="F11" s="15"/>
      <c r="G11" s="16">
        <v>46178</v>
      </c>
      <c r="H11" s="17">
        <f t="shared" si="0"/>
        <v>25</v>
      </c>
      <c r="I11" s="17">
        <f t="shared" si="1"/>
        <v>1</v>
      </c>
      <c r="J11" s="18" t="str">
        <f t="shared" si="2"/>
        <v>1–30 วัน</v>
      </c>
      <c r="L11" s="19">
        <v>3</v>
      </c>
      <c r="M11" s="19" t="s">
        <v>28</v>
      </c>
    </row>
    <row r="12" spans="2:13" x14ac:dyDescent="0.35">
      <c r="B12" s="12" t="s">
        <v>29</v>
      </c>
      <c r="C12" s="13" t="s">
        <v>30</v>
      </c>
      <c r="D12" s="13" t="s">
        <v>31</v>
      </c>
      <c r="E12" s="14">
        <v>3000</v>
      </c>
      <c r="F12" s="15"/>
      <c r="G12" s="16">
        <v>46178</v>
      </c>
      <c r="H12" s="17">
        <f t="shared" si="0"/>
        <v>25</v>
      </c>
      <c r="I12" s="17">
        <f t="shared" si="1"/>
        <v>1</v>
      </c>
      <c r="J12" s="18" t="str">
        <f t="shared" si="2"/>
        <v>1–30 วัน</v>
      </c>
      <c r="L12" s="19">
        <v>4</v>
      </c>
      <c r="M12" s="19" t="s">
        <v>32</v>
      </c>
    </row>
    <row r="13" spans="2:13" x14ac:dyDescent="0.35">
      <c r="B13" s="12" t="s">
        <v>33</v>
      </c>
      <c r="C13" s="13" t="s">
        <v>34</v>
      </c>
      <c r="D13" s="13" t="s">
        <v>21</v>
      </c>
      <c r="E13" s="14">
        <v>2568</v>
      </c>
      <c r="F13" s="15"/>
      <c r="G13" s="16">
        <v>46178</v>
      </c>
      <c r="H13" s="17">
        <f t="shared" si="0"/>
        <v>25</v>
      </c>
      <c r="I13" s="17">
        <f t="shared" si="1"/>
        <v>1</v>
      </c>
      <c r="J13" s="18" t="str">
        <f t="shared" si="2"/>
        <v>1–30 วัน</v>
      </c>
      <c r="L13" s="19">
        <v>5</v>
      </c>
      <c r="M13" s="19" t="s">
        <v>35</v>
      </c>
    </row>
    <row r="14" spans="2:13" x14ac:dyDescent="0.35">
      <c r="B14" s="12" t="s">
        <v>36</v>
      </c>
      <c r="C14" s="13" t="s">
        <v>37</v>
      </c>
      <c r="D14" s="13" t="s">
        <v>38</v>
      </c>
      <c r="E14" s="14">
        <v>165</v>
      </c>
      <c r="F14" s="15"/>
      <c r="G14" s="16">
        <v>46178</v>
      </c>
      <c r="H14" s="17">
        <f t="shared" si="0"/>
        <v>25</v>
      </c>
      <c r="I14" s="17">
        <f t="shared" si="1"/>
        <v>1</v>
      </c>
      <c r="J14" s="18" t="str">
        <f t="shared" si="2"/>
        <v>1–30 วัน</v>
      </c>
      <c r="L14" s="19">
        <v>6</v>
      </c>
      <c r="M14" s="19" t="s">
        <v>39</v>
      </c>
    </row>
    <row r="15" spans="2:13" x14ac:dyDescent="0.3">
      <c r="B15" s="12" t="s">
        <v>40</v>
      </c>
      <c r="C15" s="13" t="s">
        <v>41</v>
      </c>
      <c r="D15" s="13" t="s">
        <v>42</v>
      </c>
      <c r="E15" s="14">
        <v>165</v>
      </c>
      <c r="F15" s="15"/>
      <c r="G15" s="16">
        <v>46178</v>
      </c>
      <c r="H15" s="17">
        <f t="shared" si="0"/>
        <v>25</v>
      </c>
      <c r="I15" s="17">
        <f t="shared" si="1"/>
        <v>1</v>
      </c>
      <c r="J15" s="18" t="str">
        <f t="shared" si="2"/>
        <v>1–30 วัน</v>
      </c>
    </row>
    <row r="16" spans="2:13" x14ac:dyDescent="0.3">
      <c r="B16" s="12" t="s">
        <v>43</v>
      </c>
      <c r="C16" s="13" t="s">
        <v>44</v>
      </c>
      <c r="D16" s="13" t="s">
        <v>45</v>
      </c>
      <c r="E16" s="14">
        <v>165</v>
      </c>
      <c r="F16" s="15">
        <v>165</v>
      </c>
      <c r="G16" s="16">
        <v>46178</v>
      </c>
      <c r="H16" s="17">
        <f t="shared" si="0"/>
        <v>25</v>
      </c>
      <c r="I16" s="17">
        <f t="shared" si="1"/>
        <v>1</v>
      </c>
      <c r="J16" s="18" t="str">
        <f t="shared" si="2"/>
        <v>1–30 วัน</v>
      </c>
    </row>
    <row r="17" spans="2:10" x14ac:dyDescent="0.3">
      <c r="B17" s="12" t="s">
        <v>46</v>
      </c>
      <c r="C17" s="13" t="s">
        <v>47</v>
      </c>
      <c r="D17" s="13" t="s">
        <v>48</v>
      </c>
      <c r="E17" s="14">
        <v>165</v>
      </c>
      <c r="F17" s="15">
        <v>165</v>
      </c>
      <c r="G17" s="16">
        <v>46178</v>
      </c>
      <c r="H17" s="17">
        <f t="shared" si="0"/>
        <v>25</v>
      </c>
      <c r="I17" s="17">
        <f t="shared" si="1"/>
        <v>1</v>
      </c>
      <c r="J17" s="18" t="str">
        <f t="shared" si="2"/>
        <v>1–30 วัน</v>
      </c>
    </row>
    <row r="18" spans="2:10" x14ac:dyDescent="0.3">
      <c r="B18" s="12" t="s">
        <v>49</v>
      </c>
      <c r="C18" s="13" t="s">
        <v>50</v>
      </c>
      <c r="D18" s="13" t="s">
        <v>51</v>
      </c>
      <c r="E18" s="14">
        <v>1000</v>
      </c>
      <c r="F18" s="15"/>
      <c r="G18" s="16">
        <v>46178</v>
      </c>
      <c r="H18" s="17">
        <f t="shared" si="0"/>
        <v>25</v>
      </c>
      <c r="I18" s="17">
        <f t="shared" si="1"/>
        <v>1</v>
      </c>
      <c r="J18" s="18" t="str">
        <f t="shared" si="2"/>
        <v>1–30 วัน</v>
      </c>
    </row>
    <row r="19" spans="2:10" x14ac:dyDescent="0.3">
      <c r="B19" s="12" t="s">
        <v>52</v>
      </c>
      <c r="C19" s="12" t="s">
        <v>53</v>
      </c>
      <c r="D19" s="13" t="s">
        <v>54</v>
      </c>
      <c r="E19" s="14">
        <v>2140</v>
      </c>
      <c r="F19" s="15">
        <v>2140</v>
      </c>
      <c r="G19" s="16">
        <v>46178</v>
      </c>
      <c r="H19" s="17">
        <f t="shared" si="0"/>
        <v>25</v>
      </c>
      <c r="I19" s="17">
        <f t="shared" si="1"/>
        <v>1</v>
      </c>
      <c r="J19" s="18" t="str">
        <f t="shared" si="2"/>
        <v>1–30 วัน</v>
      </c>
    </row>
    <row r="20" spans="2:10" x14ac:dyDescent="0.3">
      <c r="B20" s="12" t="s">
        <v>55</v>
      </c>
      <c r="C20" s="12" t="s">
        <v>56</v>
      </c>
      <c r="D20" s="13" t="s">
        <v>57</v>
      </c>
      <c r="E20" s="14">
        <v>2140</v>
      </c>
      <c r="F20" s="15"/>
      <c r="G20" s="16">
        <v>46178</v>
      </c>
      <c r="H20" s="17">
        <f t="shared" si="0"/>
        <v>25</v>
      </c>
      <c r="I20" s="17">
        <f t="shared" si="1"/>
        <v>1</v>
      </c>
      <c r="J20" s="18" t="str">
        <f t="shared" si="2"/>
        <v>1–30 วัน</v>
      </c>
    </row>
    <row r="21" spans="2:10" ht="15.75" customHeight="1" x14ac:dyDescent="0.3">
      <c r="B21" s="12" t="s">
        <v>58</v>
      </c>
      <c r="C21" s="12" t="s">
        <v>59</v>
      </c>
      <c r="D21" s="13" t="s">
        <v>60</v>
      </c>
      <c r="E21" s="14">
        <v>1070</v>
      </c>
      <c r="F21" s="15"/>
      <c r="G21" s="16">
        <v>46178</v>
      </c>
      <c r="H21" s="17">
        <f t="shared" si="0"/>
        <v>25</v>
      </c>
      <c r="I21" s="17">
        <f t="shared" si="1"/>
        <v>1</v>
      </c>
      <c r="J21" s="18" t="str">
        <f t="shared" si="2"/>
        <v>1–30 วัน</v>
      </c>
    </row>
    <row r="22" spans="2:10" ht="15.75" customHeight="1" x14ac:dyDescent="0.3">
      <c r="B22" s="12" t="s">
        <v>61</v>
      </c>
      <c r="C22" s="13" t="s">
        <v>62</v>
      </c>
      <c r="D22" s="13" t="s">
        <v>63</v>
      </c>
      <c r="E22" s="14">
        <v>1070</v>
      </c>
      <c r="F22" s="15"/>
      <c r="G22" s="16">
        <v>46178</v>
      </c>
      <c r="H22" s="17">
        <f t="shared" si="0"/>
        <v>25</v>
      </c>
      <c r="I22" s="17">
        <f t="shared" si="1"/>
        <v>1</v>
      </c>
      <c r="J22" s="18" t="str">
        <f t="shared" si="2"/>
        <v>1–30 วัน</v>
      </c>
    </row>
    <row r="23" spans="2:10" ht="15.75" customHeight="1" x14ac:dyDescent="0.3">
      <c r="B23" s="12" t="s">
        <v>64</v>
      </c>
      <c r="C23" s="13" t="s">
        <v>65</v>
      </c>
      <c r="D23" s="13" t="s">
        <v>66</v>
      </c>
      <c r="E23" s="14">
        <v>3210</v>
      </c>
      <c r="F23" s="15"/>
      <c r="G23" s="16">
        <v>46178</v>
      </c>
      <c r="H23" s="17">
        <f t="shared" si="0"/>
        <v>25</v>
      </c>
      <c r="I23" s="17">
        <f t="shared" si="1"/>
        <v>1</v>
      </c>
      <c r="J23" s="18" t="str">
        <f t="shared" si="2"/>
        <v>1–30 วัน</v>
      </c>
    </row>
    <row r="24" spans="2:10" ht="15.75" customHeight="1" x14ac:dyDescent="0.3">
      <c r="B24" s="12" t="s">
        <v>67</v>
      </c>
      <c r="C24" s="13" t="s">
        <v>68</v>
      </c>
      <c r="D24" s="13" t="s">
        <v>69</v>
      </c>
      <c r="E24" s="14">
        <v>2140</v>
      </c>
      <c r="F24" s="15"/>
      <c r="G24" s="16">
        <v>46178</v>
      </c>
      <c r="H24" s="17">
        <f t="shared" si="0"/>
        <v>25</v>
      </c>
      <c r="I24" s="17">
        <f t="shared" si="1"/>
        <v>1</v>
      </c>
      <c r="J24" s="18" t="str">
        <f t="shared" si="2"/>
        <v>1–30 วัน</v>
      </c>
    </row>
    <row r="25" spans="2:10" ht="15.75" customHeight="1" x14ac:dyDescent="0.3">
      <c r="B25" s="12" t="s">
        <v>70</v>
      </c>
      <c r="C25" s="13" t="s">
        <v>71</v>
      </c>
      <c r="D25" s="13" t="s">
        <v>69</v>
      </c>
      <c r="E25" s="14">
        <v>2140</v>
      </c>
      <c r="F25" s="15">
        <v>2140</v>
      </c>
      <c r="G25" s="16">
        <v>46178</v>
      </c>
      <c r="H25" s="17">
        <f t="shared" si="0"/>
        <v>25</v>
      </c>
      <c r="I25" s="17">
        <f t="shared" si="1"/>
        <v>1</v>
      </c>
      <c r="J25" s="18" t="str">
        <f t="shared" si="2"/>
        <v>1–30 วัน</v>
      </c>
    </row>
    <row r="26" spans="2:10" ht="15.75" customHeight="1" x14ac:dyDescent="0.3">
      <c r="B26" s="12" t="s">
        <v>72</v>
      </c>
      <c r="C26" s="13" t="s">
        <v>73</v>
      </c>
      <c r="D26" s="13" t="s">
        <v>74</v>
      </c>
      <c r="E26" s="14">
        <v>535</v>
      </c>
      <c r="F26" s="15"/>
      <c r="G26" s="16">
        <v>46178</v>
      </c>
      <c r="H26" s="17">
        <f t="shared" si="0"/>
        <v>25</v>
      </c>
      <c r="I26" s="17">
        <f t="shared" si="1"/>
        <v>1</v>
      </c>
      <c r="J26" s="18" t="str">
        <f t="shared" si="2"/>
        <v>1–30 วัน</v>
      </c>
    </row>
    <row r="27" spans="2:10" ht="15.75" customHeight="1" x14ac:dyDescent="0.3">
      <c r="B27" s="12" t="s">
        <v>75</v>
      </c>
      <c r="C27" s="13" t="s">
        <v>76</v>
      </c>
      <c r="D27" s="13" t="s">
        <v>77</v>
      </c>
      <c r="E27" s="14">
        <v>1605</v>
      </c>
      <c r="F27" s="15"/>
      <c r="G27" s="16">
        <v>46178</v>
      </c>
      <c r="H27" s="17">
        <f t="shared" si="0"/>
        <v>25</v>
      </c>
      <c r="I27" s="17">
        <f t="shared" si="1"/>
        <v>1</v>
      </c>
      <c r="J27" s="18" t="str">
        <f t="shared" si="2"/>
        <v>1–30 วัน</v>
      </c>
    </row>
    <row r="28" spans="2:10" ht="15.75" customHeight="1" x14ac:dyDescent="0.3">
      <c r="B28" s="12" t="s">
        <v>78</v>
      </c>
      <c r="C28" s="13" t="s">
        <v>76</v>
      </c>
      <c r="D28" s="13" t="s">
        <v>79</v>
      </c>
      <c r="E28" s="14">
        <v>1605</v>
      </c>
      <c r="F28" s="15"/>
      <c r="G28" s="16">
        <v>46178</v>
      </c>
      <c r="H28" s="17">
        <f t="shared" si="0"/>
        <v>25</v>
      </c>
      <c r="I28" s="17">
        <f t="shared" si="1"/>
        <v>1</v>
      </c>
      <c r="J28" s="18" t="str">
        <f t="shared" si="2"/>
        <v>1–30 วัน</v>
      </c>
    </row>
    <row r="29" spans="2:10" ht="15.75" customHeight="1" x14ac:dyDescent="0.3">
      <c r="B29" s="12" t="s">
        <v>80</v>
      </c>
      <c r="C29" s="13" t="s">
        <v>81</v>
      </c>
      <c r="D29" s="13" t="s">
        <v>82</v>
      </c>
      <c r="E29" s="14">
        <v>1605</v>
      </c>
      <c r="F29" s="15"/>
      <c r="G29" s="16">
        <v>46178</v>
      </c>
      <c r="H29" s="17">
        <f t="shared" si="0"/>
        <v>25</v>
      </c>
      <c r="I29" s="17">
        <f t="shared" si="1"/>
        <v>1</v>
      </c>
      <c r="J29" s="18" t="str">
        <f t="shared" si="2"/>
        <v>1–30 วัน</v>
      </c>
    </row>
    <row r="30" spans="2:10" ht="15.75" customHeight="1" x14ac:dyDescent="0.3">
      <c r="B30" s="12" t="s">
        <v>83</v>
      </c>
      <c r="C30" s="13" t="s">
        <v>81</v>
      </c>
      <c r="D30" s="13" t="s">
        <v>84</v>
      </c>
      <c r="E30" s="14">
        <v>10700</v>
      </c>
      <c r="F30" s="15"/>
      <c r="G30" s="16">
        <v>46178</v>
      </c>
      <c r="H30" s="17">
        <f t="shared" si="0"/>
        <v>25</v>
      </c>
      <c r="I30" s="17">
        <f t="shared" si="1"/>
        <v>1</v>
      </c>
      <c r="J30" s="18" t="str">
        <f t="shared" si="2"/>
        <v>1–30 วัน</v>
      </c>
    </row>
    <row r="31" spans="2:10" ht="15.75" customHeight="1" x14ac:dyDescent="0.3">
      <c r="B31" s="12" t="s">
        <v>85</v>
      </c>
      <c r="C31" s="13" t="s">
        <v>86</v>
      </c>
      <c r="D31" s="13" t="s">
        <v>84</v>
      </c>
      <c r="E31" s="14">
        <v>3210</v>
      </c>
      <c r="F31" s="15"/>
      <c r="G31" s="16">
        <v>46178</v>
      </c>
      <c r="H31" s="17">
        <f t="shared" si="0"/>
        <v>25</v>
      </c>
      <c r="I31" s="17">
        <f t="shared" si="1"/>
        <v>1</v>
      </c>
      <c r="J31" s="18" t="str">
        <f t="shared" si="2"/>
        <v>1–30 วัน</v>
      </c>
    </row>
    <row r="32" spans="2:10" ht="15.75" customHeight="1" x14ac:dyDescent="0.3">
      <c r="B32" s="12" t="s">
        <v>87</v>
      </c>
      <c r="C32" s="13" t="s">
        <v>88</v>
      </c>
      <c r="D32" s="13" t="s">
        <v>89</v>
      </c>
      <c r="E32" s="14">
        <v>1605</v>
      </c>
      <c r="F32" s="15">
        <v>1605</v>
      </c>
      <c r="G32" s="16">
        <v>46178</v>
      </c>
      <c r="H32" s="17">
        <f t="shared" si="0"/>
        <v>25</v>
      </c>
      <c r="I32" s="17">
        <f t="shared" si="1"/>
        <v>1</v>
      </c>
      <c r="J32" s="18" t="str">
        <f t="shared" si="2"/>
        <v>1–30 วัน</v>
      </c>
    </row>
    <row r="33" spans="2:10" ht="15.75" customHeight="1" x14ac:dyDescent="0.3">
      <c r="B33" s="12" t="s">
        <v>90</v>
      </c>
      <c r="C33" s="13" t="s">
        <v>91</v>
      </c>
      <c r="D33" s="13" t="s">
        <v>92</v>
      </c>
      <c r="E33" s="14">
        <v>535</v>
      </c>
      <c r="F33" s="15"/>
      <c r="G33" s="16">
        <v>46178</v>
      </c>
      <c r="H33" s="17">
        <f t="shared" si="0"/>
        <v>25</v>
      </c>
      <c r="I33" s="17">
        <f t="shared" si="1"/>
        <v>1</v>
      </c>
      <c r="J33" s="18" t="str">
        <f t="shared" si="2"/>
        <v>1–30 วัน</v>
      </c>
    </row>
    <row r="34" spans="2:10" ht="15.75" customHeight="1" x14ac:dyDescent="0.3">
      <c r="B34" s="12" t="s">
        <v>93</v>
      </c>
      <c r="C34" s="13" t="s">
        <v>94</v>
      </c>
      <c r="D34" s="13" t="s">
        <v>92</v>
      </c>
      <c r="E34" s="14">
        <v>535</v>
      </c>
      <c r="F34" s="15"/>
      <c r="G34" s="16">
        <v>46178</v>
      </c>
      <c r="H34" s="17">
        <f t="shared" si="0"/>
        <v>25</v>
      </c>
      <c r="I34" s="17">
        <f t="shared" si="1"/>
        <v>1</v>
      </c>
      <c r="J34" s="18" t="str">
        <f t="shared" si="2"/>
        <v>1–30 วัน</v>
      </c>
    </row>
    <row r="35" spans="2:10" ht="15.75" customHeight="1" x14ac:dyDescent="0.3">
      <c r="B35" s="12" t="s">
        <v>95</v>
      </c>
      <c r="C35" s="13" t="s">
        <v>96</v>
      </c>
      <c r="D35" s="13" t="s">
        <v>97</v>
      </c>
      <c r="E35" s="14">
        <v>535</v>
      </c>
      <c r="F35" s="15"/>
      <c r="G35" s="16">
        <v>46178</v>
      </c>
      <c r="H35" s="17">
        <f t="shared" si="0"/>
        <v>25</v>
      </c>
      <c r="I35" s="17">
        <f t="shared" si="1"/>
        <v>1</v>
      </c>
      <c r="J35" s="18" t="str">
        <f t="shared" si="2"/>
        <v>1–30 วัน</v>
      </c>
    </row>
    <row r="36" spans="2:10" ht="15.75" customHeight="1" x14ac:dyDescent="0.3">
      <c r="B36" s="12" t="s">
        <v>98</v>
      </c>
      <c r="C36" s="13" t="s">
        <v>99</v>
      </c>
      <c r="D36" s="13" t="s">
        <v>97</v>
      </c>
      <c r="E36" s="14">
        <v>535</v>
      </c>
      <c r="F36" s="15"/>
      <c r="G36" s="16">
        <v>46178</v>
      </c>
      <c r="H36" s="17">
        <f t="shared" si="0"/>
        <v>25</v>
      </c>
      <c r="I36" s="17">
        <f t="shared" si="1"/>
        <v>1</v>
      </c>
      <c r="J36" s="18" t="str">
        <f t="shared" si="2"/>
        <v>1–30 วัน</v>
      </c>
    </row>
    <row r="37" spans="2:10" ht="15.75" customHeight="1" x14ac:dyDescent="0.3">
      <c r="B37" s="12" t="s">
        <v>100</v>
      </c>
      <c r="C37" s="13" t="s">
        <v>101</v>
      </c>
      <c r="D37" s="13" t="s">
        <v>102</v>
      </c>
      <c r="E37" s="14">
        <v>535</v>
      </c>
      <c r="F37" s="15"/>
      <c r="G37" s="16">
        <v>46178</v>
      </c>
      <c r="H37" s="17">
        <f t="shared" si="0"/>
        <v>25</v>
      </c>
      <c r="I37" s="17">
        <f t="shared" si="1"/>
        <v>1</v>
      </c>
      <c r="J37" s="18" t="str">
        <f t="shared" si="2"/>
        <v>1–30 วัน</v>
      </c>
    </row>
    <row r="38" spans="2:10" ht="15.75" customHeight="1" x14ac:dyDescent="0.3">
      <c r="B38" s="12" t="s">
        <v>103</v>
      </c>
      <c r="C38" s="13" t="s">
        <v>104</v>
      </c>
      <c r="D38" s="13" t="s">
        <v>105</v>
      </c>
      <c r="E38" s="14">
        <v>1000</v>
      </c>
      <c r="F38" s="15">
        <v>1000</v>
      </c>
      <c r="G38" s="16">
        <v>46178</v>
      </c>
      <c r="H38" s="17">
        <f t="shared" si="0"/>
        <v>25</v>
      </c>
      <c r="I38" s="17">
        <f t="shared" si="1"/>
        <v>1</v>
      </c>
      <c r="J38" s="18" t="str">
        <f t="shared" si="2"/>
        <v>1–30 วัน</v>
      </c>
    </row>
    <row r="39" spans="2:10" ht="15.75" customHeight="1" x14ac:dyDescent="0.3">
      <c r="B39" s="12" t="s">
        <v>106</v>
      </c>
      <c r="C39" s="13" t="s">
        <v>107</v>
      </c>
      <c r="D39" s="13" t="s">
        <v>108</v>
      </c>
      <c r="E39" s="14">
        <v>10000</v>
      </c>
      <c r="F39" s="15">
        <v>10000</v>
      </c>
      <c r="G39" s="16">
        <v>46178</v>
      </c>
      <c r="H39" s="17">
        <f t="shared" si="0"/>
        <v>25</v>
      </c>
      <c r="I39" s="17">
        <f t="shared" si="1"/>
        <v>1</v>
      </c>
      <c r="J39" s="18" t="str">
        <f t="shared" si="2"/>
        <v>1–30 วัน</v>
      </c>
    </row>
    <row r="40" spans="2:10" ht="15.75" customHeight="1" x14ac:dyDescent="0.3">
      <c r="B40" s="12" t="s">
        <v>109</v>
      </c>
      <c r="C40" s="13" t="s">
        <v>110</v>
      </c>
      <c r="D40" s="13" t="s">
        <v>108</v>
      </c>
      <c r="E40" s="14">
        <v>10000</v>
      </c>
      <c r="F40" s="15"/>
      <c r="G40" s="16">
        <v>46178</v>
      </c>
      <c r="H40" s="17">
        <f t="shared" si="0"/>
        <v>25</v>
      </c>
      <c r="I40" s="17">
        <f t="shared" si="1"/>
        <v>1</v>
      </c>
      <c r="J40" s="18" t="str">
        <f t="shared" si="2"/>
        <v>1–30 วัน</v>
      </c>
    </row>
    <row r="41" spans="2:10" ht="15.75" customHeight="1" x14ac:dyDescent="0.3">
      <c r="B41" s="12" t="s">
        <v>111</v>
      </c>
      <c r="C41" s="13" t="s">
        <v>112</v>
      </c>
      <c r="D41" s="13" t="s">
        <v>108</v>
      </c>
      <c r="E41" s="14">
        <v>1070</v>
      </c>
      <c r="F41" s="15"/>
      <c r="G41" s="16">
        <v>46178</v>
      </c>
      <c r="H41" s="17">
        <f t="shared" si="0"/>
        <v>25</v>
      </c>
      <c r="I41" s="17">
        <f t="shared" si="1"/>
        <v>1</v>
      </c>
      <c r="J41" s="18" t="str">
        <f t="shared" si="2"/>
        <v>1–30 วัน</v>
      </c>
    </row>
    <row r="42" spans="2:10" ht="15.75" customHeight="1" x14ac:dyDescent="0.3">
      <c r="B42" s="12" t="s">
        <v>113</v>
      </c>
      <c r="C42" s="13" t="s">
        <v>114</v>
      </c>
      <c r="D42" s="13" t="s">
        <v>108</v>
      </c>
      <c r="E42" s="14">
        <v>1070</v>
      </c>
      <c r="F42" s="15"/>
      <c r="G42" s="16">
        <v>46178</v>
      </c>
      <c r="H42" s="17">
        <f t="shared" si="0"/>
        <v>25</v>
      </c>
      <c r="I42" s="17">
        <f t="shared" si="1"/>
        <v>1</v>
      </c>
      <c r="J42" s="18" t="str">
        <f t="shared" si="2"/>
        <v>1–30 วัน</v>
      </c>
    </row>
    <row r="43" spans="2:10" ht="15.75" customHeight="1" x14ac:dyDescent="0.3">
      <c r="B43" s="12" t="s">
        <v>115</v>
      </c>
      <c r="C43" s="12" t="s">
        <v>116</v>
      </c>
      <c r="D43" s="13" t="s">
        <v>108</v>
      </c>
      <c r="E43" s="14">
        <v>21400</v>
      </c>
      <c r="F43" s="15">
        <v>21400</v>
      </c>
      <c r="G43" s="16">
        <v>46178</v>
      </c>
      <c r="H43" s="17">
        <f t="shared" si="0"/>
        <v>25</v>
      </c>
      <c r="I43" s="17">
        <f t="shared" si="1"/>
        <v>1</v>
      </c>
      <c r="J43" s="18" t="str">
        <f t="shared" si="2"/>
        <v>1–30 วัน</v>
      </c>
    </row>
    <row r="44" spans="2:10" ht="15.75" customHeight="1" x14ac:dyDescent="0.3">
      <c r="B44" s="12" t="s">
        <v>117</v>
      </c>
      <c r="C44" s="13" t="s">
        <v>118</v>
      </c>
      <c r="D44" s="13" t="s">
        <v>108</v>
      </c>
      <c r="E44" s="14">
        <v>10000</v>
      </c>
      <c r="F44" s="15"/>
      <c r="G44" s="16">
        <v>46178</v>
      </c>
      <c r="H44" s="17">
        <f t="shared" si="0"/>
        <v>25</v>
      </c>
      <c r="I44" s="17">
        <f t="shared" si="1"/>
        <v>1</v>
      </c>
      <c r="J44" s="18" t="str">
        <f t="shared" si="2"/>
        <v>1–30 วัน</v>
      </c>
    </row>
    <row r="45" spans="2:10" ht="15.75" customHeight="1" x14ac:dyDescent="0.3">
      <c r="B45" s="12" t="s">
        <v>119</v>
      </c>
      <c r="C45" s="13" t="s">
        <v>120</v>
      </c>
      <c r="D45" s="13" t="s">
        <v>121</v>
      </c>
      <c r="E45" s="14">
        <v>535</v>
      </c>
      <c r="F45" s="15"/>
      <c r="G45" s="16">
        <v>46178</v>
      </c>
      <c r="H45" s="17">
        <f t="shared" si="0"/>
        <v>25</v>
      </c>
      <c r="I45" s="17">
        <f t="shared" si="1"/>
        <v>1</v>
      </c>
      <c r="J45" s="18" t="str">
        <f t="shared" si="2"/>
        <v>1–30 วัน</v>
      </c>
    </row>
    <row r="46" spans="2:10" ht="15.75" customHeight="1" x14ac:dyDescent="0.3">
      <c r="B46" s="12" t="s">
        <v>122</v>
      </c>
      <c r="C46" s="13" t="s">
        <v>123</v>
      </c>
      <c r="D46" s="13" t="s">
        <v>121</v>
      </c>
      <c r="E46" s="14">
        <v>1605</v>
      </c>
      <c r="F46" s="15"/>
      <c r="G46" s="16">
        <v>46178</v>
      </c>
      <c r="H46" s="17">
        <f t="shared" si="0"/>
        <v>25</v>
      </c>
      <c r="I46" s="17">
        <f t="shared" si="1"/>
        <v>1</v>
      </c>
      <c r="J46" s="18" t="str">
        <f t="shared" si="2"/>
        <v>1–30 วัน</v>
      </c>
    </row>
    <row r="47" spans="2:10" ht="15.75" customHeight="1" x14ac:dyDescent="0.3">
      <c r="B47" s="12" t="s">
        <v>124</v>
      </c>
      <c r="C47" s="13" t="s">
        <v>125</v>
      </c>
      <c r="D47" s="13" t="s">
        <v>121</v>
      </c>
      <c r="E47" s="14">
        <v>535</v>
      </c>
      <c r="F47" s="15"/>
      <c r="G47" s="16">
        <v>46178</v>
      </c>
      <c r="H47" s="17">
        <f t="shared" si="0"/>
        <v>25</v>
      </c>
      <c r="I47" s="17">
        <f t="shared" si="1"/>
        <v>1</v>
      </c>
      <c r="J47" s="18" t="str">
        <f t="shared" si="2"/>
        <v>1–30 วัน</v>
      </c>
    </row>
    <row r="48" spans="2:10" ht="15.75" customHeight="1" x14ac:dyDescent="0.3">
      <c r="B48" s="12" t="s">
        <v>126</v>
      </c>
      <c r="C48" s="13" t="s">
        <v>125</v>
      </c>
      <c r="D48" s="13" t="s">
        <v>127</v>
      </c>
      <c r="E48" s="14">
        <v>535</v>
      </c>
      <c r="F48" s="15"/>
      <c r="G48" s="16">
        <v>46178</v>
      </c>
      <c r="H48" s="17">
        <f t="shared" si="0"/>
        <v>25</v>
      </c>
      <c r="I48" s="17">
        <f t="shared" si="1"/>
        <v>1</v>
      </c>
      <c r="J48" s="18" t="str">
        <f t="shared" si="2"/>
        <v>1–30 วัน</v>
      </c>
    </row>
    <row r="49" spans="2:10" ht="15.75" customHeight="1" x14ac:dyDescent="0.3">
      <c r="B49" s="12" t="s">
        <v>128</v>
      </c>
      <c r="C49" s="13" t="s">
        <v>129</v>
      </c>
      <c r="D49" s="13" t="s">
        <v>121</v>
      </c>
      <c r="E49" s="14">
        <v>1605</v>
      </c>
      <c r="F49" s="15"/>
      <c r="G49" s="16">
        <v>46178</v>
      </c>
      <c r="H49" s="17">
        <f t="shared" si="0"/>
        <v>25</v>
      </c>
      <c r="I49" s="17">
        <f t="shared" si="1"/>
        <v>1</v>
      </c>
      <c r="J49" s="18" t="str">
        <f t="shared" si="2"/>
        <v>1–30 วัน</v>
      </c>
    </row>
    <row r="50" spans="2:10" ht="15.75" customHeight="1" x14ac:dyDescent="0.3">
      <c r="B50" s="12" t="s">
        <v>130</v>
      </c>
      <c r="C50" s="13" t="s">
        <v>131</v>
      </c>
      <c r="D50" s="13" t="s">
        <v>132</v>
      </c>
      <c r="E50" s="14">
        <v>5350</v>
      </c>
      <c r="F50" s="15"/>
      <c r="G50" s="16">
        <v>46178</v>
      </c>
      <c r="H50" s="17">
        <f t="shared" si="0"/>
        <v>25</v>
      </c>
      <c r="I50" s="17">
        <f t="shared" si="1"/>
        <v>1</v>
      </c>
      <c r="J50" s="18" t="str">
        <f t="shared" si="2"/>
        <v>1–30 วัน</v>
      </c>
    </row>
    <row r="51" spans="2:10" ht="15.75" customHeight="1" x14ac:dyDescent="0.3">
      <c r="B51" s="12" t="s">
        <v>133</v>
      </c>
      <c r="C51" s="13" t="s">
        <v>134</v>
      </c>
      <c r="D51" s="13" t="s">
        <v>135</v>
      </c>
      <c r="E51" s="14">
        <v>1605</v>
      </c>
      <c r="F51" s="15"/>
      <c r="G51" s="16">
        <v>46178</v>
      </c>
      <c r="H51" s="17">
        <f t="shared" si="0"/>
        <v>25</v>
      </c>
      <c r="I51" s="17">
        <f t="shared" si="1"/>
        <v>1</v>
      </c>
      <c r="J51" s="18" t="str">
        <f t="shared" si="2"/>
        <v>1–30 วัน</v>
      </c>
    </row>
    <row r="52" spans="2:10" ht="15.75" customHeight="1" x14ac:dyDescent="0.3">
      <c r="B52" s="12" t="s">
        <v>136</v>
      </c>
      <c r="C52" s="13" t="s">
        <v>137</v>
      </c>
      <c r="D52" s="13" t="s">
        <v>138</v>
      </c>
      <c r="E52" s="14">
        <v>535</v>
      </c>
      <c r="F52" s="15"/>
      <c r="G52" s="16">
        <v>46178</v>
      </c>
      <c r="H52" s="17">
        <f t="shared" si="0"/>
        <v>25</v>
      </c>
      <c r="I52" s="17">
        <f t="shared" si="1"/>
        <v>1</v>
      </c>
      <c r="J52" s="18" t="str">
        <f t="shared" si="2"/>
        <v>1–30 วัน</v>
      </c>
    </row>
    <row r="53" spans="2:10" ht="15.75" customHeight="1" x14ac:dyDescent="0.3">
      <c r="B53" s="12" t="s">
        <v>139</v>
      </c>
      <c r="C53" s="13" t="s">
        <v>140</v>
      </c>
      <c r="D53" s="13" t="s">
        <v>141</v>
      </c>
      <c r="E53" s="14">
        <v>535</v>
      </c>
      <c r="F53" s="15"/>
      <c r="G53" s="16">
        <v>46178</v>
      </c>
      <c r="H53" s="17">
        <f t="shared" si="0"/>
        <v>25</v>
      </c>
      <c r="I53" s="17">
        <f t="shared" si="1"/>
        <v>1</v>
      </c>
      <c r="J53" s="18" t="str">
        <f t="shared" si="2"/>
        <v>1–30 วัน</v>
      </c>
    </row>
    <row r="54" spans="2:10" ht="15.75" customHeight="1" x14ac:dyDescent="0.3">
      <c r="B54" s="12" t="s">
        <v>142</v>
      </c>
      <c r="C54" s="13" t="s">
        <v>137</v>
      </c>
      <c r="D54" s="13" t="s">
        <v>143</v>
      </c>
      <c r="E54" s="14">
        <v>535</v>
      </c>
      <c r="F54" s="15"/>
      <c r="G54" s="16">
        <v>46178</v>
      </c>
      <c r="H54" s="17">
        <f t="shared" si="0"/>
        <v>25</v>
      </c>
      <c r="I54" s="17">
        <f t="shared" si="1"/>
        <v>1</v>
      </c>
      <c r="J54" s="18" t="str">
        <f t="shared" si="2"/>
        <v>1–30 วัน</v>
      </c>
    </row>
    <row r="55" spans="2:10" ht="15.75" customHeight="1" x14ac:dyDescent="0.3">
      <c r="B55" s="12" t="s">
        <v>144</v>
      </c>
      <c r="C55" s="12" t="s">
        <v>101</v>
      </c>
      <c r="D55" s="13" t="s">
        <v>145</v>
      </c>
      <c r="E55" s="14">
        <v>535</v>
      </c>
      <c r="F55" s="15"/>
      <c r="G55" s="16">
        <v>46178</v>
      </c>
      <c r="H55" s="17">
        <f t="shared" si="0"/>
        <v>25</v>
      </c>
      <c r="I55" s="17">
        <f t="shared" si="1"/>
        <v>1</v>
      </c>
      <c r="J55" s="18" t="str">
        <f t="shared" si="2"/>
        <v>1–30 วัน</v>
      </c>
    </row>
    <row r="56" spans="2:10" ht="15.75" customHeight="1" x14ac:dyDescent="0.3">
      <c r="B56" s="12" t="s">
        <v>146</v>
      </c>
      <c r="C56" s="13" t="s">
        <v>147</v>
      </c>
      <c r="D56" s="13" t="s">
        <v>148</v>
      </c>
      <c r="E56" s="14">
        <v>2140</v>
      </c>
      <c r="F56" s="15"/>
      <c r="G56" s="16">
        <v>46178</v>
      </c>
      <c r="H56" s="17">
        <f t="shared" si="0"/>
        <v>25</v>
      </c>
      <c r="I56" s="17">
        <f t="shared" si="1"/>
        <v>1</v>
      </c>
      <c r="J56" s="18" t="str">
        <f t="shared" si="2"/>
        <v>1–30 วัน</v>
      </c>
    </row>
    <row r="57" spans="2:10" ht="15.75" customHeight="1" x14ac:dyDescent="0.3">
      <c r="B57" s="12" t="s">
        <v>149</v>
      </c>
      <c r="C57" s="13" t="s">
        <v>150</v>
      </c>
      <c r="D57" s="13" t="s">
        <v>151</v>
      </c>
      <c r="E57" s="14">
        <v>2140</v>
      </c>
      <c r="F57" s="15"/>
      <c r="G57" s="16">
        <v>46178</v>
      </c>
      <c r="H57" s="17">
        <f t="shared" si="0"/>
        <v>25</v>
      </c>
      <c r="I57" s="17">
        <f t="shared" si="1"/>
        <v>1</v>
      </c>
      <c r="J57" s="18" t="str">
        <f t="shared" si="2"/>
        <v>1–30 วัน</v>
      </c>
    </row>
    <row r="58" spans="2:10" ht="15.75" customHeight="1" x14ac:dyDescent="0.3">
      <c r="B58" s="12" t="s">
        <v>152</v>
      </c>
      <c r="C58" s="13" t="s">
        <v>153</v>
      </c>
      <c r="D58" s="13" t="s">
        <v>154</v>
      </c>
      <c r="E58" s="14">
        <v>4280</v>
      </c>
      <c r="F58" s="15">
        <v>4280</v>
      </c>
      <c r="G58" s="16">
        <v>46178</v>
      </c>
      <c r="H58" s="17">
        <f t="shared" si="0"/>
        <v>25</v>
      </c>
      <c r="I58" s="17">
        <f t="shared" si="1"/>
        <v>1</v>
      </c>
      <c r="J58" s="18" t="str">
        <f t="shared" si="2"/>
        <v>1–30 วัน</v>
      </c>
    </row>
    <row r="59" spans="2:10" ht="15.75" customHeight="1" x14ac:dyDescent="0.3">
      <c r="B59" s="12" t="s">
        <v>155</v>
      </c>
      <c r="C59" s="13" t="s">
        <v>156</v>
      </c>
      <c r="D59" s="13" t="s">
        <v>157</v>
      </c>
      <c r="E59" s="14">
        <v>2140</v>
      </c>
      <c r="F59" s="15">
        <v>2140</v>
      </c>
      <c r="G59" s="16">
        <v>46178</v>
      </c>
      <c r="H59" s="17">
        <f t="shared" si="0"/>
        <v>25</v>
      </c>
      <c r="I59" s="17">
        <f t="shared" si="1"/>
        <v>1</v>
      </c>
      <c r="J59" s="18" t="str">
        <f t="shared" si="2"/>
        <v>1–30 วัน</v>
      </c>
    </row>
    <row r="60" spans="2:10" ht="15.75" customHeight="1" x14ac:dyDescent="0.3">
      <c r="B60" s="12" t="s">
        <v>158</v>
      </c>
      <c r="C60" s="13" t="s">
        <v>159</v>
      </c>
      <c r="D60" s="13" t="s">
        <v>160</v>
      </c>
      <c r="E60" s="14">
        <v>2140</v>
      </c>
      <c r="F60" s="15"/>
      <c r="G60" s="16">
        <v>46178</v>
      </c>
      <c r="H60" s="17">
        <f t="shared" si="0"/>
        <v>25</v>
      </c>
      <c r="I60" s="17">
        <f t="shared" si="1"/>
        <v>1</v>
      </c>
      <c r="J60" s="18" t="str">
        <f t="shared" si="2"/>
        <v>1–30 วัน</v>
      </c>
    </row>
    <row r="61" spans="2:10" ht="15.75" customHeight="1" x14ac:dyDescent="0.3">
      <c r="B61" s="12" t="s">
        <v>161</v>
      </c>
      <c r="C61" s="13" t="s">
        <v>162</v>
      </c>
      <c r="D61" s="13" t="s">
        <v>163</v>
      </c>
      <c r="E61" s="14">
        <v>2140</v>
      </c>
      <c r="F61" s="15"/>
      <c r="G61" s="16">
        <v>46178</v>
      </c>
      <c r="H61" s="17">
        <f t="shared" si="0"/>
        <v>25</v>
      </c>
      <c r="I61" s="17">
        <f t="shared" si="1"/>
        <v>1</v>
      </c>
      <c r="J61" s="18" t="str">
        <f t="shared" si="2"/>
        <v>1–30 วัน</v>
      </c>
    </row>
    <row r="62" spans="2:10" ht="15.75" customHeight="1" x14ac:dyDescent="0.3">
      <c r="B62" s="12" t="s">
        <v>164</v>
      </c>
      <c r="C62" s="13" t="s">
        <v>165</v>
      </c>
      <c r="D62" s="13" t="s">
        <v>166</v>
      </c>
      <c r="E62" s="14">
        <v>2140</v>
      </c>
      <c r="F62" s="15"/>
      <c r="G62" s="16">
        <v>46178</v>
      </c>
      <c r="H62" s="17">
        <f t="shared" si="0"/>
        <v>25</v>
      </c>
      <c r="I62" s="17">
        <f t="shared" si="1"/>
        <v>1</v>
      </c>
      <c r="J62" s="18" t="str">
        <f t="shared" si="2"/>
        <v>1–30 วัน</v>
      </c>
    </row>
    <row r="63" spans="2:10" ht="15.75" customHeight="1" x14ac:dyDescent="0.3">
      <c r="B63" s="12" t="s">
        <v>167</v>
      </c>
      <c r="C63" s="13" t="s">
        <v>168</v>
      </c>
      <c r="D63" s="13" t="s">
        <v>169</v>
      </c>
      <c r="E63" s="14">
        <v>4280</v>
      </c>
      <c r="F63" s="15"/>
      <c r="G63" s="16">
        <v>46178</v>
      </c>
      <c r="H63" s="17">
        <f t="shared" si="0"/>
        <v>25</v>
      </c>
      <c r="I63" s="17">
        <f t="shared" si="1"/>
        <v>1</v>
      </c>
      <c r="J63" s="18" t="str">
        <f t="shared" si="2"/>
        <v>1–30 วัน</v>
      </c>
    </row>
    <row r="64" spans="2:10" ht="15.75" customHeight="1" x14ac:dyDescent="0.3">
      <c r="B64" s="12" t="s">
        <v>170</v>
      </c>
      <c r="C64" s="13" t="s">
        <v>171</v>
      </c>
      <c r="D64" s="13" t="s">
        <v>172</v>
      </c>
      <c r="E64" s="14">
        <v>5544</v>
      </c>
      <c r="F64" s="15">
        <v>5544</v>
      </c>
      <c r="G64" s="16">
        <v>46178</v>
      </c>
      <c r="H64" s="17">
        <f t="shared" si="0"/>
        <v>25</v>
      </c>
      <c r="I64" s="17">
        <f t="shared" si="1"/>
        <v>1</v>
      </c>
      <c r="J64" s="18" t="str">
        <f t="shared" si="2"/>
        <v>1–30 วัน</v>
      </c>
    </row>
    <row r="65" spans="2:10" ht="15.75" customHeight="1" x14ac:dyDescent="0.3">
      <c r="B65" s="12" t="s">
        <v>173</v>
      </c>
      <c r="C65" s="13" t="s">
        <v>81</v>
      </c>
      <c r="D65" s="13" t="s">
        <v>174</v>
      </c>
      <c r="E65" s="14">
        <v>5544</v>
      </c>
      <c r="F65" s="15"/>
      <c r="G65" s="16">
        <v>46178</v>
      </c>
      <c r="H65" s="17">
        <f t="shared" si="0"/>
        <v>25</v>
      </c>
      <c r="I65" s="17">
        <f t="shared" si="1"/>
        <v>1</v>
      </c>
      <c r="J65" s="18" t="str">
        <f t="shared" si="2"/>
        <v>1–30 วัน</v>
      </c>
    </row>
    <row r="66" spans="2:10" ht="15.75" customHeight="1" x14ac:dyDescent="0.3">
      <c r="B66" s="12" t="s">
        <v>175</v>
      </c>
      <c r="C66" s="13" t="s">
        <v>176</v>
      </c>
      <c r="D66" s="13" t="s">
        <v>177</v>
      </c>
      <c r="E66" s="14">
        <v>2772</v>
      </c>
      <c r="F66" s="15"/>
      <c r="G66" s="16">
        <v>46178</v>
      </c>
      <c r="H66" s="17">
        <f t="shared" si="0"/>
        <v>25</v>
      </c>
      <c r="I66" s="17">
        <f t="shared" si="1"/>
        <v>1</v>
      </c>
      <c r="J66" s="18" t="str">
        <f t="shared" si="2"/>
        <v>1–30 วัน</v>
      </c>
    </row>
    <row r="67" spans="2:10" ht="15.75" customHeight="1" x14ac:dyDescent="0.3">
      <c r="B67" s="12" t="s">
        <v>178</v>
      </c>
      <c r="C67" s="13" t="s">
        <v>179</v>
      </c>
      <c r="D67" s="13" t="s">
        <v>180</v>
      </c>
      <c r="E67" s="14">
        <v>5544</v>
      </c>
      <c r="F67" s="15"/>
      <c r="G67" s="16">
        <v>46178</v>
      </c>
      <c r="H67" s="17">
        <f t="shared" si="0"/>
        <v>25</v>
      </c>
      <c r="I67" s="17">
        <f t="shared" si="1"/>
        <v>1</v>
      </c>
      <c r="J67" s="18" t="str">
        <f t="shared" si="2"/>
        <v>1–30 วัน</v>
      </c>
    </row>
    <row r="68" spans="2:10" ht="15.75" customHeight="1" x14ac:dyDescent="0.3">
      <c r="B68" s="12" t="s">
        <v>181</v>
      </c>
      <c r="C68" s="13" t="s">
        <v>182</v>
      </c>
      <c r="D68" s="13" t="s">
        <v>183</v>
      </c>
      <c r="E68" s="14">
        <v>2772</v>
      </c>
      <c r="F68" s="15"/>
      <c r="G68" s="16">
        <v>46178</v>
      </c>
      <c r="H68" s="17">
        <f t="shared" si="0"/>
        <v>25</v>
      </c>
      <c r="I68" s="17">
        <f t="shared" si="1"/>
        <v>1</v>
      </c>
      <c r="J68" s="18" t="str">
        <f t="shared" si="2"/>
        <v>1–30 วัน</v>
      </c>
    </row>
    <row r="69" spans="2:10" ht="15.75" customHeight="1" x14ac:dyDescent="0.3">
      <c r="B69" s="12" t="s">
        <v>184</v>
      </c>
      <c r="C69" s="13" t="s">
        <v>185</v>
      </c>
      <c r="D69" s="13" t="s">
        <v>186</v>
      </c>
      <c r="E69" s="14">
        <v>5544</v>
      </c>
      <c r="F69" s="15"/>
      <c r="G69" s="16">
        <v>46178</v>
      </c>
      <c r="H69" s="17">
        <f t="shared" si="0"/>
        <v>25</v>
      </c>
      <c r="I69" s="17">
        <f t="shared" si="1"/>
        <v>1</v>
      </c>
      <c r="J69" s="18" t="str">
        <f t="shared" si="2"/>
        <v>1–30 วัน</v>
      </c>
    </row>
    <row r="70" spans="2:10" ht="15.75" customHeight="1" x14ac:dyDescent="0.3">
      <c r="B70" s="12" t="s">
        <v>187</v>
      </c>
      <c r="C70" s="13" t="s">
        <v>188</v>
      </c>
      <c r="D70" s="13" t="s">
        <v>189</v>
      </c>
      <c r="E70" s="14">
        <v>2772</v>
      </c>
      <c r="F70" s="15"/>
      <c r="G70" s="16">
        <v>46178</v>
      </c>
      <c r="H70" s="17">
        <f t="shared" si="0"/>
        <v>25</v>
      </c>
      <c r="I70" s="17">
        <f t="shared" si="1"/>
        <v>1</v>
      </c>
      <c r="J70" s="18" t="str">
        <f t="shared" si="2"/>
        <v>1–30 วัน</v>
      </c>
    </row>
    <row r="71" spans="2:10" ht="15.75" customHeight="1" x14ac:dyDescent="0.3">
      <c r="B71" s="12" t="s">
        <v>190</v>
      </c>
      <c r="C71" s="13" t="s">
        <v>191</v>
      </c>
      <c r="D71" s="13" t="s">
        <v>192</v>
      </c>
      <c r="E71" s="14">
        <v>5544</v>
      </c>
      <c r="F71" s="15"/>
      <c r="G71" s="16">
        <v>46178</v>
      </c>
      <c r="H71" s="17">
        <f t="shared" si="0"/>
        <v>25</v>
      </c>
      <c r="I71" s="17">
        <f t="shared" si="1"/>
        <v>1</v>
      </c>
      <c r="J71" s="18" t="str">
        <f t="shared" si="2"/>
        <v>1–30 วัน</v>
      </c>
    </row>
    <row r="72" spans="2:10" ht="15.75" customHeight="1" x14ac:dyDescent="0.3">
      <c r="B72" s="12" t="s">
        <v>193</v>
      </c>
      <c r="C72" s="13" t="s">
        <v>81</v>
      </c>
      <c r="D72" s="13" t="s">
        <v>194</v>
      </c>
      <c r="E72" s="14">
        <v>2772</v>
      </c>
      <c r="F72" s="15"/>
      <c r="G72" s="16">
        <v>46178</v>
      </c>
      <c r="H72" s="17">
        <f t="shared" si="0"/>
        <v>25</v>
      </c>
      <c r="I72" s="17">
        <f t="shared" si="1"/>
        <v>1</v>
      </c>
      <c r="J72" s="18" t="str">
        <f t="shared" si="2"/>
        <v>1–30 วัน</v>
      </c>
    </row>
    <row r="73" spans="2:10" ht="15.75" customHeight="1" x14ac:dyDescent="0.3">
      <c r="B73" s="12" t="s">
        <v>195</v>
      </c>
      <c r="C73" s="13" t="s">
        <v>188</v>
      </c>
      <c r="D73" s="13" t="s">
        <v>196</v>
      </c>
      <c r="E73" s="14">
        <v>2772</v>
      </c>
      <c r="F73" s="15"/>
      <c r="G73" s="16">
        <v>46178</v>
      </c>
      <c r="H73" s="17">
        <f t="shared" si="0"/>
        <v>25</v>
      </c>
      <c r="I73" s="17">
        <f t="shared" si="1"/>
        <v>1</v>
      </c>
      <c r="J73" s="18" t="str">
        <f t="shared" si="2"/>
        <v>1–30 วัน</v>
      </c>
    </row>
    <row r="74" spans="2:10" ht="15.75" customHeight="1" x14ac:dyDescent="0.3">
      <c r="B74" s="12" t="s">
        <v>197</v>
      </c>
      <c r="C74" s="13" t="s">
        <v>198</v>
      </c>
      <c r="D74" s="13" t="s">
        <v>199</v>
      </c>
      <c r="E74" s="14">
        <v>5544</v>
      </c>
      <c r="F74" s="15"/>
      <c r="G74" s="16">
        <v>46178</v>
      </c>
      <c r="H74" s="17">
        <f t="shared" si="0"/>
        <v>25</v>
      </c>
      <c r="I74" s="17">
        <f t="shared" si="1"/>
        <v>1</v>
      </c>
      <c r="J74" s="18" t="str">
        <f t="shared" si="2"/>
        <v>1–30 วัน</v>
      </c>
    </row>
    <row r="75" spans="2:10" ht="15.75" customHeight="1" x14ac:dyDescent="0.3">
      <c r="B75" s="12" t="s">
        <v>200</v>
      </c>
      <c r="C75" s="13" t="s">
        <v>201</v>
      </c>
      <c r="D75" s="13" t="s">
        <v>202</v>
      </c>
      <c r="E75" s="14">
        <v>2772</v>
      </c>
      <c r="F75" s="15"/>
      <c r="G75" s="16">
        <v>46178</v>
      </c>
      <c r="H75" s="17">
        <f t="shared" si="0"/>
        <v>25</v>
      </c>
      <c r="I75" s="17">
        <f t="shared" si="1"/>
        <v>1</v>
      </c>
      <c r="J75" s="18" t="str">
        <f t="shared" si="2"/>
        <v>1–30 วัน</v>
      </c>
    </row>
    <row r="76" spans="2:10" ht="15.75" customHeight="1" x14ac:dyDescent="0.3">
      <c r="B76" s="12" t="s">
        <v>203</v>
      </c>
      <c r="C76" s="12" t="s">
        <v>188</v>
      </c>
      <c r="D76" s="13" t="s">
        <v>204</v>
      </c>
      <c r="E76" s="14">
        <v>2772</v>
      </c>
      <c r="F76" s="15"/>
      <c r="G76" s="16">
        <v>46178</v>
      </c>
      <c r="H76" s="17">
        <f t="shared" si="0"/>
        <v>25</v>
      </c>
      <c r="I76" s="17">
        <f t="shared" si="1"/>
        <v>1</v>
      </c>
      <c r="J76" s="18" t="str">
        <f t="shared" si="2"/>
        <v>1–30 วัน</v>
      </c>
    </row>
    <row r="77" spans="2:10" ht="15.75" customHeight="1" x14ac:dyDescent="0.3">
      <c r="B77" s="12" t="s">
        <v>205</v>
      </c>
      <c r="C77" s="12" t="s">
        <v>206</v>
      </c>
      <c r="D77" s="13" t="s">
        <v>207</v>
      </c>
      <c r="E77" s="14">
        <v>2772</v>
      </c>
      <c r="F77" s="15"/>
      <c r="G77" s="16">
        <v>46178</v>
      </c>
      <c r="H77" s="17">
        <f t="shared" si="0"/>
        <v>25</v>
      </c>
      <c r="I77" s="17">
        <f t="shared" si="1"/>
        <v>1</v>
      </c>
      <c r="J77" s="18" t="str">
        <f t="shared" si="2"/>
        <v>1–30 วัน</v>
      </c>
    </row>
    <row r="78" spans="2:10" ht="15.75" customHeight="1" x14ac:dyDescent="0.3">
      <c r="B78" s="12" t="s">
        <v>208</v>
      </c>
      <c r="C78" s="13" t="s">
        <v>209</v>
      </c>
      <c r="D78" s="13" t="s">
        <v>210</v>
      </c>
      <c r="E78" s="14">
        <v>2772</v>
      </c>
      <c r="F78" s="15"/>
      <c r="G78" s="16">
        <v>46178</v>
      </c>
      <c r="H78" s="17">
        <f t="shared" si="0"/>
        <v>25</v>
      </c>
      <c r="I78" s="17">
        <f t="shared" si="1"/>
        <v>1</v>
      </c>
      <c r="J78" s="18" t="str">
        <f t="shared" si="2"/>
        <v>1–30 วัน</v>
      </c>
    </row>
    <row r="79" spans="2:10" ht="15.75" customHeight="1" x14ac:dyDescent="0.3">
      <c r="B79" s="12" t="s">
        <v>211</v>
      </c>
      <c r="C79" s="13" t="s">
        <v>188</v>
      </c>
      <c r="D79" s="13" t="s">
        <v>212</v>
      </c>
      <c r="E79" s="14">
        <v>5550</v>
      </c>
      <c r="F79" s="15">
        <v>5550</v>
      </c>
      <c r="G79" s="16">
        <v>46178</v>
      </c>
      <c r="H79" s="17">
        <f t="shared" si="0"/>
        <v>25</v>
      </c>
      <c r="I79" s="17">
        <f t="shared" si="1"/>
        <v>1</v>
      </c>
      <c r="J79" s="18" t="str">
        <f t="shared" si="2"/>
        <v>1–30 วัน</v>
      </c>
    </row>
    <row r="80" spans="2:10" ht="15.75" customHeight="1" x14ac:dyDescent="0.3">
      <c r="B80" s="12" t="s">
        <v>213</v>
      </c>
      <c r="C80" s="13" t="s">
        <v>214</v>
      </c>
      <c r="D80" s="13" t="s">
        <v>215</v>
      </c>
      <c r="E80" s="14">
        <v>5544</v>
      </c>
      <c r="F80" s="15"/>
      <c r="G80" s="16">
        <v>46178</v>
      </c>
      <c r="H80" s="17">
        <f t="shared" si="0"/>
        <v>25</v>
      </c>
      <c r="I80" s="17">
        <f t="shared" si="1"/>
        <v>1</v>
      </c>
      <c r="J80" s="18" t="str">
        <f t="shared" si="2"/>
        <v>1–30 วัน</v>
      </c>
    </row>
    <row r="81" spans="2:10" ht="15.75" customHeight="1" x14ac:dyDescent="0.3">
      <c r="B81" s="12" t="s">
        <v>216</v>
      </c>
      <c r="C81" s="13" t="s">
        <v>217</v>
      </c>
      <c r="D81" s="13" t="s">
        <v>218</v>
      </c>
      <c r="E81" s="14">
        <v>2772</v>
      </c>
      <c r="F81" s="15"/>
      <c r="G81" s="16">
        <v>46178</v>
      </c>
      <c r="H81" s="17">
        <f t="shared" si="0"/>
        <v>25</v>
      </c>
      <c r="I81" s="17">
        <f t="shared" si="1"/>
        <v>1</v>
      </c>
      <c r="J81" s="18" t="str">
        <f t="shared" si="2"/>
        <v>1–30 วัน</v>
      </c>
    </row>
    <row r="82" spans="2:10" ht="15.75" customHeight="1" x14ac:dyDescent="0.3">
      <c r="B82" s="12" t="s">
        <v>219</v>
      </c>
      <c r="C82" s="13" t="s">
        <v>220</v>
      </c>
      <c r="D82" s="13" t="s">
        <v>221</v>
      </c>
      <c r="E82" s="14">
        <v>2772</v>
      </c>
      <c r="F82" s="15"/>
      <c r="G82" s="16">
        <v>46178</v>
      </c>
      <c r="H82" s="17">
        <f t="shared" si="0"/>
        <v>25</v>
      </c>
      <c r="I82" s="17">
        <f t="shared" si="1"/>
        <v>1</v>
      </c>
      <c r="J82" s="18" t="str">
        <f t="shared" si="2"/>
        <v>1–30 วัน</v>
      </c>
    </row>
    <row r="83" spans="2:10" ht="15.75" customHeight="1" x14ac:dyDescent="0.3">
      <c r="B83" s="12" t="s">
        <v>222</v>
      </c>
      <c r="C83" s="13" t="s">
        <v>223</v>
      </c>
      <c r="D83" s="13" t="s">
        <v>224</v>
      </c>
      <c r="E83" s="14">
        <v>2772</v>
      </c>
      <c r="F83" s="15"/>
      <c r="G83" s="16">
        <v>46178</v>
      </c>
      <c r="H83" s="17">
        <f t="shared" si="0"/>
        <v>25</v>
      </c>
      <c r="I83" s="17">
        <f t="shared" si="1"/>
        <v>1</v>
      </c>
      <c r="J83" s="18" t="str">
        <f t="shared" si="2"/>
        <v>1–30 วัน</v>
      </c>
    </row>
    <row r="84" spans="2:10" ht="15.75" customHeight="1" x14ac:dyDescent="0.3">
      <c r="B84" s="12" t="s">
        <v>225</v>
      </c>
      <c r="C84" s="13" t="s">
        <v>226</v>
      </c>
      <c r="D84" s="13" t="s">
        <v>227</v>
      </c>
      <c r="E84" s="14">
        <v>2772</v>
      </c>
      <c r="F84" s="15"/>
      <c r="G84" s="16">
        <v>46178</v>
      </c>
      <c r="H84" s="17">
        <f t="shared" si="0"/>
        <v>25</v>
      </c>
      <c r="I84" s="17">
        <f t="shared" si="1"/>
        <v>1</v>
      </c>
      <c r="J84" s="18" t="str">
        <f t="shared" si="2"/>
        <v>1–30 วัน</v>
      </c>
    </row>
    <row r="85" spans="2:10" ht="15.75" customHeight="1" x14ac:dyDescent="0.3">
      <c r="B85" s="12" t="s">
        <v>228</v>
      </c>
      <c r="C85" s="13" t="s">
        <v>220</v>
      </c>
      <c r="D85" s="13" t="s">
        <v>229</v>
      </c>
      <c r="E85" s="14">
        <v>2772</v>
      </c>
      <c r="F85" s="15"/>
      <c r="G85" s="16">
        <v>46178</v>
      </c>
      <c r="H85" s="17">
        <f t="shared" si="0"/>
        <v>25</v>
      </c>
      <c r="I85" s="17">
        <f t="shared" si="1"/>
        <v>1</v>
      </c>
      <c r="J85" s="18" t="str">
        <f t="shared" si="2"/>
        <v>1–30 วัน</v>
      </c>
    </row>
    <row r="86" spans="2:10" ht="15.75" customHeight="1" x14ac:dyDescent="0.3">
      <c r="B86" s="12" t="s">
        <v>230</v>
      </c>
      <c r="C86" s="13" t="s">
        <v>56</v>
      </c>
      <c r="D86" s="13" t="s">
        <v>231</v>
      </c>
      <c r="E86" s="14">
        <v>2730</v>
      </c>
      <c r="F86" s="15">
        <v>2730</v>
      </c>
      <c r="G86" s="16">
        <v>46178</v>
      </c>
      <c r="H86" s="17">
        <f t="shared" si="0"/>
        <v>25</v>
      </c>
      <c r="I86" s="17">
        <f t="shared" si="1"/>
        <v>1</v>
      </c>
      <c r="J86" s="18" t="str">
        <f t="shared" si="2"/>
        <v>1–30 วัน</v>
      </c>
    </row>
    <row r="87" spans="2:10" ht="15.75" customHeight="1" x14ac:dyDescent="0.3">
      <c r="B87" s="12" t="s">
        <v>232</v>
      </c>
      <c r="C87" s="13" t="s">
        <v>233</v>
      </c>
      <c r="D87" s="13" t="s">
        <v>234</v>
      </c>
      <c r="E87" s="14">
        <v>4095</v>
      </c>
      <c r="F87" s="15"/>
      <c r="G87" s="16">
        <v>46178</v>
      </c>
      <c r="H87" s="17">
        <f t="shared" si="0"/>
        <v>25</v>
      </c>
      <c r="I87" s="17">
        <f t="shared" si="1"/>
        <v>1</v>
      </c>
      <c r="J87" s="18" t="str">
        <f t="shared" si="2"/>
        <v>1–30 วัน</v>
      </c>
    </row>
    <row r="88" spans="2:10" ht="15.75" customHeight="1" x14ac:dyDescent="0.3">
      <c r="B88" s="12" t="s">
        <v>235</v>
      </c>
      <c r="C88" s="13" t="s">
        <v>236</v>
      </c>
      <c r="D88" s="13" t="s">
        <v>237</v>
      </c>
      <c r="E88" s="14">
        <v>1365</v>
      </c>
      <c r="F88" s="15">
        <v>1365</v>
      </c>
      <c r="G88" s="16">
        <v>46178</v>
      </c>
      <c r="H88" s="17">
        <f t="shared" si="0"/>
        <v>25</v>
      </c>
      <c r="I88" s="17">
        <f t="shared" si="1"/>
        <v>1</v>
      </c>
      <c r="J88" s="18" t="str">
        <f t="shared" si="2"/>
        <v>1–30 วัน</v>
      </c>
    </row>
    <row r="89" spans="2:10" ht="15.75" customHeight="1" x14ac:dyDescent="0.3">
      <c r="B89" s="12" t="s">
        <v>238</v>
      </c>
      <c r="C89" s="13" t="s">
        <v>239</v>
      </c>
      <c r="D89" s="13" t="s">
        <v>240</v>
      </c>
      <c r="E89" s="14">
        <v>1365</v>
      </c>
      <c r="F89" s="15"/>
      <c r="G89" s="16">
        <v>46178</v>
      </c>
      <c r="H89" s="17">
        <f t="shared" si="0"/>
        <v>25</v>
      </c>
      <c r="I89" s="17">
        <f t="shared" si="1"/>
        <v>1</v>
      </c>
      <c r="J89" s="18" t="str">
        <f t="shared" si="2"/>
        <v>1–30 วัน</v>
      </c>
    </row>
    <row r="90" spans="2:10" ht="15.75" customHeight="1" x14ac:dyDescent="0.3">
      <c r="B90" s="12" t="s">
        <v>241</v>
      </c>
      <c r="C90" s="13" t="s">
        <v>242</v>
      </c>
      <c r="D90" s="13" t="s">
        <v>243</v>
      </c>
      <c r="E90" s="14">
        <v>1365</v>
      </c>
      <c r="F90" s="15"/>
      <c r="G90" s="16">
        <v>46178</v>
      </c>
      <c r="H90" s="17">
        <f t="shared" si="0"/>
        <v>25</v>
      </c>
      <c r="I90" s="17">
        <f t="shared" si="1"/>
        <v>1</v>
      </c>
      <c r="J90" s="18" t="str">
        <f t="shared" si="2"/>
        <v>1–30 วัน</v>
      </c>
    </row>
    <row r="91" spans="2:10" ht="15.75" customHeight="1" x14ac:dyDescent="0.3">
      <c r="B91" s="12" t="s">
        <v>244</v>
      </c>
      <c r="C91" s="13" t="s">
        <v>245</v>
      </c>
      <c r="D91" s="13" t="s">
        <v>246</v>
      </c>
      <c r="E91" s="14">
        <v>1365</v>
      </c>
      <c r="F91" s="15"/>
      <c r="G91" s="16">
        <v>46178</v>
      </c>
      <c r="H91" s="17">
        <f t="shared" si="0"/>
        <v>25</v>
      </c>
      <c r="I91" s="17">
        <f t="shared" si="1"/>
        <v>1</v>
      </c>
      <c r="J91" s="18" t="str">
        <f t="shared" si="2"/>
        <v>1–30 วัน</v>
      </c>
    </row>
    <row r="92" spans="2:10" ht="15.75" customHeight="1" x14ac:dyDescent="0.3">
      <c r="B92" s="12" t="s">
        <v>247</v>
      </c>
      <c r="C92" s="13" t="s">
        <v>239</v>
      </c>
      <c r="D92" s="13" t="s">
        <v>248</v>
      </c>
      <c r="E92" s="14">
        <v>1365</v>
      </c>
      <c r="F92" s="15"/>
      <c r="G92" s="16">
        <v>46178</v>
      </c>
      <c r="H92" s="17">
        <f t="shared" si="0"/>
        <v>25</v>
      </c>
      <c r="I92" s="17">
        <f t="shared" si="1"/>
        <v>1</v>
      </c>
      <c r="J92" s="18" t="str">
        <f t="shared" si="2"/>
        <v>1–30 วัน</v>
      </c>
    </row>
    <row r="93" spans="2:10" ht="15.75" customHeight="1" x14ac:dyDescent="0.3">
      <c r="B93" s="12" t="s">
        <v>249</v>
      </c>
      <c r="C93" s="13" t="s">
        <v>250</v>
      </c>
      <c r="D93" s="13" t="s">
        <v>251</v>
      </c>
      <c r="E93" s="14">
        <v>1365</v>
      </c>
      <c r="F93" s="15"/>
      <c r="G93" s="16">
        <v>46178</v>
      </c>
      <c r="H93" s="17">
        <f t="shared" si="0"/>
        <v>25</v>
      </c>
      <c r="I93" s="17">
        <f t="shared" si="1"/>
        <v>1</v>
      </c>
      <c r="J93" s="18" t="str">
        <f t="shared" si="2"/>
        <v>1–30 วัน</v>
      </c>
    </row>
    <row r="94" spans="2:10" ht="15.75" customHeight="1" x14ac:dyDescent="0.3">
      <c r="B94" s="12" t="s">
        <v>252</v>
      </c>
      <c r="C94" s="13" t="s">
        <v>253</v>
      </c>
      <c r="D94" s="13" t="s">
        <v>254</v>
      </c>
      <c r="E94" s="14">
        <v>1365</v>
      </c>
      <c r="F94" s="15"/>
      <c r="G94" s="16">
        <v>46178</v>
      </c>
      <c r="H94" s="17">
        <f t="shared" si="0"/>
        <v>25</v>
      </c>
      <c r="I94" s="17">
        <f t="shared" si="1"/>
        <v>1</v>
      </c>
      <c r="J94" s="18" t="str">
        <f t="shared" si="2"/>
        <v>1–30 วัน</v>
      </c>
    </row>
    <row r="95" spans="2:10" ht="15.75" customHeight="1" x14ac:dyDescent="0.3">
      <c r="B95" s="12" t="s">
        <v>255</v>
      </c>
      <c r="C95" s="13" t="s">
        <v>96</v>
      </c>
      <c r="D95" s="13" t="s">
        <v>256</v>
      </c>
      <c r="E95" s="14">
        <v>1365</v>
      </c>
      <c r="F95" s="15"/>
      <c r="G95" s="16">
        <v>46178</v>
      </c>
      <c r="H95" s="17">
        <f t="shared" si="0"/>
        <v>25</v>
      </c>
      <c r="I95" s="17">
        <f t="shared" si="1"/>
        <v>1</v>
      </c>
      <c r="J95" s="18" t="str">
        <f t="shared" si="2"/>
        <v>1–30 วัน</v>
      </c>
    </row>
    <row r="96" spans="2:10" ht="15.75" customHeight="1" x14ac:dyDescent="0.3">
      <c r="B96" s="12" t="s">
        <v>257</v>
      </c>
      <c r="C96" s="13" t="s">
        <v>258</v>
      </c>
      <c r="D96" s="13" t="s">
        <v>259</v>
      </c>
      <c r="E96" s="14">
        <v>1365</v>
      </c>
      <c r="F96" s="15"/>
      <c r="G96" s="16">
        <v>46178</v>
      </c>
      <c r="H96" s="17">
        <f t="shared" si="0"/>
        <v>25</v>
      </c>
      <c r="I96" s="17">
        <f t="shared" si="1"/>
        <v>1</v>
      </c>
      <c r="J96" s="18" t="str">
        <f t="shared" si="2"/>
        <v>1–30 วัน</v>
      </c>
    </row>
    <row r="97" spans="2:10" ht="15.75" customHeight="1" x14ac:dyDescent="0.3">
      <c r="B97" s="12" t="s">
        <v>260</v>
      </c>
      <c r="C97" s="13" t="s">
        <v>261</v>
      </c>
      <c r="D97" s="13" t="s">
        <v>262</v>
      </c>
      <c r="E97" s="14">
        <v>1365</v>
      </c>
      <c r="F97" s="15"/>
      <c r="G97" s="16">
        <v>46178</v>
      </c>
      <c r="H97" s="17">
        <f t="shared" si="0"/>
        <v>25</v>
      </c>
      <c r="I97" s="17">
        <f t="shared" si="1"/>
        <v>1</v>
      </c>
      <c r="J97" s="18" t="str">
        <f t="shared" si="2"/>
        <v>1–30 วัน</v>
      </c>
    </row>
    <row r="98" spans="2:10" ht="15.75" customHeight="1" x14ac:dyDescent="0.3">
      <c r="B98" s="12" t="s">
        <v>263</v>
      </c>
      <c r="C98" s="13" t="s">
        <v>264</v>
      </c>
      <c r="D98" s="13" t="s">
        <v>265</v>
      </c>
      <c r="E98" s="14">
        <v>1365</v>
      </c>
      <c r="F98" s="15"/>
      <c r="G98" s="16">
        <v>46178</v>
      </c>
      <c r="H98" s="17">
        <f t="shared" si="0"/>
        <v>25</v>
      </c>
      <c r="I98" s="17">
        <f t="shared" si="1"/>
        <v>1</v>
      </c>
      <c r="J98" s="18" t="str">
        <f t="shared" si="2"/>
        <v>1–30 วัน</v>
      </c>
    </row>
    <row r="99" spans="2:10" ht="15.75" customHeight="1" x14ac:dyDescent="0.3">
      <c r="B99" s="12" t="s">
        <v>266</v>
      </c>
      <c r="C99" s="13" t="s">
        <v>267</v>
      </c>
      <c r="D99" s="13" t="s">
        <v>268</v>
      </c>
      <c r="E99" s="14">
        <v>5320</v>
      </c>
      <c r="F99" s="15">
        <v>5320</v>
      </c>
      <c r="G99" s="16">
        <v>46178</v>
      </c>
      <c r="H99" s="17">
        <f t="shared" si="0"/>
        <v>25</v>
      </c>
      <c r="I99" s="17">
        <f t="shared" si="1"/>
        <v>1</v>
      </c>
      <c r="J99" s="18" t="str">
        <f t="shared" si="2"/>
        <v>1–30 วัน</v>
      </c>
    </row>
    <row r="100" spans="2:10" ht="15.75" customHeight="1" x14ac:dyDescent="0.3">
      <c r="B100" s="12" t="s">
        <v>269</v>
      </c>
      <c r="C100" s="13" t="s">
        <v>270</v>
      </c>
      <c r="D100" s="13" t="s">
        <v>271</v>
      </c>
      <c r="E100" s="14">
        <v>5320</v>
      </c>
      <c r="F100" s="15"/>
      <c r="G100" s="16">
        <v>46178</v>
      </c>
      <c r="H100" s="17">
        <f t="shared" si="0"/>
        <v>25</v>
      </c>
      <c r="I100" s="17">
        <f t="shared" si="1"/>
        <v>1</v>
      </c>
      <c r="J100" s="18" t="str">
        <f t="shared" si="2"/>
        <v>1–30 วัน</v>
      </c>
    </row>
    <row r="101" spans="2:10" ht="15.75" customHeight="1" x14ac:dyDescent="0.3">
      <c r="B101" s="12" t="s">
        <v>272</v>
      </c>
      <c r="C101" s="13" t="s">
        <v>153</v>
      </c>
      <c r="D101" s="13" t="s">
        <v>273</v>
      </c>
      <c r="E101" s="14">
        <v>2660</v>
      </c>
      <c r="F101" s="15"/>
      <c r="G101" s="16">
        <v>46178</v>
      </c>
      <c r="H101" s="17">
        <f t="shared" si="0"/>
        <v>25</v>
      </c>
      <c r="I101" s="17">
        <f t="shared" si="1"/>
        <v>1</v>
      </c>
      <c r="J101" s="18" t="str">
        <f t="shared" si="2"/>
        <v>1–30 วัน</v>
      </c>
    </row>
    <row r="102" spans="2:10" ht="15.75" customHeight="1" x14ac:dyDescent="0.3">
      <c r="B102" s="12" t="s">
        <v>274</v>
      </c>
      <c r="C102" s="13" t="s">
        <v>275</v>
      </c>
      <c r="D102" s="13" t="s">
        <v>276</v>
      </c>
      <c r="E102" s="14">
        <v>2660</v>
      </c>
      <c r="F102" s="15"/>
      <c r="G102" s="16">
        <v>46178</v>
      </c>
      <c r="H102" s="17">
        <f t="shared" si="0"/>
        <v>25</v>
      </c>
      <c r="I102" s="17">
        <f t="shared" si="1"/>
        <v>1</v>
      </c>
      <c r="J102" s="18" t="str">
        <f t="shared" si="2"/>
        <v>1–30 วัน</v>
      </c>
    </row>
    <row r="103" spans="2:10" ht="15.75" customHeight="1" x14ac:dyDescent="0.3">
      <c r="B103" s="12" t="s">
        <v>277</v>
      </c>
      <c r="C103" s="13" t="s">
        <v>278</v>
      </c>
      <c r="D103" s="13" t="s">
        <v>279</v>
      </c>
      <c r="E103" s="14">
        <v>2660</v>
      </c>
      <c r="F103" s="15"/>
      <c r="G103" s="16">
        <v>46178</v>
      </c>
      <c r="H103" s="17">
        <f t="shared" si="0"/>
        <v>25</v>
      </c>
      <c r="I103" s="17">
        <f t="shared" si="1"/>
        <v>1</v>
      </c>
      <c r="J103" s="18" t="str">
        <f t="shared" si="2"/>
        <v>1–30 วัน</v>
      </c>
    </row>
    <row r="104" spans="2:10" ht="15.75" customHeight="1" x14ac:dyDescent="0.3">
      <c r="B104" s="12" t="s">
        <v>280</v>
      </c>
      <c r="C104" s="13" t="s">
        <v>281</v>
      </c>
      <c r="D104" s="13" t="s">
        <v>282</v>
      </c>
      <c r="E104" s="14">
        <v>5320</v>
      </c>
      <c r="F104" s="15"/>
      <c r="G104" s="16">
        <v>46178</v>
      </c>
      <c r="H104" s="17">
        <f t="shared" si="0"/>
        <v>25</v>
      </c>
      <c r="I104" s="17">
        <f t="shared" si="1"/>
        <v>1</v>
      </c>
      <c r="J104" s="18" t="str">
        <f t="shared" si="2"/>
        <v>1–30 วัน</v>
      </c>
    </row>
    <row r="105" spans="2:10" ht="15.75" customHeight="1" x14ac:dyDescent="0.3">
      <c r="B105" s="12" t="s">
        <v>283</v>
      </c>
      <c r="C105" s="13" t="s">
        <v>284</v>
      </c>
      <c r="D105" s="13" t="s">
        <v>285</v>
      </c>
      <c r="E105" s="14">
        <v>2660</v>
      </c>
      <c r="F105" s="15"/>
      <c r="G105" s="16">
        <v>46178</v>
      </c>
      <c r="H105" s="17">
        <f t="shared" si="0"/>
        <v>25</v>
      </c>
      <c r="I105" s="17">
        <f t="shared" si="1"/>
        <v>1</v>
      </c>
      <c r="J105" s="18" t="str">
        <f t="shared" si="2"/>
        <v>1–30 วัน</v>
      </c>
    </row>
    <row r="106" spans="2:10" ht="15.75" customHeight="1" x14ac:dyDescent="0.3">
      <c r="B106" s="12" t="s">
        <v>286</v>
      </c>
      <c r="C106" s="13" t="s">
        <v>287</v>
      </c>
      <c r="D106" s="13" t="s">
        <v>288</v>
      </c>
      <c r="E106" s="14">
        <v>5320</v>
      </c>
      <c r="F106" s="15"/>
      <c r="G106" s="16">
        <v>46178</v>
      </c>
      <c r="H106" s="17">
        <f t="shared" si="0"/>
        <v>25</v>
      </c>
      <c r="I106" s="17">
        <f t="shared" si="1"/>
        <v>1</v>
      </c>
      <c r="J106" s="18" t="str">
        <f t="shared" si="2"/>
        <v>1–30 วัน</v>
      </c>
    </row>
    <row r="107" spans="2:10" ht="15.75" customHeight="1" x14ac:dyDescent="0.3">
      <c r="B107" s="12" t="s">
        <v>289</v>
      </c>
      <c r="C107" s="12" t="s">
        <v>290</v>
      </c>
      <c r="D107" s="13" t="s">
        <v>291</v>
      </c>
      <c r="E107" s="14">
        <v>5320</v>
      </c>
      <c r="F107" s="15"/>
      <c r="G107" s="16">
        <v>46178</v>
      </c>
      <c r="H107" s="17">
        <f t="shared" si="0"/>
        <v>25</v>
      </c>
      <c r="I107" s="17">
        <f t="shared" si="1"/>
        <v>1</v>
      </c>
      <c r="J107" s="18" t="str">
        <f t="shared" si="2"/>
        <v>1–30 วัน</v>
      </c>
    </row>
    <row r="108" spans="2:10" ht="15.75" customHeight="1" x14ac:dyDescent="0.3">
      <c r="B108" s="12" t="s">
        <v>292</v>
      </c>
      <c r="C108" s="12" t="s">
        <v>293</v>
      </c>
      <c r="D108" s="13" t="s">
        <v>294</v>
      </c>
      <c r="E108" s="14">
        <v>5320</v>
      </c>
      <c r="F108" s="15"/>
      <c r="G108" s="16">
        <v>46178</v>
      </c>
      <c r="H108" s="17">
        <f t="shared" si="0"/>
        <v>25</v>
      </c>
      <c r="I108" s="17">
        <f t="shared" si="1"/>
        <v>1</v>
      </c>
      <c r="J108" s="18" t="str">
        <f t="shared" si="2"/>
        <v>1–30 วัน</v>
      </c>
    </row>
    <row r="109" spans="2:10" ht="15.75" customHeight="1" x14ac:dyDescent="0.3">
      <c r="B109" s="12" t="s">
        <v>295</v>
      </c>
      <c r="C109" s="12" t="s">
        <v>296</v>
      </c>
      <c r="D109" s="13" t="s">
        <v>297</v>
      </c>
      <c r="E109" s="14">
        <v>5320</v>
      </c>
      <c r="F109" s="15"/>
      <c r="G109" s="16">
        <v>46178</v>
      </c>
      <c r="H109" s="17">
        <f t="shared" si="0"/>
        <v>25</v>
      </c>
      <c r="I109" s="17">
        <f t="shared" si="1"/>
        <v>1</v>
      </c>
      <c r="J109" s="18" t="str">
        <f t="shared" si="2"/>
        <v>1–30 วัน</v>
      </c>
    </row>
    <row r="110" spans="2:10" ht="15.75" customHeight="1" x14ac:dyDescent="0.3">
      <c r="B110" s="12" t="s">
        <v>298</v>
      </c>
      <c r="C110" s="12" t="s">
        <v>53</v>
      </c>
      <c r="D110" s="13" t="s">
        <v>299</v>
      </c>
      <c r="E110" s="14">
        <v>5320</v>
      </c>
      <c r="F110" s="15"/>
      <c r="G110" s="16">
        <v>46178</v>
      </c>
      <c r="H110" s="17">
        <f t="shared" si="0"/>
        <v>25</v>
      </c>
      <c r="I110" s="17">
        <f t="shared" si="1"/>
        <v>1</v>
      </c>
      <c r="J110" s="18" t="str">
        <f t="shared" si="2"/>
        <v>1–30 วัน</v>
      </c>
    </row>
    <row r="111" spans="2:10" ht="15.75" customHeight="1" x14ac:dyDescent="0.3">
      <c r="B111" s="12" t="s">
        <v>300</v>
      </c>
      <c r="C111" s="12" t="s">
        <v>290</v>
      </c>
      <c r="D111" s="13" t="s">
        <v>301</v>
      </c>
      <c r="E111" s="14">
        <v>2184</v>
      </c>
      <c r="F111" s="15"/>
      <c r="G111" s="16">
        <v>46178</v>
      </c>
      <c r="H111" s="17">
        <f t="shared" si="0"/>
        <v>25</v>
      </c>
      <c r="I111" s="17">
        <f t="shared" si="1"/>
        <v>1</v>
      </c>
      <c r="J111" s="18" t="str">
        <f t="shared" si="2"/>
        <v>1–30 วัน</v>
      </c>
    </row>
    <row r="112" spans="2:10" ht="15.75" customHeight="1" x14ac:dyDescent="0.3">
      <c r="B112" s="12" t="s">
        <v>302</v>
      </c>
      <c r="C112" s="12" t="s">
        <v>303</v>
      </c>
      <c r="D112" s="13" t="s">
        <v>304</v>
      </c>
      <c r="E112" s="14">
        <v>2184</v>
      </c>
      <c r="F112" s="15">
        <v>2184</v>
      </c>
      <c r="G112" s="16">
        <v>46178</v>
      </c>
      <c r="H112" s="17">
        <f t="shared" si="0"/>
        <v>25</v>
      </c>
      <c r="I112" s="17">
        <f t="shared" si="1"/>
        <v>1</v>
      </c>
      <c r="J112" s="18" t="str">
        <f t="shared" si="2"/>
        <v>1–30 วัน</v>
      </c>
    </row>
    <row r="113" spans="2:10" ht="15.75" customHeight="1" x14ac:dyDescent="0.3">
      <c r="B113" s="12" t="s">
        <v>305</v>
      </c>
      <c r="C113" s="12" t="s">
        <v>306</v>
      </c>
      <c r="D113" s="13" t="s">
        <v>307</v>
      </c>
      <c r="E113" s="14">
        <v>1092</v>
      </c>
      <c r="F113" s="15">
        <v>1092</v>
      </c>
      <c r="G113" s="16">
        <v>46178</v>
      </c>
      <c r="H113" s="17">
        <f t="shared" si="0"/>
        <v>25</v>
      </c>
      <c r="I113" s="17">
        <f t="shared" si="1"/>
        <v>1</v>
      </c>
      <c r="J113" s="18" t="str">
        <f t="shared" si="2"/>
        <v>1–30 วัน</v>
      </c>
    </row>
    <row r="114" spans="2:10" ht="15.75" customHeight="1" x14ac:dyDescent="0.3">
      <c r="B114" s="12" t="s">
        <v>308</v>
      </c>
      <c r="C114" s="12" t="s">
        <v>309</v>
      </c>
      <c r="D114" s="13" t="s">
        <v>310</v>
      </c>
      <c r="E114" s="14">
        <v>1092</v>
      </c>
      <c r="F114" s="15">
        <v>1092</v>
      </c>
      <c r="G114" s="16">
        <v>46178</v>
      </c>
      <c r="H114" s="17">
        <f t="shared" si="0"/>
        <v>25</v>
      </c>
      <c r="I114" s="17">
        <f t="shared" si="1"/>
        <v>1</v>
      </c>
      <c r="J114" s="18" t="str">
        <f t="shared" si="2"/>
        <v>1–30 วัน</v>
      </c>
    </row>
    <row r="115" spans="2:10" ht="15.75" customHeight="1" x14ac:dyDescent="0.3">
      <c r="B115" s="12" t="s">
        <v>311</v>
      </c>
      <c r="C115" s="12" t="s">
        <v>312</v>
      </c>
      <c r="D115" s="13" t="s">
        <v>313</v>
      </c>
      <c r="E115" s="14">
        <v>1092</v>
      </c>
      <c r="F115" s="15"/>
      <c r="G115" s="16">
        <v>46178</v>
      </c>
      <c r="H115" s="17">
        <f t="shared" si="0"/>
        <v>25</v>
      </c>
      <c r="I115" s="17">
        <f t="shared" si="1"/>
        <v>1</v>
      </c>
      <c r="J115" s="18" t="str">
        <f t="shared" si="2"/>
        <v>1–30 วัน</v>
      </c>
    </row>
    <row r="116" spans="2:10" ht="15.75" customHeight="1" x14ac:dyDescent="0.3">
      <c r="B116" s="12" t="s">
        <v>314</v>
      </c>
      <c r="C116" s="12" t="s">
        <v>315</v>
      </c>
      <c r="D116" s="13" t="s">
        <v>316</v>
      </c>
      <c r="E116" s="14">
        <v>1092</v>
      </c>
      <c r="F116" s="15"/>
      <c r="G116" s="16">
        <v>46178</v>
      </c>
      <c r="H116" s="17">
        <f t="shared" si="0"/>
        <v>25</v>
      </c>
      <c r="I116" s="17">
        <f t="shared" si="1"/>
        <v>1</v>
      </c>
      <c r="J116" s="18" t="str">
        <f t="shared" si="2"/>
        <v>1–30 วัน</v>
      </c>
    </row>
    <row r="117" spans="2:10" ht="15.75" customHeight="1" x14ac:dyDescent="0.3">
      <c r="B117" s="12" t="s">
        <v>317</v>
      </c>
      <c r="C117" s="12" t="s">
        <v>318</v>
      </c>
      <c r="D117" s="13" t="s">
        <v>319</v>
      </c>
      <c r="E117" s="14">
        <v>2184</v>
      </c>
      <c r="F117" s="15">
        <v>2184</v>
      </c>
      <c r="G117" s="16">
        <v>46178</v>
      </c>
      <c r="H117" s="17">
        <f t="shared" si="0"/>
        <v>25</v>
      </c>
      <c r="I117" s="17">
        <f t="shared" si="1"/>
        <v>1</v>
      </c>
      <c r="J117" s="18" t="str">
        <f t="shared" si="2"/>
        <v>1–30 วัน</v>
      </c>
    </row>
    <row r="118" spans="2:10" ht="15.75" customHeight="1" x14ac:dyDescent="0.3">
      <c r="B118" s="12" t="s">
        <v>320</v>
      </c>
      <c r="C118" s="12" t="s">
        <v>321</v>
      </c>
      <c r="D118" s="13" t="s">
        <v>322</v>
      </c>
      <c r="E118" s="14">
        <v>6000</v>
      </c>
      <c r="F118" s="15">
        <v>12000</v>
      </c>
      <c r="G118" s="16">
        <v>46147</v>
      </c>
      <c r="H118" s="17">
        <f t="shared" si="0"/>
        <v>56</v>
      </c>
      <c r="I118" s="17">
        <f t="shared" si="1"/>
        <v>2</v>
      </c>
      <c r="J118" s="18" t="str">
        <f t="shared" si="2"/>
        <v>31–60 วัน</v>
      </c>
    </row>
    <row r="119" spans="2:10" ht="15.75" customHeight="1" x14ac:dyDescent="0.3">
      <c r="B119" s="12" t="s">
        <v>323</v>
      </c>
      <c r="C119" s="12" t="s">
        <v>321</v>
      </c>
      <c r="D119" s="13" t="s">
        <v>324</v>
      </c>
      <c r="E119" s="14">
        <v>3120</v>
      </c>
      <c r="F119" s="15">
        <v>6240</v>
      </c>
      <c r="G119" s="16">
        <v>46147</v>
      </c>
      <c r="H119" s="17">
        <f t="shared" si="0"/>
        <v>56</v>
      </c>
      <c r="I119" s="17">
        <f t="shared" si="1"/>
        <v>2</v>
      </c>
      <c r="J119" s="18" t="str">
        <f t="shared" si="2"/>
        <v>31–60 วัน</v>
      </c>
    </row>
    <row r="120" spans="2:10" ht="15.75" customHeight="1" x14ac:dyDescent="0.3">
      <c r="B120" s="12" t="s">
        <v>325</v>
      </c>
      <c r="C120" s="12" t="s">
        <v>321</v>
      </c>
      <c r="D120" s="13" t="s">
        <v>326</v>
      </c>
      <c r="E120" s="14">
        <v>6000</v>
      </c>
      <c r="F120" s="15">
        <v>12000</v>
      </c>
      <c r="G120" s="16">
        <v>46147</v>
      </c>
      <c r="H120" s="17">
        <f t="shared" si="0"/>
        <v>56</v>
      </c>
      <c r="I120" s="17">
        <f t="shared" si="1"/>
        <v>2</v>
      </c>
      <c r="J120" s="18" t="str">
        <f t="shared" si="2"/>
        <v>31–60 วัน</v>
      </c>
    </row>
    <row r="121" spans="2:10" ht="15.75" customHeight="1" x14ac:dyDescent="0.3">
      <c r="B121" s="12"/>
      <c r="C121" s="12"/>
      <c r="D121" s="13"/>
      <c r="E121" s="14"/>
      <c r="F121" s="15"/>
      <c r="G121" s="16"/>
      <c r="H121" s="17" t="str">
        <f t="shared" si="0"/>
        <v/>
      </c>
      <c r="I121" s="17" t="str">
        <f t="shared" si="1"/>
        <v/>
      </c>
      <c r="J121" s="18" t="str">
        <f t="shared" si="2"/>
        <v/>
      </c>
    </row>
    <row r="122" spans="2:10" ht="15.75" customHeight="1" x14ac:dyDescent="0.3">
      <c r="B122" s="12"/>
      <c r="C122" s="12"/>
      <c r="D122" s="13"/>
      <c r="E122" s="14"/>
      <c r="F122" s="15"/>
      <c r="G122" s="16"/>
      <c r="H122" s="17" t="str">
        <f t="shared" si="0"/>
        <v/>
      </c>
      <c r="I122" s="17" t="str">
        <f t="shared" si="1"/>
        <v/>
      </c>
      <c r="J122" s="18" t="str">
        <f t="shared" si="2"/>
        <v/>
      </c>
    </row>
    <row r="123" spans="2:10" ht="15.75" customHeight="1" x14ac:dyDescent="0.3">
      <c r="B123" s="12"/>
      <c r="C123" s="12"/>
      <c r="D123" s="13"/>
      <c r="E123" s="14"/>
      <c r="F123" s="15"/>
      <c r="G123" s="16"/>
      <c r="H123" s="17" t="str">
        <f t="shared" si="0"/>
        <v/>
      </c>
      <c r="I123" s="17" t="str">
        <f t="shared" si="1"/>
        <v/>
      </c>
      <c r="J123" s="18" t="str">
        <f t="shared" si="2"/>
        <v/>
      </c>
    </row>
    <row r="124" spans="2:10" ht="15.75" customHeight="1" x14ac:dyDescent="0.3">
      <c r="B124" s="12"/>
      <c r="C124" s="12"/>
      <c r="D124" s="13"/>
      <c r="E124" s="14"/>
      <c r="F124" s="15"/>
      <c r="G124" s="16"/>
      <c r="H124" s="17" t="str">
        <f t="shared" si="0"/>
        <v/>
      </c>
      <c r="I124" s="17" t="str">
        <f t="shared" si="1"/>
        <v/>
      </c>
      <c r="J124" s="18" t="str">
        <f t="shared" si="2"/>
        <v/>
      </c>
    </row>
    <row r="125" spans="2:10" ht="15.75" customHeight="1" x14ac:dyDescent="0.3">
      <c r="B125" s="12"/>
      <c r="C125" s="12"/>
      <c r="D125" s="13"/>
      <c r="E125" s="14"/>
      <c r="F125" s="15"/>
      <c r="G125" s="16"/>
      <c r="H125" s="17" t="str">
        <f t="shared" si="0"/>
        <v/>
      </c>
      <c r="I125" s="17" t="str">
        <f t="shared" si="1"/>
        <v/>
      </c>
      <c r="J125" s="18" t="str">
        <f t="shared" si="2"/>
        <v/>
      </c>
    </row>
    <row r="126" spans="2:10" ht="15.75" customHeight="1" x14ac:dyDescent="0.3">
      <c r="B126" s="12"/>
      <c r="C126" s="12"/>
      <c r="D126" s="13"/>
      <c r="E126" s="14"/>
      <c r="F126" s="15"/>
      <c r="G126" s="16"/>
      <c r="H126" s="17" t="str">
        <f t="shared" si="0"/>
        <v/>
      </c>
      <c r="I126" s="17" t="str">
        <f t="shared" si="1"/>
        <v/>
      </c>
      <c r="J126" s="18" t="str">
        <f t="shared" si="2"/>
        <v/>
      </c>
    </row>
    <row r="127" spans="2:10" ht="15.75" customHeight="1" x14ac:dyDescent="0.3">
      <c r="B127" s="12"/>
      <c r="C127" s="12"/>
      <c r="D127" s="13"/>
      <c r="E127" s="14"/>
      <c r="F127" s="15"/>
      <c r="G127" s="16"/>
      <c r="H127" s="17" t="str">
        <f t="shared" si="0"/>
        <v/>
      </c>
      <c r="I127" s="17" t="str">
        <f t="shared" si="1"/>
        <v/>
      </c>
      <c r="J127" s="18" t="str">
        <f t="shared" si="2"/>
        <v/>
      </c>
    </row>
    <row r="128" spans="2:10" ht="15.75" customHeight="1" x14ac:dyDescent="0.3">
      <c r="B128" s="12"/>
      <c r="C128" s="12"/>
      <c r="D128" s="13"/>
      <c r="E128" s="14"/>
      <c r="F128" s="15"/>
      <c r="G128" s="16"/>
      <c r="H128" s="17" t="str">
        <f t="shared" si="0"/>
        <v/>
      </c>
      <c r="I128" s="17" t="str">
        <f t="shared" si="1"/>
        <v/>
      </c>
      <c r="J128" s="18" t="str">
        <f t="shared" si="2"/>
        <v/>
      </c>
    </row>
    <row r="129" spans="2:10" ht="15.75" customHeight="1" x14ac:dyDescent="0.3">
      <c r="B129" s="12"/>
      <c r="C129" s="12"/>
      <c r="D129" s="13"/>
      <c r="E129" s="14"/>
      <c r="F129" s="15"/>
      <c r="G129" s="16"/>
      <c r="H129" s="17" t="str">
        <f t="shared" si="0"/>
        <v/>
      </c>
      <c r="I129" s="17" t="str">
        <f t="shared" si="1"/>
        <v/>
      </c>
      <c r="J129" s="18" t="str">
        <f t="shared" si="2"/>
        <v/>
      </c>
    </row>
    <row r="130" spans="2:10" ht="15.75" customHeight="1" x14ac:dyDescent="0.3">
      <c r="B130" s="12"/>
      <c r="C130" s="12"/>
      <c r="D130" s="13"/>
      <c r="E130" s="14"/>
      <c r="F130" s="15"/>
      <c r="G130" s="16"/>
      <c r="H130" s="17" t="str">
        <f t="shared" si="0"/>
        <v/>
      </c>
      <c r="I130" s="17" t="str">
        <f t="shared" si="1"/>
        <v/>
      </c>
      <c r="J130" s="18" t="str">
        <f t="shared" si="2"/>
        <v/>
      </c>
    </row>
    <row r="131" spans="2:10" ht="15.75" customHeight="1" x14ac:dyDescent="0.3">
      <c r="B131" s="12"/>
      <c r="C131" s="12"/>
      <c r="D131" s="13"/>
      <c r="E131" s="14"/>
      <c r="F131" s="15"/>
      <c r="G131" s="16"/>
      <c r="H131" s="17" t="str">
        <f t="shared" si="0"/>
        <v/>
      </c>
      <c r="I131" s="17" t="str">
        <f t="shared" si="1"/>
        <v/>
      </c>
      <c r="J131" s="18" t="str">
        <f t="shared" si="2"/>
        <v/>
      </c>
    </row>
    <row r="132" spans="2:10" ht="15.75" customHeight="1" x14ac:dyDescent="0.3">
      <c r="B132" s="12"/>
      <c r="C132" s="12"/>
      <c r="D132" s="13"/>
      <c r="E132" s="14"/>
      <c r="F132" s="15"/>
      <c r="G132" s="16"/>
      <c r="H132" s="17" t="str">
        <f t="shared" si="0"/>
        <v/>
      </c>
      <c r="I132" s="17" t="str">
        <f t="shared" si="1"/>
        <v/>
      </c>
      <c r="J132" s="18" t="str">
        <f t="shared" si="2"/>
        <v/>
      </c>
    </row>
    <row r="133" spans="2:10" ht="15.75" customHeight="1" x14ac:dyDescent="0.3">
      <c r="B133" s="12"/>
      <c r="C133" s="12"/>
      <c r="D133" s="13"/>
      <c r="E133" s="14"/>
      <c r="F133" s="15"/>
      <c r="G133" s="16"/>
      <c r="H133" s="17" t="str">
        <f t="shared" si="0"/>
        <v/>
      </c>
      <c r="I133" s="17" t="str">
        <f t="shared" si="1"/>
        <v/>
      </c>
      <c r="J133" s="18" t="str">
        <f t="shared" si="2"/>
        <v/>
      </c>
    </row>
    <row r="134" spans="2:10" ht="15.75" customHeight="1" x14ac:dyDescent="0.3">
      <c r="B134" s="12"/>
      <c r="C134" s="12"/>
      <c r="D134" s="13"/>
      <c r="E134" s="14"/>
      <c r="F134" s="15"/>
      <c r="G134" s="16"/>
      <c r="H134" s="17" t="str">
        <f t="shared" si="0"/>
        <v/>
      </c>
      <c r="I134" s="17" t="str">
        <f t="shared" si="1"/>
        <v/>
      </c>
      <c r="J134" s="18" t="str">
        <f t="shared" si="2"/>
        <v/>
      </c>
    </row>
    <row r="135" spans="2:10" ht="15.75" customHeight="1" x14ac:dyDescent="0.3">
      <c r="B135" s="12"/>
      <c r="C135" s="12"/>
      <c r="D135" s="13"/>
      <c r="E135" s="14"/>
      <c r="F135" s="15"/>
      <c r="G135" s="16"/>
      <c r="H135" s="17" t="str">
        <f t="shared" si="0"/>
        <v/>
      </c>
      <c r="I135" s="17" t="str">
        <f t="shared" si="1"/>
        <v/>
      </c>
      <c r="J135" s="18" t="str">
        <f t="shared" si="2"/>
        <v/>
      </c>
    </row>
    <row r="136" spans="2:10" ht="15.75" customHeight="1" x14ac:dyDescent="0.3">
      <c r="B136" s="12"/>
      <c r="C136" s="12"/>
      <c r="D136" s="13"/>
      <c r="E136" s="14"/>
      <c r="F136" s="15"/>
      <c r="G136" s="16"/>
      <c r="H136" s="17" t="str">
        <f t="shared" si="0"/>
        <v/>
      </c>
      <c r="I136" s="17" t="str">
        <f t="shared" si="1"/>
        <v/>
      </c>
      <c r="J136" s="18" t="str">
        <f t="shared" si="2"/>
        <v/>
      </c>
    </row>
    <row r="137" spans="2:10" ht="15.75" customHeight="1" x14ac:dyDescent="0.3">
      <c r="B137" s="12"/>
      <c r="C137" s="12"/>
      <c r="D137" s="13"/>
      <c r="E137" s="14"/>
      <c r="F137" s="15"/>
      <c r="G137" s="16"/>
      <c r="H137" s="17" t="str">
        <f t="shared" si="0"/>
        <v/>
      </c>
      <c r="I137" s="17" t="str">
        <f t="shared" si="1"/>
        <v/>
      </c>
      <c r="J137" s="18" t="str">
        <f t="shared" si="2"/>
        <v/>
      </c>
    </row>
    <row r="138" spans="2:10" ht="15.75" customHeight="1" x14ac:dyDescent="0.3">
      <c r="B138" s="12"/>
      <c r="C138" s="12"/>
      <c r="D138" s="13"/>
      <c r="E138" s="14"/>
      <c r="F138" s="15"/>
      <c r="G138" s="16"/>
      <c r="H138" s="17" t="str">
        <f t="shared" si="0"/>
        <v/>
      </c>
      <c r="I138" s="17" t="str">
        <f t="shared" si="1"/>
        <v/>
      </c>
      <c r="J138" s="18" t="str">
        <f t="shared" si="2"/>
        <v/>
      </c>
    </row>
    <row r="139" spans="2:10" ht="15.75" customHeight="1" x14ac:dyDescent="0.3">
      <c r="B139" s="12"/>
      <c r="C139" s="12"/>
      <c r="D139" s="13"/>
      <c r="E139" s="14"/>
      <c r="F139" s="15"/>
      <c r="G139" s="16"/>
      <c r="H139" s="17" t="str">
        <f t="shared" si="0"/>
        <v/>
      </c>
      <c r="I139" s="17" t="str">
        <f t="shared" si="1"/>
        <v/>
      </c>
      <c r="J139" s="18" t="str">
        <f t="shared" si="2"/>
        <v/>
      </c>
    </row>
    <row r="140" spans="2:10" ht="15.75" customHeight="1" x14ac:dyDescent="0.3">
      <c r="B140" s="12"/>
      <c r="C140" s="12"/>
      <c r="D140" s="13"/>
      <c r="E140" s="14"/>
      <c r="F140" s="15"/>
      <c r="G140" s="16"/>
      <c r="H140" s="17" t="str">
        <f t="shared" si="0"/>
        <v/>
      </c>
      <c r="I140" s="17" t="str">
        <f t="shared" si="1"/>
        <v/>
      </c>
      <c r="J140" s="18" t="str">
        <f t="shared" si="2"/>
        <v/>
      </c>
    </row>
    <row r="141" spans="2:10" ht="15.75" customHeight="1" x14ac:dyDescent="0.3">
      <c r="B141" s="12"/>
      <c r="C141" s="12"/>
      <c r="D141" s="13"/>
      <c r="E141" s="14"/>
      <c r="F141" s="15"/>
      <c r="G141" s="16"/>
      <c r="H141" s="17" t="str">
        <f t="shared" si="0"/>
        <v/>
      </c>
      <c r="I141" s="17" t="str">
        <f t="shared" si="1"/>
        <v/>
      </c>
      <c r="J141" s="18" t="str">
        <f t="shared" si="2"/>
        <v/>
      </c>
    </row>
    <row r="142" spans="2:10" ht="15.75" customHeight="1" x14ac:dyDescent="0.3">
      <c r="B142" s="12"/>
      <c r="C142" s="12"/>
      <c r="D142" s="13"/>
      <c r="E142" s="14"/>
      <c r="F142" s="15"/>
      <c r="G142" s="16"/>
      <c r="H142" s="17" t="str">
        <f t="shared" si="0"/>
        <v/>
      </c>
      <c r="I142" s="17" t="str">
        <f t="shared" si="1"/>
        <v/>
      </c>
      <c r="J142" s="18" t="str">
        <f t="shared" si="2"/>
        <v/>
      </c>
    </row>
    <row r="143" spans="2:10" ht="15.75" customHeight="1" x14ac:dyDescent="0.3">
      <c r="B143" s="12"/>
      <c r="C143" s="12"/>
      <c r="D143" s="13"/>
      <c r="E143" s="14"/>
      <c r="F143" s="15"/>
      <c r="G143" s="16"/>
      <c r="H143" s="17" t="str">
        <f t="shared" si="0"/>
        <v/>
      </c>
      <c r="I143" s="17" t="str">
        <f t="shared" si="1"/>
        <v/>
      </c>
      <c r="J143" s="18" t="str">
        <f t="shared" si="2"/>
        <v/>
      </c>
    </row>
    <row r="144" spans="2:10" ht="15.75" customHeight="1" x14ac:dyDescent="0.3">
      <c r="B144" s="12"/>
      <c r="C144" s="12"/>
      <c r="D144" s="13"/>
      <c r="E144" s="14"/>
      <c r="F144" s="15"/>
      <c r="G144" s="16"/>
      <c r="H144" s="17" t="str">
        <f t="shared" si="0"/>
        <v/>
      </c>
      <c r="I144" s="17" t="str">
        <f t="shared" si="1"/>
        <v/>
      </c>
      <c r="J144" s="18" t="str">
        <f t="shared" si="2"/>
        <v/>
      </c>
    </row>
    <row r="145" spans="2:10" ht="15.75" customHeight="1" x14ac:dyDescent="0.3">
      <c r="B145" s="12"/>
      <c r="C145" s="12"/>
      <c r="D145" s="13"/>
      <c r="E145" s="14"/>
      <c r="F145" s="15"/>
      <c r="G145" s="16"/>
      <c r="H145" s="17" t="str">
        <f t="shared" si="0"/>
        <v/>
      </c>
      <c r="I145" s="17" t="str">
        <f t="shared" si="1"/>
        <v/>
      </c>
      <c r="J145" s="18" t="str">
        <f t="shared" si="2"/>
        <v/>
      </c>
    </row>
    <row r="146" spans="2:10" ht="15.75" customHeight="1" x14ac:dyDescent="0.3">
      <c r="B146" s="12"/>
      <c r="C146" s="12"/>
      <c r="D146" s="13"/>
      <c r="E146" s="14"/>
      <c r="F146" s="15"/>
      <c r="G146" s="16"/>
      <c r="H146" s="17" t="str">
        <f t="shared" si="0"/>
        <v/>
      </c>
      <c r="I146" s="17" t="str">
        <f t="shared" si="1"/>
        <v/>
      </c>
      <c r="J146" s="18" t="str">
        <f t="shared" si="2"/>
        <v/>
      </c>
    </row>
    <row r="147" spans="2:10" ht="15.75" customHeight="1" x14ac:dyDescent="0.3">
      <c r="B147" s="12"/>
      <c r="C147" s="12"/>
      <c r="D147" s="13"/>
      <c r="E147" s="14"/>
      <c r="F147" s="15"/>
      <c r="G147" s="16"/>
      <c r="H147" s="17" t="str">
        <f t="shared" si="0"/>
        <v/>
      </c>
      <c r="I147" s="17" t="str">
        <f t="shared" si="1"/>
        <v/>
      </c>
      <c r="J147" s="18" t="str">
        <f t="shared" si="2"/>
        <v/>
      </c>
    </row>
    <row r="148" spans="2:10" ht="15.75" customHeight="1" x14ac:dyDescent="0.3">
      <c r="B148" s="12"/>
      <c r="C148" s="12"/>
      <c r="D148" s="13"/>
      <c r="E148" s="14"/>
      <c r="F148" s="15"/>
      <c r="G148" s="16"/>
      <c r="H148" s="17" t="str">
        <f t="shared" si="0"/>
        <v/>
      </c>
      <c r="I148" s="17" t="str">
        <f t="shared" si="1"/>
        <v/>
      </c>
      <c r="J148" s="18" t="str">
        <f t="shared" si="2"/>
        <v/>
      </c>
    </row>
    <row r="149" spans="2:10" ht="15.75" customHeight="1" x14ac:dyDescent="0.3">
      <c r="B149" s="12"/>
      <c r="C149" s="12"/>
      <c r="D149" s="13"/>
      <c r="E149" s="14"/>
      <c r="F149" s="15"/>
      <c r="G149" s="16"/>
      <c r="H149" s="17" t="str">
        <f t="shared" si="0"/>
        <v/>
      </c>
      <c r="I149" s="17" t="str">
        <f t="shared" si="1"/>
        <v/>
      </c>
      <c r="J149" s="18" t="str">
        <f t="shared" si="2"/>
        <v/>
      </c>
    </row>
    <row r="150" spans="2:10" ht="15.75" customHeight="1" x14ac:dyDescent="0.3">
      <c r="B150" s="12"/>
      <c r="C150" s="12"/>
      <c r="D150" s="13"/>
      <c r="E150" s="14"/>
      <c r="F150" s="15"/>
      <c r="G150" s="16"/>
      <c r="H150" s="17" t="str">
        <f t="shared" si="0"/>
        <v/>
      </c>
      <c r="I150" s="17" t="str">
        <f t="shared" si="1"/>
        <v/>
      </c>
      <c r="J150" s="18" t="str">
        <f t="shared" si="2"/>
        <v/>
      </c>
    </row>
    <row r="151" spans="2:10" ht="15.75" customHeight="1" x14ac:dyDescent="0.3">
      <c r="B151" s="12"/>
      <c r="C151" s="12"/>
      <c r="D151" s="13"/>
      <c r="E151" s="14"/>
      <c r="F151" s="15"/>
      <c r="G151" s="16"/>
      <c r="H151" s="17" t="str">
        <f t="shared" si="0"/>
        <v/>
      </c>
      <c r="I151" s="17" t="str">
        <f t="shared" si="1"/>
        <v/>
      </c>
      <c r="J151" s="18" t="str">
        <f t="shared" si="2"/>
        <v/>
      </c>
    </row>
    <row r="152" spans="2:10" ht="15.75" customHeight="1" x14ac:dyDescent="0.3">
      <c r="B152" s="12"/>
      <c r="C152" s="12"/>
      <c r="D152" s="13"/>
      <c r="E152" s="14"/>
      <c r="F152" s="15"/>
      <c r="G152" s="16"/>
      <c r="H152" s="17" t="str">
        <f t="shared" si="0"/>
        <v/>
      </c>
      <c r="I152" s="17" t="str">
        <f t="shared" si="1"/>
        <v/>
      </c>
      <c r="J152" s="18" t="str">
        <f t="shared" si="2"/>
        <v/>
      </c>
    </row>
    <row r="153" spans="2:10" ht="15.75" customHeight="1" x14ac:dyDescent="0.3">
      <c r="B153" s="12"/>
      <c r="C153" s="12"/>
      <c r="D153" s="13"/>
      <c r="E153" s="14"/>
      <c r="F153" s="15"/>
      <c r="G153" s="16"/>
      <c r="H153" s="17" t="str">
        <f t="shared" si="0"/>
        <v/>
      </c>
      <c r="I153" s="17" t="str">
        <f t="shared" si="1"/>
        <v/>
      </c>
      <c r="J153" s="18" t="str">
        <f t="shared" si="2"/>
        <v/>
      </c>
    </row>
    <row r="154" spans="2:10" ht="15.75" customHeight="1" x14ac:dyDescent="0.3">
      <c r="B154" s="12"/>
      <c r="C154" s="12"/>
      <c r="D154" s="13"/>
      <c r="E154" s="14"/>
      <c r="F154" s="15"/>
      <c r="G154" s="16"/>
      <c r="H154" s="17" t="str">
        <f t="shared" si="0"/>
        <v/>
      </c>
      <c r="I154" s="17" t="str">
        <f t="shared" si="1"/>
        <v/>
      </c>
      <c r="J154" s="18" t="str">
        <f t="shared" si="2"/>
        <v/>
      </c>
    </row>
    <row r="155" spans="2:10" ht="15.75" customHeight="1" x14ac:dyDescent="0.3">
      <c r="B155" s="12"/>
      <c r="C155" s="12"/>
      <c r="D155" s="13"/>
      <c r="E155" s="14"/>
      <c r="F155" s="15"/>
      <c r="G155" s="16"/>
      <c r="H155" s="17" t="str">
        <f t="shared" si="0"/>
        <v/>
      </c>
      <c r="I155" s="17" t="str">
        <f t="shared" si="1"/>
        <v/>
      </c>
      <c r="J155" s="18" t="str">
        <f t="shared" si="2"/>
        <v/>
      </c>
    </row>
    <row r="156" spans="2:10" ht="15.75" customHeight="1" x14ac:dyDescent="0.3">
      <c r="B156" s="12"/>
      <c r="C156" s="12"/>
      <c r="D156" s="13"/>
      <c r="E156" s="14"/>
      <c r="F156" s="15"/>
      <c r="G156" s="16"/>
      <c r="H156" s="17" t="str">
        <f t="shared" si="0"/>
        <v/>
      </c>
      <c r="I156" s="17" t="str">
        <f t="shared" si="1"/>
        <v/>
      </c>
      <c r="J156" s="18" t="str">
        <f t="shared" si="2"/>
        <v/>
      </c>
    </row>
    <row r="157" spans="2:10" ht="15.75" customHeight="1" x14ac:dyDescent="0.3">
      <c r="B157" s="12"/>
      <c r="C157" s="12"/>
      <c r="D157" s="13"/>
      <c r="E157" s="14"/>
      <c r="F157" s="15"/>
      <c r="G157" s="16"/>
      <c r="H157" s="17" t="str">
        <f t="shared" si="0"/>
        <v/>
      </c>
      <c r="I157" s="17" t="str">
        <f t="shared" si="1"/>
        <v/>
      </c>
      <c r="J157" s="18" t="str">
        <f t="shared" si="2"/>
        <v/>
      </c>
    </row>
    <row r="158" spans="2:10" ht="15.75" customHeight="1" x14ac:dyDescent="0.3">
      <c r="B158" s="12"/>
      <c r="C158" s="12"/>
      <c r="D158" s="13"/>
      <c r="E158" s="14"/>
      <c r="F158" s="15"/>
      <c r="G158" s="16"/>
      <c r="H158" s="17" t="str">
        <f t="shared" si="0"/>
        <v/>
      </c>
      <c r="I158" s="17" t="str">
        <f t="shared" si="1"/>
        <v/>
      </c>
      <c r="J158" s="18" t="str">
        <f t="shared" si="2"/>
        <v/>
      </c>
    </row>
    <row r="159" spans="2:10" ht="15.75" customHeight="1" x14ac:dyDescent="0.3">
      <c r="B159" s="12"/>
      <c r="C159" s="12"/>
      <c r="D159" s="13"/>
      <c r="E159" s="14"/>
      <c r="F159" s="15"/>
      <c r="G159" s="16"/>
      <c r="H159" s="17" t="str">
        <f t="shared" si="0"/>
        <v/>
      </c>
      <c r="I159" s="17" t="str">
        <f t="shared" si="1"/>
        <v/>
      </c>
      <c r="J159" s="18" t="str">
        <f t="shared" si="2"/>
        <v/>
      </c>
    </row>
    <row r="160" spans="2:10" ht="15.75" customHeight="1" x14ac:dyDescent="0.3">
      <c r="B160" s="12"/>
      <c r="C160" s="12"/>
      <c r="D160" s="13"/>
      <c r="E160" s="14"/>
      <c r="F160" s="15"/>
      <c r="G160" s="16"/>
      <c r="H160" s="17" t="str">
        <f t="shared" si="0"/>
        <v/>
      </c>
      <c r="I160" s="17" t="str">
        <f t="shared" si="1"/>
        <v/>
      </c>
      <c r="J160" s="18" t="str">
        <f t="shared" si="2"/>
        <v/>
      </c>
    </row>
    <row r="161" spans="2:10" ht="15.75" customHeight="1" x14ac:dyDescent="0.3">
      <c r="B161" s="12"/>
      <c r="C161" s="12"/>
      <c r="D161" s="13"/>
      <c r="E161" s="14"/>
      <c r="F161" s="15"/>
      <c r="G161" s="16"/>
      <c r="H161" s="17" t="str">
        <f t="shared" si="0"/>
        <v/>
      </c>
      <c r="I161" s="17" t="str">
        <f t="shared" si="1"/>
        <v/>
      </c>
      <c r="J161" s="18" t="str">
        <f t="shared" si="2"/>
        <v/>
      </c>
    </row>
    <row r="162" spans="2:10" ht="15.75" customHeight="1" x14ac:dyDescent="0.3">
      <c r="B162" s="12"/>
      <c r="C162" s="12"/>
      <c r="D162" s="13"/>
      <c r="E162" s="14"/>
      <c r="F162" s="15"/>
      <c r="G162" s="16"/>
      <c r="H162" s="17" t="str">
        <f t="shared" si="0"/>
        <v/>
      </c>
      <c r="I162" s="17" t="str">
        <f t="shared" si="1"/>
        <v/>
      </c>
      <c r="J162" s="18" t="str">
        <f t="shared" si="2"/>
        <v/>
      </c>
    </row>
    <row r="163" spans="2:10" ht="15.75" customHeight="1" x14ac:dyDescent="0.3">
      <c r="B163" s="12"/>
      <c r="C163" s="12"/>
      <c r="D163" s="13"/>
      <c r="E163" s="14"/>
      <c r="F163" s="15"/>
      <c r="G163" s="16"/>
      <c r="H163" s="17" t="str">
        <f t="shared" si="0"/>
        <v/>
      </c>
      <c r="I163" s="17" t="str">
        <f t="shared" si="1"/>
        <v/>
      </c>
      <c r="J163" s="18" t="str">
        <f t="shared" si="2"/>
        <v/>
      </c>
    </row>
    <row r="164" spans="2:10" ht="15.75" customHeight="1" x14ac:dyDescent="0.3">
      <c r="B164" s="12"/>
      <c r="C164" s="12"/>
      <c r="D164" s="13"/>
      <c r="E164" s="14"/>
      <c r="F164" s="15"/>
      <c r="G164" s="16"/>
      <c r="H164" s="17" t="str">
        <f t="shared" si="0"/>
        <v/>
      </c>
      <c r="I164" s="17" t="str">
        <f t="shared" si="1"/>
        <v/>
      </c>
      <c r="J164" s="18" t="str">
        <f t="shared" si="2"/>
        <v/>
      </c>
    </row>
    <row r="165" spans="2:10" ht="15.75" customHeight="1" x14ac:dyDescent="0.3">
      <c r="B165" s="12"/>
      <c r="C165" s="12"/>
      <c r="D165" s="13"/>
      <c r="E165" s="14"/>
      <c r="F165" s="15"/>
      <c r="G165" s="16"/>
      <c r="H165" s="17" t="str">
        <f t="shared" si="0"/>
        <v/>
      </c>
      <c r="I165" s="17" t="str">
        <f t="shared" si="1"/>
        <v/>
      </c>
      <c r="J165" s="18" t="str">
        <f t="shared" si="2"/>
        <v/>
      </c>
    </row>
    <row r="166" spans="2:10" ht="15.75" customHeight="1" x14ac:dyDescent="0.3">
      <c r="B166" s="12"/>
      <c r="C166" s="12"/>
      <c r="D166" s="13"/>
      <c r="E166" s="14"/>
      <c r="F166" s="15"/>
      <c r="G166" s="16"/>
      <c r="H166" s="17" t="str">
        <f t="shared" si="0"/>
        <v/>
      </c>
      <c r="I166" s="17" t="str">
        <f t="shared" si="1"/>
        <v/>
      </c>
      <c r="J166" s="18" t="str">
        <f t="shared" si="2"/>
        <v/>
      </c>
    </row>
    <row r="167" spans="2:10" ht="15.75" customHeight="1" x14ac:dyDescent="0.3">
      <c r="B167" s="12"/>
      <c r="C167" s="12"/>
      <c r="D167" s="13"/>
      <c r="E167" s="14"/>
      <c r="F167" s="15"/>
      <c r="G167" s="16"/>
      <c r="H167" s="17" t="str">
        <f t="shared" si="0"/>
        <v/>
      </c>
      <c r="I167" s="17" t="str">
        <f t="shared" si="1"/>
        <v/>
      </c>
      <c r="J167" s="18" t="str">
        <f t="shared" si="2"/>
        <v/>
      </c>
    </row>
    <row r="168" spans="2:10" ht="15.75" customHeight="1" x14ac:dyDescent="0.3">
      <c r="B168" s="12"/>
      <c r="C168" s="12"/>
      <c r="D168" s="13"/>
      <c r="E168" s="14"/>
      <c r="F168" s="15"/>
      <c r="G168" s="16"/>
      <c r="H168" s="17" t="str">
        <f t="shared" si="0"/>
        <v/>
      </c>
      <c r="I168" s="17" t="str">
        <f t="shared" si="1"/>
        <v/>
      </c>
      <c r="J168" s="18" t="str">
        <f t="shared" si="2"/>
        <v/>
      </c>
    </row>
    <row r="169" spans="2:10" ht="15.75" customHeight="1" x14ac:dyDescent="0.3">
      <c r="B169" s="12"/>
      <c r="C169" s="12"/>
      <c r="D169" s="13"/>
      <c r="E169" s="14"/>
      <c r="F169" s="15"/>
      <c r="G169" s="16"/>
      <c r="H169" s="17" t="str">
        <f t="shared" si="0"/>
        <v/>
      </c>
      <c r="I169" s="17" t="str">
        <f t="shared" si="1"/>
        <v/>
      </c>
      <c r="J169" s="18" t="str">
        <f t="shared" si="2"/>
        <v/>
      </c>
    </row>
    <row r="170" spans="2:10" ht="15.75" customHeight="1" x14ac:dyDescent="0.3">
      <c r="B170" s="12"/>
      <c r="C170" s="12"/>
      <c r="D170" s="13"/>
      <c r="E170" s="14"/>
      <c r="F170" s="15"/>
      <c r="G170" s="16"/>
      <c r="H170" s="17" t="str">
        <f t="shared" si="0"/>
        <v/>
      </c>
      <c r="I170" s="17" t="str">
        <f t="shared" si="1"/>
        <v/>
      </c>
      <c r="J170" s="18" t="str">
        <f t="shared" si="2"/>
        <v/>
      </c>
    </row>
    <row r="171" spans="2:10" ht="15.75" customHeight="1" x14ac:dyDescent="0.3">
      <c r="B171" s="12"/>
      <c r="C171" s="12"/>
      <c r="D171" s="13"/>
      <c r="E171" s="14"/>
      <c r="F171" s="15"/>
      <c r="G171" s="16"/>
      <c r="H171" s="17" t="str">
        <f t="shared" si="0"/>
        <v/>
      </c>
      <c r="I171" s="17" t="str">
        <f t="shared" si="1"/>
        <v/>
      </c>
      <c r="J171" s="18" t="str">
        <f t="shared" si="2"/>
        <v/>
      </c>
    </row>
    <row r="172" spans="2:10" ht="15.75" customHeight="1" x14ac:dyDescent="0.3">
      <c r="B172" s="12"/>
      <c r="C172" s="12"/>
      <c r="D172" s="13"/>
      <c r="E172" s="14"/>
      <c r="F172" s="15"/>
      <c r="G172" s="16"/>
      <c r="H172" s="17" t="str">
        <f t="shared" si="0"/>
        <v/>
      </c>
      <c r="I172" s="17" t="str">
        <f t="shared" si="1"/>
        <v/>
      </c>
      <c r="J172" s="18" t="str">
        <f t="shared" si="2"/>
        <v/>
      </c>
    </row>
    <row r="173" spans="2:10" ht="15.75" customHeight="1" x14ac:dyDescent="0.3">
      <c r="B173" s="12"/>
      <c r="C173" s="12"/>
      <c r="D173" s="13"/>
      <c r="E173" s="14"/>
      <c r="F173" s="15"/>
      <c r="G173" s="16"/>
      <c r="H173" s="17" t="str">
        <f t="shared" si="0"/>
        <v/>
      </c>
      <c r="I173" s="17" t="str">
        <f t="shared" si="1"/>
        <v/>
      </c>
      <c r="J173" s="18" t="str">
        <f t="shared" si="2"/>
        <v/>
      </c>
    </row>
    <row r="174" spans="2:10" ht="15.75" customHeight="1" x14ac:dyDescent="0.3">
      <c r="B174" s="12"/>
      <c r="C174" s="12"/>
      <c r="D174" s="13"/>
      <c r="E174" s="14"/>
      <c r="F174" s="15"/>
      <c r="G174" s="16"/>
      <c r="H174" s="17" t="str">
        <f t="shared" si="0"/>
        <v/>
      </c>
      <c r="I174" s="17" t="str">
        <f t="shared" si="1"/>
        <v/>
      </c>
      <c r="J174" s="18" t="str">
        <f t="shared" si="2"/>
        <v/>
      </c>
    </row>
    <row r="175" spans="2:10" ht="15.75" customHeight="1" x14ac:dyDescent="0.3">
      <c r="B175" s="12"/>
      <c r="C175" s="12"/>
      <c r="D175" s="13"/>
      <c r="E175" s="14"/>
      <c r="F175" s="15"/>
      <c r="G175" s="16"/>
      <c r="H175" s="17" t="str">
        <f t="shared" si="0"/>
        <v/>
      </c>
      <c r="I175" s="17" t="str">
        <f t="shared" si="1"/>
        <v/>
      </c>
      <c r="J175" s="18" t="str">
        <f t="shared" si="2"/>
        <v/>
      </c>
    </row>
    <row r="176" spans="2:10" ht="15.75" customHeight="1" x14ac:dyDescent="0.3">
      <c r="B176" s="12"/>
      <c r="C176" s="12"/>
      <c r="D176" s="13"/>
      <c r="E176" s="14"/>
      <c r="F176" s="15"/>
      <c r="G176" s="16"/>
      <c r="H176" s="17" t="str">
        <f t="shared" si="0"/>
        <v/>
      </c>
      <c r="I176" s="17" t="str">
        <f t="shared" si="1"/>
        <v/>
      </c>
      <c r="J176" s="18" t="str">
        <f t="shared" si="2"/>
        <v/>
      </c>
    </row>
    <row r="177" spans="2:10" ht="15.75" customHeight="1" x14ac:dyDescent="0.3">
      <c r="B177" s="12"/>
      <c r="C177" s="12"/>
      <c r="D177" s="13"/>
      <c r="E177" s="14"/>
      <c r="F177" s="15"/>
      <c r="G177" s="16"/>
      <c r="H177" s="17" t="str">
        <f t="shared" si="0"/>
        <v/>
      </c>
      <c r="I177" s="17" t="str">
        <f t="shared" si="1"/>
        <v/>
      </c>
      <c r="J177" s="18" t="str">
        <f t="shared" si="2"/>
        <v/>
      </c>
    </row>
    <row r="178" spans="2:10" ht="15.75" customHeight="1" x14ac:dyDescent="0.3">
      <c r="B178" s="12"/>
      <c r="C178" s="12"/>
      <c r="D178" s="13"/>
      <c r="E178" s="14"/>
      <c r="F178" s="15"/>
      <c r="G178" s="16"/>
      <c r="H178" s="17" t="str">
        <f t="shared" si="0"/>
        <v/>
      </c>
      <c r="I178" s="17" t="str">
        <f t="shared" si="1"/>
        <v/>
      </c>
      <c r="J178" s="18" t="str">
        <f t="shared" si="2"/>
        <v/>
      </c>
    </row>
    <row r="179" spans="2:10" ht="15.75" customHeight="1" x14ac:dyDescent="0.3">
      <c r="B179" s="12"/>
      <c r="C179" s="12"/>
      <c r="D179" s="13"/>
      <c r="E179" s="14"/>
      <c r="F179" s="15"/>
      <c r="G179" s="16"/>
      <c r="H179" s="17" t="str">
        <f t="shared" si="0"/>
        <v/>
      </c>
      <c r="I179" s="17" t="str">
        <f t="shared" si="1"/>
        <v/>
      </c>
      <c r="J179" s="18" t="str">
        <f t="shared" si="2"/>
        <v/>
      </c>
    </row>
    <row r="180" spans="2:10" ht="15.75" customHeight="1" x14ac:dyDescent="0.3">
      <c r="B180" s="12"/>
      <c r="C180" s="12"/>
      <c r="D180" s="13"/>
      <c r="E180" s="14"/>
      <c r="F180" s="15"/>
      <c r="G180" s="16"/>
      <c r="H180" s="17" t="str">
        <f t="shared" si="0"/>
        <v/>
      </c>
      <c r="I180" s="17" t="str">
        <f t="shared" si="1"/>
        <v/>
      </c>
      <c r="J180" s="18" t="str">
        <f t="shared" si="2"/>
        <v/>
      </c>
    </row>
    <row r="181" spans="2:10" ht="15.75" customHeight="1" x14ac:dyDescent="0.3">
      <c r="B181" s="12"/>
      <c r="C181" s="12"/>
      <c r="D181" s="13"/>
      <c r="E181" s="14"/>
      <c r="F181" s="15"/>
      <c r="G181" s="16"/>
      <c r="H181" s="17" t="str">
        <f t="shared" si="0"/>
        <v/>
      </c>
      <c r="I181" s="17" t="str">
        <f t="shared" si="1"/>
        <v/>
      </c>
      <c r="J181" s="18" t="str">
        <f t="shared" si="2"/>
        <v/>
      </c>
    </row>
    <row r="182" spans="2:10" ht="15.75" customHeight="1" x14ac:dyDescent="0.3">
      <c r="B182" s="12"/>
      <c r="C182" s="12"/>
      <c r="D182" s="13"/>
      <c r="E182" s="14"/>
      <c r="F182" s="15"/>
      <c r="G182" s="16"/>
      <c r="H182" s="17" t="str">
        <f t="shared" si="0"/>
        <v/>
      </c>
      <c r="I182" s="17" t="str">
        <f t="shared" si="1"/>
        <v/>
      </c>
      <c r="J182" s="18" t="str">
        <f t="shared" si="2"/>
        <v/>
      </c>
    </row>
    <row r="183" spans="2:10" ht="15.75" customHeight="1" x14ac:dyDescent="0.3">
      <c r="B183" s="12"/>
      <c r="C183" s="12"/>
      <c r="D183" s="13"/>
      <c r="E183" s="14"/>
      <c r="F183" s="15"/>
      <c r="G183" s="16"/>
      <c r="H183" s="17" t="str">
        <f t="shared" si="0"/>
        <v/>
      </c>
      <c r="I183" s="17" t="str">
        <f t="shared" si="1"/>
        <v/>
      </c>
      <c r="J183" s="18" t="str">
        <f t="shared" si="2"/>
        <v/>
      </c>
    </row>
    <row r="184" spans="2:10" ht="15.75" customHeight="1" x14ac:dyDescent="0.3">
      <c r="B184" s="12"/>
      <c r="C184" s="12"/>
      <c r="D184" s="13"/>
      <c r="E184" s="14"/>
      <c r="F184" s="15"/>
      <c r="G184" s="16"/>
      <c r="H184" s="17" t="str">
        <f t="shared" si="0"/>
        <v/>
      </c>
      <c r="I184" s="17" t="str">
        <f t="shared" si="1"/>
        <v/>
      </c>
      <c r="J184" s="18" t="str">
        <f t="shared" si="2"/>
        <v/>
      </c>
    </row>
    <row r="185" spans="2:10" ht="15.75" customHeight="1" x14ac:dyDescent="0.3">
      <c r="B185" s="12"/>
      <c r="C185" s="12"/>
      <c r="D185" s="13"/>
      <c r="E185" s="14"/>
      <c r="F185" s="15"/>
      <c r="G185" s="16"/>
      <c r="H185" s="17" t="str">
        <f t="shared" si="0"/>
        <v/>
      </c>
      <c r="I185" s="17" t="str">
        <f t="shared" si="1"/>
        <v/>
      </c>
      <c r="J185" s="18" t="str">
        <f t="shared" si="2"/>
        <v/>
      </c>
    </row>
    <row r="186" spans="2:10" ht="15.75" customHeight="1" x14ac:dyDescent="0.3">
      <c r="B186" s="12"/>
      <c r="C186" s="12"/>
      <c r="D186" s="13"/>
      <c r="E186" s="14"/>
      <c r="F186" s="15"/>
      <c r="G186" s="16"/>
      <c r="H186" s="17" t="str">
        <f t="shared" si="0"/>
        <v/>
      </c>
      <c r="I186" s="17" t="str">
        <f t="shared" si="1"/>
        <v/>
      </c>
      <c r="J186" s="18" t="str">
        <f t="shared" si="2"/>
        <v/>
      </c>
    </row>
    <row r="187" spans="2:10" ht="15.75" customHeight="1" x14ac:dyDescent="0.3">
      <c r="B187" s="12"/>
      <c r="C187" s="12"/>
      <c r="D187" s="13"/>
      <c r="E187" s="14"/>
      <c r="F187" s="15"/>
      <c r="G187" s="16"/>
      <c r="H187" s="17" t="str">
        <f t="shared" si="0"/>
        <v/>
      </c>
      <c r="I187" s="17" t="str">
        <f t="shared" si="1"/>
        <v/>
      </c>
      <c r="J187" s="18" t="str">
        <f t="shared" si="2"/>
        <v/>
      </c>
    </row>
    <row r="188" spans="2:10" ht="15.75" customHeight="1" x14ac:dyDescent="0.3">
      <c r="B188" s="12"/>
      <c r="C188" s="12"/>
      <c r="D188" s="13"/>
      <c r="E188" s="14"/>
      <c r="F188" s="15"/>
      <c r="G188" s="16"/>
      <c r="H188" s="17" t="str">
        <f t="shared" si="0"/>
        <v/>
      </c>
      <c r="I188" s="17" t="str">
        <f t="shared" si="1"/>
        <v/>
      </c>
      <c r="J188" s="18" t="str">
        <f t="shared" si="2"/>
        <v/>
      </c>
    </row>
    <row r="189" spans="2:10" ht="15.75" customHeight="1" x14ac:dyDescent="0.3">
      <c r="B189" s="12"/>
      <c r="C189" s="12"/>
      <c r="D189" s="13"/>
      <c r="E189" s="14"/>
      <c r="F189" s="15"/>
      <c r="G189" s="16"/>
      <c r="H189" s="17" t="str">
        <f t="shared" si="0"/>
        <v/>
      </c>
      <c r="I189" s="17" t="str">
        <f t="shared" si="1"/>
        <v/>
      </c>
      <c r="J189" s="18" t="str">
        <f t="shared" si="2"/>
        <v/>
      </c>
    </row>
    <row r="190" spans="2:10" ht="15.75" customHeight="1" x14ac:dyDescent="0.3">
      <c r="B190" s="12"/>
      <c r="C190" s="12"/>
      <c r="D190" s="13"/>
      <c r="E190" s="14"/>
      <c r="F190" s="15"/>
      <c r="G190" s="16"/>
      <c r="H190" s="17" t="str">
        <f t="shared" si="0"/>
        <v/>
      </c>
      <c r="I190" s="17" t="str">
        <f t="shared" si="1"/>
        <v/>
      </c>
      <c r="J190" s="18" t="str">
        <f t="shared" si="2"/>
        <v/>
      </c>
    </row>
    <row r="191" spans="2:10" ht="15.75" customHeight="1" x14ac:dyDescent="0.3">
      <c r="B191" s="12"/>
      <c r="C191" s="12"/>
      <c r="D191" s="13"/>
      <c r="E191" s="14"/>
      <c r="F191" s="15"/>
      <c r="G191" s="16"/>
      <c r="H191" s="17" t="str">
        <f t="shared" si="0"/>
        <v/>
      </c>
      <c r="I191" s="17" t="str">
        <f t="shared" si="1"/>
        <v/>
      </c>
      <c r="J191" s="18" t="str">
        <f t="shared" si="2"/>
        <v/>
      </c>
    </row>
    <row r="192" spans="2:10" ht="15.75" customHeight="1" x14ac:dyDescent="0.3">
      <c r="B192" s="12"/>
      <c r="C192" s="12"/>
      <c r="D192" s="13"/>
      <c r="E192" s="14"/>
      <c r="F192" s="15"/>
      <c r="G192" s="16"/>
      <c r="H192" s="17" t="str">
        <f t="shared" si="0"/>
        <v/>
      </c>
      <c r="I192" s="17" t="str">
        <f t="shared" si="1"/>
        <v/>
      </c>
      <c r="J192" s="18" t="str">
        <f t="shared" si="2"/>
        <v/>
      </c>
    </row>
    <row r="193" spans="2:10" ht="15.75" customHeight="1" x14ac:dyDescent="0.3">
      <c r="B193" s="12"/>
      <c r="C193" s="12"/>
      <c r="D193" s="13"/>
      <c r="E193" s="14"/>
      <c r="F193" s="15"/>
      <c r="G193" s="16"/>
      <c r="H193" s="17" t="str">
        <f t="shared" si="0"/>
        <v/>
      </c>
      <c r="I193" s="17" t="str">
        <f t="shared" si="1"/>
        <v/>
      </c>
      <c r="J193" s="18" t="str">
        <f t="shared" si="2"/>
        <v/>
      </c>
    </row>
    <row r="194" spans="2:10" ht="15.75" customHeight="1" x14ac:dyDescent="0.3">
      <c r="B194" s="12"/>
      <c r="C194" s="12"/>
      <c r="D194" s="13"/>
      <c r="E194" s="14"/>
      <c r="F194" s="15"/>
      <c r="G194" s="16"/>
      <c r="H194" s="17" t="str">
        <f t="shared" si="0"/>
        <v/>
      </c>
      <c r="I194" s="17" t="str">
        <f t="shared" si="1"/>
        <v/>
      </c>
      <c r="J194" s="18" t="str">
        <f t="shared" si="2"/>
        <v/>
      </c>
    </row>
    <row r="195" spans="2:10" ht="15.75" customHeight="1" x14ac:dyDescent="0.3">
      <c r="B195" s="12"/>
      <c r="C195" s="12"/>
      <c r="D195" s="13"/>
      <c r="E195" s="14"/>
      <c r="F195" s="15"/>
      <c r="G195" s="16"/>
      <c r="H195" s="17" t="str">
        <f t="shared" si="0"/>
        <v/>
      </c>
      <c r="I195" s="17" t="str">
        <f t="shared" si="1"/>
        <v/>
      </c>
      <c r="J195" s="18" t="str">
        <f t="shared" si="2"/>
        <v/>
      </c>
    </row>
    <row r="196" spans="2:10" ht="15.75" customHeight="1" x14ac:dyDescent="0.3">
      <c r="B196" s="12"/>
      <c r="C196" s="12"/>
      <c r="D196" s="13"/>
      <c r="E196" s="14"/>
      <c r="F196" s="15"/>
      <c r="G196" s="16"/>
      <c r="H196" s="17" t="str">
        <f t="shared" si="0"/>
        <v/>
      </c>
      <c r="I196" s="17" t="str">
        <f t="shared" si="1"/>
        <v/>
      </c>
      <c r="J196" s="18" t="str">
        <f t="shared" si="2"/>
        <v/>
      </c>
    </row>
    <row r="197" spans="2:10" ht="15.75" customHeight="1" x14ac:dyDescent="0.3">
      <c r="B197" s="12"/>
      <c r="C197" s="12"/>
      <c r="D197" s="13"/>
      <c r="E197" s="14"/>
      <c r="F197" s="15"/>
      <c r="G197" s="16"/>
      <c r="H197" s="17" t="str">
        <f t="shared" si="0"/>
        <v/>
      </c>
      <c r="I197" s="17" t="str">
        <f t="shared" si="1"/>
        <v/>
      </c>
      <c r="J197" s="18" t="str">
        <f t="shared" si="2"/>
        <v/>
      </c>
    </row>
    <row r="198" spans="2:10" ht="15.75" customHeight="1" x14ac:dyDescent="0.3">
      <c r="B198" s="12"/>
      <c r="C198" s="12"/>
      <c r="D198" s="13"/>
      <c r="E198" s="14"/>
      <c r="F198" s="15"/>
      <c r="G198" s="16"/>
      <c r="H198" s="17" t="str">
        <f t="shared" si="0"/>
        <v/>
      </c>
      <c r="I198" s="17" t="str">
        <f t="shared" si="1"/>
        <v/>
      </c>
      <c r="J198" s="18" t="str">
        <f t="shared" si="2"/>
        <v/>
      </c>
    </row>
    <row r="199" spans="2:10" ht="15.75" customHeight="1" x14ac:dyDescent="0.3">
      <c r="B199" s="12"/>
      <c r="C199" s="12"/>
      <c r="D199" s="13"/>
      <c r="E199" s="14"/>
      <c r="F199" s="15"/>
      <c r="G199" s="16"/>
      <c r="H199" s="17" t="str">
        <f t="shared" si="0"/>
        <v/>
      </c>
      <c r="I199" s="17" t="str">
        <f t="shared" si="1"/>
        <v/>
      </c>
      <c r="J199" s="18" t="str">
        <f t="shared" si="2"/>
        <v/>
      </c>
    </row>
    <row r="200" spans="2:10" ht="15.75" customHeight="1" x14ac:dyDescent="0.3">
      <c r="B200" s="12"/>
      <c r="C200" s="12"/>
      <c r="D200" s="13"/>
      <c r="E200" s="14"/>
      <c r="F200" s="15"/>
      <c r="G200" s="16"/>
      <c r="H200" s="17" t="str">
        <f t="shared" si="0"/>
        <v/>
      </c>
      <c r="I200" s="17" t="str">
        <f t="shared" si="1"/>
        <v/>
      </c>
      <c r="J200" s="18" t="str">
        <f t="shared" si="2"/>
        <v/>
      </c>
    </row>
    <row r="201" spans="2:10" ht="15.75" customHeight="1" x14ac:dyDescent="0.3">
      <c r="B201" s="12"/>
      <c r="C201" s="12"/>
      <c r="D201" s="13"/>
      <c r="E201" s="14"/>
      <c r="F201" s="15"/>
      <c r="G201" s="16"/>
      <c r="H201" s="17" t="str">
        <f t="shared" si="0"/>
        <v/>
      </c>
      <c r="I201" s="17" t="str">
        <f t="shared" si="1"/>
        <v/>
      </c>
      <c r="J201" s="18" t="str">
        <f t="shared" si="2"/>
        <v/>
      </c>
    </row>
    <row r="202" spans="2:10" ht="15.75" customHeight="1" x14ac:dyDescent="0.3">
      <c r="B202" s="12"/>
      <c r="C202" s="12"/>
      <c r="D202" s="13"/>
      <c r="E202" s="14"/>
      <c r="F202" s="15"/>
      <c r="G202" s="16"/>
      <c r="H202" s="17" t="str">
        <f t="shared" si="0"/>
        <v/>
      </c>
      <c r="I202" s="17" t="str">
        <f t="shared" si="1"/>
        <v/>
      </c>
      <c r="J202" s="18" t="str">
        <f t="shared" si="2"/>
        <v/>
      </c>
    </row>
    <row r="203" spans="2:10" ht="15.75" customHeight="1" x14ac:dyDescent="0.3">
      <c r="B203" s="12"/>
      <c r="C203" s="12"/>
      <c r="D203" s="13"/>
      <c r="E203" s="14"/>
      <c r="F203" s="15"/>
      <c r="G203" s="16"/>
      <c r="H203" s="17" t="str">
        <f t="shared" si="0"/>
        <v/>
      </c>
      <c r="I203" s="17" t="str">
        <f t="shared" si="1"/>
        <v/>
      </c>
      <c r="J203" s="18" t="str">
        <f t="shared" si="2"/>
        <v/>
      </c>
    </row>
    <row r="204" spans="2:10" ht="15.75" customHeight="1" x14ac:dyDescent="0.3">
      <c r="B204" s="12"/>
      <c r="C204" s="12"/>
      <c r="D204" s="13"/>
      <c r="E204" s="14"/>
      <c r="F204" s="15"/>
      <c r="G204" s="16"/>
      <c r="H204" s="17" t="str">
        <f t="shared" si="0"/>
        <v/>
      </c>
      <c r="I204" s="17" t="str">
        <f t="shared" si="1"/>
        <v/>
      </c>
      <c r="J204" s="18" t="str">
        <f t="shared" si="2"/>
        <v/>
      </c>
    </row>
    <row r="205" spans="2:10" ht="15.75" customHeight="1" x14ac:dyDescent="0.3">
      <c r="B205" s="12"/>
      <c r="C205" s="12"/>
      <c r="D205" s="13"/>
      <c r="E205" s="14"/>
      <c r="F205" s="15"/>
      <c r="G205" s="16"/>
      <c r="H205" s="17" t="str">
        <f t="shared" si="0"/>
        <v/>
      </c>
      <c r="I205" s="17" t="str">
        <f t="shared" si="1"/>
        <v/>
      </c>
      <c r="J205" s="18" t="str">
        <f t="shared" si="2"/>
        <v/>
      </c>
    </row>
    <row r="206" spans="2:10" ht="15.75" customHeight="1" x14ac:dyDescent="0.3">
      <c r="B206" s="12"/>
      <c r="C206" s="12"/>
      <c r="D206" s="13"/>
      <c r="E206" s="14"/>
      <c r="F206" s="15"/>
      <c r="G206" s="16"/>
      <c r="H206" s="17" t="str">
        <f t="shared" si="0"/>
        <v/>
      </c>
      <c r="I206" s="17" t="str">
        <f t="shared" si="1"/>
        <v/>
      </c>
      <c r="J206" s="18" t="str">
        <f t="shared" si="2"/>
        <v/>
      </c>
    </row>
    <row r="207" spans="2:10" ht="15.75" customHeight="1" x14ac:dyDescent="0.3">
      <c r="B207" s="12"/>
      <c r="C207" s="12"/>
      <c r="D207" s="13"/>
      <c r="E207" s="14"/>
      <c r="F207" s="15"/>
      <c r="G207" s="16"/>
      <c r="H207" s="17" t="str">
        <f t="shared" si="0"/>
        <v/>
      </c>
      <c r="I207" s="17" t="str">
        <f t="shared" si="1"/>
        <v/>
      </c>
      <c r="J207" s="18" t="str">
        <f t="shared" si="2"/>
        <v/>
      </c>
    </row>
    <row r="208" spans="2:10" ht="15.75" customHeight="1" x14ac:dyDescent="0.3">
      <c r="B208" s="12"/>
      <c r="C208" s="12"/>
      <c r="D208" s="13"/>
      <c r="E208" s="14"/>
      <c r="F208" s="15"/>
      <c r="G208" s="16"/>
      <c r="H208" s="17" t="str">
        <f t="shared" si="0"/>
        <v/>
      </c>
      <c r="I208" s="17" t="str">
        <f t="shared" si="1"/>
        <v/>
      </c>
      <c r="J208" s="18" t="str">
        <f t="shared" si="2"/>
        <v/>
      </c>
    </row>
    <row r="209" spans="2:10" ht="15.75" customHeight="1" x14ac:dyDescent="0.3">
      <c r="B209" s="12"/>
      <c r="C209" s="12"/>
      <c r="D209" s="13"/>
      <c r="E209" s="14"/>
      <c r="F209" s="15"/>
      <c r="G209" s="16"/>
      <c r="H209" s="17" t="str">
        <f t="shared" si="0"/>
        <v/>
      </c>
      <c r="I209" s="17" t="str">
        <f t="shared" si="1"/>
        <v/>
      </c>
      <c r="J209" s="18" t="str">
        <f t="shared" si="2"/>
        <v/>
      </c>
    </row>
    <row r="210" spans="2:10" ht="15.75" customHeight="1" x14ac:dyDescent="0.3">
      <c r="B210" s="12"/>
      <c r="C210" s="12"/>
      <c r="D210" s="13"/>
      <c r="E210" s="14"/>
      <c r="F210" s="15"/>
      <c r="G210" s="16"/>
      <c r="H210" s="17" t="str">
        <f t="shared" si="0"/>
        <v/>
      </c>
      <c r="I210" s="17" t="str">
        <f t="shared" si="1"/>
        <v/>
      </c>
      <c r="J210" s="18" t="str">
        <f t="shared" si="2"/>
        <v/>
      </c>
    </row>
    <row r="211" spans="2:10" ht="15.75" customHeight="1" x14ac:dyDescent="0.3">
      <c r="B211" s="12"/>
      <c r="C211" s="12"/>
      <c r="D211" s="13"/>
      <c r="E211" s="14"/>
      <c r="F211" s="15"/>
      <c r="G211" s="16"/>
      <c r="H211" s="17" t="str">
        <f t="shared" si="0"/>
        <v/>
      </c>
      <c r="I211" s="17" t="str">
        <f t="shared" si="1"/>
        <v/>
      </c>
      <c r="J211" s="18" t="str">
        <f t="shared" si="2"/>
        <v/>
      </c>
    </row>
    <row r="212" spans="2:10" ht="15.75" customHeight="1" x14ac:dyDescent="0.3">
      <c r="B212" s="12"/>
      <c r="C212" s="12"/>
      <c r="D212" s="13"/>
      <c r="E212" s="14"/>
      <c r="F212" s="15"/>
      <c r="G212" s="16"/>
      <c r="H212" s="17" t="str">
        <f t="shared" si="0"/>
        <v/>
      </c>
      <c r="I212" s="17" t="str">
        <f t="shared" si="1"/>
        <v/>
      </c>
      <c r="J212" s="18" t="str">
        <f t="shared" si="2"/>
        <v/>
      </c>
    </row>
    <row r="213" spans="2:10" ht="15.75" customHeight="1" x14ac:dyDescent="0.3">
      <c r="B213" s="12"/>
      <c r="C213" s="12"/>
      <c r="D213" s="13"/>
      <c r="E213" s="14"/>
      <c r="F213" s="15"/>
      <c r="G213" s="16"/>
      <c r="H213" s="17" t="str">
        <f t="shared" si="0"/>
        <v/>
      </c>
      <c r="I213" s="17" t="str">
        <f t="shared" si="1"/>
        <v/>
      </c>
      <c r="J213" s="18" t="str">
        <f t="shared" si="2"/>
        <v/>
      </c>
    </row>
    <row r="214" spans="2:10" ht="15.75" customHeight="1" x14ac:dyDescent="0.3">
      <c r="B214" s="12"/>
      <c r="C214" s="12"/>
      <c r="D214" s="13"/>
      <c r="E214" s="14"/>
      <c r="F214" s="15"/>
      <c r="G214" s="16"/>
      <c r="H214" s="17" t="str">
        <f t="shared" si="0"/>
        <v/>
      </c>
      <c r="I214" s="17" t="str">
        <f t="shared" si="1"/>
        <v/>
      </c>
      <c r="J214" s="18" t="str">
        <f t="shared" si="2"/>
        <v/>
      </c>
    </row>
    <row r="215" spans="2:10" ht="15.75" customHeight="1" x14ac:dyDescent="0.3">
      <c r="B215" s="12"/>
      <c r="C215" s="12"/>
      <c r="D215" s="13"/>
      <c r="E215" s="14"/>
      <c r="F215" s="15"/>
      <c r="G215" s="16"/>
      <c r="H215" s="17" t="str">
        <f t="shared" si="0"/>
        <v/>
      </c>
      <c r="I215" s="17" t="str">
        <f t="shared" si="1"/>
        <v/>
      </c>
      <c r="J215" s="18" t="str">
        <f t="shared" si="2"/>
        <v/>
      </c>
    </row>
    <row r="216" spans="2:10" ht="15.75" customHeight="1" x14ac:dyDescent="0.3">
      <c r="B216" s="12"/>
      <c r="C216" s="12"/>
      <c r="D216" s="13"/>
      <c r="E216" s="14"/>
      <c r="F216" s="15"/>
      <c r="G216" s="16"/>
      <c r="H216" s="17" t="str">
        <f t="shared" si="0"/>
        <v/>
      </c>
      <c r="I216" s="17" t="str">
        <f t="shared" si="1"/>
        <v/>
      </c>
      <c r="J216" s="18" t="str">
        <f t="shared" si="2"/>
        <v/>
      </c>
    </row>
    <row r="217" spans="2:10" ht="15.75" customHeight="1" x14ac:dyDescent="0.3">
      <c r="B217" s="12"/>
      <c r="C217" s="12"/>
      <c r="D217" s="13"/>
      <c r="E217" s="14"/>
      <c r="F217" s="15"/>
      <c r="G217" s="16"/>
      <c r="H217" s="17" t="str">
        <f t="shared" si="0"/>
        <v/>
      </c>
      <c r="I217" s="17" t="str">
        <f t="shared" si="1"/>
        <v/>
      </c>
      <c r="J217" s="18" t="str">
        <f t="shared" si="2"/>
        <v/>
      </c>
    </row>
    <row r="218" spans="2:10" ht="15.75" customHeight="1" x14ac:dyDescent="0.3">
      <c r="B218" s="12"/>
      <c r="C218" s="12"/>
      <c r="D218" s="13"/>
      <c r="E218" s="14"/>
      <c r="F218" s="15"/>
      <c r="G218" s="16"/>
      <c r="H218" s="17" t="str">
        <f t="shared" si="0"/>
        <v/>
      </c>
      <c r="I218" s="17" t="str">
        <f t="shared" si="1"/>
        <v/>
      </c>
      <c r="J218" s="18" t="str">
        <f t="shared" si="2"/>
        <v/>
      </c>
    </row>
    <row r="219" spans="2:10" ht="15.75" customHeight="1" x14ac:dyDescent="0.3">
      <c r="B219" s="12"/>
      <c r="C219" s="12"/>
      <c r="D219" s="13"/>
      <c r="E219" s="14"/>
      <c r="F219" s="15"/>
      <c r="G219" s="16"/>
      <c r="H219" s="17" t="str">
        <f t="shared" si="0"/>
        <v/>
      </c>
      <c r="I219" s="17" t="str">
        <f t="shared" si="1"/>
        <v/>
      </c>
      <c r="J219" s="18" t="str">
        <f t="shared" si="2"/>
        <v/>
      </c>
    </row>
    <row r="220" spans="2:10" ht="15.75" customHeight="1" x14ac:dyDescent="0.3">
      <c r="B220" s="12"/>
      <c r="C220" s="12"/>
      <c r="D220" s="13"/>
      <c r="E220" s="14"/>
      <c r="F220" s="15"/>
      <c r="G220" s="16"/>
      <c r="H220" s="17" t="str">
        <f t="shared" si="0"/>
        <v/>
      </c>
      <c r="I220" s="17" t="str">
        <f t="shared" si="1"/>
        <v/>
      </c>
      <c r="J220" s="18" t="str">
        <f t="shared" si="2"/>
        <v/>
      </c>
    </row>
    <row r="221" spans="2:10" ht="15.75" customHeight="1" x14ac:dyDescent="0.3">
      <c r="B221" s="12"/>
      <c r="C221" s="12"/>
      <c r="D221" s="13"/>
      <c r="E221" s="14"/>
      <c r="F221" s="15"/>
      <c r="G221" s="16"/>
      <c r="H221" s="17" t="str">
        <f t="shared" si="0"/>
        <v/>
      </c>
      <c r="I221" s="17" t="str">
        <f t="shared" si="1"/>
        <v/>
      </c>
      <c r="J221" s="18" t="str">
        <f t="shared" si="2"/>
        <v/>
      </c>
    </row>
    <row r="222" spans="2:10" ht="15.75" customHeight="1" x14ac:dyDescent="0.3">
      <c r="B222" s="12"/>
      <c r="C222" s="12"/>
      <c r="D222" s="13"/>
      <c r="E222" s="14"/>
      <c r="F222" s="15"/>
      <c r="G222" s="16"/>
      <c r="H222" s="17" t="str">
        <f t="shared" si="0"/>
        <v/>
      </c>
      <c r="I222" s="17" t="str">
        <f t="shared" si="1"/>
        <v/>
      </c>
      <c r="J222" s="18" t="str">
        <f t="shared" si="2"/>
        <v/>
      </c>
    </row>
    <row r="223" spans="2:10" ht="15.75" customHeight="1" x14ac:dyDescent="0.3">
      <c r="B223" s="12"/>
      <c r="C223" s="12"/>
      <c r="D223" s="13"/>
      <c r="E223" s="14"/>
      <c r="F223" s="15"/>
      <c r="G223" s="16"/>
      <c r="H223" s="17" t="str">
        <f t="shared" si="0"/>
        <v/>
      </c>
      <c r="I223" s="17" t="str">
        <f t="shared" si="1"/>
        <v/>
      </c>
      <c r="J223" s="18" t="str">
        <f t="shared" si="2"/>
        <v/>
      </c>
    </row>
    <row r="224" spans="2:10" ht="15.75" customHeight="1" x14ac:dyDescent="0.3">
      <c r="B224" s="12"/>
      <c r="C224" s="12"/>
      <c r="D224" s="13"/>
      <c r="E224" s="14"/>
      <c r="F224" s="15"/>
      <c r="G224" s="16"/>
      <c r="H224" s="17" t="str">
        <f t="shared" si="0"/>
        <v/>
      </c>
      <c r="I224" s="17" t="str">
        <f t="shared" si="1"/>
        <v/>
      </c>
      <c r="J224" s="18" t="str">
        <f t="shared" si="2"/>
        <v/>
      </c>
    </row>
    <row r="225" spans="2:10" ht="15.75" customHeight="1" x14ac:dyDescent="0.3">
      <c r="B225" s="12"/>
      <c r="C225" s="12"/>
      <c r="D225" s="13"/>
      <c r="E225" s="14"/>
      <c r="F225" s="15"/>
      <c r="G225" s="16"/>
      <c r="H225" s="17" t="str">
        <f t="shared" si="0"/>
        <v/>
      </c>
      <c r="I225" s="17" t="str">
        <f t="shared" si="1"/>
        <v/>
      </c>
      <c r="J225" s="18" t="str">
        <f t="shared" si="2"/>
        <v/>
      </c>
    </row>
    <row r="226" spans="2:10" ht="15.75" customHeight="1" x14ac:dyDescent="0.3">
      <c r="B226" s="12"/>
      <c r="C226" s="12"/>
      <c r="D226" s="13"/>
      <c r="E226" s="14"/>
      <c r="F226" s="15"/>
      <c r="G226" s="16"/>
      <c r="H226" s="17" t="str">
        <f t="shared" si="0"/>
        <v/>
      </c>
      <c r="I226" s="17" t="str">
        <f t="shared" si="1"/>
        <v/>
      </c>
      <c r="J226" s="18" t="str">
        <f t="shared" si="2"/>
        <v/>
      </c>
    </row>
    <row r="227" spans="2:10" ht="15.75" customHeight="1" x14ac:dyDescent="0.3">
      <c r="B227" s="12"/>
      <c r="C227" s="12"/>
      <c r="D227" s="13"/>
      <c r="E227" s="14"/>
      <c r="F227" s="15"/>
      <c r="G227" s="16"/>
      <c r="H227" s="17" t="str">
        <f t="shared" si="0"/>
        <v/>
      </c>
      <c r="I227" s="17" t="str">
        <f t="shared" si="1"/>
        <v/>
      </c>
      <c r="J227" s="18" t="str">
        <f t="shared" si="2"/>
        <v/>
      </c>
    </row>
    <row r="228" spans="2:10" ht="15.75" customHeight="1" x14ac:dyDescent="0.3">
      <c r="B228" s="12"/>
      <c r="C228" s="12"/>
      <c r="D228" s="13"/>
      <c r="E228" s="14"/>
      <c r="F228" s="15"/>
      <c r="G228" s="16"/>
      <c r="H228" s="17" t="str">
        <f t="shared" si="0"/>
        <v/>
      </c>
      <c r="I228" s="17" t="str">
        <f t="shared" si="1"/>
        <v/>
      </c>
      <c r="J228" s="18" t="str">
        <f t="shared" si="2"/>
        <v/>
      </c>
    </row>
    <row r="229" spans="2:10" ht="15.75" customHeight="1" x14ac:dyDescent="0.3">
      <c r="B229" s="12"/>
      <c r="C229" s="12"/>
      <c r="D229" s="13"/>
      <c r="E229" s="14"/>
      <c r="F229" s="15"/>
      <c r="G229" s="16"/>
      <c r="H229" s="17" t="str">
        <f t="shared" si="0"/>
        <v/>
      </c>
      <c r="I229" s="17" t="str">
        <f t="shared" si="1"/>
        <v/>
      </c>
      <c r="J229" s="18" t="str">
        <f t="shared" si="2"/>
        <v/>
      </c>
    </row>
    <row r="230" spans="2:10" ht="15.75" customHeight="1" x14ac:dyDescent="0.3">
      <c r="B230" s="12"/>
      <c r="C230" s="12"/>
      <c r="D230" s="13"/>
      <c r="E230" s="14"/>
      <c r="F230" s="15"/>
      <c r="G230" s="16"/>
      <c r="H230" s="17" t="str">
        <f t="shared" si="0"/>
        <v/>
      </c>
      <c r="I230" s="17" t="str">
        <f t="shared" si="1"/>
        <v/>
      </c>
      <c r="J230" s="18" t="str">
        <f t="shared" si="2"/>
        <v/>
      </c>
    </row>
    <row r="231" spans="2:10" ht="15.75" customHeight="1" x14ac:dyDescent="0.3">
      <c r="B231" s="12"/>
      <c r="C231" s="12"/>
      <c r="D231" s="13"/>
      <c r="E231" s="14"/>
      <c r="F231" s="15"/>
      <c r="G231" s="16"/>
      <c r="H231" s="17" t="str">
        <f t="shared" si="0"/>
        <v/>
      </c>
      <c r="I231" s="17" t="str">
        <f t="shared" si="1"/>
        <v/>
      </c>
      <c r="J231" s="18" t="str">
        <f t="shared" si="2"/>
        <v/>
      </c>
    </row>
    <row r="232" spans="2:10" ht="15.75" customHeight="1" x14ac:dyDescent="0.3">
      <c r="B232" s="12"/>
      <c r="C232" s="12"/>
      <c r="D232" s="13"/>
      <c r="E232" s="14"/>
      <c r="F232" s="15"/>
      <c r="G232" s="16"/>
      <c r="H232" s="17" t="str">
        <f t="shared" si="0"/>
        <v/>
      </c>
      <c r="I232" s="17" t="str">
        <f t="shared" si="1"/>
        <v/>
      </c>
      <c r="J232" s="18" t="str">
        <f t="shared" si="2"/>
        <v/>
      </c>
    </row>
    <row r="233" spans="2:10" ht="15.75" customHeight="1" x14ac:dyDescent="0.3">
      <c r="B233" s="12"/>
      <c r="C233" s="12"/>
      <c r="D233" s="13"/>
      <c r="E233" s="14"/>
      <c r="F233" s="15"/>
      <c r="G233" s="16"/>
      <c r="H233" s="17" t="str">
        <f t="shared" si="0"/>
        <v/>
      </c>
      <c r="I233" s="17" t="str">
        <f t="shared" si="1"/>
        <v/>
      </c>
      <c r="J233" s="18" t="str">
        <f t="shared" si="2"/>
        <v/>
      </c>
    </row>
    <row r="234" spans="2:10" ht="15.75" customHeight="1" x14ac:dyDescent="0.3">
      <c r="B234" s="12"/>
      <c r="C234" s="12"/>
      <c r="D234" s="13"/>
      <c r="E234" s="14"/>
      <c r="F234" s="15"/>
      <c r="G234" s="16"/>
      <c r="H234" s="17" t="str">
        <f t="shared" si="0"/>
        <v/>
      </c>
      <c r="I234" s="17" t="str">
        <f t="shared" si="1"/>
        <v/>
      </c>
      <c r="J234" s="18" t="str">
        <f t="shared" si="2"/>
        <v/>
      </c>
    </row>
    <row r="235" spans="2:10" ht="15.75" customHeight="1" x14ac:dyDescent="0.3">
      <c r="B235" s="12"/>
      <c r="C235" s="12"/>
      <c r="D235" s="13"/>
      <c r="E235" s="14"/>
      <c r="F235" s="15"/>
      <c r="G235" s="16"/>
      <c r="H235" s="17" t="str">
        <f t="shared" si="0"/>
        <v/>
      </c>
      <c r="I235" s="17" t="str">
        <f t="shared" si="1"/>
        <v/>
      </c>
      <c r="J235" s="18" t="str">
        <f t="shared" si="2"/>
        <v/>
      </c>
    </row>
    <row r="236" spans="2:10" ht="15.75" customHeight="1" x14ac:dyDescent="0.3">
      <c r="B236" s="12"/>
      <c r="C236" s="12"/>
      <c r="D236" s="13"/>
      <c r="E236" s="14"/>
      <c r="F236" s="15"/>
      <c r="G236" s="16"/>
      <c r="H236" s="17" t="str">
        <f t="shared" si="0"/>
        <v/>
      </c>
      <c r="I236" s="17" t="str">
        <f t="shared" si="1"/>
        <v/>
      </c>
      <c r="J236" s="18" t="str">
        <f t="shared" si="2"/>
        <v/>
      </c>
    </row>
    <row r="237" spans="2:10" ht="15.75" customHeight="1" x14ac:dyDescent="0.3">
      <c r="B237" s="12"/>
      <c r="C237" s="12"/>
      <c r="D237" s="13"/>
      <c r="E237" s="14"/>
      <c r="F237" s="15"/>
      <c r="G237" s="16"/>
      <c r="H237" s="17" t="str">
        <f t="shared" si="0"/>
        <v/>
      </c>
      <c r="I237" s="17" t="str">
        <f t="shared" si="1"/>
        <v/>
      </c>
      <c r="J237" s="18" t="str">
        <f t="shared" si="2"/>
        <v/>
      </c>
    </row>
    <row r="238" spans="2:10" ht="15.75" customHeight="1" x14ac:dyDescent="0.3">
      <c r="B238" s="12"/>
      <c r="C238" s="12"/>
      <c r="D238" s="13"/>
      <c r="E238" s="14"/>
      <c r="F238" s="15"/>
      <c r="G238" s="16"/>
      <c r="H238" s="17" t="str">
        <f t="shared" si="0"/>
        <v/>
      </c>
      <c r="I238" s="17" t="str">
        <f t="shared" si="1"/>
        <v/>
      </c>
      <c r="J238" s="18" t="str">
        <f t="shared" si="2"/>
        <v/>
      </c>
    </row>
    <row r="239" spans="2:10" ht="15.75" customHeight="1" x14ac:dyDescent="0.3">
      <c r="B239" s="12"/>
      <c r="C239" s="12"/>
      <c r="D239" s="13"/>
      <c r="E239" s="14"/>
      <c r="F239" s="15"/>
      <c r="G239" s="16"/>
      <c r="H239" s="17" t="str">
        <f t="shared" si="0"/>
        <v/>
      </c>
      <c r="I239" s="17" t="str">
        <f t="shared" si="1"/>
        <v/>
      </c>
      <c r="J239" s="18" t="str">
        <f t="shared" si="2"/>
        <v/>
      </c>
    </row>
    <row r="240" spans="2:10" ht="15.75" customHeight="1" x14ac:dyDescent="0.3">
      <c r="B240" s="12"/>
      <c r="C240" s="12"/>
      <c r="D240" s="13"/>
      <c r="E240" s="14"/>
      <c r="F240" s="15"/>
      <c r="G240" s="16"/>
      <c r="H240" s="17" t="str">
        <f t="shared" si="0"/>
        <v/>
      </c>
      <c r="I240" s="17" t="str">
        <f t="shared" si="1"/>
        <v/>
      </c>
      <c r="J240" s="18" t="str">
        <f t="shared" si="2"/>
        <v/>
      </c>
    </row>
    <row r="241" spans="2:10" ht="15.75" customHeight="1" x14ac:dyDescent="0.3">
      <c r="B241" s="12"/>
      <c r="C241" s="12"/>
      <c r="D241" s="13"/>
      <c r="E241" s="14"/>
      <c r="F241" s="15"/>
      <c r="G241" s="16"/>
      <c r="H241" s="17" t="str">
        <f t="shared" si="0"/>
        <v/>
      </c>
      <c r="I241" s="17" t="str">
        <f t="shared" si="1"/>
        <v/>
      </c>
      <c r="J241" s="18" t="str">
        <f t="shared" si="2"/>
        <v/>
      </c>
    </row>
    <row r="242" spans="2:10" ht="15.75" customHeight="1" x14ac:dyDescent="0.3">
      <c r="B242" s="12"/>
      <c r="C242" s="12"/>
      <c r="D242" s="13"/>
      <c r="E242" s="14"/>
      <c r="F242" s="15"/>
      <c r="G242" s="16"/>
      <c r="H242" s="17" t="str">
        <f t="shared" si="0"/>
        <v/>
      </c>
      <c r="I242" s="17" t="str">
        <f t="shared" si="1"/>
        <v/>
      </c>
      <c r="J242" s="18" t="str">
        <f t="shared" si="2"/>
        <v/>
      </c>
    </row>
    <row r="243" spans="2:10" ht="15.75" customHeight="1" x14ac:dyDescent="0.3">
      <c r="B243" s="12"/>
      <c r="C243" s="12"/>
      <c r="D243" s="13"/>
      <c r="E243" s="14"/>
      <c r="F243" s="15"/>
      <c r="G243" s="16"/>
      <c r="H243" s="17" t="str">
        <f t="shared" si="0"/>
        <v/>
      </c>
      <c r="I243" s="17" t="str">
        <f t="shared" si="1"/>
        <v/>
      </c>
      <c r="J243" s="18" t="str">
        <f t="shared" si="2"/>
        <v/>
      </c>
    </row>
    <row r="244" spans="2:10" ht="15.75" customHeight="1" x14ac:dyDescent="0.3">
      <c r="B244" s="12"/>
      <c r="C244" s="12"/>
      <c r="D244" s="13"/>
      <c r="E244" s="14"/>
      <c r="F244" s="15"/>
      <c r="G244" s="16"/>
      <c r="H244" s="17" t="str">
        <f t="shared" si="0"/>
        <v/>
      </c>
      <c r="I244" s="17" t="str">
        <f t="shared" si="1"/>
        <v/>
      </c>
      <c r="J244" s="18" t="str">
        <f t="shared" si="2"/>
        <v/>
      </c>
    </row>
    <row r="245" spans="2:10" ht="15.75" customHeight="1" x14ac:dyDescent="0.3">
      <c r="B245" s="12"/>
      <c r="C245" s="12"/>
      <c r="D245" s="13"/>
      <c r="E245" s="14"/>
      <c r="F245" s="15"/>
      <c r="G245" s="16"/>
      <c r="H245" s="17" t="str">
        <f t="shared" si="0"/>
        <v/>
      </c>
      <c r="I245" s="17" t="str">
        <f t="shared" si="1"/>
        <v/>
      </c>
      <c r="J245" s="18" t="str">
        <f t="shared" si="2"/>
        <v/>
      </c>
    </row>
    <row r="246" spans="2:10" ht="15.75" customHeight="1" x14ac:dyDescent="0.3">
      <c r="B246" s="12"/>
      <c r="C246" s="12"/>
      <c r="D246" s="13"/>
      <c r="E246" s="14"/>
      <c r="F246" s="15"/>
      <c r="G246" s="16"/>
      <c r="H246" s="17" t="str">
        <f t="shared" si="0"/>
        <v/>
      </c>
      <c r="I246" s="17" t="str">
        <f t="shared" si="1"/>
        <v/>
      </c>
      <c r="J246" s="18" t="str">
        <f t="shared" si="2"/>
        <v/>
      </c>
    </row>
    <row r="247" spans="2:10" ht="15.75" customHeight="1" x14ac:dyDescent="0.3">
      <c r="B247" s="12"/>
      <c r="C247" s="12"/>
      <c r="D247" s="13"/>
      <c r="E247" s="14"/>
      <c r="F247" s="15"/>
      <c r="G247" s="16"/>
      <c r="H247" s="17" t="str">
        <f t="shared" si="0"/>
        <v/>
      </c>
      <c r="I247" s="17" t="str">
        <f t="shared" si="1"/>
        <v/>
      </c>
      <c r="J247" s="18" t="str">
        <f t="shared" si="2"/>
        <v/>
      </c>
    </row>
    <row r="248" spans="2:10" ht="15.75" customHeight="1" x14ac:dyDescent="0.3">
      <c r="B248" s="12"/>
      <c r="C248" s="12"/>
      <c r="D248" s="13"/>
      <c r="E248" s="14"/>
      <c r="F248" s="15"/>
      <c r="G248" s="16"/>
      <c r="H248" s="17" t="str">
        <f t="shared" si="0"/>
        <v/>
      </c>
      <c r="I248" s="17" t="str">
        <f t="shared" si="1"/>
        <v/>
      </c>
      <c r="J248" s="18" t="str">
        <f t="shared" si="2"/>
        <v/>
      </c>
    </row>
    <row r="249" spans="2:10" ht="15.75" customHeight="1" x14ac:dyDescent="0.3">
      <c r="B249" s="12"/>
      <c r="C249" s="12"/>
      <c r="D249" s="13"/>
      <c r="E249" s="14"/>
      <c r="F249" s="15"/>
      <c r="G249" s="16"/>
      <c r="H249" s="17" t="str">
        <f t="shared" si="0"/>
        <v/>
      </c>
      <c r="I249" s="17" t="str">
        <f t="shared" si="1"/>
        <v/>
      </c>
      <c r="J249" s="18" t="str">
        <f t="shared" si="2"/>
        <v/>
      </c>
    </row>
    <row r="250" spans="2:10" ht="15.75" customHeight="1" x14ac:dyDescent="0.3">
      <c r="B250" s="12"/>
      <c r="C250" s="12"/>
      <c r="D250" s="13"/>
      <c r="E250" s="14"/>
      <c r="F250" s="15"/>
      <c r="G250" s="16"/>
      <c r="H250" s="17" t="str">
        <f t="shared" si="0"/>
        <v/>
      </c>
      <c r="I250" s="17" t="str">
        <f t="shared" si="1"/>
        <v/>
      </c>
      <c r="J250" s="18" t="str">
        <f t="shared" si="2"/>
        <v/>
      </c>
    </row>
    <row r="251" spans="2:10" ht="15.75" customHeight="1" x14ac:dyDescent="0.3">
      <c r="B251" s="12"/>
      <c r="C251" s="12"/>
      <c r="D251" s="13"/>
      <c r="E251" s="14"/>
      <c r="F251" s="15"/>
      <c r="G251" s="16"/>
      <c r="H251" s="17" t="str">
        <f t="shared" si="0"/>
        <v/>
      </c>
      <c r="I251" s="17" t="str">
        <f t="shared" si="1"/>
        <v/>
      </c>
      <c r="J251" s="18" t="str">
        <f t="shared" si="2"/>
        <v/>
      </c>
    </row>
    <row r="252" spans="2:10" ht="15.75" customHeight="1" x14ac:dyDescent="0.3">
      <c r="B252" s="12"/>
      <c r="C252" s="12"/>
      <c r="D252" s="13"/>
      <c r="E252" s="14"/>
      <c r="F252" s="15"/>
      <c r="G252" s="16"/>
      <c r="H252" s="17" t="str">
        <f t="shared" si="0"/>
        <v/>
      </c>
      <c r="I252" s="17" t="str">
        <f t="shared" si="1"/>
        <v/>
      </c>
      <c r="J252" s="18" t="str">
        <f t="shared" si="2"/>
        <v/>
      </c>
    </row>
    <row r="253" spans="2:10" ht="15.75" customHeight="1" x14ac:dyDescent="0.3">
      <c r="B253" s="12"/>
      <c r="C253" s="12"/>
      <c r="D253" s="13"/>
      <c r="E253" s="14"/>
      <c r="F253" s="15"/>
      <c r="G253" s="16"/>
      <c r="H253" s="17" t="str">
        <f t="shared" si="0"/>
        <v/>
      </c>
      <c r="I253" s="17" t="str">
        <f t="shared" si="1"/>
        <v/>
      </c>
      <c r="J253" s="18" t="str">
        <f t="shared" si="2"/>
        <v/>
      </c>
    </row>
    <row r="254" spans="2:10" ht="15.75" customHeight="1" x14ac:dyDescent="0.3">
      <c r="B254" s="12"/>
      <c r="C254" s="12"/>
      <c r="D254" s="13"/>
      <c r="E254" s="14"/>
      <c r="F254" s="15"/>
      <c r="G254" s="16"/>
      <c r="H254" s="17" t="str">
        <f t="shared" si="0"/>
        <v/>
      </c>
      <c r="I254" s="17" t="str">
        <f t="shared" si="1"/>
        <v/>
      </c>
      <c r="J254" s="18" t="str">
        <f t="shared" si="2"/>
        <v/>
      </c>
    </row>
    <row r="255" spans="2:10" ht="15.75" customHeight="1" x14ac:dyDescent="0.3">
      <c r="B255" s="12"/>
      <c r="C255" s="12"/>
      <c r="D255" s="13"/>
      <c r="E255" s="14"/>
      <c r="F255" s="15"/>
      <c r="G255" s="16"/>
      <c r="H255" s="17" t="str">
        <f t="shared" si="0"/>
        <v/>
      </c>
      <c r="I255" s="17" t="str">
        <f t="shared" si="1"/>
        <v/>
      </c>
      <c r="J255" s="18" t="str">
        <f t="shared" si="2"/>
        <v/>
      </c>
    </row>
    <row r="256" spans="2:10" ht="15.75" customHeight="1" x14ac:dyDescent="0.3">
      <c r="B256" s="12"/>
      <c r="C256" s="12"/>
      <c r="D256" s="13"/>
      <c r="E256" s="14"/>
      <c r="F256" s="15"/>
      <c r="G256" s="16"/>
      <c r="H256" s="17" t="str">
        <f t="shared" si="0"/>
        <v/>
      </c>
      <c r="I256" s="17" t="str">
        <f t="shared" si="1"/>
        <v/>
      </c>
      <c r="J256" s="18" t="str">
        <f t="shared" si="2"/>
        <v/>
      </c>
    </row>
    <row r="257" spans="2:10" ht="15.75" customHeight="1" x14ac:dyDescent="0.3">
      <c r="B257" s="12"/>
      <c r="C257" s="12"/>
      <c r="D257" s="13"/>
      <c r="E257" s="14"/>
      <c r="F257" s="15"/>
      <c r="G257" s="16"/>
      <c r="H257" s="17" t="str">
        <f t="shared" si="0"/>
        <v/>
      </c>
      <c r="I257" s="17" t="str">
        <f t="shared" si="1"/>
        <v/>
      </c>
      <c r="J257" s="18" t="str">
        <f t="shared" si="2"/>
        <v/>
      </c>
    </row>
    <row r="258" spans="2:10" ht="15.75" customHeight="1" x14ac:dyDescent="0.3">
      <c r="B258" s="12"/>
      <c r="C258" s="12"/>
      <c r="D258" s="13"/>
      <c r="E258" s="14"/>
      <c r="F258" s="15"/>
      <c r="G258" s="16"/>
      <c r="H258" s="17" t="str">
        <f t="shared" si="0"/>
        <v/>
      </c>
      <c r="I258" s="17" t="str">
        <f t="shared" si="1"/>
        <v/>
      </c>
      <c r="J258" s="18" t="str">
        <f t="shared" si="2"/>
        <v/>
      </c>
    </row>
    <row r="259" spans="2:10" ht="15.75" customHeight="1" x14ac:dyDescent="0.3">
      <c r="B259" s="12"/>
      <c r="C259" s="12"/>
      <c r="D259" s="13"/>
      <c r="E259" s="14"/>
      <c r="F259" s="15"/>
      <c r="G259" s="16"/>
      <c r="H259" s="17" t="str">
        <f t="shared" si="0"/>
        <v/>
      </c>
      <c r="I259" s="17" t="str">
        <f t="shared" si="1"/>
        <v/>
      </c>
      <c r="J259" s="18" t="str">
        <f t="shared" si="2"/>
        <v/>
      </c>
    </row>
    <row r="260" spans="2:10" ht="15.75" customHeight="1" x14ac:dyDescent="0.3">
      <c r="B260" s="12"/>
      <c r="C260" s="12"/>
      <c r="D260" s="13"/>
      <c r="E260" s="14"/>
      <c r="F260" s="15"/>
      <c r="G260" s="16"/>
      <c r="H260" s="17" t="str">
        <f t="shared" si="0"/>
        <v/>
      </c>
      <c r="I260" s="17" t="str">
        <f t="shared" si="1"/>
        <v/>
      </c>
      <c r="J260" s="18" t="str">
        <f t="shared" si="2"/>
        <v/>
      </c>
    </row>
    <row r="261" spans="2:10" ht="15.75" customHeight="1" x14ac:dyDescent="0.3">
      <c r="B261" s="12"/>
      <c r="C261" s="12"/>
      <c r="D261" s="13"/>
      <c r="E261" s="14"/>
      <c r="F261" s="15"/>
      <c r="G261" s="16"/>
      <c r="H261" s="17" t="str">
        <f t="shared" si="0"/>
        <v/>
      </c>
      <c r="I261" s="17" t="str">
        <f t="shared" si="1"/>
        <v/>
      </c>
      <c r="J261" s="18" t="str">
        <f t="shared" si="2"/>
        <v/>
      </c>
    </row>
    <row r="262" spans="2:10" ht="15.75" customHeight="1" x14ac:dyDescent="0.3">
      <c r="B262" s="12"/>
      <c r="C262" s="12"/>
      <c r="D262" s="13"/>
      <c r="E262" s="14"/>
      <c r="F262" s="15"/>
      <c r="G262" s="16"/>
      <c r="H262" s="17" t="str">
        <f t="shared" si="0"/>
        <v/>
      </c>
      <c r="I262" s="17" t="str">
        <f t="shared" si="1"/>
        <v/>
      </c>
      <c r="J262" s="18" t="str">
        <f t="shared" si="2"/>
        <v/>
      </c>
    </row>
    <row r="263" spans="2:10" ht="15.75" customHeight="1" x14ac:dyDescent="0.3">
      <c r="B263" s="12"/>
      <c r="C263" s="12"/>
      <c r="D263" s="13"/>
      <c r="E263" s="14"/>
      <c r="F263" s="15"/>
      <c r="G263" s="16"/>
      <c r="H263" s="17" t="str">
        <f t="shared" ref="H263:H297" si="3">IF(G263="","",$F$5-G263)</f>
        <v/>
      </c>
      <c r="I263" s="17" t="str">
        <f t="shared" si="1"/>
        <v/>
      </c>
      <c r="J263" s="18" t="str">
        <f t="shared" ref="J263:J297" si="4">IF(I263="","",INDEX($M$8:$M$14,MATCH(I263,$L$8:$L$14,0)))</f>
        <v/>
      </c>
    </row>
    <row r="264" spans="2:10" ht="15.75" customHeight="1" x14ac:dyDescent="0.3">
      <c r="B264" s="12"/>
      <c r="C264" s="12"/>
      <c r="D264" s="13"/>
      <c r="E264" s="14"/>
      <c r="F264" s="15"/>
      <c r="G264" s="16"/>
      <c r="H264" s="17" t="str">
        <f t="shared" si="3"/>
        <v/>
      </c>
      <c r="I264" s="17" t="str">
        <f t="shared" ref="I264:I297" si="5">IF(G264="","",IF(H264&lt;=0,0,IF(H264&lt;=30,1,IF(H264&lt;=60,2,IF(H264&lt;=90,3,IF(H264&lt;=180,4,IF(H264&lt;=365,5,6)))))))</f>
        <v/>
      </c>
      <c r="J264" s="18" t="str">
        <f t="shared" si="4"/>
        <v/>
      </c>
    </row>
    <row r="265" spans="2:10" ht="15.75" customHeight="1" x14ac:dyDescent="0.3">
      <c r="B265" s="12"/>
      <c r="C265" s="12"/>
      <c r="D265" s="13"/>
      <c r="E265" s="14"/>
      <c r="F265" s="15"/>
      <c r="G265" s="16"/>
      <c r="H265" s="17" t="str">
        <f t="shared" si="3"/>
        <v/>
      </c>
      <c r="I265" s="17" t="str">
        <f t="shared" si="5"/>
        <v/>
      </c>
      <c r="J265" s="18" t="str">
        <f t="shared" si="4"/>
        <v/>
      </c>
    </row>
    <row r="266" spans="2:10" ht="15.75" customHeight="1" x14ac:dyDescent="0.3">
      <c r="B266" s="12"/>
      <c r="C266" s="12"/>
      <c r="D266" s="13"/>
      <c r="E266" s="14"/>
      <c r="F266" s="15"/>
      <c r="G266" s="16"/>
      <c r="H266" s="17" t="str">
        <f t="shared" si="3"/>
        <v/>
      </c>
      <c r="I266" s="17" t="str">
        <f t="shared" si="5"/>
        <v/>
      </c>
      <c r="J266" s="18" t="str">
        <f t="shared" si="4"/>
        <v/>
      </c>
    </row>
    <row r="267" spans="2:10" ht="15.75" customHeight="1" x14ac:dyDescent="0.3">
      <c r="B267" s="12"/>
      <c r="C267" s="12"/>
      <c r="D267" s="13"/>
      <c r="E267" s="14"/>
      <c r="F267" s="15"/>
      <c r="G267" s="16"/>
      <c r="H267" s="17" t="str">
        <f t="shared" si="3"/>
        <v/>
      </c>
      <c r="I267" s="17" t="str">
        <f t="shared" si="5"/>
        <v/>
      </c>
      <c r="J267" s="18" t="str">
        <f t="shared" si="4"/>
        <v/>
      </c>
    </row>
    <row r="268" spans="2:10" ht="15.75" customHeight="1" x14ac:dyDescent="0.3">
      <c r="B268" s="12"/>
      <c r="C268" s="12"/>
      <c r="D268" s="13"/>
      <c r="E268" s="14"/>
      <c r="F268" s="15"/>
      <c r="G268" s="16"/>
      <c r="H268" s="17" t="str">
        <f t="shared" si="3"/>
        <v/>
      </c>
      <c r="I268" s="17" t="str">
        <f t="shared" si="5"/>
        <v/>
      </c>
      <c r="J268" s="18" t="str">
        <f t="shared" si="4"/>
        <v/>
      </c>
    </row>
    <row r="269" spans="2:10" ht="15.75" customHeight="1" x14ac:dyDescent="0.3">
      <c r="B269" s="12"/>
      <c r="C269" s="12"/>
      <c r="D269" s="13"/>
      <c r="E269" s="14"/>
      <c r="F269" s="15"/>
      <c r="G269" s="16"/>
      <c r="H269" s="17" t="str">
        <f t="shared" si="3"/>
        <v/>
      </c>
      <c r="I269" s="17" t="str">
        <f t="shared" si="5"/>
        <v/>
      </c>
      <c r="J269" s="18" t="str">
        <f t="shared" si="4"/>
        <v/>
      </c>
    </row>
    <row r="270" spans="2:10" ht="15.75" customHeight="1" x14ac:dyDescent="0.3">
      <c r="B270" s="12"/>
      <c r="C270" s="12"/>
      <c r="D270" s="13"/>
      <c r="E270" s="14"/>
      <c r="F270" s="15"/>
      <c r="G270" s="16"/>
      <c r="H270" s="17" t="str">
        <f t="shared" si="3"/>
        <v/>
      </c>
      <c r="I270" s="17" t="str">
        <f t="shared" si="5"/>
        <v/>
      </c>
      <c r="J270" s="18" t="str">
        <f t="shared" si="4"/>
        <v/>
      </c>
    </row>
    <row r="271" spans="2:10" ht="15.75" customHeight="1" x14ac:dyDescent="0.3">
      <c r="B271" s="12"/>
      <c r="C271" s="12"/>
      <c r="D271" s="13"/>
      <c r="E271" s="14"/>
      <c r="F271" s="15"/>
      <c r="G271" s="16"/>
      <c r="H271" s="17" t="str">
        <f t="shared" si="3"/>
        <v/>
      </c>
      <c r="I271" s="17" t="str">
        <f t="shared" si="5"/>
        <v/>
      </c>
      <c r="J271" s="18" t="str">
        <f t="shared" si="4"/>
        <v/>
      </c>
    </row>
    <row r="272" spans="2:10" ht="15.75" customHeight="1" x14ac:dyDescent="0.3">
      <c r="B272" s="12"/>
      <c r="C272" s="12"/>
      <c r="D272" s="13"/>
      <c r="E272" s="14"/>
      <c r="F272" s="15"/>
      <c r="G272" s="16"/>
      <c r="H272" s="17" t="str">
        <f t="shared" si="3"/>
        <v/>
      </c>
      <c r="I272" s="17" t="str">
        <f t="shared" si="5"/>
        <v/>
      </c>
      <c r="J272" s="18" t="str">
        <f t="shared" si="4"/>
        <v/>
      </c>
    </row>
    <row r="273" spans="2:10" ht="15.75" customHeight="1" x14ac:dyDescent="0.3">
      <c r="B273" s="12"/>
      <c r="C273" s="12"/>
      <c r="D273" s="13"/>
      <c r="E273" s="14"/>
      <c r="F273" s="15"/>
      <c r="G273" s="16"/>
      <c r="H273" s="17" t="str">
        <f t="shared" si="3"/>
        <v/>
      </c>
      <c r="I273" s="17" t="str">
        <f t="shared" si="5"/>
        <v/>
      </c>
      <c r="J273" s="18" t="str">
        <f t="shared" si="4"/>
        <v/>
      </c>
    </row>
    <row r="274" spans="2:10" ht="15.75" customHeight="1" x14ac:dyDescent="0.3">
      <c r="B274" s="12"/>
      <c r="C274" s="12"/>
      <c r="D274" s="13"/>
      <c r="E274" s="14"/>
      <c r="F274" s="15"/>
      <c r="G274" s="16"/>
      <c r="H274" s="17" t="str">
        <f t="shared" si="3"/>
        <v/>
      </c>
      <c r="I274" s="17" t="str">
        <f t="shared" si="5"/>
        <v/>
      </c>
      <c r="J274" s="18" t="str">
        <f t="shared" si="4"/>
        <v/>
      </c>
    </row>
    <row r="275" spans="2:10" ht="15.75" customHeight="1" x14ac:dyDescent="0.3">
      <c r="B275" s="12"/>
      <c r="C275" s="12"/>
      <c r="D275" s="13"/>
      <c r="E275" s="14"/>
      <c r="F275" s="15"/>
      <c r="G275" s="16"/>
      <c r="H275" s="17" t="str">
        <f t="shared" si="3"/>
        <v/>
      </c>
      <c r="I275" s="17" t="str">
        <f t="shared" si="5"/>
        <v/>
      </c>
      <c r="J275" s="18" t="str">
        <f t="shared" si="4"/>
        <v/>
      </c>
    </row>
    <row r="276" spans="2:10" ht="15.75" customHeight="1" x14ac:dyDescent="0.3">
      <c r="B276" s="12"/>
      <c r="C276" s="12"/>
      <c r="D276" s="13"/>
      <c r="E276" s="14"/>
      <c r="F276" s="15"/>
      <c r="G276" s="16"/>
      <c r="H276" s="17" t="str">
        <f t="shared" si="3"/>
        <v/>
      </c>
      <c r="I276" s="17" t="str">
        <f t="shared" si="5"/>
        <v/>
      </c>
      <c r="J276" s="18" t="str">
        <f t="shared" si="4"/>
        <v/>
      </c>
    </row>
    <row r="277" spans="2:10" ht="15.75" customHeight="1" x14ac:dyDescent="0.3">
      <c r="B277" s="12"/>
      <c r="C277" s="12"/>
      <c r="D277" s="13"/>
      <c r="E277" s="14"/>
      <c r="F277" s="15"/>
      <c r="G277" s="16"/>
      <c r="H277" s="17" t="str">
        <f t="shared" si="3"/>
        <v/>
      </c>
      <c r="I277" s="17" t="str">
        <f t="shared" si="5"/>
        <v/>
      </c>
      <c r="J277" s="18" t="str">
        <f t="shared" si="4"/>
        <v/>
      </c>
    </row>
    <row r="278" spans="2:10" ht="15.75" customHeight="1" x14ac:dyDescent="0.3">
      <c r="B278" s="12"/>
      <c r="C278" s="12"/>
      <c r="D278" s="13"/>
      <c r="E278" s="14"/>
      <c r="F278" s="15"/>
      <c r="G278" s="16"/>
      <c r="H278" s="17" t="str">
        <f t="shared" si="3"/>
        <v/>
      </c>
      <c r="I278" s="17" t="str">
        <f t="shared" si="5"/>
        <v/>
      </c>
      <c r="J278" s="18" t="str">
        <f t="shared" si="4"/>
        <v/>
      </c>
    </row>
    <row r="279" spans="2:10" ht="15.75" customHeight="1" x14ac:dyDescent="0.3">
      <c r="B279" s="12"/>
      <c r="C279" s="12"/>
      <c r="D279" s="13"/>
      <c r="E279" s="14"/>
      <c r="F279" s="15"/>
      <c r="G279" s="16"/>
      <c r="H279" s="17" t="str">
        <f t="shared" si="3"/>
        <v/>
      </c>
      <c r="I279" s="17" t="str">
        <f t="shared" si="5"/>
        <v/>
      </c>
      <c r="J279" s="18" t="str">
        <f t="shared" si="4"/>
        <v/>
      </c>
    </row>
    <row r="280" spans="2:10" ht="15.75" customHeight="1" x14ac:dyDescent="0.3">
      <c r="B280" s="12"/>
      <c r="C280" s="12"/>
      <c r="D280" s="13"/>
      <c r="E280" s="14"/>
      <c r="F280" s="15"/>
      <c r="G280" s="16"/>
      <c r="H280" s="17" t="str">
        <f t="shared" si="3"/>
        <v/>
      </c>
      <c r="I280" s="17" t="str">
        <f t="shared" si="5"/>
        <v/>
      </c>
      <c r="J280" s="18" t="str">
        <f t="shared" si="4"/>
        <v/>
      </c>
    </row>
    <row r="281" spans="2:10" ht="15.75" customHeight="1" x14ac:dyDescent="0.3">
      <c r="B281" s="12"/>
      <c r="C281" s="12"/>
      <c r="D281" s="13"/>
      <c r="E281" s="14"/>
      <c r="F281" s="15"/>
      <c r="G281" s="16"/>
      <c r="H281" s="17" t="str">
        <f t="shared" si="3"/>
        <v/>
      </c>
      <c r="I281" s="17" t="str">
        <f t="shared" si="5"/>
        <v/>
      </c>
      <c r="J281" s="18" t="str">
        <f t="shared" si="4"/>
        <v/>
      </c>
    </row>
    <row r="282" spans="2:10" ht="15.75" customHeight="1" x14ac:dyDescent="0.3">
      <c r="B282" s="12"/>
      <c r="C282" s="12"/>
      <c r="D282" s="13"/>
      <c r="E282" s="14"/>
      <c r="F282" s="15"/>
      <c r="G282" s="16"/>
      <c r="H282" s="17" t="str">
        <f t="shared" si="3"/>
        <v/>
      </c>
      <c r="I282" s="17" t="str">
        <f t="shared" si="5"/>
        <v/>
      </c>
      <c r="J282" s="18" t="str">
        <f t="shared" si="4"/>
        <v/>
      </c>
    </row>
    <row r="283" spans="2:10" ht="15.75" customHeight="1" x14ac:dyDescent="0.3">
      <c r="B283" s="12"/>
      <c r="C283" s="12"/>
      <c r="D283" s="13"/>
      <c r="E283" s="14"/>
      <c r="F283" s="15"/>
      <c r="G283" s="16"/>
      <c r="H283" s="17" t="str">
        <f t="shared" si="3"/>
        <v/>
      </c>
      <c r="I283" s="17" t="str">
        <f t="shared" si="5"/>
        <v/>
      </c>
      <c r="J283" s="18" t="str">
        <f t="shared" si="4"/>
        <v/>
      </c>
    </row>
    <row r="284" spans="2:10" ht="15.75" customHeight="1" x14ac:dyDescent="0.3">
      <c r="B284" s="12"/>
      <c r="C284" s="12"/>
      <c r="D284" s="13"/>
      <c r="E284" s="14"/>
      <c r="F284" s="15"/>
      <c r="G284" s="16"/>
      <c r="H284" s="17" t="str">
        <f t="shared" si="3"/>
        <v/>
      </c>
      <c r="I284" s="17" t="str">
        <f t="shared" si="5"/>
        <v/>
      </c>
      <c r="J284" s="18" t="str">
        <f t="shared" si="4"/>
        <v/>
      </c>
    </row>
    <row r="285" spans="2:10" ht="15.75" customHeight="1" x14ac:dyDescent="0.3">
      <c r="B285" s="12"/>
      <c r="C285" s="12"/>
      <c r="D285" s="13"/>
      <c r="E285" s="14"/>
      <c r="F285" s="15"/>
      <c r="G285" s="16"/>
      <c r="H285" s="17" t="str">
        <f t="shared" si="3"/>
        <v/>
      </c>
      <c r="I285" s="17" t="str">
        <f t="shared" si="5"/>
        <v/>
      </c>
      <c r="J285" s="18" t="str">
        <f t="shared" si="4"/>
        <v/>
      </c>
    </row>
    <row r="286" spans="2:10" ht="15.75" customHeight="1" x14ac:dyDescent="0.3">
      <c r="B286" s="12"/>
      <c r="C286" s="12"/>
      <c r="D286" s="13"/>
      <c r="E286" s="14"/>
      <c r="F286" s="15"/>
      <c r="G286" s="16"/>
      <c r="H286" s="17" t="str">
        <f t="shared" si="3"/>
        <v/>
      </c>
      <c r="I286" s="17" t="str">
        <f t="shared" si="5"/>
        <v/>
      </c>
      <c r="J286" s="18" t="str">
        <f t="shared" si="4"/>
        <v/>
      </c>
    </row>
    <row r="287" spans="2:10" ht="15.75" customHeight="1" x14ac:dyDescent="0.3">
      <c r="B287" s="12"/>
      <c r="C287" s="12"/>
      <c r="D287" s="13"/>
      <c r="E287" s="14"/>
      <c r="F287" s="15"/>
      <c r="G287" s="16"/>
      <c r="H287" s="17" t="str">
        <f t="shared" si="3"/>
        <v/>
      </c>
      <c r="I287" s="17" t="str">
        <f t="shared" si="5"/>
        <v/>
      </c>
      <c r="J287" s="18" t="str">
        <f t="shared" si="4"/>
        <v/>
      </c>
    </row>
    <row r="288" spans="2:10" ht="15.75" customHeight="1" x14ac:dyDescent="0.3">
      <c r="B288" s="12"/>
      <c r="C288" s="12"/>
      <c r="D288" s="13"/>
      <c r="E288" s="14"/>
      <c r="F288" s="15"/>
      <c r="G288" s="16"/>
      <c r="H288" s="17" t="str">
        <f t="shared" si="3"/>
        <v/>
      </c>
      <c r="I288" s="17" t="str">
        <f t="shared" si="5"/>
        <v/>
      </c>
      <c r="J288" s="18" t="str">
        <f t="shared" si="4"/>
        <v/>
      </c>
    </row>
    <row r="289" spans="2:10" ht="15.75" customHeight="1" x14ac:dyDescent="0.3">
      <c r="B289" s="12"/>
      <c r="C289" s="12"/>
      <c r="D289" s="13"/>
      <c r="E289" s="14"/>
      <c r="F289" s="15"/>
      <c r="G289" s="16"/>
      <c r="H289" s="17" t="str">
        <f t="shared" si="3"/>
        <v/>
      </c>
      <c r="I289" s="17" t="str">
        <f t="shared" si="5"/>
        <v/>
      </c>
      <c r="J289" s="18" t="str">
        <f t="shared" si="4"/>
        <v/>
      </c>
    </row>
    <row r="290" spans="2:10" ht="15.75" customHeight="1" x14ac:dyDescent="0.3">
      <c r="B290" s="12"/>
      <c r="C290" s="12"/>
      <c r="D290" s="13"/>
      <c r="E290" s="14"/>
      <c r="F290" s="15"/>
      <c r="G290" s="16"/>
      <c r="H290" s="17" t="str">
        <f t="shared" si="3"/>
        <v/>
      </c>
      <c r="I290" s="17" t="str">
        <f t="shared" si="5"/>
        <v/>
      </c>
      <c r="J290" s="18" t="str">
        <f t="shared" si="4"/>
        <v/>
      </c>
    </row>
    <row r="291" spans="2:10" ht="15.75" customHeight="1" x14ac:dyDescent="0.3">
      <c r="B291" s="12"/>
      <c r="C291" s="12"/>
      <c r="D291" s="13"/>
      <c r="E291" s="14"/>
      <c r="F291" s="15"/>
      <c r="G291" s="16"/>
      <c r="H291" s="17" t="str">
        <f t="shared" si="3"/>
        <v/>
      </c>
      <c r="I291" s="17" t="str">
        <f t="shared" si="5"/>
        <v/>
      </c>
      <c r="J291" s="18" t="str">
        <f t="shared" si="4"/>
        <v/>
      </c>
    </row>
    <row r="292" spans="2:10" ht="15.75" customHeight="1" x14ac:dyDescent="0.3">
      <c r="B292" s="12"/>
      <c r="C292" s="12"/>
      <c r="D292" s="13"/>
      <c r="E292" s="14"/>
      <c r="F292" s="15"/>
      <c r="G292" s="16"/>
      <c r="H292" s="17" t="str">
        <f t="shared" si="3"/>
        <v/>
      </c>
      <c r="I292" s="17" t="str">
        <f t="shared" si="5"/>
        <v/>
      </c>
      <c r="J292" s="18" t="str">
        <f t="shared" si="4"/>
        <v/>
      </c>
    </row>
    <row r="293" spans="2:10" ht="15.75" customHeight="1" x14ac:dyDescent="0.3">
      <c r="B293" s="12"/>
      <c r="C293" s="12"/>
      <c r="D293" s="13"/>
      <c r="E293" s="14"/>
      <c r="F293" s="15"/>
      <c r="G293" s="16"/>
      <c r="H293" s="17" t="str">
        <f t="shared" si="3"/>
        <v/>
      </c>
      <c r="I293" s="17" t="str">
        <f t="shared" si="5"/>
        <v/>
      </c>
      <c r="J293" s="18" t="str">
        <f t="shared" si="4"/>
        <v/>
      </c>
    </row>
    <row r="294" spans="2:10" ht="15.75" customHeight="1" x14ac:dyDescent="0.3">
      <c r="B294" s="12"/>
      <c r="C294" s="12"/>
      <c r="D294" s="13"/>
      <c r="E294" s="14"/>
      <c r="F294" s="15"/>
      <c r="G294" s="16"/>
      <c r="H294" s="17" t="str">
        <f t="shared" si="3"/>
        <v/>
      </c>
      <c r="I294" s="17" t="str">
        <f t="shared" si="5"/>
        <v/>
      </c>
      <c r="J294" s="18" t="str">
        <f t="shared" si="4"/>
        <v/>
      </c>
    </row>
    <row r="295" spans="2:10" ht="15.75" customHeight="1" x14ac:dyDescent="0.3">
      <c r="B295" s="12"/>
      <c r="C295" s="12"/>
      <c r="D295" s="13"/>
      <c r="E295" s="14"/>
      <c r="F295" s="15"/>
      <c r="G295" s="16"/>
      <c r="H295" s="17" t="str">
        <f t="shared" si="3"/>
        <v/>
      </c>
      <c r="I295" s="17" t="str">
        <f t="shared" si="5"/>
        <v/>
      </c>
      <c r="J295" s="18" t="str">
        <f t="shared" si="4"/>
        <v/>
      </c>
    </row>
    <row r="296" spans="2:10" ht="15.75" customHeight="1" x14ac:dyDescent="0.3">
      <c r="B296" s="12"/>
      <c r="C296" s="12"/>
      <c r="D296" s="13"/>
      <c r="E296" s="14"/>
      <c r="F296" s="15"/>
      <c r="G296" s="16"/>
      <c r="H296" s="17" t="str">
        <f t="shared" si="3"/>
        <v/>
      </c>
      <c r="I296" s="17" t="str">
        <f t="shared" si="5"/>
        <v/>
      </c>
      <c r="J296" s="18" t="str">
        <f t="shared" si="4"/>
        <v/>
      </c>
    </row>
    <row r="297" spans="2:10" ht="15.75" customHeight="1" x14ac:dyDescent="0.3">
      <c r="B297" s="12"/>
      <c r="C297" s="12"/>
      <c r="D297" s="13"/>
      <c r="E297" s="14"/>
      <c r="F297" s="15"/>
      <c r="G297" s="16"/>
      <c r="H297" s="17" t="str">
        <f t="shared" si="3"/>
        <v/>
      </c>
      <c r="I297" s="17" t="str">
        <f t="shared" si="5"/>
        <v/>
      </c>
      <c r="J297" s="18" t="str">
        <f t="shared" si="4"/>
        <v/>
      </c>
    </row>
    <row r="298" spans="2:10" ht="15.75" customHeight="1" x14ac:dyDescent="0.3">
      <c r="B298" s="12"/>
      <c r="C298" s="12"/>
      <c r="D298" s="13"/>
      <c r="E298" s="14"/>
      <c r="F298" s="15"/>
      <c r="G298" s="20"/>
      <c r="H298" s="17"/>
      <c r="I298" s="21"/>
      <c r="J298" s="20"/>
    </row>
    <row r="299" spans="2:10" ht="15.75" customHeight="1" x14ac:dyDescent="0.3">
      <c r="B299" s="12"/>
      <c r="C299" s="12"/>
      <c r="D299" s="13"/>
      <c r="E299" s="14"/>
      <c r="F299" s="15"/>
      <c r="G299" s="20"/>
      <c r="H299" s="17"/>
      <c r="I299" s="21"/>
      <c r="J299" s="20"/>
    </row>
    <row r="300" spans="2:10" ht="15.75" customHeight="1" x14ac:dyDescent="0.3">
      <c r="B300" s="12"/>
      <c r="C300" s="12"/>
      <c r="D300" s="13"/>
      <c r="E300" s="14"/>
      <c r="F300" s="15"/>
      <c r="G300" s="20"/>
      <c r="H300" s="17"/>
      <c r="I300" s="21"/>
      <c r="J300" s="20"/>
    </row>
    <row r="301" spans="2:10" ht="15.75" customHeight="1" x14ac:dyDescent="0.3">
      <c r="B301" s="12"/>
      <c r="C301" s="12"/>
      <c r="D301" s="13"/>
      <c r="E301" s="14"/>
      <c r="F301" s="15"/>
      <c r="G301" s="20"/>
      <c r="H301" s="17"/>
      <c r="I301" s="21"/>
      <c r="J301" s="20"/>
    </row>
    <row r="302" spans="2:10" ht="15.75" customHeight="1" x14ac:dyDescent="0.3">
      <c r="B302" s="12"/>
      <c r="C302" s="20"/>
      <c r="D302" s="20"/>
      <c r="E302" s="14"/>
      <c r="F302" s="15"/>
      <c r="G302" s="20"/>
      <c r="H302" s="17"/>
      <c r="I302" s="21"/>
      <c r="J302" s="20"/>
    </row>
    <row r="303" spans="2:10" ht="15.75" customHeight="1" x14ac:dyDescent="0.3">
      <c r="B303" s="12"/>
      <c r="C303" s="20"/>
      <c r="D303" s="20"/>
      <c r="E303" s="14"/>
      <c r="F303" s="15"/>
      <c r="G303" s="20"/>
      <c r="H303" s="17"/>
      <c r="I303" s="21"/>
      <c r="J303" s="20"/>
    </row>
    <row r="304" spans="2:10" ht="15.75" customHeight="1" x14ac:dyDescent="0.3">
      <c r="B304" s="12"/>
      <c r="C304" s="20"/>
      <c r="D304" s="20"/>
      <c r="E304" s="14"/>
      <c r="F304" s="15"/>
      <c r="G304" s="20"/>
      <c r="H304" s="17"/>
      <c r="I304" s="21"/>
      <c r="J304" s="20"/>
    </row>
    <row r="305" spans="2:10" ht="15.75" customHeight="1" x14ac:dyDescent="0.3">
      <c r="B305" s="12"/>
      <c r="C305" s="20"/>
      <c r="D305" s="20"/>
      <c r="E305" s="14"/>
      <c r="F305" s="15"/>
      <c r="G305" s="20"/>
      <c r="H305" s="17"/>
      <c r="I305" s="21"/>
      <c r="J305" s="20"/>
    </row>
    <row r="306" spans="2:10" ht="15.75" customHeight="1" x14ac:dyDescent="0.3">
      <c r="B306" s="12"/>
      <c r="C306" s="20"/>
      <c r="D306" s="20"/>
      <c r="E306" s="14"/>
      <c r="F306" s="15"/>
      <c r="G306" s="20"/>
      <c r="H306" s="17"/>
      <c r="I306" s="21"/>
      <c r="J306" s="20"/>
    </row>
    <row r="307" spans="2:10" ht="15.75" customHeight="1" x14ac:dyDescent="0.3">
      <c r="B307" s="12"/>
      <c r="C307" s="20"/>
      <c r="D307" s="20"/>
      <c r="E307" s="14"/>
      <c r="F307" s="15"/>
      <c r="G307" s="20"/>
      <c r="H307" s="17"/>
      <c r="I307" s="21"/>
      <c r="J307" s="20"/>
    </row>
    <row r="308" spans="2:10" ht="15.75" customHeight="1" x14ac:dyDescent="0.3">
      <c r="B308" s="12"/>
      <c r="C308" s="20"/>
      <c r="D308" s="20"/>
      <c r="E308" s="14"/>
      <c r="F308" s="15"/>
      <c r="G308" s="20"/>
      <c r="H308" s="17"/>
      <c r="I308" s="21"/>
      <c r="J308" s="20"/>
    </row>
    <row r="309" spans="2:10" ht="15.75" customHeight="1" x14ac:dyDescent="0.3">
      <c r="B309" s="12"/>
      <c r="C309" s="20"/>
      <c r="D309" s="20"/>
      <c r="E309" s="14"/>
      <c r="F309" s="15"/>
      <c r="G309" s="20"/>
      <c r="H309" s="17"/>
      <c r="I309" s="21"/>
      <c r="J309" s="20"/>
    </row>
    <row r="310" spans="2:10" ht="15.75" customHeight="1" x14ac:dyDescent="0.3">
      <c r="B310" s="12"/>
      <c r="C310" s="20"/>
      <c r="D310" s="20"/>
      <c r="E310" s="14"/>
      <c r="F310" s="15"/>
      <c r="G310" s="20"/>
      <c r="H310" s="17"/>
      <c r="I310" s="21"/>
      <c r="J310" s="20"/>
    </row>
    <row r="311" spans="2:10" ht="15.75" customHeight="1" x14ac:dyDescent="0.3">
      <c r="B311" s="12"/>
      <c r="C311" s="20"/>
      <c r="D311" s="20"/>
      <c r="E311" s="14"/>
      <c r="F311" s="15"/>
      <c r="G311" s="20"/>
      <c r="H311" s="17"/>
      <c r="I311" s="21"/>
      <c r="J311" s="20"/>
    </row>
    <row r="312" spans="2:10" ht="15.75" customHeight="1" x14ac:dyDescent="0.3">
      <c r="B312" s="12"/>
      <c r="C312" s="20"/>
      <c r="D312" s="20"/>
      <c r="E312" s="14"/>
      <c r="F312" s="15"/>
      <c r="G312" s="20"/>
      <c r="H312" s="17"/>
      <c r="I312" s="21"/>
      <c r="J312" s="20"/>
    </row>
    <row r="313" spans="2:10" ht="15.75" customHeight="1" x14ac:dyDescent="0.3">
      <c r="B313" s="12"/>
      <c r="C313" s="20"/>
      <c r="D313" s="20"/>
      <c r="E313" s="14"/>
      <c r="F313" s="15"/>
      <c r="G313" s="20"/>
      <c r="H313" s="17"/>
      <c r="I313" s="21"/>
      <c r="J313" s="20"/>
    </row>
    <row r="314" spans="2:10" ht="15.75" customHeight="1" x14ac:dyDescent="0.3">
      <c r="B314" s="12"/>
      <c r="C314" s="20"/>
      <c r="D314" s="20"/>
      <c r="E314" s="14"/>
      <c r="F314" s="15"/>
      <c r="G314" s="20"/>
      <c r="H314" s="17"/>
      <c r="I314" s="21"/>
      <c r="J314" s="20"/>
    </row>
    <row r="315" spans="2:10" ht="15.75" customHeight="1" x14ac:dyDescent="0.3">
      <c r="B315" s="12"/>
      <c r="C315" s="20"/>
      <c r="D315" s="20"/>
      <c r="E315" s="14"/>
      <c r="F315" s="15"/>
      <c r="G315" s="20"/>
      <c r="H315" s="17"/>
      <c r="I315" s="21"/>
      <c r="J315" s="20"/>
    </row>
    <row r="316" spans="2:10" ht="15.75" customHeight="1" x14ac:dyDescent="0.3">
      <c r="B316" s="12"/>
      <c r="C316" s="20"/>
      <c r="D316" s="20"/>
      <c r="E316" s="14"/>
      <c r="F316" s="15"/>
      <c r="G316" s="20"/>
      <c r="H316" s="17"/>
      <c r="I316" s="21"/>
      <c r="J316" s="20"/>
    </row>
    <row r="317" spans="2:10" ht="15.75" customHeight="1" x14ac:dyDescent="0.3">
      <c r="B317" s="12"/>
      <c r="C317" s="20"/>
      <c r="D317" s="20"/>
      <c r="E317" s="14"/>
      <c r="F317" s="15"/>
      <c r="G317" s="20"/>
      <c r="H317" s="17"/>
      <c r="I317" s="21"/>
      <c r="J317" s="20"/>
    </row>
    <row r="318" spans="2:10" ht="15.75" customHeight="1" x14ac:dyDescent="0.3">
      <c r="B318" s="12"/>
      <c r="C318" s="20"/>
      <c r="D318" s="20"/>
      <c r="E318" s="14"/>
      <c r="F318" s="15"/>
      <c r="G318" s="20"/>
      <c r="H318" s="17"/>
      <c r="I318" s="21"/>
      <c r="J318" s="20"/>
    </row>
    <row r="319" spans="2:10" ht="15.75" customHeight="1" x14ac:dyDescent="0.3">
      <c r="B319" s="12"/>
      <c r="C319" s="20"/>
      <c r="D319" s="20"/>
      <c r="E319" s="14"/>
      <c r="F319" s="15"/>
      <c r="G319" s="20"/>
      <c r="H319" s="17"/>
      <c r="I319" s="21"/>
      <c r="J319" s="20"/>
    </row>
    <row r="320" spans="2:10" ht="15.75" customHeight="1" x14ac:dyDescent="0.3">
      <c r="B320" s="12"/>
      <c r="C320" s="20"/>
      <c r="D320" s="20"/>
      <c r="E320" s="14"/>
      <c r="F320" s="15"/>
      <c r="G320" s="20"/>
      <c r="H320" s="17"/>
      <c r="I320" s="21"/>
      <c r="J320" s="20"/>
    </row>
    <row r="321" spans="2:10" ht="15.75" customHeight="1" x14ac:dyDescent="0.3">
      <c r="B321" s="12"/>
      <c r="C321" s="20"/>
      <c r="D321" s="20"/>
      <c r="E321" s="14"/>
      <c r="F321" s="15"/>
      <c r="G321" s="20"/>
      <c r="H321" s="17"/>
      <c r="I321" s="21"/>
      <c r="J321" s="20"/>
    </row>
    <row r="322" spans="2:10" ht="15.75" customHeight="1" x14ac:dyDescent="0.3">
      <c r="B322" s="12"/>
      <c r="C322" s="20"/>
      <c r="D322" s="20"/>
      <c r="E322" s="14"/>
      <c r="F322" s="15"/>
      <c r="G322" s="20"/>
      <c r="H322" s="17"/>
      <c r="I322" s="21"/>
      <c r="J322" s="20"/>
    </row>
    <row r="323" spans="2:10" ht="15.75" customHeight="1" x14ac:dyDescent="0.3">
      <c r="B323" s="12"/>
      <c r="C323" s="20"/>
      <c r="D323" s="20"/>
      <c r="E323" s="14"/>
      <c r="F323" s="15"/>
      <c r="G323" s="20"/>
      <c r="H323" s="17"/>
      <c r="I323" s="21"/>
      <c r="J323" s="20"/>
    </row>
    <row r="324" spans="2:10" ht="15.75" customHeight="1" x14ac:dyDescent="0.3">
      <c r="B324" s="12"/>
      <c r="C324" s="20"/>
      <c r="D324" s="20"/>
      <c r="E324" s="14"/>
      <c r="F324" s="15"/>
      <c r="G324" s="20"/>
      <c r="H324" s="17"/>
      <c r="I324" s="21"/>
      <c r="J324" s="20"/>
    </row>
    <row r="325" spans="2:10" ht="15.75" customHeight="1" x14ac:dyDescent="0.3">
      <c r="B325" s="12"/>
      <c r="C325" s="20"/>
      <c r="D325" s="20"/>
      <c r="E325" s="14"/>
      <c r="F325" s="15"/>
      <c r="G325" s="20"/>
      <c r="H325" s="17"/>
      <c r="I325" s="21"/>
      <c r="J325" s="20"/>
    </row>
    <row r="326" spans="2:10" ht="15.75" customHeight="1" x14ac:dyDescent="0.3">
      <c r="B326" s="12"/>
      <c r="C326" s="20"/>
      <c r="D326" s="20"/>
      <c r="E326" s="14"/>
      <c r="F326" s="15"/>
      <c r="G326" s="20"/>
      <c r="H326" s="17"/>
      <c r="I326" s="21"/>
      <c r="J326" s="20"/>
    </row>
    <row r="327" spans="2:10" ht="15.75" customHeight="1" x14ac:dyDescent="0.3">
      <c r="B327" s="12"/>
      <c r="C327" s="20"/>
      <c r="D327" s="20"/>
      <c r="E327" s="14"/>
      <c r="F327" s="15"/>
      <c r="G327" s="20"/>
      <c r="H327" s="17"/>
      <c r="I327" s="21"/>
      <c r="J327" s="20"/>
    </row>
    <row r="328" spans="2:10" ht="15.75" customHeight="1" x14ac:dyDescent="0.3">
      <c r="B328" s="12"/>
      <c r="C328" s="20"/>
      <c r="D328" s="20"/>
      <c r="E328" s="14"/>
      <c r="F328" s="15"/>
      <c r="G328" s="20"/>
      <c r="H328" s="17"/>
      <c r="I328" s="21"/>
      <c r="J328" s="20"/>
    </row>
    <row r="329" spans="2:10" ht="15.75" customHeight="1" x14ac:dyDescent="0.3">
      <c r="B329" s="12"/>
      <c r="C329" s="20"/>
      <c r="D329" s="20"/>
      <c r="E329" s="14"/>
      <c r="F329" s="15"/>
      <c r="G329" s="20"/>
      <c r="H329" s="17"/>
      <c r="I329" s="21"/>
      <c r="J329" s="20"/>
    </row>
    <row r="330" spans="2:10" ht="15.75" customHeight="1" x14ac:dyDescent="0.3">
      <c r="B330" s="12"/>
      <c r="C330" s="20"/>
      <c r="D330" s="20"/>
      <c r="E330" s="14"/>
      <c r="F330" s="15"/>
      <c r="G330" s="20"/>
      <c r="H330" s="17"/>
      <c r="I330" s="21"/>
      <c r="J330" s="20"/>
    </row>
    <row r="331" spans="2:10" ht="15.75" customHeight="1" x14ac:dyDescent="0.3">
      <c r="B331" s="12"/>
      <c r="C331" s="20"/>
      <c r="D331" s="20"/>
      <c r="E331" s="14"/>
      <c r="F331" s="15"/>
      <c r="G331" s="20"/>
      <c r="H331" s="17"/>
      <c r="I331" s="21"/>
      <c r="J331" s="20"/>
    </row>
    <row r="332" spans="2:10" ht="15.75" customHeight="1" x14ac:dyDescent="0.3">
      <c r="B332" s="12"/>
      <c r="C332" s="20"/>
      <c r="D332" s="20"/>
      <c r="E332" s="14"/>
      <c r="F332" s="15"/>
      <c r="G332" s="20"/>
      <c r="H332" s="17"/>
      <c r="I332" s="21"/>
      <c r="J332" s="20"/>
    </row>
    <row r="333" spans="2:10" ht="15.75" customHeight="1" x14ac:dyDescent="0.3">
      <c r="B333" s="12"/>
      <c r="C333" s="20"/>
      <c r="D333" s="20"/>
      <c r="E333" s="14"/>
      <c r="F333" s="15"/>
      <c r="G333" s="20"/>
      <c r="H333" s="17"/>
      <c r="I333" s="21"/>
      <c r="J333" s="20"/>
    </row>
    <row r="334" spans="2:10" ht="15.75" customHeight="1" x14ac:dyDescent="0.3">
      <c r="B334" s="12"/>
      <c r="C334" s="20"/>
      <c r="D334" s="20"/>
      <c r="E334" s="14"/>
      <c r="F334" s="15"/>
      <c r="G334" s="20"/>
      <c r="H334" s="17"/>
      <c r="I334" s="21"/>
      <c r="J334" s="20"/>
    </row>
    <row r="335" spans="2:10" ht="15.75" customHeight="1" x14ac:dyDescent="0.3">
      <c r="B335" s="12"/>
      <c r="C335" s="20"/>
      <c r="D335" s="20"/>
      <c r="E335" s="14"/>
      <c r="F335" s="15"/>
      <c r="G335" s="20"/>
      <c r="H335" s="17"/>
      <c r="I335" s="21"/>
      <c r="J335" s="20"/>
    </row>
    <row r="336" spans="2:10" ht="15.75" customHeight="1" x14ac:dyDescent="0.3">
      <c r="B336" s="12"/>
      <c r="C336" s="20"/>
      <c r="D336" s="20"/>
      <c r="E336" s="14"/>
      <c r="F336" s="15"/>
      <c r="G336" s="20"/>
      <c r="H336" s="17"/>
      <c r="I336" s="21"/>
      <c r="J336" s="20"/>
    </row>
    <row r="337" spans="2:10" ht="15.75" customHeight="1" x14ac:dyDescent="0.3">
      <c r="B337" s="12"/>
      <c r="C337" s="20"/>
      <c r="D337" s="20"/>
      <c r="E337" s="14"/>
      <c r="F337" s="15"/>
      <c r="G337" s="20"/>
      <c r="H337" s="17"/>
      <c r="I337" s="21"/>
      <c r="J337" s="20"/>
    </row>
    <row r="338" spans="2:10" ht="15.75" customHeight="1" x14ac:dyDescent="0.3">
      <c r="B338" s="12"/>
      <c r="C338" s="20"/>
      <c r="D338" s="20"/>
      <c r="E338" s="14"/>
      <c r="F338" s="15"/>
      <c r="G338" s="20"/>
      <c r="H338" s="17"/>
      <c r="I338" s="21"/>
      <c r="J338" s="20"/>
    </row>
    <row r="339" spans="2:10" ht="15.75" customHeight="1" x14ac:dyDescent="0.3">
      <c r="B339" s="12"/>
      <c r="C339" s="20"/>
      <c r="D339" s="20"/>
      <c r="E339" s="14"/>
      <c r="F339" s="15"/>
      <c r="G339" s="20"/>
      <c r="H339" s="17"/>
      <c r="I339" s="21"/>
      <c r="J339" s="20"/>
    </row>
    <row r="340" spans="2:10" ht="15.75" customHeight="1" x14ac:dyDescent="0.3">
      <c r="B340" s="12"/>
      <c r="C340" s="20"/>
      <c r="D340" s="20"/>
      <c r="E340" s="14"/>
      <c r="F340" s="15"/>
      <c r="G340" s="20"/>
      <c r="H340" s="17"/>
      <c r="I340" s="21"/>
      <c r="J340" s="20"/>
    </row>
    <row r="341" spans="2:10" ht="15.75" customHeight="1" x14ac:dyDescent="0.3">
      <c r="B341" s="12"/>
      <c r="C341" s="20"/>
      <c r="D341" s="20"/>
      <c r="E341" s="14"/>
      <c r="F341" s="15"/>
      <c r="G341" s="20"/>
      <c r="H341" s="17"/>
      <c r="I341" s="21"/>
      <c r="J341" s="20"/>
    </row>
    <row r="342" spans="2:10" ht="15.75" customHeight="1" x14ac:dyDescent="0.3">
      <c r="B342" s="12"/>
      <c r="C342" s="20"/>
      <c r="D342" s="20"/>
      <c r="E342" s="14"/>
      <c r="F342" s="15"/>
      <c r="G342" s="20"/>
      <c r="H342" s="17"/>
      <c r="I342" s="21"/>
      <c r="J342" s="20"/>
    </row>
    <row r="343" spans="2:10" ht="15.75" customHeight="1" x14ac:dyDescent="0.3">
      <c r="B343" s="12"/>
      <c r="C343" s="20"/>
      <c r="D343" s="20"/>
      <c r="E343" s="14"/>
      <c r="F343" s="15"/>
      <c r="G343" s="20"/>
      <c r="H343" s="17"/>
      <c r="I343" s="21"/>
      <c r="J343" s="20"/>
    </row>
    <row r="344" spans="2:10" ht="15.75" customHeight="1" x14ac:dyDescent="0.3">
      <c r="B344" s="12"/>
      <c r="C344" s="20"/>
      <c r="D344" s="20"/>
      <c r="E344" s="14"/>
      <c r="F344" s="15"/>
      <c r="G344" s="20"/>
      <c r="H344" s="17"/>
      <c r="I344" s="21"/>
      <c r="J344" s="20"/>
    </row>
    <row r="345" spans="2:10" ht="15.75" customHeight="1" x14ac:dyDescent="0.3">
      <c r="B345" s="12"/>
      <c r="C345" s="20"/>
      <c r="D345" s="20"/>
      <c r="E345" s="14"/>
      <c r="F345" s="15"/>
      <c r="G345" s="20"/>
      <c r="H345" s="17"/>
      <c r="I345" s="21"/>
      <c r="J345" s="20"/>
    </row>
    <row r="346" spans="2:10" ht="15.75" customHeight="1" x14ac:dyDescent="0.3">
      <c r="B346" s="12"/>
      <c r="C346" s="20"/>
      <c r="D346" s="20"/>
      <c r="E346" s="14"/>
      <c r="F346" s="15"/>
      <c r="G346" s="20"/>
      <c r="H346" s="17"/>
      <c r="I346" s="21"/>
      <c r="J346" s="20"/>
    </row>
    <row r="347" spans="2:10" ht="15.75" customHeight="1" x14ac:dyDescent="0.3">
      <c r="B347" s="12"/>
      <c r="C347" s="20"/>
      <c r="D347" s="20"/>
      <c r="E347" s="14"/>
      <c r="F347" s="15"/>
      <c r="G347" s="20"/>
      <c r="H347" s="17"/>
      <c r="I347" s="21"/>
      <c r="J347" s="20"/>
    </row>
    <row r="348" spans="2:10" ht="15.75" customHeight="1" x14ac:dyDescent="0.3">
      <c r="B348" s="12"/>
      <c r="C348" s="20"/>
      <c r="D348" s="20"/>
      <c r="E348" s="14"/>
      <c r="F348" s="15"/>
      <c r="G348" s="20"/>
      <c r="H348" s="17"/>
      <c r="I348" s="21"/>
      <c r="J348" s="20"/>
    </row>
    <row r="349" spans="2:10" ht="15.75" customHeight="1" x14ac:dyDescent="0.3">
      <c r="B349" s="12"/>
      <c r="C349" s="20"/>
      <c r="D349" s="20"/>
      <c r="E349" s="14"/>
      <c r="F349" s="15"/>
      <c r="G349" s="20"/>
      <c r="H349" s="17"/>
      <c r="I349" s="21"/>
      <c r="J349" s="20"/>
    </row>
    <row r="350" spans="2:10" ht="15.75" customHeight="1" x14ac:dyDescent="0.3">
      <c r="B350" s="12"/>
      <c r="C350" s="20"/>
      <c r="D350" s="20"/>
      <c r="E350" s="14"/>
      <c r="F350" s="15"/>
      <c r="G350" s="20"/>
      <c r="H350" s="17"/>
      <c r="I350" s="21"/>
      <c r="J350" s="20"/>
    </row>
    <row r="351" spans="2:10" ht="15.75" customHeight="1" x14ac:dyDescent="0.3">
      <c r="B351" s="12"/>
      <c r="C351" s="20"/>
      <c r="D351" s="20"/>
      <c r="E351" s="14"/>
      <c r="F351" s="15"/>
      <c r="G351" s="20"/>
      <c r="H351" s="17"/>
      <c r="I351" s="21"/>
      <c r="J351" s="20"/>
    </row>
    <row r="352" spans="2:10" ht="15.75" customHeight="1" x14ac:dyDescent="0.3">
      <c r="B352" s="12"/>
      <c r="C352" s="20"/>
      <c r="D352" s="20"/>
      <c r="E352" s="14"/>
      <c r="F352" s="15"/>
      <c r="G352" s="20"/>
      <c r="H352" s="17"/>
      <c r="I352" s="21"/>
      <c r="J352" s="20"/>
    </row>
    <row r="353" spans="2:10" ht="15.75" customHeight="1" x14ac:dyDescent="0.3">
      <c r="B353" s="12"/>
      <c r="C353" s="20"/>
      <c r="D353" s="20"/>
      <c r="E353" s="14"/>
      <c r="F353" s="15"/>
      <c r="G353" s="20"/>
      <c r="H353" s="17"/>
      <c r="I353" s="21"/>
      <c r="J353" s="20"/>
    </row>
    <row r="354" spans="2:10" ht="15.75" customHeight="1" x14ac:dyDescent="0.3">
      <c r="B354" s="12"/>
      <c r="C354" s="20"/>
      <c r="D354" s="20"/>
      <c r="E354" s="14"/>
      <c r="F354" s="15"/>
      <c r="G354" s="20"/>
      <c r="H354" s="17"/>
      <c r="I354" s="21"/>
      <c r="J354" s="20"/>
    </row>
    <row r="355" spans="2:10" ht="15.75" customHeight="1" x14ac:dyDescent="0.3">
      <c r="B355" s="12"/>
      <c r="C355" s="20"/>
      <c r="D355" s="20"/>
      <c r="E355" s="14"/>
      <c r="F355" s="15"/>
      <c r="G355" s="20"/>
      <c r="H355" s="17"/>
      <c r="I355" s="21"/>
      <c r="J355" s="20"/>
    </row>
    <row r="356" spans="2:10" ht="15.75" customHeight="1" x14ac:dyDescent="0.3">
      <c r="B356" s="12"/>
      <c r="C356" s="20"/>
      <c r="D356" s="20"/>
      <c r="E356" s="14"/>
      <c r="F356" s="15"/>
      <c r="G356" s="20"/>
      <c r="H356" s="17"/>
      <c r="I356" s="21"/>
      <c r="J356" s="20"/>
    </row>
    <row r="357" spans="2:10" ht="15.75" customHeight="1" x14ac:dyDescent="0.3">
      <c r="B357" s="12"/>
      <c r="C357" s="20"/>
      <c r="D357" s="20"/>
      <c r="E357" s="14"/>
      <c r="F357" s="15"/>
      <c r="G357" s="20"/>
      <c r="H357" s="17"/>
      <c r="I357" s="21"/>
      <c r="J357" s="20"/>
    </row>
    <row r="358" spans="2:10" ht="15.75" customHeight="1" x14ac:dyDescent="0.3">
      <c r="B358" s="12"/>
      <c r="C358" s="20"/>
      <c r="D358" s="20"/>
      <c r="E358" s="14"/>
      <c r="F358" s="15"/>
      <c r="G358" s="20"/>
      <c r="H358" s="17"/>
      <c r="I358" s="21"/>
      <c r="J358" s="20"/>
    </row>
    <row r="359" spans="2:10" ht="15.75" customHeight="1" x14ac:dyDescent="0.3">
      <c r="B359" s="12"/>
      <c r="C359" s="20"/>
      <c r="D359" s="20"/>
      <c r="E359" s="14"/>
      <c r="F359" s="15"/>
      <c r="G359" s="20"/>
      <c r="H359" s="17"/>
      <c r="I359" s="21"/>
      <c r="J359" s="20"/>
    </row>
    <row r="360" spans="2:10" ht="15.75" customHeight="1" x14ac:dyDescent="0.3">
      <c r="B360" s="12"/>
      <c r="C360" s="20"/>
      <c r="D360" s="20"/>
      <c r="E360" s="14"/>
      <c r="F360" s="15"/>
      <c r="G360" s="20"/>
      <c r="H360" s="17"/>
      <c r="I360" s="21"/>
      <c r="J360" s="20"/>
    </row>
    <row r="361" spans="2:10" ht="15.75" customHeight="1" x14ac:dyDescent="0.3">
      <c r="B361" s="12"/>
      <c r="C361" s="20"/>
      <c r="D361" s="20"/>
      <c r="E361" s="14"/>
      <c r="F361" s="15"/>
      <c r="G361" s="20"/>
      <c r="H361" s="17"/>
      <c r="I361" s="21"/>
      <c r="J361" s="20"/>
    </row>
    <row r="362" spans="2:10" ht="15.75" customHeight="1" x14ac:dyDescent="0.3">
      <c r="B362" s="12"/>
      <c r="C362" s="20"/>
      <c r="D362" s="20"/>
      <c r="E362" s="14"/>
      <c r="F362" s="15"/>
      <c r="G362" s="20"/>
      <c r="H362" s="17"/>
      <c r="I362" s="21"/>
      <c r="J362" s="20"/>
    </row>
    <row r="363" spans="2:10" ht="15.75" customHeight="1" x14ac:dyDescent="0.3">
      <c r="B363" s="12"/>
      <c r="C363" s="20"/>
      <c r="D363" s="20"/>
      <c r="E363" s="14"/>
      <c r="F363" s="15"/>
      <c r="G363" s="20"/>
      <c r="H363" s="17"/>
      <c r="I363" s="21"/>
      <c r="J363" s="20"/>
    </row>
    <row r="364" spans="2:10" ht="15.75" customHeight="1" x14ac:dyDescent="0.3">
      <c r="B364" s="12"/>
      <c r="C364" s="20"/>
      <c r="D364" s="20"/>
      <c r="E364" s="14"/>
      <c r="F364" s="15"/>
      <c r="G364" s="20"/>
      <c r="H364" s="17"/>
      <c r="I364" s="21"/>
      <c r="J364" s="20"/>
    </row>
    <row r="365" spans="2:10" ht="15.75" customHeight="1" x14ac:dyDescent="0.3">
      <c r="B365" s="12"/>
      <c r="C365" s="20"/>
      <c r="D365" s="20"/>
      <c r="E365" s="14"/>
      <c r="F365" s="15"/>
      <c r="G365" s="20"/>
      <c r="H365" s="17"/>
      <c r="I365" s="21"/>
      <c r="J365" s="20"/>
    </row>
    <row r="366" spans="2:10" ht="15.75" customHeight="1" x14ac:dyDescent="0.3">
      <c r="B366" s="12"/>
      <c r="C366" s="20"/>
      <c r="D366" s="20"/>
      <c r="E366" s="14"/>
      <c r="F366" s="15"/>
      <c r="G366" s="20"/>
      <c r="H366" s="17"/>
      <c r="I366" s="21"/>
      <c r="J366" s="20"/>
    </row>
    <row r="367" spans="2:10" ht="15.75" customHeight="1" x14ac:dyDescent="0.3">
      <c r="B367" s="12"/>
      <c r="C367" s="20"/>
      <c r="D367" s="20"/>
      <c r="E367" s="14"/>
      <c r="F367" s="15"/>
      <c r="G367" s="20"/>
      <c r="H367" s="17"/>
      <c r="I367" s="21"/>
      <c r="J367" s="20"/>
    </row>
    <row r="368" spans="2:10" ht="15.75" customHeight="1" x14ac:dyDescent="0.3">
      <c r="B368" s="12"/>
      <c r="C368" s="20"/>
      <c r="D368" s="20"/>
      <c r="E368" s="14"/>
      <c r="F368" s="15"/>
      <c r="G368" s="20"/>
      <c r="H368" s="17"/>
      <c r="I368" s="21"/>
      <c r="J368" s="20"/>
    </row>
    <row r="369" spans="2:10" ht="15.75" customHeight="1" x14ac:dyDescent="0.3">
      <c r="B369" s="12"/>
      <c r="C369" s="20"/>
      <c r="D369" s="20"/>
      <c r="E369" s="14"/>
      <c r="F369" s="15"/>
      <c r="G369" s="20"/>
      <c r="H369" s="17"/>
      <c r="I369" s="21"/>
      <c r="J369" s="20"/>
    </row>
    <row r="370" spans="2:10" ht="15.75" customHeight="1" x14ac:dyDescent="0.3">
      <c r="B370" s="12"/>
      <c r="C370" s="20"/>
      <c r="D370" s="20"/>
      <c r="E370" s="14"/>
      <c r="F370" s="15"/>
      <c r="G370" s="20"/>
      <c r="H370" s="17"/>
      <c r="I370" s="21"/>
      <c r="J370" s="20"/>
    </row>
    <row r="371" spans="2:10" ht="15.75" customHeight="1" x14ac:dyDescent="0.3">
      <c r="B371" s="12"/>
      <c r="C371" s="20"/>
      <c r="D371" s="20"/>
      <c r="E371" s="14"/>
      <c r="F371" s="15"/>
      <c r="G371" s="20"/>
      <c r="H371" s="17"/>
      <c r="I371" s="21"/>
      <c r="J371" s="20"/>
    </row>
    <row r="372" spans="2:10" ht="15.75" customHeight="1" x14ac:dyDescent="0.3">
      <c r="B372" s="12"/>
      <c r="C372" s="20"/>
      <c r="D372" s="20"/>
      <c r="E372" s="14"/>
      <c r="F372" s="15"/>
      <c r="G372" s="20"/>
      <c r="H372" s="17"/>
      <c r="I372" s="21"/>
      <c r="J372" s="20"/>
    </row>
    <row r="373" spans="2:10" ht="15.75" customHeight="1" x14ac:dyDescent="0.3">
      <c r="B373" s="12"/>
      <c r="C373" s="20"/>
      <c r="D373" s="20"/>
      <c r="E373" s="14"/>
      <c r="F373" s="15"/>
      <c r="G373" s="20"/>
      <c r="H373" s="17"/>
      <c r="I373" s="21"/>
      <c r="J373" s="20"/>
    </row>
    <row r="374" spans="2:10" ht="15.75" customHeight="1" x14ac:dyDescent="0.3">
      <c r="B374" s="12"/>
      <c r="C374" s="20"/>
      <c r="D374" s="20"/>
      <c r="E374" s="14"/>
      <c r="F374" s="15"/>
      <c r="G374" s="20"/>
      <c r="H374" s="17"/>
      <c r="I374" s="21"/>
      <c r="J374" s="20"/>
    </row>
    <row r="375" spans="2:10" ht="15.75" customHeight="1" x14ac:dyDescent="0.3">
      <c r="B375" s="12"/>
      <c r="C375" s="20"/>
      <c r="D375" s="20"/>
      <c r="E375" s="14"/>
      <c r="F375" s="15"/>
      <c r="G375" s="20"/>
      <c r="H375" s="17"/>
      <c r="I375" s="21"/>
      <c r="J375" s="20"/>
    </row>
    <row r="376" spans="2:10" ht="15.75" customHeight="1" x14ac:dyDescent="0.3">
      <c r="B376" s="12"/>
      <c r="C376" s="20"/>
      <c r="D376" s="20"/>
      <c r="E376" s="14"/>
      <c r="F376" s="15"/>
      <c r="G376" s="20"/>
      <c r="H376" s="17"/>
      <c r="I376" s="21"/>
      <c r="J376" s="20"/>
    </row>
    <row r="377" spans="2:10" ht="15.75" customHeight="1" x14ac:dyDescent="0.3">
      <c r="B377" s="12"/>
      <c r="C377" s="20"/>
      <c r="D377" s="20"/>
      <c r="E377" s="14"/>
      <c r="F377" s="15"/>
      <c r="G377" s="20"/>
      <c r="H377" s="17"/>
      <c r="I377" s="21"/>
      <c r="J377" s="20"/>
    </row>
    <row r="378" spans="2:10" ht="15.75" customHeight="1" x14ac:dyDescent="0.3">
      <c r="B378" s="12"/>
      <c r="C378" s="20"/>
      <c r="D378" s="20"/>
      <c r="E378" s="14"/>
      <c r="F378" s="15"/>
      <c r="G378" s="20"/>
      <c r="H378" s="17"/>
      <c r="I378" s="21"/>
      <c r="J378" s="20"/>
    </row>
    <row r="379" spans="2:10" ht="15.75" customHeight="1" x14ac:dyDescent="0.3">
      <c r="B379" s="12"/>
      <c r="C379" s="20"/>
      <c r="D379" s="20"/>
      <c r="E379" s="14"/>
      <c r="F379" s="15"/>
      <c r="G379" s="20"/>
      <c r="H379" s="17"/>
      <c r="I379" s="21"/>
      <c r="J379" s="20"/>
    </row>
    <row r="380" spans="2:10" ht="15.75" customHeight="1" x14ac:dyDescent="0.3">
      <c r="B380" s="12"/>
      <c r="C380" s="20"/>
      <c r="D380" s="20"/>
      <c r="E380" s="14"/>
      <c r="F380" s="15"/>
      <c r="G380" s="20"/>
      <c r="H380" s="17"/>
      <c r="I380" s="21"/>
      <c r="J380" s="20"/>
    </row>
    <row r="381" spans="2:10" ht="15.75" customHeight="1" x14ac:dyDescent="0.3">
      <c r="B381" s="12"/>
      <c r="C381" s="20"/>
      <c r="D381" s="20"/>
      <c r="E381" s="14"/>
      <c r="F381" s="15"/>
      <c r="G381" s="20"/>
      <c r="H381" s="17"/>
      <c r="I381" s="21"/>
      <c r="J381" s="20"/>
    </row>
    <row r="382" spans="2:10" ht="15.75" customHeight="1" x14ac:dyDescent="0.3">
      <c r="B382" s="12"/>
      <c r="C382" s="20"/>
      <c r="D382" s="20"/>
      <c r="E382" s="14"/>
      <c r="F382" s="15"/>
      <c r="G382" s="20"/>
      <c r="H382" s="17"/>
      <c r="I382" s="21"/>
      <c r="J382" s="20"/>
    </row>
    <row r="383" spans="2:10" ht="15.75" customHeight="1" x14ac:dyDescent="0.3">
      <c r="B383" s="12"/>
      <c r="C383" s="20"/>
      <c r="D383" s="20"/>
      <c r="E383" s="14"/>
      <c r="F383" s="15"/>
      <c r="G383" s="20"/>
      <c r="H383" s="17"/>
      <c r="I383" s="21"/>
      <c r="J383" s="20"/>
    </row>
    <row r="384" spans="2:10" ht="15.75" customHeight="1" x14ac:dyDescent="0.3">
      <c r="B384" s="12"/>
      <c r="C384" s="20"/>
      <c r="D384" s="20"/>
      <c r="E384" s="14"/>
      <c r="F384" s="15"/>
      <c r="G384" s="20"/>
      <c r="H384" s="17"/>
      <c r="I384" s="21"/>
      <c r="J384" s="20"/>
    </row>
    <row r="385" spans="2:10" ht="15.75" customHeight="1" x14ac:dyDescent="0.3">
      <c r="B385" s="12"/>
      <c r="C385" s="20"/>
      <c r="D385" s="20"/>
      <c r="E385" s="14"/>
      <c r="F385" s="15"/>
      <c r="G385" s="20"/>
      <c r="H385" s="17"/>
      <c r="I385" s="21"/>
      <c r="J385" s="20"/>
    </row>
    <row r="386" spans="2:10" ht="15.75" customHeight="1" x14ac:dyDescent="0.3">
      <c r="B386" s="12"/>
      <c r="C386" s="20"/>
      <c r="D386" s="20"/>
      <c r="E386" s="14"/>
      <c r="F386" s="15"/>
      <c r="G386" s="20"/>
      <c r="H386" s="17"/>
      <c r="I386" s="21"/>
      <c r="J386" s="20"/>
    </row>
    <row r="387" spans="2:10" ht="15.75" customHeight="1" x14ac:dyDescent="0.3">
      <c r="B387" s="12"/>
      <c r="C387" s="20"/>
      <c r="D387" s="20"/>
      <c r="E387" s="14"/>
      <c r="F387" s="15"/>
      <c r="G387" s="20"/>
      <c r="H387" s="17"/>
      <c r="I387" s="21"/>
      <c r="J387" s="20"/>
    </row>
    <row r="388" spans="2:10" ht="15.75" customHeight="1" x14ac:dyDescent="0.3">
      <c r="B388" s="12"/>
      <c r="C388" s="20"/>
      <c r="D388" s="20"/>
      <c r="E388" s="14"/>
      <c r="F388" s="15"/>
      <c r="G388" s="20"/>
      <c r="H388" s="17"/>
      <c r="I388" s="21"/>
      <c r="J388" s="20"/>
    </row>
    <row r="389" spans="2:10" ht="15.75" customHeight="1" x14ac:dyDescent="0.3">
      <c r="B389" s="12"/>
      <c r="C389" s="20"/>
      <c r="D389" s="20"/>
      <c r="E389" s="14"/>
      <c r="F389" s="15"/>
      <c r="G389" s="20"/>
      <c r="H389" s="17"/>
      <c r="I389" s="21"/>
      <c r="J389" s="20"/>
    </row>
    <row r="390" spans="2:10" ht="15.75" customHeight="1" x14ac:dyDescent="0.3">
      <c r="B390" s="12"/>
      <c r="C390" s="20"/>
      <c r="D390" s="20"/>
      <c r="E390" s="14"/>
      <c r="F390" s="15"/>
      <c r="G390" s="20"/>
      <c r="H390" s="17"/>
      <c r="I390" s="21"/>
      <c r="J390" s="20"/>
    </row>
    <row r="391" spans="2:10" ht="15.75" customHeight="1" x14ac:dyDescent="0.3">
      <c r="B391" s="12"/>
      <c r="C391" s="20"/>
      <c r="D391" s="20"/>
      <c r="E391" s="14"/>
      <c r="F391" s="15"/>
      <c r="G391" s="20"/>
      <c r="H391" s="17"/>
      <c r="I391" s="21"/>
      <c r="J391" s="20"/>
    </row>
    <row r="392" spans="2:10" ht="15.75" customHeight="1" x14ac:dyDescent="0.3">
      <c r="B392" s="12"/>
      <c r="C392" s="20"/>
      <c r="D392" s="20"/>
      <c r="E392" s="14"/>
      <c r="F392" s="15"/>
      <c r="G392" s="20"/>
      <c r="H392" s="17"/>
      <c r="I392" s="21"/>
      <c r="J392" s="20"/>
    </row>
    <row r="393" spans="2:10" ht="15.75" customHeight="1" x14ac:dyDescent="0.3">
      <c r="B393" s="12"/>
      <c r="C393" s="20"/>
      <c r="D393" s="20"/>
      <c r="E393" s="14"/>
      <c r="F393" s="15"/>
      <c r="G393" s="20"/>
      <c r="H393" s="17"/>
      <c r="I393" s="21"/>
      <c r="J393" s="20"/>
    </row>
    <row r="394" spans="2:10" ht="15.75" customHeight="1" x14ac:dyDescent="0.3">
      <c r="B394" s="12"/>
      <c r="C394" s="20"/>
      <c r="D394" s="20"/>
      <c r="E394" s="14"/>
      <c r="F394" s="22"/>
      <c r="G394" s="20"/>
      <c r="H394" s="17"/>
      <c r="I394" s="21"/>
      <c r="J394" s="20"/>
    </row>
    <row r="395" spans="2:10" ht="15.75" customHeight="1" x14ac:dyDescent="0.3">
      <c r="B395" s="12"/>
      <c r="C395" s="20"/>
      <c r="D395" s="20"/>
      <c r="E395" s="14"/>
      <c r="F395" s="22"/>
      <c r="G395" s="20"/>
      <c r="H395" s="17"/>
      <c r="I395" s="21"/>
      <c r="J395" s="20"/>
    </row>
    <row r="396" spans="2:10" ht="15.75" customHeight="1" x14ac:dyDescent="0.3">
      <c r="B396" s="12"/>
      <c r="C396" s="20"/>
      <c r="D396" s="20"/>
      <c r="E396" s="14"/>
      <c r="F396" s="22"/>
      <c r="G396" s="20"/>
      <c r="H396" s="17"/>
      <c r="I396" s="21"/>
      <c r="J396" s="20"/>
    </row>
    <row r="397" spans="2:10" ht="15.75" customHeight="1" x14ac:dyDescent="0.3">
      <c r="B397" s="12"/>
      <c r="C397" s="20"/>
      <c r="D397" s="20"/>
      <c r="E397" s="14"/>
      <c r="F397" s="22"/>
      <c r="G397" s="20"/>
      <c r="H397" s="17"/>
      <c r="I397" s="21"/>
      <c r="J397" s="20"/>
    </row>
    <row r="398" spans="2:10" ht="15.75" customHeight="1" x14ac:dyDescent="0.3">
      <c r="B398" s="12"/>
      <c r="C398" s="20"/>
      <c r="D398" s="20"/>
      <c r="E398" s="14"/>
      <c r="F398" s="22"/>
      <c r="G398" s="20"/>
      <c r="H398" s="17"/>
      <c r="I398" s="21"/>
      <c r="J398" s="20"/>
    </row>
    <row r="399" spans="2:10" ht="15.75" customHeight="1" x14ac:dyDescent="0.3">
      <c r="B399" s="12"/>
      <c r="C399" s="20"/>
      <c r="D399" s="20"/>
      <c r="E399" s="14"/>
      <c r="F399" s="22"/>
      <c r="G399" s="20"/>
      <c r="H399" s="17"/>
      <c r="I399" s="21"/>
      <c r="J399" s="20"/>
    </row>
    <row r="400" spans="2:10" ht="15.75" customHeight="1" x14ac:dyDescent="0.3">
      <c r="B400" s="12"/>
      <c r="C400" s="20"/>
      <c r="D400" s="20"/>
      <c r="E400" s="14"/>
      <c r="F400" s="22"/>
      <c r="G400" s="20"/>
      <c r="H400" s="17"/>
      <c r="I400" s="21"/>
      <c r="J400" s="20"/>
    </row>
    <row r="401" spans="2:10" ht="15.75" customHeight="1" x14ac:dyDescent="0.3">
      <c r="B401" s="12"/>
      <c r="C401" s="20"/>
      <c r="D401" s="20"/>
      <c r="E401" s="14"/>
      <c r="F401" s="22"/>
      <c r="G401" s="20"/>
      <c r="H401" s="17"/>
      <c r="I401" s="21"/>
      <c r="J401" s="20"/>
    </row>
    <row r="402" spans="2:10" ht="15.75" customHeight="1" x14ac:dyDescent="0.3">
      <c r="B402" s="12"/>
      <c r="C402" s="20"/>
      <c r="D402" s="20"/>
      <c r="E402" s="14"/>
      <c r="F402" s="22"/>
      <c r="G402" s="20"/>
      <c r="H402" s="17"/>
      <c r="I402" s="21"/>
      <c r="J402" s="20"/>
    </row>
    <row r="403" spans="2:10" ht="15.75" customHeight="1" x14ac:dyDescent="0.3">
      <c r="B403" s="12"/>
      <c r="C403" s="20"/>
      <c r="D403" s="20"/>
      <c r="E403" s="14"/>
      <c r="F403" s="22"/>
      <c r="G403" s="20"/>
      <c r="H403" s="17"/>
      <c r="I403" s="21"/>
      <c r="J403" s="20"/>
    </row>
    <row r="404" spans="2:10" ht="15.75" customHeight="1" x14ac:dyDescent="0.3">
      <c r="B404" s="12"/>
      <c r="C404" s="20"/>
      <c r="D404" s="20"/>
      <c r="E404" s="14"/>
      <c r="F404" s="22"/>
      <c r="G404" s="20"/>
      <c r="H404" s="17"/>
      <c r="I404" s="21"/>
      <c r="J404" s="20"/>
    </row>
    <row r="405" spans="2:10" ht="15.75" customHeight="1" x14ac:dyDescent="0.3">
      <c r="B405" s="12"/>
      <c r="C405" s="20"/>
      <c r="D405" s="20"/>
      <c r="E405" s="14"/>
      <c r="F405" s="22"/>
      <c r="G405" s="20"/>
      <c r="H405" s="17"/>
      <c r="I405" s="21"/>
      <c r="J405" s="20"/>
    </row>
    <row r="406" spans="2:10" ht="15.75" customHeight="1" x14ac:dyDescent="0.3">
      <c r="B406" s="12"/>
      <c r="C406" s="20"/>
      <c r="D406" s="20"/>
      <c r="E406" s="14"/>
      <c r="F406" s="22"/>
      <c r="G406" s="20"/>
      <c r="H406" s="17"/>
      <c r="I406" s="21"/>
      <c r="J406" s="20"/>
    </row>
    <row r="407" spans="2:10" ht="15.75" customHeight="1" x14ac:dyDescent="0.3">
      <c r="B407" s="12"/>
      <c r="C407" s="20"/>
      <c r="D407" s="20"/>
      <c r="E407" s="14"/>
      <c r="F407" s="22"/>
      <c r="G407" s="20"/>
      <c r="H407" s="17"/>
      <c r="I407" s="21"/>
      <c r="J407" s="20"/>
    </row>
    <row r="408" spans="2:10" ht="15.75" customHeight="1" x14ac:dyDescent="0.3">
      <c r="B408" s="12"/>
      <c r="C408" s="20"/>
      <c r="D408" s="20"/>
      <c r="E408" s="14"/>
      <c r="F408" s="22"/>
      <c r="G408" s="20"/>
      <c r="H408" s="17"/>
      <c r="I408" s="21"/>
      <c r="J408" s="20"/>
    </row>
    <row r="409" spans="2:10" ht="15.75" customHeight="1" x14ac:dyDescent="0.3">
      <c r="B409" s="12"/>
      <c r="C409" s="20"/>
      <c r="D409" s="20"/>
      <c r="E409" s="14"/>
      <c r="F409" s="22"/>
      <c r="G409" s="20"/>
      <c r="H409" s="17"/>
      <c r="I409" s="21"/>
      <c r="J409" s="20"/>
    </row>
    <row r="410" spans="2:10" ht="15.75" customHeight="1" x14ac:dyDescent="0.3">
      <c r="B410" s="12"/>
      <c r="C410" s="20"/>
      <c r="D410" s="20"/>
      <c r="E410" s="14"/>
      <c r="F410" s="22"/>
      <c r="G410" s="20"/>
      <c r="H410" s="17"/>
      <c r="I410" s="21"/>
      <c r="J410" s="20"/>
    </row>
    <row r="411" spans="2:10" ht="15.75" customHeight="1" x14ac:dyDescent="0.3">
      <c r="B411" s="12"/>
      <c r="C411" s="20"/>
      <c r="D411" s="20"/>
      <c r="E411" s="14"/>
      <c r="F411" s="22"/>
      <c r="G411" s="20"/>
      <c r="H411" s="17"/>
      <c r="I411" s="21"/>
      <c r="J411" s="20"/>
    </row>
    <row r="412" spans="2:10" ht="15.75" customHeight="1" x14ac:dyDescent="0.3">
      <c r="B412" s="12"/>
      <c r="C412" s="20"/>
      <c r="D412" s="20"/>
      <c r="E412" s="14"/>
      <c r="F412" s="22"/>
      <c r="G412" s="20"/>
      <c r="H412" s="17"/>
      <c r="I412" s="21"/>
      <c r="J412" s="20"/>
    </row>
    <row r="413" spans="2:10" ht="15.75" customHeight="1" x14ac:dyDescent="0.3">
      <c r="B413" s="12"/>
      <c r="C413" s="20"/>
      <c r="D413" s="20"/>
      <c r="E413" s="14"/>
      <c r="F413" s="22"/>
      <c r="G413" s="20"/>
      <c r="H413" s="17"/>
      <c r="I413" s="21"/>
      <c r="J413" s="20"/>
    </row>
    <row r="414" spans="2:10" ht="15.75" customHeight="1" x14ac:dyDescent="0.3">
      <c r="B414" s="12"/>
      <c r="C414" s="20"/>
      <c r="D414" s="20"/>
      <c r="E414" s="14"/>
      <c r="F414" s="22"/>
      <c r="G414" s="20"/>
      <c r="H414" s="17"/>
      <c r="I414" s="21"/>
      <c r="J414" s="20"/>
    </row>
    <row r="415" spans="2:10" ht="15.75" customHeight="1" x14ac:dyDescent="0.3">
      <c r="B415" s="12"/>
      <c r="C415" s="20"/>
      <c r="D415" s="20"/>
      <c r="E415" s="14"/>
      <c r="F415" s="22"/>
      <c r="G415" s="20"/>
      <c r="H415" s="17"/>
      <c r="I415" s="21"/>
      <c r="J415" s="20"/>
    </row>
    <row r="416" spans="2:10" ht="15.75" customHeight="1" x14ac:dyDescent="0.3">
      <c r="B416" s="12"/>
      <c r="C416" s="20"/>
      <c r="D416" s="20"/>
      <c r="E416" s="14"/>
      <c r="F416" s="22"/>
      <c r="G416" s="20"/>
      <c r="H416" s="17"/>
      <c r="I416" s="21"/>
      <c r="J416" s="20"/>
    </row>
    <row r="417" spans="2:10" ht="15.75" customHeight="1" x14ac:dyDescent="0.3">
      <c r="B417" s="12"/>
      <c r="C417" s="20"/>
      <c r="D417" s="20"/>
      <c r="E417" s="14"/>
      <c r="F417" s="22"/>
      <c r="G417" s="20"/>
      <c r="H417" s="17"/>
      <c r="I417" s="21"/>
      <c r="J417" s="20"/>
    </row>
    <row r="418" spans="2:10" ht="15.75" customHeight="1" x14ac:dyDescent="0.3">
      <c r="B418" s="12"/>
      <c r="C418" s="20"/>
      <c r="D418" s="20"/>
      <c r="E418" s="14"/>
      <c r="F418" s="22"/>
      <c r="G418" s="20"/>
      <c r="H418" s="17"/>
      <c r="I418" s="21"/>
      <c r="J418" s="20"/>
    </row>
    <row r="419" spans="2:10" ht="15.75" customHeight="1" x14ac:dyDescent="0.3">
      <c r="B419" s="12"/>
      <c r="C419" s="20"/>
      <c r="D419" s="20"/>
      <c r="E419" s="14"/>
      <c r="F419" s="22"/>
      <c r="G419" s="20"/>
      <c r="H419" s="17"/>
      <c r="I419" s="21"/>
      <c r="J419" s="20"/>
    </row>
    <row r="420" spans="2:10" ht="15.75" customHeight="1" x14ac:dyDescent="0.3">
      <c r="B420" s="12"/>
      <c r="C420" s="20"/>
      <c r="D420" s="20"/>
      <c r="E420" s="14"/>
      <c r="F420" s="22"/>
      <c r="G420" s="20"/>
      <c r="H420" s="17"/>
      <c r="I420" s="21"/>
      <c r="J420" s="20"/>
    </row>
    <row r="421" spans="2:10" ht="15.75" customHeight="1" x14ac:dyDescent="0.3">
      <c r="B421" s="12"/>
      <c r="C421" s="20"/>
      <c r="D421" s="20"/>
      <c r="E421" s="14"/>
      <c r="F421" s="22"/>
      <c r="G421" s="20"/>
      <c r="H421" s="17"/>
      <c r="I421" s="21"/>
      <c r="J421" s="20"/>
    </row>
    <row r="422" spans="2:10" ht="15.75" customHeight="1" x14ac:dyDescent="0.3">
      <c r="B422" s="12"/>
      <c r="C422" s="20"/>
      <c r="D422" s="20"/>
      <c r="E422" s="14"/>
      <c r="F422" s="22"/>
      <c r="G422" s="20"/>
      <c r="H422" s="17"/>
      <c r="I422" s="21"/>
      <c r="J422" s="20"/>
    </row>
    <row r="423" spans="2:10" ht="15.75" customHeight="1" x14ac:dyDescent="0.3">
      <c r="B423" s="12"/>
      <c r="C423" s="20"/>
      <c r="D423" s="20"/>
      <c r="E423" s="14"/>
      <c r="F423" s="22"/>
      <c r="G423" s="20"/>
      <c r="H423" s="17"/>
      <c r="I423" s="21"/>
      <c r="J423" s="20"/>
    </row>
    <row r="424" spans="2:10" ht="15.75" customHeight="1" x14ac:dyDescent="0.3">
      <c r="B424" s="12"/>
      <c r="C424" s="20"/>
      <c r="D424" s="20"/>
      <c r="E424" s="14"/>
      <c r="F424" s="22"/>
      <c r="G424" s="20"/>
      <c r="H424" s="17"/>
      <c r="I424" s="21"/>
      <c r="J424" s="20"/>
    </row>
    <row r="425" spans="2:10" ht="15.75" customHeight="1" x14ac:dyDescent="0.3">
      <c r="B425" s="12"/>
      <c r="C425" s="20"/>
      <c r="D425" s="20"/>
      <c r="E425" s="14"/>
      <c r="F425" s="22"/>
      <c r="G425" s="20"/>
      <c r="H425" s="17"/>
      <c r="I425" s="21"/>
      <c r="J425" s="20"/>
    </row>
    <row r="426" spans="2:10" ht="15.75" customHeight="1" x14ac:dyDescent="0.3">
      <c r="B426" s="12"/>
      <c r="C426" s="20"/>
      <c r="D426" s="20"/>
      <c r="E426" s="14"/>
      <c r="F426" s="22"/>
      <c r="G426" s="20"/>
      <c r="H426" s="17"/>
      <c r="I426" s="21"/>
      <c r="J426" s="20"/>
    </row>
    <row r="427" spans="2:10" ht="15.75" customHeight="1" x14ac:dyDescent="0.3">
      <c r="B427" s="12"/>
      <c r="C427" s="20"/>
      <c r="D427" s="20"/>
      <c r="E427" s="14"/>
      <c r="F427" s="22"/>
      <c r="G427" s="20"/>
      <c r="H427" s="17"/>
      <c r="I427" s="21"/>
      <c r="J427" s="20"/>
    </row>
    <row r="428" spans="2:10" ht="15.75" customHeight="1" x14ac:dyDescent="0.3">
      <c r="B428" s="12"/>
      <c r="C428" s="20"/>
      <c r="D428" s="20"/>
      <c r="E428" s="14"/>
      <c r="F428" s="22"/>
      <c r="G428" s="20"/>
      <c r="H428" s="17"/>
      <c r="I428" s="21"/>
      <c r="J428" s="20"/>
    </row>
    <row r="429" spans="2:10" ht="15.75" customHeight="1" x14ac:dyDescent="0.3">
      <c r="B429" s="12"/>
      <c r="C429" s="20"/>
      <c r="D429" s="20"/>
      <c r="E429" s="14"/>
      <c r="F429" s="22"/>
      <c r="G429" s="20"/>
      <c r="H429" s="17"/>
      <c r="I429" s="21"/>
      <c r="J429" s="20"/>
    </row>
    <row r="430" spans="2:10" ht="15.75" customHeight="1" x14ac:dyDescent="0.3">
      <c r="B430" s="12"/>
      <c r="C430" s="20"/>
      <c r="D430" s="20"/>
      <c r="E430" s="14"/>
      <c r="F430" s="22"/>
      <c r="G430" s="20"/>
      <c r="H430" s="17"/>
      <c r="I430" s="21"/>
      <c r="J430" s="20"/>
    </row>
    <row r="431" spans="2:10" ht="15.75" customHeight="1" x14ac:dyDescent="0.3">
      <c r="B431" s="20"/>
      <c r="C431" s="20"/>
      <c r="D431" s="20"/>
      <c r="E431" s="14"/>
      <c r="F431" s="22"/>
      <c r="G431" s="20"/>
      <c r="H431" s="17" t="str">
        <f t="shared" ref="H431:H436" si="6">IF(G431="","",$F$5-G431)</f>
        <v/>
      </c>
      <c r="I431" s="21" t="str">
        <f t="shared" ref="I431:I436" si="7">IF(G431="","",IF(H431&lt;=0,0,IF(H431&lt;=30,1,IF(H431&lt;=60,2,IF(H431&lt;=90,3,IF(H431&lt;=180,4,IF(H431&lt;=365,5,6)))))))</f>
        <v/>
      </c>
      <c r="J431" s="20" t="str">
        <f t="shared" ref="J431:J436" si="8">IF(I431="","",INDEX($M$8:$M$14,MATCH(I431,$L$8:$L$14,0)))</f>
        <v/>
      </c>
    </row>
    <row r="432" spans="2:10" ht="15.75" customHeight="1" x14ac:dyDescent="0.3">
      <c r="B432" s="20"/>
      <c r="C432" s="20"/>
      <c r="D432" s="20"/>
      <c r="E432" s="14"/>
      <c r="F432" s="22"/>
      <c r="G432" s="20"/>
      <c r="H432" s="17" t="str">
        <f t="shared" si="6"/>
        <v/>
      </c>
      <c r="I432" s="21" t="str">
        <f t="shared" si="7"/>
        <v/>
      </c>
      <c r="J432" s="20" t="str">
        <f t="shared" si="8"/>
        <v/>
      </c>
    </row>
    <row r="433" spans="2:10" ht="15.75" customHeight="1" x14ac:dyDescent="0.3">
      <c r="B433" s="20"/>
      <c r="C433" s="20"/>
      <c r="D433" s="20"/>
      <c r="E433" s="14"/>
      <c r="F433" s="22"/>
      <c r="G433" s="20"/>
      <c r="H433" s="17" t="str">
        <f t="shared" si="6"/>
        <v/>
      </c>
      <c r="I433" s="21" t="str">
        <f t="shared" si="7"/>
        <v/>
      </c>
      <c r="J433" s="20" t="str">
        <f t="shared" si="8"/>
        <v/>
      </c>
    </row>
    <row r="434" spans="2:10" ht="15.75" customHeight="1" x14ac:dyDescent="0.3">
      <c r="B434" s="20"/>
      <c r="C434" s="20"/>
      <c r="D434" s="20"/>
      <c r="E434" s="14"/>
      <c r="F434" s="22"/>
      <c r="G434" s="20"/>
      <c r="H434" s="17" t="str">
        <f t="shared" si="6"/>
        <v/>
      </c>
      <c r="I434" s="21" t="str">
        <f t="shared" si="7"/>
        <v/>
      </c>
      <c r="J434" s="20" t="str">
        <f t="shared" si="8"/>
        <v/>
      </c>
    </row>
    <row r="435" spans="2:10" ht="15.75" customHeight="1" x14ac:dyDescent="0.3">
      <c r="B435" s="20"/>
      <c r="C435" s="20"/>
      <c r="D435" s="20"/>
      <c r="E435" s="14"/>
      <c r="F435" s="22"/>
      <c r="G435" s="20"/>
      <c r="H435" s="17" t="str">
        <f t="shared" si="6"/>
        <v/>
      </c>
      <c r="I435" s="21" t="str">
        <f t="shared" si="7"/>
        <v/>
      </c>
      <c r="J435" s="20" t="str">
        <f t="shared" si="8"/>
        <v/>
      </c>
    </row>
    <row r="436" spans="2:10" ht="15.75" customHeight="1" x14ac:dyDescent="0.3">
      <c r="B436" s="20"/>
      <c r="C436" s="20"/>
      <c r="D436" s="20"/>
      <c r="E436" s="22"/>
      <c r="F436" s="22"/>
      <c r="G436" s="20"/>
      <c r="H436" s="17" t="str">
        <f t="shared" si="6"/>
        <v/>
      </c>
      <c r="I436" s="21" t="str">
        <f t="shared" si="7"/>
        <v/>
      </c>
      <c r="J436" s="20" t="str">
        <f t="shared" si="8"/>
        <v/>
      </c>
    </row>
    <row r="437" spans="2:10" ht="15.75" customHeight="1" x14ac:dyDescent="0.3"/>
    <row r="438" spans="2:10" ht="15.75" customHeight="1" x14ac:dyDescent="0.3"/>
    <row r="439" spans="2:10" ht="15.75" customHeight="1" x14ac:dyDescent="0.3"/>
    <row r="440" spans="2:10" ht="15.75" customHeight="1" x14ac:dyDescent="0.3"/>
    <row r="441" spans="2:10" ht="15.75" customHeight="1" x14ac:dyDescent="0.3"/>
    <row r="442" spans="2:10" ht="15.75" customHeight="1" x14ac:dyDescent="0.3"/>
    <row r="443" spans="2:10" ht="15.75" customHeight="1" x14ac:dyDescent="0.3"/>
    <row r="444" spans="2:10" ht="15.75" customHeight="1" x14ac:dyDescent="0.3"/>
    <row r="445" spans="2:10" ht="15.75" customHeight="1" x14ac:dyDescent="0.3"/>
    <row r="446" spans="2:10" ht="15.75" customHeight="1" x14ac:dyDescent="0.3"/>
    <row r="447" spans="2:10" ht="15.75" customHeight="1" x14ac:dyDescent="0.3"/>
    <row r="448" spans="2:10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สป.สป. (03)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2026-07-23T06:44:24Z</dcterms:created>
  <dcterms:modified xsi:type="dcterms:W3CDTF">2026-07-23T06:45:36Z</dcterms:modified>
</cp:coreProperties>
</file>